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axepunkter" sheetId="1" state="visible" r:id="rId1"/>
    <sheet xmlns:r="http://schemas.openxmlformats.org/officeDocument/2006/relationships" name="Taxepunkter_Rådata" sheetId="2" state="visible" r:id="rId2"/>
    <sheet xmlns:r="http://schemas.openxmlformats.org/officeDocument/2006/relationships" name="Taxa_från_edp" sheetId="3" state="visible" r:id="rId3"/>
    <sheet xmlns:r="http://schemas.openxmlformats.org/officeDocument/2006/relationships" name="Taxa_till_edp" sheetId="4" state="visible" r:id="rId4"/>
    <sheet xmlns:r="http://schemas.openxmlformats.org/officeDocument/2006/relationships" name="QA Word-Excel struktur" sheetId="5" state="visible" r:id="rId5"/>
    <sheet xmlns:r="http://schemas.openxmlformats.org/officeDocument/2006/relationships" name="Taxa_Saknas" sheetId="6" state="visible" r:id="rId6"/>
    <sheet xmlns:r="http://schemas.openxmlformats.org/officeDocument/2006/relationships" name="Taxekod_Tolkning" sheetId="7" state="visible" r:id="rId7"/>
    <sheet xmlns:r="http://schemas.openxmlformats.org/officeDocument/2006/relationships" name="Källa_Prislista_DH" sheetId="8" state="visible" r:id="rId8"/>
    <sheet xmlns:r="http://schemas.openxmlformats.org/officeDocument/2006/relationships" name="Källa_Kvantitetskoder" sheetId="9" state="visible" r:id="rId9"/>
    <sheet xmlns:r="http://schemas.openxmlformats.org/officeDocument/2006/relationships" name="01_Projektöversikt" sheetId="10" state="visible" r:id="rId10"/>
    <sheet xmlns:r="http://schemas.openxmlformats.org/officeDocument/2006/relationships" name="02_Projektregler" sheetId="11" state="visible" r:id="rId11"/>
    <sheet xmlns:r="http://schemas.openxmlformats.org/officeDocument/2006/relationships" name="03_Arbetsflöde" sheetId="12" state="visible" r:id="rId12"/>
    <sheet xmlns:r="http://schemas.openxmlformats.org/officeDocument/2006/relationships" name="04_Källdokument" sheetId="13" state="visible" r:id="rId13"/>
    <sheet xmlns:r="http://schemas.openxmlformats.org/officeDocument/2006/relationships" name="06_Prompt_ChatGPT" sheetId="14" state="visible" r:id="rId14"/>
    <sheet xmlns:r="http://schemas.openxmlformats.org/officeDocument/2006/relationships" name="07_Word_export_senare" sheetId="15" state="visible" r:id="rId15"/>
    <sheet xmlns:r="http://schemas.openxmlformats.org/officeDocument/2006/relationships" name="Projektstatus" sheetId="16" state="visible" r:id="rId16"/>
    <sheet xmlns:r="http://schemas.openxmlformats.org/officeDocument/2006/relationships" name="Dokumentation_Taxepunkter" sheetId="17" state="visible" r:id="rId17"/>
    <sheet xmlns:r="http://schemas.openxmlformats.org/officeDocument/2006/relationships" name="Beslutslogg" sheetId="18" state="visible" r:id="rId18"/>
    <sheet xmlns:r="http://schemas.openxmlformats.org/officeDocument/2006/relationships" name="Färgstandard" sheetId="19" state="visible" r:id="rId19"/>
    <sheet xmlns:r="http://schemas.openxmlformats.org/officeDocument/2006/relationships" name="Dokumentation_Taxa_Saknas" sheetId="20" state="visible" r:id="rId20"/>
    <sheet xmlns:r="http://schemas.openxmlformats.org/officeDocument/2006/relationships" name="Dokumentation_Taxa_från_edp" sheetId="21" state="visible" r:id="rId21"/>
    <sheet xmlns:r="http://schemas.openxmlformats.org/officeDocument/2006/relationships" name="Revision_Etapp1" sheetId="22" state="visible" r:id="rId22"/>
    <sheet xmlns:r="http://schemas.openxmlformats.org/officeDocument/2006/relationships" name="Revision_Formler_DV" sheetId="23" state="visible" r:id="rId23"/>
    <sheet xmlns:r="http://schemas.openxmlformats.org/officeDocument/2006/relationships" name="00_MasterInfo" sheetId="24" state="visible" r:id="rId24"/>
    <sheet xmlns:r="http://schemas.openxmlformats.org/officeDocument/2006/relationships" name="EDP_Import_Logg" sheetId="25" state="visible" r:id="rId25"/>
    <sheet xmlns:r="http://schemas.openxmlformats.org/officeDocument/2006/relationships" name="Builder_Output" sheetId="26" state="visible" r:id="rId26"/>
    <sheet xmlns:r="http://schemas.openxmlformats.org/officeDocument/2006/relationships" name="Sammanfattning" sheetId="27" state="visible" r:id="rId27"/>
    <sheet xmlns:r="http://schemas.openxmlformats.org/officeDocument/2006/relationships" name="README" sheetId="28" state="visible" r:id="rId28"/>
    <sheet xmlns:r="http://schemas.openxmlformats.org/officeDocument/2006/relationships" name="Taxa_Förslag" sheetId="29" state="visible" r:id="rId29"/>
    <sheet xmlns:r="http://schemas.openxmlformats.org/officeDocument/2006/relationships" name="EDP_Avviker_Standard" sheetId="30" state="visible" r:id="rId30"/>
    <sheet xmlns:r="http://schemas.openxmlformats.org/officeDocument/2006/relationships" name="Regelspårning" sheetId="31" state="visible" r:id="rId31"/>
    <sheet xmlns:r="http://schemas.openxmlformats.org/officeDocument/2006/relationships" name="Tax_Knowledge" sheetId="32" state="visible" r:id="rId32"/>
  </sheets>
  <definedNames>
    <definedName name="Factors_TK00001">#REF!</definedName>
    <definedName name="Factors_TK00002">#REF!</definedName>
    <definedName name="Factors_TK00003">#REF!</definedName>
    <definedName name="Factors_TK00004">#REF!</definedName>
    <definedName name="Factors_TK00005">#REF!</definedName>
    <definedName name="Factors_TK00006">#REF!</definedName>
    <definedName name="Factors_TK00007">#REF!</definedName>
    <definedName name="Factors_TK00008">#REF!</definedName>
    <definedName name="Factors_TK00009">#REF!</definedName>
    <definedName name="Factors_TK00010">#REF!</definedName>
    <definedName name="Factors_TK00011">#REF!</definedName>
    <definedName name="Factors_TK00012">#REF!</definedName>
    <definedName name="Factors_TK00013">#REF!</definedName>
    <definedName name="Factors_TK00014">#REF!</definedName>
    <definedName name="Factors_TK00015">#REF!</definedName>
    <definedName name="Factors_TK00016">#REF!</definedName>
    <definedName name="Factors_TK00017">#REF!</definedName>
    <definedName name="Factors_TK00018">#REF!</definedName>
    <definedName name="Factors_TK00019">#REF!</definedName>
    <definedName name="Factors_TK00020">#REF!</definedName>
    <definedName name="Factors_TK00021">#REF!</definedName>
    <definedName name="Factors_TK00022">#REF!</definedName>
    <definedName name="Factors_TK00023">#REF!</definedName>
    <definedName name="Factors_TK00024">#REF!</definedName>
    <definedName name="Factors_TK00025">#REF!</definedName>
    <definedName name="Factors_TK00026">#REF!</definedName>
    <definedName name="Factors_TK00027">#REF!</definedName>
    <definedName name="Factors_TK00028">#REF!</definedName>
    <definedName name="Factors_TK00029">#REF!</definedName>
    <definedName name="Factors_TK00030">#REF!</definedName>
    <definedName name="Factors_TK00031">#REF!</definedName>
    <definedName name="Factors_TK00032">#REF!</definedName>
    <definedName name="Factors_TK00033">#REF!</definedName>
    <definedName name="Factors_TK00034">#REF!</definedName>
    <definedName name="Factors_TK00035">#REF!</definedName>
    <definedName name="Factors_TK00036">#REF!</definedName>
    <definedName name="Factors_TK00037">#REF!</definedName>
    <definedName name="Factors_TK00038">#REF!</definedName>
    <definedName name="Factors_TK00039">#REF!</definedName>
    <definedName name="Factors_TK00040">#REF!</definedName>
    <definedName name="Factors_TK00041">#REF!</definedName>
    <definedName name="Factors_TK00042">#REF!</definedName>
    <definedName name="Factors_TK00043">#REF!</definedName>
    <definedName name="Factors_TK00044">#REF!</definedName>
    <definedName name="Factors_TK00045">#REF!</definedName>
    <definedName name="Factors_TK00046">#REF!</definedName>
    <definedName name="Factors_TK00047">#REF!</definedName>
    <definedName name="Factors_TK00048">#REF!</definedName>
    <definedName name="Factors_TK00049">#REF!</definedName>
    <definedName name="Factors_TK00050">#REF!</definedName>
    <definedName name="Factors_TK00051">#REF!</definedName>
    <definedName name="Factors_TK00052">#REF!</definedName>
    <definedName name="Factors_TK00053">#REF!</definedName>
    <definedName name="Factors_TK00054">#REF!</definedName>
    <definedName name="Factors_TK00055">#REF!</definedName>
    <definedName name="Factors_TK00056">#REF!</definedName>
    <definedName name="Factors_TK00057">#REF!</definedName>
    <definedName name="Factors_TK00058">#REF!</definedName>
    <definedName name="Factors_TK00059">#REF!</definedName>
    <definedName name="Factors_TK00060">#REF!</definedName>
    <definedName name="Factors_TK00061">#REF!</definedName>
    <definedName name="Factors_TK00062">#REF!</definedName>
    <definedName name="Factors_TK00063">#REF!</definedName>
    <definedName name="Factors_TK00064">#REF!</definedName>
    <definedName name="Factors_TK00065">#REF!</definedName>
    <definedName name="Factors_TK00066">#REF!</definedName>
    <definedName name="Factors_TK00067">#REF!</definedName>
    <definedName name="Factors_TK00068">#REF!</definedName>
    <definedName name="Factors_TK00069">#REF!</definedName>
    <definedName name="Factors_TK00070">#REF!</definedName>
    <definedName name="Factors_TK00071">#REF!</definedName>
    <definedName name="Factors_TK00072">#REF!</definedName>
    <definedName name="Factors_TK00073">#REF!</definedName>
    <definedName name="Factors_TK00074">#REF!</definedName>
    <definedName name="Factors_TK00075">#REF!</definedName>
    <definedName name="Factors_TK00076">#REF!</definedName>
    <definedName name="Factors_TK00077">#REF!</definedName>
    <definedName name="Factors_TK00078">#REF!</definedName>
    <definedName name="Factors_TK00079">#REF!</definedName>
    <definedName name="Factors_TK00080">#REF!</definedName>
    <definedName name="Factors_TK00081">#REF!</definedName>
    <definedName name="Factors_TK00082">#REF!</definedName>
    <definedName name="Factors_TK00083">#REF!</definedName>
    <definedName name="Factors_TK00084">#REF!</definedName>
    <definedName name="Factors_TK00085">#REF!</definedName>
    <definedName name="Factors_TK00086">#REF!</definedName>
    <definedName name="Factors_TK00087">#REF!</definedName>
    <definedName name="Factors_TK00088">#REF!</definedName>
    <definedName name="Factors_TK00089">#REF!</definedName>
    <definedName name="Factors_TK00090">#REF!</definedName>
    <definedName name="Factors_TK00091">#REF!</definedName>
    <definedName name="Factors_TK00092">#REF!</definedName>
    <definedName name="Factors_TK00093">#REF!</definedName>
    <definedName name="Factors_TK00094">#REF!</definedName>
    <definedName name="Factors_TK00095">#REF!</definedName>
    <definedName name="Factors_TK00096">#REF!</definedName>
    <definedName name="Factors_TK00097">#REF!</definedName>
    <definedName name="Factors_TK00098">#REF!</definedName>
    <definedName name="Factors_TK00099">#REF!</definedName>
    <definedName name="Factors_TK00100">#REF!</definedName>
    <definedName name="Factors_TK00101">#REF!</definedName>
    <definedName name="Factors_TK00102">#REF!</definedName>
    <definedName name="Factors_TK00103">#REF!</definedName>
    <definedName name="Factors_TK00104">#REF!</definedName>
    <definedName name="Factors_TK00105">#REF!</definedName>
    <definedName name="Factors_TK00106">#REF!</definedName>
    <definedName name="Factors_TK00107">#REF!</definedName>
    <definedName name="Factors_TK00108">#REF!</definedName>
    <definedName name="Factors_TK00109">#REF!</definedName>
    <definedName name="Factors_TK00110">#REF!</definedName>
    <definedName name="Factors_TK00111">#REF!</definedName>
    <definedName name="Factors_TK00112">#REF!</definedName>
    <definedName name="Factors_TK00113">#REF!</definedName>
    <definedName name="Factors_TK00114">#REF!</definedName>
    <definedName name="Factors_TK00115">#REF!</definedName>
    <definedName name="Factors_TK00116">#REF!</definedName>
    <definedName name="Factors_TK00117">#REF!</definedName>
    <definedName name="Factors_TK00118">#REF!</definedName>
    <definedName name="Factors_TK00119">#REF!</definedName>
    <definedName name="Factors_TK00120">#REF!</definedName>
    <definedName name="Factors_TK00121">#REF!</definedName>
    <definedName name="Factors_TK00122">#REF!</definedName>
    <definedName name="Factors_TK00123">#REF!</definedName>
    <definedName name="Factors_TK00124">#REF!</definedName>
    <definedName name="Factors_TK00125">#REF!</definedName>
    <definedName name="Factors_TK00126">#REF!</definedName>
    <definedName name="Factors_TK00127">#REF!</definedName>
    <definedName name="Factors_TK00128">#REF!</definedName>
    <definedName name="Factors_TK00129">#REF!</definedName>
    <definedName name="Factors_TK00130">#REF!</definedName>
    <definedName name="Factors_TK00131">#REF!</definedName>
    <definedName name="Factors_TK00132">#REF!</definedName>
    <definedName name="Factors_TK00133">#REF!</definedName>
    <definedName name="Factors_TK00134">#REF!</definedName>
    <definedName name="Factors_TK00135">#REF!</definedName>
    <definedName name="Factors_TK00136">#REF!</definedName>
    <definedName name="Factors_TK00137">#REF!</definedName>
    <definedName name="Factors_TK00138">#REF!</definedName>
    <definedName name="Factors_TK00139">#REF!</definedName>
    <definedName name="Factors_TK00140">#REF!</definedName>
    <definedName name="Factors_TK00141">#REF!</definedName>
    <definedName name="Factors_TK00142">#REF!</definedName>
    <definedName name="Factors_TK00143">#REF!</definedName>
    <definedName name="Factors_TK00144">#REF!</definedName>
    <definedName name="Factors_TK00145">#REF!</definedName>
    <definedName name="Factors_TK00146">#REF!</definedName>
    <definedName name="Factors_TK00147">#REF!</definedName>
    <definedName name="Factors_TK00148">#REF!</definedName>
    <definedName name="Factors_TK00149">#REF!</definedName>
    <definedName name="Factors_TK00150">#REF!</definedName>
    <definedName name="Factors_TK00151">#REF!</definedName>
    <definedName name="Factors_TK00152">#REF!</definedName>
    <definedName name="Factors_TK00153">#REF!</definedName>
    <definedName name="Factors_TK00154">#REF!</definedName>
    <definedName name="Factors_TK00155">#REF!</definedName>
    <definedName name="Factors_TK00156">#REF!</definedName>
    <definedName name="Factors_TK00157">#REF!</definedName>
    <definedName name="Factors_TK00158">#REF!</definedName>
    <definedName name="Factors_TK00159">#REF!</definedName>
    <definedName name="Factors_TK00160">#REF!</definedName>
    <definedName name="Factors_TK00161">#REF!</definedName>
    <definedName name="Factors_TK00162">#REF!</definedName>
    <definedName name="Factors_TK00163">#REF!</definedName>
    <definedName name="Factors_TK00164">#REF!</definedName>
    <definedName name="Factors_TK00165">#REF!</definedName>
    <definedName name="Factors_TK00166">#REF!</definedName>
    <definedName name="Factors_TK00167">#REF!</definedName>
    <definedName name="Factors_TK00168">#REF!</definedName>
    <definedName name="Factors_TK00169">#REF!</definedName>
    <definedName name="Factors_TK00170">#REF!</definedName>
    <definedName name="Factors_TK00171">#REF!</definedName>
    <definedName name="Factors_TK00172">#REF!</definedName>
    <definedName name="Factors_TK00173">#REF!</definedName>
    <definedName name="Factors_TK00174">#REF!</definedName>
    <definedName name="Factors_TK00175">#REF!</definedName>
    <definedName name="Factors_TK00176">#REF!</definedName>
    <definedName name="Factors_TK00177">#REF!</definedName>
    <definedName name="Factors_TK00178">#REF!</definedName>
    <definedName name="Factors_TK00179">#REF!</definedName>
    <definedName name="Factors_TK00180">#REF!</definedName>
    <definedName name="Factors_TK00181">#REF!</definedName>
    <definedName name="Factors_TK00182">#REF!</definedName>
    <definedName name="Factors_TK00183">#REF!</definedName>
    <definedName name="Factors_TK00184">#REF!</definedName>
    <definedName name="Factors_TK00185">#REF!</definedName>
    <definedName name="Factors_TK00186">#REF!</definedName>
    <definedName name="Factors_TK00187">#REF!</definedName>
    <definedName name="Factors_TK00188">#REF!</definedName>
    <definedName name="Factors_TK00189">#REF!</definedName>
    <definedName name="Factors_TK00190">#REF!</definedName>
    <definedName name="Factors_TK00191">#REF!</definedName>
    <definedName name="Factors_TK00192">#REF!</definedName>
    <definedName name="Factors_TK00193">#REF!</definedName>
    <definedName name="Factors_TK00194">#REF!</definedName>
    <definedName name="Factors_TK00195">#REF!</definedName>
    <definedName name="Factors_TK00196">#REF!</definedName>
    <definedName name="Factors_TK00197">#REF!</definedName>
    <definedName name="Factors_TK00198">#REF!</definedName>
    <definedName name="Factors_TK00199">#REF!</definedName>
    <definedName name="Factors_TK00200">#REF!</definedName>
    <definedName name="Factors_TK00201">#REF!</definedName>
    <definedName name="Factors_TK00202">#REF!</definedName>
    <definedName name="Factors_TK00203">#REF!</definedName>
    <definedName name="Factors_TK00204">#REF!</definedName>
    <definedName name="Factors_TK00205">#REF!</definedName>
    <definedName name="Factors_TK00206">#REF!</definedName>
    <definedName name="Factors_TK00207">#REF!</definedName>
    <definedName name="Factors_TK00208">#REF!</definedName>
    <definedName name="Factors_TK00209">#REF!</definedName>
    <definedName name="Factors_TK00210">#REF!</definedName>
    <definedName name="Factors_TK00211">#REF!</definedName>
    <definedName name="Factors_TK00212">#REF!</definedName>
    <definedName name="Factors_TK00213">#REF!</definedName>
    <definedName name="Factors_TK00214">#REF!</definedName>
    <definedName name="Factors_TK00215">#REF!</definedName>
    <definedName name="Factors_TK00216">#REF!</definedName>
    <definedName name="Factors_TK00217">#REF!</definedName>
    <definedName name="Factors_TK00218">#REF!</definedName>
    <definedName name="Factors_TK00219">#REF!</definedName>
    <definedName name="Factors_TK00220">#REF!</definedName>
    <definedName name="Factors_TK00221">#REF!</definedName>
    <definedName name="Factors_TK00222">#REF!</definedName>
    <definedName name="Factors_TK00223">#REF!</definedName>
    <definedName name="Factors_TK00224">#REF!</definedName>
    <definedName name="Factors_TK00225">#REF!</definedName>
    <definedName name="Factors_TK00226">#REF!</definedName>
    <definedName name="Factors_TK00227">#REF!</definedName>
    <definedName name="Factors_TK00228">#REF!</definedName>
    <definedName name="Factors_TK00229">#REF!</definedName>
    <definedName name="Factors_TK00230">#REF!</definedName>
    <definedName name="Factors_TK00231">#REF!</definedName>
    <definedName name="Factors_TK00232">#REF!</definedName>
    <definedName name="Factors_TK00233">#REF!</definedName>
    <definedName name="Factors_TK00234">#REF!</definedName>
    <definedName name="Factors_TK00235">#REF!</definedName>
    <definedName name="Factors_TK00236">#REF!</definedName>
    <definedName name="Factors_TK00237">#REF!</definedName>
    <definedName name="Factors_TK00238">#REF!</definedName>
    <definedName name="Factors_TK00239">#REF!</definedName>
    <definedName name="Factors_TK00240">#REF!</definedName>
    <definedName name="Factors_TK00241">#REF!</definedName>
    <definedName name="Factors_TK00242">#REF!</definedName>
    <definedName name="Factors_TK00243">#REF!</definedName>
    <definedName name="Factors_TK00244">#REF!</definedName>
    <definedName name="Factors_TK00245">#REF!</definedName>
    <definedName name="Factors_TK00246">#REF!</definedName>
    <definedName name="Factors_TK00247">#REF!</definedName>
    <definedName name="Factors_TK00248">#REF!</definedName>
    <definedName name="Factors_TK00249">#REF!</definedName>
    <definedName name="Factors_TK00250">#REF!</definedName>
    <definedName name="Factors_TK00251">#REF!</definedName>
    <definedName name="Factors_TK00252">#REF!</definedName>
    <definedName name="Factors_TK00253">#REF!</definedName>
    <definedName name="Factors_TK00254">#REF!</definedName>
    <definedName name="Factors_TK00255">#REF!</definedName>
    <definedName name="Factors_TK00256">#REF!</definedName>
    <definedName name="Factors_TK00257">#REF!</definedName>
    <definedName name="Factors_TK00258">#REF!</definedName>
    <definedName name="Factors_TK00259">#REF!</definedName>
    <definedName name="Factors_TK00260">#REF!</definedName>
    <definedName name="Factors_TK00261">#REF!</definedName>
    <definedName name="Factors_TK00262">#REF!</definedName>
    <definedName name="Factors_TK00263">#REF!</definedName>
    <definedName name="Factors_TK00264">#REF!</definedName>
    <definedName name="Factors_TK00265">#REF!</definedName>
    <definedName name="Factors_TK00266">#REF!</definedName>
    <definedName name="Factors_TK00267">#REF!</definedName>
    <definedName name="Factors_TK00268">#REF!</definedName>
    <definedName name="Factors_TK00269">#REF!</definedName>
    <definedName name="Factors_TK00270">#REF!</definedName>
    <definedName name="Factors_TK00271">#REF!</definedName>
    <definedName name="Factors_TK00272">#REF!</definedName>
    <definedName name="Factors_TK00273">#REF!</definedName>
    <definedName name="Factors_TK00274">#REF!</definedName>
    <definedName name="_xlnm._FilterDatabase" localSheetId="25" hidden="1">'Builder_Output'!$A$1:$J$242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#\ ##,000"/>
  </numFmts>
  <fonts count="15">
    <font>
      <name val="Calibri"/>
      <color theme="1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Times New Roman"/>
      <color rgb="FF000000"/>
      <sz val="11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sz val="8"/>
    </font>
    <font>
      <b val="1"/>
    </font>
    <font>
      <b val="1"/>
      <color rgb="00FFFFFF"/>
      <sz val="14"/>
    </font>
  </fonts>
  <fills count="2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D9D9D9"/>
      </right>
      <top style="thin">
        <color rgb="FF7F7F7F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1"/>
  </cellStyleXfs>
  <cellXfs count="16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10" borderId="0" pivotButton="0" quotePrefix="0" xfId="0"/>
    <xf numFmtId="0" fontId="3" fillId="7" borderId="0" applyAlignment="1" pivotButton="0" quotePrefix="0" xfId="0">
      <alignment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3" applyAlignment="1" pivotButton="0" quotePrefix="0" xfId="0">
      <alignment wrapText="1"/>
    </xf>
    <xf numFmtId="0" fontId="0" fillId="3" borderId="3" pivotButton="0" quotePrefix="0" xfId="0"/>
    <xf numFmtId="0" fontId="0" fillId="9" borderId="3" pivotButton="0" quotePrefix="0" xfId="0"/>
    <xf numFmtId="0" fontId="0" fillId="8" borderId="3" pivotButton="0" quotePrefix="0" xfId="0"/>
    <xf numFmtId="0" fontId="0" fillId="0" borderId="4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2" fillId="0" borderId="4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2" fillId="0" borderId="5" applyAlignment="1" pivotButton="0" quotePrefix="0" xfId="0">
      <alignment vertical="top" wrapText="1"/>
    </xf>
    <xf numFmtId="0" fontId="0" fillId="0" borderId="8" pivotButton="0" quotePrefix="0" xfId="0"/>
    <xf numFmtId="0" fontId="0" fillId="0" borderId="11" pivotButton="0" quotePrefix="0" xfId="0"/>
    <xf numFmtId="0" fontId="0" fillId="0" borderId="9" pivotButton="0" quotePrefix="0" xfId="0"/>
    <xf numFmtId="164" fontId="0" fillId="0" borderId="3" pivotButton="0" quotePrefix="0" xfId="0"/>
    <xf numFmtId="0" fontId="2" fillId="0" borderId="12" applyAlignment="1" pivotButton="0" quotePrefix="0" xfId="0">
      <alignment vertical="top" wrapText="1"/>
    </xf>
    <xf numFmtId="0" fontId="2" fillId="0" borderId="13" applyAlignment="1" pivotButton="0" quotePrefix="0" xfId="0">
      <alignment vertical="top" wrapText="1"/>
    </xf>
    <xf numFmtId="0" fontId="2" fillId="0" borderId="14" applyAlignment="1" pivotButton="0" quotePrefix="0" xfId="0">
      <alignment vertical="top" wrapText="1"/>
    </xf>
    <xf numFmtId="0" fontId="3" fillId="2" borderId="4" applyAlignment="1" pivotButton="0" quotePrefix="0" xfId="0">
      <alignment wrapText="1"/>
    </xf>
    <xf numFmtId="0" fontId="3" fillId="2" borderId="5" applyAlignment="1" pivotButton="0" quotePrefix="0" xfId="0">
      <alignment wrapText="1"/>
    </xf>
    <xf numFmtId="0" fontId="0" fillId="3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164" fontId="0" fillId="8" borderId="3" applyAlignment="1" pivotButton="0" quotePrefix="0" xfId="0">
      <alignment vertical="top" wrapText="1"/>
    </xf>
    <xf numFmtId="0" fontId="0" fillId="3" borderId="6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3" borderId="6" pivotButton="0" quotePrefix="0" xfId="0"/>
    <xf numFmtId="0" fontId="0" fillId="8" borderId="7" pivotButton="0" quotePrefix="0" xfId="0"/>
    <xf numFmtId="0" fontId="0" fillId="3" borderId="8" pivotButton="0" quotePrefix="0" xfId="0"/>
    <xf numFmtId="0" fontId="0" fillId="3" borderId="11" pivotButton="0" quotePrefix="0" xfId="0"/>
    <xf numFmtId="0" fontId="0" fillId="9" borderId="11" pivotButton="0" quotePrefix="0" xfId="0"/>
    <xf numFmtId="0" fontId="0" fillId="8" borderId="11" pivotButton="0" quotePrefix="0" xfId="0"/>
    <xf numFmtId="0" fontId="0" fillId="8" borderId="9" pivotButton="0" quotePrefix="0" xfId="0"/>
    <xf numFmtId="0" fontId="3" fillId="4" borderId="3" pivotButton="0" quotePrefix="0" xfId="0"/>
    <xf numFmtId="0" fontId="3" fillId="4" borderId="6" pivotButton="0" quotePrefix="0" xfId="0"/>
    <xf numFmtId="0" fontId="3" fillId="4" borderId="7" pivotButton="0" quotePrefix="0" xfId="0"/>
    <xf numFmtId="0" fontId="3" fillId="4" borderId="4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0" fillId="8" borderId="6" pivotButton="0" quotePrefix="0" xfId="0"/>
    <xf numFmtId="0" fontId="0" fillId="8" borderId="8" pivotButton="0" quotePrefix="0" xfId="0"/>
    <xf numFmtId="165" fontId="0" fillId="0" borderId="3" pivotButton="0" quotePrefix="0" xfId="0"/>
    <xf numFmtId="165" fontId="4" fillId="5" borderId="3" pivotButton="0" quotePrefix="0" xfId="0"/>
    <xf numFmtId="165" fontId="0" fillId="0" borderId="7" pivotButton="0" quotePrefix="0" xfId="0"/>
    <xf numFmtId="0" fontId="4" fillId="5" borderId="6" pivotButton="0" quotePrefix="0" xfId="0"/>
    <xf numFmtId="165" fontId="4" fillId="5" borderId="7" pivotButton="0" quotePrefix="0" xfId="0"/>
    <xf numFmtId="0" fontId="0" fillId="10" borderId="3" pivotButton="0" quotePrefix="0" xfId="0"/>
    <xf numFmtId="0" fontId="0" fillId="10" borderId="6" pivotButton="0" quotePrefix="0" xfId="0"/>
    <xf numFmtId="0" fontId="0" fillId="10" borderId="7" pivotButton="0" quotePrefix="0" xfId="0"/>
    <xf numFmtId="0" fontId="0" fillId="10" borderId="8" pivotButton="0" quotePrefix="0" xfId="0"/>
    <xf numFmtId="0" fontId="0" fillId="10" borderId="9" pivotButton="0" quotePrefix="0" xfId="0"/>
    <xf numFmtId="0" fontId="0" fillId="10" borderId="11" pivotButton="0" quotePrefix="0" xfId="0"/>
    <xf numFmtId="0" fontId="3" fillId="4" borderId="15" applyAlignment="1" pivotButton="0" quotePrefix="0" xfId="0">
      <alignment wrapText="1"/>
    </xf>
    <xf numFmtId="0" fontId="0" fillId="10" borderId="16" pivotButton="0" quotePrefix="0" xfId="0"/>
    <xf numFmtId="0" fontId="0" fillId="10" borderId="17" pivotButton="0" quotePrefix="0" xfId="0"/>
    <xf numFmtId="0" fontId="3" fillId="4" borderId="3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 wrapText="1"/>
    </xf>
    <xf numFmtId="0" fontId="3" fillId="11" borderId="13" applyAlignment="1" pivotButton="0" quotePrefix="0" xfId="0">
      <alignment horizontal="center" vertical="center" wrapText="1"/>
    </xf>
    <xf numFmtId="0" fontId="5" fillId="11" borderId="12" applyAlignment="1" pivotButton="0" quotePrefix="0" xfId="0">
      <alignment horizontal="center" vertical="center" wrapText="1"/>
    </xf>
    <xf numFmtId="0" fontId="5" fillId="11" borderId="13" applyAlignment="1" pivotButton="0" quotePrefix="0" xfId="0">
      <alignment horizontal="center" vertical="center" wrapText="1"/>
    </xf>
    <xf numFmtId="0" fontId="5" fillId="11" borderId="14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7" fillId="12" borderId="3" applyAlignment="1" pivotButton="0" quotePrefix="0" xfId="0">
      <alignment horizontal="left" vertical="top" wrapText="1"/>
    </xf>
    <xf numFmtId="0" fontId="8" fillId="12" borderId="3" applyAlignment="1" pivotButton="0" quotePrefix="0" xfId="0">
      <alignment horizontal="left" vertical="top" wrapText="1"/>
    </xf>
    <xf numFmtId="0" fontId="7" fillId="12" borderId="3" applyAlignment="1" pivotButton="0" quotePrefix="0" xfId="0">
      <alignment horizontal="left" vertical="top"/>
    </xf>
    <xf numFmtId="0" fontId="3" fillId="11" borderId="4" applyAlignment="1" pivotButton="0" quotePrefix="0" xfId="0">
      <alignment horizontal="center"/>
    </xf>
    <xf numFmtId="0" fontId="3" fillId="11" borderId="10" applyAlignment="1" pivotButton="0" quotePrefix="0" xfId="0">
      <alignment horizontal="center"/>
    </xf>
    <xf numFmtId="0" fontId="3" fillId="11" borderId="5" applyAlignment="1" pivotButton="0" quotePrefix="0" xfId="0">
      <alignment horizontal="center"/>
    </xf>
    <xf numFmtId="0" fontId="0" fillId="3" borderId="4" pivotButton="0" quotePrefix="0" xfId="0"/>
    <xf numFmtId="0" fontId="0" fillId="3" borderId="10" pivotButton="0" quotePrefix="0" xfId="0"/>
    <xf numFmtId="0" fontId="0" fillId="9" borderId="10" pivotButton="0" quotePrefix="0" xfId="0"/>
    <xf numFmtId="0" fontId="0" fillId="8" borderId="10" pivotButton="0" quotePrefix="0" xfId="0"/>
    <xf numFmtId="0" fontId="0" fillId="8" borderId="5" pivotButton="0" quotePrefix="0" xfId="0"/>
    <xf numFmtId="0" fontId="9" fillId="18" borderId="3" applyAlignment="1" pivotButton="0" quotePrefix="0" xfId="0">
      <alignment horizontal="left" vertical="top" wrapText="1"/>
    </xf>
    <xf numFmtId="0" fontId="9" fillId="18" borderId="3" applyAlignment="1" pivotButton="0" quotePrefix="0" xfId="0">
      <alignment horizontal="left" vertical="top"/>
    </xf>
    <xf numFmtId="0" fontId="3" fillId="19" borderId="0" applyAlignment="1" pivotButton="0" quotePrefix="0" xfId="0">
      <alignment horizontal="center" wrapText="1"/>
    </xf>
    <xf numFmtId="0" fontId="4" fillId="20" borderId="0" applyAlignment="1" pivotButton="0" quotePrefix="0" xfId="0">
      <alignment wrapText="1"/>
    </xf>
    <xf numFmtId="0" fontId="6" fillId="13" borderId="1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22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" applyAlignment="1" pivotButton="0" quotePrefix="0" xfId="0">
      <alignment wrapText="1"/>
    </xf>
    <xf numFmtId="0" fontId="1" fillId="0" borderId="10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1" pivotButton="0" quotePrefix="0" xfId="0"/>
    <xf numFmtId="0" fontId="6" fillId="21" borderId="12" applyAlignment="1" pivotButton="0" quotePrefix="0" xfId="0">
      <alignment horizontal="left" vertical="center" wrapText="1"/>
    </xf>
    <xf numFmtId="0" fontId="0" fillId="21" borderId="2" pivotButton="0" quotePrefix="0" xfId="0"/>
    <xf numFmtId="0" fontId="0" fillId="21" borderId="22" pivotButton="0" quotePrefix="0" xfId="0"/>
    <xf numFmtId="0" fontId="7" fillId="18" borderId="3" applyAlignment="1" pivotButton="0" quotePrefix="0" xfId="0">
      <alignment horizontal="left" vertical="top" wrapText="1"/>
    </xf>
    <xf numFmtId="0" fontId="6" fillId="22" borderId="12" applyAlignment="1" pivotButton="0" quotePrefix="0" xfId="0">
      <alignment horizontal="left" vertical="center" wrapText="1"/>
    </xf>
    <xf numFmtId="0" fontId="0" fillId="22" borderId="2" pivotButton="0" quotePrefix="0" xfId="0"/>
    <xf numFmtId="0" fontId="0" fillId="22" borderId="22" pivotButton="0" quotePrefix="0" xfId="0"/>
    <xf numFmtId="0" fontId="10" fillId="12" borderId="3" applyAlignment="1" pivotButton="0" quotePrefix="0" xfId="0">
      <alignment horizontal="left" vertical="top" wrapText="1"/>
    </xf>
    <xf numFmtId="0" fontId="11" fillId="13" borderId="12" applyAlignment="1" pivotButton="0" quotePrefix="0" xfId="0">
      <alignment horizontal="left" vertical="center" wrapText="1"/>
    </xf>
    <xf numFmtId="0" fontId="11" fillId="13" borderId="12" applyAlignment="1" pivotButton="0" quotePrefix="0" xfId="0">
      <alignment horizontal="left" vertical="center"/>
    </xf>
    <xf numFmtId="0" fontId="10" fillId="12" borderId="3" applyAlignment="1" pivotButton="0" quotePrefix="0" xfId="0">
      <alignment horizontal="left" vertical="top"/>
    </xf>
    <xf numFmtId="0" fontId="10" fillId="18" borderId="3" applyAlignment="1" pivotButton="0" quotePrefix="0" xfId="0">
      <alignment horizontal="left" vertical="top"/>
    </xf>
    <xf numFmtId="0" fontId="3" fillId="11" borderId="13" applyAlignment="1" pivotButton="0" quotePrefix="0" xfId="0">
      <alignment horizontal="center" wrapText="1"/>
    </xf>
    <xf numFmtId="0" fontId="0" fillId="14" borderId="3" applyAlignment="1" pivotButton="0" quotePrefix="0" xfId="0">
      <alignment horizontal="center" wrapText="1"/>
    </xf>
    <xf numFmtId="0" fontId="4" fillId="14" borderId="3" applyAlignment="1" pivotButton="0" quotePrefix="0" xfId="0">
      <alignment horizontal="center" wrapText="1"/>
    </xf>
    <xf numFmtId="0" fontId="4" fillId="3" borderId="3" applyAlignment="1" pivotButton="0" quotePrefix="0" xfId="0">
      <alignment horizontal="center" wrapText="1"/>
    </xf>
    <xf numFmtId="0" fontId="0" fillId="3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6" fillId="21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 wrapText="1"/>
    </xf>
    <xf numFmtId="0" fontId="0" fillId="14" borderId="3" applyAlignment="1" pivotButton="0" quotePrefix="0" xfId="0">
      <alignment horizontal="center"/>
    </xf>
    <xf numFmtId="0" fontId="0" fillId="15" borderId="3" applyAlignment="1" pivotButton="0" quotePrefix="0" xfId="0">
      <alignment horizontal="center" wrapText="1"/>
    </xf>
    <xf numFmtId="0" fontId="4" fillId="15" borderId="3" applyAlignment="1" pivotButton="0" quotePrefix="0" xfId="0">
      <alignment horizontal="center" wrapText="1"/>
    </xf>
    <xf numFmtId="0" fontId="4" fillId="9" borderId="3" applyAlignment="1" pivotButton="0" quotePrefix="0" xfId="0">
      <alignment horizontal="center" wrapText="1"/>
    </xf>
    <xf numFmtId="0" fontId="0" fillId="9" borderId="3" applyAlignment="1" pivotButton="0" quotePrefix="0" xfId="0">
      <alignment horizontal="center" wrapText="1"/>
    </xf>
    <xf numFmtId="0" fontId="6" fillId="21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 wrapText="1"/>
    </xf>
    <xf numFmtId="0" fontId="0" fillId="15" borderId="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0" fillId="16" borderId="3" applyAlignment="1" pivotButton="0" quotePrefix="0" xfId="0">
      <alignment horizontal="center" wrapText="1"/>
    </xf>
    <xf numFmtId="165" fontId="0" fillId="16" borderId="3" applyAlignment="1" pivotButton="0" quotePrefix="0" xfId="0">
      <alignment horizontal="center" wrapText="1"/>
    </xf>
    <xf numFmtId="0" fontId="4" fillId="16" borderId="3" applyAlignment="1" pivotButton="0" quotePrefix="0" xfId="0">
      <alignment horizontal="center" wrapText="1"/>
    </xf>
    <xf numFmtId="165" fontId="4" fillId="16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wrapText="1"/>
    </xf>
    <xf numFmtId="165" fontId="4" fillId="8" borderId="3" applyAlignment="1" pivotButton="0" quotePrefix="0" xfId="0">
      <alignment horizontal="center" wrapText="1"/>
    </xf>
    <xf numFmtId="0" fontId="0" fillId="8" borderId="3" applyAlignment="1" pivotButton="0" quotePrefix="0" xfId="0">
      <alignment horizontal="center" wrapText="1"/>
    </xf>
    <xf numFmtId="165" fontId="0" fillId="8" borderId="3" applyAlignment="1" pivotButton="0" quotePrefix="0" xfId="0">
      <alignment horizontal="center" wrapText="1"/>
    </xf>
    <xf numFmtId="0" fontId="0" fillId="0" borderId="10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22" borderId="12" applyAlignment="1" pivotButton="0" quotePrefix="0" xfId="0">
      <alignment horizontal="center" wrapText="1"/>
    </xf>
    <xf numFmtId="0" fontId="0" fillId="22" borderId="2" applyAlignment="1" pivotButton="0" quotePrefix="0" xfId="0">
      <alignment horizontal="center"/>
    </xf>
    <xf numFmtId="0" fontId="0" fillId="22" borderId="22" applyAlignment="1" pivotButton="0" quotePrefix="0" xfId="0">
      <alignment horizontal="center"/>
    </xf>
    <xf numFmtId="0" fontId="6" fillId="22" borderId="13" applyAlignment="1" pivotButton="0" quotePrefix="0" xfId="0">
      <alignment horizontal="center"/>
    </xf>
    <xf numFmtId="0" fontId="6" fillId="22" borderId="14" applyAlignment="1" pivotButton="0" quotePrefix="0" xfId="0">
      <alignment horizontal="center"/>
    </xf>
    <xf numFmtId="0" fontId="6" fillId="21" borderId="14" applyAlignment="1" pivotButton="0" quotePrefix="0" xfId="0">
      <alignment horizontal="center"/>
    </xf>
    <xf numFmtId="0" fontId="6" fillId="13" borderId="14" applyAlignment="1" pivotButton="0" quotePrefix="0" xfId="0">
      <alignment horizontal="center"/>
    </xf>
    <xf numFmtId="165" fontId="0" fillId="15" borderId="3" applyAlignment="1" pivotButton="0" quotePrefix="0" xfId="0">
      <alignment horizontal="center" wrapText="1"/>
    </xf>
    <xf numFmtId="165" fontId="0" fillId="14" borderId="3" applyAlignment="1" pivotButton="0" quotePrefix="0" xfId="0">
      <alignment horizontal="center" wrapText="1"/>
    </xf>
    <xf numFmtId="0" fontId="0" fillId="17" borderId="3" applyAlignment="1" pivotButton="0" quotePrefix="0" xfId="0">
      <alignment horizontal="center"/>
    </xf>
    <xf numFmtId="0" fontId="0" fillId="17" borderId="7" applyAlignment="1" pivotButton="0" quotePrefix="0" xfId="0">
      <alignment horizontal="center"/>
    </xf>
    <xf numFmtId="165" fontId="6" fillId="13" borderId="13" applyAlignment="1" pivotButton="0" quotePrefix="0" xfId="0">
      <alignment horizontal="center" wrapText="1"/>
    </xf>
    <xf numFmtId="165" fontId="4" fillId="15" borderId="3" applyAlignment="1" pivotButton="0" quotePrefix="0" xfId="0">
      <alignment horizontal="center" wrapText="1"/>
    </xf>
    <xf numFmtId="165" fontId="4" fillId="14" borderId="3" applyAlignment="1" pivotButton="0" quotePrefix="0" xfId="0">
      <alignment horizontal="center" wrapText="1"/>
    </xf>
    <xf numFmtId="165" fontId="4" fillId="9" borderId="3" applyAlignment="1" pivotButton="0" quotePrefix="0" xfId="0">
      <alignment horizontal="center" wrapText="1"/>
    </xf>
    <xf numFmtId="165" fontId="4" fillId="3" borderId="3" applyAlignment="1" pivotButton="0" quotePrefix="0" xfId="0">
      <alignment horizontal="center" wrapText="1"/>
    </xf>
    <xf numFmtId="0" fontId="0" fillId="6" borderId="3" applyAlignment="1" pivotButton="0" quotePrefix="0" xfId="0">
      <alignment horizontal="center"/>
    </xf>
    <xf numFmtId="165" fontId="0" fillId="9" borderId="3" applyAlignment="1" pivotButton="0" quotePrefix="0" xfId="0">
      <alignment horizontal="center" wrapText="1"/>
    </xf>
    <xf numFmtId="165" fontId="0" fillId="3" borderId="3" applyAlignment="1" pivotButton="0" quotePrefix="0" xfId="0">
      <alignment horizontal="center" wrapText="1"/>
    </xf>
    <xf numFmtId="0" fontId="0" fillId="16" borderId="3" applyAlignment="1" pivotButton="0" quotePrefix="0" xfId="0">
      <alignment horizontal="center"/>
    </xf>
    <xf numFmtId="0" fontId="13" fillId="23" borderId="0" applyAlignment="1" pivotButton="0" quotePrefix="0" xfId="0">
      <alignment wrapText="1"/>
    </xf>
    <xf numFmtId="0" fontId="13" fillId="0" borderId="0" pivotButton="0" quotePrefix="0" xfId="0"/>
    <xf numFmtId="0" fontId="14" fillId="24" borderId="0" pivotButton="0" quotePrefix="0" xfId="0"/>
    <xf numFmtId="0" fontId="13" fillId="25" borderId="0" pivotButton="0" quotePrefix="0" xfId="0"/>
    <xf numFmtId="0" fontId="0" fillId="0" borderId="0" applyAlignment="1" pivotButton="0" quotePrefix="0" xfId="0">
      <alignment vertical="top" wrapText="1"/>
    </xf>
    <xf numFmtId="0" fontId="13" fillId="2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ables/table1.xml><?xml version="1.0" encoding="utf-8"?>
<table xmlns="http://schemas.openxmlformats.org/spreadsheetml/2006/main" id="1" name="BuilderOutputTable" displayName="BuilderOutputTable" ref="A1:J242" headerRowCount="1">
  <autoFilter ref="A1:J242"/>
  <tableColumns count="10">
    <tableColumn id="1" name="Paragraf"/>
    <tableColumn id="2" name="Paragrafnamn"/>
    <tableColumn id="3" name="Taxapunkt"/>
    <tableColumn id="4" name="Variant"/>
    <tableColumn id="5" name="Enhet"/>
    <tableColumn id="6" name="Pris från Word"/>
    <tableColumn id="7" name="EDP taxekod"/>
    <tableColumn id="8" name="EDP koppling status"/>
    <tableColumn id="9" name="Kommentar"/>
    <tableColumn id="10" name="Käl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aForslagTable" displayName="TaxaForslagTable" ref="A6:K7" headerRowCount="1">
  <autoFilter ref="A6:K7"/>
  <tableColumns count="11">
    <tableColumn id="1" name="Kommun"/>
    <tableColumn id="2" name="Paragraf"/>
    <tableColumn id="3" name="Taxapunkt"/>
    <tableColumn id="4" name="Variant"/>
    <tableColumn id="5" name="Enhet"/>
    <tableColumn id="6" name="Föreslagen taxekod"/>
    <tableColumn id="7" name="Föreslagen benämning"/>
    <tableColumn id="8" name="Källa"/>
    <tableColumn id="9" name="Säkerhet"/>
    <tableColumn id="10" name="Status"/>
    <tableColumn id="11" name="Komment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dpAvvikerStandardTable" displayName="EdpAvvikerStandardTable" ref="A6:L7" headerRowCount="1">
  <autoFilter ref="A6:L7"/>
  <tableColumns count="12">
    <tableColumn id="1" name="Kommun"/>
    <tableColumn id="2" name="EDP taxekod"/>
    <tableColumn id="3" name="EDP benämning"/>
    <tableColumn id="4" name="EDP faktor"/>
    <tableColumn id="5" name="EDP taxedel"/>
    <tableColumn id="6" name="Standard taxekod"/>
    <tableColumn id="7" name="Standard benämning"/>
    <tableColumn id="8" name="Standard faktor"/>
    <tableColumn id="9" name="Standard taxedel"/>
    <tableColumn id="10" name="Avvikelse"/>
    <tableColumn id="11" name="Rekommendation"/>
    <tableColumn id="12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gelsparningTable" displayName="RegelsparningTable" ref="A6:J7" headerRowCount="1">
  <autoFilter ref="A6:J7"/>
  <tableColumns count="10">
    <tableColumn id="1" name="Kommun"/>
    <tableColumn id="2" name="Paragraf"/>
    <tableColumn id="3" name="Taxapunkt"/>
    <tableColumn id="4" name="Fält"/>
    <tableColumn id="5" name="Värde"/>
    <tableColumn id="6" name="Ursprung"/>
    <tableColumn id="7" name="Regel"/>
    <tableColumn id="8" name="Källa"/>
    <tableColumn id="9" name="Status"/>
    <tableColumn id="10" name="Komment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xKnowledgeTable" displayName="TaxKnowledgeTable" ref="A5:M234" headerRowCount="1">
  <autoFilter ref="A5:M234"/>
  <tableColumns count="13">
    <tableColumn id="1" name="Paragraf"/>
    <tableColumn id="2" name="Taxapunkt"/>
    <tableColumn id="3" name="Variant"/>
    <tableColumn id="4" name="Enhet"/>
    <tableColumn id="5" name="Paragrafgrupp"/>
    <tableColumn id="6" name="Kategori"/>
    <tableColumn id="7" name="Avfallstyp"/>
    <tableColumn id="8" name="Enhetstyp"/>
    <tableColumn id="9" name="Behållarvolym liter"/>
    <tableColumn id="10" name="Faktorhint"/>
    <tableColumn id="11" name="Confidence"/>
    <tableColumn id="12" name="Keywords"/>
    <tableColumn id="1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8"/>
  <sheetViews>
    <sheetView tabSelected="1" workbookViewId="0">
      <selection activeCell="G253" sqref="G253"/>
    </sheetView>
  </sheetViews>
  <sheetFormatPr baseColWidth="8" defaultRowHeight="15"/>
  <cols>
    <col width="14" customWidth="1" min="1" max="1"/>
    <col width="57.5703125" customWidth="1" min="2" max="2"/>
    <col width="68.28515625" customWidth="1" min="3" max="3"/>
    <col width="34.28515625" customWidth="1" min="4" max="4"/>
    <col width="14" customWidth="1" min="5" max="5"/>
    <col width="18" customWidth="1" style="110" min="6" max="6"/>
    <col width="20" customWidth="1" style="110" min="7" max="7"/>
    <col width="34" customWidth="1" style="110" min="8" max="8"/>
    <col width="18" customWidth="1" style="110" min="9" max="11"/>
    <col width="12" customWidth="1" style="110" min="12" max="12"/>
    <col width="16" customWidth="1" style="110" min="13" max="13"/>
    <col width="18" customWidth="1" style="110" min="14" max="14"/>
    <col width="22" customWidth="1" min="15" max="15"/>
    <col width="48" customWidth="1" min="16" max="16"/>
    <col width="60" customWidth="1" min="17" max="17"/>
  </cols>
  <sheetData>
    <row r="1" ht="18.75" customHeight="1">
      <c r="A1" s="11" t="n"/>
      <c r="B1" s="89" t="inlineStr">
        <is>
          <t>XX kommuns avfallstaxa – fullständig kalkyl (intäkter)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1" t="n"/>
      <c r="M1" s="134" t="n"/>
      <c r="N1" s="135" t="n"/>
      <c r="O1" s="163" t="inlineStr">
        <is>
          <t>Beslutsstatus</t>
        </is>
      </c>
      <c r="P1" s="163" t="inlineStr">
        <is>
          <t>Beslutsregel</t>
        </is>
      </c>
      <c r="Q1" s="163" t="inlineStr">
        <is>
          <t>Beslutskommentar</t>
        </is>
      </c>
    </row>
    <row r="2">
      <c r="A2" s="12" t="n"/>
      <c r="B2" s="88" t="inlineStr">
        <is>
          <t>Matriser expanderas: en rad per (Taxapunkt × Variant). §6: Taxapunkt kompletteras med Avfallskod, UN-nummer blir Variant och Enhet tas från enhetskolumn.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7" t="n"/>
      <c r="M2" s="136" t="n"/>
      <c r="N2" s="137" t="n"/>
      <c r="O2" t="inlineStr">
        <is>
          <t>REVIEW_REQUIRED</t>
        </is>
      </c>
      <c r="P2" t="inlineStr">
        <is>
          <t>Bästa semantiska kandidat saknar taxekod</t>
        </is>
      </c>
      <c r="Q2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3">
      <c r="A3" s="12" t="n"/>
      <c r="B3" s="88" t="n"/>
      <c r="C3" s="88" t="n"/>
      <c r="D3" s="88" t="n"/>
      <c r="E3" s="88" t="n"/>
      <c r="F3" s="111" t="n"/>
      <c r="G3" s="111" t="n"/>
      <c r="H3" s="111" t="n"/>
      <c r="I3" s="111" t="n"/>
      <c r="J3" s="111" t="n"/>
      <c r="K3" s="111" t="n"/>
      <c r="L3" s="111" t="n"/>
      <c r="M3" s="136" t="n"/>
      <c r="N3" s="137" t="n"/>
      <c r="O3" t="inlineStr">
        <is>
          <t>REVIEW_REQUIRED</t>
        </is>
      </c>
      <c r="P3" t="inlineStr">
        <is>
          <t>Semantiska toppkandidater ligger för nära varandra</t>
        </is>
      </c>
      <c r="Q3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4">
      <c r="A4" s="12" t="n"/>
      <c r="B4" s="88" t="n"/>
      <c r="C4" s="88" t="n"/>
      <c r="D4" s="88" t="n"/>
      <c r="E4" s="88" t="n"/>
      <c r="F4" s="111" t="n"/>
      <c r="G4" s="111" t="n"/>
      <c r="H4" s="111" t="n"/>
      <c r="I4" s="111" t="n"/>
      <c r="J4" s="111" t="n"/>
      <c r="K4" s="111" t="n"/>
      <c r="L4" s="111" t="n"/>
      <c r="M4" s="136" t="n"/>
      <c r="N4" s="137" t="n"/>
      <c r="O4" t="inlineStr">
        <is>
          <t>REVIEW_REQUIRED</t>
        </is>
      </c>
      <c r="P4" t="inlineStr">
        <is>
          <t>Bästa semantiska kandidat saknar taxekod</t>
        </is>
      </c>
      <c r="Q4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5" ht="24" customHeight="1">
      <c r="A5" s="62" t="inlineStr">
        <is>
          <t>Paragraf</t>
        </is>
      </c>
      <c r="B5" s="63" t="inlineStr">
        <is>
          <t>Paragrafnamn</t>
        </is>
      </c>
      <c r="C5" s="63" t="inlineStr">
        <is>
          <t>Taxapunkt</t>
        </is>
      </c>
      <c r="D5" s="63" t="inlineStr">
        <is>
          <t>Variant</t>
        </is>
      </c>
      <c r="E5" s="63" t="inlineStr">
        <is>
          <t>Enhet</t>
        </is>
      </c>
      <c r="F5" s="105" t="inlineStr">
        <is>
          <t>Taxakod</t>
        </is>
      </c>
      <c r="G5" s="105" t="inlineStr">
        <is>
          <t>Föreslagen Taxa</t>
        </is>
      </c>
      <c r="H5" s="105" t="inlineStr">
        <is>
          <t>Taxabeskrivning</t>
        </is>
      </c>
      <c r="I5" s="105" t="inlineStr">
        <is>
          <t>Faktor</t>
        </is>
      </c>
      <c r="J5" s="105" t="inlineStr">
        <is>
          <t>Aktuellt pris (exkl m)</t>
        </is>
      </c>
      <c r="K5" s="105" t="inlineStr">
        <is>
          <t>Föreslaget pris</t>
        </is>
      </c>
      <c r="L5" s="105" t="inlineStr">
        <is>
          <t>Antal</t>
        </is>
      </c>
      <c r="M5" s="124" t="inlineStr">
        <is>
          <t>Pris kr (inkl.)</t>
        </is>
      </c>
      <c r="N5" s="125" t="inlineStr">
        <is>
          <t>Intäkt (kr) exkl</t>
        </is>
      </c>
      <c r="O5" t="inlineStr">
        <is>
          <t>REVIEW_REQUIRED</t>
        </is>
      </c>
      <c r="P5" t="inlineStr">
        <is>
          <t>Semantiska toppkandidater ligger för nära varandra</t>
        </is>
      </c>
      <c r="Q5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6" ht="21.95" customHeight="1">
      <c r="A6" s="97" t="inlineStr">
        <is>
          <t>§2 Avgifter och tjänster – en- och tvåbostadshus, fritidshus, verksamhet, lägenhet och anläggning</t>
        </is>
      </c>
      <c r="B6" s="84" t="n"/>
      <c r="C6" s="84" t="n"/>
      <c r="D6" s="84" t="n"/>
      <c r="E6" s="85" t="n"/>
      <c r="F6" s="138" t="n"/>
      <c r="G6" s="84" t="n"/>
      <c r="H6" s="84" t="n"/>
      <c r="I6" s="84" t="n"/>
      <c r="J6" s="85" t="n"/>
      <c r="K6" s="141" t="n"/>
      <c r="L6" s="141" t="n"/>
      <c r="M6" s="141" t="n"/>
      <c r="N6" s="142" t="n"/>
      <c r="O6" t="inlineStr">
        <is>
          <t>NEW_TAXA</t>
        </is>
      </c>
      <c r="P6" t="inlineStr">
        <is>
          <t>Ingen kandidat över granskningsgräns</t>
        </is>
      </c>
      <c r="Q6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7" ht="21.95" customHeight="1">
      <c r="A7" s="93" t="inlineStr">
        <is>
          <t>§2.1 Grundavgifter</t>
        </is>
      </c>
      <c r="B7" s="84" t="n"/>
      <c r="C7" s="84" t="n"/>
      <c r="D7" s="84" t="n"/>
      <c r="E7" s="85" t="n"/>
      <c r="F7" s="112" t="n"/>
      <c r="G7" s="120" t="n"/>
      <c r="H7" s="120" t="n"/>
      <c r="I7" s="120" t="n"/>
      <c r="J7" s="120" t="n"/>
      <c r="K7" s="120" t="n"/>
      <c r="L7" s="120" t="n"/>
      <c r="M7" s="120" t="n"/>
      <c r="N7" s="143" t="n"/>
      <c r="O7" t="inlineStr">
        <is>
          <t>NEW_TAXA</t>
        </is>
      </c>
      <c r="P7" t="inlineStr">
        <is>
          <t>Ingen kandidat över granskningsgräns</t>
        </is>
      </c>
      <c r="Q7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8" ht="21.95" customHeight="1">
      <c r="A8" s="83" t="inlineStr">
        <is>
          <t>§2.1.1 Grundavgifter</t>
        </is>
      </c>
      <c r="B8" s="84" t="n"/>
      <c r="C8" s="84" t="n"/>
      <c r="D8" s="84" t="n"/>
      <c r="E8" s="85" t="n"/>
      <c r="F8" s="113" t="n"/>
      <c r="G8" s="121" t="n"/>
      <c r="H8" s="121" t="n"/>
      <c r="I8" s="121" t="n"/>
      <c r="J8" s="121" t="n"/>
      <c r="K8" s="121" t="n"/>
      <c r="L8" s="121" t="n"/>
      <c r="M8" s="121" t="n"/>
      <c r="N8" s="144" t="n"/>
      <c r="O8" t="inlineStr">
        <is>
          <t>NEW_TAXA</t>
        </is>
      </c>
      <c r="P8" t="inlineStr">
        <is>
          <t>Ingen kandidat över granskningsgräns</t>
        </is>
      </c>
      <c r="Q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9">
      <c r="A9" s="68" t="inlineStr">
        <is>
          <t>§2.1</t>
        </is>
      </c>
      <c r="B9" s="68" t="inlineStr">
        <is>
          <t>Grundavgift</t>
        </is>
      </c>
      <c r="C9" s="68" t="inlineStr">
        <is>
          <t>En- och tvåbostadshus</t>
        </is>
      </c>
      <c r="D9" s="68" t="n"/>
      <c r="E9" s="68" t="inlineStr">
        <is>
          <t>st/år</t>
        </is>
      </c>
      <c r="F9" s="106" t="inlineStr">
        <is>
          <t>GRUNDPER</t>
        </is>
      </c>
      <c r="G9" s="116">
        <f>IF($F9&lt;&gt;"",$F9,IFERROR(_xlfn.XLOOKUP(ROW(),Taxa_Saknas!$H:$H,Taxa_Saknas!$G:$G),""))</f>
        <v/>
      </c>
      <c r="H9" s="126">
        <f>IF($F9&lt;&gt;"",IFERROR(_xlfn.XLOOKUP($F9,Taxa_från_edp!$B:$B,Taxa_från_edp!C:C),""),"")</f>
        <v/>
      </c>
      <c r="I9" s="127">
        <f>IF($F9&lt;&gt;"",IFERROR(_xlfn.XLOOKUP($F9,Taxa_från_edp!$B:$B,Taxa_från_edp!G:G),""),"")</f>
        <v/>
      </c>
      <c r="J9" s="127">
        <f>IF($F9&lt;&gt;"",IFERROR(_xlfn.XLOOKUP($F9,Taxa_från_edp!$B:$B,Taxa_från_edp!K:K),""),"")</f>
        <v/>
      </c>
      <c r="K9" s="145" t="n"/>
      <c r="L9" s="146" t="n"/>
      <c r="M9" s="147">
        <f>IFERROR(IF(J9&lt;&gt;"",J9*1.25,IF(K9&lt;&gt;"",K9*1.25,"")),"")</f>
        <v/>
      </c>
      <c r="N9" s="148">
        <f>IFERROR(IF(J9&lt;&gt;"",L9*J9,IF(K9&lt;&gt;"",L9*K9,"")),"")</f>
        <v/>
      </c>
      <c r="O9" t="inlineStr">
        <is>
          <t>REVIEW_REQUIRED</t>
        </is>
      </c>
      <c r="P9" t="inlineStr">
        <is>
          <t>Bästa semantiska kandidat saknar taxekod</t>
        </is>
      </c>
      <c r="Q9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10">
      <c r="A10" s="68" t="inlineStr">
        <is>
          <t>§2.1</t>
        </is>
      </c>
      <c r="B10" s="68" t="inlineStr">
        <is>
          <t>Grundavgift</t>
        </is>
      </c>
      <c r="C10" s="68" t="inlineStr">
        <is>
          <t>Fritidshus</t>
        </is>
      </c>
      <c r="D10" s="68" t="n"/>
      <c r="E10" s="68" t="inlineStr">
        <is>
          <t>st/år</t>
        </is>
      </c>
      <c r="F10" s="106" t="inlineStr">
        <is>
          <t>GRUNDFRI</t>
        </is>
      </c>
      <c r="G10" s="116">
        <f>IF($F10&lt;&gt;"",$F10,IFERROR(_xlfn.XLOOKUP(ROW(),Taxa_Saknas!$H:$H,Taxa_Saknas!$G:$G),""))</f>
        <v/>
      </c>
      <c r="H10" s="126">
        <f>IF($F10&lt;&gt;"",IFERROR(_xlfn.XLOOKUP($F10,Taxa_från_edp!$B:$B,Taxa_från_edp!C:C),""),"")</f>
        <v/>
      </c>
      <c r="I10" s="127">
        <f>IF($F10&lt;&gt;"",IFERROR(_xlfn.XLOOKUP($F10,Taxa_från_edp!$B:$B,Taxa_från_edp!G:G),""),"")</f>
        <v/>
      </c>
      <c r="J10" s="127">
        <f>IF($F10&lt;&gt;"",IFERROR(_xlfn.XLOOKUP($F10,Taxa_från_edp!$B:$B,Taxa_från_edp!K:K),""),"")</f>
        <v/>
      </c>
      <c r="K10" s="145" t="n"/>
      <c r="L10" s="146" t="n"/>
      <c r="M10" s="147">
        <f>IFERROR(IF(J10&lt;&gt;"",J10*1.25,IF(K10&lt;&gt;"",K10*1.25,"")),"")</f>
        <v/>
      </c>
      <c r="N10" s="148">
        <f>IFERROR(IF(J10&lt;&gt;"",L10*J10,IF(K10&lt;&gt;"",L10*K10,"")),"")</f>
        <v/>
      </c>
      <c r="O10" t="inlineStr">
        <is>
          <t>REVIEW_REQUIRED</t>
        </is>
      </c>
      <c r="P10" t="inlineStr">
        <is>
          <t>Bästa semantiska kandidat saknar taxekod</t>
        </is>
      </c>
      <c r="Q10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11">
      <c r="A11" s="68" t="inlineStr">
        <is>
          <t>§2.1</t>
        </is>
      </c>
      <c r="B11" s="68" t="inlineStr">
        <is>
          <t>Grundavgift</t>
        </is>
      </c>
      <c r="C11" s="68" t="inlineStr">
        <is>
          <t>Verksamhet</t>
        </is>
      </c>
      <c r="D11" s="68" t="n"/>
      <c r="E11" s="68" t="inlineStr">
        <is>
          <t>st/år</t>
        </is>
      </c>
      <c r="F11" s="106" t="inlineStr">
        <is>
          <t>GRUNDLÄG</t>
        </is>
      </c>
      <c r="G11" s="116">
        <f>IF($F11&lt;&gt;"",$F11,IFERROR(_xlfn.XLOOKUP(ROW(),Taxa_Saknas!$H:$H,Taxa_Saknas!$G:$G),""))</f>
        <v/>
      </c>
      <c r="H11" s="126">
        <f>IF($F11&lt;&gt;"",IFERROR(_xlfn.XLOOKUP($F11,Taxa_från_edp!$B:$B,Taxa_från_edp!C:C),""),"")</f>
        <v/>
      </c>
      <c r="I11" s="127">
        <f>IF($F11&lt;&gt;"",IFERROR(_xlfn.XLOOKUP($F11,Taxa_från_edp!$B:$B,Taxa_från_edp!G:G),""),"")</f>
        <v/>
      </c>
      <c r="J11" s="127">
        <f>IF($F11&lt;&gt;"",IFERROR(_xlfn.XLOOKUP($F11,Taxa_från_edp!$B:$B,Taxa_från_edp!K:K),""),"")</f>
        <v/>
      </c>
      <c r="K11" s="145" t="n"/>
      <c r="L11" s="146" t="n"/>
      <c r="M11" s="147">
        <f>IFERROR(IF(J11&lt;&gt;"",J11*1.25,IF(K11&lt;&gt;"",K11*1.25,"")),"")</f>
        <v/>
      </c>
      <c r="N11" s="148">
        <f>IFERROR(IF(J11&lt;&gt;"",L11*J11,IF(K11&lt;&gt;"",L11*K11,"")),"")</f>
        <v/>
      </c>
      <c r="O11" t="inlineStr">
        <is>
          <t>REVIEW_REQUIRED</t>
        </is>
      </c>
      <c r="P11" t="inlineStr">
        <is>
          <t>Bästa semantiska kandidat saknar taxekod</t>
        </is>
      </c>
      <c r="Q1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12" ht="30" customHeight="1">
      <c r="A12" s="68" t="inlineStr">
        <is>
          <t>§2.1</t>
        </is>
      </c>
      <c r="B12" s="68" t="inlineStr">
        <is>
          <t>Grundavgift</t>
        </is>
      </c>
      <c r="C12" s="68" t="inlineStr">
        <is>
          <t>Lägenhet i flerbostadshus</t>
        </is>
      </c>
      <c r="D12" s="68" t="n"/>
      <c r="E12" s="68" t="inlineStr">
        <is>
          <t>st/år</t>
        </is>
      </c>
      <c r="F12" s="106" t="inlineStr">
        <is>
          <t>GRUNDFLB</t>
        </is>
      </c>
      <c r="G12" s="116">
        <f>IF($F12&lt;&gt;"",$F12,IFERROR(_xlfn.XLOOKUP(ROW(),Taxa_Saknas!$H:$H,Taxa_Saknas!$G:$G),""))</f>
        <v/>
      </c>
      <c r="H12" s="126">
        <f>IF($F12&lt;&gt;"",IFERROR(_xlfn.XLOOKUP($F12,Taxa_från_edp!$B:$B,Taxa_från_edp!C:C),""),"")</f>
        <v/>
      </c>
      <c r="I12" s="127">
        <f>IF($F12&lt;&gt;"",IFERROR(_xlfn.XLOOKUP($F12,Taxa_från_edp!$B:$B,Taxa_från_edp!G:G),""),"")</f>
        <v/>
      </c>
      <c r="J12" s="127">
        <f>IF($F12&lt;&gt;"",IFERROR(_xlfn.XLOOKUP($F12,Taxa_från_edp!$B:$B,Taxa_från_edp!K:K),""),"")</f>
        <v/>
      </c>
      <c r="K12" s="145" t="n"/>
      <c r="L12" s="146" t="n"/>
      <c r="M12" s="147">
        <f>IFERROR(IF(J12&lt;&gt;"",J12*1.25,IF(K12&lt;&gt;"",K12*1.25,"")),"")</f>
        <v/>
      </c>
      <c r="N12" s="148">
        <f>IFERROR(IF(J12&lt;&gt;"",L12*J12,IF(K12&lt;&gt;"",L12*K12,"")),"")</f>
        <v/>
      </c>
      <c r="O12" t="inlineStr">
        <is>
          <t>REVIEW_REQUIRED</t>
        </is>
      </c>
      <c r="P12" t="inlineStr">
        <is>
          <t>Bästa semantiska kandidat saknar taxekod</t>
        </is>
      </c>
      <c r="Q1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13">
      <c r="A13" s="68" t="inlineStr">
        <is>
          <t>§2.1</t>
        </is>
      </c>
      <c r="B13" s="68" t="inlineStr">
        <is>
          <t>Grundavgift</t>
        </is>
      </c>
      <c r="C13" s="68" t="inlineStr">
        <is>
          <t>Lägenhet för specialändamål</t>
        </is>
      </c>
      <c r="D13" s="68" t="n"/>
      <c r="E13" s="68" t="inlineStr">
        <is>
          <t>st/år</t>
        </is>
      </c>
      <c r="F13" s="106" t="n"/>
      <c r="G13" s="116" t="n"/>
      <c r="H13" s="126">
        <f>IF($F13&lt;&gt;"",IFERROR(_xlfn.XLOOKUP($F13,Taxa_från_edp!$B:$B,Taxa_från_edp!C:C),""),"")</f>
        <v/>
      </c>
      <c r="I13" s="127">
        <f>IF($F13&lt;&gt;"",IFERROR(_xlfn.XLOOKUP($F13,Taxa_från_edp!$B:$B,Taxa_från_edp!G:G),""),"")</f>
        <v/>
      </c>
      <c r="J13" s="127">
        <f>IF($F13&lt;&gt;"",IFERROR(_xlfn.XLOOKUP($F13,Taxa_från_edp!$B:$B,Taxa_från_edp!K:K),""),"")</f>
        <v/>
      </c>
      <c r="K13" s="145" t="n"/>
      <c r="L13" s="146" t="n"/>
      <c r="M13" s="147">
        <f>IFERROR(IF(J13&lt;&gt;"",J13*1.25,IF(K13&lt;&gt;"",K13*1.25,"")),"")</f>
        <v/>
      </c>
      <c r="N13" s="148">
        <f>IFERROR(IF(J13&lt;&gt;"",L13*J13,IF(K13&lt;&gt;"",L13*K13,"")),"")</f>
        <v/>
      </c>
      <c r="O13" t="inlineStr">
        <is>
          <t>REVIEW_REQUIRED</t>
        </is>
      </c>
      <c r="P13" t="inlineStr">
        <is>
          <t>Bästa semantiska kandidat saknar taxekod</t>
        </is>
      </c>
      <c r="Q1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14">
      <c r="A14" s="68" t="inlineStr">
        <is>
          <t>§2.1</t>
        </is>
      </c>
      <c r="B14" s="68" t="inlineStr">
        <is>
          <t>Grundavgift</t>
        </is>
      </c>
      <c r="C14" s="68" t="inlineStr">
        <is>
          <t>Anläggning</t>
        </is>
      </c>
      <c r="D14" s="68" t="n"/>
      <c r="E14" s="68" t="inlineStr">
        <is>
          <t>st/år</t>
        </is>
      </c>
      <c r="F14" s="106" t="n"/>
      <c r="G14" s="116" t="n"/>
      <c r="H14" s="126">
        <f>IF($F14&lt;&gt;"",IFERROR(_xlfn.XLOOKUP($F14,Taxa_från_edp!$B:$B,Taxa_från_edp!C:C),""),"")</f>
        <v/>
      </c>
      <c r="I14" s="127">
        <f>IF($F14&lt;&gt;"",IFERROR(_xlfn.XLOOKUP($F14,Taxa_från_edp!$B:$B,Taxa_från_edp!G:G),""),"")</f>
        <v/>
      </c>
      <c r="J14" s="127">
        <f>IF($F14&lt;&gt;"",IFERROR(_xlfn.XLOOKUP($F14,Taxa_från_edp!$B:$B,Taxa_från_edp!K:K),""),"")</f>
        <v/>
      </c>
      <c r="K14" s="145" t="n"/>
      <c r="L14" s="146" t="n"/>
      <c r="M14" s="147">
        <f>IFERROR(IF(J14&lt;&gt;"",J14*1.25,IF(K14&lt;&gt;"",K14*1.25,"")),"")</f>
        <v/>
      </c>
      <c r="N14" s="148">
        <f>IFERROR(IF(J14&lt;&gt;"",L14*J14,IF(K14&lt;&gt;"",L14*K14,"")),"")</f>
        <v/>
      </c>
      <c r="O14" t="inlineStr">
        <is>
          <t>REVIEW_REQUIRED</t>
        </is>
      </c>
      <c r="P14" t="inlineStr">
        <is>
          <t>Bästa semantiska kandidat saknar taxekod</t>
        </is>
      </c>
      <c r="Q1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15">
      <c r="A15" s="68" t="inlineStr">
        <is>
          <t>§2.1</t>
        </is>
      </c>
      <c r="B15" s="68" t="inlineStr">
        <is>
          <t>Grundavgift</t>
        </is>
      </c>
      <c r="C15" s="68" t="inlineStr">
        <is>
          <t>Säsongsbaserad uppställningsplats</t>
        </is>
      </c>
      <c r="D15" s="68" t="n"/>
      <c r="E15" s="68" t="inlineStr">
        <is>
          <t>st/år</t>
        </is>
      </c>
      <c r="F15" s="106" t="n"/>
      <c r="G15" s="116" t="n"/>
      <c r="H15" s="126">
        <f>IF($F15&lt;&gt;"",IFERROR(_xlfn.XLOOKUP($F15,Taxa_från_edp!$B:$B,Taxa_från_edp!C:C),""),"")</f>
        <v/>
      </c>
      <c r="I15" s="127">
        <f>IF($F15&lt;&gt;"",IFERROR(_xlfn.XLOOKUP($F15,Taxa_från_edp!$B:$B,Taxa_från_edp!G:G),""),"")</f>
        <v/>
      </c>
      <c r="J15" s="127">
        <f>IF($F15&lt;&gt;"",IFERROR(_xlfn.XLOOKUP($F15,Taxa_från_edp!$B:$B,Taxa_från_edp!K:K),""),"")</f>
        <v/>
      </c>
      <c r="K15" s="145" t="n"/>
      <c r="L15" s="146" t="n"/>
      <c r="M15" s="147">
        <f>IFERROR(IF(J15&lt;&gt;"",J15*1.25,IF(K15&lt;&gt;"",K15*1.25,"")),"")</f>
        <v/>
      </c>
      <c r="N15" s="148">
        <f>IFERROR(IF(J15&lt;&gt;"",L15*J15,IF(K15&lt;&gt;"",L15*K15,"")),"")</f>
        <v/>
      </c>
      <c r="O15" t="inlineStr">
        <is>
          <t>REVIEW_REQUIRED</t>
        </is>
      </c>
      <c r="P15" t="inlineStr">
        <is>
          <t>Bästa semantiska kandidat saknar taxekod</t>
        </is>
      </c>
      <c r="Q15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16">
      <c r="A16" s="68" t="inlineStr">
        <is>
          <t>§2.1</t>
        </is>
      </c>
      <c r="B16" s="68" t="inlineStr">
        <is>
          <t>Grundavgift</t>
        </is>
      </c>
      <c r="C16" s="68" t="inlineStr">
        <is>
          <t>Campingstuga/-lägenhet</t>
        </is>
      </c>
      <c r="D16" s="68" t="n"/>
      <c r="E16" s="68" t="inlineStr">
        <is>
          <t>st/år</t>
        </is>
      </c>
      <c r="F16" s="106" t="n"/>
      <c r="G16" s="116" t="n"/>
      <c r="H16" s="126">
        <f>IF($F16&lt;&gt;"",IFERROR(_xlfn.XLOOKUP($F16,Taxa_från_edp!$B:$B,Taxa_från_edp!C:C),""),"")</f>
        <v/>
      </c>
      <c r="I16" s="127">
        <f>IF($F16&lt;&gt;"",IFERROR(_xlfn.XLOOKUP($F16,Taxa_från_edp!$B:$B,Taxa_från_edp!G:G),""),"")</f>
        <v/>
      </c>
      <c r="J16" s="127">
        <f>IF($F16&lt;&gt;"",IFERROR(_xlfn.XLOOKUP($F16,Taxa_från_edp!$B:$B,Taxa_från_edp!K:K),""),"")</f>
        <v/>
      </c>
      <c r="K16" s="145" t="n"/>
      <c r="L16" s="146" t="n"/>
      <c r="M16" s="147">
        <f>IFERROR(IF(J16&lt;&gt;"",J16*1.25,IF(K16&lt;&gt;"",K16*1.25,"")),"")</f>
        <v/>
      </c>
      <c r="N16" s="148">
        <f>IFERROR(IF(J16&lt;&gt;"",L16*J16,IF(K16&lt;&gt;"",L16*K16,"")),"")</f>
        <v/>
      </c>
      <c r="O16" t="inlineStr">
        <is>
          <t>REVIEW_REQUIRED</t>
        </is>
      </c>
      <c r="P16" t="inlineStr">
        <is>
          <t>Bästa semantiska kandidat saknar taxekod</t>
        </is>
      </c>
      <c r="Q16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17" ht="45" customHeight="1">
      <c r="A17" s="68" t="inlineStr">
        <is>
          <t>§2.1</t>
        </is>
      </c>
      <c r="B17" s="68" t="inlineStr">
        <is>
          <t>Grundavgift</t>
        </is>
      </c>
      <c r="C17" s="69" t="inlineStr">
        <is>
          <t>Administrativ avgift vid beviljad dispens om uppehåll i hämtning eller eget omhändertagande av avfall under kommunalt ansvar</t>
        </is>
      </c>
      <c r="D17" s="68" t="n"/>
      <c r="E17" s="68" t="inlineStr">
        <is>
          <t>st/år</t>
        </is>
      </c>
      <c r="F17" s="106" t="n"/>
      <c r="G17" s="116" t="n"/>
      <c r="H17" s="126">
        <f>IF($F17&lt;&gt;"",IFERROR(_xlfn.XLOOKUP($F17,Taxa_från_edp!$B:$B,Taxa_från_edp!C:C),""),"")</f>
        <v/>
      </c>
      <c r="I17" s="127">
        <f>IF($F17&lt;&gt;"",IFERROR(_xlfn.XLOOKUP($F17,Taxa_från_edp!$B:$B,Taxa_från_edp!G:G),""),"")</f>
        <v/>
      </c>
      <c r="J17" s="127">
        <f>IF($F17&lt;&gt;"",IFERROR(_xlfn.XLOOKUP($F17,Taxa_från_edp!$B:$B,Taxa_från_edp!K:K),""),"")</f>
        <v/>
      </c>
      <c r="K17" s="145" t="n"/>
      <c r="L17" s="146" t="n"/>
      <c r="M17" s="147">
        <f>IFERROR(IF(J17&lt;&gt;"",J17*1.25,IF(K17&lt;&gt;"",K17*1.25,"")),"")</f>
        <v/>
      </c>
      <c r="N17" s="148">
        <f>IFERROR(IF(J17&lt;&gt;"",L17*J17,IF(K17&lt;&gt;"",L17*K17,"")),"")</f>
        <v/>
      </c>
      <c r="O17" t="inlineStr">
        <is>
          <t>REVIEW_REQUIRED</t>
        </is>
      </c>
      <c r="P17" t="inlineStr">
        <is>
          <t>Bästa semantiska kandidat saknar taxekod</t>
        </is>
      </c>
      <c r="Q17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18" ht="21.95" customHeight="1">
      <c r="A18" s="93" t="inlineStr">
        <is>
          <t>§2.2 Årlig hämtningsavgift per abonnemangstyp</t>
        </is>
      </c>
      <c r="B18" s="84" t="n"/>
      <c r="C18" s="84" t="n"/>
      <c r="D18" s="84" t="n"/>
      <c r="E18" s="85" t="n"/>
      <c r="F18" s="112" t="n"/>
      <c r="G18" s="120">
        <f>IF($F18&lt;&gt;"",$F18,IFERROR(_xlfn.XLOOKUP(ROW(),Taxa_Saknas!$H:$H,Taxa_Saknas!$G:$G),""))</f>
        <v/>
      </c>
      <c r="H18" s="120">
        <f>IF($F18&lt;&gt;"",IFERROR(_xlfn.XLOOKUP($F18,Taxa_från_edp!$B:$B,Taxa_från_edp!C:C),""),"")</f>
        <v/>
      </c>
      <c r="I18" s="120">
        <f>IF($F18&lt;&gt;"",IFERROR(_xlfn.XLOOKUP($F18,Taxa_från_edp!$B:$B,Taxa_från_edp!G:G),""),"")</f>
        <v/>
      </c>
      <c r="J18" s="120">
        <f>IF($F18&lt;&gt;"",IFERROR(_xlfn.XLOOKUP($F18,Taxa_från_edp!$B:$B,Taxa_från_edp!K:K),""),"")</f>
        <v/>
      </c>
      <c r="K18" s="120" t="n"/>
      <c r="L18" s="120" t="n"/>
      <c r="M18" s="120">
        <f>IFERROR(IF(J18&lt;&gt;"",J18*1.25,IF(K18&lt;&gt;"",K18*1.25,"")),"")</f>
        <v/>
      </c>
      <c r="N18" s="143">
        <f>IFERROR(IF(J18&lt;&gt;"",L18*J18,IF(K18&lt;&gt;"",L18*K18,"")),"")</f>
        <v/>
      </c>
      <c r="O18" t="inlineStr">
        <is>
          <t>NEW_TAXA</t>
        </is>
      </c>
      <c r="P18" t="inlineStr">
        <is>
          <t>Ingen kandidat över granskningsgräns</t>
        </is>
      </c>
      <c r="Q18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19" ht="21.95" customHeight="1">
      <c r="A19" s="83" t="inlineStr">
        <is>
          <t>§2.2.1 Hämtningsavgift per år för en- och tvåbostadshus</t>
        </is>
      </c>
      <c r="B19" s="84" t="n"/>
      <c r="C19" s="84" t="n"/>
      <c r="D19" s="84" t="n"/>
      <c r="E19" s="85" t="n"/>
      <c r="F19" s="114" t="n"/>
      <c r="G19" s="122">
        <f>IF($F19&lt;&gt;"",$F19,IFERROR(_xlfn.XLOOKUP(ROW(),Taxa_Saknas!$H:$H,Taxa_Saknas!$G:$G),""))</f>
        <v/>
      </c>
      <c r="H19" s="122">
        <f>IF($F19&lt;&gt;"",IFERROR(_xlfn.XLOOKUP($F19,Taxa_från_edp!$B:$B,Taxa_från_edp!C:C),""),"")</f>
        <v/>
      </c>
      <c r="I19" s="149">
        <f>IF($F19&lt;&gt;"",IFERROR(_xlfn.XLOOKUP($F19,Taxa_från_edp!$B:$B,Taxa_från_edp!G:G),""),"")</f>
        <v/>
      </c>
      <c r="J19" s="149">
        <f>IF($F19&lt;&gt;"",IFERROR(_xlfn.XLOOKUP($F19,Taxa_från_edp!$B:$B,Taxa_från_edp!K:K),""),"")</f>
        <v/>
      </c>
      <c r="K19" s="149" t="n"/>
      <c r="L19" s="149" t="n"/>
      <c r="M19" s="121">
        <f>IFERROR(IF(J19&lt;&gt;"",J19*1.25,IF(K19&lt;&gt;"",K19*1.25,"")),"")</f>
        <v/>
      </c>
      <c r="N19" s="144">
        <f>IFERROR(IF(J19&lt;&gt;"",L19*J19,IF(K19&lt;&gt;"",L19*K19,"")),"")</f>
        <v/>
      </c>
      <c r="O19" t="inlineStr">
        <is>
          <t>REVIEW_REQUIRED</t>
        </is>
      </c>
      <c r="P19" t="inlineStr">
        <is>
          <t>Bästa semantiska kandidat saknar taxekod</t>
        </is>
      </c>
      <c r="Q19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0" ht="30" customHeight="1">
      <c r="A20" s="68" t="inlineStr">
        <is>
          <t>§2.2.1</t>
        </is>
      </c>
      <c r="B20" s="68" t="inlineStr">
        <is>
          <t>Hämtningsavgift per år för en- och tvåbostadshus</t>
        </is>
      </c>
      <c r="C20" s="68" t="inlineStr">
        <is>
          <t>Kärl 240 l (mat-/restavfall)</t>
        </is>
      </c>
      <c r="D20" s="68" t="inlineStr">
        <is>
          <t>Hämtning var 14:e dag</t>
        </is>
      </c>
      <c r="E20" s="68" t="inlineStr">
        <is>
          <t>st/år</t>
        </is>
      </c>
      <c r="F20" s="106" t="inlineStr">
        <is>
          <t>KÄ240RM26</t>
        </is>
      </c>
      <c r="G20" s="116">
        <f>IF($F20&lt;&gt;"",$F20,IFERROR(_xlfn.XLOOKUP(ROW(),Taxa_Saknas!$H:$H,Taxa_Saknas!$G:$G),""))</f>
        <v/>
      </c>
      <c r="H20" s="126">
        <f>IF($F20&lt;&gt;"",IFERROR(_xlfn.XLOOKUP($F20,Taxa_från_edp!$B:$B,Taxa_från_edp!C:C),""),"")</f>
        <v/>
      </c>
      <c r="I20" s="127">
        <f>IF($F20&lt;&gt;"",IFERROR(_xlfn.XLOOKUP($F20,Taxa_från_edp!$B:$B,Taxa_från_edp!G:G),""),"")</f>
        <v/>
      </c>
      <c r="J20" s="127">
        <f>IF($F20&lt;&gt;"",IFERROR(_xlfn.XLOOKUP($F20,Taxa_från_edp!$B:$B,Taxa_från_edp!K:K),""),"")</f>
        <v/>
      </c>
      <c r="K20" s="145" t="n"/>
      <c r="L20" s="146" t="n"/>
      <c r="M20" s="147">
        <f>IFERROR(IF(J20&lt;&gt;"",J20*1.25,IF(K20&lt;&gt;"",K20*1.25,"")),"")</f>
        <v/>
      </c>
      <c r="N20" s="148">
        <f>IFERROR(IF(J20&lt;&gt;"",L20*J20,IF(K20&lt;&gt;"",L20*K20,"")),"")</f>
        <v/>
      </c>
      <c r="O20" t="inlineStr">
        <is>
          <t>REVIEW_REQUIRED</t>
        </is>
      </c>
      <c r="P20" t="inlineStr">
        <is>
          <t>Bästa semantiska kandidat saknar taxekod</t>
        </is>
      </c>
      <c r="Q2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1" ht="30" customHeight="1">
      <c r="A21" s="68" t="inlineStr">
        <is>
          <t>§2.2.1</t>
        </is>
      </c>
      <c r="B21" s="68" t="inlineStr">
        <is>
          <t>Hämtningsavgift per år för en- och tvåbostadshus</t>
        </is>
      </c>
      <c r="C21" s="68" t="inlineStr">
        <is>
          <t>Kärl 240 l (mat-/restavfall)</t>
        </is>
      </c>
      <c r="D21" s="68" t="inlineStr">
        <is>
          <t>Hämtning månadsvis</t>
        </is>
      </c>
      <c r="E21" s="68" t="inlineStr">
        <is>
          <t>st/år</t>
        </is>
      </c>
      <c r="F21" s="106" t="n"/>
      <c r="G21" s="116" t="n"/>
      <c r="H21" s="126">
        <f>IF($F21&lt;&gt;"",IFERROR(_xlfn.XLOOKUP($F21,Taxa_från_edp!$B:$B,Taxa_från_edp!C:C),""),"")</f>
        <v/>
      </c>
      <c r="I21" s="127">
        <f>IF($F21&lt;&gt;"",IFERROR(_xlfn.XLOOKUP($F21,Taxa_från_edp!$B:$B,Taxa_från_edp!G:G),""),"")</f>
        <v/>
      </c>
      <c r="J21" s="127">
        <f>IF($F21&lt;&gt;"",IFERROR(_xlfn.XLOOKUP($F21,Taxa_från_edp!$B:$B,Taxa_från_edp!K:K),""),"")</f>
        <v/>
      </c>
      <c r="K21" s="145" t="n"/>
      <c r="L21" s="146" t="n"/>
      <c r="M21" s="147">
        <f>IFERROR(IF(J21&lt;&gt;"",J21*1.25,IF(K21&lt;&gt;"",K21*1.25,"")),"")</f>
        <v/>
      </c>
      <c r="N21" s="148">
        <f>IFERROR(IF(J21&lt;&gt;"",L21*J21,IF(K21&lt;&gt;"",L21*K21,"")),"")</f>
        <v/>
      </c>
      <c r="O21" t="inlineStr">
        <is>
          <t>REVIEW_REQUIRED</t>
        </is>
      </c>
      <c r="P21" t="inlineStr">
        <is>
          <t>Bästa semantiska kandidat saknar taxekod</t>
        </is>
      </c>
      <c r="Q2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2" ht="30" customHeight="1">
      <c r="A22" s="68" t="inlineStr">
        <is>
          <t>§2.2.1</t>
        </is>
      </c>
      <c r="B22" s="68" t="inlineStr">
        <is>
          <t>Hämtningsavgift per år för en- och tvåbostadshus</t>
        </is>
      </c>
      <c r="C22" s="68" t="inlineStr">
        <is>
          <t>Extrakärl 190 l (restavfall)</t>
        </is>
      </c>
      <c r="D22" s="68" t="inlineStr">
        <is>
          <t>Hämtning var 14:e dag</t>
        </is>
      </c>
      <c r="E22" s="68" t="inlineStr">
        <is>
          <t>st/år</t>
        </is>
      </c>
      <c r="F22" s="106" t="inlineStr">
        <is>
          <t>KÄ190XRM26</t>
        </is>
      </c>
      <c r="G22" s="116">
        <f>IF($F22&lt;&gt;"",$F22,IFERROR(_xlfn.XLOOKUP(ROW(),Taxa_Saknas!$H:$H,Taxa_Saknas!$G:$G),""))</f>
        <v/>
      </c>
      <c r="H22" s="126">
        <f>IF($F22&lt;&gt;"",IFERROR(_xlfn.XLOOKUP($F22,Taxa_från_edp!$B:$B,Taxa_från_edp!C:C),""),"")</f>
        <v/>
      </c>
      <c r="I22" s="127">
        <f>IF($F22&lt;&gt;"",IFERROR(_xlfn.XLOOKUP($F22,Taxa_från_edp!$B:$B,Taxa_från_edp!G:G),""),"")</f>
        <v/>
      </c>
      <c r="J22" s="127">
        <f>IF($F22&lt;&gt;"",IFERROR(_xlfn.XLOOKUP($F22,Taxa_från_edp!$B:$B,Taxa_från_edp!K:K),""),"")</f>
        <v/>
      </c>
      <c r="K22" s="145" t="n"/>
      <c r="L22" s="146" t="n"/>
      <c r="M22" s="147">
        <f>IFERROR(IF(J22&lt;&gt;"",J22*1.25,IF(K22&lt;&gt;"",K22*1.25,"")),"")</f>
        <v/>
      </c>
      <c r="N22" s="148">
        <f>IFERROR(IF(J22&lt;&gt;"",L22*J22,IF(K22&lt;&gt;"",L22*K22,"")),"")</f>
        <v/>
      </c>
      <c r="O22" t="inlineStr">
        <is>
          <t>REVIEW_REQUIRED</t>
        </is>
      </c>
      <c r="P22" t="inlineStr">
        <is>
          <t>Bästa semantiska kandidat saknar taxekod</t>
        </is>
      </c>
      <c r="Q2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3" ht="30" customHeight="1">
      <c r="A23" s="68" t="inlineStr">
        <is>
          <t>§2.2.1</t>
        </is>
      </c>
      <c r="B23" s="68" t="inlineStr">
        <is>
          <t>Hämtningsavgift per år för en- och tvåbostadshus</t>
        </is>
      </c>
      <c r="C23" s="68" t="inlineStr">
        <is>
          <t>Extrakärl 190 l (restavfall)</t>
        </is>
      </c>
      <c r="D23" s="68" t="inlineStr">
        <is>
          <t>Hämtning månadsvis</t>
        </is>
      </c>
      <c r="E23" s="68" t="inlineStr">
        <is>
          <t>st/år</t>
        </is>
      </c>
      <c r="F23" s="106" t="n"/>
      <c r="G23" s="116" t="n"/>
      <c r="H23" s="126">
        <f>IF($F23&lt;&gt;"",IFERROR(_xlfn.XLOOKUP($F23,Taxa_från_edp!$B:$B,Taxa_från_edp!C:C),""),"")</f>
        <v/>
      </c>
      <c r="I23" s="127">
        <f>IF($F23&lt;&gt;"",IFERROR(_xlfn.XLOOKUP($F23,Taxa_från_edp!$B:$B,Taxa_från_edp!G:G),""),"")</f>
        <v/>
      </c>
      <c r="J23" s="127">
        <f>IF($F23&lt;&gt;"",IFERROR(_xlfn.XLOOKUP($F23,Taxa_från_edp!$B:$B,Taxa_från_edp!K:K),""),"")</f>
        <v/>
      </c>
      <c r="K23" s="145" t="n"/>
      <c r="L23" s="146" t="n"/>
      <c r="M23" s="147">
        <f>IFERROR(IF(J23&lt;&gt;"",J23*1.25,IF(K23&lt;&gt;"",K23*1.25,"")),"")</f>
        <v/>
      </c>
      <c r="N23" s="148">
        <f>IFERROR(IF(J23&lt;&gt;"",L23*J23,IF(K23&lt;&gt;"",L23*K23,"")),"")</f>
        <v/>
      </c>
      <c r="O23" t="inlineStr">
        <is>
          <t>REVIEW_REQUIRED</t>
        </is>
      </c>
      <c r="P23" t="inlineStr">
        <is>
          <t>Bästa semantiska kandidat saknar taxekod</t>
        </is>
      </c>
      <c r="Q2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4" ht="30" customHeight="1">
      <c r="A24" s="68" t="inlineStr">
        <is>
          <t>§2.2.1</t>
        </is>
      </c>
      <c r="B24" s="68" t="inlineStr">
        <is>
          <t>Hämtningsavgift per år för en- och tvåbostadshus</t>
        </is>
      </c>
      <c r="C24" s="68" t="inlineStr">
        <is>
          <t>Kärl 370 l (papper-/plastförpackningar)</t>
        </is>
      </c>
      <c r="D24" s="68" t="inlineStr">
        <is>
          <t>Kostnadsfritt</t>
        </is>
      </c>
      <c r="E24" s="68" t="inlineStr">
        <is>
          <t>st/år</t>
        </is>
      </c>
      <c r="F24" s="106" t="n"/>
      <c r="G24" s="116" t="n"/>
      <c r="H24" s="126">
        <f>IF($F24&lt;&gt;"",IFERROR(_xlfn.XLOOKUP($F24,Taxa_från_edp!$B:$B,Taxa_från_edp!C:C),""),"")</f>
        <v/>
      </c>
      <c r="I24" s="127">
        <f>IF($F24&lt;&gt;"",IFERROR(_xlfn.XLOOKUP($F24,Taxa_från_edp!$B:$B,Taxa_från_edp!G:G),""),"")</f>
        <v/>
      </c>
      <c r="J24" s="127">
        <f>IF($F24&lt;&gt;"",IFERROR(_xlfn.XLOOKUP($F24,Taxa_från_edp!$B:$B,Taxa_från_edp!K:K),""),"")</f>
        <v/>
      </c>
      <c r="K24" s="145" t="n"/>
      <c r="L24" s="146" t="n"/>
      <c r="M24" s="147">
        <f>IFERROR(IF(J24&lt;&gt;"",J24*1.25,IF(K24&lt;&gt;"",K24*1.25,"")),"")</f>
        <v/>
      </c>
      <c r="N24" s="148">
        <f>IFERROR(IF(J24&lt;&gt;"",L24*J24,IF(K24&lt;&gt;"",L24*K24,"")),"")</f>
        <v/>
      </c>
      <c r="O24" t="inlineStr">
        <is>
          <t>REVIEW_REQUIRED</t>
        </is>
      </c>
      <c r="P24" t="inlineStr">
        <is>
          <t>Bästa semantiska kandidat saknar taxekod</t>
        </is>
      </c>
      <c r="Q2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5" ht="21.95" customHeight="1">
      <c r="A25" s="83" t="inlineStr">
        <is>
          <t>§2.2.2 Hämtningsavgift per år för fritidshus inom hämtningsområde X</t>
        </is>
      </c>
      <c r="B25" s="84" t="n"/>
      <c r="C25" s="84" t="n"/>
      <c r="D25" s="84" t="n"/>
      <c r="E25" s="85" t="n"/>
      <c r="F25" s="114" t="n"/>
      <c r="G25" s="122">
        <f>IF($F25&lt;&gt;"",$F25,IFERROR(_xlfn.XLOOKUP(ROW(),Taxa_Saknas!$H:$H,Taxa_Saknas!$G:$G),""))</f>
        <v/>
      </c>
      <c r="H25" s="122">
        <f>IF($F25&lt;&gt;"",IFERROR(_xlfn.XLOOKUP($F25,Taxa_från_edp!$B:$B,Taxa_från_edp!C:C),""),"")</f>
        <v/>
      </c>
      <c r="I25" s="149">
        <f>IF($F25&lt;&gt;"",IFERROR(_xlfn.XLOOKUP($F25,Taxa_från_edp!$B:$B,Taxa_från_edp!G:G),""),"")</f>
        <v/>
      </c>
      <c r="J25" s="149">
        <f>IF($F25&lt;&gt;"",IFERROR(_xlfn.XLOOKUP($F25,Taxa_från_edp!$B:$B,Taxa_från_edp!K:K),""),"")</f>
        <v/>
      </c>
      <c r="K25" s="149" t="n"/>
      <c r="L25" s="149" t="n"/>
      <c r="M25" s="121">
        <f>IFERROR(IF(J25&lt;&gt;"",J25*1.25,IF(K25&lt;&gt;"",K25*1.25,"")),"")</f>
        <v/>
      </c>
      <c r="N25" s="144">
        <f>IFERROR(IF(J25&lt;&gt;"",L25*J25,IF(K25&lt;&gt;"",L25*K25,"")),"")</f>
        <v/>
      </c>
      <c r="O25" t="inlineStr">
        <is>
          <t>REVIEW_REQUIRED</t>
        </is>
      </c>
      <c r="P25" t="inlineStr">
        <is>
          <t>Bästa semantiska kandidat saknar taxekod</t>
        </is>
      </c>
      <c r="Q2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6" ht="45" customHeight="1">
      <c r="A26" s="68" t="inlineStr">
        <is>
          <t>§2.2.2</t>
        </is>
      </c>
      <c r="B26" s="68" t="inlineStr">
        <is>
          <t>Hämtningsavgift per år för fritidshus</t>
        </is>
      </c>
      <c r="C26" s="68" t="inlineStr">
        <is>
          <t>Kärl 240 l (mat-/restavfall)</t>
        </is>
      </c>
      <c r="D26" s="68" t="inlineStr">
        <is>
          <t>Hämtning var 14:e dag</t>
        </is>
      </c>
      <c r="E26" s="68" t="inlineStr">
        <is>
          <t>st/år</t>
        </is>
      </c>
      <c r="F26" s="106" t="inlineStr">
        <is>
          <t>KÄ240RM26</t>
        </is>
      </c>
      <c r="G26" s="116">
        <f>IF($F26&lt;&gt;"",$F26,IFERROR(_xlfn.XLOOKUP(ROW(),Taxa_Saknas!$H:$H,Taxa_Saknas!$G:$G),""))</f>
        <v/>
      </c>
      <c r="H26" s="126">
        <f>IF($F26&lt;&gt;"",IFERROR(_xlfn.XLOOKUP($F26,Taxa_från_edp!$B:$B,Taxa_från_edp!C:C),""),"")</f>
        <v/>
      </c>
      <c r="I26" s="127">
        <f>IF($F26&lt;&gt;"",IFERROR(_xlfn.XLOOKUP($F26,Taxa_från_edp!$B:$B,Taxa_från_edp!G:G),""),"")</f>
        <v/>
      </c>
      <c r="J26" s="127">
        <f>IF($F26&lt;&gt;"",IFERROR(_xlfn.XLOOKUP($F26,Taxa_från_edp!$B:$B,Taxa_från_edp!K:K),""),"")</f>
        <v/>
      </c>
      <c r="K26" s="145" t="n"/>
      <c r="L26" s="146" t="n"/>
      <c r="M26" s="147">
        <f>IFERROR(IF(J26&lt;&gt;"",J26*1.25,IF(K26&lt;&gt;"",K26*1.25,"")),"")</f>
        <v/>
      </c>
      <c r="N26" s="148">
        <f>IFERROR(IF(J26&lt;&gt;"",L26*J26,IF(K26&lt;&gt;"",L26*K26,"")),"")</f>
        <v/>
      </c>
      <c r="O26" t="inlineStr">
        <is>
          <t>REVIEW_REQUIRED</t>
        </is>
      </c>
      <c r="P26" t="inlineStr">
        <is>
          <t>Bästa semantiska kandidat saknar taxekod</t>
        </is>
      </c>
      <c r="Q2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7" ht="45" customHeight="1">
      <c r="A27" s="68" t="inlineStr">
        <is>
          <t>§2.2.2</t>
        </is>
      </c>
      <c r="B27" s="68" t="inlineStr">
        <is>
          <t>Hämtningsavgift per år för fritidshus</t>
        </is>
      </c>
      <c r="C27" s="68" t="inlineStr">
        <is>
          <t>Kärl 240 l (mat-/restavfall)</t>
        </is>
      </c>
      <c r="D27" s="68" t="inlineStr">
        <is>
          <t>Hämtning månadsvis</t>
        </is>
      </c>
      <c r="E27" s="68" t="inlineStr">
        <is>
          <t>st/år</t>
        </is>
      </c>
      <c r="F27" s="106" t="n"/>
      <c r="G27" s="116" t="n"/>
      <c r="H27" s="126">
        <f>IF($F27&lt;&gt;"",IFERROR(_xlfn.XLOOKUP($F27,Taxa_från_edp!$B:$B,Taxa_från_edp!C:C),""),"")</f>
        <v/>
      </c>
      <c r="I27" s="127">
        <f>IF($F27&lt;&gt;"",IFERROR(_xlfn.XLOOKUP($F27,Taxa_från_edp!$B:$B,Taxa_från_edp!G:G),""),"")</f>
        <v/>
      </c>
      <c r="J27" s="127">
        <f>IF($F27&lt;&gt;"",IFERROR(_xlfn.XLOOKUP($F27,Taxa_från_edp!$B:$B,Taxa_från_edp!K:K),""),"")</f>
        <v/>
      </c>
      <c r="K27" s="145" t="n"/>
      <c r="L27" s="146" t="n"/>
      <c r="M27" s="147">
        <f>IFERROR(IF(J27&lt;&gt;"",J27*1.25,IF(K27&lt;&gt;"",K27*1.25,"")),"")</f>
        <v/>
      </c>
      <c r="N27" s="148">
        <f>IFERROR(IF(J27&lt;&gt;"",L27*J27,IF(K27&lt;&gt;"",L27*K27,"")),"")</f>
        <v/>
      </c>
      <c r="O27" t="inlineStr">
        <is>
          <t>REVIEW_REQUIRED</t>
        </is>
      </c>
      <c r="P27" t="inlineStr">
        <is>
          <t>Bästa semantiska kandidat saknar taxekod</t>
        </is>
      </c>
      <c r="Q27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" ht="45" customHeight="1">
      <c r="A28" s="68" t="inlineStr">
        <is>
          <t>§2.2.2</t>
        </is>
      </c>
      <c r="B28" s="68" t="inlineStr">
        <is>
          <t>Hämtningsavgift per år för fritidshus</t>
        </is>
      </c>
      <c r="C28" s="68" t="inlineStr">
        <is>
          <t>Extrakärl 190 l (restavfall)</t>
        </is>
      </c>
      <c r="D28" s="68" t="inlineStr">
        <is>
          <t>Hämtning var 14:e dag</t>
        </is>
      </c>
      <c r="E28" s="68" t="inlineStr">
        <is>
          <t>st/år</t>
        </is>
      </c>
      <c r="F28" s="106" t="inlineStr">
        <is>
          <t>KÄ190XRM26FRI</t>
        </is>
      </c>
      <c r="G28" s="116">
        <f>IF($F28&lt;&gt;"",$F28,IFERROR(_xlfn.XLOOKUP(ROW(),Taxa_Saknas!$H:$H,Taxa_Saknas!$G:$G),""))</f>
        <v/>
      </c>
      <c r="H28" s="126">
        <f>IF($F28&lt;&gt;"",IFERROR(_xlfn.XLOOKUP($F28,Taxa_från_edp!$B:$B,Taxa_från_edp!C:C),""),"")</f>
        <v/>
      </c>
      <c r="I28" s="127">
        <f>IF($F28&lt;&gt;"",IFERROR(_xlfn.XLOOKUP($F28,Taxa_från_edp!$B:$B,Taxa_från_edp!G:G),""),"")</f>
        <v/>
      </c>
      <c r="J28" s="127">
        <f>IF($F28&lt;&gt;"",IFERROR(_xlfn.XLOOKUP($F28,Taxa_från_edp!$B:$B,Taxa_från_edp!K:K),""),"")</f>
        <v/>
      </c>
      <c r="K28" s="145" t="n"/>
      <c r="L28" s="146" t="n"/>
      <c r="M28" s="147">
        <f>IFERROR(IF(J28&lt;&gt;"",J28*1.25,IF(K28&lt;&gt;"",K28*1.25,"")),"")</f>
        <v/>
      </c>
      <c r="N28" s="148">
        <f>IFERROR(IF(J28&lt;&gt;"",L28*J28,IF(K28&lt;&gt;"",L28*K28,"")),"")</f>
        <v/>
      </c>
      <c r="O28" t="inlineStr">
        <is>
          <t>REVIEW_REQUIRED</t>
        </is>
      </c>
      <c r="P28" t="inlineStr">
        <is>
          <t>Bästa semantiska kandidat saknar taxekod</t>
        </is>
      </c>
      <c r="Q28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" ht="30" customHeight="1">
      <c r="A29" s="68" t="inlineStr">
        <is>
          <t>§2.2.2</t>
        </is>
      </c>
      <c r="B29" s="68" t="inlineStr">
        <is>
          <t>Hämtningsavgift per år för fritidshus</t>
        </is>
      </c>
      <c r="C29" s="68" t="inlineStr">
        <is>
          <t>Kärl 370 l (papper-/plastförpackningar)</t>
        </is>
      </c>
      <c r="D29" s="68" t="inlineStr">
        <is>
          <t>Kostnadsfritt</t>
        </is>
      </c>
      <c r="E29" s="68" t="inlineStr">
        <is>
          <t>st/år</t>
        </is>
      </c>
      <c r="F29" s="107" t="n"/>
      <c r="G29" s="117" t="n"/>
      <c r="H29" s="128">
        <f>IF($F29&lt;&gt;"",IFERROR(_xlfn.XLOOKUP($F29,Taxa_från_edp!$B:$B,Taxa_från_edp!C:C),""),"")</f>
        <v/>
      </c>
      <c r="I29" s="129">
        <f>IF($F29&lt;&gt;"",IFERROR(_xlfn.XLOOKUP($F29,Taxa_från_edp!$B:$B,Taxa_från_edp!G:G),""),"")</f>
        <v/>
      </c>
      <c r="J29" s="129">
        <f>IF($F29&lt;&gt;"",IFERROR(_xlfn.XLOOKUP($F29,Taxa_från_edp!$B:$B,Taxa_från_edp!K:K),""),"")</f>
        <v/>
      </c>
      <c r="K29" s="150" t="n"/>
      <c r="L29" s="151" t="n"/>
      <c r="M29" s="147">
        <f>IFERROR(IF(J29&lt;&gt;"",J29*1.25,IF(K29&lt;&gt;"",K29*1.25,"")),"")</f>
        <v/>
      </c>
      <c r="N29" s="148">
        <f>IFERROR(IF(J29&lt;&gt;"",L29*J29,IF(K29&lt;&gt;"",L29*K29,"")),"")</f>
        <v/>
      </c>
      <c r="O29" t="inlineStr">
        <is>
          <t>REVIEW_REQUIRED</t>
        </is>
      </c>
      <c r="P29" t="inlineStr">
        <is>
          <t>Bästa semantiska kandidat saknar taxekod</t>
        </is>
      </c>
      <c r="Q29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0" ht="21.95" customHeight="1">
      <c r="A30" s="83" t="inlineStr">
        <is>
          <t>§2.2.3 Gemensam uppsamlingsplats inom hämtningsområde X</t>
        </is>
      </c>
      <c r="B30" s="84" t="n"/>
      <c r="C30" s="84" t="n"/>
      <c r="D30" s="84" t="n"/>
      <c r="E30" s="85" t="n"/>
      <c r="F30" s="114" t="n"/>
      <c r="G30" s="122">
        <f>IF($F30&lt;&gt;"",$F30,IFERROR(_xlfn.XLOOKUP(ROW(),Taxa_Saknas!$H:$H,Taxa_Saknas!$G:$G),""))</f>
        <v/>
      </c>
      <c r="H30" s="122">
        <f>IF($F30&lt;&gt;"",IFERROR(_xlfn.XLOOKUP($F30,Taxa_från_edp!$B:$B,Taxa_från_edp!C:C),""),"")</f>
        <v/>
      </c>
      <c r="I30" s="149">
        <f>IF($F30&lt;&gt;"",IFERROR(_xlfn.XLOOKUP($F30,Taxa_från_edp!$B:$B,Taxa_från_edp!G:G),""),"")</f>
        <v/>
      </c>
      <c r="J30" s="149">
        <f>IF($F30&lt;&gt;"",IFERROR(_xlfn.XLOOKUP($F30,Taxa_från_edp!$B:$B,Taxa_från_edp!K:K),""),"")</f>
        <v/>
      </c>
      <c r="K30" s="149" t="n"/>
      <c r="L30" s="149" t="n"/>
      <c r="M30" s="121">
        <f>IFERROR(IF(J30&lt;&gt;"",J30*1.25,IF(K30&lt;&gt;"",K30*1.25,"")),"")</f>
        <v/>
      </c>
      <c r="N30" s="144">
        <f>IFERROR(IF(J30&lt;&gt;"",L30*J30,IF(K30&lt;&gt;"",L30*K30,"")),"")</f>
        <v/>
      </c>
      <c r="O30" t="inlineStr">
        <is>
          <t>REVIEW_REQUIRED</t>
        </is>
      </c>
      <c r="P30" t="inlineStr">
        <is>
          <t>Bästa semantiska kandidat saknar taxekod</t>
        </is>
      </c>
      <c r="Q30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1" ht="30" customHeight="1">
      <c r="A31" s="68" t="inlineStr">
        <is>
          <t>§2.2.3</t>
        </is>
      </c>
      <c r="B31" s="68" t="inlineStr">
        <is>
          <t>Gemensam uppsamlingsplats inom hämtningsområde X</t>
        </is>
      </c>
      <c r="C31" s="68" t="inlineStr">
        <is>
          <t>Gemensam uppsamlingsplats för mat-/restavfall</t>
        </is>
      </c>
      <c r="D31" s="68" t="n"/>
      <c r="E31" s="68" t="inlineStr">
        <is>
          <t>st/år</t>
        </is>
      </c>
      <c r="F31" s="106" t="inlineStr">
        <is>
          <t>GEMUPPFRI</t>
        </is>
      </c>
      <c r="G31" s="116">
        <f>IF($F31&lt;&gt;"",$F31,IFERROR(_xlfn.XLOOKUP(ROW(),Taxa_Saknas!$H:$H,Taxa_Saknas!$G:$G),""))</f>
        <v/>
      </c>
      <c r="H31" s="126">
        <f>IF($F31&lt;&gt;"",IFERROR(_xlfn.XLOOKUP($F31,Taxa_från_edp!$B:$B,Taxa_från_edp!C:C),""),"")</f>
        <v/>
      </c>
      <c r="I31" s="127">
        <f>IF($F31&lt;&gt;"",IFERROR(_xlfn.XLOOKUP($F31,Taxa_från_edp!$B:$B,Taxa_från_edp!G:G),""),"")</f>
        <v/>
      </c>
      <c r="J31" s="127">
        <f>IF($F31&lt;&gt;"",IFERROR(_xlfn.XLOOKUP($F31,Taxa_från_edp!$B:$B,Taxa_från_edp!K:K),""),"")</f>
        <v/>
      </c>
      <c r="K31" s="145" t="n"/>
      <c r="L31" s="146" t="n"/>
      <c r="M31" s="147">
        <f>IFERROR(IF(J31&lt;&gt;"",J31*1.25,IF(K31&lt;&gt;"",K31*1.25,"")),"")</f>
        <v/>
      </c>
      <c r="N31" s="148">
        <f>IFERROR(IF(J31&lt;&gt;"",L31*J31,IF(K31&lt;&gt;"",L31*K31,"")),"")</f>
        <v/>
      </c>
      <c r="O31" t="inlineStr">
        <is>
          <t>REVIEW_REQUIRED</t>
        </is>
      </c>
      <c r="P31" t="inlineStr">
        <is>
          <t>Bästa semantiska kandidat saknar taxekod</t>
        </is>
      </c>
      <c r="Q31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2" ht="30" customHeight="1">
      <c r="A32" s="68" t="inlineStr">
        <is>
          <t>§2.2.3</t>
        </is>
      </c>
      <c r="B32" s="68" t="inlineStr">
        <is>
          <t>Gemensam uppsamlingsplats inom hämtningsområde X</t>
        </is>
      </c>
      <c r="C32" s="68" t="inlineStr">
        <is>
          <t>Gemensam uppsamlingsplats för förpackningar</t>
        </is>
      </c>
      <c r="D32" s="68" t="inlineStr">
        <is>
          <t>Kostnadsfritt</t>
        </is>
      </c>
      <c r="E32" s="68" t="inlineStr">
        <is>
          <t>st/år</t>
        </is>
      </c>
      <c r="F32" s="106" t="n"/>
      <c r="G32" s="116" t="n"/>
      <c r="H32" s="126">
        <f>IF($F32&lt;&gt;"",IFERROR(_xlfn.XLOOKUP($F32,Taxa_från_edp!$B:$B,Taxa_från_edp!C:C),""),"")</f>
        <v/>
      </c>
      <c r="I32" s="127">
        <f>IF($F32&lt;&gt;"",IFERROR(_xlfn.XLOOKUP($F32,Taxa_från_edp!$B:$B,Taxa_från_edp!G:G),""),"")</f>
        <v/>
      </c>
      <c r="J32" s="127">
        <f>IF($F32&lt;&gt;"",IFERROR(_xlfn.XLOOKUP($F32,Taxa_från_edp!$B:$B,Taxa_från_edp!K:K),""),"")</f>
        <v/>
      </c>
      <c r="K32" s="145" t="n"/>
      <c r="L32" s="146" t="n"/>
      <c r="M32" s="147">
        <f>IFERROR(IF(J32&lt;&gt;"",J32*1.25,IF(K32&lt;&gt;"",K32*1.25,"")),"")</f>
        <v/>
      </c>
      <c r="N32" s="148">
        <f>IFERROR(IF(J32&lt;&gt;"",L32*J32,IF(K32&lt;&gt;"",L32*K32,"")),"")</f>
        <v/>
      </c>
      <c r="O32" t="inlineStr">
        <is>
          <t>REVIEW_REQUIRED</t>
        </is>
      </c>
      <c r="P32" t="inlineStr">
        <is>
          <t>Bästa semantiska kandidat saknar taxekod</t>
        </is>
      </c>
      <c r="Q32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3" ht="30" customHeight="1">
      <c r="A33" s="68" t="inlineStr">
        <is>
          <t>§2.2.3</t>
        </is>
      </c>
      <c r="B33" s="68" t="inlineStr">
        <is>
          <t>Gemensam uppsamlingsplats inom hämtningsområde X</t>
        </is>
      </c>
      <c r="C33" s="68" t="inlineStr">
        <is>
          <t>Extra digital licens (årskostnad)</t>
        </is>
      </c>
      <c r="D33" s="68" t="n"/>
      <c r="E33" s="68" t="inlineStr">
        <is>
          <t>st/år</t>
        </is>
      </c>
      <c r="F33" s="106" t="n"/>
      <c r="G33" s="116" t="n"/>
      <c r="H33" s="126">
        <f>IF($F33&lt;&gt;"",IFERROR(_xlfn.XLOOKUP($F33,Taxa_från_edp!$B:$B,Taxa_från_edp!C:C),""),"")</f>
        <v/>
      </c>
      <c r="I33" s="127">
        <f>IF($F33&lt;&gt;"",IFERROR(_xlfn.XLOOKUP($F33,Taxa_från_edp!$B:$B,Taxa_från_edp!G:G),""),"")</f>
        <v/>
      </c>
      <c r="J33" s="127">
        <f>IF($F33&lt;&gt;"",IFERROR(_xlfn.XLOOKUP($F33,Taxa_från_edp!$B:$B,Taxa_från_edp!K:K),""),"")</f>
        <v/>
      </c>
      <c r="K33" s="145" t="n"/>
      <c r="L33" s="146" t="n"/>
      <c r="M33" s="147">
        <f>IFERROR(IF(J33&lt;&gt;"",J33*1.25,IF(K33&lt;&gt;"",K33*1.25,"")),"")</f>
        <v/>
      </c>
      <c r="N33" s="148">
        <f>IFERROR(IF(J33&lt;&gt;"",L33*J33,IF(K33&lt;&gt;"",L33*K33,"")),"")</f>
        <v/>
      </c>
      <c r="O33" t="inlineStr">
        <is>
          <t>REVIEW_REQUIRED</t>
        </is>
      </c>
      <c r="P33" t="inlineStr">
        <is>
          <t>Bästa semantiska kandidat saknar taxekod</t>
        </is>
      </c>
      <c r="Q33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34" ht="30" customHeight="1">
      <c r="A34" s="68" t="inlineStr">
        <is>
          <t>§2.2.3</t>
        </is>
      </c>
      <c r="B34" s="68" t="inlineStr">
        <is>
          <t>Gemensam uppsamlingsplats inom hämtningsområde X</t>
        </is>
      </c>
      <c r="C34" s="68" t="inlineStr">
        <is>
          <t>Fysisk nyckel, kallad fob (engångskostnad)</t>
        </is>
      </c>
      <c r="D34" s="68" t="n"/>
      <c r="E34" s="68" t="inlineStr">
        <is>
          <t>st/tillfälle</t>
        </is>
      </c>
      <c r="F34" s="107" t="n"/>
      <c r="G34" s="117" t="n"/>
      <c r="H34" s="128">
        <f>IF($F34&lt;&gt;"",IFERROR(_xlfn.XLOOKUP($F34,Taxa_från_edp!$B:$B,Taxa_från_edp!C:C),""),"")</f>
        <v/>
      </c>
      <c r="I34" s="129">
        <f>IF($F34&lt;&gt;"",IFERROR(_xlfn.XLOOKUP($F34,Taxa_från_edp!$B:$B,Taxa_från_edp!G:G),""),"")</f>
        <v/>
      </c>
      <c r="J34" s="129">
        <f>IF($F34&lt;&gt;"",IFERROR(_xlfn.XLOOKUP($F34,Taxa_från_edp!$B:$B,Taxa_från_edp!K:K),""),"")</f>
        <v/>
      </c>
      <c r="K34" s="150" t="n"/>
      <c r="L34" s="151" t="n"/>
      <c r="M34" s="147">
        <f>IFERROR(IF(J34&lt;&gt;"",J34*1.25,IF(K34&lt;&gt;"",K34*1.25,"")),"")</f>
        <v/>
      </c>
      <c r="N34" s="148">
        <f>IFERROR(IF(J34&lt;&gt;"",L34*J34,IF(K34&lt;&gt;"",L34*K34,"")),"")</f>
        <v/>
      </c>
      <c r="O34" t="inlineStr">
        <is>
          <t>NEW_TAXA</t>
        </is>
      </c>
      <c r="P34" t="inlineStr">
        <is>
          <t>Ingen kandidat över granskningsgräns</t>
        </is>
      </c>
      <c r="Q3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5" ht="30" customHeight="1">
      <c r="A35" s="68" t="inlineStr">
        <is>
          <t>§2.2.3</t>
        </is>
      </c>
      <c r="B35" s="68" t="inlineStr">
        <is>
          <t>Gemensam uppsamlingsplats inom hämtningsområde X</t>
        </is>
      </c>
      <c r="C35" s="68" t="inlineStr">
        <is>
          <t>Byte av telefonnummer kopplat till licens</t>
        </is>
      </c>
      <c r="D35" s="68" t="n"/>
      <c r="E35" s="68" t="inlineStr">
        <is>
          <t>st/tillfälle</t>
        </is>
      </c>
      <c r="F35" s="107" t="n"/>
      <c r="G35" s="117" t="n"/>
      <c r="H35" s="128">
        <f>IF($F35&lt;&gt;"",IFERROR(_xlfn.XLOOKUP($F35,Taxa_från_edp!$B:$B,Taxa_från_edp!C:C),""),"")</f>
        <v/>
      </c>
      <c r="I35" s="129">
        <f>IF($F35&lt;&gt;"",IFERROR(_xlfn.XLOOKUP($F35,Taxa_från_edp!$B:$B,Taxa_från_edp!G:G),""),"")</f>
        <v/>
      </c>
      <c r="J35" s="129">
        <f>IF($F35&lt;&gt;"",IFERROR(_xlfn.XLOOKUP($F35,Taxa_från_edp!$B:$B,Taxa_från_edp!K:K),""),"")</f>
        <v/>
      </c>
      <c r="K35" s="150" t="n"/>
      <c r="L35" s="151" t="n"/>
      <c r="M35" s="147">
        <f>IFERROR(IF(J35&lt;&gt;"",J35*1.25,IF(K35&lt;&gt;"",K35*1.25,"")),"")</f>
        <v/>
      </c>
      <c r="N35" s="148">
        <f>IFERROR(IF(J35&lt;&gt;"",L35*J35,IF(K35&lt;&gt;"",L35*K35,"")),"")</f>
        <v/>
      </c>
      <c r="O35" t="inlineStr">
        <is>
          <t>NEW_TAXA</t>
        </is>
      </c>
      <c r="P35" t="inlineStr">
        <is>
          <t>Ingen kandidat över granskningsgräns</t>
        </is>
      </c>
      <c r="Q3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6" ht="30" customHeight="1">
      <c r="A36" s="68" t="inlineStr">
        <is>
          <t>§2.2.3</t>
        </is>
      </c>
      <c r="B36" s="68" t="inlineStr">
        <is>
          <t>Gemensam uppsamlingsplats inom hämtningsområde X</t>
        </is>
      </c>
      <c r="C36" s="68" t="inlineStr">
        <is>
          <t>Kostnad för öppning av behållare</t>
        </is>
      </c>
      <c r="D36" s="68" t="n"/>
      <c r="E36" s="68" t="inlineStr">
        <is>
          <t>st/tillfälle</t>
        </is>
      </c>
      <c r="F36" s="106" t="n"/>
      <c r="G36" s="116" t="n"/>
      <c r="H36" s="126">
        <f>IF($F36&lt;&gt;"",IFERROR(_xlfn.XLOOKUP($F36,Taxa_från_edp!$B:$B,Taxa_från_edp!C:C),""),"")</f>
        <v/>
      </c>
      <c r="I36" s="127">
        <f>IF($F36&lt;&gt;"",IFERROR(_xlfn.XLOOKUP($F36,Taxa_från_edp!$B:$B,Taxa_från_edp!G:G),""),"")</f>
        <v/>
      </c>
      <c r="J36" s="127">
        <f>IF($F36&lt;&gt;"",IFERROR(_xlfn.XLOOKUP($F36,Taxa_från_edp!$B:$B,Taxa_från_edp!K:K),""),"")</f>
        <v/>
      </c>
      <c r="K36" s="145" t="n"/>
      <c r="L36" s="146" t="n"/>
      <c r="M36" s="147">
        <f>IFERROR(IF(J36&lt;&gt;"",J36*1.25,IF(K36&lt;&gt;"",K36*1.25,"")),"")</f>
        <v/>
      </c>
      <c r="N36" s="148">
        <f>IFERROR(IF(J36&lt;&gt;"",L36*J36,IF(K36&lt;&gt;"",L36*K36,"")),"")</f>
        <v/>
      </c>
      <c r="O36" t="inlineStr">
        <is>
          <t>REVIEW_REQUIRED</t>
        </is>
      </c>
      <c r="P36" t="inlineStr">
        <is>
          <t>Bästa semantiska kandidat saknar taxekod</t>
        </is>
      </c>
      <c r="Q36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7" ht="21.95" customHeight="1">
      <c r="A37" s="83" t="inlineStr">
        <is>
          <t>§2.2.4 Hämtningsavgift per år för flerbostadshus inom hämtningsområde X</t>
        </is>
      </c>
      <c r="B37" s="84" t="n"/>
      <c r="C37" s="84" t="n"/>
      <c r="D37" s="84" t="n"/>
      <c r="E37" s="85" t="n"/>
      <c r="F37" s="114" t="n"/>
      <c r="G37" s="122">
        <f>IF($F37&lt;&gt;"",$F37,IFERROR(_xlfn.XLOOKUP(ROW(),Taxa_Saknas!$H:$H,Taxa_Saknas!$G:$G),""))</f>
        <v/>
      </c>
      <c r="H37" s="122">
        <f>IF($F37&lt;&gt;"",IFERROR(_xlfn.XLOOKUP($F37,Taxa_från_edp!$B:$B,Taxa_från_edp!C:C),""),"")</f>
        <v/>
      </c>
      <c r="I37" s="149">
        <f>IF($F37&lt;&gt;"",IFERROR(_xlfn.XLOOKUP($F37,Taxa_från_edp!$B:$B,Taxa_från_edp!G:G),""),"")</f>
        <v/>
      </c>
      <c r="J37" s="149">
        <f>IF($F37&lt;&gt;"",IFERROR(_xlfn.XLOOKUP($F37,Taxa_från_edp!$B:$B,Taxa_från_edp!K:K),""),"")</f>
        <v/>
      </c>
      <c r="K37" s="149" t="n"/>
      <c r="L37" s="149" t="n"/>
      <c r="M37" s="121">
        <f>IFERROR(IF(J37&lt;&gt;"",J37*1.25,IF(K37&lt;&gt;"",K37*1.25,"")),"")</f>
        <v/>
      </c>
      <c r="N37" s="144">
        <f>IFERROR(IF(J37&lt;&gt;"",L37*J37,IF(K37&lt;&gt;"",L37*K37,"")),"")</f>
        <v/>
      </c>
      <c r="O37" t="inlineStr">
        <is>
          <t>NEW_TAXA</t>
        </is>
      </c>
      <c r="P37" t="inlineStr">
        <is>
          <t>Ingen kandidat över granskningsgräns</t>
        </is>
      </c>
      <c r="Q37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8" ht="30" customHeight="1">
      <c r="A38" s="68" t="inlineStr">
        <is>
          <t>§2.2.4</t>
        </is>
      </c>
      <c r="B38" s="68" t="inlineStr">
        <is>
          <t>Hämtningsavgift per år för flerbostadshus</t>
        </is>
      </c>
      <c r="C38" s="68" t="inlineStr">
        <is>
          <t>Kärl 240 l (mat-/restavfall)</t>
        </is>
      </c>
      <c r="D38" s="68" t="inlineStr">
        <is>
          <t>Hämtning varje vecka</t>
        </is>
      </c>
      <c r="E38" s="68" t="inlineStr">
        <is>
          <t>st/år</t>
        </is>
      </c>
      <c r="F38" s="106" t="n"/>
      <c r="G38" s="116" t="n"/>
      <c r="H38" s="126">
        <f>IF($F38&lt;&gt;"",IFERROR(_xlfn.XLOOKUP($F38,Taxa_från_edp!$B:$B,Taxa_från_edp!C:C),""),"")</f>
        <v/>
      </c>
      <c r="I38" s="127">
        <f>IF($F38&lt;&gt;"",IFERROR(_xlfn.XLOOKUP($F38,Taxa_från_edp!$B:$B,Taxa_från_edp!G:G),""),"")</f>
        <v/>
      </c>
      <c r="J38" s="127">
        <f>IF($F38&lt;&gt;"",IFERROR(_xlfn.XLOOKUP($F38,Taxa_från_edp!$B:$B,Taxa_från_edp!K:K),""),"")</f>
        <v/>
      </c>
      <c r="K38" s="145" t="n"/>
      <c r="L38" s="146" t="n"/>
      <c r="M38" s="147">
        <f>IFERROR(IF(J38&lt;&gt;"",J38*1.25,IF(K38&lt;&gt;"",K38*1.25,"")),"")</f>
        <v/>
      </c>
      <c r="N38" s="148">
        <f>IFERROR(IF(J38&lt;&gt;"",L38*J38,IF(K38&lt;&gt;"",L38*K38,"")),"")</f>
        <v/>
      </c>
      <c r="O38" t="inlineStr">
        <is>
          <t>NEW_TAXA</t>
        </is>
      </c>
      <c r="P38" t="inlineStr">
        <is>
          <t>Ingen kandidat över granskningsgräns</t>
        </is>
      </c>
      <c r="Q38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9" ht="30" customHeight="1">
      <c r="A39" s="68" t="inlineStr">
        <is>
          <t>§2.2.4</t>
        </is>
      </c>
      <c r="B39" s="68" t="inlineStr">
        <is>
          <t>Hämtningsavgift per år för flerbostadshus</t>
        </is>
      </c>
      <c r="C39" s="68" t="inlineStr">
        <is>
          <t>Kärl 240 l (mat-/restavfall)</t>
        </is>
      </c>
      <c r="D39" s="68" t="inlineStr">
        <is>
          <t>Hämtning var 14:e dag</t>
        </is>
      </c>
      <c r="E39" s="68" t="inlineStr">
        <is>
          <t>st/år</t>
        </is>
      </c>
      <c r="F39" s="106" t="inlineStr">
        <is>
          <t>KÄ240RM26FV</t>
        </is>
      </c>
      <c r="G39" s="116">
        <f>IF($F39&lt;&gt;"",$F39,IFERROR(_xlfn.XLOOKUP(ROW(),Taxa_Saknas!$H:$H,Taxa_Saknas!$G:$G),""))</f>
        <v/>
      </c>
      <c r="H39" s="126">
        <f>IF($F39&lt;&gt;"",IFERROR(_xlfn.XLOOKUP($F39,Taxa_från_edp!$B:$B,Taxa_från_edp!C:C),""),"")</f>
        <v/>
      </c>
      <c r="I39" s="127">
        <f>IF($F39&lt;&gt;"",IFERROR(_xlfn.XLOOKUP($F39,Taxa_från_edp!$B:$B,Taxa_från_edp!G:G),""),"")</f>
        <v/>
      </c>
      <c r="J39" s="127">
        <f>IF($F39&lt;&gt;"",IFERROR(_xlfn.XLOOKUP($F39,Taxa_från_edp!$B:$B,Taxa_från_edp!K:K),""),"")</f>
        <v/>
      </c>
      <c r="K39" s="145" t="n"/>
      <c r="L39" s="146" t="n"/>
      <c r="M39" s="147">
        <f>IFERROR(IF(J39&lt;&gt;"",J39*1.25,IF(K39&lt;&gt;"",K39*1.25,"")),"")</f>
        <v/>
      </c>
      <c r="N39" s="148">
        <f>IFERROR(IF(J39&lt;&gt;"",L39*J39,IF(K39&lt;&gt;"",L39*K39,"")),"")</f>
        <v/>
      </c>
      <c r="O39" t="inlineStr">
        <is>
          <t>NEW_TAXA</t>
        </is>
      </c>
      <c r="P39" t="inlineStr">
        <is>
          <t>Ingen kandidat över granskningsgräns</t>
        </is>
      </c>
      <c r="Q3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40" ht="30" customHeight="1">
      <c r="A40" s="68" t="inlineStr">
        <is>
          <t>§2.2.4</t>
        </is>
      </c>
      <c r="B40" s="68" t="inlineStr">
        <is>
          <t>Hämtningsavgift per år för flerbostadshus</t>
        </is>
      </c>
      <c r="C40" s="68" t="inlineStr">
        <is>
          <t>Kärl 240 l (mat-/restavfall)</t>
        </is>
      </c>
      <c r="D40" s="68" t="inlineStr">
        <is>
          <t>Hämtning månadsvis</t>
        </is>
      </c>
      <c r="E40" s="68" t="inlineStr">
        <is>
          <t>st/år</t>
        </is>
      </c>
      <c r="F40" s="106" t="n"/>
      <c r="G40" s="116" t="n"/>
      <c r="H40" s="126">
        <f>IF($F40&lt;&gt;"",IFERROR(_xlfn.XLOOKUP($F40,Taxa_från_edp!$B:$B,Taxa_från_edp!C:C),""),"")</f>
        <v/>
      </c>
      <c r="I40" s="127">
        <f>IF($F40&lt;&gt;"",IFERROR(_xlfn.XLOOKUP($F40,Taxa_från_edp!$B:$B,Taxa_från_edp!G:G),""),"")</f>
        <v/>
      </c>
      <c r="J40" s="127">
        <f>IF($F40&lt;&gt;"",IFERROR(_xlfn.XLOOKUP($F40,Taxa_från_edp!$B:$B,Taxa_från_edp!K:K),""),"")</f>
        <v/>
      </c>
      <c r="K40" s="145" t="n"/>
      <c r="L40" s="146" t="n"/>
      <c r="M40" s="147">
        <f>IFERROR(IF(J40&lt;&gt;"",J40*1.25,IF(K40&lt;&gt;"",K40*1.25,"")),"")</f>
        <v/>
      </c>
      <c r="N40" s="148">
        <f>IFERROR(IF(J40&lt;&gt;"",L40*J40,IF(K40&lt;&gt;"",L40*K40,"")),"")</f>
        <v/>
      </c>
      <c r="O40" t="inlineStr">
        <is>
          <t>REVIEW_REQUIRED</t>
        </is>
      </c>
      <c r="P40" t="inlineStr">
        <is>
          <t>Bästa semantiska kandidat saknar taxekod</t>
        </is>
      </c>
      <c r="Q40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41" ht="30" customHeight="1">
      <c r="A41" s="68" t="inlineStr">
        <is>
          <t>§2.2.4</t>
        </is>
      </c>
      <c r="B41" s="68" t="inlineStr">
        <is>
          <t>Hämtningsavgift per år för flerbostadshus</t>
        </is>
      </c>
      <c r="C41" s="68" t="inlineStr">
        <is>
          <t>Kärl 370 l (restavfall)</t>
        </is>
      </c>
      <c r="D41" s="68" t="inlineStr">
        <is>
          <t>Hämtning varje vecka</t>
        </is>
      </c>
      <c r="E41" s="68" t="inlineStr">
        <is>
          <t>st/år</t>
        </is>
      </c>
      <c r="F41" s="106" t="n"/>
      <c r="G41" s="116" t="n"/>
      <c r="H41" s="126">
        <f>IF($F41&lt;&gt;"",IFERROR(_xlfn.XLOOKUP($F41,Taxa_från_edp!$B:$B,Taxa_från_edp!C:C),""),"")</f>
        <v/>
      </c>
      <c r="I41" s="127">
        <f>IF($F41&lt;&gt;"",IFERROR(_xlfn.XLOOKUP($F41,Taxa_från_edp!$B:$B,Taxa_från_edp!G:G),""),"")</f>
        <v/>
      </c>
      <c r="J41" s="127">
        <f>IF($F41&lt;&gt;"",IFERROR(_xlfn.XLOOKUP($F41,Taxa_från_edp!$B:$B,Taxa_från_edp!K:K),""),"")</f>
        <v/>
      </c>
      <c r="K41" s="145" t="n"/>
      <c r="L41" s="146" t="n"/>
      <c r="M41" s="147">
        <f>IFERROR(IF(J41&lt;&gt;"",J41*1.25,IF(K41&lt;&gt;"",K41*1.25,"")),"")</f>
        <v/>
      </c>
      <c r="N41" s="148">
        <f>IFERROR(IF(J41&lt;&gt;"",L41*J41,IF(K41&lt;&gt;"",L41*K41,"")),"")</f>
        <v/>
      </c>
      <c r="O41" t="inlineStr">
        <is>
          <t>NEW_TAXA</t>
        </is>
      </c>
      <c r="P41" t="inlineStr">
        <is>
          <t>Ingen kandidat över granskningsgräns</t>
        </is>
      </c>
      <c r="Q41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42" ht="30" customHeight="1">
      <c r="A42" s="68" t="inlineStr">
        <is>
          <t>§2.2.4</t>
        </is>
      </c>
      <c r="B42" s="68" t="inlineStr">
        <is>
          <t>Hämtningsavgift per år för flerbostadshus</t>
        </is>
      </c>
      <c r="C42" s="68" t="inlineStr">
        <is>
          <t>Kärl 370 l (restavfall)</t>
        </is>
      </c>
      <c r="D42" s="68" t="inlineStr">
        <is>
          <t>Hämtning var 14:e dag</t>
        </is>
      </c>
      <c r="E42" s="68" t="inlineStr">
        <is>
          <t>st/år</t>
        </is>
      </c>
      <c r="F42" s="106" t="inlineStr">
        <is>
          <t>KÄ370RE26FV</t>
        </is>
      </c>
      <c r="G42" s="116">
        <f>IF($F42&lt;&gt;"",$F42,IFERROR(_xlfn.XLOOKUP(ROW(),Taxa_Saknas!$H:$H,Taxa_Saknas!$G:$G),""))</f>
        <v/>
      </c>
      <c r="H42" s="126">
        <f>IF($F42&lt;&gt;"",IFERROR(_xlfn.XLOOKUP($F42,Taxa_från_edp!$B:$B,Taxa_från_edp!C:C),""),"")</f>
        <v/>
      </c>
      <c r="I42" s="127">
        <f>IF($F42&lt;&gt;"",IFERROR(_xlfn.XLOOKUP($F42,Taxa_från_edp!$B:$B,Taxa_från_edp!G:G),""),"")</f>
        <v/>
      </c>
      <c r="J42" s="127">
        <f>IF($F42&lt;&gt;"",IFERROR(_xlfn.XLOOKUP($F42,Taxa_från_edp!$B:$B,Taxa_från_edp!K:K),""),"")</f>
        <v/>
      </c>
      <c r="K42" s="145" t="n"/>
      <c r="L42" s="146" t="n"/>
      <c r="M42" s="147">
        <f>IFERROR(IF(J42&lt;&gt;"",J42*1.25,IF(K42&lt;&gt;"",K42*1.25,"")),"")</f>
        <v/>
      </c>
      <c r="N42" s="148">
        <f>IFERROR(IF(J42&lt;&gt;"",L42*J42,IF(K42&lt;&gt;"",L42*K42,"")),"")</f>
        <v/>
      </c>
      <c r="O42" t="inlineStr">
        <is>
          <t>REVIEW_REQUIRED</t>
        </is>
      </c>
      <c r="P42" t="inlineStr">
        <is>
          <t>Bästa semantiska kandidat saknar taxekod</t>
        </is>
      </c>
      <c r="Q42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43" ht="30" customHeight="1">
      <c r="A43" s="68" t="inlineStr">
        <is>
          <t>§2.2.4</t>
        </is>
      </c>
      <c r="B43" s="68" t="inlineStr">
        <is>
          <t>Hämtningsavgift per år för flerbostadshus</t>
        </is>
      </c>
      <c r="C43" s="68" t="inlineStr">
        <is>
          <t>Kärl 370 l (restavfall)</t>
        </is>
      </c>
      <c r="D43" s="68" t="inlineStr">
        <is>
          <t>Hämtning månadsvis</t>
        </is>
      </c>
      <c r="E43" s="68" t="inlineStr">
        <is>
          <t>st/år</t>
        </is>
      </c>
      <c r="F43" s="106" t="n"/>
      <c r="G43" s="116" t="n"/>
      <c r="H43" s="126">
        <f>IF($F43&lt;&gt;"",IFERROR(_xlfn.XLOOKUP($F43,Taxa_från_edp!$B:$B,Taxa_från_edp!C:C),""),"")</f>
        <v/>
      </c>
      <c r="I43" s="127">
        <f>IF($F43&lt;&gt;"",IFERROR(_xlfn.XLOOKUP($F43,Taxa_från_edp!$B:$B,Taxa_från_edp!G:G),""),"")</f>
        <v/>
      </c>
      <c r="J43" s="127">
        <f>IF($F43&lt;&gt;"",IFERROR(_xlfn.XLOOKUP($F43,Taxa_från_edp!$B:$B,Taxa_från_edp!K:K),""),"")</f>
        <v/>
      </c>
      <c r="K43" s="145" t="n"/>
      <c r="L43" s="146" t="n"/>
      <c r="M43" s="147">
        <f>IFERROR(IF(J43&lt;&gt;"",J43*1.25,IF(K43&lt;&gt;"",K43*1.25,"")),"")</f>
        <v/>
      </c>
      <c r="N43" s="148">
        <f>IFERROR(IF(J43&lt;&gt;"",L43*J43,IF(K43&lt;&gt;"",L43*K43,"")),"")</f>
        <v/>
      </c>
      <c r="O43" t="inlineStr">
        <is>
          <t>REVIEW_REQUIRED</t>
        </is>
      </c>
      <c r="P43" t="inlineStr">
        <is>
          <t>Semantisk kandidat finns men säkerheten räcker inte för förslag</t>
        </is>
      </c>
      <c r="Q43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44" ht="30" customHeight="1">
      <c r="A44" s="68" t="inlineStr">
        <is>
          <t>§2.2.4</t>
        </is>
      </c>
      <c r="B44" s="68" t="inlineStr">
        <is>
          <t>Hämtningsavgift per år för flerbostadshus</t>
        </is>
      </c>
      <c r="C44" s="68" t="inlineStr">
        <is>
          <t>Kärl 660 l (restavfall)</t>
        </is>
      </c>
      <c r="D44" s="68" t="inlineStr">
        <is>
          <t>Hämtning varje vecka</t>
        </is>
      </c>
      <c r="E44" s="68" t="inlineStr">
        <is>
          <t>st/år</t>
        </is>
      </c>
      <c r="F44" s="106" t="n"/>
      <c r="G44" s="116" t="n"/>
      <c r="H44" s="126">
        <f>IF($F44&lt;&gt;"",IFERROR(_xlfn.XLOOKUP($F44,Taxa_från_edp!$B:$B,Taxa_från_edp!C:C),""),"")</f>
        <v/>
      </c>
      <c r="I44" s="127">
        <f>IF($F44&lt;&gt;"",IFERROR(_xlfn.XLOOKUP($F44,Taxa_från_edp!$B:$B,Taxa_från_edp!G:G),""),"")</f>
        <v/>
      </c>
      <c r="J44" s="127">
        <f>IF($F44&lt;&gt;"",IFERROR(_xlfn.XLOOKUP($F44,Taxa_från_edp!$B:$B,Taxa_från_edp!K:K),""),"")</f>
        <v/>
      </c>
      <c r="K44" s="145" t="n"/>
      <c r="L44" s="146" t="n"/>
      <c r="M44" s="147">
        <f>IFERROR(IF(J44&lt;&gt;"",J44*1.25,IF(K44&lt;&gt;"",K44*1.25,"")),"")</f>
        <v/>
      </c>
      <c r="N44" s="148">
        <f>IFERROR(IF(J44&lt;&gt;"",L44*J44,IF(K44&lt;&gt;"",L44*K44,"")),"")</f>
        <v/>
      </c>
      <c r="O44" t="inlineStr">
        <is>
          <t>REVIEW_REQUIRED</t>
        </is>
      </c>
      <c r="P44" t="inlineStr">
        <is>
          <t>Bästa semantiska kandidat saknar taxekod</t>
        </is>
      </c>
      <c r="Q44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45" ht="30" customHeight="1">
      <c r="A45" s="68" t="inlineStr">
        <is>
          <t>§2.2.4</t>
        </is>
      </c>
      <c r="B45" s="68" t="inlineStr">
        <is>
          <t>Hämtningsavgift per år för flerbostadshus</t>
        </is>
      </c>
      <c r="C45" s="68" t="inlineStr">
        <is>
          <t>Kärl 660 l (restavfall)</t>
        </is>
      </c>
      <c r="D45" s="68" t="inlineStr">
        <is>
          <t>Hämtning var 14:e dag</t>
        </is>
      </c>
      <c r="E45" s="68" t="inlineStr">
        <is>
          <t>st/år</t>
        </is>
      </c>
      <c r="F45" s="106" t="inlineStr">
        <is>
          <t>KÄ660RE26FV</t>
        </is>
      </c>
      <c r="G45" s="116">
        <f>IF($F45&lt;&gt;"",$F45,IFERROR(_xlfn.XLOOKUP(ROW(),Taxa_Saknas!$H:$H,Taxa_Saknas!$G:$G),""))</f>
        <v/>
      </c>
      <c r="H45" s="126">
        <f>IF($F45&lt;&gt;"",IFERROR(_xlfn.XLOOKUP($F45,Taxa_från_edp!$B:$B,Taxa_från_edp!C:C),""),"")</f>
        <v/>
      </c>
      <c r="I45" s="127">
        <f>IF($F45&lt;&gt;"",IFERROR(_xlfn.XLOOKUP($F45,Taxa_från_edp!$B:$B,Taxa_från_edp!G:G),""),"")</f>
        <v/>
      </c>
      <c r="J45" s="127">
        <f>IF($F45&lt;&gt;"",IFERROR(_xlfn.XLOOKUP($F45,Taxa_från_edp!$B:$B,Taxa_från_edp!K:K),""),"")</f>
        <v/>
      </c>
      <c r="K45" s="145" t="n"/>
      <c r="L45" s="146" t="n"/>
      <c r="M45" s="147">
        <f>IFERROR(IF(J45&lt;&gt;"",J45*1.25,IF(K45&lt;&gt;"",K45*1.25,"")),"")</f>
        <v/>
      </c>
      <c r="N45" s="148">
        <f>IFERROR(IF(J45&lt;&gt;"",L45*J45,IF(K45&lt;&gt;"",L45*K45,"")),"")</f>
        <v/>
      </c>
      <c r="O45" t="inlineStr">
        <is>
          <t>REVIEW_REQUIRED</t>
        </is>
      </c>
      <c r="P45" t="inlineStr">
        <is>
          <t>Bästa semantiska kandidat saknar taxekod</t>
        </is>
      </c>
      <c r="Q45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46" ht="30" customHeight="1">
      <c r="A46" s="68" t="inlineStr">
        <is>
          <t>§2.2.4</t>
        </is>
      </c>
      <c r="B46" s="68" t="inlineStr">
        <is>
          <t>Hämtningsavgift per år för flerbostadshus</t>
        </is>
      </c>
      <c r="C46" s="68" t="inlineStr">
        <is>
          <t>Kärl 660 l (restavfall)</t>
        </is>
      </c>
      <c r="D46" s="68" t="inlineStr">
        <is>
          <t>Hämtning månadsvis</t>
        </is>
      </c>
      <c r="E46" s="68" t="inlineStr">
        <is>
          <t>st/år</t>
        </is>
      </c>
      <c r="F46" s="106" t="n"/>
      <c r="G46" s="116" t="n"/>
      <c r="H46" s="126">
        <f>IF($F46&lt;&gt;"",IFERROR(_xlfn.XLOOKUP($F46,Taxa_från_edp!$B:$B,Taxa_från_edp!C:C),""),"")</f>
        <v/>
      </c>
      <c r="I46" s="127">
        <f>IF($F46&lt;&gt;"",IFERROR(_xlfn.XLOOKUP($F46,Taxa_från_edp!$B:$B,Taxa_från_edp!G:G),""),"")</f>
        <v/>
      </c>
      <c r="J46" s="127">
        <f>IF($F46&lt;&gt;"",IFERROR(_xlfn.XLOOKUP($F46,Taxa_från_edp!$B:$B,Taxa_från_edp!K:K),""),"")</f>
        <v/>
      </c>
      <c r="K46" s="145" t="n"/>
      <c r="L46" s="146" t="n"/>
      <c r="M46" s="147">
        <f>IFERROR(IF(J46&lt;&gt;"",J46*1.25,IF(K46&lt;&gt;"",K46*1.25,"")),"")</f>
        <v/>
      </c>
      <c r="N46" s="148">
        <f>IFERROR(IF(J46&lt;&gt;"",L46*J46,IF(K46&lt;&gt;"",L46*K46,"")),"")</f>
        <v/>
      </c>
      <c r="O46" t="inlineStr">
        <is>
          <t>NEW_TAXA</t>
        </is>
      </c>
      <c r="P46" t="inlineStr">
        <is>
          <t>Ingen kandidat över granskningsgräns</t>
        </is>
      </c>
      <c r="Q4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47" ht="30" customHeight="1">
      <c r="A47" s="68" t="inlineStr">
        <is>
          <t>§2.2.4</t>
        </is>
      </c>
      <c r="B47" s="68" t="inlineStr">
        <is>
          <t>Hämtningsavgift per år för flerbostadshus</t>
        </is>
      </c>
      <c r="C47" s="68" t="inlineStr">
        <is>
          <t>Kärl 140 l (matavfall)</t>
        </is>
      </c>
      <c r="D47" s="68" t="inlineStr">
        <is>
          <t>Hämtning varje vecka</t>
        </is>
      </c>
      <c r="E47" s="68" t="inlineStr">
        <is>
          <t>st/år</t>
        </is>
      </c>
      <c r="F47" s="106" t="n"/>
      <c r="G47" s="116" t="n"/>
      <c r="H47" s="126">
        <f>IF($F47&lt;&gt;"",IFERROR(_xlfn.XLOOKUP($F47,Taxa_från_edp!$B:$B,Taxa_från_edp!C:C),""),"")</f>
        <v/>
      </c>
      <c r="I47" s="127">
        <f>IF($F47&lt;&gt;"",IFERROR(_xlfn.XLOOKUP($F47,Taxa_från_edp!$B:$B,Taxa_från_edp!G:G),""),"")</f>
        <v/>
      </c>
      <c r="J47" s="127">
        <f>IF($F47&lt;&gt;"",IFERROR(_xlfn.XLOOKUP($F47,Taxa_från_edp!$B:$B,Taxa_från_edp!K:K),""),"")</f>
        <v/>
      </c>
      <c r="K47" s="145" t="n"/>
      <c r="L47" s="146" t="n"/>
      <c r="M47" s="147">
        <f>IFERROR(IF(J47&lt;&gt;"",J47*1.25,IF(K47&lt;&gt;"",K47*1.25,"")),"")</f>
        <v/>
      </c>
      <c r="N47" s="148">
        <f>IFERROR(IF(J47&lt;&gt;"",L47*J47,IF(K47&lt;&gt;"",L47*K47,"")),"")</f>
        <v/>
      </c>
      <c r="O47" t="inlineStr">
        <is>
          <t>REVIEW_REQUIRED</t>
        </is>
      </c>
      <c r="P47" t="inlineStr">
        <is>
          <t>Bästa semantiska kandidat saknar taxekod</t>
        </is>
      </c>
      <c r="Q4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48" ht="30" customHeight="1">
      <c r="A48" s="68" t="inlineStr">
        <is>
          <t>§2.2.4</t>
        </is>
      </c>
      <c r="B48" s="68" t="inlineStr">
        <is>
          <t>Hämtningsavgift per år för flerbostadshus</t>
        </is>
      </c>
      <c r="C48" s="68" t="inlineStr">
        <is>
          <t>Kärl 140 l (matavfall)</t>
        </is>
      </c>
      <c r="D48" s="68" t="inlineStr">
        <is>
          <t>Hämtning var 14:e dag</t>
        </is>
      </c>
      <c r="E48" s="68" t="inlineStr">
        <is>
          <t>st/år</t>
        </is>
      </c>
      <c r="F48" s="106" t="inlineStr">
        <is>
          <t>KÄ140MA26FV</t>
        </is>
      </c>
      <c r="G48" s="116">
        <f>IF($F48&lt;&gt;"",$F48,IFERROR(_xlfn.XLOOKUP(ROW(),Taxa_Saknas!$H:$H,Taxa_Saknas!$G:$G),""))</f>
        <v/>
      </c>
      <c r="H48" s="126">
        <f>IF($F48&lt;&gt;"",IFERROR(_xlfn.XLOOKUP($F48,Taxa_från_edp!$B:$B,Taxa_från_edp!C:C),""),"")</f>
        <v/>
      </c>
      <c r="I48" s="127">
        <f>IF($F48&lt;&gt;"",IFERROR(_xlfn.XLOOKUP($F48,Taxa_från_edp!$B:$B,Taxa_från_edp!G:G),""),"")</f>
        <v/>
      </c>
      <c r="J48" s="127">
        <f>IF($F48&lt;&gt;"",IFERROR(_xlfn.XLOOKUP($F48,Taxa_från_edp!$B:$B,Taxa_från_edp!K:K),""),"")</f>
        <v/>
      </c>
      <c r="K48" s="145" t="n"/>
      <c r="L48" s="146" t="n"/>
      <c r="M48" s="147">
        <f>IFERROR(IF(J48&lt;&gt;"",J48*1.25,IF(K48&lt;&gt;"",K48*1.25,"")),"")</f>
        <v/>
      </c>
      <c r="N48" s="148">
        <f>IFERROR(IF(J48&lt;&gt;"",L48*J48,IF(K48&lt;&gt;"",L48*K48,"")),"")</f>
        <v/>
      </c>
      <c r="O48" t="inlineStr">
        <is>
          <t>REVIEW_REQUIRED</t>
        </is>
      </c>
      <c r="P48" t="inlineStr">
        <is>
          <t>Bästa semantiska kandidat saknar taxekod</t>
        </is>
      </c>
      <c r="Q48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49" ht="30" customHeight="1">
      <c r="A49" s="68" t="inlineStr">
        <is>
          <t>§2.2.4</t>
        </is>
      </c>
      <c r="B49" s="68" t="inlineStr">
        <is>
          <t>Hämtningsavgift per år för flerbostadshus</t>
        </is>
      </c>
      <c r="C49" s="68" t="inlineStr">
        <is>
          <t>Kärl 140 l (matavfall)</t>
        </is>
      </c>
      <c r="D49" s="68" t="inlineStr">
        <is>
          <t>Hämtning månadsvis</t>
        </is>
      </c>
      <c r="E49" s="68" t="inlineStr">
        <is>
          <t>st/år</t>
        </is>
      </c>
      <c r="F49" s="106" t="n"/>
      <c r="G49" s="116" t="n"/>
      <c r="H49" s="126">
        <f>IF($F49&lt;&gt;"",IFERROR(_xlfn.XLOOKUP($F49,Taxa_från_edp!$B:$B,Taxa_från_edp!C:C),""),"")</f>
        <v/>
      </c>
      <c r="I49" s="127">
        <f>IF($F49&lt;&gt;"",IFERROR(_xlfn.XLOOKUP($F49,Taxa_från_edp!$B:$B,Taxa_från_edp!G:G),""),"")</f>
        <v/>
      </c>
      <c r="J49" s="127">
        <f>IF($F49&lt;&gt;"",IFERROR(_xlfn.XLOOKUP($F49,Taxa_från_edp!$B:$B,Taxa_från_edp!K:K),""),"")</f>
        <v/>
      </c>
      <c r="K49" s="145" t="n"/>
      <c r="L49" s="146" t="n"/>
      <c r="M49" s="147">
        <f>IFERROR(IF(J49&lt;&gt;"",J49*1.25,IF(K49&lt;&gt;"",K49*1.25,"")),"")</f>
        <v/>
      </c>
      <c r="N49" s="148">
        <f>IFERROR(IF(J49&lt;&gt;"",L49*J49,IF(K49&lt;&gt;"",L49*K49,"")),"")</f>
        <v/>
      </c>
      <c r="O49" t="inlineStr">
        <is>
          <t>REVIEW_REQUIRED</t>
        </is>
      </c>
      <c r="P49" t="inlineStr">
        <is>
          <t>Bästa semantiska kandidat saknar taxekod</t>
        </is>
      </c>
      <c r="Q49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50" ht="30" customHeight="1">
      <c r="A50" s="68" t="inlineStr">
        <is>
          <t>§2.2.4</t>
        </is>
      </c>
      <c r="B50" s="68" t="inlineStr">
        <is>
          <t>Hämtningsavgift per år för flerbostadshus</t>
        </is>
      </c>
      <c r="C50" s="68" t="inlineStr">
        <is>
          <t>Kärl 190 l (förpackningar)</t>
        </is>
      </c>
      <c r="D50" s="68" t="inlineStr">
        <is>
          <t>Hämtning varje vecka</t>
        </is>
      </c>
      <c r="E50" s="68" t="inlineStr">
        <is>
          <t>st/år</t>
        </is>
      </c>
      <c r="F50" s="106" t="n"/>
      <c r="G50" s="116" t="n"/>
      <c r="H50" s="126">
        <f>IF($F50&lt;&gt;"",IFERROR(_xlfn.XLOOKUP($F50,Taxa_från_edp!$B:$B,Taxa_från_edp!C:C),""),"")</f>
        <v/>
      </c>
      <c r="I50" s="127">
        <f>IF($F50&lt;&gt;"",IFERROR(_xlfn.XLOOKUP($F50,Taxa_från_edp!$B:$B,Taxa_från_edp!G:G),""),"")</f>
        <v/>
      </c>
      <c r="J50" s="127">
        <f>IF($F50&lt;&gt;"",IFERROR(_xlfn.XLOOKUP($F50,Taxa_från_edp!$B:$B,Taxa_från_edp!K:K),""),"")</f>
        <v/>
      </c>
      <c r="K50" s="145" t="n"/>
      <c r="L50" s="146" t="n"/>
      <c r="M50" s="147">
        <f>IFERROR(IF(J50&lt;&gt;"",J50*1.25,IF(K50&lt;&gt;"",K50*1.25,"")),"")</f>
        <v/>
      </c>
      <c r="N50" s="148">
        <f>IFERROR(IF(J50&lt;&gt;"",L50*J50,IF(K50&lt;&gt;"",L50*K50,"")),"")</f>
        <v/>
      </c>
      <c r="O50" t="inlineStr">
        <is>
          <t>REVIEW_REQUIRED</t>
        </is>
      </c>
      <c r="P50" t="inlineStr">
        <is>
          <t>Bästa semantiska kandidat saknar taxekod</t>
        </is>
      </c>
      <c r="Q50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51" ht="30" customHeight="1">
      <c r="A51" s="68" t="inlineStr">
        <is>
          <t>§2.2.4</t>
        </is>
      </c>
      <c r="B51" s="68" t="inlineStr">
        <is>
          <t>Hämtningsavgift per år för flerbostadshus</t>
        </is>
      </c>
      <c r="C51" s="68" t="inlineStr">
        <is>
          <t>Kärl 190 l (förpackningar)</t>
        </is>
      </c>
      <c r="D51" s="68" t="inlineStr">
        <is>
          <t>Hämtning var 14:e dag</t>
        </is>
      </c>
      <c r="E51" s="68" t="inlineStr">
        <is>
          <t>st/år</t>
        </is>
      </c>
      <c r="F51" s="106" t="n"/>
      <c r="G51" s="116" t="n"/>
      <c r="H51" s="126">
        <f>IF($F51&lt;&gt;"",IFERROR(_xlfn.XLOOKUP($F51,Taxa_från_edp!$B:$B,Taxa_från_edp!C:C),""),"")</f>
        <v/>
      </c>
      <c r="I51" s="127">
        <f>IF($F51&lt;&gt;"",IFERROR(_xlfn.XLOOKUP($F51,Taxa_från_edp!$B:$B,Taxa_från_edp!G:G),""),"")</f>
        <v/>
      </c>
      <c r="J51" s="127">
        <f>IF($F51&lt;&gt;"",IFERROR(_xlfn.XLOOKUP($F51,Taxa_från_edp!$B:$B,Taxa_från_edp!K:K),""),"")</f>
        <v/>
      </c>
      <c r="K51" s="145" t="n"/>
      <c r="L51" s="146" t="n"/>
      <c r="M51" s="147">
        <f>IFERROR(IF(J51&lt;&gt;"",J51*1.25,IF(K51&lt;&gt;"",K51*1.25,"")),"")</f>
        <v/>
      </c>
      <c r="N51" s="148">
        <f>IFERROR(IF(J51&lt;&gt;"",L51*J51,IF(K51&lt;&gt;"",L51*K51,"")),"")</f>
        <v/>
      </c>
      <c r="O51" t="inlineStr">
        <is>
          <t>REVIEW_REQUIRED</t>
        </is>
      </c>
      <c r="P51" t="inlineStr">
        <is>
          <t>Bästa semantiska kandidat saknar taxekod</t>
        </is>
      </c>
      <c r="Q51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52" ht="30" customHeight="1">
      <c r="A52" s="68" t="inlineStr">
        <is>
          <t>§2.2.4</t>
        </is>
      </c>
      <c r="B52" s="68" t="inlineStr">
        <is>
          <t>Hämtningsavgift per år för flerbostadshus</t>
        </is>
      </c>
      <c r="C52" s="68" t="inlineStr">
        <is>
          <t>Kärl 190 l (förpackningar)</t>
        </is>
      </c>
      <c r="D52" s="68" t="inlineStr">
        <is>
          <t>Hämtning månadsvis</t>
        </is>
      </c>
      <c r="E52" s="68" t="inlineStr">
        <is>
          <t>st/år</t>
        </is>
      </c>
      <c r="F52" s="106" t="n"/>
      <c r="G52" s="116" t="n"/>
      <c r="H52" s="126">
        <f>IF($F52&lt;&gt;"",IFERROR(_xlfn.XLOOKUP($F52,Taxa_från_edp!$B:$B,Taxa_från_edp!C:C),""),"")</f>
        <v/>
      </c>
      <c r="I52" s="127">
        <f>IF($F52&lt;&gt;"",IFERROR(_xlfn.XLOOKUP($F52,Taxa_från_edp!$B:$B,Taxa_från_edp!G:G),""),"")</f>
        <v/>
      </c>
      <c r="J52" s="127">
        <f>IF($F52&lt;&gt;"",IFERROR(_xlfn.XLOOKUP($F52,Taxa_från_edp!$B:$B,Taxa_från_edp!K:K),""),"")</f>
        <v/>
      </c>
      <c r="K52" s="145" t="n"/>
      <c r="L52" s="146" t="n"/>
      <c r="M52" s="147">
        <f>IFERROR(IF(J52&lt;&gt;"",J52*1.25,IF(K52&lt;&gt;"",K52*1.25,"")),"")</f>
        <v/>
      </c>
      <c r="N52" s="148">
        <f>IFERROR(IF(J52&lt;&gt;"",L52*J52,IF(K52&lt;&gt;"",L52*K52,"")),"")</f>
        <v/>
      </c>
      <c r="O52" t="inlineStr">
        <is>
          <t>NEW_TAXA</t>
        </is>
      </c>
      <c r="P52" t="inlineStr">
        <is>
          <t>Ingen kandidat över granskningsgräns</t>
        </is>
      </c>
      <c r="Q5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53" ht="30" customHeight="1">
      <c r="A53" s="68" t="inlineStr">
        <is>
          <t>§2.2.4</t>
        </is>
      </c>
      <c r="B53" s="68" t="inlineStr">
        <is>
          <t>Hämtningsavgift per år för flerbostadshus</t>
        </is>
      </c>
      <c r="C53" s="68" t="inlineStr">
        <is>
          <t>Kärl 370 l (förpackningar)</t>
        </is>
      </c>
      <c r="D53" s="68" t="inlineStr">
        <is>
          <t>Hämtning varje vecka</t>
        </is>
      </c>
      <c r="E53" s="68" t="inlineStr">
        <is>
          <t>st/år</t>
        </is>
      </c>
      <c r="F53" s="106" t="n"/>
      <c r="G53" s="116" t="n"/>
      <c r="H53" s="126">
        <f>IF($F53&lt;&gt;"",IFERROR(_xlfn.XLOOKUP($F53,Taxa_från_edp!$B:$B,Taxa_från_edp!C:C),""),"")</f>
        <v/>
      </c>
      <c r="I53" s="127">
        <f>IF($F53&lt;&gt;"",IFERROR(_xlfn.XLOOKUP($F53,Taxa_från_edp!$B:$B,Taxa_från_edp!G:G),""),"")</f>
        <v/>
      </c>
      <c r="J53" s="127">
        <f>IF($F53&lt;&gt;"",IFERROR(_xlfn.XLOOKUP($F53,Taxa_från_edp!$B:$B,Taxa_från_edp!K:K),""),"")</f>
        <v/>
      </c>
      <c r="K53" s="145" t="n"/>
      <c r="L53" s="146" t="n"/>
      <c r="M53" s="147">
        <f>IFERROR(IF(J53&lt;&gt;"",J53*1.25,IF(K53&lt;&gt;"",K53*1.25,"")),"")</f>
        <v/>
      </c>
      <c r="N53" s="148">
        <f>IFERROR(IF(J53&lt;&gt;"",L53*J53,IF(K53&lt;&gt;"",L53*K53,"")),"")</f>
        <v/>
      </c>
      <c r="O53" t="inlineStr">
        <is>
          <t>REVIEW_REQUIRED</t>
        </is>
      </c>
      <c r="P53" t="inlineStr">
        <is>
          <t>Bästa semantiska kandidat saknar taxekod</t>
        </is>
      </c>
      <c r="Q5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54" ht="30" customHeight="1">
      <c r="A54" s="68" t="inlineStr">
        <is>
          <t>§2.2.4</t>
        </is>
      </c>
      <c r="B54" s="68" t="inlineStr">
        <is>
          <t>Hämtningsavgift per år för flerbostadshus</t>
        </is>
      </c>
      <c r="C54" s="68" t="inlineStr">
        <is>
          <t>Kärl 370 l (förpackningar)</t>
        </is>
      </c>
      <c r="D54" s="68" t="inlineStr">
        <is>
          <t>Hämtning var 14:e dag</t>
        </is>
      </c>
      <c r="E54" s="68" t="inlineStr">
        <is>
          <t>st/år</t>
        </is>
      </c>
      <c r="F54" s="106" t="n"/>
      <c r="G54" s="116" t="n"/>
      <c r="H54" s="126">
        <f>IF($F54&lt;&gt;"",IFERROR(_xlfn.XLOOKUP($F54,Taxa_från_edp!$B:$B,Taxa_från_edp!C:C),""),"")</f>
        <v/>
      </c>
      <c r="I54" s="127">
        <f>IF($F54&lt;&gt;"",IFERROR(_xlfn.XLOOKUP($F54,Taxa_från_edp!$B:$B,Taxa_från_edp!G:G),""),"")</f>
        <v/>
      </c>
      <c r="J54" s="127">
        <f>IF($F54&lt;&gt;"",IFERROR(_xlfn.XLOOKUP($F54,Taxa_från_edp!$B:$B,Taxa_från_edp!K:K),""),"")</f>
        <v/>
      </c>
      <c r="K54" s="145" t="n"/>
      <c r="L54" s="146" t="n"/>
      <c r="M54" s="147">
        <f>IFERROR(IF(J54&lt;&gt;"",J54*1.25,IF(K54&lt;&gt;"",K54*1.25,"")),"")</f>
        <v/>
      </c>
      <c r="N54" s="148">
        <f>IFERROR(IF(J54&lt;&gt;"",L54*J54,IF(K54&lt;&gt;"",L54*K54,"")),"")</f>
        <v/>
      </c>
      <c r="O54" t="inlineStr">
        <is>
          <t>REVIEW_REQUIRED</t>
        </is>
      </c>
      <c r="P54" t="inlineStr">
        <is>
          <t>Bästa semantiska kandidat saknar taxekod</t>
        </is>
      </c>
      <c r="Q54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5" ht="30" customHeight="1">
      <c r="A55" s="68" t="inlineStr">
        <is>
          <t>§2.2.4</t>
        </is>
      </c>
      <c r="B55" s="68" t="inlineStr">
        <is>
          <t>Hämtningsavgift per år för flerbostadshus</t>
        </is>
      </c>
      <c r="C55" s="68" t="inlineStr">
        <is>
          <t>Kärl 370 l (förpackningar)</t>
        </is>
      </c>
      <c r="D55" s="68" t="inlineStr">
        <is>
          <t>Hämtning månadsvis</t>
        </is>
      </c>
      <c r="E55" s="68" t="inlineStr">
        <is>
          <t>st/år</t>
        </is>
      </c>
      <c r="F55" s="106" t="n"/>
      <c r="G55" s="116" t="n"/>
      <c r="H55" s="126">
        <f>IF($F55&lt;&gt;"",IFERROR(_xlfn.XLOOKUP($F55,Taxa_från_edp!$B:$B,Taxa_från_edp!C:C),""),"")</f>
        <v/>
      </c>
      <c r="I55" s="127">
        <f>IF($F55&lt;&gt;"",IFERROR(_xlfn.XLOOKUP($F55,Taxa_från_edp!$B:$B,Taxa_från_edp!G:G),""),"")</f>
        <v/>
      </c>
      <c r="J55" s="127">
        <f>IF($F55&lt;&gt;"",IFERROR(_xlfn.XLOOKUP($F55,Taxa_från_edp!$B:$B,Taxa_från_edp!K:K),""),"")</f>
        <v/>
      </c>
      <c r="K55" s="145" t="n"/>
      <c r="L55" s="146" t="n"/>
      <c r="M55" s="147">
        <f>IFERROR(IF(J55&lt;&gt;"",J55*1.25,IF(K55&lt;&gt;"",K55*1.25,"")),"")</f>
        <v/>
      </c>
      <c r="N55" s="148">
        <f>IFERROR(IF(J55&lt;&gt;"",L55*J55,IF(K55&lt;&gt;"",L55*K55,"")),"")</f>
        <v/>
      </c>
      <c r="O55" t="inlineStr">
        <is>
          <t>REVIEW_REQUIRED</t>
        </is>
      </c>
      <c r="P55" t="inlineStr">
        <is>
          <t>Bästa semantiska kandidat saknar taxekod</t>
        </is>
      </c>
      <c r="Q55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6" ht="30" customHeight="1">
      <c r="A56" s="68" t="inlineStr">
        <is>
          <t>§2.2.4</t>
        </is>
      </c>
      <c r="B56" s="68" t="inlineStr">
        <is>
          <t>Hämtningsavgift per år för flerbostadshus</t>
        </is>
      </c>
      <c r="C56" s="68" t="inlineStr">
        <is>
          <t>Kärl 660 l (förpackningar)</t>
        </is>
      </c>
      <c r="D56" s="68" t="inlineStr">
        <is>
          <t>Hämtning varje vecka</t>
        </is>
      </c>
      <c r="E56" s="68" t="inlineStr">
        <is>
          <t>st/år</t>
        </is>
      </c>
      <c r="F56" s="106" t="n"/>
      <c r="G56" s="116" t="n"/>
      <c r="H56" s="126">
        <f>IF($F56&lt;&gt;"",IFERROR(_xlfn.XLOOKUP($F56,Taxa_från_edp!$B:$B,Taxa_från_edp!C:C),""),"")</f>
        <v/>
      </c>
      <c r="I56" s="127">
        <f>IF($F56&lt;&gt;"",IFERROR(_xlfn.XLOOKUP($F56,Taxa_från_edp!$B:$B,Taxa_från_edp!G:G),""),"")</f>
        <v/>
      </c>
      <c r="J56" s="127">
        <f>IF($F56&lt;&gt;"",IFERROR(_xlfn.XLOOKUP($F56,Taxa_från_edp!$B:$B,Taxa_från_edp!K:K),""),"")</f>
        <v/>
      </c>
      <c r="K56" s="145" t="n"/>
      <c r="L56" s="146" t="n"/>
      <c r="M56" s="147">
        <f>IFERROR(IF(J56&lt;&gt;"",J56*1.25,IF(K56&lt;&gt;"",K56*1.25,"")),"")</f>
        <v/>
      </c>
      <c r="N56" s="148">
        <f>IFERROR(IF(J56&lt;&gt;"",L56*J56,IF(K56&lt;&gt;"",L56*K56,"")),"")</f>
        <v/>
      </c>
      <c r="O56" t="inlineStr">
        <is>
          <t>REVIEW_REQUIRED</t>
        </is>
      </c>
      <c r="P56" t="inlineStr">
        <is>
          <t>Bästa semantiska kandidat saknar taxekod</t>
        </is>
      </c>
      <c r="Q56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7" ht="30" customHeight="1">
      <c r="A57" s="68" t="inlineStr">
        <is>
          <t>§2.2.4</t>
        </is>
      </c>
      <c r="B57" s="68" t="inlineStr">
        <is>
          <t>Hämtningsavgift per år för flerbostadshus</t>
        </is>
      </c>
      <c r="C57" s="68" t="inlineStr">
        <is>
          <t>Kärl 660 l (förpackningar)</t>
        </is>
      </c>
      <c r="D57" s="68" t="inlineStr">
        <is>
          <t>Hämtning var 14:e dag</t>
        </is>
      </c>
      <c r="E57" s="68" t="inlineStr">
        <is>
          <t>st/år</t>
        </is>
      </c>
      <c r="F57" s="106" t="n"/>
      <c r="G57" s="116" t="n"/>
      <c r="H57" s="126">
        <f>IF($F57&lt;&gt;"",IFERROR(_xlfn.XLOOKUP($F57,Taxa_från_edp!$B:$B,Taxa_från_edp!C:C),""),"")</f>
        <v/>
      </c>
      <c r="I57" s="127">
        <f>IF($F57&lt;&gt;"",IFERROR(_xlfn.XLOOKUP($F57,Taxa_från_edp!$B:$B,Taxa_från_edp!G:G),""),"")</f>
        <v/>
      </c>
      <c r="J57" s="127">
        <f>IF($F57&lt;&gt;"",IFERROR(_xlfn.XLOOKUP($F57,Taxa_från_edp!$B:$B,Taxa_från_edp!K:K),""),"")</f>
        <v/>
      </c>
      <c r="K57" s="145" t="n"/>
      <c r="L57" s="146" t="n"/>
      <c r="M57" s="147">
        <f>IFERROR(IF(J57&lt;&gt;"",J57*1.25,IF(K57&lt;&gt;"",K57*1.25,"")),"")</f>
        <v/>
      </c>
      <c r="N57" s="148">
        <f>IFERROR(IF(J57&lt;&gt;"",L57*J57,IF(K57&lt;&gt;"",L57*K57,"")),"")</f>
        <v/>
      </c>
      <c r="O57" t="inlineStr">
        <is>
          <t>NEW_TAXA</t>
        </is>
      </c>
      <c r="P57" t="inlineStr">
        <is>
          <t>Ingen kandidat över granskningsgräns</t>
        </is>
      </c>
      <c r="Q5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8" ht="30" customHeight="1">
      <c r="A58" s="68" t="inlineStr">
        <is>
          <t>§2.2.4</t>
        </is>
      </c>
      <c r="B58" s="68" t="inlineStr">
        <is>
          <t>Hämtningsavgift per år för flerbostadshus</t>
        </is>
      </c>
      <c r="C58" s="68" t="inlineStr">
        <is>
          <t>Kärl 660 l (förpackningar)</t>
        </is>
      </c>
      <c r="D58" s="68" t="inlineStr">
        <is>
          <t>Hämtning månadsvis</t>
        </is>
      </c>
      <c r="E58" s="68" t="inlineStr">
        <is>
          <t>st/år</t>
        </is>
      </c>
      <c r="F58" s="106" t="n"/>
      <c r="G58" s="116" t="n"/>
      <c r="H58" s="126">
        <f>IF($F58&lt;&gt;"",IFERROR(_xlfn.XLOOKUP($F58,Taxa_från_edp!$B:$B,Taxa_från_edp!C:C),""),"")</f>
        <v/>
      </c>
      <c r="I58" s="127">
        <f>IF($F58&lt;&gt;"",IFERROR(_xlfn.XLOOKUP($F58,Taxa_från_edp!$B:$B,Taxa_från_edp!G:G),""),"")</f>
        <v/>
      </c>
      <c r="J58" s="127">
        <f>IF($F58&lt;&gt;"",IFERROR(_xlfn.XLOOKUP($F58,Taxa_från_edp!$B:$B,Taxa_från_edp!K:K),""),"")</f>
        <v/>
      </c>
      <c r="K58" s="145" t="n"/>
      <c r="L58" s="146" t="n"/>
      <c r="M58" s="147">
        <f>IFERROR(IF(J58&lt;&gt;"",J58*1.25,IF(K58&lt;&gt;"",K58*1.25,"")),"")</f>
        <v/>
      </c>
      <c r="N58" s="148">
        <f>IFERROR(IF(J58&lt;&gt;"",L58*J58,IF(K58&lt;&gt;"",L58*K58,"")),"")</f>
        <v/>
      </c>
      <c r="O58" t="inlineStr">
        <is>
          <t>NEW_TAXA</t>
        </is>
      </c>
      <c r="P58" t="inlineStr">
        <is>
          <t>Ingen kandidat över granskningsgräns</t>
        </is>
      </c>
      <c r="Q5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9" ht="30" customHeight="1">
      <c r="A59" s="68" t="inlineStr">
        <is>
          <t>§2.2.4</t>
        </is>
      </c>
      <c r="B59" s="68" t="inlineStr">
        <is>
          <t>Hämtningsavgift per år för flerbostadshus</t>
        </is>
      </c>
      <c r="C59" s="68" t="inlineStr">
        <is>
          <t>Kärl 190 l (tidningar och returpapper)</t>
        </is>
      </c>
      <c r="D59" s="68" t="inlineStr">
        <is>
          <t>Hämtning varje vecka</t>
        </is>
      </c>
      <c r="E59" s="68" t="inlineStr">
        <is>
          <t>st/år</t>
        </is>
      </c>
      <c r="F59" s="106" t="n"/>
      <c r="G59" s="116" t="n"/>
      <c r="H59" s="126">
        <f>IF($F59&lt;&gt;"",IFERROR(_xlfn.XLOOKUP($F59,Taxa_från_edp!$B:$B,Taxa_från_edp!C:C),""),"")</f>
        <v/>
      </c>
      <c r="I59" s="127">
        <f>IF($F59&lt;&gt;"",IFERROR(_xlfn.XLOOKUP($F59,Taxa_från_edp!$B:$B,Taxa_från_edp!G:G),""),"")</f>
        <v/>
      </c>
      <c r="J59" s="127">
        <f>IF($F59&lt;&gt;"",IFERROR(_xlfn.XLOOKUP($F59,Taxa_från_edp!$B:$B,Taxa_från_edp!K:K),""),"")</f>
        <v/>
      </c>
      <c r="K59" s="145" t="n"/>
      <c r="L59" s="146" t="n"/>
      <c r="M59" s="147">
        <f>IFERROR(IF(J59&lt;&gt;"",J59*1.25,IF(K59&lt;&gt;"",K59*1.25,"")),"")</f>
        <v/>
      </c>
      <c r="N59" s="148">
        <f>IFERROR(IF(J59&lt;&gt;"",L59*J59,IF(K59&lt;&gt;"",L59*K59,"")),"")</f>
        <v/>
      </c>
      <c r="O59" t="inlineStr">
        <is>
          <t>REVIEW_REQUIRED</t>
        </is>
      </c>
      <c r="P59" t="inlineStr">
        <is>
          <t>Bästa semantiska kandidat saknar taxekod</t>
        </is>
      </c>
      <c r="Q59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60" ht="30" customHeight="1">
      <c r="A60" s="68" t="inlineStr">
        <is>
          <t>§2.2.4</t>
        </is>
      </c>
      <c r="B60" s="68" t="inlineStr">
        <is>
          <t>Hämtningsavgift per år för flerbostadshus</t>
        </is>
      </c>
      <c r="C60" s="68" t="inlineStr">
        <is>
          <t>Kärl 190 l (tidningar och returpapper)</t>
        </is>
      </c>
      <c r="D60" s="68" t="inlineStr">
        <is>
          <t>Hämtning var 14:e dag</t>
        </is>
      </c>
      <c r="E60" s="68" t="inlineStr">
        <is>
          <t>st/år</t>
        </is>
      </c>
      <c r="F60" s="106" t="n"/>
      <c r="G60" s="116" t="n"/>
      <c r="H60" s="126">
        <f>IF($F60&lt;&gt;"",IFERROR(_xlfn.XLOOKUP($F60,Taxa_från_edp!$B:$B,Taxa_från_edp!C:C),""),"")</f>
        <v/>
      </c>
      <c r="I60" s="127">
        <f>IF($F60&lt;&gt;"",IFERROR(_xlfn.XLOOKUP($F60,Taxa_från_edp!$B:$B,Taxa_från_edp!G:G),""),"")</f>
        <v/>
      </c>
      <c r="J60" s="127">
        <f>IF($F60&lt;&gt;"",IFERROR(_xlfn.XLOOKUP($F60,Taxa_från_edp!$B:$B,Taxa_från_edp!K:K),""),"")</f>
        <v/>
      </c>
      <c r="K60" s="145" t="n"/>
      <c r="L60" s="146" t="n"/>
      <c r="M60" s="147">
        <f>IFERROR(IF(J60&lt;&gt;"",J60*1.25,IF(K60&lt;&gt;"",K60*1.25,"")),"")</f>
        <v/>
      </c>
      <c r="N60" s="148">
        <f>IFERROR(IF(J60&lt;&gt;"",L60*J60,IF(K60&lt;&gt;"",L60*K60,"")),"")</f>
        <v/>
      </c>
      <c r="O60" t="inlineStr">
        <is>
          <t>REVIEW_REQUIRED</t>
        </is>
      </c>
      <c r="P60" t="inlineStr">
        <is>
          <t>Semantisk kandidat finns men säkerheten räcker inte för förslag</t>
        </is>
      </c>
      <c r="Q60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61" ht="30" customHeight="1">
      <c r="A61" s="68" t="inlineStr">
        <is>
          <t>§2.2.4</t>
        </is>
      </c>
      <c r="B61" s="68" t="inlineStr">
        <is>
          <t>Hämtningsavgift per år för flerbostadshus</t>
        </is>
      </c>
      <c r="C61" s="68" t="inlineStr">
        <is>
          <t>Kärl 190 l (tidningar och returpapper)</t>
        </is>
      </c>
      <c r="D61" s="68" t="inlineStr">
        <is>
          <t>Hämtning månadsvis</t>
        </is>
      </c>
      <c r="E61" s="68" t="inlineStr">
        <is>
          <t>st/år</t>
        </is>
      </c>
      <c r="F61" s="106" t="n"/>
      <c r="G61" s="116" t="n"/>
      <c r="H61" s="126">
        <f>IF($F61&lt;&gt;"",IFERROR(_xlfn.XLOOKUP($F61,Taxa_från_edp!$B:$B,Taxa_från_edp!C:C),""),"")</f>
        <v/>
      </c>
      <c r="I61" s="127">
        <f>IF($F61&lt;&gt;"",IFERROR(_xlfn.XLOOKUP($F61,Taxa_från_edp!$B:$B,Taxa_från_edp!G:G),""),"")</f>
        <v/>
      </c>
      <c r="J61" s="127">
        <f>IF($F61&lt;&gt;"",IFERROR(_xlfn.XLOOKUP($F61,Taxa_från_edp!$B:$B,Taxa_från_edp!K:K),""),"")</f>
        <v/>
      </c>
      <c r="K61" s="145" t="n"/>
      <c r="L61" s="146" t="n"/>
      <c r="M61" s="147">
        <f>IFERROR(IF(J61&lt;&gt;"",J61*1.25,IF(K61&lt;&gt;"",K61*1.25,"")),"")</f>
        <v/>
      </c>
      <c r="N61" s="148">
        <f>IFERROR(IF(J61&lt;&gt;"",L61*J61,IF(K61&lt;&gt;"",L61*K61,"")),"")</f>
        <v/>
      </c>
      <c r="O61" t="inlineStr">
        <is>
          <t>REVIEW_REQUIRED</t>
        </is>
      </c>
      <c r="P61" t="inlineStr">
        <is>
          <t>Bästa semantiska kandidat saknar taxekod</t>
        </is>
      </c>
      <c r="Q61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62" ht="30" customHeight="1">
      <c r="A62" s="68" t="inlineStr">
        <is>
          <t>§2.2.4</t>
        </is>
      </c>
      <c r="B62" s="68" t="inlineStr">
        <is>
          <t>Hämtningsavgift per år för flerbostadshus</t>
        </is>
      </c>
      <c r="C62" s="68" t="inlineStr">
        <is>
          <t>Kärl 370 l (tidningar och returpapper)</t>
        </is>
      </c>
      <c r="D62" s="68" t="inlineStr">
        <is>
          <t>Hämtning varje vecka</t>
        </is>
      </c>
      <c r="E62" s="68" t="inlineStr">
        <is>
          <t>st/år</t>
        </is>
      </c>
      <c r="F62" s="106" t="n"/>
      <c r="G62" s="116" t="n"/>
      <c r="H62" s="126">
        <f>IF($F62&lt;&gt;"",IFERROR(_xlfn.XLOOKUP($F62,Taxa_från_edp!$B:$B,Taxa_från_edp!C:C),""),"")</f>
        <v/>
      </c>
      <c r="I62" s="127">
        <f>IF($F62&lt;&gt;"",IFERROR(_xlfn.XLOOKUP($F62,Taxa_från_edp!$B:$B,Taxa_från_edp!G:G),""),"")</f>
        <v/>
      </c>
      <c r="J62" s="127">
        <f>IF($F62&lt;&gt;"",IFERROR(_xlfn.XLOOKUP($F62,Taxa_från_edp!$B:$B,Taxa_från_edp!K:K),""),"")</f>
        <v/>
      </c>
      <c r="K62" s="145" t="n"/>
      <c r="L62" s="146" t="n"/>
      <c r="M62" s="147">
        <f>IFERROR(IF(J62&lt;&gt;"",J62*1.25,IF(K62&lt;&gt;"",K62*1.25,"")),"")</f>
        <v/>
      </c>
      <c r="N62" s="148">
        <f>IFERROR(IF(J62&lt;&gt;"",L62*J62,IF(K62&lt;&gt;"",L62*K62,"")),"")</f>
        <v/>
      </c>
      <c r="O62" t="inlineStr">
        <is>
          <t>REVIEW_REQUIRED</t>
        </is>
      </c>
      <c r="P62" t="inlineStr">
        <is>
          <t>Bästa semantiska kandidat saknar taxekod</t>
        </is>
      </c>
      <c r="Q62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63" ht="30" customHeight="1">
      <c r="A63" s="68" t="inlineStr">
        <is>
          <t>§2.2.4</t>
        </is>
      </c>
      <c r="B63" s="68" t="inlineStr">
        <is>
          <t>Hämtningsavgift per år för flerbostadshus</t>
        </is>
      </c>
      <c r="C63" s="68" t="inlineStr">
        <is>
          <t>Kärl 370 l (tidningar och returpapper)</t>
        </is>
      </c>
      <c r="D63" s="68" t="inlineStr">
        <is>
          <t>Hämtning var 14:e dag</t>
        </is>
      </c>
      <c r="E63" s="68" t="inlineStr">
        <is>
          <t>st/år</t>
        </is>
      </c>
      <c r="F63" s="106" t="n"/>
      <c r="G63" s="116" t="n"/>
      <c r="H63" s="126">
        <f>IF($F63&lt;&gt;"",IFERROR(_xlfn.XLOOKUP($F63,Taxa_från_edp!$B:$B,Taxa_från_edp!C:C),""),"")</f>
        <v/>
      </c>
      <c r="I63" s="127">
        <f>IF($F63&lt;&gt;"",IFERROR(_xlfn.XLOOKUP($F63,Taxa_från_edp!$B:$B,Taxa_från_edp!G:G),""),"")</f>
        <v/>
      </c>
      <c r="J63" s="127">
        <f>IF($F63&lt;&gt;"",IFERROR(_xlfn.XLOOKUP($F63,Taxa_från_edp!$B:$B,Taxa_från_edp!K:K),""),"")</f>
        <v/>
      </c>
      <c r="K63" s="145" t="n"/>
      <c r="L63" s="146" t="n"/>
      <c r="M63" s="147">
        <f>IFERROR(IF(J63&lt;&gt;"",J63*1.25,IF(K63&lt;&gt;"",K63*1.25,"")),"")</f>
        <v/>
      </c>
      <c r="N63" s="148">
        <f>IFERROR(IF(J63&lt;&gt;"",L63*J63,IF(K63&lt;&gt;"",L63*K63,"")),"")</f>
        <v/>
      </c>
      <c r="O63" t="inlineStr">
        <is>
          <t>REVIEW_REQUIRED</t>
        </is>
      </c>
      <c r="P63" t="inlineStr">
        <is>
          <t>Bästa semantiska kandidat saknar taxekod</t>
        </is>
      </c>
      <c r="Q6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64" ht="30" customHeight="1">
      <c r="A64" s="68" t="inlineStr">
        <is>
          <t>§2.2.4</t>
        </is>
      </c>
      <c r="B64" s="68" t="inlineStr">
        <is>
          <t>Hämtningsavgift per år för flerbostadshus</t>
        </is>
      </c>
      <c r="C64" s="68" t="inlineStr">
        <is>
          <t>Kärl 370 l (tidningar och returpapper)</t>
        </is>
      </c>
      <c r="D64" s="68" t="inlineStr">
        <is>
          <t>Hämtning månadsvis</t>
        </is>
      </c>
      <c r="E64" s="68" t="inlineStr">
        <is>
          <t>st/år</t>
        </is>
      </c>
      <c r="F64" s="106" t="n"/>
      <c r="G64" s="116" t="n"/>
      <c r="H64" s="126">
        <f>IF($F64&lt;&gt;"",IFERROR(_xlfn.XLOOKUP($F64,Taxa_från_edp!$B:$B,Taxa_från_edp!C:C),""),"")</f>
        <v/>
      </c>
      <c r="I64" s="127">
        <f>IF($F64&lt;&gt;"",IFERROR(_xlfn.XLOOKUP($F64,Taxa_från_edp!$B:$B,Taxa_från_edp!G:G),""),"")</f>
        <v/>
      </c>
      <c r="J64" s="127">
        <f>IF($F64&lt;&gt;"",IFERROR(_xlfn.XLOOKUP($F64,Taxa_från_edp!$B:$B,Taxa_från_edp!K:K),""),"")</f>
        <v/>
      </c>
      <c r="K64" s="145" t="n"/>
      <c r="L64" s="146" t="n"/>
      <c r="M64" s="147">
        <f>IFERROR(IF(J64&lt;&gt;"",J64*1.25,IF(K64&lt;&gt;"",K64*1.25,"")),"")</f>
        <v/>
      </c>
      <c r="N64" s="148">
        <f>IFERROR(IF(J64&lt;&gt;"",L64*J64,IF(K64&lt;&gt;"",L64*K64,"")),"")</f>
        <v/>
      </c>
      <c r="O64" t="inlineStr">
        <is>
          <t>NEW_TAXA</t>
        </is>
      </c>
      <c r="P64" t="inlineStr">
        <is>
          <t>Ingen kandidat över granskningsgräns</t>
        </is>
      </c>
      <c r="Q6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5" ht="30" customHeight="1">
      <c r="A65" s="68" t="inlineStr">
        <is>
          <t>§2.2.4</t>
        </is>
      </c>
      <c r="B65" s="68" t="inlineStr">
        <is>
          <t>Hämtningsavgift per år för flerbostadshus</t>
        </is>
      </c>
      <c r="C65" s="68" t="inlineStr">
        <is>
          <t>Bottentömmande behållare (mat-/restavfall, förpackningar)</t>
        </is>
      </c>
      <c r="D65" s="68" t="inlineStr">
        <is>
          <t>Avgift per tömning</t>
        </is>
      </c>
      <c r="E65" s="68" t="inlineStr">
        <is>
          <t>st/tömning</t>
        </is>
      </c>
      <c r="F65" s="107" t="n"/>
      <c r="G65" s="117" t="n"/>
      <c r="H65" s="128">
        <f>IF($F65&lt;&gt;"",IFERROR(_xlfn.XLOOKUP($F65,Taxa_från_edp!$B:$B,Taxa_från_edp!C:C),""),"")</f>
        <v/>
      </c>
      <c r="I65" s="129">
        <f>IF($F65&lt;&gt;"",IFERROR(_xlfn.XLOOKUP($F65,Taxa_från_edp!$B:$B,Taxa_från_edp!G:G),""),"")</f>
        <v/>
      </c>
      <c r="J65" s="129">
        <f>IF($F65&lt;&gt;"",IFERROR(_xlfn.XLOOKUP($F65,Taxa_från_edp!$B:$B,Taxa_från_edp!K:K),""),"")</f>
        <v/>
      </c>
      <c r="K65" s="150" t="n"/>
      <c r="L65" s="151" t="n"/>
      <c r="M65" s="147">
        <f>IFERROR(IF(J65&lt;&gt;"",J65*1.25,IF(K65&lt;&gt;"",K65*1.25,"")),"")</f>
        <v/>
      </c>
      <c r="N65" s="148">
        <f>IFERROR(IF(J65&lt;&gt;"",L65*J65,IF(K65&lt;&gt;"",L65*K65,"")),"")</f>
        <v/>
      </c>
      <c r="O65" t="inlineStr">
        <is>
          <t>NEW_TAXA</t>
        </is>
      </c>
      <c r="P65" t="inlineStr">
        <is>
          <t>Ingen kandidat över granskningsgräns</t>
        </is>
      </c>
      <c r="Q6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6" ht="30" customHeight="1">
      <c r="A66" s="68" t="inlineStr">
        <is>
          <t>§2.2.4</t>
        </is>
      </c>
      <c r="B66" s="68" t="inlineStr">
        <is>
          <t>Hämtningsavgift per år för flerbostadshus</t>
        </is>
      </c>
      <c r="C66" s="68" t="inlineStr">
        <is>
          <t>Bottentömmande behållare (mat-/restavfall, förpackningar)</t>
        </is>
      </c>
      <c r="D66" s="68" t="inlineStr">
        <is>
          <t>Tillägg för två tömningar per vecka</t>
        </is>
      </c>
      <c r="E66" s="68" t="inlineStr">
        <is>
          <t>st/tömning</t>
        </is>
      </c>
      <c r="F66" s="107" t="n"/>
      <c r="G66" s="117" t="n"/>
      <c r="H66" s="128">
        <f>IF($F66&lt;&gt;"",IFERROR(_xlfn.XLOOKUP($F66,Taxa_från_edp!$B:$B,Taxa_från_edp!C:C),""),"")</f>
        <v/>
      </c>
      <c r="I66" s="129">
        <f>IF($F66&lt;&gt;"",IFERROR(_xlfn.XLOOKUP($F66,Taxa_från_edp!$B:$B,Taxa_från_edp!G:G),""),"")</f>
        <v/>
      </c>
      <c r="J66" s="129">
        <f>IF($F66&lt;&gt;"",IFERROR(_xlfn.XLOOKUP($F66,Taxa_från_edp!$B:$B,Taxa_från_edp!K:K),""),"")</f>
        <v/>
      </c>
      <c r="K66" s="150" t="n"/>
      <c r="L66" s="151" t="n"/>
      <c r="M66" s="147">
        <f>IFERROR(IF(J66&lt;&gt;"",J66*1.25,IF(K66&lt;&gt;"",K66*1.25,"")),"")</f>
        <v/>
      </c>
      <c r="N66" s="148">
        <f>IFERROR(IF(J66&lt;&gt;"",L66*J66,IF(K66&lt;&gt;"",L66*K66,"")),"")</f>
        <v/>
      </c>
      <c r="O66" t="inlineStr">
        <is>
          <t>NEW_TAXA</t>
        </is>
      </c>
      <c r="P66" t="inlineStr">
        <is>
          <t>Ingen kandidat över granskningsgräns</t>
        </is>
      </c>
      <c r="Q66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67" ht="30" customHeight="1">
      <c r="A67" s="68" t="inlineStr">
        <is>
          <t>§2.2.4</t>
        </is>
      </c>
      <c r="B67" s="68" t="inlineStr">
        <is>
          <t>Hämtningsavgift per år för flerbostadshus</t>
        </is>
      </c>
      <c r="C67" s="68" t="inlineStr">
        <is>
          <t>Gemensam uppsamlingsplats för mat-/restavfall, förpackningar</t>
        </is>
      </c>
      <c r="D67" s="68" t="inlineStr">
        <is>
          <t>Avgift per lägenhet</t>
        </is>
      </c>
      <c r="E67" s="68" t="inlineStr">
        <is>
          <t>lägenhet/år</t>
        </is>
      </c>
      <c r="F67" s="106" t="n"/>
      <c r="G67" s="116" t="n"/>
      <c r="H67" s="126">
        <f>IF($F67&lt;&gt;"",IFERROR(_xlfn.XLOOKUP($F67,Taxa_från_edp!$B:$B,Taxa_från_edp!C:C),""),"")</f>
        <v/>
      </c>
      <c r="I67" s="127">
        <f>IF($F67&lt;&gt;"",IFERROR(_xlfn.XLOOKUP($F67,Taxa_från_edp!$B:$B,Taxa_från_edp!G:G),""),"")</f>
        <v/>
      </c>
      <c r="J67" s="127">
        <f>IF($F67&lt;&gt;"",IFERROR(_xlfn.XLOOKUP($F67,Taxa_från_edp!$B:$B,Taxa_från_edp!K:K),""),"")</f>
        <v/>
      </c>
      <c r="K67" s="145" t="n"/>
      <c r="L67" s="146" t="n"/>
      <c r="M67" s="147">
        <f>IFERROR(IF(J67&lt;&gt;"",J67*1.25,IF(K67&lt;&gt;"",K67*1.25,"")),"")</f>
        <v/>
      </c>
      <c r="N67" s="148">
        <f>IFERROR(IF(J67&lt;&gt;"",L67*J67,IF(K67&lt;&gt;"",L67*K67,"")),"")</f>
        <v/>
      </c>
      <c r="O67" t="inlineStr">
        <is>
          <t>NEW_TAXA</t>
        </is>
      </c>
      <c r="P67" t="inlineStr">
        <is>
          <t>Ingen kandidat över granskningsgräns</t>
        </is>
      </c>
      <c r="Q67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8" ht="21.95" customHeight="1">
      <c r="A68" s="83" t="inlineStr">
        <is>
          <t>§2.2.5 Hämtningsavgift per år för verksamheter inom hämtningsområde X</t>
        </is>
      </c>
      <c r="B68" s="84" t="n"/>
      <c r="C68" s="84" t="n"/>
      <c r="D68" s="84" t="n"/>
      <c r="E68" s="85" t="n"/>
      <c r="F68" s="114" t="n"/>
      <c r="G68" s="122" t="n"/>
      <c r="H68" s="122">
        <f>IF($F68&lt;&gt;"",IFERROR(_xlfn.XLOOKUP($F68,Taxa_från_edp!$B:$B,Taxa_från_edp!C:C),""),"")</f>
        <v/>
      </c>
      <c r="I68" s="149">
        <f>IF($F68&lt;&gt;"",IFERROR(_xlfn.XLOOKUP($F68,Taxa_från_edp!$B:$B,Taxa_från_edp!G:G),""),"")</f>
        <v/>
      </c>
      <c r="J68" s="149">
        <f>IF($F68&lt;&gt;"",IFERROR(_xlfn.XLOOKUP($F68,Taxa_från_edp!$B:$B,Taxa_från_edp!K:K),""),"")</f>
        <v/>
      </c>
      <c r="K68" s="149" t="n"/>
      <c r="L68" s="149" t="n"/>
      <c r="M68" s="121">
        <f>IFERROR(IF(J68&lt;&gt;"",J68*1.25,IF(K68&lt;&gt;"",K68*1.25,"")),"")</f>
        <v/>
      </c>
      <c r="N68" s="144">
        <f>IFERROR(IF(J68&lt;&gt;"",L68*J68,IF(K68&lt;&gt;"",L68*K68,"")),"")</f>
        <v/>
      </c>
      <c r="O68" t="inlineStr">
        <is>
          <t>NEW_TAXA</t>
        </is>
      </c>
      <c r="P68" t="inlineStr">
        <is>
          <t>Ingen kandidat över granskningsgräns</t>
        </is>
      </c>
      <c r="Q68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9" ht="30" customHeight="1">
      <c r="A69" s="68" t="inlineStr">
        <is>
          <t>§2.2.5</t>
        </is>
      </c>
      <c r="B69" s="68" t="inlineStr">
        <is>
          <t>Hämtningsavgift per år för verksamheter</t>
        </is>
      </c>
      <c r="C69" s="68" t="inlineStr">
        <is>
          <t>Kärl 240 l (mat-/restavfall)</t>
        </is>
      </c>
      <c r="D69" s="68" t="inlineStr">
        <is>
          <t>Hämtning varje vecka</t>
        </is>
      </c>
      <c r="E69" s="68" t="inlineStr">
        <is>
          <t>st/år</t>
        </is>
      </c>
      <c r="F69" s="106" t="n"/>
      <c r="G69" s="116" t="n"/>
      <c r="H69" s="126">
        <f>IF($F69&lt;&gt;"",IFERROR(_xlfn.XLOOKUP($F69,Taxa_från_edp!$B:$B,Taxa_från_edp!C:C),""),"")</f>
        <v/>
      </c>
      <c r="I69" s="127">
        <f>IF($F69&lt;&gt;"",IFERROR(_xlfn.XLOOKUP($F69,Taxa_från_edp!$B:$B,Taxa_från_edp!G:G),""),"")</f>
        <v/>
      </c>
      <c r="J69" s="127">
        <f>IF($F69&lt;&gt;"",IFERROR(_xlfn.XLOOKUP($F69,Taxa_från_edp!$B:$B,Taxa_från_edp!K:K),""),"")</f>
        <v/>
      </c>
      <c r="K69" s="145" t="n"/>
      <c r="L69" s="146" t="n"/>
      <c r="M69" s="147">
        <f>IFERROR(IF(J69&lt;&gt;"",J69*1.25,IF(K69&lt;&gt;"",K69*1.25,"")),"")</f>
        <v/>
      </c>
      <c r="N69" s="148">
        <f>IFERROR(IF(J69&lt;&gt;"",L69*J69,IF(K69&lt;&gt;"",L69*K69,"")),"")</f>
        <v/>
      </c>
      <c r="O69" t="inlineStr">
        <is>
          <t>REVIEW_REQUIRED</t>
        </is>
      </c>
      <c r="P69" t="inlineStr">
        <is>
          <t>Bästa semantiska kandidat saknar taxekod</t>
        </is>
      </c>
      <c r="Q69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70" ht="30" customHeight="1">
      <c r="A70" s="68" t="inlineStr">
        <is>
          <t>§2.2.5</t>
        </is>
      </c>
      <c r="B70" s="68" t="inlineStr">
        <is>
          <t>Hämtningsavgift per år för verksamheter</t>
        </is>
      </c>
      <c r="C70" s="68" t="inlineStr">
        <is>
          <t>Kärl 240 l (mat-/restavfall)</t>
        </is>
      </c>
      <c r="D70" s="68" t="inlineStr">
        <is>
          <t>Hämtning var 14:e dag</t>
        </is>
      </c>
      <c r="E70" s="68" t="inlineStr">
        <is>
          <t>st/år</t>
        </is>
      </c>
      <c r="F70" s="106" t="inlineStr">
        <is>
          <t>KÄ240RM26FV</t>
        </is>
      </c>
      <c r="G70" s="116">
        <f>IF($F70&lt;&gt;"",$F70,IFERROR(_xlfn.XLOOKUP(ROW(),Taxa_Saknas!$H:$H,Taxa_Saknas!$G:$G),""))</f>
        <v/>
      </c>
      <c r="H70" s="126">
        <f>IF($F70&lt;&gt;"",IFERROR(_xlfn.XLOOKUP($F70,Taxa_från_edp!$B:$B,Taxa_från_edp!C:C),""),"")</f>
        <v/>
      </c>
      <c r="I70" s="127">
        <f>IF($F70&lt;&gt;"",IFERROR(_xlfn.XLOOKUP($F70,Taxa_från_edp!$B:$B,Taxa_från_edp!G:G),""),"")</f>
        <v/>
      </c>
      <c r="J70" s="127">
        <f>IF($F70&lt;&gt;"",IFERROR(_xlfn.XLOOKUP($F70,Taxa_från_edp!$B:$B,Taxa_från_edp!K:K),""),"")</f>
        <v/>
      </c>
      <c r="K70" s="145" t="n"/>
      <c r="L70" s="146" t="n"/>
      <c r="M70" s="147">
        <f>IFERROR(IF(J70&lt;&gt;"",J70*1.25,IF(K70&lt;&gt;"",K70*1.25,"")),"")</f>
        <v/>
      </c>
      <c r="N70" s="148">
        <f>IFERROR(IF(J70&lt;&gt;"",L70*J70,IF(K70&lt;&gt;"",L70*K70,"")),"")</f>
        <v/>
      </c>
      <c r="O70" t="inlineStr">
        <is>
          <t>REVIEW_REQUIRED</t>
        </is>
      </c>
      <c r="P70" t="inlineStr">
        <is>
          <t>Bästa semantiska kandidat saknar taxekod</t>
        </is>
      </c>
      <c r="Q70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71" ht="30" customHeight="1">
      <c r="A71" s="68" t="inlineStr">
        <is>
          <t>§2.2.5</t>
        </is>
      </c>
      <c r="B71" s="68" t="inlineStr">
        <is>
          <t>Hämtningsavgift per år för verksamheter</t>
        </is>
      </c>
      <c r="C71" s="68" t="inlineStr">
        <is>
          <t>Kärl 240 l (mat-/restavfall)</t>
        </is>
      </c>
      <c r="D71" s="68" t="inlineStr">
        <is>
          <t>Hämtning månadsvis</t>
        </is>
      </c>
      <c r="E71" s="68" t="inlineStr">
        <is>
          <t>st/år</t>
        </is>
      </c>
      <c r="F71" s="106" t="n"/>
      <c r="G71" s="116">
        <f>IF($F71&lt;&gt;"",$F71,IFERROR(_xlfn.XLOOKUP(ROW(),Taxa_Saknas!$H:$H,Taxa_Saknas!$G:$G),""))</f>
        <v/>
      </c>
      <c r="H71" s="126">
        <f>IF($F71&lt;&gt;"",IFERROR(_xlfn.XLOOKUP($F71,Taxa_från_edp!$B:$B,Taxa_från_edp!C:C),""),"")</f>
        <v/>
      </c>
      <c r="I71" s="127">
        <f>IF($F71&lt;&gt;"",IFERROR(_xlfn.XLOOKUP($F71,Taxa_från_edp!$B:$B,Taxa_från_edp!G:G),""),"")</f>
        <v/>
      </c>
      <c r="J71" s="127">
        <f>IF($F71&lt;&gt;"",IFERROR(_xlfn.XLOOKUP($F71,Taxa_från_edp!$B:$B,Taxa_från_edp!K:K),""),"")</f>
        <v/>
      </c>
      <c r="K71" s="145" t="n"/>
      <c r="L71" s="146" t="n"/>
      <c r="M71" s="147">
        <f>IFERROR(IF(J71&lt;&gt;"",J71*1.25,IF(K71&lt;&gt;"",K71*1.25,"")),"")</f>
        <v/>
      </c>
      <c r="N71" s="148">
        <f>IFERROR(IF(J71&lt;&gt;"",L71*J71,IF(K71&lt;&gt;"",L71*K71,"")),"")</f>
        <v/>
      </c>
      <c r="O71" t="inlineStr">
        <is>
          <t>NEW_TAXA</t>
        </is>
      </c>
      <c r="P71" t="inlineStr">
        <is>
          <t>Ingen kandidat över granskningsgräns</t>
        </is>
      </c>
      <c r="Q71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72" ht="30" customHeight="1">
      <c r="A72" s="68" t="inlineStr">
        <is>
          <t>§2.2.5</t>
        </is>
      </c>
      <c r="B72" s="68" t="inlineStr">
        <is>
          <t>Hämtningsavgift per år för verksamheter</t>
        </is>
      </c>
      <c r="C72" s="68" t="inlineStr">
        <is>
          <t>Kärl 370 l (restavfall)</t>
        </is>
      </c>
      <c r="D72" s="68" t="inlineStr">
        <is>
          <t>Hämtning varje vecka</t>
        </is>
      </c>
      <c r="E72" s="68" t="inlineStr">
        <is>
          <t>st/år</t>
        </is>
      </c>
      <c r="F72" s="106" t="n"/>
      <c r="G72" s="116" t="n"/>
      <c r="H72" s="126">
        <f>IF($F72&lt;&gt;"",IFERROR(_xlfn.XLOOKUP($F72,Taxa_från_edp!$B:$B,Taxa_från_edp!C:C),""),"")</f>
        <v/>
      </c>
      <c r="I72" s="127">
        <f>IF($F72&lt;&gt;"",IFERROR(_xlfn.XLOOKUP($F72,Taxa_från_edp!$B:$B,Taxa_från_edp!G:G),""),"")</f>
        <v/>
      </c>
      <c r="J72" s="127">
        <f>IF($F72&lt;&gt;"",IFERROR(_xlfn.XLOOKUP($F72,Taxa_från_edp!$B:$B,Taxa_från_edp!K:K),""),"")</f>
        <v/>
      </c>
      <c r="K72" s="145" t="n"/>
      <c r="L72" s="146" t="n"/>
      <c r="M72" s="147">
        <f>IFERROR(IF(J72&lt;&gt;"",J72*1.25,IF(K72&lt;&gt;"",K72*1.25,"")),"")</f>
        <v/>
      </c>
      <c r="N72" s="148">
        <f>IFERROR(IF(J72&lt;&gt;"",L72*J72,IF(K72&lt;&gt;"",L72*K72,"")),"")</f>
        <v/>
      </c>
      <c r="O72" t="inlineStr">
        <is>
          <t>NEW_TAXA</t>
        </is>
      </c>
      <c r="P72" t="inlineStr">
        <is>
          <t>Ingen kandidat över granskningsgräns</t>
        </is>
      </c>
      <c r="Q72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73" ht="30" customHeight="1">
      <c r="A73" s="68" t="inlineStr">
        <is>
          <t>§2.2.5</t>
        </is>
      </c>
      <c r="B73" s="68" t="inlineStr">
        <is>
          <t>Hämtningsavgift per år för verksamheter</t>
        </is>
      </c>
      <c r="C73" s="68" t="inlineStr">
        <is>
          <t>Kärl 370 l (restavfall)</t>
        </is>
      </c>
      <c r="D73" s="68" t="inlineStr">
        <is>
          <t>Hämtning var 14:e dag</t>
        </is>
      </c>
      <c r="E73" s="68" t="inlineStr">
        <is>
          <t>st/år</t>
        </is>
      </c>
      <c r="F73" s="106" t="inlineStr">
        <is>
          <t>KÄ370RE26FV</t>
        </is>
      </c>
      <c r="G73" s="116">
        <f>IF($F73&lt;&gt;"",$F73,IFERROR(_xlfn.XLOOKUP(ROW(),Taxa_Saknas!$H:$H,Taxa_Saknas!$G:$G),""))</f>
        <v/>
      </c>
      <c r="H73" s="126">
        <f>IF($F73&lt;&gt;"",IFERROR(_xlfn.XLOOKUP($F73,Taxa_från_edp!$B:$B,Taxa_från_edp!C:C),""),"")</f>
        <v/>
      </c>
      <c r="I73" s="127">
        <f>IF($F73&lt;&gt;"",IFERROR(_xlfn.XLOOKUP($F73,Taxa_från_edp!$B:$B,Taxa_från_edp!G:G),""),"")</f>
        <v/>
      </c>
      <c r="J73" s="127">
        <f>IF($F73&lt;&gt;"",IFERROR(_xlfn.XLOOKUP($F73,Taxa_från_edp!$B:$B,Taxa_från_edp!K:K),""),"")</f>
        <v/>
      </c>
      <c r="K73" s="145" t="n"/>
      <c r="L73" s="146" t="n"/>
      <c r="M73" s="147">
        <f>IFERROR(IF(J73&lt;&gt;"",J73*1.25,IF(K73&lt;&gt;"",K73*1.25,"")),"")</f>
        <v/>
      </c>
      <c r="N73" s="148">
        <f>IFERROR(IF(J73&lt;&gt;"",L73*J73,IF(K73&lt;&gt;"",L73*K73,"")),"")</f>
        <v/>
      </c>
      <c r="O73" t="inlineStr">
        <is>
          <t>NEW_TAXA</t>
        </is>
      </c>
      <c r="P73" t="inlineStr">
        <is>
          <t>Ingen kandidat över granskningsgräns</t>
        </is>
      </c>
      <c r="Q7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4">
      <c r="A74" s="68" t="inlineStr">
        <is>
          <t>§2.2.5</t>
        </is>
      </c>
      <c r="B74" s="68" t="inlineStr">
        <is>
          <t>Hämtningsavgift per år för verksamheter</t>
        </is>
      </c>
      <c r="C74" s="68" t="inlineStr">
        <is>
          <t>Kärl 370 l (restavfall)</t>
        </is>
      </c>
      <c r="D74" s="68" t="inlineStr">
        <is>
          <t>Hämtning månadsvis</t>
        </is>
      </c>
      <c r="E74" s="68" t="inlineStr">
        <is>
          <t>st/år</t>
        </is>
      </c>
      <c r="F74" s="106" t="n"/>
      <c r="G74" s="116" t="n"/>
      <c r="H74" s="126">
        <f>IF($F74&lt;&gt;"",IFERROR(_xlfn.XLOOKUP($F74,Taxa_från_edp!$B:$B,Taxa_från_edp!C:C),""),"")</f>
        <v/>
      </c>
      <c r="I74" s="127">
        <f>IF($F74&lt;&gt;"",IFERROR(_xlfn.XLOOKUP($F74,Taxa_från_edp!$B:$B,Taxa_från_edp!G:G),""),"")</f>
        <v/>
      </c>
      <c r="J74" s="127">
        <f>IF($F74&lt;&gt;"",IFERROR(_xlfn.XLOOKUP($F74,Taxa_från_edp!$B:$B,Taxa_från_edp!K:K),""),"")</f>
        <v/>
      </c>
      <c r="K74" s="145" t="n"/>
      <c r="L74" s="146" t="n"/>
      <c r="M74" s="147">
        <f>IFERROR(IF(J74&lt;&gt;"",J74*1.25,IF(K74&lt;&gt;"",K74*1.25,"")),"")</f>
        <v/>
      </c>
      <c r="N74" s="148">
        <f>IFERROR(IF(J74&lt;&gt;"",L74*J74,IF(K74&lt;&gt;"",L74*K74,"")),"")</f>
        <v/>
      </c>
      <c r="O74" t="inlineStr">
        <is>
          <t>REVIEW_REQUIRED</t>
        </is>
      </c>
      <c r="P74" t="inlineStr">
        <is>
          <t>Bästa semantiska kandidat saknar taxekod</t>
        </is>
      </c>
      <c r="Q74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5">
      <c r="A75" s="68" t="inlineStr">
        <is>
          <t>§2.2.5</t>
        </is>
      </c>
      <c r="B75" s="68" t="inlineStr">
        <is>
          <t>Hämtningsavgift per år för verksamheter</t>
        </is>
      </c>
      <c r="C75" s="68" t="inlineStr">
        <is>
          <t>Kärl 660 l (restavfall)</t>
        </is>
      </c>
      <c r="D75" s="68" t="inlineStr">
        <is>
          <t>Hämtning varje vecka</t>
        </is>
      </c>
      <c r="E75" s="68" t="inlineStr">
        <is>
          <t>st/år</t>
        </is>
      </c>
      <c r="F75" s="106" t="n"/>
      <c r="G75" s="116" t="n"/>
      <c r="H75" s="126">
        <f>IF($F75&lt;&gt;"",IFERROR(_xlfn.XLOOKUP($F75,Taxa_från_edp!$B:$B,Taxa_från_edp!C:C),""),"")</f>
        <v/>
      </c>
      <c r="I75" s="127">
        <f>IF($F75&lt;&gt;"",IFERROR(_xlfn.XLOOKUP($F75,Taxa_från_edp!$B:$B,Taxa_från_edp!G:G),""),"")</f>
        <v/>
      </c>
      <c r="J75" s="127">
        <f>IF($F75&lt;&gt;"",IFERROR(_xlfn.XLOOKUP($F75,Taxa_från_edp!$B:$B,Taxa_från_edp!K:K),""),"")</f>
        <v/>
      </c>
      <c r="K75" s="145" t="n"/>
      <c r="L75" s="146" t="n"/>
      <c r="M75" s="147">
        <f>IFERROR(IF(J75&lt;&gt;"",J75*1.25,IF(K75&lt;&gt;"",K75*1.25,"")),"")</f>
        <v/>
      </c>
      <c r="N75" s="148">
        <f>IFERROR(IF(J75&lt;&gt;"",L75*J75,IF(K75&lt;&gt;"",L75*K75,"")),"")</f>
        <v/>
      </c>
      <c r="O75" t="inlineStr">
        <is>
          <t>REVIEW_REQUIRED</t>
        </is>
      </c>
      <c r="P75" t="inlineStr">
        <is>
          <t>Bästa semantiska kandidat saknar taxekod</t>
        </is>
      </c>
      <c r="Q75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6">
      <c r="A76" s="68" t="inlineStr">
        <is>
          <t>§2.2.5</t>
        </is>
      </c>
      <c r="B76" s="68" t="inlineStr">
        <is>
          <t>Hämtningsavgift per år för verksamheter</t>
        </is>
      </c>
      <c r="C76" s="68" t="inlineStr">
        <is>
          <t>Kärl 660 l (restavfall)</t>
        </is>
      </c>
      <c r="D76" s="68" t="inlineStr">
        <is>
          <t>Hämtning var 14:e dag</t>
        </is>
      </c>
      <c r="E76" s="68" t="inlineStr">
        <is>
          <t>st/år</t>
        </is>
      </c>
      <c r="F76" s="106" t="inlineStr">
        <is>
          <t>KÄ660RE26FV</t>
        </is>
      </c>
      <c r="G76" s="116">
        <f>IF($F76&lt;&gt;"",$F76,IFERROR(_xlfn.XLOOKUP(ROW(),Taxa_Saknas!$H:$H,Taxa_Saknas!$G:$G),""))</f>
        <v/>
      </c>
      <c r="H76" s="126">
        <f>IF($F76&lt;&gt;"",IFERROR(_xlfn.XLOOKUP($F76,Taxa_från_edp!$B:$B,Taxa_från_edp!C:C),""),"")</f>
        <v/>
      </c>
      <c r="I76" s="127">
        <f>IF($F76&lt;&gt;"",IFERROR(_xlfn.XLOOKUP($F76,Taxa_från_edp!$B:$B,Taxa_från_edp!G:G),""),"")</f>
        <v/>
      </c>
      <c r="J76" s="127">
        <f>IF($F76&lt;&gt;"",IFERROR(_xlfn.XLOOKUP($F76,Taxa_från_edp!$B:$B,Taxa_från_edp!K:K),""),"")</f>
        <v/>
      </c>
      <c r="K76" s="145" t="n"/>
      <c r="L76" s="146" t="n"/>
      <c r="M76" s="147">
        <f>IFERROR(IF(J76&lt;&gt;"",J76*1.25,IF(K76&lt;&gt;"",K76*1.25,"")),"")</f>
        <v/>
      </c>
      <c r="N76" s="148">
        <f>IFERROR(IF(J76&lt;&gt;"",L76*J76,IF(K76&lt;&gt;"",L76*K76,"")),"")</f>
        <v/>
      </c>
      <c r="O76" t="inlineStr">
        <is>
          <t>NEW_TAXA</t>
        </is>
      </c>
      <c r="P76" t="inlineStr">
        <is>
          <t>Ingen kandidat över granskningsgräns</t>
        </is>
      </c>
      <c r="Q76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7">
      <c r="A77" s="68" t="inlineStr">
        <is>
          <t>§2.2.5</t>
        </is>
      </c>
      <c r="B77" s="68" t="inlineStr">
        <is>
          <t>Hämtningsavgift per år för verksamheter</t>
        </is>
      </c>
      <c r="C77" s="68" t="inlineStr">
        <is>
          <t>Kärl 660 l (restavfall)</t>
        </is>
      </c>
      <c r="D77" s="68" t="inlineStr">
        <is>
          <t>Hämtning månadsvis</t>
        </is>
      </c>
      <c r="E77" s="68" t="inlineStr">
        <is>
          <t>st/år</t>
        </is>
      </c>
      <c r="F77" s="106" t="n"/>
      <c r="G77" s="116" t="n"/>
      <c r="H77" s="126">
        <f>IF($F77&lt;&gt;"",IFERROR(_xlfn.XLOOKUP($F77,Taxa_från_edp!$B:$B,Taxa_från_edp!C:C),""),"")</f>
        <v/>
      </c>
      <c r="I77" s="127">
        <f>IF($F77&lt;&gt;"",IFERROR(_xlfn.XLOOKUP($F77,Taxa_från_edp!$B:$B,Taxa_från_edp!G:G),""),"")</f>
        <v/>
      </c>
      <c r="J77" s="127">
        <f>IF($F77&lt;&gt;"",IFERROR(_xlfn.XLOOKUP($F77,Taxa_från_edp!$B:$B,Taxa_från_edp!K:K),""),"")</f>
        <v/>
      </c>
      <c r="K77" s="145" t="n"/>
      <c r="L77" s="146" t="n"/>
      <c r="M77" s="147">
        <f>IFERROR(IF(J77&lt;&gt;"",J77*1.25,IF(K77&lt;&gt;"",K77*1.25,"")),"")</f>
        <v/>
      </c>
      <c r="N77" s="148">
        <f>IFERROR(IF(J77&lt;&gt;"",L77*J77,IF(K77&lt;&gt;"",L77*K77,"")),"")</f>
        <v/>
      </c>
      <c r="O77" t="inlineStr">
        <is>
          <t>REVIEW_REQUIRED</t>
        </is>
      </c>
      <c r="P77" t="inlineStr">
        <is>
          <t>Bästa semantiska kandidat saknar taxekod</t>
        </is>
      </c>
      <c r="Q77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8">
      <c r="A78" s="68" t="inlineStr">
        <is>
          <t>§2.2.5</t>
        </is>
      </c>
      <c r="B78" s="68" t="inlineStr">
        <is>
          <t>Hämtningsavgift per år för verksamheter</t>
        </is>
      </c>
      <c r="C78" s="68" t="inlineStr">
        <is>
          <t>Kärl 140 l (matavfall)</t>
        </is>
      </c>
      <c r="D78" s="68" t="inlineStr">
        <is>
          <t>Hämtning varje vecka</t>
        </is>
      </c>
      <c r="E78" s="68" t="inlineStr">
        <is>
          <t>st/år</t>
        </is>
      </c>
      <c r="F78" s="106" t="n"/>
      <c r="G78" s="116" t="n"/>
      <c r="H78" s="126">
        <f>IF($F78&lt;&gt;"",IFERROR(_xlfn.XLOOKUP($F78,Taxa_från_edp!$B:$B,Taxa_från_edp!C:C),""),"")</f>
        <v/>
      </c>
      <c r="I78" s="127">
        <f>IF($F78&lt;&gt;"",IFERROR(_xlfn.XLOOKUP($F78,Taxa_från_edp!$B:$B,Taxa_från_edp!G:G),""),"")</f>
        <v/>
      </c>
      <c r="J78" s="127">
        <f>IF($F78&lt;&gt;"",IFERROR(_xlfn.XLOOKUP($F78,Taxa_från_edp!$B:$B,Taxa_från_edp!K:K),""),"")</f>
        <v/>
      </c>
      <c r="K78" s="145" t="n"/>
      <c r="L78" s="146" t="n"/>
      <c r="M78" s="147">
        <f>IFERROR(IF(J78&lt;&gt;"",J78*1.25,IF(K78&lt;&gt;"",K78*1.25,"")),"")</f>
        <v/>
      </c>
      <c r="N78" s="148">
        <f>IFERROR(IF(J78&lt;&gt;"",L78*J78,IF(K78&lt;&gt;"",L78*K78,"")),"")</f>
        <v/>
      </c>
      <c r="O78" t="inlineStr">
        <is>
          <t>REVIEW_REQUIRED</t>
        </is>
      </c>
      <c r="P78" t="inlineStr">
        <is>
          <t>Bästa semantiska kandidat saknar taxekod</t>
        </is>
      </c>
      <c r="Q78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9" ht="30" customHeight="1">
      <c r="A79" s="68" t="inlineStr">
        <is>
          <t>§2.2.5</t>
        </is>
      </c>
      <c r="B79" s="68" t="inlineStr">
        <is>
          <t>Hämtningsavgift per år för verksamheter</t>
        </is>
      </c>
      <c r="C79" s="68" t="inlineStr">
        <is>
          <t>Kärl 140 l (matavfall)</t>
        </is>
      </c>
      <c r="D79" s="68" t="inlineStr">
        <is>
          <t>Hämtning var 14:e dag</t>
        </is>
      </c>
      <c r="E79" s="68" t="inlineStr">
        <is>
          <t>st/år</t>
        </is>
      </c>
      <c r="F79" s="106" t="inlineStr">
        <is>
          <t>KÄ140MA26FV</t>
        </is>
      </c>
      <c r="G79" s="116">
        <f>IF($F79&lt;&gt;"",$F79,IFERROR(_xlfn.XLOOKUP(ROW(),Taxa_Saknas!$H:$H,Taxa_Saknas!$G:$G),""))</f>
        <v/>
      </c>
      <c r="H79" s="126">
        <f>IF($F79&lt;&gt;"",IFERROR(_xlfn.XLOOKUP($F79,Taxa_från_edp!$B:$B,Taxa_från_edp!C:C),""),"")</f>
        <v/>
      </c>
      <c r="I79" s="127">
        <f>IF($F79&lt;&gt;"",IFERROR(_xlfn.XLOOKUP($F79,Taxa_från_edp!$B:$B,Taxa_från_edp!G:G),""),"")</f>
        <v/>
      </c>
      <c r="J79" s="127">
        <f>IF($F79&lt;&gt;"",IFERROR(_xlfn.XLOOKUP($F79,Taxa_från_edp!$B:$B,Taxa_från_edp!K:K),""),"")</f>
        <v/>
      </c>
      <c r="K79" s="145" t="n"/>
      <c r="L79" s="146" t="n"/>
      <c r="M79" s="147">
        <f>IFERROR(IF(J79&lt;&gt;"",J79*1.25,IF(K79&lt;&gt;"",K79*1.25,"")),"")</f>
        <v/>
      </c>
      <c r="N79" s="148">
        <f>IFERROR(IF(J79&lt;&gt;"",L79*J79,IF(K79&lt;&gt;"",L79*K79,"")),"")</f>
        <v/>
      </c>
      <c r="O79" t="inlineStr">
        <is>
          <t>NEW_TAXA</t>
        </is>
      </c>
      <c r="P79" t="inlineStr">
        <is>
          <t>Ingen kandidat över granskningsgräns</t>
        </is>
      </c>
      <c r="Q79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80">
      <c r="A80" s="68" t="inlineStr">
        <is>
          <t>§2.2.5</t>
        </is>
      </c>
      <c r="B80" s="68" t="inlineStr">
        <is>
          <t>Hämtningsavgift per år för verksamheter</t>
        </is>
      </c>
      <c r="C80" s="68" t="inlineStr">
        <is>
          <t>Kärl 140 l (matavfall)</t>
        </is>
      </c>
      <c r="D80" s="68" t="inlineStr">
        <is>
          <t>Hämtning månadsvis</t>
        </is>
      </c>
      <c r="E80" s="68" t="inlineStr">
        <is>
          <t>st/år</t>
        </is>
      </c>
      <c r="F80" s="106" t="n"/>
      <c r="G80" s="116" t="n"/>
      <c r="H80" s="126">
        <f>IF($F80&lt;&gt;"",IFERROR(_xlfn.XLOOKUP($F80,Taxa_från_edp!$B:$B,Taxa_från_edp!C:C),""),"")</f>
        <v/>
      </c>
      <c r="I80" s="127">
        <f>IF($F80&lt;&gt;"",IFERROR(_xlfn.XLOOKUP($F80,Taxa_från_edp!$B:$B,Taxa_från_edp!G:G),""),"")</f>
        <v/>
      </c>
      <c r="J80" s="127">
        <f>IF($F80&lt;&gt;"",IFERROR(_xlfn.XLOOKUP($F80,Taxa_från_edp!$B:$B,Taxa_från_edp!K:K),""),"")</f>
        <v/>
      </c>
      <c r="K80" s="145" t="n"/>
      <c r="L80" s="146" t="n"/>
      <c r="M80" s="147">
        <f>IFERROR(IF(J80&lt;&gt;"",J80*1.25,IF(K80&lt;&gt;"",K80*1.25,"")),"")</f>
        <v/>
      </c>
      <c r="N80" s="148">
        <f>IFERROR(IF(J80&lt;&gt;"",L80*J80,IF(K80&lt;&gt;"",L80*K80,"")),"")</f>
        <v/>
      </c>
      <c r="O80" t="inlineStr">
        <is>
          <t>REVIEW_REQUIRED</t>
        </is>
      </c>
      <c r="P80" t="inlineStr">
        <is>
          <t>Bästa semantiska kandidat saknar taxekod</t>
        </is>
      </c>
      <c r="Q80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81" ht="45" customHeight="1">
      <c r="A81" s="68" t="inlineStr">
        <is>
          <t>§2.2.5</t>
        </is>
      </c>
      <c r="B81" s="68" t="inlineStr">
        <is>
          <t>Hämtningsavgift per år för verksamheter</t>
        </is>
      </c>
      <c r="C81" s="68" t="inlineStr">
        <is>
          <t>Bottentömmande behållare (mat-/restavfall)</t>
        </is>
      </c>
      <c r="D81" s="68" t="inlineStr">
        <is>
          <t>Avgift per tömning</t>
        </is>
      </c>
      <c r="E81" s="68" t="inlineStr">
        <is>
          <t>st/tömning</t>
        </is>
      </c>
      <c r="F81" s="106" t="n"/>
      <c r="G81" s="116" t="n"/>
      <c r="H81" s="126">
        <f>IF($F81&lt;&gt;"",IFERROR(_xlfn.XLOOKUP($F81,Taxa_från_edp!$B:$B,Taxa_från_edp!C:C),""),"")</f>
        <v/>
      </c>
      <c r="I81" s="127">
        <f>IF($F81&lt;&gt;"",IFERROR(_xlfn.XLOOKUP($F81,Taxa_från_edp!$B:$B,Taxa_från_edp!G:G),""),"")</f>
        <v/>
      </c>
      <c r="J81" s="127">
        <f>IF($F81&lt;&gt;"",IFERROR(_xlfn.XLOOKUP($F81,Taxa_från_edp!$B:$B,Taxa_från_edp!K:K),""),"")</f>
        <v/>
      </c>
      <c r="K81" s="145" t="n"/>
      <c r="L81" s="146" t="n"/>
      <c r="M81" s="147">
        <f>IFERROR(IF(J81&lt;&gt;"",J81*1.25,IF(K81&lt;&gt;"",K81*1.25,"")),"")</f>
        <v/>
      </c>
      <c r="N81" s="148">
        <f>IFERROR(IF(J81&lt;&gt;"",L81*J81,IF(K81&lt;&gt;"",L81*K81,"")),"")</f>
        <v/>
      </c>
      <c r="O81" t="inlineStr">
        <is>
          <t>NEW_TAXA</t>
        </is>
      </c>
      <c r="P81" t="inlineStr">
        <is>
          <t>Ingen kandidat över granskningsgräns</t>
        </is>
      </c>
      <c r="Q81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82" ht="180" customHeight="1">
      <c r="A82" s="68" t="inlineStr">
        <is>
          <t>§2.2.5</t>
        </is>
      </c>
      <c r="B82" s="68" t="inlineStr">
        <is>
          <t>Hämtningsavgift per år för verksamheter</t>
        </is>
      </c>
      <c r="C82" s="68" t="inlineStr">
        <is>
          <t>Lastväxlarflak (restavfall)</t>
        </is>
      </c>
      <c r="D82" s="68" t="inlineStr">
        <is>
          <t>Avgift per tömning</t>
        </is>
      </c>
      <c r="E82" s="68" t="inlineStr">
        <is>
          <t>st/tömning</t>
        </is>
      </c>
      <c r="F82" s="107" t="n"/>
      <c r="G82" s="117" t="n"/>
      <c r="H82" s="128">
        <f>IF($F82&lt;&gt;"",IFERROR(_xlfn.XLOOKUP($F82,Taxa_från_edp!$B:$B,Taxa_från_edp!C:C),""),"")</f>
        <v/>
      </c>
      <c r="I82" s="129">
        <f>IF($F82&lt;&gt;"",IFERROR(_xlfn.XLOOKUP($F82,Taxa_från_edp!$B:$B,Taxa_från_edp!G:G),""),"")</f>
        <v/>
      </c>
      <c r="J82" s="129">
        <f>IF($F82&lt;&gt;"",IFERROR(_xlfn.XLOOKUP($F82,Taxa_från_edp!$B:$B,Taxa_från_edp!K:K),""),"")</f>
        <v/>
      </c>
      <c r="K82" s="150" t="n"/>
      <c r="L82" s="151" t="n"/>
      <c r="M82" s="147">
        <f>IFERROR(IF(J82&lt;&gt;"",J82*1.25,IF(K82&lt;&gt;"",K82*1.25,"")),"")</f>
        <v/>
      </c>
      <c r="N82" s="148">
        <f>IFERROR(IF(J82&lt;&gt;"",L82*J82,IF(K82&lt;&gt;"",L82*K82,"")),"")</f>
        <v/>
      </c>
      <c r="O82" t="inlineStr">
        <is>
          <t>REVIEW_REQUIRED</t>
        </is>
      </c>
      <c r="P82" t="inlineStr">
        <is>
          <t>Bästa semantiska kandidat saknar taxekod</t>
        </is>
      </c>
      <c r="Q8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83" ht="45" customHeight="1">
      <c r="A83" s="68" t="inlineStr">
        <is>
          <t>§2.2.5</t>
        </is>
      </c>
      <c r="B83" s="68" t="inlineStr">
        <is>
          <t>Hämtningsavgift per år för verksamheter</t>
        </is>
      </c>
      <c r="C83" s="68" t="inlineStr">
        <is>
          <t>Bottentömmande behållare (mat-/restavfall)</t>
        </is>
      </c>
      <c r="D83" s="68" t="inlineStr">
        <is>
          <t>Tillägg för två tömningar per vecka</t>
        </is>
      </c>
      <c r="E83" s="68" t="inlineStr">
        <is>
          <t>st/tömning</t>
        </is>
      </c>
      <c r="F83" s="106" t="n"/>
      <c r="G83" s="116" t="n"/>
      <c r="H83" s="126">
        <f>IF($F83&lt;&gt;"",IFERROR(_xlfn.XLOOKUP($F83,Taxa_från_edp!$B:$B,Taxa_från_edp!C:C),""),"")</f>
        <v/>
      </c>
      <c r="I83" s="127">
        <f>IF($F83&lt;&gt;"",IFERROR(_xlfn.XLOOKUP($F83,Taxa_från_edp!$B:$B,Taxa_från_edp!G:G),""),"")</f>
        <v/>
      </c>
      <c r="J83" s="127">
        <f>IF($F83&lt;&gt;"",IFERROR(_xlfn.XLOOKUP($F83,Taxa_från_edp!$B:$B,Taxa_från_edp!K:K),""),"")</f>
        <v/>
      </c>
      <c r="K83" s="145" t="n"/>
      <c r="L83" s="146" t="n"/>
      <c r="M83" s="147">
        <f>IFERROR(IF(J83&lt;&gt;"",J83*1.25,IF(K83&lt;&gt;"",K83*1.25,"")),"")</f>
        <v/>
      </c>
      <c r="N83" s="148">
        <f>IFERROR(IF(J83&lt;&gt;"",L83*J83,IF(K83&lt;&gt;"",L83*K83,"")),"")</f>
        <v/>
      </c>
      <c r="O83" t="inlineStr">
        <is>
          <t>REVIEW_REQUIRED</t>
        </is>
      </c>
      <c r="P83" t="inlineStr">
        <is>
          <t>Bästa semantiska kandidat saknar taxekod</t>
        </is>
      </c>
      <c r="Q83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4" ht="21.95" customHeight="1">
      <c r="A84" s="83" t="inlineStr">
        <is>
          <t>§2.2.6 Hämtningsavgift per år för verksamhet inom detaljhandeln med beviljad hantering av kommunalt avfall</t>
        </is>
      </c>
      <c r="B84" s="84" t="n"/>
      <c r="C84" s="84" t="n"/>
      <c r="D84" s="84" t="n"/>
      <c r="E84" s="85" t="n"/>
      <c r="F84" s="114" t="n"/>
      <c r="G84" s="122">
        <f>IF($F84&lt;&gt;"",$F84,IFERROR(_xlfn.XLOOKUP(ROW(),Taxa_Saknas!$H:$H,Taxa_Saknas!$G:$G),""))</f>
        <v/>
      </c>
      <c r="H84" s="122">
        <f>IF($F84&lt;&gt;"",IFERROR(_xlfn.XLOOKUP($F84,Taxa_från_edp!$B:$B,Taxa_från_edp!C:C),""),"")</f>
        <v/>
      </c>
      <c r="I84" s="149">
        <f>IF($F84&lt;&gt;"",IFERROR(_xlfn.XLOOKUP($F84,Taxa_från_edp!$B:$B,Taxa_från_edp!G:G),""),"")</f>
        <v/>
      </c>
      <c r="J84" s="149">
        <f>IF($F84&lt;&gt;"",IFERROR(_xlfn.XLOOKUP($F84,Taxa_från_edp!$B:$B,Taxa_från_edp!K:K),""),"")</f>
        <v/>
      </c>
      <c r="K84" s="149" t="n"/>
      <c r="L84" s="149" t="n"/>
      <c r="M84" s="121">
        <f>IFERROR(IF(J84&lt;&gt;"",J84*1.25,IF(K84&lt;&gt;"",K84*1.25,"")),"")</f>
        <v/>
      </c>
      <c r="N84" s="144">
        <f>IFERROR(IF(J84&lt;&gt;"",L84*J84,IF(K84&lt;&gt;"",L84*K84,"")),"")</f>
        <v/>
      </c>
      <c r="O84" t="inlineStr">
        <is>
          <t>REVIEW_REQUIRED</t>
        </is>
      </c>
      <c r="P84" t="inlineStr">
        <is>
          <t>Bästa semantiska kandidat saknar taxekod</t>
        </is>
      </c>
      <c r="Q84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5" ht="45" customHeight="1">
      <c r="A85" s="68" t="inlineStr">
        <is>
          <t>§2.2.6</t>
        </is>
      </c>
      <c r="B85" s="68" t="inlineStr">
        <is>
          <t>Hämtningsavgift per år för verksamhet inom detaljhandeln med beviljad hantering av kommunalt avfall</t>
        </is>
      </c>
      <c r="C85" s="68" t="inlineStr">
        <is>
          <t>Kärl 240 l (mat-/restavfall)</t>
        </is>
      </c>
      <c r="D85" s="68" t="inlineStr">
        <is>
          <t>Hämtning varje vecka</t>
        </is>
      </c>
      <c r="E85" s="68" t="inlineStr">
        <is>
          <t>st/år</t>
        </is>
      </c>
      <c r="F85" s="106" t="n"/>
      <c r="G85" s="116" t="n"/>
      <c r="H85" s="126">
        <f>IF($F85&lt;&gt;"",IFERROR(_xlfn.XLOOKUP($F85,Taxa_från_edp!$B:$B,Taxa_från_edp!C:C),""),"")</f>
        <v/>
      </c>
      <c r="I85" s="127">
        <f>IF($F85&lt;&gt;"",IFERROR(_xlfn.XLOOKUP($F85,Taxa_från_edp!$B:$B,Taxa_från_edp!G:G),""),"")</f>
        <v/>
      </c>
      <c r="J85" s="127">
        <f>IF($F85&lt;&gt;"",IFERROR(_xlfn.XLOOKUP($F85,Taxa_från_edp!$B:$B,Taxa_från_edp!K:K),""),"")</f>
        <v/>
      </c>
      <c r="K85" s="145" t="n"/>
      <c r="L85" s="146" t="n"/>
      <c r="M85" s="147">
        <f>IFERROR(IF(J85&lt;&gt;"",J85*1.25,IF(K85&lt;&gt;"",K85*1.25,"")),"")</f>
        <v/>
      </c>
      <c r="N85" s="148">
        <f>IFERROR(IF(J85&lt;&gt;"",L85*J85,IF(K85&lt;&gt;"",L85*K85,"")),"")</f>
        <v/>
      </c>
      <c r="O85" t="inlineStr">
        <is>
          <t>REVIEW_REQUIRED</t>
        </is>
      </c>
      <c r="P85" t="inlineStr">
        <is>
          <t>Bästa semantiska kandidat saknar taxekod</t>
        </is>
      </c>
      <c r="Q85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6" ht="45" customHeight="1">
      <c r="A86" s="68" t="inlineStr">
        <is>
          <t>§2.2.6</t>
        </is>
      </c>
      <c r="B86" s="68" t="inlineStr">
        <is>
          <t>Hämtningsavgift per år för verksamhet inom detaljhandeln med beviljad hantering av kommunalt avfall</t>
        </is>
      </c>
      <c r="C86" s="68" t="inlineStr">
        <is>
          <t>Kärl 240 l (mat-/restavfall)</t>
        </is>
      </c>
      <c r="D86" s="68" t="inlineStr">
        <is>
          <t>Hämtning var 14:e dag</t>
        </is>
      </c>
      <c r="E86" s="68" t="inlineStr">
        <is>
          <t>st/år</t>
        </is>
      </c>
      <c r="F86" s="106" t="n"/>
      <c r="G86" s="116" t="n"/>
      <c r="H86" s="126">
        <f>IF($F86&lt;&gt;"",IFERROR(_xlfn.XLOOKUP($F86,Taxa_från_edp!$B:$B,Taxa_från_edp!C:C),""),"")</f>
        <v/>
      </c>
      <c r="I86" s="127">
        <f>IF($F86&lt;&gt;"",IFERROR(_xlfn.XLOOKUP($F86,Taxa_från_edp!$B:$B,Taxa_från_edp!G:G),""),"")</f>
        <v/>
      </c>
      <c r="J86" s="127">
        <f>IF($F86&lt;&gt;"",IFERROR(_xlfn.XLOOKUP($F86,Taxa_från_edp!$B:$B,Taxa_från_edp!K:K),""),"")</f>
        <v/>
      </c>
      <c r="K86" s="145" t="n"/>
      <c r="L86" s="146" t="n"/>
      <c r="M86" s="147">
        <f>IFERROR(IF(J86&lt;&gt;"",J86*1.25,IF(K86&lt;&gt;"",K86*1.25,"")),"")</f>
        <v/>
      </c>
      <c r="N86" s="148">
        <f>IFERROR(IF(J86&lt;&gt;"",L86*J86,IF(K86&lt;&gt;"",L86*K86,"")),"")</f>
        <v/>
      </c>
      <c r="O86" t="inlineStr">
        <is>
          <t>REVIEW_REQUIRED</t>
        </is>
      </c>
      <c r="P86" t="inlineStr">
        <is>
          <t>Bästa semantiska kandidat saknar taxekod</t>
        </is>
      </c>
      <c r="Q86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7" ht="45" customHeight="1">
      <c r="A87" s="68" t="inlineStr">
        <is>
          <t>§2.2.6</t>
        </is>
      </c>
      <c r="B87" s="68" t="inlineStr">
        <is>
          <t>Hämtningsavgift per år för verksamhet inom detaljhandeln med beviljad hantering av kommunalt avfall</t>
        </is>
      </c>
      <c r="C87" s="68" t="inlineStr">
        <is>
          <t>Kärl 240 l (mat-/restavfall)</t>
        </is>
      </c>
      <c r="D87" s="68" t="inlineStr">
        <is>
          <t>Hämtning månadsvis</t>
        </is>
      </c>
      <c r="E87" s="68" t="inlineStr">
        <is>
          <t>st/år</t>
        </is>
      </c>
      <c r="F87" s="106" t="n"/>
      <c r="G87" s="116" t="n"/>
      <c r="H87" s="126">
        <f>IF($F87&lt;&gt;"",IFERROR(_xlfn.XLOOKUP($F87,Taxa_från_edp!$B:$B,Taxa_från_edp!C:C),""),"")</f>
        <v/>
      </c>
      <c r="I87" s="127">
        <f>IF($F87&lt;&gt;"",IFERROR(_xlfn.XLOOKUP($F87,Taxa_från_edp!$B:$B,Taxa_från_edp!G:G),""),"")</f>
        <v/>
      </c>
      <c r="J87" s="127">
        <f>IF($F87&lt;&gt;"",IFERROR(_xlfn.XLOOKUP($F87,Taxa_från_edp!$B:$B,Taxa_från_edp!K:K),""),"")</f>
        <v/>
      </c>
      <c r="K87" s="145" t="n"/>
      <c r="L87" s="146" t="n"/>
      <c r="M87" s="147">
        <f>IFERROR(IF(J87&lt;&gt;"",J87*1.25,IF(K87&lt;&gt;"",K87*1.25,"")),"")</f>
        <v/>
      </c>
      <c r="N87" s="148">
        <f>IFERROR(IF(J87&lt;&gt;"",L87*J87,IF(K87&lt;&gt;"",L87*K87,"")),"")</f>
        <v/>
      </c>
      <c r="O87" t="inlineStr">
        <is>
          <t>NEW_TAXA</t>
        </is>
      </c>
      <c r="P87" t="inlineStr">
        <is>
          <t>Ingen kandidat över granskningsgräns</t>
        </is>
      </c>
      <c r="Q87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88" ht="45" customHeight="1">
      <c r="A88" s="68" t="inlineStr">
        <is>
          <t>§2.2.6</t>
        </is>
      </c>
      <c r="B88" s="68" t="inlineStr">
        <is>
          <t>Hämtningsavgift per år för verksamhet inom detaljhandeln med beviljad hantering av kommunalt avfall</t>
        </is>
      </c>
      <c r="C88" s="68" t="inlineStr">
        <is>
          <t>Kärl 370 l (restavfall)</t>
        </is>
      </c>
      <c r="D88" s="68" t="inlineStr">
        <is>
          <t>Hämtning varje vecka</t>
        </is>
      </c>
      <c r="E88" s="68" t="inlineStr">
        <is>
          <t>st/år</t>
        </is>
      </c>
      <c r="F88" s="106" t="n"/>
      <c r="G88" s="116" t="n"/>
      <c r="H88" s="126">
        <f>IF($F88&lt;&gt;"",IFERROR(_xlfn.XLOOKUP($F88,Taxa_från_edp!$B:$B,Taxa_från_edp!C:C),""),"")</f>
        <v/>
      </c>
      <c r="I88" s="127">
        <f>IF($F88&lt;&gt;"",IFERROR(_xlfn.XLOOKUP($F88,Taxa_från_edp!$B:$B,Taxa_från_edp!G:G),""),"")</f>
        <v/>
      </c>
      <c r="J88" s="127">
        <f>IF($F88&lt;&gt;"",IFERROR(_xlfn.XLOOKUP($F88,Taxa_från_edp!$B:$B,Taxa_från_edp!K:K),""),"")</f>
        <v/>
      </c>
      <c r="K88" s="145" t="n"/>
      <c r="L88" s="146" t="n"/>
      <c r="M88" s="147">
        <f>IFERROR(IF(J88&lt;&gt;"",J88*1.25,IF(K88&lt;&gt;"",K88*1.25,"")),"")</f>
        <v/>
      </c>
      <c r="N88" s="148">
        <f>IFERROR(IF(J88&lt;&gt;"",L88*J88,IF(K88&lt;&gt;"",L88*K88,"")),"")</f>
        <v/>
      </c>
      <c r="O88" t="inlineStr">
        <is>
          <t>NEW_TAXA</t>
        </is>
      </c>
      <c r="P88" t="inlineStr">
        <is>
          <t>Ingen kandidat över granskningsgräns</t>
        </is>
      </c>
      <c r="Q8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89" ht="45" customHeight="1">
      <c r="A89" s="68" t="inlineStr">
        <is>
          <t>§2.2.6</t>
        </is>
      </c>
      <c r="B89" s="68" t="inlineStr">
        <is>
          <t>Hämtningsavgift per år för verksamhet inom detaljhandeln med beviljad hantering av kommunalt avfall</t>
        </is>
      </c>
      <c r="C89" s="68" t="inlineStr">
        <is>
          <t>Kärl 370 l (restavfall)</t>
        </is>
      </c>
      <c r="D89" s="68" t="inlineStr">
        <is>
          <t>Hämtning var 14:e dag</t>
        </is>
      </c>
      <c r="E89" s="68" t="inlineStr">
        <is>
          <t>st/år</t>
        </is>
      </c>
      <c r="F89" s="106" t="n"/>
      <c r="G89" s="116" t="n"/>
      <c r="H89" s="126">
        <f>IF($F89&lt;&gt;"",IFERROR(_xlfn.XLOOKUP($F89,Taxa_från_edp!$B:$B,Taxa_från_edp!C:C),""),"")</f>
        <v/>
      </c>
      <c r="I89" s="127">
        <f>IF($F89&lt;&gt;"",IFERROR(_xlfn.XLOOKUP($F89,Taxa_från_edp!$B:$B,Taxa_från_edp!G:G),""),"")</f>
        <v/>
      </c>
      <c r="J89" s="127">
        <f>IF($F89&lt;&gt;"",IFERROR(_xlfn.XLOOKUP($F89,Taxa_från_edp!$B:$B,Taxa_från_edp!K:K),""),"")</f>
        <v/>
      </c>
      <c r="K89" s="145" t="n"/>
      <c r="L89" s="146" t="n"/>
      <c r="M89" s="147">
        <f>IFERROR(IF(J89&lt;&gt;"",J89*1.25,IF(K89&lt;&gt;"",K89*1.25,"")),"")</f>
        <v/>
      </c>
      <c r="N89" s="148">
        <f>IFERROR(IF(J89&lt;&gt;"",L89*J89,IF(K89&lt;&gt;"",L89*K89,"")),"")</f>
        <v/>
      </c>
      <c r="O89" t="inlineStr">
        <is>
          <t>NEW_TAXA</t>
        </is>
      </c>
      <c r="P89" t="inlineStr">
        <is>
          <t>Ingen kandidat över granskningsgräns</t>
        </is>
      </c>
      <c r="Q89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0" ht="45" customHeight="1">
      <c r="A90" s="68" t="inlineStr">
        <is>
          <t>§2.2.6</t>
        </is>
      </c>
      <c r="B90" s="68" t="inlineStr">
        <is>
          <t>Hämtningsavgift per år för verksamhet inom detaljhandeln med beviljad hantering av kommunalt avfall</t>
        </is>
      </c>
      <c r="C90" s="68" t="inlineStr">
        <is>
          <t>Kärl 370 l (restavfall)</t>
        </is>
      </c>
      <c r="D90" s="68" t="inlineStr">
        <is>
          <t>Hämtning månadsvis</t>
        </is>
      </c>
      <c r="E90" s="68" t="inlineStr">
        <is>
          <t>st/år</t>
        </is>
      </c>
      <c r="F90" s="106" t="n"/>
      <c r="G90" s="116" t="n"/>
      <c r="H90" s="126">
        <f>IF($F90&lt;&gt;"",IFERROR(_xlfn.XLOOKUP($F90,Taxa_från_edp!$B:$B,Taxa_från_edp!C:C),""),"")</f>
        <v/>
      </c>
      <c r="I90" s="127">
        <f>IF($F90&lt;&gt;"",IFERROR(_xlfn.XLOOKUP($F90,Taxa_från_edp!$B:$B,Taxa_från_edp!G:G),""),"")</f>
        <v/>
      </c>
      <c r="J90" s="127">
        <f>IF($F90&lt;&gt;"",IFERROR(_xlfn.XLOOKUP($F90,Taxa_från_edp!$B:$B,Taxa_från_edp!K:K),""),"")</f>
        <v/>
      </c>
      <c r="K90" s="145" t="n"/>
      <c r="L90" s="146" t="n"/>
      <c r="M90" s="147">
        <f>IFERROR(IF(J90&lt;&gt;"",J90*1.25,IF(K90&lt;&gt;"",K90*1.25,"")),"")</f>
        <v/>
      </c>
      <c r="N90" s="148">
        <f>IFERROR(IF(J90&lt;&gt;"",L90*J90,IF(K90&lt;&gt;"",L90*K90,"")),"")</f>
        <v/>
      </c>
      <c r="O90" t="inlineStr">
        <is>
          <t>REVIEW_REQUIRED</t>
        </is>
      </c>
      <c r="P90" t="inlineStr">
        <is>
          <t>Bästa semantiska kandidat saknar taxekod</t>
        </is>
      </c>
      <c r="Q90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91" ht="45" customHeight="1">
      <c r="A91" s="68" t="inlineStr">
        <is>
          <t>§2.2.6</t>
        </is>
      </c>
      <c r="B91" s="68" t="inlineStr">
        <is>
          <t>Hämtningsavgift per år för verksamhet inom detaljhandeln med beviljad hantering av kommunalt avfall</t>
        </is>
      </c>
      <c r="C91" s="68" t="inlineStr">
        <is>
          <t>Kärl 660 l (restavfall)</t>
        </is>
      </c>
      <c r="D91" s="68" t="inlineStr">
        <is>
          <t>Hämtning varje vecka</t>
        </is>
      </c>
      <c r="E91" s="68" t="inlineStr">
        <is>
          <t>st/år</t>
        </is>
      </c>
      <c r="F91" s="106" t="n"/>
      <c r="G91" s="116" t="n"/>
      <c r="H91" s="126">
        <f>IF($F91&lt;&gt;"",IFERROR(_xlfn.XLOOKUP($F91,Taxa_från_edp!$B:$B,Taxa_från_edp!C:C),""),"")</f>
        <v/>
      </c>
      <c r="I91" s="127">
        <f>IF($F91&lt;&gt;"",IFERROR(_xlfn.XLOOKUP($F91,Taxa_från_edp!$B:$B,Taxa_från_edp!G:G),""),"")</f>
        <v/>
      </c>
      <c r="J91" s="127">
        <f>IF($F91&lt;&gt;"",IFERROR(_xlfn.XLOOKUP($F91,Taxa_från_edp!$B:$B,Taxa_från_edp!K:K),""),"")</f>
        <v/>
      </c>
      <c r="K91" s="145" t="n"/>
      <c r="L91" s="146" t="n"/>
      <c r="M91" s="147">
        <f>IFERROR(IF(J91&lt;&gt;"",J91*1.25,IF(K91&lt;&gt;"",K91*1.25,"")),"")</f>
        <v/>
      </c>
      <c r="N91" s="148">
        <f>IFERROR(IF(J91&lt;&gt;"",L91*J91,IF(K91&lt;&gt;"",L91*K91,"")),"")</f>
        <v/>
      </c>
      <c r="O91" t="inlineStr">
        <is>
          <t>NEW_TAXA</t>
        </is>
      </c>
      <c r="P91" t="inlineStr">
        <is>
          <t>Ingen kandidat över granskningsgräns</t>
        </is>
      </c>
      <c r="Q91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92" ht="45" customHeight="1">
      <c r="A92" s="68" t="inlineStr">
        <is>
          <t>§2.2.6</t>
        </is>
      </c>
      <c r="B92" s="68" t="inlineStr">
        <is>
          <t>Hämtningsavgift per år för verksamhet inom detaljhandeln med beviljad hantering av kommunalt avfall</t>
        </is>
      </c>
      <c r="C92" s="68" t="inlineStr">
        <is>
          <t>Kärl 660 l (restavfall)</t>
        </is>
      </c>
      <c r="D92" s="68" t="inlineStr">
        <is>
          <t>Hämtning var 14:e dag</t>
        </is>
      </c>
      <c r="E92" s="68" t="inlineStr">
        <is>
          <t>st/år</t>
        </is>
      </c>
      <c r="F92" s="106" t="n"/>
      <c r="G92" s="116" t="n"/>
      <c r="H92" s="126">
        <f>IF($F92&lt;&gt;"",IFERROR(_xlfn.XLOOKUP($F92,Taxa_från_edp!$B:$B,Taxa_från_edp!C:C),""),"")</f>
        <v/>
      </c>
      <c r="I92" s="127">
        <f>IF($F92&lt;&gt;"",IFERROR(_xlfn.XLOOKUP($F92,Taxa_från_edp!$B:$B,Taxa_från_edp!G:G),""),"")</f>
        <v/>
      </c>
      <c r="J92" s="127">
        <f>IF($F92&lt;&gt;"",IFERROR(_xlfn.XLOOKUP($F92,Taxa_från_edp!$B:$B,Taxa_från_edp!K:K),""),"")</f>
        <v/>
      </c>
      <c r="K92" s="145" t="n"/>
      <c r="L92" s="146" t="n"/>
      <c r="M92" s="147">
        <f>IFERROR(IF(J92&lt;&gt;"",J92*1.25,IF(K92&lt;&gt;"",K92*1.25,"")),"")</f>
        <v/>
      </c>
      <c r="N92" s="148">
        <f>IFERROR(IF(J92&lt;&gt;"",L92*J92,IF(K92&lt;&gt;"",L92*K92,"")),"")</f>
        <v/>
      </c>
      <c r="O92" t="inlineStr">
        <is>
          <t>REVIEW_REQUIRED</t>
        </is>
      </c>
      <c r="P92" t="inlineStr">
        <is>
          <t>Bästa semantiska kandidat saknar taxekod</t>
        </is>
      </c>
      <c r="Q92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93" ht="45" customHeight="1">
      <c r="A93" s="68" t="inlineStr">
        <is>
          <t>§2.2.6</t>
        </is>
      </c>
      <c r="B93" s="68" t="inlineStr">
        <is>
          <t>Hämtningsavgift per år för verksamhet inom detaljhandeln med beviljad hantering av kommunalt avfall</t>
        </is>
      </c>
      <c r="C93" s="68" t="inlineStr">
        <is>
          <t>Kärl 660 l (restavfall)</t>
        </is>
      </c>
      <c r="D93" s="68" t="inlineStr">
        <is>
          <t>Hämtning månadsvis</t>
        </is>
      </c>
      <c r="E93" s="68" t="inlineStr">
        <is>
          <t>st/år</t>
        </is>
      </c>
      <c r="F93" s="106" t="n"/>
      <c r="G93" s="116" t="n"/>
      <c r="H93" s="126">
        <f>IF($F93&lt;&gt;"",IFERROR(_xlfn.XLOOKUP($F93,Taxa_från_edp!$B:$B,Taxa_från_edp!C:C),""),"")</f>
        <v/>
      </c>
      <c r="I93" s="127">
        <f>IF($F93&lt;&gt;"",IFERROR(_xlfn.XLOOKUP($F93,Taxa_från_edp!$B:$B,Taxa_från_edp!G:G),""),"")</f>
        <v/>
      </c>
      <c r="J93" s="127">
        <f>IF($F93&lt;&gt;"",IFERROR(_xlfn.XLOOKUP($F93,Taxa_från_edp!$B:$B,Taxa_från_edp!K:K),""),"")</f>
        <v/>
      </c>
      <c r="K93" s="145" t="n"/>
      <c r="L93" s="146" t="n"/>
      <c r="M93" s="147">
        <f>IFERROR(IF(J93&lt;&gt;"",J93*1.25,IF(K93&lt;&gt;"",K93*1.25,"")),"")</f>
        <v/>
      </c>
      <c r="N93" s="148">
        <f>IFERROR(IF(J93&lt;&gt;"",L93*J93,IF(K93&lt;&gt;"",L93*K93,"")),"")</f>
        <v/>
      </c>
      <c r="O93" t="inlineStr">
        <is>
          <t>NEW_TAXA</t>
        </is>
      </c>
      <c r="P93" t="inlineStr">
        <is>
          <t>Ingen kandidat över granskningsgräns</t>
        </is>
      </c>
      <c r="Q9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4" ht="45" customHeight="1">
      <c r="A94" s="68" t="inlineStr">
        <is>
          <t>§2.2.6</t>
        </is>
      </c>
      <c r="B94" s="68" t="inlineStr">
        <is>
          <t>Hämtningsavgift per år för verksamhet inom detaljhandeln med beviljad hantering av kommunalt avfall</t>
        </is>
      </c>
      <c r="C94" s="68" t="inlineStr">
        <is>
          <t>Kärl 140 l (matavfall)</t>
        </is>
      </c>
      <c r="D94" s="68" t="inlineStr">
        <is>
          <t>Hämtning varje vecka</t>
        </is>
      </c>
      <c r="E94" s="68" t="inlineStr">
        <is>
          <t>st/år</t>
        </is>
      </c>
      <c r="F94" s="106" t="n"/>
      <c r="G94" s="116" t="n"/>
      <c r="H94" s="126">
        <f>IF($F94&lt;&gt;"",IFERROR(_xlfn.XLOOKUP($F94,Taxa_från_edp!$B:$B,Taxa_från_edp!C:C),""),"")</f>
        <v/>
      </c>
      <c r="I94" s="127">
        <f>IF($F94&lt;&gt;"",IFERROR(_xlfn.XLOOKUP($F94,Taxa_från_edp!$B:$B,Taxa_från_edp!G:G),""),"")</f>
        <v/>
      </c>
      <c r="J94" s="127">
        <f>IF($F94&lt;&gt;"",IFERROR(_xlfn.XLOOKUP($F94,Taxa_från_edp!$B:$B,Taxa_från_edp!K:K),""),"")</f>
        <v/>
      </c>
      <c r="K94" s="145" t="n"/>
      <c r="L94" s="146" t="n"/>
      <c r="M94" s="147">
        <f>IFERROR(IF(J94&lt;&gt;"",J94*1.25,IF(K94&lt;&gt;"",K94*1.25,"")),"")</f>
        <v/>
      </c>
      <c r="N94" s="148">
        <f>IFERROR(IF(J94&lt;&gt;"",L94*J94,IF(K94&lt;&gt;"",L94*K94,"")),"")</f>
        <v/>
      </c>
      <c r="O94" t="inlineStr">
        <is>
          <t>NEW_TAXA</t>
        </is>
      </c>
      <c r="P94" t="inlineStr">
        <is>
          <t>Ingen kandidat över granskningsgräns</t>
        </is>
      </c>
      <c r="Q94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5" ht="45" customHeight="1">
      <c r="A95" s="68" t="inlineStr">
        <is>
          <t>§2.2.6</t>
        </is>
      </c>
      <c r="B95" s="68" t="inlineStr">
        <is>
          <t>Hämtningsavgift per år för verksamhet inom detaljhandeln med beviljad hantering av kommunalt avfall</t>
        </is>
      </c>
      <c r="C95" s="68" t="inlineStr">
        <is>
          <t>Kärl 140 l (matavfall)</t>
        </is>
      </c>
      <c r="D95" s="69" t="inlineStr">
        <is>
          <t>Hämtning var 14:e dag</t>
        </is>
      </c>
      <c r="E95" s="68" t="inlineStr">
        <is>
          <t>st/år</t>
        </is>
      </c>
      <c r="F95" s="106" t="n"/>
      <c r="G95" s="116" t="n"/>
      <c r="H95" s="126">
        <f>IF($F95&lt;&gt;"",IFERROR(_xlfn.XLOOKUP($F95,Taxa_från_edp!$B:$B,Taxa_från_edp!C:C),""),"")</f>
        <v/>
      </c>
      <c r="I95" s="127">
        <f>IF($F95&lt;&gt;"",IFERROR(_xlfn.XLOOKUP($F95,Taxa_från_edp!$B:$B,Taxa_från_edp!G:G),""),"")</f>
        <v/>
      </c>
      <c r="J95" s="127">
        <f>IF($F95&lt;&gt;"",IFERROR(_xlfn.XLOOKUP($F95,Taxa_från_edp!$B:$B,Taxa_från_edp!K:K),""),"")</f>
        <v/>
      </c>
      <c r="K95" s="145" t="n"/>
      <c r="L95" s="146" t="n"/>
      <c r="M95" s="147">
        <f>IFERROR(IF(J95&lt;&gt;"",J95*1.25,IF(K95&lt;&gt;"",K95*1.25,"")),"")</f>
        <v/>
      </c>
      <c r="N95" s="148">
        <f>IFERROR(IF(J95&lt;&gt;"",L95*J95,IF(K95&lt;&gt;"",L95*K95,"")),"")</f>
        <v/>
      </c>
      <c r="O95" t="inlineStr">
        <is>
          <t>NEW_TAXA</t>
        </is>
      </c>
      <c r="P95" t="inlineStr">
        <is>
          <t>Ingen kandidat över granskningsgräns</t>
        </is>
      </c>
      <c r="Q95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96" ht="45" customHeight="1">
      <c r="A96" s="68" t="inlineStr">
        <is>
          <t>§2.2.6</t>
        </is>
      </c>
      <c r="B96" s="68" t="inlineStr">
        <is>
          <t>Hämtningsavgift per år för verksamhet inom detaljhandeln med beviljad hantering av kommunalt avfall</t>
        </is>
      </c>
      <c r="C96" s="68" t="inlineStr">
        <is>
          <t>Kärl 140 l (matavfall)</t>
        </is>
      </c>
      <c r="D96" s="69" t="inlineStr">
        <is>
          <t>Hämtning månadsvis</t>
        </is>
      </c>
      <c r="E96" s="68" t="inlineStr">
        <is>
          <t>st/år</t>
        </is>
      </c>
      <c r="F96" s="106" t="n"/>
      <c r="G96" s="116" t="n"/>
      <c r="H96" s="126">
        <f>IF($F96&lt;&gt;"",IFERROR(_xlfn.XLOOKUP($F96,Taxa_från_edp!$B:$B,Taxa_från_edp!C:C),""),"")</f>
        <v/>
      </c>
      <c r="I96" s="127">
        <f>IF($F96&lt;&gt;"",IFERROR(_xlfn.XLOOKUP($F96,Taxa_från_edp!$B:$B,Taxa_från_edp!G:G),""),"")</f>
        <v/>
      </c>
      <c r="J96" s="127">
        <f>IF($F96&lt;&gt;"",IFERROR(_xlfn.XLOOKUP($F96,Taxa_från_edp!$B:$B,Taxa_från_edp!K:K),""),"")</f>
        <v/>
      </c>
      <c r="K96" s="145" t="n"/>
      <c r="L96" s="146" t="n"/>
      <c r="M96" s="147">
        <f>IFERROR(IF(J96&lt;&gt;"",J96*1.25,IF(K96&lt;&gt;"",K96*1.25,"")),"")</f>
        <v/>
      </c>
      <c r="N96" s="148">
        <f>IFERROR(IF(J96&lt;&gt;"",L96*J96,IF(K96&lt;&gt;"",L96*K96,"")),"")</f>
        <v/>
      </c>
      <c r="O96" t="inlineStr">
        <is>
          <t>NEW_TAXA</t>
        </is>
      </c>
      <c r="P96" t="inlineStr">
        <is>
          <t>Ingen kandidat över granskningsgräns</t>
        </is>
      </c>
      <c r="Q96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97" ht="45" customHeight="1">
      <c r="A97" s="68" t="inlineStr">
        <is>
          <t>§2.2.6</t>
        </is>
      </c>
      <c r="B97" s="68" t="inlineStr">
        <is>
          <t>Hämtningsavgift per år för verksamhet inom detaljhandeln med beviljad hantering av kommunalt avfall</t>
        </is>
      </c>
      <c r="C97" s="68" t="inlineStr">
        <is>
          <t>Bottentömmande behållare (mat-/restavfall)</t>
        </is>
      </c>
      <c r="D97" s="68" t="inlineStr">
        <is>
          <t>Avgift per tömning</t>
        </is>
      </c>
      <c r="E97" s="68" t="inlineStr">
        <is>
          <t>st/tömning</t>
        </is>
      </c>
      <c r="F97" s="106" t="n"/>
      <c r="G97" s="116" t="n"/>
      <c r="H97" s="126">
        <f>IF($F97&lt;&gt;"",IFERROR(_xlfn.XLOOKUP($F97,Taxa_från_edp!$B:$B,Taxa_från_edp!C:C),""),"")</f>
        <v/>
      </c>
      <c r="I97" s="127">
        <f>IF($F97&lt;&gt;"",IFERROR(_xlfn.XLOOKUP($F97,Taxa_från_edp!$B:$B,Taxa_från_edp!G:G),""),"")</f>
        <v/>
      </c>
      <c r="J97" s="127">
        <f>IF($F97&lt;&gt;"",IFERROR(_xlfn.XLOOKUP($F97,Taxa_från_edp!$B:$B,Taxa_från_edp!K:K),""),"")</f>
        <v/>
      </c>
      <c r="K97" s="145" t="n"/>
      <c r="L97" s="146" t="n"/>
      <c r="M97" s="147">
        <f>IFERROR(IF(J97&lt;&gt;"",J97*1.25,IF(K97&lt;&gt;"",K97*1.25,"")),"")</f>
        <v/>
      </c>
      <c r="N97" s="148">
        <f>IFERROR(IF(J97&lt;&gt;"",L97*J97,IF(K97&lt;&gt;"",L97*K97,"")),"")</f>
        <v/>
      </c>
      <c r="O97" t="inlineStr">
        <is>
          <t>REVIEW_REQUIRED</t>
        </is>
      </c>
      <c r="P97" t="inlineStr">
        <is>
          <t>Bästa semantiska kandidat saknar taxekod</t>
        </is>
      </c>
      <c r="Q97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8" ht="150" customHeight="1">
      <c r="A98" s="68" t="inlineStr">
        <is>
          <t>§2.2.6</t>
        </is>
      </c>
      <c r="B98" s="68" t="inlineStr">
        <is>
          <t>Hämtningsavgift per år för verksamhet inom detaljhandeln med beviljad hantering av kommunalt avfall</t>
        </is>
      </c>
      <c r="C98" s="68" t="inlineStr">
        <is>
          <t>Lastväxlarflak (restavfall)</t>
        </is>
      </c>
      <c r="D98" s="68" t="inlineStr">
        <is>
          <t>Avgift per tömning</t>
        </is>
      </c>
      <c r="E98" s="68" t="inlineStr">
        <is>
          <t>st/tömning</t>
        </is>
      </c>
      <c r="F98" s="107" t="n"/>
      <c r="G98" s="117" t="n"/>
      <c r="H98" s="128">
        <f>IF($F98&lt;&gt;"",IFERROR(_xlfn.XLOOKUP($F98,Taxa_från_edp!$B:$B,Taxa_från_edp!C:C),""),"")</f>
        <v/>
      </c>
      <c r="I98" s="129">
        <f>IF($F98&lt;&gt;"",IFERROR(_xlfn.XLOOKUP($F98,Taxa_från_edp!$B:$B,Taxa_från_edp!G:G),""),"")</f>
        <v/>
      </c>
      <c r="J98" s="129">
        <f>IF($F98&lt;&gt;"",IFERROR(_xlfn.XLOOKUP($F98,Taxa_från_edp!$B:$B,Taxa_från_edp!K:K),""),"")</f>
        <v/>
      </c>
      <c r="K98" s="150" t="n"/>
      <c r="L98" s="151" t="n"/>
      <c r="M98" s="147">
        <f>IFERROR(IF(J98&lt;&gt;"",J98*1.25,IF(K98&lt;&gt;"",K98*1.25,"")),"")</f>
        <v/>
      </c>
      <c r="N98" s="148">
        <f>IFERROR(IF(J98&lt;&gt;"",L98*J98,IF(K98&lt;&gt;"",L98*K98,"")),"")</f>
        <v/>
      </c>
      <c r="O98" t="inlineStr">
        <is>
          <t>REVIEW_REQUIRED</t>
        </is>
      </c>
      <c r="P98" t="inlineStr">
        <is>
          <t>Bästa semantiska kandidat saknar taxekod</t>
        </is>
      </c>
      <c r="Q98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9" ht="45" customHeight="1">
      <c r="A99" s="68" t="inlineStr">
        <is>
          <t>§2.2.6</t>
        </is>
      </c>
      <c r="B99" s="68" t="inlineStr">
        <is>
          <t>Hämtningsavgift per år för verksamhet inom detaljhandeln med beviljad hantering av kommunalt avfall</t>
        </is>
      </c>
      <c r="C99" s="68" t="inlineStr">
        <is>
          <t>Bottentömmande behållare (mat-/restavfall)</t>
        </is>
      </c>
      <c r="D99" s="68" t="inlineStr">
        <is>
          <t>Tillägg för två tömningar per vecka</t>
        </is>
      </c>
      <c r="E99" s="68" t="inlineStr">
        <is>
          <t>st/tömning</t>
        </is>
      </c>
      <c r="F99" s="106" t="n"/>
      <c r="G99" s="116" t="n"/>
      <c r="H99" s="126">
        <f>IF($F99&lt;&gt;"",IFERROR(_xlfn.XLOOKUP($F99,Taxa_från_edp!$B:$B,Taxa_från_edp!C:C),""),"")</f>
        <v/>
      </c>
      <c r="I99" s="127">
        <f>IF($F99&lt;&gt;"",IFERROR(_xlfn.XLOOKUP($F99,Taxa_från_edp!$B:$B,Taxa_från_edp!G:G),""),"")</f>
        <v/>
      </c>
      <c r="J99" s="127">
        <f>IF($F99&lt;&gt;"",IFERROR(_xlfn.XLOOKUP($F99,Taxa_från_edp!$B:$B,Taxa_från_edp!K:K),""),"")</f>
        <v/>
      </c>
      <c r="K99" s="145" t="n"/>
      <c r="L99" s="146" t="n"/>
      <c r="M99" s="147">
        <f>IFERROR(IF(J99&lt;&gt;"",J99*1.25,IF(K99&lt;&gt;"",K99*1.25,"")),"")</f>
        <v/>
      </c>
      <c r="N99" s="148">
        <f>IFERROR(IF(J99&lt;&gt;"",L99*J99,IF(K99&lt;&gt;"",L99*K99,"")),"")</f>
        <v/>
      </c>
      <c r="O99" t="inlineStr">
        <is>
          <t>REVIEW_REQUIRED</t>
        </is>
      </c>
      <c r="P99" t="inlineStr">
        <is>
          <t>Bästa semantiska kandidat saknar taxekod</t>
        </is>
      </c>
      <c r="Q99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0" ht="21.95" customHeight="1">
      <c r="A100" s="83" t="inlineStr">
        <is>
          <t>§2.2.7 Verksamheter med beviljad hantering av förbrukat matfett, kontorspapper eller returpapper</t>
        </is>
      </c>
      <c r="B100" s="84" t="n"/>
      <c r="C100" s="84" t="n"/>
      <c r="D100" s="84" t="n"/>
      <c r="E100" s="85" t="n"/>
      <c r="F100" s="114" t="n"/>
      <c r="G100" s="122" t="n"/>
      <c r="H100" s="122">
        <f>IF($F100&lt;&gt;"",IFERROR(_xlfn.XLOOKUP($F100,Taxa_från_edp!$B:$B,Taxa_från_edp!C:C),""),"")</f>
        <v/>
      </c>
      <c r="I100" s="149">
        <f>IF($F100&lt;&gt;"",IFERROR(_xlfn.XLOOKUP($F100,Taxa_från_edp!$B:$B,Taxa_från_edp!G:G),""),"")</f>
        <v/>
      </c>
      <c r="J100" s="149">
        <f>IF($F100&lt;&gt;"",IFERROR(_xlfn.XLOOKUP($F100,Taxa_från_edp!$B:$B,Taxa_från_edp!K:K),""),"")</f>
        <v/>
      </c>
      <c r="K100" s="149" t="n"/>
      <c r="L100" s="149" t="n"/>
      <c r="M100" s="121">
        <f>IFERROR(IF(J100&lt;&gt;"",J100*1.25,IF(K100&lt;&gt;"",K100*1.25,"")),"")</f>
        <v/>
      </c>
      <c r="N100" s="144">
        <f>IFERROR(IF(J100&lt;&gt;"",L100*J100,IF(K100&lt;&gt;"",L100*K100,"")),"")</f>
        <v/>
      </c>
      <c r="O100" t="inlineStr">
        <is>
          <t>REVIEW_REQUIRED</t>
        </is>
      </c>
      <c r="P100" t="inlineStr">
        <is>
          <t>Bästa semantiska kandidat saknar taxekod</t>
        </is>
      </c>
      <c r="Q100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1" ht="30" customHeight="1">
      <c r="A101" s="79" t="inlineStr">
        <is>
          <t>§2.2.7</t>
        </is>
      </c>
      <c r="B101" s="79" t="inlineStr">
        <is>
          <t>Verksamheter med beviljad hantering av förbrukat matfett, kontorspapper eller returpapper</t>
        </is>
      </c>
      <c r="C101" s="79" t="inlineStr">
        <is>
          <t>Kärl 140 l (kontors-/returpapper)</t>
        </is>
      </c>
      <c r="D101" s="68" t="inlineStr">
        <is>
          <t>Avgift per tömning</t>
        </is>
      </c>
      <c r="E101" s="68" t="inlineStr">
        <is>
          <t>st/tömning</t>
        </is>
      </c>
      <c r="F101" s="108" t="n"/>
      <c r="G101" s="118" t="n"/>
      <c r="H101" s="130">
        <f>IF($F101&lt;&gt;"",IFERROR(_xlfn.XLOOKUP($F101,Taxa_från_edp!$B:$B,Taxa_från_edp!C:C),""),"")</f>
        <v/>
      </c>
      <c r="I101" s="131">
        <f>IF($F101&lt;&gt;"",IFERROR(_xlfn.XLOOKUP($F101,Taxa_från_edp!$B:$B,Taxa_från_edp!G:G),""),"")</f>
        <v/>
      </c>
      <c r="J101" s="131">
        <f>IF($F101&lt;&gt;"",IFERROR(_xlfn.XLOOKUP($F101,Taxa_från_edp!$B:$B,Taxa_från_edp!K:K),""),"")</f>
        <v/>
      </c>
      <c r="K101" s="152" t="n"/>
      <c r="L101" s="153" t="n"/>
      <c r="M101" s="154">
        <f>IFERROR(IF(J101&lt;&gt;"",J101*1.25,IF(K101&lt;&gt;"",K101*1.25,"")),"")</f>
        <v/>
      </c>
      <c r="N101" s="154">
        <f>IFERROR(IF(J101&lt;&gt;"",L101*J101,IF(K101&lt;&gt;"",L101*K101,"")),"")</f>
        <v/>
      </c>
      <c r="O101" t="inlineStr">
        <is>
          <t>REVIEW_REQUIRED</t>
        </is>
      </c>
      <c r="P101" t="inlineStr">
        <is>
          <t>Bästa semantiska kandidat saknar taxekod</t>
        </is>
      </c>
      <c r="Q101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102" ht="30" customHeight="1">
      <c r="A102" s="79" t="inlineStr">
        <is>
          <t>§2.2.7</t>
        </is>
      </c>
      <c r="B102" s="79" t="inlineStr">
        <is>
          <t>Verksamheter med beviljad hantering av förbrukat matfett, kontorspapper eller returpapper</t>
        </is>
      </c>
      <c r="C102" s="96" t="inlineStr">
        <is>
          <t xml:space="preserve">Egen överlämning av förbrukat kontors-/returpapper enligt anvisning </t>
        </is>
      </c>
      <c r="D102" s="68" t="inlineStr">
        <is>
          <t>Avgift per tömning</t>
        </is>
      </c>
      <c r="E102" s="68" t="inlineStr">
        <is>
          <t>st/tömning</t>
        </is>
      </c>
      <c r="F102" s="109" t="n"/>
      <c r="G102" s="119" t="n"/>
      <c r="H102" s="132">
        <f>IF($F102&lt;&gt;"",IFERROR(_xlfn.XLOOKUP($F102,Taxa_från_edp!$B:$B,Taxa_från_edp!C:C),""),"")</f>
        <v/>
      </c>
      <c r="I102" s="133">
        <f>IF($F102&lt;&gt;"",IFERROR(_xlfn.XLOOKUP($F102,Taxa_från_edp!$B:$B,Taxa_från_edp!G:G),""),"")</f>
        <v/>
      </c>
      <c r="J102" s="133">
        <f>IF($F102&lt;&gt;"",IFERROR(_xlfn.XLOOKUP($F102,Taxa_från_edp!$B:$B,Taxa_från_edp!K:K),""),"")</f>
        <v/>
      </c>
      <c r="K102" s="155" t="n"/>
      <c r="L102" s="156" t="n"/>
      <c r="M102" s="154">
        <f>IFERROR(IF(J102&lt;&gt;"",J102*1.25,IF(K102&lt;&gt;"",K102*1.25,"")),"")</f>
        <v/>
      </c>
      <c r="N102" s="154">
        <f>IFERROR(IF(J102&lt;&gt;"",L102*J102,IF(K102&lt;&gt;"",L102*K102,"")),"")</f>
        <v/>
      </c>
      <c r="O102" t="inlineStr">
        <is>
          <t>REVIEW_REQUIRED</t>
        </is>
      </c>
      <c r="P102" t="inlineStr">
        <is>
          <t>Bästa semantiska kandidat saknar taxekod</t>
        </is>
      </c>
      <c r="Q102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3" ht="30" customHeight="1">
      <c r="A103" s="79" t="inlineStr">
        <is>
          <t>§2.2.7</t>
        </is>
      </c>
      <c r="B103" s="79" t="inlineStr">
        <is>
          <t>Verksamheter med beviljad hantering av förbrukat matfett, kontorspapper eller returpapper</t>
        </is>
      </c>
      <c r="C103" s="79" t="inlineStr">
        <is>
          <t>Egen överlämning av förbrukat matfett enligt anvisning</t>
        </is>
      </c>
      <c r="D103" s="68" t="inlineStr">
        <is>
          <t>Avgift per tömning</t>
        </is>
      </c>
      <c r="E103" s="68" t="inlineStr">
        <is>
          <t>st/tömning</t>
        </is>
      </c>
      <c r="F103" s="109" t="n"/>
      <c r="G103" s="119" t="n"/>
      <c r="H103" s="132">
        <f>IF($F103&lt;&gt;"",IFERROR(_xlfn.XLOOKUP($F103,Taxa_från_edp!$B:$B,Taxa_från_edp!C:C),""),"")</f>
        <v/>
      </c>
      <c r="I103" s="133">
        <f>IF($F103&lt;&gt;"",IFERROR(_xlfn.XLOOKUP($F103,Taxa_från_edp!$B:$B,Taxa_från_edp!G:G),""),"")</f>
        <v/>
      </c>
      <c r="J103" s="133">
        <f>IF($F103&lt;&gt;"",IFERROR(_xlfn.XLOOKUP($F103,Taxa_från_edp!$B:$B,Taxa_från_edp!K:K),""),"")</f>
        <v/>
      </c>
      <c r="K103" s="155" t="n"/>
      <c r="L103" s="156" t="n"/>
      <c r="M103" s="154">
        <f>IFERROR(IF(J103&lt;&gt;"",J103*1.25,IF(K103&lt;&gt;"",K103*1.25,"")),"")</f>
        <v/>
      </c>
      <c r="N103" s="154">
        <f>IFERROR(IF(J103&lt;&gt;"",L103*J103,IF(K103&lt;&gt;"",L103*K103,"")),"")</f>
        <v/>
      </c>
      <c r="O103" t="inlineStr">
        <is>
          <t>REVIEW_REQUIRED</t>
        </is>
      </c>
      <c r="P103" t="inlineStr">
        <is>
          <t>Bästa semantiska kandidat saknar taxekod</t>
        </is>
      </c>
      <c r="Q103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4" ht="21.95" customHeight="1">
      <c r="A104" s="93" t="inlineStr">
        <is>
          <t>§2.3 Rörlig avgift (gäller ej gemensam uppsamlingsplats)</t>
        </is>
      </c>
      <c r="B104" s="84" t="n"/>
      <c r="C104" s="84" t="n"/>
      <c r="D104" s="84" t="n"/>
      <c r="E104" s="85" t="n"/>
      <c r="F104" s="112" t="n"/>
      <c r="G104" s="120">
        <f>IF($F104&lt;&gt;"",$F104,IFERROR(_xlfn.XLOOKUP(ROW(),Taxa_Saknas!$H:$H,Taxa_Saknas!$G:$G),""))</f>
        <v/>
      </c>
      <c r="H104" s="120">
        <f>IF($F104&lt;&gt;"",IFERROR(_xlfn.XLOOKUP($F104,Taxa_från_edp!$B:$B,Taxa_från_edp!C:C),""),"")</f>
        <v/>
      </c>
      <c r="I104" s="120">
        <f>IF($F104&lt;&gt;"",IFERROR(_xlfn.XLOOKUP($F104,Taxa_från_edp!$B:$B,Taxa_från_edp!G:G),""),"")</f>
        <v/>
      </c>
      <c r="J104" s="120">
        <f>IF($F104&lt;&gt;"",IFERROR(_xlfn.XLOOKUP($F104,Taxa_från_edp!$B:$B,Taxa_från_edp!K:K),""),"")</f>
        <v/>
      </c>
      <c r="K104" s="120" t="n"/>
      <c r="L104" s="120" t="n"/>
      <c r="M104" s="120">
        <f>IFERROR(IF(J104&lt;&gt;"",J104*1.25,IF(K104&lt;&gt;"",K104*1.25,"")),"")</f>
        <v/>
      </c>
      <c r="N104" s="143">
        <f>IFERROR(IF(J104&lt;&gt;"",L104*J104,IF(K104&lt;&gt;"",L104*K104,"")),"")</f>
        <v/>
      </c>
      <c r="O104" t="inlineStr">
        <is>
          <t>REVIEW_REQUIRED</t>
        </is>
      </c>
      <c r="P104" t="inlineStr">
        <is>
          <t>Bästa semantiska kandidat saknar taxekod</t>
        </is>
      </c>
      <c r="Q104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105" ht="21.95" customHeight="1">
      <c r="A105" s="83" t="inlineStr">
        <is>
          <t>§2.3.1 Rörlig avgift (gäller ej gemensam uppsamlingsplats)</t>
        </is>
      </c>
      <c r="B105" s="84" t="n"/>
      <c r="C105" s="84" t="n"/>
      <c r="D105" s="84" t="n"/>
      <c r="E105" s="85" t="n"/>
      <c r="F105" s="113" t="n"/>
      <c r="G105" s="121">
        <f>IF($F105&lt;&gt;"",$F105,IFERROR(_xlfn.XLOOKUP(ROW(),Taxa_Saknas!$H:$H,Taxa_Saknas!$G:$G),""))</f>
        <v/>
      </c>
      <c r="H105" s="121">
        <f>IF($F105&lt;&gt;"",IFERROR(_xlfn.XLOOKUP($F105,Taxa_från_edp!$B:$B,Taxa_från_edp!C:C),""),"")</f>
        <v/>
      </c>
      <c r="I105" s="121">
        <f>IF($F105&lt;&gt;"",IFERROR(_xlfn.XLOOKUP($F105,Taxa_från_edp!$B:$B,Taxa_från_edp!G:G),""),"")</f>
        <v/>
      </c>
      <c r="J105" s="121">
        <f>IF($F105&lt;&gt;"",IFERROR(_xlfn.XLOOKUP($F105,Taxa_från_edp!$B:$B,Taxa_från_edp!K:K),""),"")</f>
        <v/>
      </c>
      <c r="K105" s="121" t="n"/>
      <c r="L105" s="121" t="n"/>
      <c r="M105" s="121">
        <f>IFERROR(IF(J105&lt;&gt;"",J105*1.25,IF(K105&lt;&gt;"",K105*1.25,"")),"")</f>
        <v/>
      </c>
      <c r="N105" s="144">
        <f>IFERROR(IF(J105&lt;&gt;"",L105*J105,IF(K105&lt;&gt;"",L105*K105,"")),"")</f>
        <v/>
      </c>
      <c r="O105" t="inlineStr">
        <is>
          <t>REVIEW_REQUIRED</t>
        </is>
      </c>
      <c r="P105" t="inlineStr">
        <is>
          <t>Bästa semantiska kandidat saknar taxekod</t>
        </is>
      </c>
      <c r="Q105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6" ht="30" customHeight="1">
      <c r="A106" s="68" t="inlineStr">
        <is>
          <t>§2.3.1</t>
        </is>
      </c>
      <c r="B106" s="68" t="inlineStr">
        <is>
          <t>Rörlig avgift (gäller ej gemensam uppsamlingsplats)</t>
        </is>
      </c>
      <c r="C106" s="68" t="inlineStr">
        <is>
          <t>Viktavgift matavfall</t>
        </is>
      </c>
      <c r="D106" s="68" t="n"/>
      <c r="E106" s="68" t="inlineStr">
        <is>
          <t>kr/kg</t>
        </is>
      </c>
      <c r="F106" s="107" t="inlineStr">
        <is>
          <t>VIKTMAT</t>
        </is>
      </c>
      <c r="G106" s="117" t="n"/>
      <c r="H106" s="128">
        <f>IF($F106&lt;&gt;"",IFERROR(_xlfn.XLOOKUP($F106,Taxa_från_edp!$B:$B,Taxa_från_edp!C:C),""),"")</f>
        <v/>
      </c>
      <c r="I106" s="129">
        <f>IF($F106&lt;&gt;"",IFERROR(_xlfn.XLOOKUP($F106,Taxa_från_edp!$B:$B,Taxa_från_edp!G:G),""),"")</f>
        <v/>
      </c>
      <c r="J106" s="129">
        <f>IF($F106&lt;&gt;"",IFERROR(_xlfn.XLOOKUP($F106,Taxa_från_edp!$B:$B,Taxa_från_edp!K:K),""),"")</f>
        <v/>
      </c>
      <c r="K106" s="150" t="n"/>
      <c r="L106" s="151" t="n"/>
      <c r="M106" s="147">
        <f>IFERROR(IF(J106&lt;&gt;"",J106*1.25,IF(K106&lt;&gt;"",K106*1.25,"")),"")</f>
        <v/>
      </c>
      <c r="N106" s="148">
        <f>IFERROR(IF(J106&lt;&gt;"",L106*J106,IF(K106&lt;&gt;"",L106*K106,"")),"")</f>
        <v/>
      </c>
      <c r="O106" t="inlineStr">
        <is>
          <t>REVIEW_REQUIRED</t>
        </is>
      </c>
      <c r="P106" t="inlineStr">
        <is>
          <t>Bästa semantiska kandidat saknar taxekod</t>
        </is>
      </c>
      <c r="Q106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7" ht="30" customHeight="1">
      <c r="A107" s="68" t="inlineStr">
        <is>
          <t>§2.3.1</t>
        </is>
      </c>
      <c r="B107" s="68" t="inlineStr">
        <is>
          <t>Rörlig avgift (gäller ej gemensam uppsamlingsplats)</t>
        </is>
      </c>
      <c r="C107" s="68" t="inlineStr">
        <is>
          <t>Viktavgift restavfall</t>
        </is>
      </c>
      <c r="D107" s="68" t="n"/>
      <c r="E107" s="68" t="inlineStr">
        <is>
          <t>kr/kg</t>
        </is>
      </c>
      <c r="F107" s="107" t="inlineStr">
        <is>
          <t>VIKTREST</t>
        </is>
      </c>
      <c r="G107" s="117" t="n"/>
      <c r="H107" s="128">
        <f>IF($F107&lt;&gt;"",IFERROR(_xlfn.XLOOKUP($F107,Taxa_från_edp!$B:$B,Taxa_från_edp!C:C),""),"")</f>
        <v/>
      </c>
      <c r="I107" s="129">
        <f>IF($F107&lt;&gt;"",IFERROR(_xlfn.XLOOKUP($F107,Taxa_från_edp!$B:$B,Taxa_från_edp!G:G),""),"")</f>
        <v/>
      </c>
      <c r="J107" s="129">
        <f>IF($F107&lt;&gt;"",IFERROR(_xlfn.XLOOKUP($F107,Taxa_från_edp!$B:$B,Taxa_från_edp!K:K),""),"")</f>
        <v/>
      </c>
      <c r="K107" s="150" t="n"/>
      <c r="L107" s="151" t="n"/>
      <c r="M107" s="147">
        <f>IFERROR(IF(J107&lt;&gt;"",J107*1.25,IF(K107&lt;&gt;"",K107*1.25,"")),"")</f>
        <v/>
      </c>
      <c r="N107" s="148">
        <f>IFERROR(IF(J107&lt;&gt;"",L107*J107,IF(K107&lt;&gt;"",L107*K107,"")),"")</f>
        <v/>
      </c>
      <c r="O107" t="inlineStr">
        <is>
          <t>REVIEW_REQUIRED</t>
        </is>
      </c>
      <c r="P107" t="inlineStr">
        <is>
          <t>Bästa semantiska kandidat saknar taxekod</t>
        </is>
      </c>
      <c r="Q107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8" ht="30" customHeight="1">
      <c r="A108" s="68" t="inlineStr">
        <is>
          <t>§2.3.1</t>
        </is>
      </c>
      <c r="B108" s="68" t="inlineStr">
        <is>
          <t>Rörlig avgift (gäller ej gemensam uppsamlingsplats)</t>
        </is>
      </c>
      <c r="C108" s="68" t="inlineStr">
        <is>
          <t>Lyftavgift kärl</t>
        </is>
      </c>
      <c r="D108" s="68" t="n"/>
      <c r="E108" s="68" t="inlineStr">
        <is>
          <t>st/tömning</t>
        </is>
      </c>
      <c r="F108" s="107" t="n"/>
      <c r="G108" s="117" t="n"/>
      <c r="H108" s="128">
        <f>IF($F108&lt;&gt;"",IFERROR(_xlfn.XLOOKUP($F108,Taxa_från_edp!$B:$B,Taxa_från_edp!C:C),""),"")</f>
        <v/>
      </c>
      <c r="I108" s="129">
        <f>IF($F108&lt;&gt;"",IFERROR(_xlfn.XLOOKUP($F108,Taxa_från_edp!$B:$B,Taxa_från_edp!G:G),""),"")</f>
        <v/>
      </c>
      <c r="J108" s="129">
        <f>IF($F108&lt;&gt;"",IFERROR(_xlfn.XLOOKUP($F108,Taxa_från_edp!$B:$B,Taxa_från_edp!K:K),""),"")</f>
        <v/>
      </c>
      <c r="K108" s="150" t="n"/>
      <c r="L108" s="151" t="n"/>
      <c r="M108" s="147">
        <f>IFERROR(IF(J108&lt;&gt;"",J108*1.25,IF(K108&lt;&gt;"",K108*1.25,"")),"")</f>
        <v/>
      </c>
      <c r="N108" s="148">
        <f>IFERROR(IF(J108&lt;&gt;"",L108*J108,IF(K108&lt;&gt;"",L108*K108,"")),"")</f>
        <v/>
      </c>
      <c r="O108" t="inlineStr">
        <is>
          <t>REVIEW_REQUIRED</t>
        </is>
      </c>
      <c r="P108" t="inlineStr">
        <is>
          <t>Bästa semantiska kandidat saknar taxekod</t>
        </is>
      </c>
      <c r="Q108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9" ht="21.95" customHeight="1">
      <c r="A109" s="93" t="inlineStr">
        <is>
          <t>§2.4 Tillägg och avgifter för avfall</t>
        </is>
      </c>
      <c r="B109" s="84" t="n"/>
      <c r="C109" s="84" t="n"/>
      <c r="D109" s="84" t="n"/>
      <c r="E109" s="85" t="n"/>
      <c r="F109" s="112" t="n"/>
      <c r="G109" s="120">
        <f>IF($F109&lt;&gt;"",$F109,IFERROR(_xlfn.XLOOKUP(ROW(),Taxa_Saknas!$H:$H,Taxa_Saknas!$G:$G),""))</f>
        <v/>
      </c>
      <c r="H109" s="120">
        <f>IF($F109&lt;&gt;"",IFERROR(_xlfn.XLOOKUP($F109,Taxa_från_edp!$B:$B,Taxa_från_edp!C:C),""),"")</f>
        <v/>
      </c>
      <c r="I109" s="120">
        <f>IF($F109&lt;&gt;"",IFERROR(_xlfn.XLOOKUP($F109,Taxa_från_edp!$B:$B,Taxa_från_edp!G:G),""),"")</f>
        <v/>
      </c>
      <c r="J109" s="120">
        <f>IF($F109&lt;&gt;"",IFERROR(_xlfn.XLOOKUP($F109,Taxa_från_edp!$B:$B,Taxa_från_edp!K:K),""),"")</f>
        <v/>
      </c>
      <c r="K109" s="120" t="n"/>
      <c r="L109" s="120" t="n"/>
      <c r="M109" s="120">
        <f>IFERROR(IF(J109&lt;&gt;"",J109*1.25,IF(K109&lt;&gt;"",K109*1.25,"")),"")</f>
        <v/>
      </c>
      <c r="N109" s="143">
        <f>IFERROR(IF(J109&lt;&gt;"",L109*J109,IF(K109&lt;&gt;"",L109*K109,"")),"")</f>
        <v/>
      </c>
      <c r="O109" t="inlineStr">
        <is>
          <t>NEW_TAXA</t>
        </is>
      </c>
      <c r="P109" t="inlineStr">
        <is>
          <t>Ingen kandidat över granskningsgräns</t>
        </is>
      </c>
      <c r="Q109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110" ht="21.95" customHeight="1">
      <c r="A110" s="83" t="inlineStr">
        <is>
          <t>§2.4.1 Fakturaavgift</t>
        </is>
      </c>
      <c r="B110" s="84" t="n"/>
      <c r="C110" s="84" t="n"/>
      <c r="D110" s="84" t="n"/>
      <c r="E110" s="85" t="n"/>
      <c r="F110" s="114" t="n"/>
      <c r="G110" s="122">
        <f>IF($F110&lt;&gt;"",$F110,IFERROR(_xlfn.XLOOKUP(ROW(),Taxa_Saknas!$H:$H,Taxa_Saknas!$G:$G),""))</f>
        <v/>
      </c>
      <c r="H110" s="122">
        <f>IF($F110&lt;&gt;"",IFERROR(_xlfn.XLOOKUP($F110,Taxa_från_edp!$B:$B,Taxa_från_edp!C:C),""),"")</f>
        <v/>
      </c>
      <c r="I110" s="149">
        <f>IF($F110&lt;&gt;"",IFERROR(_xlfn.XLOOKUP($F110,Taxa_från_edp!$B:$B,Taxa_från_edp!G:G),""),"")</f>
        <v/>
      </c>
      <c r="J110" s="149">
        <f>IF($F110&lt;&gt;"",IFERROR(_xlfn.XLOOKUP($F110,Taxa_från_edp!$B:$B,Taxa_från_edp!K:K),""),"")</f>
        <v/>
      </c>
      <c r="K110" s="149" t="n"/>
      <c r="L110" s="149" t="n"/>
      <c r="M110" s="121">
        <f>IFERROR(IF(J110&lt;&gt;"",J110*1.25,IF(K110&lt;&gt;"",K110*1.25,"")),"")</f>
        <v/>
      </c>
      <c r="N110" s="144">
        <f>IFERROR(IF(J110&lt;&gt;"",L110*J110,IF(K110&lt;&gt;"",L110*K110,"")),"")</f>
        <v/>
      </c>
      <c r="O110" t="inlineStr">
        <is>
          <t>NEW_TAXA</t>
        </is>
      </c>
      <c r="P110" t="inlineStr">
        <is>
          <t>Ingen kandidat över granskningsgräns</t>
        </is>
      </c>
      <c r="Q11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1" ht="45" customHeight="1">
      <c r="A111" s="68" t="inlineStr">
        <is>
          <t>§2.4.1</t>
        </is>
      </c>
      <c r="B111" s="68" t="inlineStr">
        <is>
          <t>Fakturaavgift</t>
        </is>
      </c>
      <c r="C111" s="68" t="inlineStr">
        <is>
          <t>Fakturaavgift</t>
        </is>
      </c>
      <c r="D111" s="68" t="inlineStr">
        <is>
          <t>Avgift per faktura</t>
        </is>
      </c>
      <c r="E111" s="68" t="inlineStr">
        <is>
          <t>kr/st</t>
        </is>
      </c>
      <c r="F111" s="106" t="n"/>
      <c r="G111" s="116">
        <f>IF($F111&lt;&gt;"",$F111,IFERROR(_xlfn.XLOOKUP(ROW(),Taxa_Saknas!$H:$H,Taxa_Saknas!$G:$G),""))</f>
        <v/>
      </c>
      <c r="H111" s="126">
        <f>IF($F111&lt;&gt;"",IFERROR(_xlfn.XLOOKUP($F111,Taxa_från_edp!$B:$B,Taxa_från_edp!C:C),""),"")</f>
        <v/>
      </c>
      <c r="I111" s="127">
        <f>IF($F111&lt;&gt;"",IFERROR(_xlfn.XLOOKUP($F111,Taxa_från_edp!$B:$B,Taxa_från_edp!G:G),""),"")</f>
        <v/>
      </c>
      <c r="J111" s="127">
        <f>IF($F111&lt;&gt;"",IFERROR(_xlfn.XLOOKUP($F111,Taxa_från_edp!$B:$B,Taxa_från_edp!K:K),""),"")</f>
        <v/>
      </c>
      <c r="K111" s="145" t="n"/>
      <c r="L111" s="146" t="n"/>
      <c r="M111" s="147">
        <f>IFERROR(IF(J111&lt;&gt;"",J111*1.25,IF(K111&lt;&gt;"",K111*1.25,"")),"")</f>
        <v/>
      </c>
      <c r="N111" s="148">
        <f>IFERROR(IF(J111&lt;&gt;"",L111*J111,IF(K111&lt;&gt;"",L111*K111,"")),"")</f>
        <v/>
      </c>
      <c r="O111" t="inlineStr">
        <is>
          <t>NEW_TAXA</t>
        </is>
      </c>
      <c r="P111" t="inlineStr">
        <is>
          <t>Ingen kandidat över granskningsgräns</t>
        </is>
      </c>
      <c r="Q11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2" ht="45" customHeight="1">
      <c r="A112" s="68" t="inlineStr">
        <is>
          <t>§2.4.1</t>
        </is>
      </c>
      <c r="B112" s="68" t="inlineStr">
        <is>
          <t>Fakturaavgift</t>
        </is>
      </c>
      <c r="C112" s="68" t="inlineStr">
        <is>
          <t>Fakturaavgift</t>
        </is>
      </c>
      <c r="D112" s="68" t="inlineStr">
        <is>
          <t>Avgift per faktura</t>
        </is>
      </c>
      <c r="E112" s="68" t="inlineStr">
        <is>
          <t>kr/st</t>
        </is>
      </c>
      <c r="F112" s="106" t="n"/>
      <c r="G112" s="116">
        <f>IF($F112&lt;&gt;"",$F112,IFERROR(_xlfn.XLOOKUP(ROW(),Taxa_Saknas!$H:$H,Taxa_Saknas!$G:$G),""))</f>
        <v/>
      </c>
      <c r="H112" s="126">
        <f>IF($F112&lt;&gt;"",IFERROR(_xlfn.XLOOKUP($F112,Taxa_från_edp!$B:$B,Taxa_från_edp!C:C),""),"")</f>
        <v/>
      </c>
      <c r="I112" s="127">
        <f>IF($F112&lt;&gt;"",IFERROR(_xlfn.XLOOKUP($F112,Taxa_från_edp!$B:$B,Taxa_från_edp!G:G),""),"")</f>
        <v/>
      </c>
      <c r="J112" s="127">
        <f>IF($F112&lt;&gt;"",IFERROR(_xlfn.XLOOKUP($F112,Taxa_från_edp!$B:$B,Taxa_från_edp!K:K),""),"")</f>
        <v/>
      </c>
      <c r="K112" s="145" t="n"/>
      <c r="L112" s="146" t="n"/>
      <c r="M112" s="147">
        <f>IFERROR(IF(J112&lt;&gt;"",J112*1.25,IF(K112&lt;&gt;"",K112*1.25,"")),"")</f>
        <v/>
      </c>
      <c r="N112" s="148">
        <f>IFERROR(IF(J112&lt;&gt;"",L112*J112,IF(K112&lt;&gt;"",L112*K112,"")),"")</f>
        <v/>
      </c>
      <c r="O112" t="inlineStr">
        <is>
          <t>NEW_TAXA</t>
        </is>
      </c>
      <c r="P112" t="inlineStr">
        <is>
          <t>Ingen kandidat över granskningsgräns</t>
        </is>
      </c>
      <c r="Q112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3" ht="21.95" customHeight="1">
      <c r="A113" s="83" t="inlineStr">
        <is>
          <t>§2.4.2 Överviktsavgift kärl</t>
        </is>
      </c>
      <c r="B113" s="84" t="n"/>
      <c r="C113" s="84" t="n"/>
      <c r="D113" s="84" t="n"/>
      <c r="E113" s="85" t="n"/>
      <c r="F113" s="114" t="n"/>
      <c r="G113" s="122">
        <f>IF($F113&lt;&gt;"",$F113,IFERROR(_xlfn.XLOOKUP(ROW(),Taxa_Saknas!$H:$H,Taxa_Saknas!$G:$G),""))</f>
        <v/>
      </c>
      <c r="H113" s="122">
        <f>IF($F113&lt;&gt;"",IFERROR(_xlfn.XLOOKUP($F113,Taxa_från_edp!$B:$B,Taxa_från_edp!C:C),""),"")</f>
        <v/>
      </c>
      <c r="I113" s="149">
        <f>IF($F113&lt;&gt;"",IFERROR(_xlfn.XLOOKUP($F113,Taxa_från_edp!$B:$B,Taxa_från_edp!G:G),""),"")</f>
        <v/>
      </c>
      <c r="J113" s="149">
        <f>IF($F113&lt;&gt;"",IFERROR(_xlfn.XLOOKUP($F113,Taxa_från_edp!$B:$B,Taxa_från_edp!K:K),""),"")</f>
        <v/>
      </c>
      <c r="K113" s="149" t="n"/>
      <c r="L113" s="149" t="n"/>
      <c r="M113" s="121">
        <f>IFERROR(IF(J113&lt;&gt;"",J113*1.25,IF(K113&lt;&gt;"",K113*1.25,"")),"")</f>
        <v/>
      </c>
      <c r="N113" s="144">
        <f>IFERROR(IF(J113&lt;&gt;"",L113*J113,IF(K113&lt;&gt;"",L113*K113,"")),"")</f>
        <v/>
      </c>
      <c r="O113" t="inlineStr">
        <is>
          <t>NEW_TAXA</t>
        </is>
      </c>
      <c r="P113" t="inlineStr">
        <is>
          <t>Ingen kandidat över granskningsgräns</t>
        </is>
      </c>
      <c r="Q113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4" ht="45" customHeight="1">
      <c r="A114" s="68" t="inlineStr">
        <is>
          <t>§2.4.2</t>
        </is>
      </c>
      <c r="B114" s="68" t="inlineStr">
        <is>
          <t>Överviktsavgift kärl</t>
        </is>
      </c>
      <c r="C114" s="68" t="inlineStr">
        <is>
          <t>Delat kärl 240 l restavfall</t>
        </is>
      </c>
      <c r="D114" s="68" t="inlineStr">
        <is>
          <t>Över 40 kg</t>
        </is>
      </c>
      <c r="E114" s="68" t="inlineStr">
        <is>
          <t>kr/kg</t>
        </is>
      </c>
      <c r="F114" s="106" t="n"/>
      <c r="G114" s="116">
        <f>IF($F114&lt;&gt;"",$F114,IFERROR(_xlfn.XLOOKUP(ROW(),Taxa_Saknas!$H:$H,Taxa_Saknas!$G:$G),""))</f>
        <v/>
      </c>
      <c r="H114" s="126">
        <f>IF($F114&lt;&gt;"",IFERROR(_xlfn.XLOOKUP($F114,Taxa_från_edp!$B:$B,Taxa_från_edp!C:C),""),"")</f>
        <v/>
      </c>
      <c r="I114" s="127">
        <f>IF($F114&lt;&gt;"",IFERROR(_xlfn.XLOOKUP($F114,Taxa_från_edp!$B:$B,Taxa_från_edp!G:G),""),"")</f>
        <v/>
      </c>
      <c r="J114" s="127">
        <f>IF($F114&lt;&gt;"",IFERROR(_xlfn.XLOOKUP($F114,Taxa_från_edp!$B:$B,Taxa_från_edp!K:K),""),"")</f>
        <v/>
      </c>
      <c r="K114" s="145" t="n"/>
      <c r="L114" s="146" t="n"/>
      <c r="M114" s="147">
        <f>IFERROR(IF(J114&lt;&gt;"",J114*1.25,IF(K114&lt;&gt;"",K114*1.25,"")),"")</f>
        <v/>
      </c>
      <c r="N114" s="148">
        <f>IFERROR(IF(J114&lt;&gt;"",L114*J114,IF(K114&lt;&gt;"",L114*K114,"")),"")</f>
        <v/>
      </c>
      <c r="O114" t="inlineStr">
        <is>
          <t>NEW_TAXA</t>
        </is>
      </c>
      <c r="P114" t="inlineStr">
        <is>
          <t>Ingen kandidat över granskningsgräns</t>
        </is>
      </c>
      <c r="Q114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5" ht="45" customHeight="1">
      <c r="A115" s="68" t="inlineStr">
        <is>
          <t>§2.4.2</t>
        </is>
      </c>
      <c r="B115" s="68" t="inlineStr">
        <is>
          <t>Överviktsavgift kärl</t>
        </is>
      </c>
      <c r="C115" s="68" t="inlineStr">
        <is>
          <t>Delat kärl 240 l matavfall</t>
        </is>
      </c>
      <c r="D115" s="68" t="inlineStr">
        <is>
          <t>Över 40 kg</t>
        </is>
      </c>
      <c r="E115" s="68" t="inlineStr">
        <is>
          <t>kr/kg</t>
        </is>
      </c>
      <c r="F115" s="106" t="n"/>
      <c r="G115" s="116">
        <f>IF($F115&lt;&gt;"",$F115,IFERROR(_xlfn.XLOOKUP(ROW(),Taxa_Saknas!$H:$H,Taxa_Saknas!$G:$G),""))</f>
        <v/>
      </c>
      <c r="H115" s="126">
        <f>IF($F115&lt;&gt;"",IFERROR(_xlfn.XLOOKUP($F115,Taxa_från_edp!$B:$B,Taxa_från_edp!C:C),""),"")</f>
        <v/>
      </c>
      <c r="I115" s="127">
        <f>IF($F115&lt;&gt;"",IFERROR(_xlfn.XLOOKUP($F115,Taxa_från_edp!$B:$B,Taxa_från_edp!G:G),""),"")</f>
        <v/>
      </c>
      <c r="J115" s="127">
        <f>IF($F115&lt;&gt;"",IFERROR(_xlfn.XLOOKUP($F115,Taxa_från_edp!$B:$B,Taxa_från_edp!K:K),""),"")</f>
        <v/>
      </c>
      <c r="K115" s="145" t="n"/>
      <c r="L115" s="146" t="n"/>
      <c r="M115" s="147">
        <f>IFERROR(IF(J115&lt;&gt;"",J115*1.25,IF(K115&lt;&gt;"",K115*1.25,"")),"")</f>
        <v/>
      </c>
      <c r="N115" s="148">
        <f>IFERROR(IF(J115&lt;&gt;"",L115*J115,IF(K115&lt;&gt;"",L115*K115,"")),"")</f>
        <v/>
      </c>
      <c r="O115" t="inlineStr">
        <is>
          <t>REVIEW_REQUIRED</t>
        </is>
      </c>
      <c r="P115" t="inlineStr">
        <is>
          <t>Bästa semantiska kandidat saknar taxekod</t>
        </is>
      </c>
      <c r="Q115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116" ht="45" customHeight="1">
      <c r="A116" s="68" t="inlineStr">
        <is>
          <t>§2.4.2</t>
        </is>
      </c>
      <c r="B116" s="68" t="inlineStr">
        <is>
          <t>Överviktsavgift kärl</t>
        </is>
      </c>
      <c r="C116" s="68" t="inlineStr">
        <is>
          <t>Extra kärl 140 l matavfall</t>
        </is>
      </c>
      <c r="D116" s="68" t="inlineStr">
        <is>
          <t>Över 60 kg</t>
        </is>
      </c>
      <c r="E116" s="68" t="inlineStr">
        <is>
          <t>kr/kg</t>
        </is>
      </c>
      <c r="F116" s="106" t="n"/>
      <c r="G116" s="116">
        <f>IF($F116&lt;&gt;"",$F116,IFERROR(_xlfn.XLOOKUP(ROW(),Taxa_Saknas!$H:$H,Taxa_Saknas!$G:$G),""))</f>
        <v/>
      </c>
      <c r="H116" s="126">
        <f>IF($F116&lt;&gt;"",IFERROR(_xlfn.XLOOKUP($F116,Taxa_från_edp!$B:$B,Taxa_från_edp!C:C),""),"")</f>
        <v/>
      </c>
      <c r="I116" s="127">
        <f>IF($F116&lt;&gt;"",IFERROR(_xlfn.XLOOKUP($F116,Taxa_från_edp!$B:$B,Taxa_från_edp!G:G),""),"")</f>
        <v/>
      </c>
      <c r="J116" s="127">
        <f>IF($F116&lt;&gt;"",IFERROR(_xlfn.XLOOKUP($F116,Taxa_från_edp!$B:$B,Taxa_från_edp!K:K),""),"")</f>
        <v/>
      </c>
      <c r="K116" s="145" t="n"/>
      <c r="L116" s="146" t="n"/>
      <c r="M116" s="147">
        <f>IFERROR(IF(J116&lt;&gt;"",J116*1.25,IF(K116&lt;&gt;"",K116*1.25,"")),"")</f>
        <v/>
      </c>
      <c r="N116" s="148">
        <f>IFERROR(IF(J116&lt;&gt;"",L116*J116,IF(K116&lt;&gt;"",L116*K116,"")),"")</f>
        <v/>
      </c>
      <c r="O116" t="inlineStr">
        <is>
          <t>NEW_TAXA</t>
        </is>
      </c>
      <c r="P116" t="inlineStr">
        <is>
          <t>Ingen kandidat över granskningsgräns</t>
        </is>
      </c>
      <c r="Q11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7" ht="45" customHeight="1">
      <c r="A117" s="68" t="inlineStr">
        <is>
          <t>§2.4.2</t>
        </is>
      </c>
      <c r="B117" s="68" t="inlineStr">
        <is>
          <t>Överviktsavgift kärl</t>
        </is>
      </c>
      <c r="C117" s="68" t="inlineStr">
        <is>
          <t>Extra kärl 140-190 l restavfall</t>
        </is>
      </c>
      <c r="D117" s="68" t="inlineStr">
        <is>
          <t>Över 60 kg</t>
        </is>
      </c>
      <c r="E117" s="68" t="inlineStr">
        <is>
          <t>kr/kg</t>
        </is>
      </c>
      <c r="F117" s="106" t="n"/>
      <c r="G117" s="116">
        <f>IF($F117&lt;&gt;"",$F117,IFERROR(_xlfn.XLOOKUP(ROW(),Taxa_Saknas!$H:$H,Taxa_Saknas!$G:$G),""))</f>
        <v/>
      </c>
      <c r="H117" s="126">
        <f>IF($F117&lt;&gt;"",IFERROR(_xlfn.XLOOKUP($F117,Taxa_från_edp!$B:$B,Taxa_från_edp!C:C),""),"")</f>
        <v/>
      </c>
      <c r="I117" s="127">
        <f>IF($F117&lt;&gt;"",IFERROR(_xlfn.XLOOKUP($F117,Taxa_från_edp!$B:$B,Taxa_från_edp!G:G),""),"")</f>
        <v/>
      </c>
      <c r="J117" s="127">
        <f>IF($F117&lt;&gt;"",IFERROR(_xlfn.XLOOKUP($F117,Taxa_från_edp!$B:$B,Taxa_från_edp!K:K),""),"")</f>
        <v/>
      </c>
      <c r="K117" s="145" t="n"/>
      <c r="L117" s="146" t="n"/>
      <c r="M117" s="147">
        <f>IFERROR(IF(J117&lt;&gt;"",J117*1.25,IF(K117&lt;&gt;"",K117*1.25,"")),"")</f>
        <v/>
      </c>
      <c r="N117" s="148">
        <f>IFERROR(IF(J117&lt;&gt;"",L117*J117,IF(K117&lt;&gt;"",L117*K117,"")),"")</f>
        <v/>
      </c>
      <c r="O117" t="inlineStr">
        <is>
          <t>NEW_TAXA</t>
        </is>
      </c>
      <c r="P117" t="inlineStr">
        <is>
          <t>Ingen kandidat över granskningsgräns</t>
        </is>
      </c>
      <c r="Q117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8" ht="45" customHeight="1">
      <c r="A118" s="68" t="inlineStr">
        <is>
          <t>§2.4.2</t>
        </is>
      </c>
      <c r="B118" s="68" t="inlineStr">
        <is>
          <t>Överviktsavgift kärl</t>
        </is>
      </c>
      <c r="C118" s="68" t="inlineStr">
        <is>
          <t>Kärl 370 l restavfall</t>
        </is>
      </c>
      <c r="D118" s="68" t="inlineStr">
        <is>
          <t>Över 60 kg</t>
        </is>
      </c>
      <c r="E118" s="68" t="inlineStr">
        <is>
          <t>kr/kg</t>
        </is>
      </c>
      <c r="F118" s="107" t="n"/>
      <c r="G118" s="117">
        <f>IF($F118&lt;&gt;"",$F118,IFERROR(_xlfn.XLOOKUP(ROW(),Taxa_Saknas!$H:$H,Taxa_Saknas!$G:$G),""))</f>
        <v/>
      </c>
      <c r="H118" s="128">
        <f>IF($F118&lt;&gt;"",IFERROR(_xlfn.XLOOKUP($F118,Taxa_från_edp!$B:$B,Taxa_från_edp!C:C),""),"")</f>
        <v/>
      </c>
      <c r="I118" s="129">
        <f>IF($F118&lt;&gt;"",IFERROR(_xlfn.XLOOKUP($F118,Taxa_från_edp!$B:$B,Taxa_från_edp!G:G),""),"")</f>
        <v/>
      </c>
      <c r="J118" s="129">
        <f>IF($F118&lt;&gt;"",IFERROR(_xlfn.XLOOKUP($F118,Taxa_från_edp!$B:$B,Taxa_från_edp!K:K),""),"")</f>
        <v/>
      </c>
      <c r="K118" s="150" t="n"/>
      <c r="L118" s="151" t="n"/>
      <c r="M118" s="147">
        <f>IFERROR(IF(J118&lt;&gt;"",J118*1.25,IF(K118&lt;&gt;"",K118*1.25,"")),"")</f>
        <v/>
      </c>
      <c r="N118" s="148">
        <f>IFERROR(IF(J118&lt;&gt;"",L118*J118,IF(K118&lt;&gt;"",L118*K118,"")),"")</f>
        <v/>
      </c>
      <c r="O118" t="inlineStr">
        <is>
          <t>REVIEW_REQUIRED</t>
        </is>
      </c>
      <c r="P118" t="inlineStr">
        <is>
          <t>Bästa semantiska kandidat saknar taxekod</t>
        </is>
      </c>
      <c r="Q118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119" ht="45" customHeight="1">
      <c r="A119" s="68" t="inlineStr">
        <is>
          <t>§2.4.2</t>
        </is>
      </c>
      <c r="B119" s="68" t="inlineStr">
        <is>
          <t>Överviktsavgift kärl</t>
        </is>
      </c>
      <c r="C119" s="68" t="inlineStr">
        <is>
          <t>Kärl 660 l restavfall</t>
        </is>
      </c>
      <c r="D119" s="68" t="inlineStr">
        <is>
          <t>Över 100 kg</t>
        </is>
      </c>
      <c r="E119" s="68" t="inlineStr">
        <is>
          <t>kr/kg</t>
        </is>
      </c>
      <c r="F119" s="106" t="n"/>
      <c r="G119" s="116">
        <f>IF($F119&lt;&gt;"",$F119,IFERROR(_xlfn.XLOOKUP(ROW(),Taxa_Saknas!$H:$H,Taxa_Saknas!$G:$G),""))</f>
        <v/>
      </c>
      <c r="H119" s="126">
        <f>IF($F119&lt;&gt;"",IFERROR(_xlfn.XLOOKUP($F119,Taxa_från_edp!$B:$B,Taxa_från_edp!C:C),""),"")</f>
        <v/>
      </c>
      <c r="I119" s="127">
        <f>IF($F119&lt;&gt;"",IFERROR(_xlfn.XLOOKUP($F119,Taxa_från_edp!$B:$B,Taxa_från_edp!G:G),""),"")</f>
        <v/>
      </c>
      <c r="J119" s="127">
        <f>IF($F119&lt;&gt;"",IFERROR(_xlfn.XLOOKUP($F119,Taxa_från_edp!$B:$B,Taxa_från_edp!K:K),""),"")</f>
        <v/>
      </c>
      <c r="K119" s="145" t="n"/>
      <c r="L119" s="146" t="n"/>
      <c r="M119" s="147">
        <f>IFERROR(IF(J119&lt;&gt;"",J119*1.25,IF(K119&lt;&gt;"",K119*1.25,"")),"")</f>
        <v/>
      </c>
      <c r="N119" s="148">
        <f>IFERROR(IF(J119&lt;&gt;"",L119*J119,IF(K119&lt;&gt;"",L119*K119,"")),"")</f>
        <v/>
      </c>
      <c r="O119" t="inlineStr">
        <is>
          <t>REVIEW_REQUIRED</t>
        </is>
      </c>
      <c r="P119" t="inlineStr">
        <is>
          <t>Bästa semantiska kandidat saknar taxekod</t>
        </is>
      </c>
      <c r="Q119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120" ht="21.95" customHeight="1">
      <c r="A120" s="83" t="inlineStr">
        <is>
          <t>§2.4.3 Överfull behållare</t>
        </is>
      </c>
      <c r="B120" s="84" t="n"/>
      <c r="C120" s="84" t="n"/>
      <c r="D120" s="84" t="n"/>
      <c r="E120" s="85" t="n"/>
      <c r="F120" s="114" t="n"/>
      <c r="G120" s="122">
        <f>IF($F120&lt;&gt;"",$F120,IFERROR(_xlfn.XLOOKUP(ROW(),Taxa_Saknas!$H:$H,Taxa_Saknas!$G:$G),""))</f>
        <v/>
      </c>
      <c r="H120" s="122">
        <f>IF($F120&lt;&gt;"",IFERROR(_xlfn.XLOOKUP($F120,Taxa_från_edp!$B:$B,Taxa_från_edp!C:C),""),"")</f>
        <v/>
      </c>
      <c r="I120" s="149">
        <f>IF($F120&lt;&gt;"",IFERROR(_xlfn.XLOOKUP($F120,Taxa_från_edp!$B:$B,Taxa_från_edp!G:G),""),"")</f>
        <v/>
      </c>
      <c r="J120" s="149">
        <f>IF($F120&lt;&gt;"",IFERROR(_xlfn.XLOOKUP($F120,Taxa_från_edp!$B:$B,Taxa_från_edp!K:K),""),"")</f>
        <v/>
      </c>
      <c r="K120" s="149" t="n"/>
      <c r="L120" s="149" t="n"/>
      <c r="M120" s="121">
        <f>IFERROR(IF(J120&lt;&gt;"",J120*1.25,IF(K120&lt;&gt;"",K120*1.25,"")),"")</f>
        <v/>
      </c>
      <c r="N120" s="144">
        <f>IFERROR(IF(J120&lt;&gt;"",L120*J120,IF(K120&lt;&gt;"",L120*K120,"")),"")</f>
        <v/>
      </c>
      <c r="O120" t="inlineStr">
        <is>
          <t>REVIEW_REQUIRED</t>
        </is>
      </c>
      <c r="P120" t="inlineStr">
        <is>
          <t>Bästa semantiska kandidat saknar taxekod</t>
        </is>
      </c>
      <c r="Q120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1" ht="45" customHeight="1">
      <c r="A121" s="68" t="inlineStr">
        <is>
          <t>§2.4.3</t>
        </is>
      </c>
      <c r="B121" s="68" t="inlineStr">
        <is>
          <t>Överfull behållare</t>
        </is>
      </c>
      <c r="C121" s="68" t="inlineStr">
        <is>
          <t>Överfullt kärl</t>
        </is>
      </c>
      <c r="D121" s="68" t="n"/>
      <c r="E121" s="68" t="inlineStr">
        <is>
          <t>st/tillfälle/behållare</t>
        </is>
      </c>
      <c r="F121" s="107" t="n"/>
      <c r="G121" s="117">
        <f>IF($F121&lt;&gt;"",$F121,IFERROR(_xlfn.XLOOKUP(ROW(),Taxa_Saknas!$H:$H,Taxa_Saknas!$G:$G),""))</f>
        <v/>
      </c>
      <c r="H121" s="128">
        <f>IF($F121&lt;&gt;"",IFERROR(_xlfn.XLOOKUP($F121,Taxa_från_edp!$B:$B,Taxa_från_edp!C:C),""),"")</f>
        <v/>
      </c>
      <c r="I121" s="129">
        <f>IF($F121&lt;&gt;"",IFERROR(_xlfn.XLOOKUP($F121,Taxa_från_edp!$B:$B,Taxa_från_edp!G:G),""),"")</f>
        <v/>
      </c>
      <c r="J121" s="129">
        <f>IF($F121&lt;&gt;"",IFERROR(_xlfn.XLOOKUP($F121,Taxa_från_edp!$B:$B,Taxa_från_edp!K:K),""),"")</f>
        <v/>
      </c>
      <c r="K121" s="150" t="n"/>
      <c r="L121" s="151" t="n"/>
      <c r="M121" s="147">
        <f>IFERROR(IF(J121&lt;&gt;"",J121*1.25,IF(K121&lt;&gt;"",K121*1.25,"")),"")</f>
        <v/>
      </c>
      <c r="N121" s="148">
        <f>IFERROR(IF(J121&lt;&gt;"",L121*J121,IF(K121&lt;&gt;"",L121*K121,"")),"")</f>
        <v/>
      </c>
      <c r="O121" t="inlineStr">
        <is>
          <t>REVIEW_REQUIRED</t>
        </is>
      </c>
      <c r="P121" t="inlineStr">
        <is>
          <t>Bästa semantiska kandidat saknar taxekod</t>
        </is>
      </c>
      <c r="Q121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2" ht="45" customHeight="1">
      <c r="A122" s="68" t="inlineStr">
        <is>
          <t>§2.4.3</t>
        </is>
      </c>
      <c r="B122" s="68" t="inlineStr">
        <is>
          <t>Överfull behållare</t>
        </is>
      </c>
      <c r="C122" s="68" t="inlineStr">
        <is>
          <t>Överfull bottentömmande behållare</t>
        </is>
      </c>
      <c r="D122" s="68" t="n"/>
      <c r="E122" s="68" t="inlineStr">
        <is>
          <t>st/tillfälle/behållare</t>
        </is>
      </c>
      <c r="F122" s="106" t="n"/>
      <c r="G122" s="116">
        <f>IF($F122&lt;&gt;"",$F122,IFERROR(_xlfn.XLOOKUP(ROW(),Taxa_Saknas!$H:$H,Taxa_Saknas!$G:$G),""))</f>
        <v/>
      </c>
      <c r="H122" s="126">
        <f>IF($F122&lt;&gt;"",IFERROR(_xlfn.XLOOKUP($F122,Taxa_från_edp!$B:$B,Taxa_från_edp!C:C),""),"")</f>
        <v/>
      </c>
      <c r="I122" s="127">
        <f>IF($F122&lt;&gt;"",IFERROR(_xlfn.XLOOKUP($F122,Taxa_från_edp!$B:$B,Taxa_från_edp!G:G),""),"")</f>
        <v/>
      </c>
      <c r="J122" s="127">
        <f>IF($F122&lt;&gt;"",IFERROR(_xlfn.XLOOKUP($F122,Taxa_från_edp!$B:$B,Taxa_från_edp!K:K),""),"")</f>
        <v/>
      </c>
      <c r="K122" s="145" t="n"/>
      <c r="L122" s="146" t="n"/>
      <c r="M122" s="147">
        <f>IFERROR(IF(J122&lt;&gt;"",J122*1.25,IF(K122&lt;&gt;"",K122*1.25,"")),"")</f>
        <v/>
      </c>
      <c r="N122" s="148">
        <f>IFERROR(IF(J122&lt;&gt;"",L122*J122,IF(K122&lt;&gt;"",L122*K122,"")),"")</f>
        <v/>
      </c>
      <c r="O122" t="inlineStr">
        <is>
          <t>REVIEW_REQUIRED</t>
        </is>
      </c>
      <c r="P122" t="inlineStr">
        <is>
          <t>Bästa semantiska kandidat saknar taxekod</t>
        </is>
      </c>
      <c r="Q122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123" ht="21.95" customHeight="1">
      <c r="A123" s="83" t="inlineStr">
        <is>
          <t>§2.4.4 Byte av trasigt kärl</t>
        </is>
      </c>
      <c r="B123" s="84" t="n"/>
      <c r="C123" s="84" t="n"/>
      <c r="D123" s="84" t="n"/>
      <c r="E123" s="85" t="n"/>
      <c r="F123" s="114" t="n"/>
      <c r="G123" s="122">
        <f>IF($F123&lt;&gt;"",$F123,IFERROR(_xlfn.XLOOKUP(ROW(),Taxa_Saknas!$H:$H,Taxa_Saknas!$G:$G),""))</f>
        <v/>
      </c>
      <c r="H123" s="122">
        <f>IF($F123&lt;&gt;"",IFERROR(_xlfn.XLOOKUP($F123,Taxa_från_edp!$B:$B,Taxa_från_edp!C:C),""),"")</f>
        <v/>
      </c>
      <c r="I123" s="149">
        <f>IF($F123&lt;&gt;"",IFERROR(_xlfn.XLOOKUP($F123,Taxa_från_edp!$B:$B,Taxa_från_edp!G:G),""),"")</f>
        <v/>
      </c>
      <c r="J123" s="149">
        <f>IF($F123&lt;&gt;"",IFERROR(_xlfn.XLOOKUP($F123,Taxa_från_edp!$B:$B,Taxa_från_edp!K:K),""),"")</f>
        <v/>
      </c>
      <c r="K123" s="149" t="n"/>
      <c r="L123" s="149" t="n"/>
      <c r="M123" s="121">
        <f>IFERROR(IF(J123&lt;&gt;"",J123*1.25,IF(K123&lt;&gt;"",K123*1.25,"")),"")</f>
        <v/>
      </c>
      <c r="N123" s="144">
        <f>IFERROR(IF(J123&lt;&gt;"",L123*J123,IF(K123&lt;&gt;"",L123*K123,"")),"")</f>
        <v/>
      </c>
      <c r="O123" t="inlineStr">
        <is>
          <t>REVIEW_REQUIRED</t>
        </is>
      </c>
      <c r="P123" t="inlineStr">
        <is>
          <t>Bästa semantiska kandidat saknar taxekod</t>
        </is>
      </c>
      <c r="Q123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4" ht="45" customHeight="1">
      <c r="A124" s="68" t="inlineStr">
        <is>
          <t>§2.4.4</t>
        </is>
      </c>
      <c r="B124" s="68" t="inlineStr">
        <is>
          <t>Byte av trasigt kärl</t>
        </is>
      </c>
      <c r="C124" s="68" t="inlineStr">
        <is>
          <t>Byte av trasigt kärl vid oaktsamhet</t>
        </is>
      </c>
      <c r="D124" s="68" t="n"/>
      <c r="E124" s="68" t="inlineStr">
        <is>
          <t>st/kärl</t>
        </is>
      </c>
      <c r="F124" s="106" t="n"/>
      <c r="G124" s="116">
        <f>IF($F124&lt;&gt;"",$F124,IFERROR(_xlfn.XLOOKUP(ROW(),Taxa_Saknas!$H:$H,Taxa_Saknas!$G:$G),""))</f>
        <v/>
      </c>
      <c r="H124" s="126">
        <f>IF($F124&lt;&gt;"",IFERROR(_xlfn.XLOOKUP($F124,Taxa_från_edp!$B:$B,Taxa_från_edp!C:C),""),"")</f>
        <v/>
      </c>
      <c r="I124" s="127">
        <f>IF($F124&lt;&gt;"",IFERROR(_xlfn.XLOOKUP($F124,Taxa_från_edp!$B:$B,Taxa_från_edp!G:G),""),"")</f>
        <v/>
      </c>
      <c r="J124" s="127">
        <f>IF($F124&lt;&gt;"",IFERROR(_xlfn.XLOOKUP($F124,Taxa_från_edp!$B:$B,Taxa_från_edp!K:K),""),"")</f>
        <v/>
      </c>
      <c r="K124" s="145" t="n"/>
      <c r="L124" s="146" t="n"/>
      <c r="M124" s="147">
        <f>IFERROR(IF(J124&lt;&gt;"",J124*1.25,IF(K124&lt;&gt;"",K124*1.25,"")),"")</f>
        <v/>
      </c>
      <c r="N124" s="148">
        <f>IFERROR(IF(J124&lt;&gt;"",L124*J124,IF(K124&lt;&gt;"",L124*K124,"")),"")</f>
        <v/>
      </c>
      <c r="O124" t="inlineStr">
        <is>
          <t>REVIEW_REQUIRED</t>
        </is>
      </c>
      <c r="P124" t="inlineStr">
        <is>
          <t>Bästa semantiska kandidat saknar taxekod</t>
        </is>
      </c>
      <c r="Q124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125" ht="45" customHeight="1">
      <c r="A125" s="68" t="inlineStr">
        <is>
          <t>§2.4.4</t>
        </is>
      </c>
      <c r="B125" s="68" t="inlineStr">
        <is>
          <t>Byte av trasigt kärl</t>
        </is>
      </c>
      <c r="C125" s="68" t="inlineStr">
        <is>
          <t>Byte av trasigt kärl vid tömning</t>
        </is>
      </c>
      <c r="D125" s="68" t="n"/>
      <c r="E125" s="68" t="inlineStr">
        <is>
          <t>st/kärl</t>
        </is>
      </c>
      <c r="F125" s="106" t="n"/>
      <c r="G125" s="116">
        <f>IF($F125&lt;&gt;"",$F125,IFERROR(_xlfn.XLOOKUP(ROW(),Taxa_Saknas!$H:$H,Taxa_Saknas!$G:$G),""))</f>
        <v/>
      </c>
      <c r="H125" s="126">
        <f>IF($F125&lt;&gt;"",IFERROR(_xlfn.XLOOKUP($F125,Taxa_från_edp!$B:$B,Taxa_från_edp!C:C),""),"")</f>
        <v/>
      </c>
      <c r="I125" s="127">
        <f>IF($F125&lt;&gt;"",IFERROR(_xlfn.XLOOKUP($F125,Taxa_från_edp!$B:$B,Taxa_från_edp!G:G),""),"")</f>
        <v/>
      </c>
      <c r="J125" s="127">
        <f>IF($F125&lt;&gt;"",IFERROR(_xlfn.XLOOKUP($F125,Taxa_från_edp!$B:$B,Taxa_från_edp!K:K),""),"")</f>
        <v/>
      </c>
      <c r="K125" s="145" t="n"/>
      <c r="L125" s="146" t="n"/>
      <c r="M125" s="147">
        <f>IFERROR(IF(J125&lt;&gt;"",J125*1.25,IF(K125&lt;&gt;"",K125*1.25,"")),"")</f>
        <v/>
      </c>
      <c r="N125" s="148">
        <f>IFERROR(IF(J125&lt;&gt;"",L125*J125,IF(K125&lt;&gt;"",L125*K125,"")),"")</f>
        <v/>
      </c>
      <c r="O125" t="inlineStr">
        <is>
          <t>NEW_TAXA</t>
        </is>
      </c>
      <c r="P125" t="inlineStr">
        <is>
          <t>Ingen kandidat över granskningsgräns</t>
        </is>
      </c>
      <c r="Q125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6" ht="21.95" customHeight="1">
      <c r="A126" s="83" t="inlineStr">
        <is>
          <t>§2.4.5 Byte av abonnemang</t>
        </is>
      </c>
      <c r="B126" s="84" t="n"/>
      <c r="C126" s="84" t="n"/>
      <c r="D126" s="84" t="n"/>
      <c r="E126" s="85" t="n"/>
      <c r="F126" s="114" t="n"/>
      <c r="G126" s="122">
        <f>IF($F126&lt;&gt;"",$F126,IFERROR(_xlfn.XLOOKUP(ROW(),Taxa_Saknas!$H:$H,Taxa_Saknas!$G:$G),""))</f>
        <v/>
      </c>
      <c r="H126" s="122">
        <f>IF($F126&lt;&gt;"",IFERROR(_xlfn.XLOOKUP($F126,Taxa_från_edp!$B:$B,Taxa_från_edp!C:C),""),"")</f>
        <v/>
      </c>
      <c r="I126" s="149">
        <f>IF($F126&lt;&gt;"",IFERROR(_xlfn.XLOOKUP($F126,Taxa_från_edp!$B:$B,Taxa_från_edp!G:G),""),"")</f>
        <v/>
      </c>
      <c r="J126" s="149">
        <f>IF($F126&lt;&gt;"",IFERROR(_xlfn.XLOOKUP($F126,Taxa_från_edp!$B:$B,Taxa_från_edp!K:K),""),"")</f>
        <v/>
      </c>
      <c r="K126" s="149" t="n"/>
      <c r="L126" s="149" t="n"/>
      <c r="M126" s="121">
        <f>IFERROR(IF(J126&lt;&gt;"",J126*1.25,IF(K126&lt;&gt;"",K126*1.25,"")),"")</f>
        <v/>
      </c>
      <c r="N126" s="144">
        <f>IFERROR(IF(J126&lt;&gt;"",L126*J126,IF(K126&lt;&gt;"",L126*K126,"")),"")</f>
        <v/>
      </c>
      <c r="O126" t="inlineStr">
        <is>
          <t>NEW_TAXA</t>
        </is>
      </c>
      <c r="P126" t="inlineStr">
        <is>
          <t>Ingen kandidat över granskningsgräns</t>
        </is>
      </c>
      <c r="Q126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7" ht="45" customHeight="1">
      <c r="A127" s="68" t="inlineStr">
        <is>
          <t>§2.4.5</t>
        </is>
      </c>
      <c r="B127" s="68" t="inlineStr">
        <is>
          <t>Byte av abonnemang</t>
        </is>
      </c>
      <c r="C127" s="68" t="inlineStr">
        <is>
          <t>Byte/återtag av kärl en (1) ggr/år</t>
        </is>
      </c>
      <c r="D127" s="68" t="inlineStr">
        <is>
          <t>140–240 liter</t>
        </is>
      </c>
      <c r="E127" s="68" t="inlineStr">
        <is>
          <t>st/kärl</t>
        </is>
      </c>
      <c r="F127" s="107" t="n"/>
      <c r="G127" s="117">
        <f>IF($F127&lt;&gt;"",$F127,IFERROR(_xlfn.XLOOKUP(ROW(),Taxa_Saknas!$H:$H,Taxa_Saknas!$G:$G),""))</f>
        <v/>
      </c>
      <c r="H127" s="128">
        <f>IF($F127&lt;&gt;"",IFERROR(_xlfn.XLOOKUP($F127,Taxa_från_edp!$B:$B,Taxa_från_edp!C:C),""),"")</f>
        <v/>
      </c>
      <c r="I127" s="129">
        <f>IF($F127&lt;&gt;"",IFERROR(_xlfn.XLOOKUP($F127,Taxa_från_edp!$B:$B,Taxa_från_edp!G:G),""),"")</f>
        <v/>
      </c>
      <c r="J127" s="129">
        <f>IF($F127&lt;&gt;"",IFERROR(_xlfn.XLOOKUP($F127,Taxa_från_edp!$B:$B,Taxa_från_edp!K:K),""),"")</f>
        <v/>
      </c>
      <c r="K127" s="150" t="n"/>
      <c r="L127" s="151" t="n"/>
      <c r="M127" s="147">
        <f>IFERROR(IF(J127&lt;&gt;"",J127*1.25,IF(K127&lt;&gt;"",K127*1.25,"")),"")</f>
        <v/>
      </c>
      <c r="N127" s="148">
        <f>IFERROR(IF(J127&lt;&gt;"",L127*J127,IF(K127&lt;&gt;"",L127*K127,"")),"")</f>
        <v/>
      </c>
      <c r="O127" t="inlineStr">
        <is>
          <t>NEW_TAXA</t>
        </is>
      </c>
      <c r="P127" t="inlineStr">
        <is>
          <t>Ingen kandidat över granskningsgräns</t>
        </is>
      </c>
      <c r="Q127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8" ht="45" customHeight="1">
      <c r="A128" s="68" t="inlineStr">
        <is>
          <t>§2.4.5</t>
        </is>
      </c>
      <c r="B128" s="68" t="inlineStr">
        <is>
          <t>Byte av abonnemang</t>
        </is>
      </c>
      <c r="C128" s="68" t="inlineStr">
        <is>
          <t>Byte/återtag av kärl en (1) ggr/år</t>
        </is>
      </c>
      <c r="D128" s="68" t="inlineStr">
        <is>
          <t>370–660 liter</t>
        </is>
      </c>
      <c r="E128" s="68" t="inlineStr">
        <is>
          <t>st/kärl</t>
        </is>
      </c>
      <c r="F128" s="107" t="n"/>
      <c r="G128" s="117">
        <f>IF($F128&lt;&gt;"",$F128,IFERROR(_xlfn.XLOOKUP(ROW(),Taxa_Saknas!$H:$H,Taxa_Saknas!$G:$G),""))</f>
        <v/>
      </c>
      <c r="H128" s="128">
        <f>IF($F128&lt;&gt;"",IFERROR(_xlfn.XLOOKUP($F128,Taxa_från_edp!$B:$B,Taxa_från_edp!C:C),""),"")</f>
        <v/>
      </c>
      <c r="I128" s="129">
        <f>IF($F128&lt;&gt;"",IFERROR(_xlfn.XLOOKUP($F128,Taxa_från_edp!$B:$B,Taxa_från_edp!G:G),""),"")</f>
        <v/>
      </c>
      <c r="J128" s="129">
        <f>IF($F128&lt;&gt;"",IFERROR(_xlfn.XLOOKUP($F128,Taxa_från_edp!$B:$B,Taxa_från_edp!K:K),""),"")</f>
        <v/>
      </c>
      <c r="K128" s="150" t="n"/>
      <c r="L128" s="151" t="n"/>
      <c r="M128" s="147">
        <f>IFERROR(IF(J128&lt;&gt;"",J128*1.25,IF(K128&lt;&gt;"",K128*1.25,"")),"")</f>
        <v/>
      </c>
      <c r="N128" s="148">
        <f>IFERROR(IF(J128&lt;&gt;"",L128*J128,IF(K128&lt;&gt;"",L128*K128,"")),"")</f>
        <v/>
      </c>
      <c r="O128" t="inlineStr">
        <is>
          <t>NEW_TAXA</t>
        </is>
      </c>
      <c r="P128" t="inlineStr">
        <is>
          <t>Ingen kandidat över granskningsgräns</t>
        </is>
      </c>
      <c r="Q128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9" ht="45" customHeight="1">
      <c r="A129" s="68" t="inlineStr">
        <is>
          <t>§2.4.5</t>
        </is>
      </c>
      <c r="B129" s="68" t="inlineStr">
        <is>
          <t>Byte av abonnemang</t>
        </is>
      </c>
      <c r="C129" s="68" t="inlineStr">
        <is>
          <t>Ytterligare byte av kärl under kalenderåret</t>
        </is>
      </c>
      <c r="D129" s="68" t="n"/>
      <c r="E129" s="68" t="inlineStr">
        <is>
          <t>st/kärl</t>
        </is>
      </c>
      <c r="F129" s="106" t="n"/>
      <c r="G129" s="116">
        <f>IF($F129&lt;&gt;"",$F129,IFERROR(_xlfn.XLOOKUP(ROW(),Taxa_Saknas!$H:$H,Taxa_Saknas!$G:$G),""))</f>
        <v/>
      </c>
      <c r="H129" s="126">
        <f>IF($F129&lt;&gt;"",IFERROR(_xlfn.XLOOKUP($F129,Taxa_från_edp!$B:$B,Taxa_från_edp!C:C),""),"")</f>
        <v/>
      </c>
      <c r="I129" s="127">
        <f>IF($F129&lt;&gt;"",IFERROR(_xlfn.XLOOKUP($F129,Taxa_från_edp!$B:$B,Taxa_från_edp!G:G),""),"")</f>
        <v/>
      </c>
      <c r="J129" s="127">
        <f>IF($F129&lt;&gt;"",IFERROR(_xlfn.XLOOKUP($F129,Taxa_från_edp!$B:$B,Taxa_från_edp!K:K),""),"")</f>
        <v/>
      </c>
      <c r="K129" s="145" t="n"/>
      <c r="L129" s="146" t="n"/>
      <c r="M129" s="147">
        <f>IFERROR(IF(J129&lt;&gt;"",J129*1.25,IF(K129&lt;&gt;"",K129*1.25,"")),"")</f>
        <v/>
      </c>
      <c r="N129" s="148">
        <f>IFERROR(IF(J129&lt;&gt;"",L129*J129,IF(K129&lt;&gt;"",L129*K129,"")),"")</f>
        <v/>
      </c>
      <c r="O129" t="inlineStr">
        <is>
          <t>REVIEW_REQUIRED</t>
        </is>
      </c>
      <c r="P129" t="inlineStr">
        <is>
          <t>Bästa semantiska kandidat saknar taxekod</t>
        </is>
      </c>
      <c r="Q129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130" ht="21.95" customHeight="1">
      <c r="A130" s="83" t="inlineStr">
        <is>
          <t>§2.4.6 Felsorteringsavgift</t>
        </is>
      </c>
      <c r="B130" s="84" t="n"/>
      <c r="C130" s="84" t="n"/>
      <c r="D130" s="84" t="n"/>
      <c r="E130" s="85" t="n"/>
      <c r="F130" s="114" t="n"/>
      <c r="G130" s="122">
        <f>IF($F130&lt;&gt;"",$F130,IFERROR(_xlfn.XLOOKUP(ROW(),Taxa_Saknas!$H:$H,Taxa_Saknas!$G:$G),""))</f>
        <v/>
      </c>
      <c r="H130" s="122">
        <f>IF($F130&lt;&gt;"",IFERROR(_xlfn.XLOOKUP($F130,Taxa_från_edp!$B:$B,Taxa_från_edp!C:C),""),"")</f>
        <v/>
      </c>
      <c r="I130" s="149">
        <f>IF($F130&lt;&gt;"",IFERROR(_xlfn.XLOOKUP($F130,Taxa_från_edp!$B:$B,Taxa_från_edp!G:G),""),"")</f>
        <v/>
      </c>
      <c r="J130" s="149">
        <f>IF($F130&lt;&gt;"",IFERROR(_xlfn.XLOOKUP($F130,Taxa_från_edp!$B:$B,Taxa_från_edp!K:K),""),"")</f>
        <v/>
      </c>
      <c r="K130" s="149" t="n"/>
      <c r="L130" s="149" t="n"/>
      <c r="M130" s="121">
        <f>IFERROR(IF(J130&lt;&gt;"",J130*1.25,IF(K130&lt;&gt;"",K130*1.25,"")),"")</f>
        <v/>
      </c>
      <c r="N130" s="144">
        <f>IFERROR(IF(J130&lt;&gt;"",L130*J130,IF(K130&lt;&gt;"",L130*K130,"")),"")</f>
        <v/>
      </c>
      <c r="O130" t="inlineStr">
        <is>
          <t>REVIEW_REQUIRED</t>
        </is>
      </c>
      <c r="P130" t="inlineStr">
        <is>
          <t>Bästa semantiska kandidat saknar taxekod</t>
        </is>
      </c>
      <c r="Q130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131" ht="45" customHeight="1">
      <c r="A131" s="68" t="inlineStr">
        <is>
          <t>§2.4.6</t>
        </is>
      </c>
      <c r="B131" s="68" t="inlineStr">
        <is>
          <t>Felsorteringsavgift</t>
        </is>
      </c>
      <c r="C131" s="68" t="inlineStr">
        <is>
          <t>Kärl</t>
        </is>
      </c>
      <c r="D131" s="68" t="n"/>
      <c r="E131" s="68" t="inlineStr">
        <is>
          <t>st/tillfälle</t>
        </is>
      </c>
      <c r="F131" s="107" t="inlineStr">
        <is>
          <t>FELSORT</t>
        </is>
      </c>
      <c r="G131" s="117">
        <f>IF($F131&lt;&gt;"",$F131,IFERROR(_xlfn.XLOOKUP(ROW(),Taxa_Saknas!$H:$H,Taxa_Saknas!$G:$G),""))</f>
        <v/>
      </c>
      <c r="H131" s="128">
        <f>IF($F131&lt;&gt;"",IFERROR(_xlfn.XLOOKUP($F131,Taxa_från_edp!$B:$B,Taxa_från_edp!C:C),""),"")</f>
        <v/>
      </c>
      <c r="I131" s="129">
        <f>IF($F131&lt;&gt;"",IFERROR(_xlfn.XLOOKUP($F131,Taxa_från_edp!$B:$B,Taxa_från_edp!G:G),""),"")</f>
        <v/>
      </c>
      <c r="J131" s="129">
        <f>IF($F131&lt;&gt;"",IFERROR(_xlfn.XLOOKUP($F131,Taxa_från_edp!$B:$B,Taxa_från_edp!K:K),""),"")</f>
        <v/>
      </c>
      <c r="K131" s="150" t="n"/>
      <c r="L131" s="151" t="n"/>
      <c r="M131" s="147">
        <f>IFERROR(IF(J131&lt;&gt;"",J131*1.25,IF(K131&lt;&gt;"",K131*1.25,"")),"")</f>
        <v/>
      </c>
      <c r="N131" s="148">
        <f>IFERROR(IF(J131&lt;&gt;"",L131*J131,IF(K131&lt;&gt;"",L131*K131,"")),"")</f>
        <v/>
      </c>
      <c r="O131" t="inlineStr">
        <is>
          <t>REVIEW_REQUIRED</t>
        </is>
      </c>
      <c r="P131" t="inlineStr">
        <is>
          <t>Bästa semantiska kandidat saknar taxekod</t>
        </is>
      </c>
      <c r="Q131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132" ht="45" customHeight="1">
      <c r="A132" s="68" t="inlineStr">
        <is>
          <t>§2.4.6</t>
        </is>
      </c>
      <c r="B132" s="68" t="inlineStr">
        <is>
          <t>Felsorteringsavgift</t>
        </is>
      </c>
      <c r="C132" s="68" t="inlineStr">
        <is>
          <t>Bottentömmande behållare</t>
        </is>
      </c>
      <c r="D132" s="68" t="n"/>
      <c r="E132" s="68" t="inlineStr">
        <is>
          <t>st/tillfälle</t>
        </is>
      </c>
      <c r="F132" s="106" t="inlineStr">
        <is>
          <t>FELSORT</t>
        </is>
      </c>
      <c r="G132" s="116">
        <f>IF($F132&lt;&gt;"",$F132,IFERROR(_xlfn.XLOOKUP(ROW(),Taxa_Saknas!$H:$H,Taxa_Saknas!$G:$G),""))</f>
        <v/>
      </c>
      <c r="H132" s="126">
        <f>IF($F132&lt;&gt;"",IFERROR(_xlfn.XLOOKUP($F132,Taxa_från_edp!$B:$B,Taxa_från_edp!C:C),""),"")</f>
        <v/>
      </c>
      <c r="I132" s="127">
        <f>IF($F132&lt;&gt;"",IFERROR(_xlfn.XLOOKUP($F132,Taxa_från_edp!$B:$B,Taxa_från_edp!G:G),""),"")</f>
        <v/>
      </c>
      <c r="J132" s="127">
        <f>IF($F132&lt;&gt;"",IFERROR(_xlfn.XLOOKUP($F132,Taxa_från_edp!$B:$B,Taxa_från_edp!K:K),""),"")</f>
        <v/>
      </c>
      <c r="K132" s="145" t="n"/>
      <c r="L132" s="146" t="n"/>
      <c r="M132" s="147">
        <f>IFERROR(IF(J132&lt;&gt;"",J132*1.25,IF(K132&lt;&gt;"",K132*1.25,"")),"")</f>
        <v/>
      </c>
      <c r="N132" s="148">
        <f>IFERROR(IF(J132&lt;&gt;"",L132*J132,IF(K132&lt;&gt;"",L132*K132,"")),"")</f>
        <v/>
      </c>
      <c r="O132" t="inlineStr">
        <is>
          <t>REVIEW_REQUIRED</t>
        </is>
      </c>
      <c r="P132" t="inlineStr">
        <is>
          <t>Bästa semantiska kandidat saknar taxekod</t>
        </is>
      </c>
      <c r="Q132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133" ht="21.95" customHeight="1">
      <c r="A133" s="83" t="inlineStr">
        <is>
          <t>§2.4.7 Dragväg och avfallsutrymmen</t>
        </is>
      </c>
      <c r="B133" s="84" t="n"/>
      <c r="C133" s="84" t="n"/>
      <c r="D133" s="84" t="n"/>
      <c r="E133" s="85" t="n"/>
      <c r="F133" s="114" t="n"/>
      <c r="G133" s="122">
        <f>IF($F133&lt;&gt;"",$F133,IFERROR(_xlfn.XLOOKUP(ROW(),Taxa_Saknas!$H:$H,Taxa_Saknas!$G:$G),""))</f>
        <v/>
      </c>
      <c r="H133" s="122">
        <f>IF($F133&lt;&gt;"",IFERROR(_xlfn.XLOOKUP($F133,Taxa_från_edp!$B:$B,Taxa_från_edp!C:C),""),"")</f>
        <v/>
      </c>
      <c r="I133" s="149">
        <f>IF($F133&lt;&gt;"",IFERROR(_xlfn.XLOOKUP($F133,Taxa_från_edp!$B:$B,Taxa_från_edp!G:G),""),"")</f>
        <v/>
      </c>
      <c r="J133" s="149">
        <f>IF($F133&lt;&gt;"",IFERROR(_xlfn.XLOOKUP($F133,Taxa_från_edp!$B:$B,Taxa_från_edp!K:K),""),"")</f>
        <v/>
      </c>
      <c r="K133" s="149" t="n"/>
      <c r="L133" s="149" t="n"/>
      <c r="M133" s="121">
        <f>IFERROR(IF(J133&lt;&gt;"",J133*1.25,IF(K133&lt;&gt;"",K133*1.25,"")),"")</f>
        <v/>
      </c>
      <c r="N133" s="144">
        <f>IFERROR(IF(J133&lt;&gt;"",L133*J133,IF(K133&lt;&gt;"",L133*K133,"")),"")</f>
        <v/>
      </c>
      <c r="O133" t="inlineStr">
        <is>
          <t>NEW_TAXA</t>
        </is>
      </c>
      <c r="P133" t="inlineStr">
        <is>
          <t>Ingen kandidat över granskningsgräns</t>
        </is>
      </c>
      <c r="Q133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134">
      <c r="A134" s="68" t="inlineStr">
        <is>
          <t>§2.4.7</t>
        </is>
      </c>
      <c r="B134" s="68" t="inlineStr">
        <is>
          <t>Dragväg och avfallsutrymmen</t>
        </is>
      </c>
      <c r="C134" s="68" t="inlineStr">
        <is>
          <t>Kärl 140-660 L</t>
        </is>
      </c>
      <c r="D134" s="68" t="inlineStr">
        <is>
          <t>1,5-10</t>
        </is>
      </c>
      <c r="E134" s="68" t="inlineStr">
        <is>
          <t>st/år</t>
        </is>
      </c>
      <c r="F134" s="106" t="n"/>
      <c r="G134" s="116">
        <f>IF($F134&lt;&gt;"",$F134,IFERROR(_xlfn.XLOOKUP(ROW(),Taxa_Saknas!$H:$H,Taxa_Saknas!$G:$G),""))</f>
        <v/>
      </c>
      <c r="H134" s="126">
        <f>IF($F134&lt;&gt;"",IFERROR(_xlfn.XLOOKUP($F134,Taxa_från_edp!$B:$B,Taxa_från_edp!C:C),""),"")</f>
        <v/>
      </c>
      <c r="I134" s="127">
        <f>IF($F134&lt;&gt;"",IFERROR(_xlfn.XLOOKUP($F134,Taxa_från_edp!$B:$B,Taxa_från_edp!G:G),""),"")</f>
        <v/>
      </c>
      <c r="J134" s="127">
        <f>IF($F134&lt;&gt;"",IFERROR(_xlfn.XLOOKUP($F134,Taxa_från_edp!$B:$B,Taxa_från_edp!K:K),""),"")</f>
        <v/>
      </c>
      <c r="K134" s="145" t="n"/>
      <c r="L134" s="146" t="n"/>
      <c r="M134" s="147">
        <f>IFERROR(IF(J134&lt;&gt;"",J134*1.25,IF(K134&lt;&gt;"",K134*1.25,"")),"")</f>
        <v/>
      </c>
      <c r="N134" s="148">
        <f>IFERROR(IF(J134&lt;&gt;"",L134*J134,IF(K134&lt;&gt;"",L134*K134,"")),"")</f>
        <v/>
      </c>
      <c r="O134" t="inlineStr">
        <is>
          <t>REVIEW_REQUIRED</t>
        </is>
      </c>
      <c r="P134" t="inlineStr">
        <is>
          <t>Bästa semantiska kandidat saknar taxekod</t>
        </is>
      </c>
      <c r="Q134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135">
      <c r="A135" s="68" t="inlineStr">
        <is>
          <t>§2.4.7</t>
        </is>
      </c>
      <c r="B135" s="68" t="inlineStr">
        <is>
          <t>Dragväg och avfallsutrymmen</t>
        </is>
      </c>
      <c r="C135" s="68" t="inlineStr">
        <is>
          <t>Kärl 140-660 L</t>
        </is>
      </c>
      <c r="D135" s="68" t="inlineStr">
        <is>
          <t>10-20</t>
        </is>
      </c>
      <c r="E135" s="68" t="inlineStr">
        <is>
          <t>st/år</t>
        </is>
      </c>
      <c r="F135" s="106" t="n"/>
      <c r="G135" s="116">
        <f>IF($F135&lt;&gt;"",$F135,IFERROR(_xlfn.XLOOKUP(ROW(),Taxa_Saknas!$H:$H,Taxa_Saknas!$G:$G),""))</f>
        <v/>
      </c>
      <c r="H135" s="126">
        <f>IF($F135&lt;&gt;"",IFERROR(_xlfn.XLOOKUP($F135,Taxa_från_edp!$B:$B,Taxa_från_edp!C:C),""),"")</f>
        <v/>
      </c>
      <c r="I135" s="127">
        <f>IF($F135&lt;&gt;"",IFERROR(_xlfn.XLOOKUP($F135,Taxa_från_edp!$B:$B,Taxa_från_edp!G:G),""),"")</f>
        <v/>
      </c>
      <c r="J135" s="127">
        <f>IF($F135&lt;&gt;"",IFERROR(_xlfn.XLOOKUP($F135,Taxa_från_edp!$B:$B,Taxa_från_edp!K:K),""),"")</f>
        <v/>
      </c>
      <c r="K135" s="145" t="n"/>
      <c r="L135" s="146" t="n"/>
      <c r="M135" s="147">
        <f>IFERROR(IF(J135&lt;&gt;"",J135*1.25,IF(K135&lt;&gt;"",K135*1.25,"")),"")</f>
        <v/>
      </c>
      <c r="N135" s="148">
        <f>IFERROR(IF(J135&lt;&gt;"",L135*J135,IF(K135&lt;&gt;"",L135*K135,"")),"")</f>
        <v/>
      </c>
      <c r="O135" t="inlineStr">
        <is>
          <t>REVIEW_REQUIRED</t>
        </is>
      </c>
      <c r="P135" t="inlineStr">
        <is>
          <t>Bästa semantiska kandidat saknar taxekod</t>
        </is>
      </c>
      <c r="Q135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136">
      <c r="A136" s="68" t="inlineStr">
        <is>
          <t>§2.4.7</t>
        </is>
      </c>
      <c r="B136" s="68" t="inlineStr">
        <is>
          <t>Dragväg och avfallsutrymmen</t>
        </is>
      </c>
      <c r="C136" s="68" t="inlineStr">
        <is>
          <t>Kärl 140-660 L</t>
        </is>
      </c>
      <c r="D136" s="68" t="inlineStr">
        <is>
          <t>20-30</t>
        </is>
      </c>
      <c r="E136" s="68" t="inlineStr">
        <is>
          <t>st/år</t>
        </is>
      </c>
      <c r="F136" s="107" t="n"/>
      <c r="G136" s="117">
        <f>IF($F136&lt;&gt;"",$F136,IFERROR(_xlfn.XLOOKUP(ROW(),Taxa_Saknas!$H:$H,Taxa_Saknas!$G:$G),""))</f>
        <v/>
      </c>
      <c r="H136" s="128">
        <f>IF($F136&lt;&gt;"",IFERROR(_xlfn.XLOOKUP($F136,Taxa_från_edp!$B:$B,Taxa_från_edp!C:C),""),"")</f>
        <v/>
      </c>
      <c r="I136" s="129">
        <f>IF($F136&lt;&gt;"",IFERROR(_xlfn.XLOOKUP($F136,Taxa_från_edp!$B:$B,Taxa_från_edp!G:G),""),"")</f>
        <v/>
      </c>
      <c r="J136" s="129">
        <f>IF($F136&lt;&gt;"",IFERROR(_xlfn.XLOOKUP($F136,Taxa_från_edp!$B:$B,Taxa_från_edp!K:K),""),"")</f>
        <v/>
      </c>
      <c r="K136" s="150" t="n"/>
      <c r="L136" s="151" t="n"/>
      <c r="M136" s="147">
        <f>IFERROR(IF(J136&lt;&gt;"",J136*1.25,IF(K136&lt;&gt;"",K136*1.25,"")),"")</f>
        <v/>
      </c>
      <c r="N136" s="148">
        <f>IFERROR(IF(J136&lt;&gt;"",L136*J136,IF(K136&lt;&gt;"",L136*K136,"")),"")</f>
        <v/>
      </c>
      <c r="O136" t="inlineStr">
        <is>
          <t>NEW_TAXA</t>
        </is>
      </c>
      <c r="P136" t="inlineStr">
        <is>
          <t>Ingen kandidat över granskningsgräns</t>
        </is>
      </c>
      <c r="Q1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7" customFormat="1" s="92">
      <c r="A137" s="68" t="inlineStr">
        <is>
          <t>§2.4.7</t>
        </is>
      </c>
      <c r="B137" s="68" t="inlineStr">
        <is>
          <t>Dragväg och avfallsutrymmen</t>
        </is>
      </c>
      <c r="C137" s="68" t="inlineStr">
        <is>
          <t>Avfallsport eller dörr</t>
        </is>
      </c>
      <c r="D137" s="68" t="n"/>
      <c r="E137" s="68" t="inlineStr">
        <is>
          <t>st/år</t>
        </is>
      </c>
      <c r="F137" s="107" t="n"/>
      <c r="G137" s="117" t="n"/>
      <c r="H137" s="128" t="n"/>
      <c r="I137" s="129" t="n"/>
      <c r="J137" s="129" t="n"/>
      <c r="K137" s="150" t="n"/>
      <c r="L137" s="151" t="n"/>
      <c r="M137" s="147" t="n"/>
      <c r="N137" s="148" t="n"/>
      <c r="O137" t="inlineStr">
        <is>
          <t>NEW_TAXA</t>
        </is>
      </c>
      <c r="P137" t="inlineStr">
        <is>
          <t>Ingen kandidat över granskningsgräns</t>
        </is>
      </c>
      <c r="Q1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8">
      <c r="A138" s="68" t="inlineStr">
        <is>
          <t>§2.4.7</t>
        </is>
      </c>
      <c r="B138" s="68" t="inlineStr">
        <is>
          <t>Dragväg och avfallsutrymmen</t>
        </is>
      </c>
      <c r="C138" s="68" t="inlineStr">
        <is>
          <t>Låst dörr, med kod</t>
        </is>
      </c>
      <c r="D138" s="68" t="n"/>
      <c r="E138" s="68" t="inlineStr">
        <is>
          <t>st/år</t>
        </is>
      </c>
      <c r="F138" s="106" t="n"/>
      <c r="G138" s="116">
        <f>IF($F138&lt;&gt;"",$F138,IFERROR(_xlfn.XLOOKUP(ROW(),Taxa_Saknas!$H:$H,Taxa_Saknas!$G:$G),""))</f>
        <v/>
      </c>
      <c r="H138" s="126">
        <f>IF($F138&lt;&gt;"",IFERROR(_xlfn.XLOOKUP($F138,Taxa_från_edp!$B:$B,Taxa_från_edp!C:C),""),"")</f>
        <v/>
      </c>
      <c r="I138" s="127">
        <f>IF($F138&lt;&gt;"",IFERROR(_xlfn.XLOOKUP($F138,Taxa_från_edp!$B:$B,Taxa_från_edp!G:G),""),"")</f>
        <v/>
      </c>
      <c r="J138" s="127">
        <f>IF($F138&lt;&gt;"",IFERROR(_xlfn.XLOOKUP($F138,Taxa_från_edp!$B:$B,Taxa_från_edp!K:K),""),"")</f>
        <v/>
      </c>
      <c r="K138" s="145" t="n"/>
      <c r="L138" s="146" t="n"/>
      <c r="M138" s="147">
        <f>IFERROR(IF(J138&lt;&gt;"",J138*1.25,IF(K138&lt;&gt;"",K138*1.25,"")),"")</f>
        <v/>
      </c>
      <c r="N138" s="148">
        <f>IFERROR(IF(J138&lt;&gt;"",L138*J138,IF(K138&lt;&gt;"",L138*K138,"")),"")</f>
        <v/>
      </c>
      <c r="O138" t="inlineStr">
        <is>
          <t>NEW_TAXA</t>
        </is>
      </c>
      <c r="P138" t="inlineStr">
        <is>
          <t>Ingen kandidat över granskningsgräns</t>
        </is>
      </c>
      <c r="Q1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9" ht="21.95" customHeight="1">
      <c r="A139" s="83" t="inlineStr">
        <is>
          <t>§2.4.8 Evenemang och andra tillfälliga händelser</t>
        </is>
      </c>
      <c r="B139" s="84" t="n"/>
      <c r="C139" s="84" t="n"/>
      <c r="D139" s="84" t="n"/>
      <c r="E139" s="85" t="n"/>
      <c r="F139" s="114" t="n"/>
      <c r="G139" s="122">
        <f>IF($F139&lt;&gt;"",$F139,IFERROR(_xlfn.XLOOKUP(ROW(),Taxa_Saknas!$H:$H,Taxa_Saknas!$G:$G),""))</f>
        <v/>
      </c>
      <c r="H139" s="122">
        <f>IF($F139&lt;&gt;"",IFERROR(_xlfn.XLOOKUP($F139,Taxa_från_edp!$B:$B,Taxa_från_edp!C:C),""),"")</f>
        <v/>
      </c>
      <c r="I139" s="149">
        <f>IF($F139&lt;&gt;"",IFERROR(_xlfn.XLOOKUP($F139,Taxa_från_edp!$B:$B,Taxa_från_edp!G:G),""),"")</f>
        <v/>
      </c>
      <c r="J139" s="149">
        <f>IF($F139&lt;&gt;"",IFERROR(_xlfn.XLOOKUP($F139,Taxa_från_edp!$B:$B,Taxa_från_edp!K:K),""),"")</f>
        <v/>
      </c>
      <c r="K139" s="149" t="n"/>
      <c r="L139" s="149" t="n"/>
      <c r="M139" s="121">
        <f>IFERROR(IF(J139&lt;&gt;"",J139*1.25,IF(K139&lt;&gt;"",K139*1.25,"")),"")</f>
        <v/>
      </c>
      <c r="N139" s="144">
        <f>IFERROR(IF(J139&lt;&gt;"",L139*J139,IF(K139&lt;&gt;"",L139*K139,"")),"")</f>
        <v/>
      </c>
      <c r="O139" t="inlineStr">
        <is>
          <t>REVIEW_REQUIRED</t>
        </is>
      </c>
      <c r="P139" t="inlineStr">
        <is>
          <t>Bästa semantiska kandidat saknar taxekod</t>
        </is>
      </c>
      <c r="Q139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140">
      <c r="A140" s="68" t="inlineStr">
        <is>
          <t>§2.4.8</t>
        </is>
      </c>
      <c r="B140" s="68" t="inlineStr">
        <is>
          <t>Evenemang och andra tillfälliga händelser</t>
        </is>
      </c>
      <c r="C140" s="68" t="inlineStr">
        <is>
          <t>Kärl 140 l matavfall</t>
        </is>
      </c>
      <c r="D140" s="68" t="n"/>
      <c r="E140" s="68" t="inlineStr">
        <is>
          <t>st/period</t>
        </is>
      </c>
      <c r="F140" s="106" t="n"/>
      <c r="G140" s="116">
        <f>IF($F140&lt;&gt;"",$F140,IFERROR(_xlfn.XLOOKUP(ROW(),Taxa_Saknas!$H:$H,Taxa_Saknas!$G:$G),""))</f>
        <v/>
      </c>
      <c r="H140" s="126">
        <f>IF($F140&lt;&gt;"",IFERROR(_xlfn.XLOOKUP($F140,Taxa_från_edp!$B:$B,Taxa_från_edp!C:C),""),"")</f>
        <v/>
      </c>
      <c r="I140" s="127">
        <f>IF($F140&lt;&gt;"",IFERROR(_xlfn.XLOOKUP($F140,Taxa_från_edp!$B:$B,Taxa_från_edp!G:G),""),"")</f>
        <v/>
      </c>
      <c r="J140" s="127">
        <f>IF($F140&lt;&gt;"",IFERROR(_xlfn.XLOOKUP($F140,Taxa_från_edp!$B:$B,Taxa_från_edp!K:K),""),"")</f>
        <v/>
      </c>
      <c r="K140" s="145" t="n"/>
      <c r="L140" s="146" t="n"/>
      <c r="M140" s="147">
        <f>IFERROR(IF(J140&lt;&gt;"",J140*1.25,IF(K140&lt;&gt;"",K140*1.25,"")),"")</f>
        <v/>
      </c>
      <c r="N140" s="148">
        <f>IFERROR(IF(J140&lt;&gt;"",L140*J140,IF(K140&lt;&gt;"",L140*K140,"")),"")</f>
        <v/>
      </c>
      <c r="O140" t="inlineStr">
        <is>
          <t>NEW_TAXA</t>
        </is>
      </c>
      <c r="P140" t="inlineStr">
        <is>
          <t>Ingen kandidat över granskningsgräns</t>
        </is>
      </c>
      <c r="Q1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1">
      <c r="A141" s="68" t="inlineStr">
        <is>
          <t>§2.4.8</t>
        </is>
      </c>
      <c r="B141" s="68" t="inlineStr">
        <is>
          <t>Evenemang och andra tillfälliga händelser</t>
        </is>
      </c>
      <c r="C141" s="68" t="inlineStr">
        <is>
          <t>Kärl 190 l restavfall</t>
        </is>
      </c>
      <c r="D141" s="68" t="n"/>
      <c r="E141" s="68" t="inlineStr">
        <is>
          <t>st/period</t>
        </is>
      </c>
      <c r="F141" s="106" t="n"/>
      <c r="G141" s="116">
        <f>IF($F141&lt;&gt;"",$F141,IFERROR(_xlfn.XLOOKUP(ROW(),Taxa_Saknas!$H:$H,Taxa_Saknas!$G:$G),""))</f>
        <v/>
      </c>
      <c r="H141" s="126">
        <f>IF($F141&lt;&gt;"",IFERROR(_xlfn.XLOOKUP($F141,Taxa_från_edp!$B:$B,Taxa_från_edp!C:C),""),"")</f>
        <v/>
      </c>
      <c r="I141" s="127">
        <f>IF($F141&lt;&gt;"",IFERROR(_xlfn.XLOOKUP($F141,Taxa_från_edp!$B:$B,Taxa_från_edp!G:G),""),"")</f>
        <v/>
      </c>
      <c r="J141" s="127">
        <f>IF($F141&lt;&gt;"",IFERROR(_xlfn.XLOOKUP($F141,Taxa_från_edp!$B:$B,Taxa_från_edp!K:K),""),"")</f>
        <v/>
      </c>
      <c r="K141" s="145" t="n"/>
      <c r="L141" s="146" t="n"/>
      <c r="M141" s="147">
        <f>IFERROR(IF(J141&lt;&gt;"",J141*1.25,IF(K141&lt;&gt;"",K141*1.25,"")),"")</f>
        <v/>
      </c>
      <c r="N141" s="148">
        <f>IFERROR(IF(J141&lt;&gt;"",L141*J141,IF(K141&lt;&gt;"",L141*K141,"")),"")</f>
        <v/>
      </c>
      <c r="O141" t="inlineStr">
        <is>
          <t>NEW_TAXA</t>
        </is>
      </c>
      <c r="P141" t="inlineStr">
        <is>
          <t>Ingen kandidat över granskningsgräns</t>
        </is>
      </c>
      <c r="Q1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2" ht="45" customHeight="1">
      <c r="A142" s="68" t="inlineStr">
        <is>
          <t>§2.4.8</t>
        </is>
      </c>
      <c r="B142" s="68" t="inlineStr">
        <is>
          <t>Evenemang och andra tillfälliga händelser</t>
        </is>
      </c>
      <c r="C142" s="68" t="inlineStr">
        <is>
          <t>Kärl 370 l restavfall</t>
        </is>
      </c>
      <c r="D142" s="68" t="n"/>
      <c r="E142" s="68" t="inlineStr">
        <is>
          <t>st/period</t>
        </is>
      </c>
      <c r="F142" s="107" t="n"/>
      <c r="G142" s="117">
        <f>IF($F142&lt;&gt;"",$F142,IFERROR(_xlfn.XLOOKUP(ROW(),Taxa_Saknas!$H:$H,Taxa_Saknas!$G:$G),""))</f>
        <v/>
      </c>
      <c r="H142" s="128">
        <f>IF($F142&lt;&gt;"",IFERROR(_xlfn.XLOOKUP($F142,Taxa_från_edp!$B:$B,Taxa_från_edp!C:C),""),"")</f>
        <v/>
      </c>
      <c r="I142" s="129">
        <f>IF($F142&lt;&gt;"",IFERROR(_xlfn.XLOOKUP($F142,Taxa_från_edp!$B:$B,Taxa_från_edp!G:G),""),"")</f>
        <v/>
      </c>
      <c r="J142" s="129">
        <f>IF($F142&lt;&gt;"",IFERROR(_xlfn.XLOOKUP($F142,Taxa_från_edp!$B:$B,Taxa_från_edp!K:K),""),"")</f>
        <v/>
      </c>
      <c r="K142" s="150" t="n"/>
      <c r="L142" s="151" t="n"/>
      <c r="M142" s="147">
        <f>IFERROR(IF(J142&lt;&gt;"",J142*1.25,IF(K142&lt;&gt;"",K142*1.25,"")),"")</f>
        <v/>
      </c>
      <c r="N142" s="148">
        <f>IFERROR(IF(J142&lt;&gt;"",L142*J142,IF(K142&lt;&gt;"",L142*K142,"")),"")</f>
        <v/>
      </c>
      <c r="O142" t="inlineStr">
        <is>
          <t>NEW_TAXA</t>
        </is>
      </c>
      <c r="P142" t="inlineStr">
        <is>
          <t>Ingen kandidat över granskningsgräns</t>
        </is>
      </c>
      <c r="Q142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143" ht="45" customHeight="1">
      <c r="A143" s="68" t="inlineStr">
        <is>
          <t>§2.4.8</t>
        </is>
      </c>
      <c r="B143" s="68" t="inlineStr">
        <is>
          <t>Evenemang och andra tillfälliga händelser</t>
        </is>
      </c>
      <c r="C143" s="68" t="inlineStr">
        <is>
          <t>Kärl 660 l restavfall</t>
        </is>
      </c>
      <c r="D143" s="68" t="n"/>
      <c r="E143" s="68" t="inlineStr">
        <is>
          <t>st/period</t>
        </is>
      </c>
      <c r="F143" s="107" t="n"/>
      <c r="G143" s="117">
        <f>IF($F143&lt;&gt;"",$F143,IFERROR(_xlfn.XLOOKUP(ROW(),Taxa_Saknas!$H:$H,Taxa_Saknas!$G:$G),""))</f>
        <v/>
      </c>
      <c r="H143" s="128">
        <f>IF($F143&lt;&gt;"",IFERROR(_xlfn.XLOOKUP($F143,Taxa_från_edp!$B:$B,Taxa_från_edp!C:C),""),"")</f>
        <v/>
      </c>
      <c r="I143" s="129">
        <f>IF($F143&lt;&gt;"",IFERROR(_xlfn.XLOOKUP($F143,Taxa_från_edp!$B:$B,Taxa_från_edp!G:G),""),"")</f>
        <v/>
      </c>
      <c r="J143" s="129">
        <f>IF($F143&lt;&gt;"",IFERROR(_xlfn.XLOOKUP($F143,Taxa_från_edp!$B:$B,Taxa_från_edp!K:K),""),"")</f>
        <v/>
      </c>
      <c r="K143" s="150" t="n"/>
      <c r="L143" s="151" t="n"/>
      <c r="M143" s="147">
        <f>IFERROR(IF(J143&lt;&gt;"",J143*1.25,IF(K143&lt;&gt;"",K143*1.25,"")),"")</f>
        <v/>
      </c>
      <c r="N143" s="148">
        <f>IFERROR(IF(J143&lt;&gt;"",L143*J143,IF(K143&lt;&gt;"",L143*K143,"")),"")</f>
        <v/>
      </c>
      <c r="O143" t="inlineStr">
        <is>
          <t>NEW_TAXA</t>
        </is>
      </c>
      <c r="P143" t="inlineStr">
        <is>
          <t>Ingen kandidat över granskningsgräns</t>
        </is>
      </c>
      <c r="Q143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144" ht="45" customHeight="1">
      <c r="A144" s="68" t="inlineStr">
        <is>
          <t>§2.4.8</t>
        </is>
      </c>
      <c r="B144" s="68" t="inlineStr">
        <is>
          <t>Evenemang och andra tillfälliga händelser</t>
        </is>
      </c>
      <c r="C144" s="68" t="inlineStr">
        <is>
          <t>Bottemtömmande behållare</t>
        </is>
      </c>
      <c r="D144" s="68" t="n"/>
      <c r="E144" s="68" t="inlineStr">
        <is>
          <t>st/period</t>
        </is>
      </c>
      <c r="F144" s="107" t="n"/>
      <c r="G144" s="117">
        <f>IF($F144&lt;&gt;"",$F144,IFERROR(_xlfn.XLOOKUP(ROW(),Taxa_Saknas!$H:$H,Taxa_Saknas!$G:$G),""))</f>
        <v/>
      </c>
      <c r="H144" s="128">
        <f>IF($F144&lt;&gt;"",IFERROR(_xlfn.XLOOKUP($F144,Taxa_från_edp!$B:$B,Taxa_från_edp!C:C),""),"")</f>
        <v/>
      </c>
      <c r="I144" s="129">
        <f>IF($F144&lt;&gt;"",IFERROR(_xlfn.XLOOKUP($F144,Taxa_från_edp!$B:$B,Taxa_från_edp!G:G),""),"")</f>
        <v/>
      </c>
      <c r="J144" s="129">
        <f>IF($F144&lt;&gt;"",IFERROR(_xlfn.XLOOKUP($F144,Taxa_från_edp!$B:$B,Taxa_från_edp!K:K),""),"")</f>
        <v/>
      </c>
      <c r="K144" s="150" t="n"/>
      <c r="L144" s="151" t="n"/>
      <c r="M144" s="147">
        <f>IFERROR(IF(J144&lt;&gt;"",J144*1.25,IF(K144&lt;&gt;"",K144*1.25,"")),"")</f>
        <v/>
      </c>
      <c r="N144" s="148">
        <f>IFERROR(IF(J144&lt;&gt;"",L144*J144,IF(K144&lt;&gt;"",L144*K144,"")),"")</f>
        <v/>
      </c>
      <c r="O144" t="inlineStr">
        <is>
          <t>REVIEW_REQUIRED</t>
        </is>
      </c>
      <c r="P144" t="inlineStr">
        <is>
          <t>Bästa semantiska kandidat saknar taxekod</t>
        </is>
      </c>
      <c r="Q144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145" ht="21.95" customHeight="1">
      <c r="A145" s="83" t="inlineStr">
        <is>
          <t>§2.4.9 Budning av mat- och restavfall</t>
        </is>
      </c>
      <c r="B145" s="84" t="n"/>
      <c r="C145" s="84" t="n"/>
      <c r="D145" s="84" t="n"/>
      <c r="E145" s="85" t="n"/>
      <c r="F145" s="113" t="n"/>
      <c r="G145" s="121">
        <f>IF($F145&lt;&gt;"",$F145,IFERROR(_xlfn.XLOOKUP(ROW(),Taxa_Saknas!$H:$H,Taxa_Saknas!$G:$G),""))</f>
        <v/>
      </c>
      <c r="H145" s="121">
        <f>IF($F145&lt;&gt;"",IFERROR(_xlfn.XLOOKUP($F145,Taxa_från_edp!$B:$B,Taxa_från_edp!C:C),""),"")</f>
        <v/>
      </c>
      <c r="I145" s="121">
        <f>IF($F145&lt;&gt;"",IFERROR(_xlfn.XLOOKUP($F145,Taxa_från_edp!$B:$B,Taxa_från_edp!G:G),""),"")</f>
        <v/>
      </c>
      <c r="J145" s="121">
        <f>IF($F145&lt;&gt;"",IFERROR(_xlfn.XLOOKUP($F145,Taxa_från_edp!$B:$B,Taxa_från_edp!K:K),""),"")</f>
        <v/>
      </c>
      <c r="K145" s="121" t="n"/>
      <c r="L145" s="121" t="n"/>
      <c r="M145" s="121">
        <f>IFERROR(IF(J145&lt;&gt;"",J145*1.25,IF(K145&lt;&gt;"",K145*1.25,"")),"")</f>
        <v/>
      </c>
      <c r="N145" s="144">
        <f>IFERROR(IF(J145&lt;&gt;"",L145*J145,IF(K145&lt;&gt;"",L145*K145,"")),"")</f>
        <v/>
      </c>
      <c r="O145" t="inlineStr">
        <is>
          <t>REVIEW_REQUIRED</t>
        </is>
      </c>
      <c r="P145" t="inlineStr">
        <is>
          <t>Bästa semantiska kandidat saknar taxekod</t>
        </is>
      </c>
      <c r="Q145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146">
      <c r="A146" s="68" t="inlineStr">
        <is>
          <t>§2.4.9</t>
        </is>
      </c>
      <c r="B146" s="68" t="inlineStr">
        <is>
          <t>Budning av mat- och restavfall</t>
        </is>
      </c>
      <c r="C146" s="68" t="inlineStr">
        <is>
          <t>Sidlastande fordon</t>
        </is>
      </c>
      <c r="D146" s="68" t="n"/>
      <c r="E146" s="68" t="inlineStr">
        <is>
          <t>st/tillfälle</t>
        </is>
      </c>
      <c r="F146" s="107" t="n"/>
      <c r="G146" s="117">
        <f>IF($F146&lt;&gt;"",$F146,IFERROR(_xlfn.XLOOKUP(ROW(),Taxa_Saknas!$H:$H,Taxa_Saknas!$G:$G),""))</f>
        <v/>
      </c>
      <c r="H146" s="128">
        <f>IF($F146&lt;&gt;"",IFERROR(_xlfn.XLOOKUP($F146,Taxa_från_edp!$B:$B,Taxa_från_edp!C:C),""),"")</f>
        <v/>
      </c>
      <c r="I146" s="129">
        <f>IF($F146&lt;&gt;"",IFERROR(_xlfn.XLOOKUP($F146,Taxa_från_edp!$B:$B,Taxa_från_edp!G:G),""),"")</f>
        <v/>
      </c>
      <c r="J146" s="129">
        <f>IF($F146&lt;&gt;"",IFERROR(_xlfn.XLOOKUP($F146,Taxa_från_edp!$B:$B,Taxa_från_edp!K:K),""),"")</f>
        <v/>
      </c>
      <c r="K146" s="150" t="n"/>
      <c r="L146" s="151" t="n"/>
      <c r="M146" s="147">
        <f>IFERROR(IF(J146&lt;&gt;"",J146*1.25,IF(K146&lt;&gt;"",K146*1.25,"")),"")</f>
        <v/>
      </c>
      <c r="N146" s="148">
        <f>IFERROR(IF(J146&lt;&gt;"",L146*J146,IF(K146&lt;&gt;"",L146*K146,"")),"")</f>
        <v/>
      </c>
      <c r="O146" t="inlineStr">
        <is>
          <t>NEW_TAXA</t>
        </is>
      </c>
      <c r="P146" t="inlineStr">
        <is>
          <t>Ingen kandidat över granskningsgräns</t>
        </is>
      </c>
      <c r="Q1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7" ht="60" customHeight="1">
      <c r="A147" s="68" t="inlineStr">
        <is>
          <t>§2.4.9</t>
        </is>
      </c>
      <c r="B147" s="68" t="inlineStr">
        <is>
          <t>Budning av mat- och restavfall</t>
        </is>
      </c>
      <c r="C147" s="68" t="inlineStr">
        <is>
          <t>Bottentömmande fordon</t>
        </is>
      </c>
      <c r="D147" s="68" t="n"/>
      <c r="E147" s="68" t="inlineStr">
        <is>
          <t>st/tillfälle</t>
        </is>
      </c>
      <c r="F147" s="107" t="n"/>
      <c r="G147" s="117">
        <f>IF($F147&lt;&gt;"",$F147,IFERROR(_xlfn.XLOOKUP(ROW(),Taxa_Saknas!$H:$H,Taxa_Saknas!$G:$G),""))</f>
        <v/>
      </c>
      <c r="H147" s="128">
        <f>IF($F147&lt;&gt;"",IFERROR(_xlfn.XLOOKUP($F147,Taxa_från_edp!$B:$B,Taxa_från_edp!C:C),""),"")</f>
        <v/>
      </c>
      <c r="I147" s="129">
        <f>IF($F147&lt;&gt;"",IFERROR(_xlfn.XLOOKUP($F147,Taxa_från_edp!$B:$B,Taxa_från_edp!G:G),""),"")</f>
        <v/>
      </c>
      <c r="J147" s="129">
        <f>IF($F147&lt;&gt;"",IFERROR(_xlfn.XLOOKUP($F147,Taxa_från_edp!$B:$B,Taxa_från_edp!K:K),""),"")</f>
        <v/>
      </c>
      <c r="K147" s="150" t="n"/>
      <c r="L147" s="151" t="n"/>
      <c r="M147" s="147">
        <f>IFERROR(IF(J147&lt;&gt;"",J147*1.25,IF(K147&lt;&gt;"",K147*1.25,"")),"")</f>
        <v/>
      </c>
      <c r="N147" s="148">
        <f>IFERROR(IF(J147&lt;&gt;"",L147*J147,IF(K147&lt;&gt;"",L147*K147,"")),"")</f>
        <v/>
      </c>
      <c r="O147" t="inlineStr">
        <is>
          <t>REVIEW_REQUIRED</t>
        </is>
      </c>
      <c r="P147" t="inlineStr">
        <is>
          <t>Bästa semantiska kandidat saknar taxekod</t>
        </is>
      </c>
      <c r="Q147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8" ht="60" customHeight="1">
      <c r="A148" s="68" t="inlineStr">
        <is>
          <t>§2.4.9</t>
        </is>
      </c>
      <c r="B148" s="68" t="inlineStr">
        <is>
          <t>Budning av mat- och restavfall</t>
        </is>
      </c>
      <c r="C148" s="68" t="inlineStr">
        <is>
          <t>Tömningsavgift per behållare</t>
        </is>
      </c>
      <c r="D148" s="68" t="n"/>
      <c r="E148" s="68" t="inlineStr">
        <is>
          <t>st/tillfälle</t>
        </is>
      </c>
      <c r="F148" s="107" t="n"/>
      <c r="G148" s="117">
        <f>IF($F148&lt;&gt;"",$F148,IFERROR(_xlfn.XLOOKUP(ROW(),Taxa_Saknas!$H:$H,Taxa_Saknas!$G:$G),""))</f>
        <v/>
      </c>
      <c r="H148" s="128">
        <f>IF($F148&lt;&gt;"",IFERROR(_xlfn.XLOOKUP($F148,Taxa_från_edp!$B:$B,Taxa_från_edp!C:C),""),"")</f>
        <v/>
      </c>
      <c r="I148" s="129">
        <f>IF($F148&lt;&gt;"",IFERROR(_xlfn.XLOOKUP($F148,Taxa_från_edp!$B:$B,Taxa_från_edp!G:G),""),"")</f>
        <v/>
      </c>
      <c r="J148" s="129">
        <f>IF($F148&lt;&gt;"",IFERROR(_xlfn.XLOOKUP($F148,Taxa_från_edp!$B:$B,Taxa_från_edp!K:K),""),"")</f>
        <v/>
      </c>
      <c r="K148" s="150" t="n"/>
      <c r="L148" s="151" t="n"/>
      <c r="M148" s="147">
        <f>IFERROR(IF(J148&lt;&gt;"",J148*1.25,IF(K148&lt;&gt;"",K148*1.25,"")),"")</f>
        <v/>
      </c>
      <c r="N148" s="148">
        <f>IFERROR(IF(J148&lt;&gt;"",L148*J148,IF(K148&lt;&gt;"",L148*K148,"")),"")</f>
        <v/>
      </c>
      <c r="O148" t="inlineStr">
        <is>
          <t>REVIEW_REQUIRED</t>
        </is>
      </c>
      <c r="P148" t="inlineStr">
        <is>
          <t>Bästa semantiska kandidat saknar taxekod</t>
        </is>
      </c>
      <c r="Q14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9" ht="21.95" customHeight="1">
      <c r="A149" s="83" t="inlineStr">
        <is>
          <t>§2.4.10 Betalsäck och akutsäck</t>
        </is>
      </c>
      <c r="B149" s="84" t="n"/>
      <c r="C149" s="84" t="n"/>
      <c r="D149" s="84" t="n"/>
      <c r="E149" s="85" t="n"/>
      <c r="F149" s="114" t="n"/>
      <c r="G149" s="122">
        <f>IF($F149&lt;&gt;"",$F149,IFERROR(_xlfn.XLOOKUP(ROW(),Taxa_Saknas!$H:$H,Taxa_Saknas!$G:$G),""))</f>
        <v/>
      </c>
      <c r="H149" s="122">
        <f>IF($F149&lt;&gt;"",IFERROR(_xlfn.XLOOKUP($F149,Taxa_från_edp!$B:$B,Taxa_från_edp!C:C),""),"")</f>
        <v/>
      </c>
      <c r="I149" s="149">
        <f>IF($F149&lt;&gt;"",IFERROR(_xlfn.XLOOKUP($F149,Taxa_från_edp!$B:$B,Taxa_från_edp!G:G),""),"")</f>
        <v/>
      </c>
      <c r="J149" s="149">
        <f>IF($F149&lt;&gt;"",IFERROR(_xlfn.XLOOKUP($F149,Taxa_från_edp!$B:$B,Taxa_från_edp!K:K),""),"")</f>
        <v/>
      </c>
      <c r="K149" s="149" t="n"/>
      <c r="L149" s="149" t="n"/>
      <c r="M149" s="121">
        <f>IFERROR(IF(J149&lt;&gt;"",J149*1.25,IF(K149&lt;&gt;"",K149*1.25,"")),"")</f>
        <v/>
      </c>
      <c r="N149" s="144">
        <f>IFERROR(IF(J149&lt;&gt;"",L149*J149,IF(K149&lt;&gt;"",L149*K149,"")),"")</f>
        <v/>
      </c>
      <c r="O149" t="inlineStr">
        <is>
          <t>REVIEW_REQUIRED</t>
        </is>
      </c>
      <c r="P149" t="inlineStr">
        <is>
          <t>Bästa semantiska kandidat saknar taxekod</t>
        </is>
      </c>
      <c r="Q149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150" ht="30" customHeight="1">
      <c r="A150" s="68" t="inlineStr">
        <is>
          <t>§2.4.10</t>
        </is>
      </c>
      <c r="B150" s="68" t="inlineStr">
        <is>
          <t>Betalsäck och akutsäck</t>
        </is>
      </c>
      <c r="C150" s="68" t="inlineStr">
        <is>
          <t>Betalsäck</t>
        </is>
      </c>
      <c r="D150" s="68" t="n"/>
      <c r="E150" s="68" t="inlineStr">
        <is>
          <t>st/säck</t>
        </is>
      </c>
      <c r="F150" s="107" t="inlineStr">
        <is>
          <t>BETALSÄCK</t>
        </is>
      </c>
      <c r="G150" s="117">
        <f>IF($F150&lt;&gt;"",$F150,IFERROR(_xlfn.XLOOKUP(ROW(),Taxa_Saknas!$H:$H,Taxa_Saknas!$G:$G),""))</f>
        <v/>
      </c>
      <c r="H150" s="128">
        <f>IF($F150&lt;&gt;"",IFERROR(_xlfn.XLOOKUP($F150,Taxa_från_edp!$B:$B,Taxa_från_edp!C:C),""),"")</f>
        <v/>
      </c>
      <c r="I150" s="129">
        <f>IF($F150&lt;&gt;"",IFERROR(_xlfn.XLOOKUP($F150,Taxa_från_edp!$B:$B,Taxa_från_edp!G:G),""),"")</f>
        <v/>
      </c>
      <c r="J150" s="129">
        <f>IF($F150&lt;&gt;"",IFERROR(_xlfn.XLOOKUP($F150,Taxa_från_edp!$B:$B,Taxa_från_edp!K:K),""),"")</f>
        <v/>
      </c>
      <c r="K150" s="150" t="n"/>
      <c r="L150" s="151" t="n"/>
      <c r="M150" s="147">
        <f>IFERROR(IF(J150&lt;&gt;"",J150*1.25,IF(K150&lt;&gt;"",K150*1.25,"")),"")</f>
        <v/>
      </c>
      <c r="N150" s="148">
        <f>IFERROR(IF(J150&lt;&gt;"",L150*J150,IF(K150&lt;&gt;"",L150*K150,"")),"")</f>
        <v/>
      </c>
      <c r="O150" t="inlineStr">
        <is>
          <t>NEW_TAXA</t>
        </is>
      </c>
      <c r="P150" t="inlineStr">
        <is>
          <t>Ingen kandidat över granskningsgräns</t>
        </is>
      </c>
      <c r="Q1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1" ht="30" customHeight="1">
      <c r="A151" s="68" t="inlineStr">
        <is>
          <t>§2.4.10</t>
        </is>
      </c>
      <c r="B151" s="68" t="inlineStr">
        <is>
          <t>Betalsäck och akutsäck</t>
        </is>
      </c>
      <c r="C151" s="68" t="inlineStr">
        <is>
          <t>Akutsäck</t>
        </is>
      </c>
      <c r="D151" s="68" t="n"/>
      <c r="E151" s="68" t="inlineStr">
        <is>
          <t>st/säck</t>
        </is>
      </c>
      <c r="F151" s="107" t="inlineStr">
        <is>
          <t>AKUTSÄCK</t>
        </is>
      </c>
      <c r="G151" s="117">
        <f>IF($F151&lt;&gt;"",$F151,IFERROR(_xlfn.XLOOKUP(ROW(),Taxa_Saknas!$H:$H,Taxa_Saknas!$G:$G),""))</f>
        <v/>
      </c>
      <c r="H151" s="128">
        <f>IF($F151&lt;&gt;"",IFERROR(_xlfn.XLOOKUP($F151,Taxa_från_edp!$B:$B,Taxa_från_edp!C:C),""),"")</f>
        <v/>
      </c>
      <c r="I151" s="129">
        <f>IF($F151&lt;&gt;"",IFERROR(_xlfn.XLOOKUP($F151,Taxa_från_edp!$B:$B,Taxa_från_edp!G:G),""),"")</f>
        <v/>
      </c>
      <c r="J151" s="129">
        <f>IF($F151&lt;&gt;"",IFERROR(_xlfn.XLOOKUP($F151,Taxa_från_edp!$B:$B,Taxa_från_edp!K:K),""),"")</f>
        <v/>
      </c>
      <c r="K151" s="150" t="n"/>
      <c r="L151" s="151" t="n"/>
      <c r="M151" s="147">
        <f>IFERROR(IF(J151&lt;&gt;"",J151*1.25,IF(K151&lt;&gt;"",K151*1.25,"")),"")</f>
        <v/>
      </c>
      <c r="N151" s="148">
        <f>IFERROR(IF(J151&lt;&gt;"",L151*J151,IF(K151&lt;&gt;"",L151*K151,"")),"")</f>
        <v/>
      </c>
      <c r="O151" t="inlineStr">
        <is>
          <t>NEW_TAXA</t>
        </is>
      </c>
      <c r="P151" t="inlineStr">
        <is>
          <t>Ingen kandidat över granskningsgräns</t>
        </is>
      </c>
      <c r="Q1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2" ht="21.95" customHeight="1">
      <c r="A152" s="83" t="inlineStr">
        <is>
          <t>§2.4.11 Tillbehör</t>
        </is>
      </c>
      <c r="B152" s="84" t="n"/>
      <c r="C152" s="84" t="n"/>
      <c r="D152" s="84" t="n"/>
      <c r="E152" s="85" t="n"/>
      <c r="F152" s="114" t="n"/>
      <c r="G152" s="122">
        <f>IF($F152&lt;&gt;"",$F152,IFERROR(_xlfn.XLOOKUP(ROW(),Taxa_Saknas!$H:$H,Taxa_Saknas!$G:$G),""))</f>
        <v/>
      </c>
      <c r="H152" s="122">
        <f>IF($F152&lt;&gt;"",IFERROR(_xlfn.XLOOKUP($F152,Taxa_från_edp!$B:$B,Taxa_från_edp!C:C),""),"")</f>
        <v/>
      </c>
      <c r="I152" s="149">
        <f>IF($F152&lt;&gt;"",IFERROR(_xlfn.XLOOKUP($F152,Taxa_från_edp!$B:$B,Taxa_från_edp!G:G),""),"")</f>
        <v/>
      </c>
      <c r="J152" s="149">
        <f>IF($F152&lt;&gt;"",IFERROR(_xlfn.XLOOKUP($F152,Taxa_från_edp!$B:$B,Taxa_från_edp!K:K),""),"")</f>
        <v/>
      </c>
      <c r="K152" s="149" t="n"/>
      <c r="L152" s="149" t="n"/>
      <c r="M152" s="121">
        <f>IFERROR(IF(J152&lt;&gt;"",J152*1.25,IF(K152&lt;&gt;"",K152*1.25,"")),"")</f>
        <v/>
      </c>
      <c r="N152" s="144">
        <f>IFERROR(IF(J152&lt;&gt;"",L152*J152,IF(K152&lt;&gt;"",L152*K152,"")),"")</f>
        <v/>
      </c>
      <c r="O152" t="inlineStr">
        <is>
          <t>NEW_TAXA</t>
        </is>
      </c>
      <c r="P152" t="inlineStr">
        <is>
          <t>Ingen kandidat över granskningsgräns</t>
        </is>
      </c>
      <c r="Q1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3">
      <c r="A153" s="68" t="inlineStr">
        <is>
          <t>§2.4.11</t>
        </is>
      </c>
      <c r="B153" s="68" t="inlineStr">
        <is>
          <t>Tillbehör</t>
        </is>
      </c>
      <c r="C153" s="68" t="inlineStr">
        <is>
          <t>Matavfallspåsar 9 L</t>
        </is>
      </c>
      <c r="D153" s="68" t="n"/>
      <c r="E153" s="68" t="inlineStr">
        <is>
          <t>bunt</t>
        </is>
      </c>
      <c r="F153" s="107" t="n"/>
      <c r="G153" s="117">
        <f>IF($F153&lt;&gt;"",$F153,IFERROR(_xlfn.XLOOKUP(ROW(),Taxa_Saknas!$H:$H,Taxa_Saknas!$G:$G),""))</f>
        <v/>
      </c>
      <c r="H153" s="128">
        <f>IF($F153&lt;&gt;"",IFERROR(_xlfn.XLOOKUP($F153,Taxa_från_edp!$B:$B,Taxa_från_edp!C:C),""),"")</f>
        <v/>
      </c>
      <c r="I153" s="129">
        <f>IF($F153&lt;&gt;"",IFERROR(_xlfn.XLOOKUP($F153,Taxa_från_edp!$B:$B,Taxa_från_edp!G:G),""),"")</f>
        <v/>
      </c>
      <c r="J153" s="129">
        <f>IF($F153&lt;&gt;"",IFERROR(_xlfn.XLOOKUP($F153,Taxa_från_edp!$B:$B,Taxa_från_edp!K:K),""),"")</f>
        <v/>
      </c>
      <c r="K153" s="150" t="n"/>
      <c r="L153" s="151" t="n"/>
      <c r="M153" s="147">
        <f>IFERROR(IF(J153&lt;&gt;"",J153*1.25,IF(K153&lt;&gt;"",K153*1.25,"")),"")</f>
        <v/>
      </c>
      <c r="N153" s="148">
        <f>IFERROR(IF(J153&lt;&gt;"",L153*J153,IF(K153&lt;&gt;"",L153*K153,"")),"")</f>
        <v/>
      </c>
      <c r="O153" t="inlineStr">
        <is>
          <t>REVIEW_REQUIRED</t>
        </is>
      </c>
      <c r="P153" t="inlineStr">
        <is>
          <t>Bästa semantiska kandidat saknar taxekod</t>
        </is>
      </c>
      <c r="Q153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154">
      <c r="A154" s="68" t="inlineStr">
        <is>
          <t>§2.4.11</t>
        </is>
      </c>
      <c r="B154" s="68" t="inlineStr">
        <is>
          <t>Tillbehör</t>
        </is>
      </c>
      <c r="C154" s="68" t="inlineStr">
        <is>
          <t>Matavfallspåsar 22 L</t>
        </is>
      </c>
      <c r="D154" s="68" t="n"/>
      <c r="E154" s="68" t="inlineStr">
        <is>
          <t>bunt</t>
        </is>
      </c>
      <c r="F154" s="107" t="n"/>
      <c r="G154" s="117">
        <f>IF($F154&lt;&gt;"",$F154,IFERROR(_xlfn.XLOOKUP(ROW(),Taxa_Saknas!$H:$H,Taxa_Saknas!$G:$G),""))</f>
        <v/>
      </c>
      <c r="H154" s="128">
        <f>IF($F154&lt;&gt;"",IFERROR(_xlfn.XLOOKUP($F154,Taxa_från_edp!$B:$B,Taxa_från_edp!C:C),""),"")</f>
        <v/>
      </c>
      <c r="I154" s="129">
        <f>IF($F154&lt;&gt;"",IFERROR(_xlfn.XLOOKUP($F154,Taxa_från_edp!$B:$B,Taxa_från_edp!G:G),""),"")</f>
        <v/>
      </c>
      <c r="J154" s="129">
        <f>IF($F154&lt;&gt;"",IFERROR(_xlfn.XLOOKUP($F154,Taxa_från_edp!$B:$B,Taxa_från_edp!K:K),""),"")</f>
        <v/>
      </c>
      <c r="K154" s="150" t="n"/>
      <c r="L154" s="151" t="n"/>
      <c r="M154" s="147">
        <f>IFERROR(IF(J154&lt;&gt;"",J154*1.25,IF(K154&lt;&gt;"",K154*1.25,"")),"")</f>
        <v/>
      </c>
      <c r="N154" s="148">
        <f>IFERROR(IF(J154&lt;&gt;"",L154*J154,IF(K154&lt;&gt;"",L154*K154,"")),"")</f>
        <v/>
      </c>
      <c r="O154" t="inlineStr">
        <is>
          <t>REVIEW_REQUIRED</t>
        </is>
      </c>
      <c r="P154" t="inlineStr">
        <is>
          <t>Bästa semantiska kandidat saknar taxekod</t>
        </is>
      </c>
      <c r="Q154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5" ht="105" customHeight="1">
      <c r="A155" s="68" t="inlineStr">
        <is>
          <t>§2.4.11</t>
        </is>
      </c>
      <c r="B155" s="68" t="inlineStr">
        <is>
          <t>Tillbehör</t>
        </is>
      </c>
      <c r="C155" s="68" t="inlineStr">
        <is>
          <t>Gravitationslås till kärl</t>
        </is>
      </c>
      <c r="D155" s="68" t="n"/>
      <c r="E155" s="68" t="inlineStr">
        <is>
          <t>st</t>
        </is>
      </c>
      <c r="F155" s="107" t="n"/>
      <c r="G155" s="117">
        <f>IF($F155&lt;&gt;"",$F155,IFERROR(_xlfn.XLOOKUP(ROW(),Taxa_Saknas!$H:$H,Taxa_Saknas!$G:$G),""))</f>
        <v/>
      </c>
      <c r="H155" s="128">
        <f>IF($F155&lt;&gt;"",IFERROR(_xlfn.XLOOKUP($F155,Taxa_från_edp!$B:$B,Taxa_från_edp!C:C),""),"")</f>
        <v/>
      </c>
      <c r="I155" s="129">
        <f>IF($F155&lt;&gt;"",IFERROR(_xlfn.XLOOKUP($F155,Taxa_från_edp!$B:$B,Taxa_från_edp!G:G),""),"")</f>
        <v/>
      </c>
      <c r="J155" s="129">
        <f>IF($F155&lt;&gt;"",IFERROR(_xlfn.XLOOKUP($F155,Taxa_från_edp!$B:$B,Taxa_från_edp!K:K),""),"")</f>
        <v/>
      </c>
      <c r="K155" s="150" t="n"/>
      <c r="L155" s="151" t="n"/>
      <c r="M155" s="147">
        <f>IFERROR(IF(J155&lt;&gt;"",J155*1.25,IF(K155&lt;&gt;"",K155*1.25,"")),"")</f>
        <v/>
      </c>
      <c r="N155" s="148">
        <f>IFERROR(IF(J155&lt;&gt;"",L155*J155,IF(K155&lt;&gt;"",L155*K155,"")),"")</f>
        <v/>
      </c>
      <c r="O155" t="inlineStr">
        <is>
          <t>NEW_TAXA</t>
        </is>
      </c>
      <c r="P155" t="inlineStr">
        <is>
          <t>Ingen kandidat över granskningsgräns</t>
        </is>
      </c>
      <c r="Q1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6" ht="30" customHeight="1">
      <c r="A156" s="68" t="inlineStr">
        <is>
          <t>§2.4.11</t>
        </is>
      </c>
      <c r="B156" s="68" t="inlineStr">
        <is>
          <t>Tillbehör</t>
        </is>
      </c>
      <c r="C156" s="68" t="inlineStr">
        <is>
          <t>Extra nyckel till gravitationslås</t>
        </is>
      </c>
      <c r="D156" s="68" t="n"/>
      <c r="E156" s="68" t="inlineStr">
        <is>
          <t>st</t>
        </is>
      </c>
      <c r="F156" s="106" t="n"/>
      <c r="G156" s="116">
        <f>IF($F156&lt;&gt;"",$F156,IFERROR(_xlfn.XLOOKUP(ROW(),Taxa_Saknas!$H:$H,Taxa_Saknas!$G:$G),""))</f>
        <v/>
      </c>
      <c r="H156" s="126">
        <f>IF($F156&lt;&gt;"",IFERROR(_xlfn.XLOOKUP($F156,Taxa_från_edp!$B:$B,Taxa_från_edp!C:C),""),"")</f>
        <v/>
      </c>
      <c r="I156" s="127">
        <f>IF($F156&lt;&gt;"",IFERROR(_xlfn.XLOOKUP($F156,Taxa_från_edp!$B:$B,Taxa_från_edp!G:G),""),"")</f>
        <v/>
      </c>
      <c r="J156" s="127">
        <f>IF($F156&lt;&gt;"",IFERROR(_xlfn.XLOOKUP($F156,Taxa_från_edp!$B:$B,Taxa_från_edp!K:K),""),"")</f>
        <v/>
      </c>
      <c r="K156" s="145" t="n"/>
      <c r="L156" s="146" t="n"/>
      <c r="M156" s="147">
        <f>IFERROR(IF(J156&lt;&gt;"",J156*1.25,IF(K156&lt;&gt;"",K156*1.25,"")),"")</f>
        <v/>
      </c>
      <c r="N156" s="148">
        <f>IFERROR(IF(J156&lt;&gt;"",L156*J156,IF(K156&lt;&gt;"",L156*K156,"")),"")</f>
        <v/>
      </c>
      <c r="O156" t="inlineStr">
        <is>
          <t>REVIEW_REQUIRED</t>
        </is>
      </c>
      <c r="P156" t="inlineStr">
        <is>
          <t>Bästa semantiska kandidat saknar taxekod</t>
        </is>
      </c>
      <c r="Q156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7" ht="21.95" customHeight="1">
      <c r="A157" s="93" t="inlineStr">
        <is>
          <t>§2.5 Övrigt avfall under kommunalt ansvar från hushåll</t>
        </is>
      </c>
      <c r="B157" s="84" t="n"/>
      <c r="C157" s="84" t="n"/>
      <c r="D157" s="84" t="n"/>
      <c r="E157" s="85" t="n"/>
      <c r="F157" s="112" t="n"/>
      <c r="G157" s="120">
        <f>IF($F157&lt;&gt;"",$F157,IFERROR(_xlfn.XLOOKUP(ROW(),Taxa_Saknas!$H:$H,Taxa_Saknas!$G:$G),""))</f>
        <v/>
      </c>
      <c r="H157" s="120">
        <f>IF($F157&lt;&gt;"",IFERROR(_xlfn.XLOOKUP($F157,Taxa_från_edp!$B:$B,Taxa_från_edp!C:C),""),"")</f>
        <v/>
      </c>
      <c r="I157" s="120">
        <f>IF($F157&lt;&gt;"",IFERROR(_xlfn.XLOOKUP($F157,Taxa_från_edp!$B:$B,Taxa_från_edp!G:G),""),"")</f>
        <v/>
      </c>
      <c r="J157" s="120">
        <f>IF($F157&lt;&gt;"",IFERROR(_xlfn.XLOOKUP($F157,Taxa_från_edp!$B:$B,Taxa_från_edp!K:K),""),"")</f>
        <v/>
      </c>
      <c r="K157" s="120" t="n"/>
      <c r="L157" s="120" t="n"/>
      <c r="M157" s="120">
        <f>IFERROR(IF(J157&lt;&gt;"",J157*1.25,IF(K157&lt;&gt;"",K157*1.25,"")),"")</f>
        <v/>
      </c>
      <c r="N157" s="143">
        <f>IFERROR(IF(J157&lt;&gt;"",L157*J157,IF(K157&lt;&gt;"",L157*K157,"")),"")</f>
        <v/>
      </c>
      <c r="O157" t="inlineStr">
        <is>
          <t>NEW_TAXA</t>
        </is>
      </c>
      <c r="P157" t="inlineStr">
        <is>
          <t>Ingen kandidat över granskningsgräns</t>
        </is>
      </c>
      <c r="Q1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8" ht="21.95" customHeight="1">
      <c r="A158" s="83" t="inlineStr">
        <is>
          <t>§2.5.1 Budning för fastighetsnära hämtning av kommunalt avfall</t>
        </is>
      </c>
      <c r="B158" s="84" t="n"/>
      <c r="C158" s="84" t="n"/>
      <c r="D158" s="84" t="n"/>
      <c r="E158" s="85" t="n"/>
      <c r="F158" s="114" t="n"/>
      <c r="G158" s="122">
        <f>IF($F158&lt;&gt;"",$F158,IFERROR(_xlfn.XLOOKUP(ROW(),Taxa_Saknas!$H:$H,Taxa_Saknas!$G:$G),""))</f>
        <v/>
      </c>
      <c r="H158" s="122">
        <f>IF($F158&lt;&gt;"",IFERROR(_xlfn.XLOOKUP($F158,Taxa_från_edp!$B:$B,Taxa_från_edp!C:C),""),"")</f>
        <v/>
      </c>
      <c r="I158" s="149">
        <f>IF($F158&lt;&gt;"",IFERROR(_xlfn.XLOOKUP($F158,Taxa_från_edp!$B:$B,Taxa_från_edp!G:G),""),"")</f>
        <v/>
      </c>
      <c r="J158" s="149">
        <f>IF($F158&lt;&gt;"",IFERROR(_xlfn.XLOOKUP($F158,Taxa_från_edp!$B:$B,Taxa_från_edp!K:K),""),"")</f>
        <v/>
      </c>
      <c r="K158" s="149" t="n"/>
      <c r="L158" s="149" t="n"/>
      <c r="M158" s="121">
        <f>IFERROR(IF(J158&lt;&gt;"",J158*1.25,IF(K158&lt;&gt;"",K158*1.25,"")),"")</f>
        <v/>
      </c>
      <c r="N158" s="144">
        <f>IFERROR(IF(J158&lt;&gt;"",L158*J158,IF(K158&lt;&gt;"",L158*K158,"")),"")</f>
        <v/>
      </c>
      <c r="O158" t="inlineStr">
        <is>
          <t>NEW_TAXA</t>
        </is>
      </c>
      <c r="P158" t="inlineStr">
        <is>
          <t>Ingen kandidat över granskningsgräns</t>
        </is>
      </c>
      <c r="Q158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159" ht="30" customHeight="1">
      <c r="A159" s="68" t="inlineStr">
        <is>
          <t>§2.5.1</t>
        </is>
      </c>
      <c r="B159" s="68" t="inlineStr">
        <is>
          <t>Budning för fastighetsnära hämtning av kommunalt avfall</t>
        </is>
      </c>
      <c r="C159" s="68" t="inlineStr">
        <is>
          <t>Kommunalt avfall</t>
        </is>
      </c>
      <c r="D159" s="68" t="n"/>
      <c r="E159" s="68" t="inlineStr">
        <is>
          <t>st/tillfälle</t>
        </is>
      </c>
      <c r="F159" s="106" t="n"/>
      <c r="G159" s="116">
        <f>IF($F159&lt;&gt;"",$F159,IFERROR(_xlfn.XLOOKUP(ROW(),Taxa_Saknas!$H:$H,Taxa_Saknas!$G:$G),""))</f>
        <v/>
      </c>
      <c r="H159" s="126">
        <f>IF($F159&lt;&gt;"",IFERROR(_xlfn.XLOOKUP($F159,Taxa_från_edp!$B:$B,Taxa_från_edp!C:C),""),"")</f>
        <v/>
      </c>
      <c r="I159" s="127">
        <f>IF($F159&lt;&gt;"",IFERROR(_xlfn.XLOOKUP($F159,Taxa_från_edp!$B:$B,Taxa_från_edp!G:G),""),"")</f>
        <v/>
      </c>
      <c r="J159" s="127">
        <f>IF($F159&lt;&gt;"",IFERROR(_xlfn.XLOOKUP($F159,Taxa_från_edp!$B:$B,Taxa_från_edp!K:K),""),"")</f>
        <v/>
      </c>
      <c r="K159" s="145" t="n"/>
      <c r="L159" s="146" t="n"/>
      <c r="M159" s="147">
        <f>IFERROR(IF(J159&lt;&gt;"",J159*1.25,IF(K159&lt;&gt;"",K159*1.25,"")),"")</f>
        <v/>
      </c>
      <c r="N159" s="148">
        <f>IFERROR(IF(J159&lt;&gt;"",L159*J159,IF(K159&lt;&gt;"",L159*K159,"")),"")</f>
        <v/>
      </c>
      <c r="O159" t="inlineStr">
        <is>
          <t>NEW_TAXA</t>
        </is>
      </c>
      <c r="P159" t="inlineStr">
        <is>
          <t>Ingen kandidat över granskningsgräns</t>
        </is>
      </c>
      <c r="Q15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0">
      <c r="A160" s="68" t="inlineStr">
        <is>
          <t>§2.5.1</t>
        </is>
      </c>
      <c r="B160" s="68" t="inlineStr">
        <is>
          <t>Budning för fastighetsnära hämtning av kommunalt avfall</t>
        </is>
      </c>
      <c r="C160" s="68" t="inlineStr">
        <is>
          <t>Farligt avfall (ej uppmärkt)</t>
        </is>
      </c>
      <c r="D160" s="68" t="n"/>
      <c r="E160" s="68" t="inlineStr">
        <is>
          <t>st/tillfälle</t>
        </is>
      </c>
      <c r="F160" s="107" t="n"/>
      <c r="G160" s="117">
        <f>IF($F160&lt;&gt;"",$F160,IFERROR(_xlfn.XLOOKUP(ROW(),Taxa_Saknas!$H:$H,Taxa_Saknas!$G:$G),""))</f>
        <v/>
      </c>
      <c r="H160" s="128">
        <f>IF($F160&lt;&gt;"",IFERROR(_xlfn.XLOOKUP($F160,Taxa_från_edp!$B:$B,Taxa_från_edp!C:C),""),"")</f>
        <v/>
      </c>
      <c r="I160" s="129">
        <f>IF($F160&lt;&gt;"",IFERROR(_xlfn.XLOOKUP($F160,Taxa_från_edp!$B:$B,Taxa_från_edp!G:G),""),"")</f>
        <v/>
      </c>
      <c r="J160" s="129">
        <f>IF($F160&lt;&gt;"",IFERROR(_xlfn.XLOOKUP($F160,Taxa_från_edp!$B:$B,Taxa_från_edp!K:K),""),"")</f>
        <v/>
      </c>
      <c r="K160" s="150" t="n"/>
      <c r="L160" s="151" t="n"/>
      <c r="M160" s="147">
        <f>IFERROR(IF(J160&lt;&gt;"",J160*1.25,IF(K160&lt;&gt;"",K160*1.25,"")),"")</f>
        <v/>
      </c>
      <c r="N160" s="148">
        <f>IFERROR(IF(J160&lt;&gt;"",L160*J160,IF(K160&lt;&gt;"",L160*K160,"")),"")</f>
        <v/>
      </c>
      <c r="O160" t="inlineStr">
        <is>
          <t>NEW_TAXA</t>
        </is>
      </c>
      <c r="P160" t="inlineStr">
        <is>
          <t>Ingen kandidat över granskningsgräns</t>
        </is>
      </c>
      <c r="Q16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1" ht="30" customHeight="1">
      <c r="A161" s="68" t="inlineStr">
        <is>
          <t>§2.5.1</t>
        </is>
      </c>
      <c r="B161" s="68" t="inlineStr">
        <is>
          <t>Budning för fastighetsnära hämtning av kommunalt avfall</t>
        </is>
      </c>
      <c r="C161" s="68" t="inlineStr">
        <is>
          <t>Farligt avfall (uppmärkt)</t>
        </is>
      </c>
      <c r="D161" s="68" t="n"/>
      <c r="E161" s="68" t="inlineStr">
        <is>
          <t>st/tillfälle</t>
        </is>
      </c>
      <c r="F161" s="107" t="n"/>
      <c r="G161" s="117">
        <f>IF($F161&lt;&gt;"",$F161,IFERROR(_xlfn.XLOOKUP(ROW(),Taxa_Saknas!$H:$H,Taxa_Saknas!$G:$G),""))</f>
        <v/>
      </c>
      <c r="H161" s="128">
        <f>IF($F161&lt;&gt;"",IFERROR(_xlfn.XLOOKUP($F161,Taxa_från_edp!$B:$B,Taxa_från_edp!C:C),""),"")</f>
        <v/>
      </c>
      <c r="I161" s="129">
        <f>IF($F161&lt;&gt;"",IFERROR(_xlfn.XLOOKUP($F161,Taxa_från_edp!$B:$B,Taxa_från_edp!G:G),""),"")</f>
        <v/>
      </c>
      <c r="J161" s="129">
        <f>IF($F161&lt;&gt;"",IFERROR(_xlfn.XLOOKUP($F161,Taxa_från_edp!$B:$B,Taxa_från_edp!K:K),""),"")</f>
        <v/>
      </c>
      <c r="K161" s="150" t="n"/>
      <c r="L161" s="151" t="n"/>
      <c r="M161" s="147">
        <f>IFERROR(IF(J161&lt;&gt;"",J161*1.25,IF(K161&lt;&gt;"",K161*1.25,"")),"")</f>
        <v/>
      </c>
      <c r="N161" s="148">
        <f>IFERROR(IF(J161&lt;&gt;"",L161*J161,IF(K161&lt;&gt;"",L161*K161,"")),"")</f>
        <v/>
      </c>
      <c r="O161" t="inlineStr">
        <is>
          <t>NEW_TAXA</t>
        </is>
      </c>
      <c r="P161" t="inlineStr">
        <is>
          <t>Ingen kandidat över granskningsgräns</t>
        </is>
      </c>
      <c r="Q16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2" ht="30" customHeight="1">
      <c r="A162" s="68" t="inlineStr">
        <is>
          <t>§2.5.1</t>
        </is>
      </c>
      <c r="B162" s="68" t="inlineStr">
        <is>
          <t>Avisering</t>
        </is>
      </c>
      <c r="C162" s="68" t="inlineStr">
        <is>
          <t>Farligt avfall (uppmärkt)</t>
        </is>
      </c>
      <c r="D162" s="68" t="n"/>
      <c r="E162" s="68" t="inlineStr">
        <is>
          <t>st/tillfälle</t>
        </is>
      </c>
      <c r="F162" s="107" t="n"/>
      <c r="G162" s="117">
        <f>IF($F162&lt;&gt;"",$F162,IFERROR(_xlfn.XLOOKUP(ROW(),Taxa_Saknas!$H:$H,Taxa_Saknas!$G:$G),""))</f>
        <v/>
      </c>
      <c r="H162" s="128">
        <f>IF($F162&lt;&gt;"",IFERROR(_xlfn.XLOOKUP($F162,Taxa_från_edp!$B:$B,Taxa_från_edp!C:C),""),"")</f>
        <v/>
      </c>
      <c r="I162" s="129">
        <f>IF($F162&lt;&gt;"",IFERROR(_xlfn.XLOOKUP($F162,Taxa_från_edp!$B:$B,Taxa_från_edp!G:G),""),"")</f>
        <v/>
      </c>
      <c r="J162" s="129">
        <f>IF($F162&lt;&gt;"",IFERROR(_xlfn.XLOOKUP($F162,Taxa_från_edp!$B:$B,Taxa_från_edp!K:K),""),"")</f>
        <v/>
      </c>
      <c r="K162" s="150" t="n"/>
      <c r="L162" s="151" t="n"/>
      <c r="M162" s="147">
        <f>IFERROR(IF(J162&lt;&gt;"",J162*1.25,IF(K162&lt;&gt;"",K162*1.25,"")),"")</f>
        <v/>
      </c>
      <c r="N162" s="148">
        <f>IFERROR(IF(J162&lt;&gt;"",L162*J162,IF(K162&lt;&gt;"",L162*K162,"")),"")</f>
        <v/>
      </c>
      <c r="O162" t="inlineStr">
        <is>
          <t>NEW_TAXA</t>
        </is>
      </c>
      <c r="P162" t="inlineStr">
        <is>
          <t>Ingen kandidat över granskningsgräns</t>
        </is>
      </c>
      <c r="Q1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3" ht="21.95" customHeight="1">
      <c r="A163" s="97" t="inlineStr">
        <is>
          <t>§3 Tömning av slam</t>
        </is>
      </c>
      <c r="B163" s="84" t="n"/>
      <c r="C163" s="84" t="n"/>
      <c r="D163" s="84" t="n"/>
      <c r="E163" s="85" t="n"/>
      <c r="F163" s="138" t="n"/>
      <c r="G163" s="84" t="n"/>
      <c r="H163" s="84" t="n"/>
      <c r="I163" s="84" t="n"/>
      <c r="J163" s="85" t="n"/>
      <c r="K163" s="141" t="n"/>
      <c r="L163" s="141" t="n"/>
      <c r="M163" s="141">
        <f>IFERROR(IF(J163&lt;&gt;"",J163*1.25,IF(K163&lt;&gt;"",K163*1.25,"")),"")</f>
        <v/>
      </c>
      <c r="N163" s="142">
        <f>IFERROR(IF(J163&lt;&gt;"",L163*J163,IF(K163&lt;&gt;"",L163*K163,"")),"")</f>
        <v/>
      </c>
      <c r="O163" t="inlineStr">
        <is>
          <t>NEW_TAXA</t>
        </is>
      </c>
      <c r="P163" t="inlineStr">
        <is>
          <t>Ingen kandidat över granskningsgräns</t>
        </is>
      </c>
      <c r="Q1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4" ht="21.95" customHeight="1">
      <c r="A164" s="93" t="inlineStr">
        <is>
          <t>§3.1 Tömning slam</t>
        </is>
      </c>
      <c r="B164" s="84" t="n"/>
      <c r="C164" s="84" t="n"/>
      <c r="D164" s="84" t="n"/>
      <c r="E164" s="85" t="n"/>
      <c r="F164" s="112" t="n"/>
      <c r="G164" s="120">
        <f>IF($F164&lt;&gt;"",$F164,IFERROR(_xlfn.XLOOKUP(ROW(),Taxa_Saknas!$H:$H,Taxa_Saknas!$G:$G),""))</f>
        <v/>
      </c>
      <c r="H164" s="120">
        <f>IF($F164&lt;&gt;"",IFERROR(_xlfn.XLOOKUP($F164,Taxa_från_edp!$B:$B,Taxa_från_edp!C:C),""),"")</f>
        <v/>
      </c>
      <c r="I164" s="120">
        <f>IF($F164&lt;&gt;"",IFERROR(_xlfn.XLOOKUP($F164,Taxa_från_edp!$B:$B,Taxa_från_edp!G:G),""),"")</f>
        <v/>
      </c>
      <c r="J164" s="120">
        <f>IF($F164&lt;&gt;"",IFERROR(_xlfn.XLOOKUP($F164,Taxa_från_edp!$B:$B,Taxa_från_edp!K:K),""),"")</f>
        <v/>
      </c>
      <c r="K164" s="120" t="n"/>
      <c r="L164" s="120" t="n"/>
      <c r="M164" s="120">
        <f>IFERROR(IF(J164&lt;&gt;"",J164*1.25,IF(K164&lt;&gt;"",K164*1.25,"")),"")</f>
        <v/>
      </c>
      <c r="N164" s="143">
        <f>IFERROR(IF(J164&lt;&gt;"",L164*J164,IF(K164&lt;&gt;"",L164*K164,"")),"")</f>
        <v/>
      </c>
      <c r="O164" t="inlineStr">
        <is>
          <t>NEW_TAXA</t>
        </is>
      </c>
      <c r="P164" t="inlineStr">
        <is>
          <t>Ingen kandidat över granskningsgräns</t>
        </is>
      </c>
      <c r="Q1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5" ht="21.95" customHeight="1">
      <c r="A165" s="83" t="inlineStr">
        <is>
          <t>§3.1.1 Ordinarie tömning slam</t>
        </is>
      </c>
      <c r="B165" s="84" t="n"/>
      <c r="C165" s="84" t="n"/>
      <c r="D165" s="84" t="n"/>
      <c r="E165" s="85" t="n"/>
      <c r="F165" s="114" t="n"/>
      <c r="G165" s="122">
        <f>IF($F165&lt;&gt;"",$F165,IFERROR(_xlfn.XLOOKUP(ROW(),Taxa_Saknas!$H:$H,Taxa_Saknas!$G:$G),""))</f>
        <v/>
      </c>
      <c r="H165" s="122">
        <f>IF($F165&lt;&gt;"",IFERROR(_xlfn.XLOOKUP($F165,Taxa_från_edp!$B:$B,Taxa_från_edp!C:C),""),"")</f>
        <v/>
      </c>
      <c r="I165" s="149">
        <f>IF($F165&lt;&gt;"",IFERROR(_xlfn.XLOOKUP($F165,Taxa_från_edp!$B:$B,Taxa_från_edp!G:G),""),"")</f>
        <v/>
      </c>
      <c r="J165" s="149">
        <f>IF($F165&lt;&gt;"",IFERROR(_xlfn.XLOOKUP($F165,Taxa_från_edp!$B:$B,Taxa_från_edp!K:K),""),"")</f>
        <v/>
      </c>
      <c r="K165" s="149" t="n"/>
      <c r="L165" s="149" t="n"/>
      <c r="M165" s="121">
        <f>IFERROR(IF(J165&lt;&gt;"",J165*1.25,IF(K165&lt;&gt;"",K165*1.25,"")),"")</f>
        <v/>
      </c>
      <c r="N165" s="144">
        <f>IFERROR(IF(J165&lt;&gt;"",L165*J165,IF(K165&lt;&gt;"",L165*K165,"")),"")</f>
        <v/>
      </c>
      <c r="O165" t="inlineStr">
        <is>
          <t>NEW_TAXA</t>
        </is>
      </c>
      <c r="P165" t="inlineStr">
        <is>
          <t>Ingen kandidat över granskningsgräns</t>
        </is>
      </c>
      <c r="Q16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6" ht="30" customHeight="1">
      <c r="A166" s="68" t="inlineStr">
        <is>
          <t>§3.1.1</t>
        </is>
      </c>
      <c r="B166" s="68" t="inlineStr">
        <is>
          <t>Ordinarie tömning slam</t>
        </is>
      </c>
      <c r="C166" s="100" t="inlineStr">
        <is>
          <t>Upp till 3 m3</t>
        </is>
      </c>
      <c r="D166" s="68" t="n"/>
      <c r="E166" s="68" t="inlineStr">
        <is>
          <t>kr/tömning</t>
        </is>
      </c>
      <c r="F166" s="106" t="inlineStr">
        <is>
          <t>BRN03SLORD</t>
        </is>
      </c>
      <c r="G166" s="116">
        <f>IF($F166&lt;&gt;"",$F166,IFERROR(_xlfn.XLOOKUP(ROW(),Taxa_Saknas!$H:$H,Taxa_Saknas!$G:$G),""))</f>
        <v/>
      </c>
      <c r="H166" s="126">
        <f>IF($F166&lt;&gt;"",IFERROR(_xlfn.XLOOKUP($F166,Taxa_från_edp!$B:$B,Taxa_från_edp!C:C),""),"")</f>
        <v/>
      </c>
      <c r="I166" s="127">
        <f>IF($F166&lt;&gt;"",IFERROR(_xlfn.XLOOKUP($F166,Taxa_från_edp!$B:$B,Taxa_från_edp!G:G),""),"")</f>
        <v/>
      </c>
      <c r="J166" s="127">
        <f>IF($F166&lt;&gt;"",IFERROR(_xlfn.XLOOKUP($F166,Taxa_från_edp!$B:$B,Taxa_från_edp!K:K),""),"")</f>
        <v/>
      </c>
      <c r="K166" s="145" t="n"/>
      <c r="L166" s="146" t="n"/>
      <c r="M166" s="147">
        <f>IFERROR(IF(J166&lt;&gt;"",J166*1.25,IF(K166&lt;&gt;"",K166*1.25,"")),"")</f>
        <v/>
      </c>
      <c r="N166" s="148">
        <f>IFERROR(IF(J166&lt;&gt;"",L166*J166,IF(K166&lt;&gt;"",L166*K166,"")),"")</f>
        <v/>
      </c>
      <c r="O166" t="inlineStr">
        <is>
          <t>NEW_TAXA</t>
        </is>
      </c>
      <c r="P166" t="inlineStr">
        <is>
          <t>Ingen kandidat över granskningsgräns</t>
        </is>
      </c>
      <c r="Q16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7" ht="30" customHeight="1">
      <c r="A167" s="68" t="inlineStr">
        <is>
          <t>§3.1.1</t>
        </is>
      </c>
      <c r="B167" s="68" t="inlineStr">
        <is>
          <t>Ordinarie tömning slam</t>
        </is>
      </c>
      <c r="C167" s="68" t="inlineStr">
        <is>
          <t>Mellan 3 m3 och 6 m3</t>
        </is>
      </c>
      <c r="D167" s="68" t="n"/>
      <c r="E167" s="68" t="inlineStr">
        <is>
          <t>kr/tömning</t>
        </is>
      </c>
      <c r="F167" s="106" t="inlineStr">
        <is>
          <t>BDT36SLORD</t>
        </is>
      </c>
      <c r="G167" s="116">
        <f>IF($F167&lt;&gt;"",$F167,IFERROR(_xlfn.XLOOKUP(ROW(),Taxa_Saknas!$H:$H,Taxa_Saknas!$G:$G),""))</f>
        <v/>
      </c>
      <c r="H167" s="126">
        <f>IF($F167&lt;&gt;"",IFERROR(_xlfn.XLOOKUP($F167,Taxa_från_edp!$B:$B,Taxa_från_edp!C:C),""),"")</f>
        <v/>
      </c>
      <c r="I167" s="127">
        <f>IF($F167&lt;&gt;"",IFERROR(_xlfn.XLOOKUP($F167,Taxa_från_edp!$B:$B,Taxa_från_edp!G:G),""),"")</f>
        <v/>
      </c>
      <c r="J167" s="127">
        <f>IF($F167&lt;&gt;"",IFERROR(_xlfn.XLOOKUP($F167,Taxa_från_edp!$B:$B,Taxa_från_edp!K:K),""),"")</f>
        <v/>
      </c>
      <c r="K167" s="145" t="n"/>
      <c r="L167" s="146" t="n"/>
      <c r="M167" s="147">
        <f>IFERROR(IF(J167&lt;&gt;"",J167*1.25,IF(K167&lt;&gt;"",K167*1.25,"")),"")</f>
        <v/>
      </c>
      <c r="N167" s="148">
        <f>IFERROR(IF(J167&lt;&gt;"",L167*J167,IF(K167&lt;&gt;"",L167*K167,"")),"")</f>
        <v/>
      </c>
      <c r="O167" t="inlineStr">
        <is>
          <t>NEW_TAXA</t>
        </is>
      </c>
      <c r="P167" t="inlineStr">
        <is>
          <t>Ingen kandidat över granskningsgräns</t>
        </is>
      </c>
      <c r="Q1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8" ht="30" customHeight="1">
      <c r="A168" s="68" t="inlineStr">
        <is>
          <t>§3.1.1</t>
        </is>
      </c>
      <c r="B168" s="68" t="inlineStr">
        <is>
          <t>Ordinarie tömning slam</t>
        </is>
      </c>
      <c r="C168" s="68" t="inlineStr">
        <is>
          <t>Mellan 6 m3 och 9 m3</t>
        </is>
      </c>
      <c r="D168" s="68" t="n"/>
      <c r="E168" s="68" t="inlineStr">
        <is>
          <t>kr/tömning</t>
        </is>
      </c>
      <c r="F168" s="106" t="inlineStr">
        <is>
          <t>BRNÖ6SLORD</t>
        </is>
      </c>
      <c r="G168" s="116">
        <f>IF($F168&lt;&gt;"",$F168,IFERROR(_xlfn.XLOOKUP(ROW(),Taxa_Saknas!$H:$H,Taxa_Saknas!$G:$G),""))</f>
        <v/>
      </c>
      <c r="H168" s="126">
        <f>IF($F168&lt;&gt;"",IFERROR(_xlfn.XLOOKUP($F168,Taxa_från_edp!$B:$B,Taxa_från_edp!C:C),""),"")</f>
        <v/>
      </c>
      <c r="I168" s="127">
        <f>IF($F168&lt;&gt;"",IFERROR(_xlfn.XLOOKUP($F168,Taxa_från_edp!$B:$B,Taxa_från_edp!G:G),""),"")</f>
        <v/>
      </c>
      <c r="J168" s="127">
        <f>IF($F168&lt;&gt;"",IFERROR(_xlfn.XLOOKUP($F168,Taxa_från_edp!$B:$B,Taxa_från_edp!K:K),""),"")</f>
        <v/>
      </c>
      <c r="K168" s="145" t="n"/>
      <c r="L168" s="146" t="n"/>
      <c r="M168" s="147">
        <f>IFERROR(IF(J168&lt;&gt;"",J168*1.25,IF(K168&lt;&gt;"",K168*1.25,"")),"")</f>
        <v/>
      </c>
      <c r="N168" s="148">
        <f>IFERROR(IF(J168&lt;&gt;"",L168*J168,IF(K168&lt;&gt;"",L168*K168,"")),"")</f>
        <v/>
      </c>
      <c r="O168" t="inlineStr">
        <is>
          <t>NEW_TAXA</t>
        </is>
      </c>
      <c r="P168" t="inlineStr">
        <is>
          <t>Ingen kandidat över granskningsgräns</t>
        </is>
      </c>
      <c r="Q1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9" ht="30" customHeight="1">
      <c r="A169" s="68" t="inlineStr">
        <is>
          <t>§3.1.1</t>
        </is>
      </c>
      <c r="B169" s="68" t="inlineStr">
        <is>
          <t>Ordinarie tömning slam</t>
        </is>
      </c>
      <c r="C169" s="68" t="inlineStr">
        <is>
          <t>Tillägg per m3 över 9 m3</t>
        </is>
      </c>
      <c r="D169" s="68" t="n"/>
      <c r="E169" s="68" t="inlineStr">
        <is>
          <t>kr/m3</t>
        </is>
      </c>
      <c r="F169" s="107" t="n"/>
      <c r="G169" s="117">
        <f>IF($F169&lt;&gt;"",$F169,IFERROR(_xlfn.XLOOKUP(ROW(),Taxa_Saknas!$H:$H,Taxa_Saknas!$G:$G),""))</f>
        <v/>
      </c>
      <c r="H169" s="128">
        <f>IF($F169&lt;&gt;"",IFERROR(_xlfn.XLOOKUP($F169,Taxa_från_edp!$B:$B,Taxa_från_edp!C:C),""),"")</f>
        <v/>
      </c>
      <c r="I169" s="129">
        <f>IF($F169&lt;&gt;"",IFERROR(_xlfn.XLOOKUP($F169,Taxa_från_edp!$B:$B,Taxa_från_edp!G:G),""),"")</f>
        <v/>
      </c>
      <c r="J169" s="129">
        <f>IF($F169&lt;&gt;"",IFERROR(_xlfn.XLOOKUP($F169,Taxa_från_edp!$B:$B,Taxa_från_edp!K:K),""),"")</f>
        <v/>
      </c>
      <c r="K169" s="150" t="n"/>
      <c r="L169" s="151" t="n"/>
      <c r="M169" s="147">
        <f>IFERROR(IF(J169&lt;&gt;"",J169*1.25,IF(K169&lt;&gt;"",K169*1.25,"")),"")</f>
        <v/>
      </c>
      <c r="N169" s="148">
        <f>IFERROR(IF(J169&lt;&gt;"",L169*J169,IF(K169&lt;&gt;"",L169*K169,"")),"")</f>
        <v/>
      </c>
      <c r="O169" t="inlineStr">
        <is>
          <t>NEW_TAXA</t>
        </is>
      </c>
      <c r="P169" t="inlineStr">
        <is>
          <t>Ingen kandidat över granskningsgräns</t>
        </is>
      </c>
      <c r="Q1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0" ht="30" customHeight="1">
      <c r="A170" s="68" t="inlineStr">
        <is>
          <t>§3.1.1</t>
        </is>
      </c>
      <c r="B170" s="68" t="inlineStr">
        <is>
          <t>Ordinarie tömning slam</t>
        </is>
      </c>
      <c r="C170" s="68" t="inlineStr">
        <is>
          <t>Bad-, disk- och tvättbrunn upp till 3 m3</t>
        </is>
      </c>
      <c r="D170" s="68" t="n"/>
      <c r="E170" s="68" t="inlineStr">
        <is>
          <t>kr/tömning</t>
        </is>
      </c>
      <c r="F170" s="107" t="inlineStr">
        <is>
          <t>BDT03SLORD</t>
        </is>
      </c>
      <c r="G170" s="117">
        <f>IF($F170&lt;&gt;"",$F170,IFERROR(_xlfn.XLOOKUP(ROW(),Taxa_Saknas!$H:$H,Taxa_Saknas!$G:$G),""))</f>
        <v/>
      </c>
      <c r="H170" s="128">
        <f>IF($F170&lt;&gt;"",IFERROR(_xlfn.XLOOKUP($F170,Taxa_från_edp!$B:$B,Taxa_från_edp!C:C),""),"")</f>
        <v/>
      </c>
      <c r="I170" s="129">
        <f>IF($F170&lt;&gt;"",IFERROR(_xlfn.XLOOKUP($F170,Taxa_från_edp!$B:$B,Taxa_från_edp!G:G),""),"")</f>
        <v/>
      </c>
      <c r="J170" s="129">
        <f>IF($F170&lt;&gt;"",IFERROR(_xlfn.XLOOKUP($F170,Taxa_från_edp!$B:$B,Taxa_från_edp!K:K),""),"")</f>
        <v/>
      </c>
      <c r="K170" s="150" t="n"/>
      <c r="L170" s="151" t="n"/>
      <c r="M170" s="147">
        <f>IFERROR(IF(J170&lt;&gt;"",J170*1.25,IF(K170&lt;&gt;"",K170*1.25,"")),"")</f>
        <v/>
      </c>
      <c r="N170" s="148">
        <f>IFERROR(IF(J170&lt;&gt;"",L170*J170,IF(K170&lt;&gt;"",L170*K170,"")),"")</f>
        <v/>
      </c>
      <c r="O170" t="inlineStr">
        <is>
          <t>NEW_TAXA</t>
        </is>
      </c>
      <c r="P170" t="inlineStr">
        <is>
          <t>Ingen kandidat över granskningsgräns</t>
        </is>
      </c>
      <c r="Q1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1" ht="30" customHeight="1">
      <c r="A171" s="68" t="inlineStr">
        <is>
          <t>§3.1.1</t>
        </is>
      </c>
      <c r="B171" s="68" t="inlineStr">
        <is>
          <t>Ordinarie tömning slam</t>
        </is>
      </c>
      <c r="C171" s="100" t="inlineStr">
        <is>
          <t>Tilägg per m3 över 3m3</t>
        </is>
      </c>
      <c r="D171" s="68" t="n"/>
      <c r="E171" s="100" t="inlineStr">
        <is>
          <t>kr/m3</t>
        </is>
      </c>
      <c r="F171" s="107" t="n"/>
      <c r="G171" s="117">
        <f>IF($F171&lt;&gt;"",$F171,IFERROR(_xlfn.XLOOKUP(ROW(),Taxa_Saknas!$H:$H,Taxa_Saknas!$G:$G),""))</f>
        <v/>
      </c>
      <c r="H171" s="128">
        <f>IF($F171&lt;&gt;"",IFERROR(_xlfn.XLOOKUP($F171,Taxa_från_edp!$B:$B,Taxa_från_edp!C:C),""),"")</f>
        <v/>
      </c>
      <c r="I171" s="129">
        <f>IF($F171&lt;&gt;"",IFERROR(_xlfn.XLOOKUP($F171,Taxa_från_edp!$B:$B,Taxa_från_edp!G:G),""),"")</f>
        <v/>
      </c>
      <c r="J171" s="129">
        <f>IF($F171&lt;&gt;"",IFERROR(_xlfn.XLOOKUP($F171,Taxa_från_edp!$B:$B,Taxa_från_edp!K:K),""),"")</f>
        <v/>
      </c>
      <c r="K171" s="150" t="n"/>
      <c r="L171" s="151" t="n"/>
      <c r="M171" s="147">
        <f>IFERROR(IF(J171&lt;&gt;"",J171*1.25,IF(K171&lt;&gt;"",K171*1.25,"")),"")</f>
        <v/>
      </c>
      <c r="N171" s="148">
        <f>IFERROR(IF(J171&lt;&gt;"",L171*J171,IF(K171&lt;&gt;"",L171*K171,"")),"")</f>
        <v/>
      </c>
      <c r="O171" t="inlineStr">
        <is>
          <t>NEW_TAXA</t>
        </is>
      </c>
      <c r="P171" t="inlineStr">
        <is>
          <t>Ingen kandidat över granskningsgräns</t>
        </is>
      </c>
      <c r="Q1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2" ht="21.95" customHeight="1">
      <c r="A172" s="93" t="inlineStr">
        <is>
          <t>§3.2 Tilläggstjänster slam</t>
        </is>
      </c>
      <c r="B172" s="84" t="n"/>
      <c r="C172" s="84" t="n"/>
      <c r="D172" s="84" t="n"/>
      <c r="E172" s="85" t="n"/>
      <c r="F172" s="112" t="n"/>
      <c r="G172" s="120">
        <f>IF($F172&lt;&gt;"",$F172,IFERROR(_xlfn.XLOOKUP(ROW(),Taxa_Saknas!$H:$H,Taxa_Saknas!$G:$G),""))</f>
        <v/>
      </c>
      <c r="H172" s="120">
        <f>IF($F172&lt;&gt;"",IFERROR(_xlfn.XLOOKUP($F172,Taxa_från_edp!$B:$B,Taxa_från_edp!C:C),""),"")</f>
        <v/>
      </c>
      <c r="I172" s="120">
        <f>IF($F172&lt;&gt;"",IFERROR(_xlfn.XLOOKUP($F172,Taxa_från_edp!$B:$B,Taxa_från_edp!G:G),""),"")</f>
        <v/>
      </c>
      <c r="J172" s="120">
        <f>IF($F172&lt;&gt;"",IFERROR(_xlfn.XLOOKUP($F172,Taxa_från_edp!$B:$B,Taxa_från_edp!K:K),""),"")</f>
        <v/>
      </c>
      <c r="K172" s="120" t="n"/>
      <c r="L172" s="120" t="n"/>
      <c r="M172" s="120">
        <f>IFERROR(IF(J172&lt;&gt;"",J172*1.25,IF(K172&lt;&gt;"",K172*1.25,"")),"")</f>
        <v/>
      </c>
      <c r="N172" s="143">
        <f>IFERROR(IF(J172&lt;&gt;"",L172*J172,IF(K172&lt;&gt;"",L172*K172,"")),"")</f>
        <v/>
      </c>
      <c r="O172" t="inlineStr">
        <is>
          <t>NEW_TAXA</t>
        </is>
      </c>
      <c r="P172" t="inlineStr">
        <is>
          <t>Ingen kandidat över granskningsgräns</t>
        </is>
      </c>
      <c r="Q1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3" ht="21.95" customHeight="1">
      <c r="A173" s="83" t="inlineStr">
        <is>
          <t>§3.2.1 Tilläggstjänster slam</t>
        </is>
      </c>
      <c r="B173" s="84" t="n"/>
      <c r="C173" s="84" t="n"/>
      <c r="D173" s="84" t="n"/>
      <c r="E173" s="85" t="n"/>
      <c r="F173" s="113" t="n"/>
      <c r="G173" s="121">
        <f>IF($F173&lt;&gt;"",$F173,IFERROR(_xlfn.XLOOKUP(ROW(),Taxa_Saknas!$H:$H,Taxa_Saknas!$G:$G),""))</f>
        <v/>
      </c>
      <c r="H173" s="121">
        <f>IF($F173&lt;&gt;"",IFERROR(_xlfn.XLOOKUP($F173,Taxa_från_edp!$B:$B,Taxa_från_edp!C:C),""),"")</f>
        <v/>
      </c>
      <c r="I173" s="121">
        <f>IF($F173&lt;&gt;"",IFERROR(_xlfn.XLOOKUP($F173,Taxa_från_edp!$B:$B,Taxa_från_edp!G:G),""),"")</f>
        <v/>
      </c>
      <c r="J173" s="121">
        <f>IF($F173&lt;&gt;"",IFERROR(_xlfn.XLOOKUP($F173,Taxa_från_edp!$B:$B,Taxa_från_edp!K:K),""),"")</f>
        <v/>
      </c>
      <c r="K173" s="121" t="n"/>
      <c r="L173" s="121" t="n"/>
      <c r="M173" s="121">
        <f>IFERROR(IF(J173&lt;&gt;"",J173*1.25,IF(K173&lt;&gt;"",K173*1.25,"")),"")</f>
        <v/>
      </c>
      <c r="N173" s="144">
        <f>IFERROR(IF(J173&lt;&gt;"",L173*J173,IF(K173&lt;&gt;"",L173*K173,"")),"")</f>
        <v/>
      </c>
      <c r="O173" t="inlineStr">
        <is>
          <t>NEW_TAXA</t>
        </is>
      </c>
      <c r="P173" t="inlineStr">
        <is>
          <t>Ingen kandidat över granskningsgräns</t>
        </is>
      </c>
      <c r="Q17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4">
      <c r="A174" s="68" t="inlineStr">
        <is>
          <t>§3.2.1</t>
        </is>
      </c>
      <c r="B174" s="68" t="inlineStr">
        <is>
          <t>Tilläggstjänster slam</t>
        </is>
      </c>
      <c r="C174" s="68" t="inlineStr">
        <is>
          <t>Dragning av extra slang vid 5-25 m</t>
        </is>
      </c>
      <c r="D174" s="68" t="n"/>
      <c r="E174" s="68" t="inlineStr">
        <is>
          <t>kr/tillfälle</t>
        </is>
      </c>
      <c r="F174" s="106" t="n"/>
      <c r="G174" s="116">
        <f>IF($F174&lt;&gt;"",$F174,IFERROR(_xlfn.XLOOKUP(ROW(),Taxa_Saknas!$H:$H,Taxa_Saknas!$G:$G),""))</f>
        <v/>
      </c>
      <c r="H174" s="126">
        <f>IF($F174&lt;&gt;"",IFERROR(_xlfn.XLOOKUP($F174,Taxa_från_edp!$B:$B,Taxa_från_edp!C:C),""),"")</f>
        <v/>
      </c>
      <c r="I174" s="127">
        <f>IF($F174&lt;&gt;"",IFERROR(_xlfn.XLOOKUP($F174,Taxa_från_edp!$B:$B,Taxa_från_edp!G:G),""),"")</f>
        <v/>
      </c>
      <c r="J174" s="127">
        <f>IF($F174&lt;&gt;"",IFERROR(_xlfn.XLOOKUP($F174,Taxa_från_edp!$B:$B,Taxa_från_edp!K:K),""),"")</f>
        <v/>
      </c>
      <c r="K174" s="145" t="n"/>
      <c r="L174" s="146" t="n"/>
      <c r="M174" s="147">
        <f>IFERROR(IF(J174&lt;&gt;"",J174*1.25,IF(K174&lt;&gt;"",K174*1.25,"")),"")</f>
        <v/>
      </c>
      <c r="N174" s="148">
        <f>IFERROR(IF(J174&lt;&gt;"",L174*J174,IF(K174&lt;&gt;"",L174*K174,"")),"")</f>
        <v/>
      </c>
      <c r="O174" t="inlineStr">
        <is>
          <t>NEW_TAXA</t>
        </is>
      </c>
      <c r="P174" t="inlineStr">
        <is>
          <t>Ingen kandidat över granskningsgräns</t>
        </is>
      </c>
      <c r="Q17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5">
      <c r="A175" s="68" t="inlineStr">
        <is>
          <t>§3.2.1</t>
        </is>
      </c>
      <c r="B175" s="68" t="inlineStr">
        <is>
          <t>Tilläggstjänster slam</t>
        </is>
      </c>
      <c r="C175" s="68" t="inlineStr">
        <is>
          <t>Dragning av extra slang vid 25-35 m</t>
        </is>
      </c>
      <c r="D175" s="68" t="n"/>
      <c r="E175" s="68" t="inlineStr">
        <is>
          <t>kr/tillfälle</t>
        </is>
      </c>
      <c r="F175" s="106" t="n"/>
      <c r="G175" s="116">
        <f>IF($F175&lt;&gt;"",$F175,IFERROR(_xlfn.XLOOKUP(ROW(),Taxa_Saknas!$H:$H,Taxa_Saknas!$G:$G),""))</f>
        <v/>
      </c>
      <c r="H175" s="126">
        <f>IF($F175&lt;&gt;"",IFERROR(_xlfn.XLOOKUP($F175,Taxa_från_edp!$B:$B,Taxa_från_edp!C:C),""),"")</f>
        <v/>
      </c>
      <c r="I175" s="127">
        <f>IF($F175&lt;&gt;"",IFERROR(_xlfn.XLOOKUP($F175,Taxa_från_edp!$B:$B,Taxa_från_edp!G:G),""),"")</f>
        <v/>
      </c>
      <c r="J175" s="127">
        <f>IF($F175&lt;&gt;"",IFERROR(_xlfn.XLOOKUP($F175,Taxa_från_edp!$B:$B,Taxa_från_edp!K:K),""),"")</f>
        <v/>
      </c>
      <c r="K175" s="145" t="n"/>
      <c r="L175" s="146" t="n"/>
      <c r="M175" s="147">
        <f>IFERROR(IF(J175&lt;&gt;"",J175*1.25,IF(K175&lt;&gt;"",K175*1.25,"")),"")</f>
        <v/>
      </c>
      <c r="N175" s="148">
        <f>IFERROR(IF(J175&lt;&gt;"",L175*J175,IF(K175&lt;&gt;"",L175*K175,"")),"")</f>
        <v/>
      </c>
      <c r="O175" t="inlineStr">
        <is>
          <t>REVIEW_REQUIRED</t>
        </is>
      </c>
      <c r="P175" t="inlineStr">
        <is>
          <t>Bästa semantiska kandidat saknar taxekod</t>
        </is>
      </c>
      <c r="Q175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176">
      <c r="A176" s="68" t="inlineStr">
        <is>
          <t>§3.2.1</t>
        </is>
      </c>
      <c r="B176" s="68" t="inlineStr">
        <is>
          <t>Tilläggstjänster slam</t>
        </is>
      </c>
      <c r="C176" s="68" t="inlineStr">
        <is>
          <t>Dragning av extra slang vid 36-45 m</t>
        </is>
      </c>
      <c r="D176" s="68" t="n"/>
      <c r="E176" s="68" t="inlineStr">
        <is>
          <t>kr/tillfälle</t>
        </is>
      </c>
      <c r="F176" s="106" t="n"/>
      <c r="G176" s="116">
        <f>IF($F176&lt;&gt;"",$F176,IFERROR(_xlfn.XLOOKUP(ROW(),Taxa_Saknas!$H:$H,Taxa_Saknas!$G:$G),""))</f>
        <v/>
      </c>
      <c r="H176" s="126">
        <f>IF($F176&lt;&gt;"",IFERROR(_xlfn.XLOOKUP($F176,Taxa_från_edp!$B:$B,Taxa_från_edp!C:C),""),"")</f>
        <v/>
      </c>
      <c r="I176" s="127">
        <f>IF($F176&lt;&gt;"",IFERROR(_xlfn.XLOOKUP($F176,Taxa_från_edp!$B:$B,Taxa_från_edp!G:G),""),"")</f>
        <v/>
      </c>
      <c r="J176" s="127">
        <f>IF($F176&lt;&gt;"",IFERROR(_xlfn.XLOOKUP($F176,Taxa_från_edp!$B:$B,Taxa_från_edp!K:K),""),"")</f>
        <v/>
      </c>
      <c r="K176" s="145" t="n"/>
      <c r="L176" s="146" t="n"/>
      <c r="M176" s="147">
        <f>IFERROR(IF(J176&lt;&gt;"",J176*1.25,IF(K176&lt;&gt;"",K176*1.25,"")),"")</f>
        <v/>
      </c>
      <c r="N176" s="148">
        <f>IFERROR(IF(J176&lt;&gt;"",L176*J176,IF(K176&lt;&gt;"",L176*K176,"")),"")</f>
        <v/>
      </c>
      <c r="O176" t="inlineStr">
        <is>
          <t>NEW_TAXA</t>
        </is>
      </c>
      <c r="P176" t="inlineStr">
        <is>
          <t>Ingen kandidat över granskningsgräns</t>
        </is>
      </c>
      <c r="Q1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7">
      <c r="A177" s="68" t="inlineStr">
        <is>
          <t>§3.2.1</t>
        </is>
      </c>
      <c r="B177" s="68" t="inlineStr">
        <is>
          <t>Tilläggstjänster slam</t>
        </is>
      </c>
      <c r="C177" s="68" t="inlineStr">
        <is>
          <t>Dragning av extra slang vid 46-55 m</t>
        </is>
      </c>
      <c r="D177" s="68" t="n"/>
      <c r="E177" s="68" t="inlineStr">
        <is>
          <t>kr/tillfälle</t>
        </is>
      </c>
      <c r="F177" s="106" t="n"/>
      <c r="G177" s="116">
        <f>IF($F177&lt;&gt;"",$F177,IFERROR(_xlfn.XLOOKUP(ROW(),Taxa_Saknas!$H:$H,Taxa_Saknas!$G:$G),""))</f>
        <v/>
      </c>
      <c r="H177" s="126">
        <f>IF($F177&lt;&gt;"",IFERROR(_xlfn.XLOOKUP($F177,Taxa_från_edp!$B:$B,Taxa_från_edp!C:C),""),"")</f>
        <v/>
      </c>
      <c r="I177" s="127">
        <f>IF($F177&lt;&gt;"",IFERROR(_xlfn.XLOOKUP($F177,Taxa_från_edp!$B:$B,Taxa_från_edp!G:G),""),"")</f>
        <v/>
      </c>
      <c r="J177" s="127">
        <f>IF($F177&lt;&gt;"",IFERROR(_xlfn.XLOOKUP($F177,Taxa_från_edp!$B:$B,Taxa_från_edp!K:K),""),"")</f>
        <v/>
      </c>
      <c r="K177" s="145" t="n"/>
      <c r="L177" s="146" t="n"/>
      <c r="M177" s="147">
        <f>IFERROR(IF(J177&lt;&gt;"",J177*1.25,IF(K177&lt;&gt;"",K177*1.25,"")),"")</f>
        <v/>
      </c>
      <c r="N177" s="148">
        <f>IFERROR(IF(J177&lt;&gt;"",L177*J177,IF(K177&lt;&gt;"",L177*K177,"")),"")</f>
        <v/>
      </c>
      <c r="O177" t="inlineStr">
        <is>
          <t>NEW_TAXA</t>
        </is>
      </c>
      <c r="P177" t="inlineStr">
        <is>
          <t>Ingen kandidat över granskningsgräns</t>
        </is>
      </c>
      <c r="Q1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8">
      <c r="A178" s="68" t="inlineStr">
        <is>
          <t>§3.2.1</t>
        </is>
      </c>
      <c r="B178" s="68" t="inlineStr">
        <is>
          <t>Tilläggstjänster slam</t>
        </is>
      </c>
      <c r="C178" s="68" t="inlineStr">
        <is>
          <t>Hantering av brunnslock som väger 15-25 kg</t>
        </is>
      </c>
      <c r="D178" s="68" t="n"/>
      <c r="E178" s="68" t="inlineStr">
        <is>
          <t>kr/tillfälle</t>
        </is>
      </c>
      <c r="F178" s="106" t="n"/>
      <c r="G178" s="116">
        <f>IF($F178&lt;&gt;"",$F178,IFERROR(_xlfn.XLOOKUP(ROW(),Taxa_Saknas!$H:$H,Taxa_Saknas!$G:$G),""))</f>
        <v/>
      </c>
      <c r="H178" s="126">
        <f>IF($F178&lt;&gt;"",IFERROR(_xlfn.XLOOKUP($F178,Taxa_från_edp!$B:$B,Taxa_från_edp!C:C),""),"")</f>
        <v/>
      </c>
      <c r="I178" s="127">
        <f>IF($F178&lt;&gt;"",IFERROR(_xlfn.XLOOKUP($F178,Taxa_från_edp!$B:$B,Taxa_från_edp!G:G),""),"")</f>
        <v/>
      </c>
      <c r="J178" s="127">
        <f>IF($F178&lt;&gt;"",IFERROR(_xlfn.XLOOKUP($F178,Taxa_från_edp!$B:$B,Taxa_från_edp!K:K),""),"")</f>
        <v/>
      </c>
      <c r="K178" s="145" t="n"/>
      <c r="L178" s="146" t="n"/>
      <c r="M178" s="147">
        <f>IFERROR(IF(J178&lt;&gt;"",J178*1.25,IF(K178&lt;&gt;"",K178*1.25,"")),"")</f>
        <v/>
      </c>
      <c r="N178" s="148">
        <f>IFERROR(IF(J178&lt;&gt;"",L178*J178,IF(K178&lt;&gt;"",L178*K178,"")),"")</f>
        <v/>
      </c>
      <c r="O178" t="inlineStr">
        <is>
          <t>NEW_TAXA</t>
        </is>
      </c>
      <c r="P178" t="inlineStr">
        <is>
          <t>Ingen kandidat över granskningsgräns</t>
        </is>
      </c>
      <c r="Q17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9">
      <c r="A179" s="68" t="inlineStr">
        <is>
          <t>§3.2.1</t>
        </is>
      </c>
      <c r="B179" s="68" t="inlineStr">
        <is>
          <t>Tilläggstjänster slam</t>
        </is>
      </c>
      <c r="C179" s="68" t="inlineStr">
        <is>
          <t>Krav på information om tömningstid</t>
        </is>
      </c>
      <c r="D179" s="68" t="n"/>
      <c r="E179" s="68" t="inlineStr">
        <is>
          <t>kr/tillfälle</t>
        </is>
      </c>
      <c r="F179" s="106" t="n"/>
      <c r="G179" s="116">
        <f>IF($F179&lt;&gt;"",$F179,IFERROR(_xlfn.XLOOKUP(ROW(),Taxa_Saknas!$H:$H,Taxa_Saknas!$G:$G),""))</f>
        <v/>
      </c>
      <c r="H179" s="126">
        <f>IF($F179&lt;&gt;"",IFERROR(_xlfn.XLOOKUP($F179,Taxa_från_edp!$B:$B,Taxa_från_edp!C:C),""),"")</f>
        <v/>
      </c>
      <c r="I179" s="127">
        <f>IF($F179&lt;&gt;"",IFERROR(_xlfn.XLOOKUP($F179,Taxa_från_edp!$B:$B,Taxa_från_edp!G:G),""),"")</f>
        <v/>
      </c>
      <c r="J179" s="127">
        <f>IF($F179&lt;&gt;"",IFERROR(_xlfn.XLOOKUP($F179,Taxa_från_edp!$B:$B,Taxa_från_edp!K:K),""),"")</f>
        <v/>
      </c>
      <c r="K179" s="145" t="n"/>
      <c r="L179" s="146" t="n"/>
      <c r="M179" s="147">
        <f>IFERROR(IF(J179&lt;&gt;"",J179*1.25,IF(K179&lt;&gt;"",K179*1.25,"")),"")</f>
        <v/>
      </c>
      <c r="N179" s="148">
        <f>IFERROR(IF(J179&lt;&gt;"",L179*J179,IF(K179&lt;&gt;"",L179*K179,"")),"")</f>
        <v/>
      </c>
      <c r="O179" t="inlineStr">
        <is>
          <t>NEW_TAXA</t>
        </is>
      </c>
      <c r="P179" t="inlineStr">
        <is>
          <t>Ingen kandidat över granskningsgräns</t>
        </is>
      </c>
      <c r="Q17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0" ht="45" customHeight="1">
      <c r="A180" s="68" t="inlineStr">
        <is>
          <t>§3.2.1</t>
        </is>
      </c>
      <c r="B180" s="68" t="inlineStr">
        <is>
          <t>Tilläggstjänster slam</t>
        </is>
      </c>
      <c r="C180" s="68" t="inlineStr">
        <is>
          <t>Krav på närvaro vid specificerad tömningstid</t>
        </is>
      </c>
      <c r="D180" s="68" t="n"/>
      <c r="E180" s="68" t="inlineStr">
        <is>
          <t>kr/tillfälle</t>
        </is>
      </c>
      <c r="F180" s="106" t="n"/>
      <c r="G180" s="116">
        <f>IF($F180&lt;&gt;"",$F180,IFERROR(_xlfn.XLOOKUP(ROW(),Taxa_Saknas!$H:$H,Taxa_Saknas!$G:$G),""))</f>
        <v/>
      </c>
      <c r="H180" s="126">
        <f>IF($F180&lt;&gt;"",IFERROR(_xlfn.XLOOKUP($F180,Taxa_från_edp!$B:$B,Taxa_från_edp!C:C),""),"")</f>
        <v/>
      </c>
      <c r="I180" s="127">
        <f>IF($F180&lt;&gt;"",IFERROR(_xlfn.XLOOKUP($F180,Taxa_från_edp!$B:$B,Taxa_från_edp!G:G),""),"")</f>
        <v/>
      </c>
      <c r="J180" s="127">
        <f>IF($F180&lt;&gt;"",IFERROR(_xlfn.XLOOKUP($F180,Taxa_från_edp!$B:$B,Taxa_från_edp!K:K),""),"")</f>
        <v/>
      </c>
      <c r="K180" s="145" t="n"/>
      <c r="L180" s="146" t="n"/>
      <c r="M180" s="147">
        <f>IFERROR(IF(J180&lt;&gt;"",J180*1.25,IF(K180&lt;&gt;"",K180*1.25,"")),"")</f>
        <v/>
      </c>
      <c r="N180" s="148">
        <f>IFERROR(IF(J180&lt;&gt;"",L180*J180,IF(K180&lt;&gt;"",L180*K180,"")),"")</f>
        <v/>
      </c>
      <c r="O180" t="inlineStr">
        <is>
          <t>NEW_TAXA</t>
        </is>
      </c>
      <c r="P180" t="inlineStr">
        <is>
          <t>Ingen kandidat över granskningsgräns</t>
        </is>
      </c>
      <c r="Q18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1" ht="30" customHeight="1">
      <c r="A181" s="68" t="inlineStr">
        <is>
          <t>§3.2.1</t>
        </is>
      </c>
      <c r="B181" s="68" t="inlineStr">
        <is>
          <t>Tilläggstjänster slam</t>
        </is>
      </c>
      <c r="C181" s="68" t="inlineStr">
        <is>
          <t>Hantering av kod för kodlås vid slamtömning</t>
        </is>
      </c>
      <c r="D181" s="68" t="n"/>
      <c r="E181" s="68" t="inlineStr">
        <is>
          <t>kr/tillfälle</t>
        </is>
      </c>
      <c r="F181" s="106" t="n"/>
      <c r="G181" s="116">
        <f>IF($F181&lt;&gt;"",$F181,IFERROR(_xlfn.XLOOKUP(ROW(),Taxa_Saknas!$H:$H,Taxa_Saknas!$G:$G),""))</f>
        <v/>
      </c>
      <c r="H181" s="126">
        <f>IF($F181&lt;&gt;"",IFERROR(_xlfn.XLOOKUP($F181,Taxa_från_edp!$B:$B,Taxa_från_edp!C:C),""),"")</f>
        <v/>
      </c>
      <c r="I181" s="127">
        <f>IF($F181&lt;&gt;"",IFERROR(_xlfn.XLOOKUP($F181,Taxa_från_edp!$B:$B,Taxa_från_edp!G:G),""),"")</f>
        <v/>
      </c>
      <c r="J181" s="127">
        <f>IF($F181&lt;&gt;"",IFERROR(_xlfn.XLOOKUP($F181,Taxa_från_edp!$B:$B,Taxa_från_edp!K:K),""),"")</f>
        <v/>
      </c>
      <c r="K181" s="145" t="n"/>
      <c r="L181" s="146" t="n"/>
      <c r="M181" s="147">
        <f>IFERROR(IF(J181&lt;&gt;"",J181*1.25,IF(K181&lt;&gt;"",K181*1.25,"")),"")</f>
        <v/>
      </c>
      <c r="N181" s="148">
        <f>IFERROR(IF(J181&lt;&gt;"",L181*J181,IF(K181&lt;&gt;"",L181*K181,"")),"")</f>
        <v/>
      </c>
      <c r="O181" t="inlineStr">
        <is>
          <t>NEW_TAXA</t>
        </is>
      </c>
      <c r="P181" t="inlineStr">
        <is>
          <t>Ingen kandidat över granskningsgräns</t>
        </is>
      </c>
      <c r="Q1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2">
      <c r="A182" s="68" t="inlineStr">
        <is>
          <t>§3.2.1</t>
        </is>
      </c>
      <c r="B182" s="68" t="inlineStr">
        <is>
          <t>Tilläggstjänster slam</t>
        </is>
      </c>
      <c r="C182" s="68" t="inlineStr">
        <is>
          <t>Hetvattentvätt med spolbil, timersättning</t>
        </is>
      </c>
      <c r="D182" s="68" t="n"/>
      <c r="E182" s="68" t="inlineStr">
        <is>
          <t>kr/tillfälle</t>
        </is>
      </c>
      <c r="F182" s="107" t="n"/>
      <c r="G182" s="117">
        <f>IF($F182&lt;&gt;"",$F182,IFERROR(_xlfn.XLOOKUP(ROW(),Taxa_Saknas!$H:$H,Taxa_Saknas!$G:$G),""))</f>
        <v/>
      </c>
      <c r="H182" s="128">
        <f>IF($F182&lt;&gt;"",IFERROR(_xlfn.XLOOKUP($F182,Taxa_från_edp!$B:$B,Taxa_från_edp!C:C),""),"")</f>
        <v/>
      </c>
      <c r="I182" s="129">
        <f>IF($F182&lt;&gt;"",IFERROR(_xlfn.XLOOKUP($F182,Taxa_från_edp!$B:$B,Taxa_från_edp!G:G),""),"")</f>
        <v/>
      </c>
      <c r="J182" s="129">
        <f>IF($F182&lt;&gt;"",IFERROR(_xlfn.XLOOKUP($F182,Taxa_från_edp!$B:$B,Taxa_från_edp!K:K),""),"")</f>
        <v/>
      </c>
      <c r="K182" s="150" t="n"/>
      <c r="L182" s="151" t="n"/>
      <c r="M182" s="147">
        <f>IFERROR(IF(J182&lt;&gt;"",J182*1.25,IF(K182&lt;&gt;"",K182*1.25,"")),"")</f>
        <v/>
      </c>
      <c r="N182" s="148">
        <f>IFERROR(IF(J182&lt;&gt;"",L182*J182,IF(K182&lt;&gt;"",L182*K182,"")),"")</f>
        <v/>
      </c>
      <c r="O182" t="inlineStr">
        <is>
          <t>NEW_TAXA</t>
        </is>
      </c>
      <c r="P182" t="inlineStr">
        <is>
          <t>Ingen kandidat över granskningsgräns</t>
        </is>
      </c>
      <c r="Q18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3" ht="45" customHeight="1">
      <c r="A183" s="68" t="inlineStr">
        <is>
          <t>§3.2.1</t>
        </is>
      </c>
      <c r="B183" s="68" t="inlineStr">
        <is>
          <t>Tilläggstjänster slam</t>
        </is>
      </c>
      <c r="C183" s="68" t="inlineStr">
        <is>
          <t>Avgift om tömning ej kan utföras pga. hinder, bristande transportväg, betonglock, lock tyngre än 25 kg eller vägran</t>
        </is>
      </c>
      <c r="D183" s="68" t="n"/>
      <c r="E183" s="68" t="inlineStr">
        <is>
          <t>kr/tillfälle</t>
        </is>
      </c>
      <c r="F183" s="107" t="n"/>
      <c r="G183" s="117">
        <f>IF($F183&lt;&gt;"",$F183,IFERROR(_xlfn.XLOOKUP(ROW(),Taxa_Saknas!$H:$H,Taxa_Saknas!$G:$G),""))</f>
        <v/>
      </c>
      <c r="H183" s="128">
        <f>IF($F183&lt;&gt;"",IFERROR(_xlfn.XLOOKUP($F183,Taxa_från_edp!$B:$B,Taxa_från_edp!C:C),""),"")</f>
        <v/>
      </c>
      <c r="I183" s="129">
        <f>IF($F183&lt;&gt;"",IFERROR(_xlfn.XLOOKUP($F183,Taxa_från_edp!$B:$B,Taxa_från_edp!G:G),""),"")</f>
        <v/>
      </c>
      <c r="J183" s="129">
        <f>IF($F183&lt;&gt;"",IFERROR(_xlfn.XLOOKUP($F183,Taxa_från_edp!$B:$B,Taxa_från_edp!K:K),""),"")</f>
        <v/>
      </c>
      <c r="K183" s="150" t="n"/>
      <c r="L183" s="151" t="n"/>
      <c r="M183" s="147">
        <f>IFERROR(IF(J183&lt;&gt;"",J183*1.25,IF(K183&lt;&gt;"",K183*1.25,"")),"")</f>
        <v/>
      </c>
      <c r="N183" s="148">
        <f>IFERROR(IF(J183&lt;&gt;"",L183*J183,IF(K183&lt;&gt;"",L183*K183,"")),"")</f>
        <v/>
      </c>
      <c r="O183" t="inlineStr">
        <is>
          <t>NEW_TAXA</t>
        </is>
      </c>
      <c r="P183" t="inlineStr">
        <is>
          <t>Ingen kandidat över granskningsgräns</t>
        </is>
      </c>
      <c r="Q18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4" ht="30" customHeight="1">
      <c r="A184" s="68" t="inlineStr">
        <is>
          <t>§3.2.1</t>
        </is>
      </c>
      <c r="B184" s="68" t="inlineStr">
        <is>
          <t>Tilläggstjänster slam</t>
        </is>
      </c>
      <c r="C184" s="68" t="inlineStr">
        <is>
          <t>Tömning av extra tank/brunn i samband med ordinarie/budad tömning upp till 5 m3</t>
        </is>
      </c>
      <c r="D184" s="68" t="n"/>
      <c r="E184" s="68" t="inlineStr">
        <is>
          <t>kr/tillfälle</t>
        </is>
      </c>
      <c r="F184" s="106" t="n"/>
      <c r="G184" s="116">
        <f>IF($F184&lt;&gt;"",$F184,IFERROR(_xlfn.XLOOKUP(ROW(),Taxa_Saknas!$H:$H,Taxa_Saknas!$G:$G),""))</f>
        <v/>
      </c>
      <c r="H184" s="126">
        <f>IF($F184&lt;&gt;"",IFERROR(_xlfn.XLOOKUP($F184,Taxa_från_edp!$B:$B,Taxa_från_edp!C:C),""),"")</f>
        <v/>
      </c>
      <c r="I184" s="127">
        <f>IF($F184&lt;&gt;"",IFERROR(_xlfn.XLOOKUP($F184,Taxa_från_edp!$B:$B,Taxa_från_edp!G:G),""),"")</f>
        <v/>
      </c>
      <c r="J184" s="127">
        <f>IF($F184&lt;&gt;"",IFERROR(_xlfn.XLOOKUP($F184,Taxa_från_edp!$B:$B,Taxa_från_edp!K:K),""),"")</f>
        <v/>
      </c>
      <c r="K184" s="145" t="n"/>
      <c r="L184" s="146" t="n"/>
      <c r="M184" s="147">
        <f>IFERROR(IF(J184&lt;&gt;"",J184*1.25,IF(K184&lt;&gt;"",K184*1.25,"")),"")</f>
        <v/>
      </c>
      <c r="N184" s="148">
        <f>IFERROR(IF(J184&lt;&gt;"",L184*J184,IF(K184&lt;&gt;"",L184*K184,"")),"")</f>
        <v/>
      </c>
      <c r="O184" t="inlineStr">
        <is>
          <t>NEW_TAXA</t>
        </is>
      </c>
      <c r="P184" t="inlineStr">
        <is>
          <t>Ingen kandidat över granskningsgräns</t>
        </is>
      </c>
      <c r="Q18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5" ht="21.95" customHeight="1">
      <c r="A185" s="93" t="inlineStr">
        <is>
          <t>§3.3 Övriga avgifter och tillägg slam</t>
        </is>
      </c>
      <c r="B185" s="84" t="n"/>
      <c r="C185" s="84" t="n"/>
      <c r="D185" s="84" t="n"/>
      <c r="E185" s="85" t="n"/>
      <c r="F185" s="112" t="n"/>
      <c r="G185" s="120">
        <f>IF($F185&lt;&gt;"",$F185,IFERROR(_xlfn.XLOOKUP(ROW(),Taxa_Saknas!$H:$H,Taxa_Saknas!$G:$G),""))</f>
        <v/>
      </c>
      <c r="H185" s="120">
        <f>IF($F185&lt;&gt;"",IFERROR(_xlfn.XLOOKUP($F185,Taxa_från_edp!$B:$B,Taxa_från_edp!C:C),""),"")</f>
        <v/>
      </c>
      <c r="I185" s="120">
        <f>IF($F185&lt;&gt;"",IFERROR(_xlfn.XLOOKUP($F185,Taxa_från_edp!$B:$B,Taxa_från_edp!G:G),""),"")</f>
        <v/>
      </c>
      <c r="J185" s="120">
        <f>IF($F185&lt;&gt;"",IFERROR(_xlfn.XLOOKUP($F185,Taxa_från_edp!$B:$B,Taxa_från_edp!K:K),""),"")</f>
        <v/>
      </c>
      <c r="K185" s="120" t="n"/>
      <c r="L185" s="120" t="n"/>
      <c r="M185" s="120">
        <f>IFERROR(IF(J185&lt;&gt;"",J185*1.25,IF(K185&lt;&gt;"",K185*1.25,"")),"")</f>
        <v/>
      </c>
      <c r="N185" s="143">
        <f>IFERROR(IF(J185&lt;&gt;"",L185*J185,IF(K185&lt;&gt;"",L185*K185,"")),"")</f>
        <v/>
      </c>
      <c r="O185" t="inlineStr">
        <is>
          <t>NEW_TAXA</t>
        </is>
      </c>
      <c r="P185" t="inlineStr">
        <is>
          <t>Ingen kandidat över granskningsgräns</t>
        </is>
      </c>
      <c r="Q1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6" ht="21.95" customHeight="1">
      <c r="A186" s="83" t="inlineStr">
        <is>
          <t>§3.3.1 Budningskostnad av brunn och tank</t>
        </is>
      </c>
      <c r="B186" s="84" t="n"/>
      <c r="C186" s="84" t="n"/>
      <c r="D186" s="84" t="n"/>
      <c r="E186" s="85" t="n"/>
      <c r="F186" s="113" t="n"/>
      <c r="G186" s="121">
        <f>IF($F186&lt;&gt;"",$F186,IFERROR(_xlfn.XLOOKUP(ROW(),Taxa_Saknas!$H:$H,Taxa_Saknas!$G:$G),""))</f>
        <v/>
      </c>
      <c r="H186" s="121">
        <f>IF($F186&lt;&gt;"",IFERROR(_xlfn.XLOOKUP($F186,Taxa_från_edp!$B:$B,Taxa_från_edp!C:C),""),"")</f>
        <v/>
      </c>
      <c r="I186" s="121">
        <f>IF($F186&lt;&gt;"",IFERROR(_xlfn.XLOOKUP($F186,Taxa_från_edp!$B:$B,Taxa_från_edp!G:G),""),"")</f>
        <v/>
      </c>
      <c r="J186" s="121">
        <f>IF($F186&lt;&gt;"",IFERROR(_xlfn.XLOOKUP($F186,Taxa_från_edp!$B:$B,Taxa_från_edp!K:K),""),"")</f>
        <v/>
      </c>
      <c r="K186" s="121" t="n"/>
      <c r="L186" s="121" t="n"/>
      <c r="M186" s="121">
        <f>IFERROR(IF(J186&lt;&gt;"",J186*1.25,IF(K186&lt;&gt;"",K186*1.25,"")),"")</f>
        <v/>
      </c>
      <c r="N186" s="144">
        <f>IFERROR(IF(J186&lt;&gt;"",L186*J186,IF(K186&lt;&gt;"",L186*K186,"")),"")</f>
        <v/>
      </c>
      <c r="O186" t="inlineStr">
        <is>
          <t>NEW_TAXA</t>
        </is>
      </c>
      <c r="P186" t="inlineStr">
        <is>
          <t>Ingen kandidat över granskningsgräns</t>
        </is>
      </c>
      <c r="Q1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7" ht="30" customHeight="1">
      <c r="A187" s="68" t="inlineStr">
        <is>
          <t>§3.3.1</t>
        </is>
      </c>
      <c r="B187" s="68" t="inlineStr">
        <is>
          <t>Övriga avgifter och tillägg slam</t>
        </is>
      </c>
      <c r="C187" s="68" t="inlineStr">
        <is>
          <t>Budning inom ordinarie tömningsperiod (1 maj- 31 oktober)</t>
        </is>
      </c>
      <c r="D187" s="68" t="inlineStr">
        <is>
          <t>Inom 24 timmar</t>
        </is>
      </c>
      <c r="E187" s="68" t="inlineStr">
        <is>
          <t>kr/tillfälle</t>
        </is>
      </c>
      <c r="F187" s="106" t="n"/>
      <c r="G187" s="116">
        <f>IF($F187&lt;&gt;"",$F187,IFERROR(_xlfn.XLOOKUP(ROW(),Taxa_Saknas!$H:$H,Taxa_Saknas!$G:$G),""))</f>
        <v/>
      </c>
      <c r="H187" s="126">
        <f>IF($F187&lt;&gt;"",IFERROR(_xlfn.XLOOKUP($F187,Taxa_från_edp!$B:$B,Taxa_från_edp!C:C),""),"")</f>
        <v/>
      </c>
      <c r="I187" s="127">
        <f>IF($F187&lt;&gt;"",IFERROR(_xlfn.XLOOKUP($F187,Taxa_från_edp!$B:$B,Taxa_från_edp!G:G),""),"")</f>
        <v/>
      </c>
      <c r="J187" s="127">
        <f>IF($F187&lt;&gt;"",IFERROR(_xlfn.XLOOKUP($F187,Taxa_från_edp!$B:$B,Taxa_från_edp!K:K),""),"")</f>
        <v/>
      </c>
      <c r="K187" s="145" t="n"/>
      <c r="L187" s="146" t="n"/>
      <c r="M187" s="147">
        <f>IFERROR(IF(J187&lt;&gt;"",J187*1.25,IF(K187&lt;&gt;"",K187*1.25,"")),"")</f>
        <v/>
      </c>
      <c r="N187" s="148">
        <f>IFERROR(IF(J187&lt;&gt;"",L187*J187,IF(K187&lt;&gt;"",L187*K187,"")),"")</f>
        <v/>
      </c>
      <c r="O187" t="inlineStr">
        <is>
          <t>NEW_TAXA</t>
        </is>
      </c>
      <c r="P187" t="inlineStr">
        <is>
          <t>Ingen kandidat över granskningsgräns</t>
        </is>
      </c>
      <c r="Q18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8" ht="30" customHeight="1">
      <c r="A188" s="68" t="inlineStr">
        <is>
          <t>§3.3.1</t>
        </is>
      </c>
      <c r="B188" s="68" t="inlineStr">
        <is>
          <t>Övriga avgifter och tillägg slam</t>
        </is>
      </c>
      <c r="C188" s="68" t="inlineStr">
        <is>
          <t>Budning utanför ordinarie tömningsperiod (1 nov – 30 april)</t>
        </is>
      </c>
      <c r="D188" s="68" t="inlineStr">
        <is>
          <t>Inom 24 timmar</t>
        </is>
      </c>
      <c r="E188" s="68" t="inlineStr">
        <is>
          <t>kr/tillfälle</t>
        </is>
      </c>
      <c r="F188" s="106" t="inlineStr">
        <is>
          <t>AKUT</t>
        </is>
      </c>
      <c r="G188" s="116">
        <f>IF($F188&lt;&gt;"",$F188,IFERROR(_xlfn.XLOOKUP(ROW(),Taxa_Saknas!$H:$H,Taxa_Saknas!$G:$G),""))</f>
        <v/>
      </c>
      <c r="H188" s="126">
        <f>IF($F188&lt;&gt;"",IFERROR(_xlfn.XLOOKUP($F188,Taxa_från_edp!$B:$B,Taxa_från_edp!C:C),""),"")</f>
        <v/>
      </c>
      <c r="I188" s="127">
        <f>IF($F188&lt;&gt;"",IFERROR(_xlfn.XLOOKUP($F188,Taxa_från_edp!$B:$B,Taxa_från_edp!G:G),""),"")</f>
        <v/>
      </c>
      <c r="J188" s="127">
        <f>IF($F188&lt;&gt;"",IFERROR(_xlfn.XLOOKUP($F188,Taxa_från_edp!$B:$B,Taxa_från_edp!K:K),""),"")</f>
        <v/>
      </c>
      <c r="K188" s="145" t="n"/>
      <c r="L188" s="146" t="n"/>
      <c r="M188" s="147">
        <f>IFERROR(IF(J188&lt;&gt;"",J188*1.25,IF(K188&lt;&gt;"",K188*1.25,"")),"")</f>
        <v/>
      </c>
      <c r="N188" s="148">
        <f>IFERROR(IF(J188&lt;&gt;"",L188*J188,IF(K188&lt;&gt;"",L188*K188,"")),"")</f>
        <v/>
      </c>
      <c r="O188" t="inlineStr">
        <is>
          <t>NEW_TAXA</t>
        </is>
      </c>
      <c r="P188" t="inlineStr">
        <is>
          <t>Ingen kandidat över granskningsgräns</t>
        </is>
      </c>
      <c r="Q18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9" ht="30" customHeight="1">
      <c r="A189" s="68" t="inlineStr">
        <is>
          <t>§3.3.1</t>
        </is>
      </c>
      <c r="B189" s="68" t="inlineStr">
        <is>
          <t>Övriga avgifter och tillägg slam</t>
        </is>
      </c>
      <c r="C189" s="68" t="inlineStr">
        <is>
          <t>Budning inom ordinarie tömningsperiod (1 maj- 31 oktober)</t>
        </is>
      </c>
      <c r="D189" s="68" t="inlineStr">
        <is>
          <t>Inom 7 arbetsdagar</t>
        </is>
      </c>
      <c r="E189" s="68" t="inlineStr">
        <is>
          <t>kr/tillfälle</t>
        </is>
      </c>
      <c r="F189" s="106" t="n"/>
      <c r="G189" s="116">
        <f>IF($F189&lt;&gt;"",$F189,IFERROR(_xlfn.XLOOKUP(ROW(),Taxa_Saknas!$H:$H,Taxa_Saknas!$G:$G),""))</f>
        <v/>
      </c>
      <c r="H189" s="126">
        <f>IF($F189&lt;&gt;"",IFERROR(_xlfn.XLOOKUP($F189,Taxa_från_edp!$B:$B,Taxa_från_edp!C:C),""),"")</f>
        <v/>
      </c>
      <c r="I189" s="127">
        <f>IF($F189&lt;&gt;"",IFERROR(_xlfn.XLOOKUP($F189,Taxa_från_edp!$B:$B,Taxa_från_edp!G:G),""),"")</f>
        <v/>
      </c>
      <c r="J189" s="127">
        <f>IF($F189&lt;&gt;"",IFERROR(_xlfn.XLOOKUP($F189,Taxa_från_edp!$B:$B,Taxa_från_edp!K:K),""),"")</f>
        <v/>
      </c>
      <c r="K189" s="145" t="n"/>
      <c r="L189" s="146" t="n"/>
      <c r="M189" s="147">
        <f>IFERROR(IF(J189&lt;&gt;"",J189*1.25,IF(K189&lt;&gt;"",K189*1.25,"")),"")</f>
        <v/>
      </c>
      <c r="N189" s="148">
        <f>IFERROR(IF(J189&lt;&gt;"",L189*J189,IF(K189&lt;&gt;"",L189*K189,"")),"")</f>
        <v/>
      </c>
      <c r="O189" t="inlineStr">
        <is>
          <t>NEW_TAXA</t>
        </is>
      </c>
      <c r="P189" t="inlineStr">
        <is>
          <t>Ingen kandidat över granskningsgräns</t>
        </is>
      </c>
      <c r="Q18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0" ht="30" customHeight="1">
      <c r="A190" s="68" t="inlineStr">
        <is>
          <t>§3.3.1</t>
        </is>
      </c>
      <c r="B190" s="68" t="inlineStr">
        <is>
          <t>Övriga avgifter och tillägg slam</t>
        </is>
      </c>
      <c r="C190" s="68" t="inlineStr">
        <is>
          <t>Budning utanför ordinarie tömningsperiod (1 nov – 30 april)</t>
        </is>
      </c>
      <c r="D190" s="68" t="inlineStr">
        <is>
          <t>Inom 7 arbetsdagar</t>
        </is>
      </c>
      <c r="E190" s="68" t="inlineStr">
        <is>
          <t>kr/tillfälle</t>
        </is>
      </c>
      <c r="F190" s="106" t="n"/>
      <c r="G190" s="116">
        <f>IF($F190&lt;&gt;"",$F190,IFERROR(_xlfn.XLOOKUP(ROW(),Taxa_Saknas!$H:$H,Taxa_Saknas!$G:$G),""))</f>
        <v/>
      </c>
      <c r="H190" s="126">
        <f>IF($F190&lt;&gt;"",IFERROR(_xlfn.XLOOKUP($F190,Taxa_från_edp!$B:$B,Taxa_från_edp!C:C),""),"")</f>
        <v/>
      </c>
      <c r="I190" s="127">
        <f>IF($F190&lt;&gt;"",IFERROR(_xlfn.XLOOKUP($F190,Taxa_från_edp!$B:$B,Taxa_från_edp!G:G),""),"")</f>
        <v/>
      </c>
      <c r="J190" s="127">
        <f>IF($F190&lt;&gt;"",IFERROR(_xlfn.XLOOKUP($F190,Taxa_från_edp!$B:$B,Taxa_från_edp!K:K),""),"")</f>
        <v/>
      </c>
      <c r="K190" s="145" t="n"/>
      <c r="L190" s="146" t="n"/>
      <c r="M190" s="147">
        <f>IFERROR(IF(J190&lt;&gt;"",J190*1.25,IF(K190&lt;&gt;"",K190*1.25,"")),"")</f>
        <v/>
      </c>
      <c r="N190" s="148">
        <f>IFERROR(IF(J190&lt;&gt;"",L190*J190,IF(K190&lt;&gt;"",L190*K190,"")),"")</f>
        <v/>
      </c>
      <c r="O190" t="inlineStr">
        <is>
          <t>NEW_TAXA</t>
        </is>
      </c>
      <c r="P190" t="inlineStr">
        <is>
          <t>Ingen kandidat över granskningsgräns</t>
        </is>
      </c>
      <c r="Q19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1" ht="21.95" customHeight="1">
      <c r="A191" s="83" t="inlineStr">
        <is>
          <t>§3.3.2 Budningskostnad av brunn och tank</t>
        </is>
      </c>
      <c r="B191" s="84" t="n"/>
      <c r="C191" s="84" t="n"/>
      <c r="D191" s="84" t="n"/>
      <c r="E191" s="85" t="n"/>
      <c r="F191" s="113" t="n"/>
      <c r="G191" s="121">
        <f>IF($F191&lt;&gt;"",$F191,IFERROR(_xlfn.XLOOKUP(ROW(),Taxa_Saknas!$H:$H,Taxa_Saknas!$G:$G),""))</f>
        <v/>
      </c>
      <c r="H191" s="121">
        <f>IF($F191&lt;&gt;"",IFERROR(_xlfn.XLOOKUP($F191,Taxa_från_edp!$B:$B,Taxa_från_edp!C:C),""),"")</f>
        <v/>
      </c>
      <c r="I191" s="121">
        <f>IF($F191&lt;&gt;"",IFERROR(_xlfn.XLOOKUP($F191,Taxa_från_edp!$B:$B,Taxa_från_edp!G:G),""),"")</f>
        <v/>
      </c>
      <c r="J191" s="121">
        <f>IF($F191&lt;&gt;"",IFERROR(_xlfn.XLOOKUP($F191,Taxa_från_edp!$B:$B,Taxa_från_edp!K:K),""),"")</f>
        <v/>
      </c>
      <c r="K191" s="121" t="n"/>
      <c r="L191" s="121" t="n"/>
      <c r="M191" s="121">
        <f>IFERROR(IF(J191&lt;&gt;"",J191*1.25,IF(K191&lt;&gt;"",K191*1.25,"")),"")</f>
        <v/>
      </c>
      <c r="N191" s="144">
        <f>IFERROR(IF(J191&lt;&gt;"",L191*J191,IF(K191&lt;&gt;"",L191*K191,"")),"")</f>
        <v/>
      </c>
      <c r="O191" t="inlineStr">
        <is>
          <t>NEW_TAXA</t>
        </is>
      </c>
      <c r="P191" t="inlineStr">
        <is>
          <t>Ingen kandidat över granskningsgräns</t>
        </is>
      </c>
      <c r="Q19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2" ht="30" customHeight="1">
      <c r="A192" s="68" t="inlineStr">
        <is>
          <t>§3.3.2</t>
        </is>
      </c>
      <c r="B192" s="68" t="inlineStr">
        <is>
          <t>Övriga avgifter och tillägg slam</t>
        </is>
      </c>
      <c r="C192" s="68" t="inlineStr">
        <is>
          <t>Tömning av toalettvagnar eller liknande</t>
        </is>
      </c>
      <c r="D192" s="68" t="n"/>
      <c r="E192" s="68" t="inlineStr">
        <is>
          <t>kr/tillfälle</t>
        </is>
      </c>
      <c r="F192" s="107" t="n"/>
      <c r="G192" s="117">
        <f>IF($F192&lt;&gt;"",$F192,IFERROR(_xlfn.XLOOKUP(ROW(),Taxa_Saknas!$H:$H,Taxa_Saknas!$G:$G),""))</f>
        <v/>
      </c>
      <c r="H192" s="128">
        <f>IF($F192&lt;&gt;"",IFERROR(_xlfn.XLOOKUP($F192,Taxa_från_edp!$B:$B,Taxa_från_edp!C:C),""),"")</f>
        <v/>
      </c>
      <c r="I192" s="129">
        <f>IF($F192&lt;&gt;"",IFERROR(_xlfn.XLOOKUP($F192,Taxa_från_edp!$B:$B,Taxa_från_edp!G:G),""),"")</f>
        <v/>
      </c>
      <c r="J192" s="129">
        <f>IF($F192&lt;&gt;"",IFERROR(_xlfn.XLOOKUP($F192,Taxa_från_edp!$B:$B,Taxa_från_edp!K:K),""),"")</f>
        <v/>
      </c>
      <c r="K192" s="150" t="n"/>
      <c r="L192" s="151" t="n"/>
      <c r="M192" s="147">
        <f>IFERROR(IF(J192&lt;&gt;"",J192*1.25,IF(K192&lt;&gt;"",K192*1.25,"")),"")</f>
        <v/>
      </c>
      <c r="N192" s="148">
        <f>IFERROR(IF(J192&lt;&gt;"",L192*J192,IF(K192&lt;&gt;"",L192*K192,"")),"")</f>
        <v/>
      </c>
      <c r="O192" t="inlineStr">
        <is>
          <t>NEW_TAXA</t>
        </is>
      </c>
      <c r="P192" t="inlineStr">
        <is>
          <t>Ingen kandidat över granskningsgräns</t>
        </is>
      </c>
      <c r="Q19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3" ht="30" customHeight="1">
      <c r="A193" s="68" t="inlineStr">
        <is>
          <t>§3.3.2</t>
        </is>
      </c>
      <c r="B193" s="68" t="inlineStr">
        <is>
          <t>Övriga avgifter och tillägg slam</t>
        </is>
      </c>
      <c r="C193" s="68" t="inlineStr">
        <is>
          <t>Framkörningsavgift då ordinarie tömning inte skett på grund av hinder, abonnenten vägrar, bristfällig väg eller annat</t>
        </is>
      </c>
      <c r="D193" s="68" t="n"/>
      <c r="E193" s="68" t="inlineStr">
        <is>
          <t>kr/tillfälle</t>
        </is>
      </c>
      <c r="F193" s="107" t="inlineStr">
        <is>
          <t>FRAMKAVG</t>
        </is>
      </c>
      <c r="G193" s="117">
        <f>IF($F193&lt;&gt;"",$F193,IFERROR(_xlfn.XLOOKUP(ROW(),Taxa_Saknas!$H:$H,Taxa_Saknas!$G:$G),""))</f>
        <v/>
      </c>
      <c r="H193" s="128">
        <f>IF($F193&lt;&gt;"",IFERROR(_xlfn.XLOOKUP($F193,Taxa_från_edp!$B:$B,Taxa_från_edp!C:C),""),"")</f>
        <v/>
      </c>
      <c r="I193" s="129">
        <f>IF($F193&lt;&gt;"",IFERROR(_xlfn.XLOOKUP($F193,Taxa_från_edp!$B:$B,Taxa_från_edp!G:G),""),"")</f>
        <v/>
      </c>
      <c r="J193" s="129">
        <f>IF($F193&lt;&gt;"",IFERROR(_xlfn.XLOOKUP($F193,Taxa_från_edp!$B:$B,Taxa_från_edp!K:K),""),"")</f>
        <v/>
      </c>
      <c r="K193" s="150" t="n"/>
      <c r="L193" s="151" t="n"/>
      <c r="M193" s="147">
        <f>IFERROR(IF(J193&lt;&gt;"",J193*1.25,IF(K193&lt;&gt;"",K193*1.25,"")),"")</f>
        <v/>
      </c>
      <c r="N193" s="148">
        <f>IFERROR(IF(J193&lt;&gt;"",L193*J193,IF(K193&lt;&gt;"",L193*K193,"")),"")</f>
        <v/>
      </c>
      <c r="O193" t="inlineStr">
        <is>
          <t>NEW_TAXA</t>
        </is>
      </c>
      <c r="P193" t="inlineStr">
        <is>
          <t>Ingen kandidat över granskningsgräns</t>
        </is>
      </c>
      <c r="Q19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4" ht="30" customHeight="1">
      <c r="A194" s="68" t="inlineStr">
        <is>
          <t>§3.3.2</t>
        </is>
      </c>
      <c r="B194" s="68" t="inlineStr">
        <is>
          <t>Övriga avgifter och tillägg slam</t>
        </is>
      </c>
      <c r="C194" s="68" t="inlineStr">
        <is>
          <t>Sen anmälan om förändringar av tömningsintervall. Om förändring, nyanmälan eller avbokning av slamtömning meddelas efter 1 april innevarande år.</t>
        </is>
      </c>
      <c r="D194" s="68" t="n"/>
      <c r="E194" s="68" t="inlineStr">
        <is>
          <t>kr/tillfälle</t>
        </is>
      </c>
      <c r="F194" s="106" t="n"/>
      <c r="G194" s="116">
        <f>IF($F194&lt;&gt;"",$F194,IFERROR(_xlfn.XLOOKUP(ROW(),Taxa_Saknas!$H:$H,Taxa_Saknas!$G:$G),""))</f>
        <v/>
      </c>
      <c r="H194" s="126">
        <f>IF($F194&lt;&gt;"",IFERROR(_xlfn.XLOOKUP($F194,Taxa_från_edp!$B:$B,Taxa_från_edp!C:C),""),"")</f>
        <v/>
      </c>
      <c r="I194" s="127">
        <f>IF($F194&lt;&gt;"",IFERROR(_xlfn.XLOOKUP($F194,Taxa_från_edp!$B:$B,Taxa_från_edp!G:G),""),"")</f>
        <v/>
      </c>
      <c r="J194" s="127">
        <f>IF($F194&lt;&gt;"",IFERROR(_xlfn.XLOOKUP($F194,Taxa_från_edp!$B:$B,Taxa_från_edp!K:K),""),"")</f>
        <v/>
      </c>
      <c r="K194" s="145" t="n"/>
      <c r="L194" s="146" t="n"/>
      <c r="M194" s="147">
        <f>IFERROR(IF(J194&lt;&gt;"",J194*1.25,IF(K194&lt;&gt;"",K194*1.25,"")),"")</f>
        <v/>
      </c>
      <c r="N194" s="148">
        <f>IFERROR(IF(J194&lt;&gt;"",L194*J194,IF(K194&lt;&gt;"",L194*K194,"")),"")</f>
        <v/>
      </c>
      <c r="O194" t="inlineStr">
        <is>
          <t>NEW_TAXA</t>
        </is>
      </c>
      <c r="P194" t="inlineStr">
        <is>
          <t>Ingen kandidat över granskningsgräns</t>
        </is>
      </c>
      <c r="Q19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5" ht="21.95" customHeight="1">
      <c r="A195" s="93" t="inlineStr">
        <is>
          <t>§3.4 Latrinbehållare</t>
        </is>
      </c>
      <c r="B195" s="84" t="n"/>
      <c r="C195" s="84" t="n"/>
      <c r="D195" s="84" t="n"/>
      <c r="E195" s="85" t="n"/>
      <c r="F195" s="112" t="n"/>
      <c r="G195" s="120">
        <f>IF($F195&lt;&gt;"",$F195,IFERROR(_xlfn.XLOOKUP(ROW(),Taxa_Saknas!$H:$H,Taxa_Saknas!$G:$G),""))</f>
        <v/>
      </c>
      <c r="H195" s="120">
        <f>IF($F195&lt;&gt;"",IFERROR(_xlfn.XLOOKUP($F195,Taxa_från_edp!$B:$B,Taxa_från_edp!C:C),""),"")</f>
        <v/>
      </c>
      <c r="I195" s="120">
        <f>IF($F195&lt;&gt;"",IFERROR(_xlfn.XLOOKUP($F195,Taxa_från_edp!$B:$B,Taxa_från_edp!G:G),""),"")</f>
        <v/>
      </c>
      <c r="J195" s="120">
        <f>IF($F195&lt;&gt;"",IFERROR(_xlfn.XLOOKUP($F195,Taxa_från_edp!$B:$B,Taxa_från_edp!K:K),""),"")</f>
        <v/>
      </c>
      <c r="K195" s="120" t="n"/>
      <c r="L195" s="120" t="n"/>
      <c r="M195" s="120">
        <f>IFERROR(IF(J195&lt;&gt;"",J195*1.25,IF(K195&lt;&gt;"",K195*1.25,"")),"")</f>
        <v/>
      </c>
      <c r="N195" s="143">
        <f>IFERROR(IF(J195&lt;&gt;"",L195*J195,IF(K195&lt;&gt;"",L195*K195,"")),"")</f>
        <v/>
      </c>
      <c r="O195" t="inlineStr">
        <is>
          <t>REVIEW_REQUIRED</t>
        </is>
      </c>
      <c r="P195" t="inlineStr">
        <is>
          <t>Bästa semantiska kandidat saknar taxekod</t>
        </is>
      </c>
      <c r="Q195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6" ht="21.95" customHeight="1">
      <c r="A196" s="83" t="inlineStr">
        <is>
          <t>§3.4.1 Latrinbehållare</t>
        </is>
      </c>
      <c r="B196" s="84" t="n"/>
      <c r="C196" s="84" t="n"/>
      <c r="D196" s="84" t="n"/>
      <c r="E196" s="85" t="n"/>
      <c r="F196" s="114" t="n"/>
      <c r="G196" s="122">
        <f>IF($F196&lt;&gt;"",$F196,IFERROR(_xlfn.XLOOKUP(ROW(),Taxa_Saknas!$H:$H,Taxa_Saknas!$G:$G),""))</f>
        <v/>
      </c>
      <c r="H196" s="122">
        <f>IF($F196&lt;&gt;"",IFERROR(_xlfn.XLOOKUP($F196,Taxa_från_edp!$B:$B,Taxa_från_edp!C:C),""),"")</f>
        <v/>
      </c>
      <c r="I196" s="149">
        <f>IF($F196&lt;&gt;"",IFERROR(_xlfn.XLOOKUP($F196,Taxa_från_edp!$B:$B,Taxa_från_edp!G:G),""),"")</f>
        <v/>
      </c>
      <c r="J196" s="149">
        <f>IF($F196&lt;&gt;"",IFERROR(_xlfn.XLOOKUP($F196,Taxa_från_edp!$B:$B,Taxa_från_edp!K:K),""),"")</f>
        <v/>
      </c>
      <c r="K196" s="149" t="n"/>
      <c r="L196" s="149" t="n"/>
      <c r="M196" s="121">
        <f>IFERROR(IF(J196&lt;&gt;"",J196*1.25,IF(K196&lt;&gt;"",K196*1.25,"")),"")</f>
        <v/>
      </c>
      <c r="N196" s="144">
        <f>IFERROR(IF(J196&lt;&gt;"",L196*J196,IF(K196&lt;&gt;"",L196*K196,"")),"")</f>
        <v/>
      </c>
      <c r="O196" t="inlineStr">
        <is>
          <t>REVIEW_REQUIRED</t>
        </is>
      </c>
      <c r="P196" t="inlineStr">
        <is>
          <t>Bästa semantiska kandidat saknar taxekod</t>
        </is>
      </c>
      <c r="Q196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7" ht="30" customHeight="1">
      <c r="A197" s="68" t="inlineStr">
        <is>
          <t>§3.4.1</t>
        </is>
      </c>
      <c r="B197" s="68" t="inlineStr">
        <is>
          <t>Latrinbehållare</t>
        </is>
      </c>
      <c r="C197" s="68" t="inlineStr">
        <is>
          <t>Latrinbehållare 37 liter inkl. mottagning och behandling</t>
        </is>
      </c>
      <c r="D197" s="68" t="n"/>
      <c r="E197" s="68" t="inlineStr">
        <is>
          <t>st</t>
        </is>
      </c>
      <c r="F197" s="106" t="inlineStr">
        <is>
          <t>LATRINBEHÅLL</t>
        </is>
      </c>
      <c r="G197" s="116">
        <f>IF($F197&lt;&gt;"",$F197,IFERROR(_xlfn.XLOOKUP(ROW(),Taxa_Saknas!$H:$H,Taxa_Saknas!$G:$G),""))</f>
        <v/>
      </c>
      <c r="H197" s="126">
        <f>IF($F197&lt;&gt;"",IFERROR(_xlfn.XLOOKUP($F197,Taxa_från_edp!$B:$B,Taxa_från_edp!C:C),""),"")</f>
        <v/>
      </c>
      <c r="I197" s="127">
        <f>IF($F197&lt;&gt;"",IFERROR(_xlfn.XLOOKUP($F197,Taxa_från_edp!$B:$B,Taxa_från_edp!G:G),""),"")</f>
        <v/>
      </c>
      <c r="J197" s="127">
        <f>IF($F197&lt;&gt;"",IFERROR(_xlfn.XLOOKUP($F197,Taxa_från_edp!$B:$B,Taxa_från_edp!K:K),""),"")</f>
        <v/>
      </c>
      <c r="K197" s="145" t="n"/>
      <c r="L197" s="146" t="n"/>
      <c r="M197" s="147">
        <f>IFERROR(IF(J197&lt;&gt;"",J197*1.25,IF(K197&lt;&gt;"",K197*1.25,"")),"")</f>
        <v/>
      </c>
      <c r="N197" s="148">
        <f>IFERROR(IF(J197&lt;&gt;"",L197*J197,IF(K197&lt;&gt;"",L197*K197,"")),"")</f>
        <v/>
      </c>
      <c r="O197" t="inlineStr">
        <is>
          <t>NEW_TAXA</t>
        </is>
      </c>
      <c r="P197" t="inlineStr">
        <is>
          <t>Ingen kandidat över granskningsgräns</t>
        </is>
      </c>
      <c r="Q19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8" ht="30" customHeight="1">
      <c r="A198" s="68" t="inlineStr">
        <is>
          <t>§3.4.1</t>
        </is>
      </c>
      <c r="B198" s="68" t="inlineStr">
        <is>
          <t>Latrinbehållare</t>
        </is>
      </c>
      <c r="C198" s="68" t="inlineStr">
        <is>
          <t>Köp av engångsbehållare för latrin</t>
        </is>
      </c>
      <c r="D198" s="68" t="n"/>
      <c r="E198" s="68" t="inlineStr">
        <is>
          <t>st</t>
        </is>
      </c>
      <c r="F198" s="106" t="n"/>
      <c r="G198" s="116">
        <f>IF($F198&lt;&gt;"",$F198,IFERROR(_xlfn.XLOOKUP(ROW(),Taxa_Saknas!$H:$H,Taxa_Saknas!$G:$G),""))</f>
        <v/>
      </c>
      <c r="H198" s="126">
        <f>IF($F198&lt;&gt;"",IFERROR(_xlfn.XLOOKUP($F198,Taxa_från_edp!$B:$B,Taxa_från_edp!C:C),""),"")</f>
        <v/>
      </c>
      <c r="I198" s="127">
        <f>IF($F198&lt;&gt;"",IFERROR(_xlfn.XLOOKUP($F198,Taxa_från_edp!$B:$B,Taxa_från_edp!G:G),""),"")</f>
        <v/>
      </c>
      <c r="J198" s="127">
        <f>IF($F198&lt;&gt;"",IFERROR(_xlfn.XLOOKUP($F198,Taxa_från_edp!$B:$B,Taxa_från_edp!K:K),""),"")</f>
        <v/>
      </c>
      <c r="K198" s="145" t="n"/>
      <c r="L198" s="146" t="n"/>
      <c r="M198" s="147">
        <f>IFERROR(IF(J198&lt;&gt;"",J198*1.25,IF(K198&lt;&gt;"",K198*1.25,"")),"")</f>
        <v/>
      </c>
      <c r="N198" s="148">
        <f>IFERROR(IF(J198&lt;&gt;"",L198*J198,IF(K198&lt;&gt;"",L198*K198,"")),"")</f>
        <v/>
      </c>
      <c r="O198" t="inlineStr">
        <is>
          <t>NEW_TAXA</t>
        </is>
      </c>
      <c r="P198" t="inlineStr">
        <is>
          <t>Ingen kandidat över granskningsgräns</t>
        </is>
      </c>
      <c r="Q19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9" ht="21.95" customHeight="1">
      <c r="A199" s="97" t="inlineStr">
        <is>
          <t>§4 Hämtning av fosforfilter</t>
        </is>
      </c>
      <c r="B199" s="84" t="n"/>
      <c r="C199" s="84" t="n"/>
      <c r="D199" s="84" t="n"/>
      <c r="E199" s="85" t="n"/>
      <c r="F199" s="138" t="n"/>
      <c r="G199" s="84" t="n"/>
      <c r="H199" s="84" t="n"/>
      <c r="I199" s="84" t="n"/>
      <c r="J199" s="85" t="n"/>
      <c r="K199" s="141" t="n"/>
      <c r="L199" s="141" t="n"/>
      <c r="M199" s="141">
        <f>IFERROR(IF(J199&lt;&gt;"",J199*1.25,IF(K199&lt;&gt;"",K199*1.25,"")),"")</f>
        <v/>
      </c>
      <c r="N199" s="142">
        <f>IFERROR(IF(J199&lt;&gt;"",L199*J199,IF(K199&lt;&gt;"",L199*K199,"")),"")</f>
        <v/>
      </c>
      <c r="O199" t="inlineStr">
        <is>
          <t>NEW_TAXA</t>
        </is>
      </c>
      <c r="P199" t="inlineStr">
        <is>
          <t>Ingen kandidat över granskningsgräns</t>
        </is>
      </c>
      <c r="Q19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0" ht="21.95" customHeight="1">
      <c r="A200" s="93" t="inlineStr">
        <is>
          <t>§4.1 Budad hämtning fosforfilter</t>
        </is>
      </c>
      <c r="B200" s="84" t="n"/>
      <c r="C200" s="84" t="n"/>
      <c r="D200" s="84" t="n"/>
      <c r="E200" s="85" t="n"/>
      <c r="F200" s="112" t="n"/>
      <c r="G200" s="120">
        <f>IF($F200&lt;&gt;"",$F200,IFERROR(_xlfn.XLOOKUP(ROW(),Taxa_Saknas!$H:$H,Taxa_Saknas!$G:$G),""))</f>
        <v/>
      </c>
      <c r="H200" s="120">
        <f>IF($F200&lt;&gt;"",IFERROR(_xlfn.XLOOKUP($F200,Taxa_från_edp!$B:$B,Taxa_från_edp!C:C),""),"")</f>
        <v/>
      </c>
      <c r="I200" s="120">
        <f>IF($F200&lt;&gt;"",IFERROR(_xlfn.XLOOKUP($F200,Taxa_från_edp!$B:$B,Taxa_från_edp!G:G),""),"")</f>
        <v/>
      </c>
      <c r="J200" s="120">
        <f>IF($F200&lt;&gt;"",IFERROR(_xlfn.XLOOKUP($F200,Taxa_från_edp!$B:$B,Taxa_från_edp!K:K),""),"")</f>
        <v/>
      </c>
      <c r="K200" s="120" t="n"/>
      <c r="L200" s="120" t="n"/>
      <c r="M200" s="120">
        <f>IFERROR(IF(J200&lt;&gt;"",J200*1.25,IF(K200&lt;&gt;"",K200*1.25,"")),"")</f>
        <v/>
      </c>
      <c r="N200" s="143">
        <f>IFERROR(IF(J200&lt;&gt;"",L200*J200,IF(K200&lt;&gt;"",L200*K200,"")),"")</f>
        <v/>
      </c>
      <c r="O200" t="inlineStr">
        <is>
          <t>NEW_TAXA</t>
        </is>
      </c>
      <c r="P200" t="inlineStr">
        <is>
          <t>Ingen kandidat över granskningsgräns</t>
        </is>
      </c>
      <c r="Q200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1" ht="21.95" customHeight="1">
      <c r="A201" s="83" t="inlineStr">
        <is>
          <t>§4.1.1 Budad hämtning fosforfilter</t>
        </is>
      </c>
      <c r="B201" s="84" t="n"/>
      <c r="C201" s="84" t="n"/>
      <c r="D201" s="84" t="n"/>
      <c r="E201" s="85" t="n"/>
      <c r="F201" s="114" t="n"/>
      <c r="G201" s="122">
        <f>IF($F201&lt;&gt;"",$F201,IFERROR(_xlfn.XLOOKUP(ROW(),Taxa_Saknas!$H:$H,Taxa_Saknas!$G:$G),""))</f>
        <v/>
      </c>
      <c r="H201" s="122">
        <f>IF($F201&lt;&gt;"",IFERROR(_xlfn.XLOOKUP($F201,Taxa_från_edp!$B:$B,Taxa_från_edp!C:C),""),"")</f>
        <v/>
      </c>
      <c r="I201" s="149">
        <f>IF($F201&lt;&gt;"",IFERROR(_xlfn.XLOOKUP($F201,Taxa_från_edp!$B:$B,Taxa_från_edp!G:G),""),"")</f>
        <v/>
      </c>
      <c r="J201" s="149">
        <f>IF($F201&lt;&gt;"",IFERROR(_xlfn.XLOOKUP($F201,Taxa_från_edp!$B:$B,Taxa_från_edp!K:K),""),"")</f>
        <v/>
      </c>
      <c r="K201" s="149" t="n"/>
      <c r="L201" s="149" t="n"/>
      <c r="M201" s="121">
        <f>IFERROR(IF(J201&lt;&gt;"",J201*1.25,IF(K201&lt;&gt;"",K201*1.25,"")),"")</f>
        <v/>
      </c>
      <c r="N201" s="144">
        <f>IFERROR(IF(J201&lt;&gt;"",L201*J201,IF(K201&lt;&gt;"",L201*K201,"")),"")</f>
        <v/>
      </c>
      <c r="O201" t="inlineStr">
        <is>
          <t>NEW_TAXA</t>
        </is>
      </c>
      <c r="P201" t="inlineStr">
        <is>
          <t>Ingen kandidat över granskningsgräns</t>
        </is>
      </c>
      <c r="Q20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2" ht="30" customHeight="1">
      <c r="A202" s="100" t="inlineStr">
        <is>
          <t>§4.1.1</t>
        </is>
      </c>
      <c r="B202" s="68" t="inlineStr">
        <is>
          <t>Budad hämtning fosforfilter</t>
        </is>
      </c>
      <c r="C202" s="68" t="inlineStr">
        <is>
          <t>Filtermassor upp till 500 kg</t>
        </is>
      </c>
      <c r="D202" s="68" t="inlineStr">
        <is>
          <t>Budad hämtning inom sju (7) arbetsdagar</t>
        </is>
      </c>
      <c r="E202" s="68" t="inlineStr">
        <is>
          <t>kr/tillfälle</t>
        </is>
      </c>
      <c r="F202" s="106" t="n"/>
      <c r="G202" s="116">
        <f>IF($F202&lt;&gt;"",$F202,IFERROR(_xlfn.XLOOKUP(ROW(),Taxa_Saknas!$H:$H,Taxa_Saknas!$G:$G),""))</f>
        <v/>
      </c>
      <c r="H202" s="126">
        <f>IF($F202&lt;&gt;"",IFERROR(_xlfn.XLOOKUP($F202,Taxa_från_edp!$B:$B,Taxa_från_edp!C:C),""),"")</f>
        <v/>
      </c>
      <c r="I202" s="127">
        <f>IF($F202&lt;&gt;"",IFERROR(_xlfn.XLOOKUP($F202,Taxa_från_edp!$B:$B,Taxa_från_edp!G:G),""),"")</f>
        <v/>
      </c>
      <c r="J202" s="127">
        <f>IF($F202&lt;&gt;"",IFERROR(_xlfn.XLOOKUP($F202,Taxa_från_edp!$B:$B,Taxa_från_edp!K:K),""),"")</f>
        <v/>
      </c>
      <c r="K202" s="145" t="n"/>
      <c r="L202" s="146" t="n"/>
      <c r="M202" s="147">
        <f>IFERROR(IF(J202&lt;&gt;"",J202*1.25,IF(K202&lt;&gt;"",K202*1.25,"")),"")</f>
        <v/>
      </c>
      <c r="N202" s="148">
        <f>IFERROR(IF(J202&lt;&gt;"",L202*J202,IF(K202&lt;&gt;"",L202*K202,"")),"")</f>
        <v/>
      </c>
      <c r="O202" t="inlineStr">
        <is>
          <t>NEW_TAXA</t>
        </is>
      </c>
      <c r="P202" t="inlineStr">
        <is>
          <t>Ingen kandidat över granskningsgräns</t>
        </is>
      </c>
      <c r="Q20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3" ht="30" customHeight="1">
      <c r="A203" s="100" t="inlineStr">
        <is>
          <t>§4.1.1</t>
        </is>
      </c>
      <c r="B203" s="68" t="inlineStr">
        <is>
          <t>Budad hämtning fosforfilter</t>
        </is>
      </c>
      <c r="C203" s="68" t="inlineStr">
        <is>
          <t>Filtermassor 500-1000 kg</t>
        </is>
      </c>
      <c r="D203" s="68" t="inlineStr">
        <is>
          <t>Budad hämtning inom sju (7) arbetsdagar</t>
        </is>
      </c>
      <c r="E203" s="68" t="inlineStr">
        <is>
          <t>kr/tillfälle</t>
        </is>
      </c>
      <c r="F203" s="107" t="n"/>
      <c r="G203" s="117">
        <f>IF($F203&lt;&gt;"",$F203,IFERROR(_xlfn.XLOOKUP(ROW(),Taxa_Saknas!$H:$H,Taxa_Saknas!$G:$G),""))</f>
        <v/>
      </c>
      <c r="H203" s="128">
        <f>IF($F203&lt;&gt;"",IFERROR(_xlfn.XLOOKUP($F203,Taxa_från_edp!$B:$B,Taxa_från_edp!C:C),""),"")</f>
        <v/>
      </c>
      <c r="I203" s="129">
        <f>IF($F203&lt;&gt;"",IFERROR(_xlfn.XLOOKUP($F203,Taxa_från_edp!$B:$B,Taxa_från_edp!G:G),""),"")</f>
        <v/>
      </c>
      <c r="J203" s="129">
        <f>IF($F203&lt;&gt;"",IFERROR(_xlfn.XLOOKUP($F203,Taxa_från_edp!$B:$B,Taxa_från_edp!K:K),""),"")</f>
        <v/>
      </c>
      <c r="K203" s="150" t="n"/>
      <c r="L203" s="151" t="n"/>
      <c r="M203" s="147">
        <f>IFERROR(IF(J203&lt;&gt;"",J203*1.25,IF(K203&lt;&gt;"",K203*1.25,"")),"")</f>
        <v/>
      </c>
      <c r="N203" s="148">
        <f>IFERROR(IF(J203&lt;&gt;"",L203*J203,IF(K203&lt;&gt;"",L203*K203,"")),"")</f>
        <v/>
      </c>
      <c r="O203" t="inlineStr">
        <is>
          <t>NEW_TAXA</t>
        </is>
      </c>
      <c r="P203" t="inlineStr">
        <is>
          <t>Ingen kandidat över granskningsgräns</t>
        </is>
      </c>
      <c r="Q20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4" ht="30" customHeight="1">
      <c r="A204" s="100" t="inlineStr">
        <is>
          <t>§4.1.1</t>
        </is>
      </c>
      <c r="B204" s="68" t="inlineStr">
        <is>
          <t>Budad hämtning fosforfilter</t>
        </is>
      </c>
      <c r="C204" s="68" t="inlineStr">
        <is>
          <t>Filtermassor upp till 500 kg</t>
        </is>
      </c>
      <c r="D204" s="68" t="inlineStr">
        <is>
          <t>Tillägg för transport och behandlingskostnad</t>
        </is>
      </c>
      <c r="E204" s="68" t="inlineStr">
        <is>
          <t>kr/tillfälle</t>
        </is>
      </c>
      <c r="F204" s="106" t="n"/>
      <c r="G204" s="116">
        <f>IF($F204&lt;&gt;"",$F204,IFERROR(_xlfn.XLOOKUP(ROW(),Taxa_Saknas!$H:$H,Taxa_Saknas!$G:$G),""))</f>
        <v/>
      </c>
      <c r="H204" s="126">
        <f>IF($F204&lt;&gt;"",IFERROR(_xlfn.XLOOKUP($F204,Taxa_från_edp!$B:$B,Taxa_från_edp!C:C),""),"")</f>
        <v/>
      </c>
      <c r="I204" s="127">
        <f>IF($F204&lt;&gt;"",IFERROR(_xlfn.XLOOKUP($F204,Taxa_från_edp!$B:$B,Taxa_från_edp!G:G),""),"")</f>
        <v/>
      </c>
      <c r="J204" s="127">
        <f>IF($F204&lt;&gt;"",IFERROR(_xlfn.XLOOKUP($F204,Taxa_från_edp!$B:$B,Taxa_från_edp!K:K),""),"")</f>
        <v/>
      </c>
      <c r="K204" s="145" t="n"/>
      <c r="L204" s="146" t="n"/>
      <c r="M204" s="147">
        <f>IFERROR(IF(J204&lt;&gt;"",J204*1.25,IF(K204&lt;&gt;"",K204*1.25,"")),"")</f>
        <v/>
      </c>
      <c r="N204" s="148">
        <f>IFERROR(IF(J204&lt;&gt;"",L204*J204,IF(K204&lt;&gt;"",L204*K204,"")),"")</f>
        <v/>
      </c>
      <c r="O204" t="inlineStr">
        <is>
          <t>NEW_TAXA</t>
        </is>
      </c>
      <c r="P204" t="inlineStr">
        <is>
          <t>Ingen kandidat över granskningsgräns</t>
        </is>
      </c>
      <c r="Q2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5" ht="30" customHeight="1">
      <c r="A205" s="100" t="inlineStr">
        <is>
          <t>§4.1.1</t>
        </is>
      </c>
      <c r="B205" s="68" t="inlineStr">
        <is>
          <t>Budad hämtning fosforfilter</t>
        </is>
      </c>
      <c r="C205" s="68" t="inlineStr">
        <is>
          <t>Filtermassor 500-1000 kg</t>
        </is>
      </c>
      <c r="D205" s="68" t="inlineStr">
        <is>
          <t>Tillägg för transport och behandlingskostnad</t>
        </is>
      </c>
      <c r="E205" s="68" t="inlineStr">
        <is>
          <t>kr/tillfälle</t>
        </is>
      </c>
      <c r="F205" s="106" t="n"/>
      <c r="G205" s="116">
        <f>IF($F205&lt;&gt;"",$F205,IFERROR(_xlfn.XLOOKUP(ROW(),Taxa_Saknas!$H:$H,Taxa_Saknas!$G:$G),""))</f>
        <v/>
      </c>
      <c r="H205" s="126">
        <f>IF($F205&lt;&gt;"",IFERROR(_xlfn.XLOOKUP($F205,Taxa_från_edp!$B:$B,Taxa_från_edp!C:C),""),"")</f>
        <v/>
      </c>
      <c r="I205" s="127">
        <f>IF($F205&lt;&gt;"",IFERROR(_xlfn.XLOOKUP($F205,Taxa_från_edp!$B:$B,Taxa_från_edp!G:G),""),"")</f>
        <v/>
      </c>
      <c r="J205" s="127">
        <f>IF($F205&lt;&gt;"",IFERROR(_xlfn.XLOOKUP($F205,Taxa_från_edp!$B:$B,Taxa_från_edp!K:K),""),"")</f>
        <v/>
      </c>
      <c r="K205" s="145" t="n"/>
      <c r="L205" s="146" t="n"/>
      <c r="M205" s="147">
        <f>IFERROR(IF(J205&lt;&gt;"",J205*1.25,IF(K205&lt;&gt;"",K205*1.25,"")),"")</f>
        <v/>
      </c>
      <c r="N205" s="148">
        <f>IFERROR(IF(J205&lt;&gt;"",L205*J205,IF(K205&lt;&gt;"",L205*K205,"")),"")</f>
        <v/>
      </c>
      <c r="O205" t="inlineStr">
        <is>
          <t>NEW_TAXA</t>
        </is>
      </c>
      <c r="P205" t="inlineStr">
        <is>
          <t>Ingen kandidat över granskningsgräns</t>
        </is>
      </c>
      <c r="Q2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6" ht="21.95" customHeight="1">
      <c r="A206" s="93" t="inlineStr">
        <is>
          <t>§4.2 Tilläggstjänster fosforfilter</t>
        </is>
      </c>
      <c r="B206" s="84" t="n"/>
      <c r="C206" s="84" t="n"/>
      <c r="D206" s="84" t="n"/>
      <c r="E206" s="85" t="n"/>
      <c r="F206" s="112" t="n"/>
      <c r="G206" s="120">
        <f>IF($F206&lt;&gt;"",$F206,IFERROR(_xlfn.XLOOKUP(ROW(),Taxa_Saknas!$H:$H,Taxa_Saknas!$G:$G),""))</f>
        <v/>
      </c>
      <c r="H206" s="120">
        <f>IF($F206&lt;&gt;"",IFERROR(_xlfn.XLOOKUP($F206,Taxa_från_edp!$B:$B,Taxa_från_edp!C:C),""),"")</f>
        <v/>
      </c>
      <c r="I206" s="120">
        <f>IF($F206&lt;&gt;"",IFERROR(_xlfn.XLOOKUP($F206,Taxa_från_edp!$B:$B,Taxa_från_edp!G:G),""),"")</f>
        <v/>
      </c>
      <c r="J206" s="120">
        <f>IF($F206&lt;&gt;"",IFERROR(_xlfn.XLOOKUP($F206,Taxa_från_edp!$B:$B,Taxa_från_edp!K:K),""),"")</f>
        <v/>
      </c>
      <c r="K206" s="120" t="n"/>
      <c r="L206" s="120" t="n"/>
      <c r="M206" s="120">
        <f>IFERROR(IF(J206&lt;&gt;"",J206*1.25,IF(K206&lt;&gt;"",K206*1.25,"")),"")</f>
        <v/>
      </c>
      <c r="N206" s="143">
        <f>IFERROR(IF(J206&lt;&gt;"",L206*J206,IF(K206&lt;&gt;"",L206*K206,"")),"")</f>
        <v/>
      </c>
      <c r="O206" t="inlineStr">
        <is>
          <t>NEW_TAXA</t>
        </is>
      </c>
      <c r="P206" t="inlineStr">
        <is>
          <t>Ingen kandidat över granskningsgräns</t>
        </is>
      </c>
      <c r="Q20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7" ht="21.95" customHeight="1">
      <c r="A207" s="101" t="inlineStr">
        <is>
          <t>§4.2.1 Tilläggstjänster fosforfilter</t>
        </is>
      </c>
      <c r="B207" s="84" t="n"/>
      <c r="C207" s="84" t="n"/>
      <c r="D207" s="84" t="n"/>
      <c r="E207" s="85" t="n"/>
      <c r="F207" s="114" t="n"/>
      <c r="G207" s="122">
        <f>IF($F207&lt;&gt;"",$F207,IFERROR(_xlfn.XLOOKUP(ROW(),Taxa_Saknas!$H:$H,Taxa_Saknas!$G:$G),""))</f>
        <v/>
      </c>
      <c r="H207" s="122">
        <f>IF($F207&lt;&gt;"",IFERROR(_xlfn.XLOOKUP($F207,Taxa_från_edp!$B:$B,Taxa_från_edp!C:C),""),"")</f>
        <v/>
      </c>
      <c r="I207" s="149">
        <f>IF($F207&lt;&gt;"",IFERROR(_xlfn.XLOOKUP($F207,Taxa_från_edp!$B:$B,Taxa_från_edp!G:G),""),"")</f>
        <v/>
      </c>
      <c r="J207" s="149">
        <f>IF($F207&lt;&gt;"",IFERROR(_xlfn.XLOOKUP($F207,Taxa_från_edp!$B:$B,Taxa_från_edp!K:K),""),"")</f>
        <v/>
      </c>
      <c r="K207" s="149" t="n"/>
      <c r="L207" s="149" t="n"/>
      <c r="M207" s="121">
        <f>IFERROR(IF(J207&lt;&gt;"",J207*1.25,IF(K207&lt;&gt;"",K207*1.25,"")),"")</f>
        <v/>
      </c>
      <c r="N207" s="144">
        <f>IFERROR(IF(J207&lt;&gt;"",L207*J207,IF(K207&lt;&gt;"",L207*K207,"")),"")</f>
        <v/>
      </c>
      <c r="O207" t="inlineStr">
        <is>
          <t>NEW_TAXA</t>
        </is>
      </c>
      <c r="P207" t="inlineStr">
        <is>
          <t>Ingen kandidat över granskningsgräns</t>
        </is>
      </c>
      <c r="Q20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8" ht="30" customHeight="1">
      <c r="A208" s="100" t="inlineStr">
        <is>
          <t>§4.2.1</t>
        </is>
      </c>
      <c r="B208" s="68" t="inlineStr">
        <is>
          <t>Tilläggstjänster fosforfilter</t>
        </is>
      </c>
      <c r="C208" s="68" t="inlineStr">
        <is>
          <t>Krav på information om hämtningstid</t>
        </is>
      </c>
      <c r="D208" s="68" t="n"/>
      <c r="E208" s="68" t="inlineStr">
        <is>
          <t>kr/tillfälle</t>
        </is>
      </c>
      <c r="F208" s="106" t="n"/>
      <c r="G208" s="116">
        <f>IF($F208&lt;&gt;"",$F208,IFERROR(_xlfn.XLOOKUP(ROW(),Taxa_Saknas!$H:$H,Taxa_Saknas!$G:$G),""))</f>
        <v/>
      </c>
      <c r="H208" s="126">
        <f>IF($F208&lt;&gt;"",IFERROR(_xlfn.XLOOKUP($F208,Taxa_från_edp!$B:$B,Taxa_från_edp!C:C),""),"")</f>
        <v/>
      </c>
      <c r="I208" s="127">
        <f>IF($F208&lt;&gt;"",IFERROR(_xlfn.XLOOKUP($F208,Taxa_från_edp!$B:$B,Taxa_från_edp!G:G),""),"")</f>
        <v/>
      </c>
      <c r="J208" s="127">
        <f>IF($F208&lt;&gt;"",IFERROR(_xlfn.XLOOKUP($F208,Taxa_från_edp!$B:$B,Taxa_från_edp!K:K),""),"")</f>
        <v/>
      </c>
      <c r="K208" s="145" t="n"/>
      <c r="L208" s="146" t="n"/>
      <c r="M208" s="147">
        <f>IFERROR(IF(J208&lt;&gt;"",J208*1.25,IF(K208&lt;&gt;"",K208*1.25,"")),"")</f>
        <v/>
      </c>
      <c r="N208" s="148">
        <f>IFERROR(IF(J208&lt;&gt;"",L208*J208,IF(K208&lt;&gt;"",L208*K208,"")),"")</f>
        <v/>
      </c>
      <c r="O208" t="inlineStr">
        <is>
          <t>NEW_TAXA</t>
        </is>
      </c>
      <c r="P208" t="inlineStr">
        <is>
          <t>Ingen kandidat över granskningsgräns</t>
        </is>
      </c>
      <c r="Q20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9">
      <c r="A209" s="100" t="inlineStr">
        <is>
          <t>§4.2.1</t>
        </is>
      </c>
      <c r="B209" s="68" t="inlineStr">
        <is>
          <t>Tilläggstjänster fosforfilter</t>
        </is>
      </c>
      <c r="C209" s="68" t="inlineStr">
        <is>
          <t>Krav på närvaro vid specificerad hämtningstid</t>
        </is>
      </c>
      <c r="D209" s="68" t="n"/>
      <c r="E209" s="68" t="inlineStr">
        <is>
          <t>kr/tillfälle</t>
        </is>
      </c>
      <c r="F209" s="107" t="n"/>
      <c r="G209" s="117">
        <f>IF($F209&lt;&gt;"",$F209,IFERROR(_xlfn.XLOOKUP(ROW(),Taxa_Saknas!$H:$H,Taxa_Saknas!$G:$G),""))</f>
        <v/>
      </c>
      <c r="H209" s="128">
        <f>IF($F209&lt;&gt;"",IFERROR(_xlfn.XLOOKUP($F209,Taxa_från_edp!$B:$B,Taxa_från_edp!C:C),""),"")</f>
        <v/>
      </c>
      <c r="I209" s="129">
        <f>IF($F209&lt;&gt;"",IFERROR(_xlfn.XLOOKUP($F209,Taxa_från_edp!$B:$B,Taxa_från_edp!G:G),""),"")</f>
        <v/>
      </c>
      <c r="J209" s="129">
        <f>IF($F209&lt;&gt;"",IFERROR(_xlfn.XLOOKUP($F209,Taxa_från_edp!$B:$B,Taxa_från_edp!K:K),""),"")</f>
        <v/>
      </c>
      <c r="K209" s="150" t="n"/>
      <c r="L209" s="151" t="n"/>
      <c r="M209" s="147">
        <f>IFERROR(IF(J209&lt;&gt;"",J209*1.25,IF(K209&lt;&gt;"",K209*1.25,"")),"")</f>
        <v/>
      </c>
      <c r="N209" s="148">
        <f>IFERROR(IF(J209&lt;&gt;"",L209*J209,IF(K209&lt;&gt;"",L209*K209,"")),"")</f>
        <v/>
      </c>
      <c r="O209" t="inlineStr">
        <is>
          <t>NEW_TAXA</t>
        </is>
      </c>
      <c r="P209" t="inlineStr">
        <is>
          <t>Ingen kandidat över granskningsgräns</t>
        </is>
      </c>
      <c r="Q209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0" ht="75" customHeight="1">
      <c r="A210" s="100" t="inlineStr">
        <is>
          <t>§4.2.1</t>
        </is>
      </c>
      <c r="B210" s="68" t="inlineStr">
        <is>
          <t>Tilläggstjänster fosforfilter</t>
        </is>
      </c>
      <c r="C210" s="68" t="inlineStr">
        <is>
          <t>Hantering av kod för kodlås</t>
        </is>
      </c>
      <c r="D210" s="68" t="n"/>
      <c r="E210" s="68" t="inlineStr">
        <is>
          <t>kr/tillfälle</t>
        </is>
      </c>
      <c r="F210" s="107" t="n"/>
      <c r="G210" s="117">
        <f>IF($F210&lt;&gt;"",$F210,IFERROR(_xlfn.XLOOKUP(ROW(),Taxa_Saknas!$H:$H,Taxa_Saknas!$G:$G),""))</f>
        <v/>
      </c>
      <c r="H210" s="128">
        <f>IF($F210&lt;&gt;"",IFERROR(_xlfn.XLOOKUP($F210,Taxa_från_edp!$B:$B,Taxa_från_edp!C:C),""),"")</f>
        <v/>
      </c>
      <c r="I210" s="129">
        <f>IF($F210&lt;&gt;"",IFERROR(_xlfn.XLOOKUP($F210,Taxa_från_edp!$B:$B,Taxa_från_edp!G:G),""),"")</f>
        <v/>
      </c>
      <c r="J210" s="129">
        <f>IF($F210&lt;&gt;"",IFERROR(_xlfn.XLOOKUP($F210,Taxa_från_edp!$B:$B,Taxa_från_edp!K:K),""),"")</f>
        <v/>
      </c>
      <c r="K210" s="150" t="n"/>
      <c r="L210" s="151" t="n"/>
      <c r="M210" s="147">
        <f>IFERROR(IF(J210&lt;&gt;"",J210*1.25,IF(K210&lt;&gt;"",K210*1.25,"")),"")</f>
        <v/>
      </c>
      <c r="N210" s="148">
        <f>IFERROR(IF(J210&lt;&gt;"",L210*J210,IF(K210&lt;&gt;"",L210*K210,"")),"")</f>
        <v/>
      </c>
      <c r="O210" t="inlineStr">
        <is>
          <t>NEW_TAXA</t>
        </is>
      </c>
      <c r="P210" t="inlineStr">
        <is>
          <t>Ingen kandidat över granskningsgräns</t>
        </is>
      </c>
      <c r="Q210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1" ht="45" customHeight="1">
      <c r="A211" s="100" t="inlineStr">
        <is>
          <t>§4.2.1</t>
        </is>
      </c>
      <c r="B211" s="68" t="inlineStr">
        <is>
          <t>Tilläggstjänster fosforfilter</t>
        </is>
      </c>
      <c r="C211" s="68" t="inlineStr">
        <is>
          <t>Avgift om hämtning ej kan utföras pga hinder, bristande väg eller vägran</t>
        </is>
      </c>
      <c r="D211" s="68" t="n"/>
      <c r="E211" s="68" t="inlineStr">
        <is>
          <t>kr/tillfälle</t>
        </is>
      </c>
      <c r="F211" s="106" t="n"/>
      <c r="G211" s="116">
        <f>IF($F211&lt;&gt;"",$F211,IFERROR(_xlfn.XLOOKUP(ROW(),Taxa_Saknas!$H:$H,Taxa_Saknas!$G:$G),""))</f>
        <v/>
      </c>
      <c r="H211" s="126">
        <f>IF($F211&lt;&gt;"",IFERROR(_xlfn.XLOOKUP($F211,Taxa_från_edp!$B:$B,Taxa_från_edp!C:C),""),"")</f>
        <v/>
      </c>
      <c r="I211" s="127">
        <f>IF($F211&lt;&gt;"",IFERROR(_xlfn.XLOOKUP($F211,Taxa_från_edp!$B:$B,Taxa_från_edp!G:G),""),"")</f>
        <v/>
      </c>
      <c r="J211" s="127">
        <f>IF($F211&lt;&gt;"",IFERROR(_xlfn.XLOOKUP($F211,Taxa_från_edp!$B:$B,Taxa_från_edp!K:K),""),"")</f>
        <v/>
      </c>
      <c r="K211" s="145" t="n"/>
      <c r="L211" s="146" t="n"/>
      <c r="M211" s="147">
        <f>IFERROR(IF(J211&lt;&gt;"",J211*1.25,IF(K211&lt;&gt;"",K211*1.25,"")),"")</f>
        <v/>
      </c>
      <c r="N211" s="148">
        <f>IFERROR(IF(J211&lt;&gt;"",L211*J211,IF(K211&lt;&gt;"",L211*K211,"")),"")</f>
        <v/>
      </c>
      <c r="O211" t="inlineStr">
        <is>
          <t>NEW_TAXA</t>
        </is>
      </c>
      <c r="P211" t="inlineStr">
        <is>
          <t>Ingen kandidat över granskningsgräns</t>
        </is>
      </c>
      <c r="Q21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2" ht="21.95" customHeight="1">
      <c r="A212" s="97" t="inlineStr">
        <is>
          <t>§5 Tömning av fettavskiljare</t>
        </is>
      </c>
      <c r="B212" s="84" t="n"/>
      <c r="C212" s="84" t="n"/>
      <c r="D212" s="84" t="n"/>
      <c r="E212" s="85" t="n"/>
      <c r="F212" s="138" t="n"/>
      <c r="G212" s="84" t="n"/>
      <c r="H212" s="84" t="n"/>
      <c r="I212" s="84" t="n"/>
      <c r="J212" s="85" t="n"/>
      <c r="K212" s="141" t="n"/>
      <c r="L212" s="141" t="n"/>
      <c r="M212" s="141">
        <f>IFERROR(IF(J212&lt;&gt;"",J212*1.25,IF(K212&lt;&gt;"",K212*1.25,"")),"")</f>
        <v/>
      </c>
      <c r="N212" s="142">
        <f>IFERROR(IF(J212&lt;&gt;"",L212*J212,IF(K212&lt;&gt;"",L212*K212,"")),"")</f>
        <v/>
      </c>
      <c r="O212" t="inlineStr">
        <is>
          <t>NEW_TAXA</t>
        </is>
      </c>
      <c r="P212" t="inlineStr">
        <is>
          <t>Ingen kandidat över granskningsgräns</t>
        </is>
      </c>
      <c r="Q21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3" ht="21.95" customHeight="1">
      <c r="A213" s="93" t="inlineStr">
        <is>
          <t>§5.1 Ordinarie tömning av fettavskiljare</t>
        </is>
      </c>
      <c r="B213" s="84" t="n"/>
      <c r="C213" s="84" t="n"/>
      <c r="D213" s="84" t="n"/>
      <c r="E213" s="85" t="n"/>
      <c r="F213" s="112" t="n"/>
      <c r="G213" s="120">
        <f>IF($F213&lt;&gt;"",$F213,IFERROR(_xlfn.XLOOKUP(ROW(),Taxa_Saknas!$H:$H,Taxa_Saknas!$G:$G),""))</f>
        <v/>
      </c>
      <c r="H213" s="120">
        <f>IF($F213&lt;&gt;"",IFERROR(_xlfn.XLOOKUP($F213,Taxa_från_edp!$B:$B,Taxa_från_edp!C:C),""),"")</f>
        <v/>
      </c>
      <c r="I213" s="120">
        <f>IF($F213&lt;&gt;"",IFERROR(_xlfn.XLOOKUP($F213,Taxa_från_edp!$B:$B,Taxa_från_edp!G:G),""),"")</f>
        <v/>
      </c>
      <c r="J213" s="120">
        <f>IF($F213&lt;&gt;"",IFERROR(_xlfn.XLOOKUP($F213,Taxa_från_edp!$B:$B,Taxa_från_edp!K:K),""),"")</f>
        <v/>
      </c>
      <c r="K213" s="120" t="n"/>
      <c r="L213" s="120" t="n"/>
      <c r="M213" s="120">
        <f>IFERROR(IF(J213&lt;&gt;"",J213*1.25,IF(K213&lt;&gt;"",K213*1.25,"")),"")</f>
        <v/>
      </c>
      <c r="N213" s="143">
        <f>IFERROR(IF(J213&lt;&gt;"",L213*J213,IF(K213&lt;&gt;"",L213*K213,"")),"")</f>
        <v/>
      </c>
      <c r="O213" t="inlineStr">
        <is>
          <t>NEW_TAXA</t>
        </is>
      </c>
      <c r="P213" t="inlineStr">
        <is>
          <t>Ingen kandidat över granskningsgräns</t>
        </is>
      </c>
      <c r="Q21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4" ht="21.95" customHeight="1">
      <c r="A214" s="101" t="inlineStr">
        <is>
          <t>§5.1.1 Ordinarie tömning av fettavskiljare</t>
        </is>
      </c>
      <c r="B214" s="84" t="n"/>
      <c r="C214" s="84" t="n"/>
      <c r="D214" s="84" t="n"/>
      <c r="E214" s="85" t="n"/>
      <c r="F214" s="114" t="n"/>
      <c r="G214" s="122">
        <f>IF($F214&lt;&gt;"",$F214,IFERROR(_xlfn.XLOOKUP(ROW(),Taxa_Saknas!$H:$H,Taxa_Saknas!$G:$G),""))</f>
        <v/>
      </c>
      <c r="H214" s="122">
        <f>IF($F214&lt;&gt;"",IFERROR(_xlfn.XLOOKUP($F214,Taxa_från_edp!$B:$B,Taxa_från_edp!C:C),""),"")</f>
        <v/>
      </c>
      <c r="I214" s="149">
        <f>IF($F214&lt;&gt;"",IFERROR(_xlfn.XLOOKUP($F214,Taxa_från_edp!$B:$B,Taxa_från_edp!G:G),""),"")</f>
        <v/>
      </c>
      <c r="J214" s="149">
        <f>IF($F214&lt;&gt;"",IFERROR(_xlfn.XLOOKUP($F214,Taxa_från_edp!$B:$B,Taxa_från_edp!K:K),""),"")</f>
        <v/>
      </c>
      <c r="K214" s="149" t="n"/>
      <c r="L214" s="149" t="n"/>
      <c r="M214" s="121">
        <f>IFERROR(IF(J214&lt;&gt;"",J214*1.25,IF(K214&lt;&gt;"",K214*1.25,"")),"")</f>
        <v/>
      </c>
      <c r="N214" s="144">
        <f>IFERROR(IF(J214&lt;&gt;"",L214*J214,IF(K214&lt;&gt;"",L214*K214,"")),"")</f>
        <v/>
      </c>
      <c r="O214" t="inlineStr">
        <is>
          <t>REVIEW_REQUIRED</t>
        </is>
      </c>
      <c r="P214" t="inlineStr">
        <is>
          <t>Bästa semantiska kandidat saknar taxekod</t>
        </is>
      </c>
      <c r="Q214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5" ht="30" customHeight="1">
      <c r="A215" s="100" t="inlineStr">
        <is>
          <t>§5.1.1</t>
        </is>
      </c>
      <c r="B215" s="68" t="inlineStr">
        <is>
          <t>Ordinarie tömning av fettavskiljare</t>
        </is>
      </c>
      <c r="C215" s="68" t="inlineStr">
        <is>
          <t>Upp till 3 m3</t>
        </is>
      </c>
      <c r="D215" s="68" t="inlineStr">
        <is>
          <t>Tömning, transport och behandling av fettavskiljare/tank enligt anmält tömningsintervall</t>
        </is>
      </c>
      <c r="E215" s="68" t="inlineStr">
        <is>
          <t>kr/tillfälle</t>
        </is>
      </c>
      <c r="F215" s="106" t="n"/>
      <c r="G215" s="116">
        <f>IF($F215&lt;&gt;"",$F215,IFERROR(_xlfn.XLOOKUP(ROW(),Taxa_Saknas!$H:$H,Taxa_Saknas!$G:$G),""))</f>
        <v/>
      </c>
      <c r="H215" s="126">
        <f>IF($F215&lt;&gt;"",IFERROR(_xlfn.XLOOKUP($F215,Taxa_från_edp!$B:$B,Taxa_från_edp!C:C),""),"")</f>
        <v/>
      </c>
      <c r="I215" s="127">
        <f>IF($F215&lt;&gt;"",IFERROR(_xlfn.XLOOKUP($F215,Taxa_från_edp!$B:$B,Taxa_från_edp!G:G),""),"")</f>
        <v/>
      </c>
      <c r="J215" s="127">
        <f>IF($F215&lt;&gt;"",IFERROR(_xlfn.XLOOKUP($F215,Taxa_från_edp!$B:$B,Taxa_från_edp!K:K),""),"")</f>
        <v/>
      </c>
      <c r="K215" s="145" t="n"/>
      <c r="L215" s="146" t="n"/>
      <c r="M215" s="147">
        <f>IFERROR(IF(J215&lt;&gt;"",J215*1.25,IF(K215&lt;&gt;"",K215*1.25,"")),"")</f>
        <v/>
      </c>
      <c r="N215" s="148">
        <f>IFERROR(IF(J215&lt;&gt;"",L215*J215,IF(K215&lt;&gt;"",L215*K215,"")),"")</f>
        <v/>
      </c>
      <c r="O215" t="inlineStr">
        <is>
          <t>REVIEW_REQUIRED</t>
        </is>
      </c>
      <c r="P215" t="inlineStr">
        <is>
          <t>Bästa semantiska kandidat saknar taxekod</t>
        </is>
      </c>
      <c r="Q215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6" ht="30" customHeight="1">
      <c r="A216" s="100" t="inlineStr">
        <is>
          <t>§5.1.1</t>
        </is>
      </c>
      <c r="B216" s="68" t="inlineStr">
        <is>
          <t>Ordinarie tömning av fettavskiljare</t>
        </is>
      </c>
      <c r="C216" s="68" t="inlineStr">
        <is>
          <t>Mellan 3 m3 och 6 m3</t>
        </is>
      </c>
      <c r="D216" s="68" t="inlineStr">
        <is>
          <t>Tömning, transport och behandling av fettavskiljare/tank enligt anmält tömningsintervall</t>
        </is>
      </c>
      <c r="E216" s="68" t="inlineStr">
        <is>
          <t>kr/tillfälle</t>
        </is>
      </c>
      <c r="F216" s="106" t="n"/>
      <c r="G216" s="116">
        <f>IF($F216&lt;&gt;"",$F216,IFERROR(_xlfn.XLOOKUP(ROW(),Taxa_Saknas!$H:$H,Taxa_Saknas!$G:$G),""))</f>
        <v/>
      </c>
      <c r="H216" s="126">
        <f>IF($F216&lt;&gt;"",IFERROR(_xlfn.XLOOKUP($F216,Taxa_från_edp!$B:$B,Taxa_från_edp!C:C),""),"")</f>
        <v/>
      </c>
      <c r="I216" s="127">
        <f>IF($F216&lt;&gt;"",IFERROR(_xlfn.XLOOKUP($F216,Taxa_från_edp!$B:$B,Taxa_från_edp!G:G),""),"")</f>
        <v/>
      </c>
      <c r="J216" s="127">
        <f>IF($F216&lt;&gt;"",IFERROR(_xlfn.XLOOKUP($F216,Taxa_från_edp!$B:$B,Taxa_från_edp!K:K),""),"")</f>
        <v/>
      </c>
      <c r="K216" s="145" t="n"/>
      <c r="L216" s="146" t="n"/>
      <c r="M216" s="147">
        <f>IFERROR(IF(J216&lt;&gt;"",J216*1.25,IF(K216&lt;&gt;"",K216*1.25,"")),"")</f>
        <v/>
      </c>
      <c r="N216" s="148">
        <f>IFERROR(IF(J216&lt;&gt;"",L216*J216,IF(K216&lt;&gt;"",L216*K216,"")),"")</f>
        <v/>
      </c>
      <c r="O216" t="inlineStr">
        <is>
          <t>REVIEW_REQUIRED</t>
        </is>
      </c>
      <c r="P216" t="inlineStr">
        <is>
          <t>Bästa semantiska kandidat saknar taxekod</t>
        </is>
      </c>
      <c r="Q216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7" ht="30" customHeight="1">
      <c r="A217" s="100" t="inlineStr">
        <is>
          <t>§5.1.1</t>
        </is>
      </c>
      <c r="B217" s="68" t="inlineStr">
        <is>
          <t>Ordinarie tömning av fettavskiljare</t>
        </is>
      </c>
      <c r="C217" s="68" t="inlineStr">
        <is>
          <t>Över 6 m3</t>
        </is>
      </c>
      <c r="D217" s="68" t="inlineStr">
        <is>
          <t>Tömning, transport och behandling av fettavskiljare/tank enligt anmält tömningsintervall</t>
        </is>
      </c>
      <c r="E217" s="68" t="inlineStr">
        <is>
          <t>kr/tillfälle</t>
        </is>
      </c>
      <c r="F217" s="106" t="n"/>
      <c r="G217" s="116">
        <f>IF($F217&lt;&gt;"",$F217,IFERROR(_xlfn.XLOOKUP(ROW(),Taxa_Saknas!$H:$H,Taxa_Saknas!$G:$G),""))</f>
        <v/>
      </c>
      <c r="H217" s="126">
        <f>IF($F217&lt;&gt;"",IFERROR(_xlfn.XLOOKUP($F217,Taxa_från_edp!$B:$B,Taxa_från_edp!C:C),""),"")</f>
        <v/>
      </c>
      <c r="I217" s="127">
        <f>IF($F217&lt;&gt;"",IFERROR(_xlfn.XLOOKUP($F217,Taxa_från_edp!$B:$B,Taxa_från_edp!G:G),""),"")</f>
        <v/>
      </c>
      <c r="J217" s="127">
        <f>IF($F217&lt;&gt;"",IFERROR(_xlfn.XLOOKUP($F217,Taxa_från_edp!$B:$B,Taxa_från_edp!K:K),""),"")</f>
        <v/>
      </c>
      <c r="K217" s="145" t="n"/>
      <c r="L217" s="146" t="n"/>
      <c r="M217" s="147">
        <f>IFERROR(IF(J217&lt;&gt;"",J217*1.25,IF(K217&lt;&gt;"",K217*1.25,"")),"")</f>
        <v/>
      </c>
      <c r="N217" s="148">
        <f>IFERROR(IF(J217&lt;&gt;"",L217*J217,IF(K217&lt;&gt;"",L217*K217,"")),"")</f>
        <v/>
      </c>
      <c r="O217" t="inlineStr">
        <is>
          <t>NEW_TAXA</t>
        </is>
      </c>
      <c r="P217" t="inlineStr">
        <is>
          <t>Ingen kandidat över granskningsgräns</t>
        </is>
      </c>
      <c r="Q21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8" ht="30" customHeight="1">
      <c r="A218" s="100" t="inlineStr">
        <is>
          <t>§5.1.1</t>
        </is>
      </c>
      <c r="B218" s="68" t="inlineStr">
        <is>
          <t>Ordinarie tömning av fettavskiljare</t>
        </is>
      </c>
      <c r="C218" s="68" t="inlineStr">
        <is>
          <t>Upp till 3 m3</t>
        </is>
      </c>
      <c r="D218" s="68" t="inlineStr">
        <is>
          <t>Tillägg för transport och behandlingskostnad</t>
        </is>
      </c>
      <c r="E218" s="68" t="inlineStr">
        <is>
          <t>kr/tillfälle</t>
        </is>
      </c>
      <c r="F218" s="107" t="n"/>
      <c r="G218" s="117">
        <f>IF($F218&lt;&gt;"",$F218,IFERROR(_xlfn.XLOOKUP(ROW(),Taxa_Saknas!$H:$H,Taxa_Saknas!$G:$G),""))</f>
        <v/>
      </c>
      <c r="H218" s="128">
        <f>IF($F218&lt;&gt;"",IFERROR(_xlfn.XLOOKUP($F218,Taxa_från_edp!$B:$B,Taxa_från_edp!C:C),""),"")</f>
        <v/>
      </c>
      <c r="I218" s="129">
        <f>IF($F218&lt;&gt;"",IFERROR(_xlfn.XLOOKUP($F218,Taxa_från_edp!$B:$B,Taxa_från_edp!G:G),""),"")</f>
        <v/>
      </c>
      <c r="J218" s="129">
        <f>IF($F218&lt;&gt;"",IFERROR(_xlfn.XLOOKUP($F218,Taxa_från_edp!$B:$B,Taxa_från_edp!K:K),""),"")</f>
        <v/>
      </c>
      <c r="K218" s="150" t="n"/>
      <c r="L218" s="151" t="n"/>
      <c r="M218" s="147">
        <f>IFERROR(IF(J218&lt;&gt;"",J218*1.25,IF(K218&lt;&gt;"",K218*1.25,"")),"")</f>
        <v/>
      </c>
      <c r="N218" s="148">
        <f>IFERROR(IF(J218&lt;&gt;"",L218*J218,IF(K218&lt;&gt;"",L218*K218,"")),"")</f>
        <v/>
      </c>
      <c r="O218" t="inlineStr">
        <is>
          <t>NEW_TAXA</t>
        </is>
      </c>
      <c r="P218" t="inlineStr">
        <is>
          <t>Ingen kandidat över granskningsgräns</t>
        </is>
      </c>
      <c r="Q21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19" ht="30" customHeight="1">
      <c r="A219" s="100" t="inlineStr">
        <is>
          <t>§5.1.1</t>
        </is>
      </c>
      <c r="B219" s="68" t="inlineStr">
        <is>
          <t>Ordinarie tömning av fettavskiljare</t>
        </is>
      </c>
      <c r="C219" s="68" t="inlineStr">
        <is>
          <t>Mellan 3 m3 och 6 m3</t>
        </is>
      </c>
      <c r="D219" s="68" t="inlineStr">
        <is>
          <t>Tillägg för transport och behandlingskostnad</t>
        </is>
      </c>
      <c r="E219" s="68" t="inlineStr">
        <is>
          <t>kr/tillfälle</t>
        </is>
      </c>
      <c r="F219" s="107" t="n"/>
      <c r="G219" s="117">
        <f>IF($F219&lt;&gt;"",$F219,IFERROR(_xlfn.XLOOKUP(ROW(),Taxa_Saknas!$H:$H,Taxa_Saknas!$G:$G),""))</f>
        <v/>
      </c>
      <c r="H219" s="128">
        <f>IF($F219&lt;&gt;"",IFERROR(_xlfn.XLOOKUP($F219,Taxa_från_edp!$B:$B,Taxa_från_edp!C:C),""),"")</f>
        <v/>
      </c>
      <c r="I219" s="129">
        <f>IF($F219&lt;&gt;"",IFERROR(_xlfn.XLOOKUP($F219,Taxa_från_edp!$B:$B,Taxa_från_edp!G:G),""),"")</f>
        <v/>
      </c>
      <c r="J219" s="129">
        <f>IF($F219&lt;&gt;"",IFERROR(_xlfn.XLOOKUP($F219,Taxa_från_edp!$B:$B,Taxa_från_edp!K:K),""),"")</f>
        <v/>
      </c>
      <c r="K219" s="150" t="n"/>
      <c r="L219" s="151" t="n"/>
      <c r="M219" s="147">
        <f>IFERROR(IF(J219&lt;&gt;"",J219*1.25,IF(K219&lt;&gt;"",K219*1.25,"")),"")</f>
        <v/>
      </c>
      <c r="N219" s="148">
        <f>IFERROR(IF(J219&lt;&gt;"",L219*J219,IF(K219&lt;&gt;"",L219*K219,"")),"")</f>
        <v/>
      </c>
      <c r="O219" t="inlineStr">
        <is>
          <t>REVIEW_REQUIRED</t>
        </is>
      </c>
      <c r="P219" t="inlineStr">
        <is>
          <t>Bästa semantiska kandidat saknar taxekod</t>
        </is>
      </c>
      <c r="Q219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220" ht="30" customHeight="1">
      <c r="A220" s="100" t="inlineStr">
        <is>
          <t>§5.1.1</t>
        </is>
      </c>
      <c r="B220" s="68" t="inlineStr">
        <is>
          <t>Ordinarie tömning av fettavskiljare</t>
        </is>
      </c>
      <c r="C220" s="68" t="inlineStr">
        <is>
          <t>Över 6 m3</t>
        </is>
      </c>
      <c r="D220" s="68" t="inlineStr">
        <is>
          <t>Tillägg för transport och behandlingskostnad</t>
        </is>
      </c>
      <c r="E220" s="68" t="inlineStr">
        <is>
          <t>kr/tillfälle</t>
        </is>
      </c>
      <c r="F220" s="106" t="n"/>
      <c r="G220" s="116">
        <f>IF($F220&lt;&gt;"",$F220,IFERROR(_xlfn.XLOOKUP(ROW(),Taxa_Saknas!$H:$H,Taxa_Saknas!$G:$G),""))</f>
        <v/>
      </c>
      <c r="H220" s="126">
        <f>IF($F220&lt;&gt;"",IFERROR(_xlfn.XLOOKUP($F220,Taxa_från_edp!$B:$B,Taxa_från_edp!C:C),""),"")</f>
        <v/>
      </c>
      <c r="I220" s="127">
        <f>IF($F220&lt;&gt;"",IFERROR(_xlfn.XLOOKUP($F220,Taxa_från_edp!$B:$B,Taxa_från_edp!G:G),""),"")</f>
        <v/>
      </c>
      <c r="J220" s="127">
        <f>IF($F220&lt;&gt;"",IFERROR(_xlfn.XLOOKUP($F220,Taxa_från_edp!$B:$B,Taxa_från_edp!K:K),""),"")</f>
        <v/>
      </c>
      <c r="K220" s="145" t="n"/>
      <c r="L220" s="146" t="n"/>
      <c r="M220" s="147">
        <f>IFERROR(IF(J220&lt;&gt;"",J220*1.25,IF(K220&lt;&gt;"",K220*1.25,"")),"")</f>
        <v/>
      </c>
      <c r="N220" s="148">
        <f>IFERROR(IF(J220&lt;&gt;"",L220*J220,IF(K220&lt;&gt;"",L220*K220,"")),"")</f>
        <v/>
      </c>
      <c r="O220" t="inlineStr">
        <is>
          <t>REVIEW_REQUIRED</t>
        </is>
      </c>
      <c r="P220" t="inlineStr">
        <is>
          <t>Bästa semantiska kandidat saknar taxekod</t>
        </is>
      </c>
      <c r="Q220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221" ht="21.95" customHeight="1">
      <c r="A221" s="93" t="inlineStr">
        <is>
          <t>§5.2 Tilläggstjänster fettavskiljare</t>
        </is>
      </c>
      <c r="B221" s="84" t="n"/>
      <c r="C221" s="84" t="n"/>
      <c r="D221" s="84" t="n"/>
      <c r="E221" s="85" t="n"/>
      <c r="F221" s="112" t="n"/>
      <c r="G221" s="120">
        <f>IF($F221&lt;&gt;"",$F221,IFERROR(_xlfn.XLOOKUP(ROW(),Taxa_Saknas!$H:$H,Taxa_Saknas!$G:$G),""))</f>
        <v/>
      </c>
      <c r="H221" s="120">
        <f>IF($F221&lt;&gt;"",IFERROR(_xlfn.XLOOKUP($F221,Taxa_från_edp!$B:$B,Taxa_från_edp!C:C),""),"")</f>
        <v/>
      </c>
      <c r="I221" s="120">
        <f>IF($F221&lt;&gt;"",IFERROR(_xlfn.XLOOKUP($F221,Taxa_från_edp!$B:$B,Taxa_från_edp!G:G),""),"")</f>
        <v/>
      </c>
      <c r="J221" s="120">
        <f>IF($F221&lt;&gt;"",IFERROR(_xlfn.XLOOKUP($F221,Taxa_från_edp!$B:$B,Taxa_från_edp!K:K),""),"")</f>
        <v/>
      </c>
      <c r="K221" s="120" t="n"/>
      <c r="L221" s="120" t="n"/>
      <c r="M221" s="120">
        <f>IFERROR(IF(J221&lt;&gt;"",J221*1.25,IF(K221&lt;&gt;"",K221*1.25,"")),"")</f>
        <v/>
      </c>
      <c r="N221" s="143">
        <f>IFERROR(IF(J221&lt;&gt;"",L221*J221,IF(K221&lt;&gt;"",L221*K221,"")),"")</f>
        <v/>
      </c>
      <c r="O221" t="inlineStr">
        <is>
          <t>NEW_TAXA</t>
        </is>
      </c>
      <c r="P221" t="inlineStr">
        <is>
          <t>Ingen kandidat över granskningsgräns</t>
        </is>
      </c>
      <c r="Q2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2" ht="21.95" customHeight="1">
      <c r="A222" s="101" t="inlineStr">
        <is>
          <t>§5.2.1 Tilläggstjänster fettavskiljare</t>
        </is>
      </c>
      <c r="B222" s="84" t="n"/>
      <c r="C222" s="84" t="n"/>
      <c r="D222" s="84" t="n"/>
      <c r="E222" s="85" t="n"/>
      <c r="F222" s="114" t="n"/>
      <c r="G222" s="122">
        <f>IF($F222&lt;&gt;"",$F222,IFERROR(_xlfn.XLOOKUP(ROW(),Taxa_Saknas!$H:$H,Taxa_Saknas!$G:$G),""))</f>
        <v/>
      </c>
      <c r="H222" s="122">
        <f>IF($F222&lt;&gt;"",IFERROR(_xlfn.XLOOKUP($F222,Taxa_från_edp!$B:$B,Taxa_från_edp!C:C),""),"")</f>
        <v/>
      </c>
      <c r="I222" s="149">
        <f>IF($F222&lt;&gt;"",IFERROR(_xlfn.XLOOKUP($F222,Taxa_från_edp!$B:$B,Taxa_från_edp!G:G),""),"")</f>
        <v/>
      </c>
      <c r="J222" s="149">
        <f>IF($F222&lt;&gt;"",IFERROR(_xlfn.XLOOKUP($F222,Taxa_från_edp!$B:$B,Taxa_från_edp!K:K),""),"")</f>
        <v/>
      </c>
      <c r="K222" s="149" t="n"/>
      <c r="L222" s="149" t="n"/>
      <c r="M222" s="121">
        <f>IFERROR(IF(J222&lt;&gt;"",J222*1.25,IF(K222&lt;&gt;"",K222*1.25,"")),"")</f>
        <v/>
      </c>
      <c r="N222" s="144">
        <f>IFERROR(IF(J222&lt;&gt;"",L222*J222,IF(K222&lt;&gt;"",L222*K222,"")),"")</f>
        <v/>
      </c>
      <c r="O222" t="inlineStr">
        <is>
          <t>NEW_TAXA</t>
        </is>
      </c>
      <c r="P222" t="inlineStr">
        <is>
          <t>Ingen kandidat över granskningsgräns</t>
        </is>
      </c>
      <c r="Q22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3" ht="30" customHeight="1">
      <c r="A223" s="100" t="inlineStr">
        <is>
          <t>§5.2.1</t>
        </is>
      </c>
      <c r="B223" s="68" t="inlineStr">
        <is>
          <t>Tilläggstjänster fettavskiljare</t>
        </is>
      </c>
      <c r="C223" s="68" t="inlineStr">
        <is>
          <t>Dragning av extra slang vid 5-25 m</t>
        </is>
      </c>
      <c r="D223" s="68" t="n"/>
      <c r="E223" s="68" t="inlineStr">
        <is>
          <t>kr/tillfälle</t>
        </is>
      </c>
      <c r="F223" s="106" t="n"/>
      <c r="G223" s="116">
        <f>IF($F223&lt;&gt;"",$F223,IFERROR(_xlfn.XLOOKUP(ROW(),Taxa_Saknas!$H:$H,Taxa_Saknas!$G:$G),""))</f>
        <v/>
      </c>
      <c r="H223" s="126">
        <f>IF($F223&lt;&gt;"",IFERROR(_xlfn.XLOOKUP($F223,Taxa_från_edp!$B:$B,Taxa_från_edp!C:C),""),"")</f>
        <v/>
      </c>
      <c r="I223" s="127">
        <f>IF($F223&lt;&gt;"",IFERROR(_xlfn.XLOOKUP($F223,Taxa_från_edp!$B:$B,Taxa_från_edp!G:G),""),"")</f>
        <v/>
      </c>
      <c r="J223" s="127">
        <f>IF($F223&lt;&gt;"",IFERROR(_xlfn.XLOOKUP($F223,Taxa_från_edp!$B:$B,Taxa_från_edp!K:K),""),"")</f>
        <v/>
      </c>
      <c r="K223" s="145" t="n"/>
      <c r="L223" s="146" t="n"/>
      <c r="M223" s="147">
        <f>IFERROR(IF(J223&lt;&gt;"",J223*1.25,IF(K223&lt;&gt;"",K223*1.25,"")),"")</f>
        <v/>
      </c>
      <c r="N223" s="148">
        <f>IFERROR(IF(J223&lt;&gt;"",L223*J223,IF(K223&lt;&gt;"",L223*K223,"")),"")</f>
        <v/>
      </c>
      <c r="O223" t="inlineStr">
        <is>
          <t>REVIEW_REQUIRED</t>
        </is>
      </c>
      <c r="P223" t="inlineStr">
        <is>
          <t>Bästa semantiska kandidat saknar taxekod</t>
        </is>
      </c>
      <c r="Q223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4" ht="30" customHeight="1">
      <c r="A224" s="100" t="inlineStr">
        <is>
          <t>§5.2.1</t>
        </is>
      </c>
      <c r="B224" s="68" t="inlineStr">
        <is>
          <t>Tilläggstjänster fettavskiljare</t>
        </is>
      </c>
      <c r="C224" s="68" t="inlineStr">
        <is>
          <t>Dragning av extra slang vid 25-35 m</t>
        </is>
      </c>
      <c r="D224" s="68" t="n"/>
      <c r="E224" s="68" t="inlineStr">
        <is>
          <t>kr/tillfälle</t>
        </is>
      </c>
      <c r="F224" s="106" t="n"/>
      <c r="G224" s="116">
        <f>IF($F224&lt;&gt;"",$F224,IFERROR(_xlfn.XLOOKUP(ROW(),Taxa_Saknas!$H:$H,Taxa_Saknas!$G:$G),""))</f>
        <v/>
      </c>
      <c r="H224" s="126">
        <f>IF($F224&lt;&gt;"",IFERROR(_xlfn.XLOOKUP($F224,Taxa_från_edp!$B:$B,Taxa_från_edp!C:C),""),"")</f>
        <v/>
      </c>
      <c r="I224" s="127">
        <f>IF($F224&lt;&gt;"",IFERROR(_xlfn.XLOOKUP($F224,Taxa_från_edp!$B:$B,Taxa_från_edp!G:G),""),"")</f>
        <v/>
      </c>
      <c r="J224" s="127">
        <f>IF($F224&lt;&gt;"",IFERROR(_xlfn.XLOOKUP($F224,Taxa_från_edp!$B:$B,Taxa_från_edp!K:K),""),"")</f>
        <v/>
      </c>
      <c r="K224" s="145" t="n"/>
      <c r="L224" s="146" t="n"/>
      <c r="M224" s="147">
        <f>IFERROR(IF(J224&lt;&gt;"",J224*1.25,IF(K224&lt;&gt;"",K224*1.25,"")),"")</f>
        <v/>
      </c>
      <c r="N224" s="148">
        <f>IFERROR(IF(J224&lt;&gt;"",L224*J224,IF(K224&lt;&gt;"",L224*K224,"")),"")</f>
        <v/>
      </c>
      <c r="O224" t="inlineStr">
        <is>
          <t>REVIEW_REQUIRED</t>
        </is>
      </c>
      <c r="P224" t="inlineStr">
        <is>
          <t>Bästa semantiska kandidat saknar taxekod</t>
        </is>
      </c>
      <c r="Q224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5" ht="30" customHeight="1">
      <c r="A225" s="100" t="inlineStr">
        <is>
          <t>§5.2.1</t>
        </is>
      </c>
      <c r="B225" s="68" t="inlineStr">
        <is>
          <t>Tilläggstjänster fettavskiljare</t>
        </is>
      </c>
      <c r="C225" s="68" t="inlineStr">
        <is>
          <t>Dragning av extra slang vid 36-45 m</t>
        </is>
      </c>
      <c r="D225" s="68" t="n"/>
      <c r="E225" s="68" t="inlineStr">
        <is>
          <t>kr/tillfälle</t>
        </is>
      </c>
      <c r="F225" s="106" t="n"/>
      <c r="G225" s="116">
        <f>IF($F225&lt;&gt;"",$F225,IFERROR(_xlfn.XLOOKUP(ROW(),Taxa_Saknas!$H:$H,Taxa_Saknas!$G:$G),""))</f>
        <v/>
      </c>
      <c r="H225" s="126">
        <f>IF($F225&lt;&gt;"",IFERROR(_xlfn.XLOOKUP($F225,Taxa_från_edp!$B:$B,Taxa_från_edp!C:C),""),"")</f>
        <v/>
      </c>
      <c r="I225" s="127">
        <f>IF($F225&lt;&gt;"",IFERROR(_xlfn.XLOOKUP($F225,Taxa_från_edp!$B:$B,Taxa_från_edp!G:G),""),"")</f>
        <v/>
      </c>
      <c r="J225" s="127">
        <f>IF($F225&lt;&gt;"",IFERROR(_xlfn.XLOOKUP($F225,Taxa_från_edp!$B:$B,Taxa_från_edp!K:K),""),"")</f>
        <v/>
      </c>
      <c r="K225" s="145" t="n"/>
      <c r="L225" s="146" t="n"/>
      <c r="M225" s="147">
        <f>IFERROR(IF(J225&lt;&gt;"",J225*1.25,IF(K225&lt;&gt;"",K225*1.25,"")),"")</f>
        <v/>
      </c>
      <c r="N225" s="148">
        <f>IFERROR(IF(J225&lt;&gt;"",L225*J225,IF(K225&lt;&gt;"",L225*K225,"")),"")</f>
        <v/>
      </c>
      <c r="O225" t="inlineStr">
        <is>
          <t>REVIEW_REQUIRED</t>
        </is>
      </c>
      <c r="P225" t="inlineStr">
        <is>
          <t>Bästa semantiska kandidat saknar taxekod</t>
        </is>
      </c>
      <c r="Q225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6" ht="30" customHeight="1">
      <c r="A226" s="100" t="inlineStr">
        <is>
          <t>§5.2.1</t>
        </is>
      </c>
      <c r="B226" s="68" t="inlineStr">
        <is>
          <t>Tilläggstjänster fettavskiljare</t>
        </is>
      </c>
      <c r="C226" s="100" t="inlineStr">
        <is>
          <t>Dragning av extra slang vid 46-55 m</t>
        </is>
      </c>
      <c r="D226" s="68" t="n"/>
      <c r="E226" s="68" t="inlineStr">
        <is>
          <t>kr/tillfälle</t>
        </is>
      </c>
      <c r="F226" s="106" t="n"/>
      <c r="G226" s="116">
        <f>IF($F226&lt;&gt;"",$F226,IFERROR(_xlfn.XLOOKUP(ROW(),Taxa_Saknas!$H:$H,Taxa_Saknas!$G:$G),""))</f>
        <v/>
      </c>
      <c r="H226" s="126">
        <f>IF($F226&lt;&gt;"",IFERROR(_xlfn.XLOOKUP($F226,Taxa_från_edp!$B:$B,Taxa_från_edp!C:C),""),"")</f>
        <v/>
      </c>
      <c r="I226" s="127">
        <f>IF($F226&lt;&gt;"",IFERROR(_xlfn.XLOOKUP($F226,Taxa_från_edp!$B:$B,Taxa_från_edp!G:G),""),"")</f>
        <v/>
      </c>
      <c r="J226" s="127">
        <f>IF($F226&lt;&gt;"",IFERROR(_xlfn.XLOOKUP($F226,Taxa_från_edp!$B:$B,Taxa_från_edp!K:K),""),"")</f>
        <v/>
      </c>
      <c r="K226" s="145" t="n"/>
      <c r="L226" s="146" t="n"/>
      <c r="M226" s="147">
        <f>IFERROR(IF(J226&lt;&gt;"",J226*1.25,IF(K226&lt;&gt;"",K226*1.25,"")),"")</f>
        <v/>
      </c>
      <c r="N226" s="148">
        <f>IFERROR(IF(J226&lt;&gt;"",L226*J226,IF(K226&lt;&gt;"",L226*K226,"")),"")</f>
        <v/>
      </c>
      <c r="O226" t="inlineStr">
        <is>
          <t>REVIEW_REQUIRED</t>
        </is>
      </c>
      <c r="P226" t="inlineStr">
        <is>
          <t>Bästa semantiska kandidat saknar taxekod</t>
        </is>
      </c>
      <c r="Q226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227" ht="30" customHeight="1">
      <c r="A227" s="100" t="inlineStr">
        <is>
          <t>§5.2.1</t>
        </is>
      </c>
      <c r="B227" s="68" t="inlineStr">
        <is>
          <t>Tilläggstjänster fettavskiljare</t>
        </is>
      </c>
      <c r="C227" s="68" t="inlineStr">
        <is>
          <t>Hantering av brunnslock som väger 15-25 kg</t>
        </is>
      </c>
      <c r="D227" s="68" t="n"/>
      <c r="E227" s="68" t="inlineStr">
        <is>
          <t>kr/tillfälle</t>
        </is>
      </c>
      <c r="F227" s="106" t="n"/>
      <c r="G227" s="116">
        <f>IF($F227&lt;&gt;"",$F227,IFERROR(_xlfn.XLOOKUP(ROW(),Taxa_Saknas!$H:$H,Taxa_Saknas!$G:$G),""))</f>
        <v/>
      </c>
      <c r="H227" s="126">
        <f>IF($F227&lt;&gt;"",IFERROR(_xlfn.XLOOKUP($F227,Taxa_från_edp!$B:$B,Taxa_från_edp!C:C),""),"")</f>
        <v/>
      </c>
      <c r="I227" s="127">
        <f>IF($F227&lt;&gt;"",IFERROR(_xlfn.XLOOKUP($F227,Taxa_från_edp!$B:$B,Taxa_från_edp!G:G),""),"")</f>
        <v/>
      </c>
      <c r="J227" s="127">
        <f>IF($F227&lt;&gt;"",IFERROR(_xlfn.XLOOKUP($F227,Taxa_från_edp!$B:$B,Taxa_från_edp!K:K),""),"")</f>
        <v/>
      </c>
      <c r="K227" s="145" t="n"/>
      <c r="L227" s="146" t="n"/>
      <c r="M227" s="147">
        <f>IFERROR(IF(J227&lt;&gt;"",J227*1.25,IF(K227&lt;&gt;"",K227*1.25,"")),"")</f>
        <v/>
      </c>
      <c r="N227" s="148">
        <f>IFERROR(IF(J227&lt;&gt;"",L227*J227,IF(K227&lt;&gt;"",L227*K227,"")),"")</f>
        <v/>
      </c>
      <c r="O227" t="inlineStr">
        <is>
          <t>REVIEW_REQUIRED</t>
        </is>
      </c>
      <c r="P227" t="inlineStr">
        <is>
          <t>Bästa semantiska kandidat saknar taxekod</t>
        </is>
      </c>
      <c r="Q227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228" ht="30" customHeight="1">
      <c r="A228" s="100" t="inlineStr">
        <is>
          <t>§5.2.1</t>
        </is>
      </c>
      <c r="B228" s="68" t="inlineStr">
        <is>
          <t>Tilläggstjänster fettavskiljare</t>
        </is>
      </c>
      <c r="C228" s="68" t="inlineStr">
        <is>
          <t>Krav på information om tömningstid</t>
        </is>
      </c>
      <c r="D228" s="68" t="n"/>
      <c r="E228" s="68" t="inlineStr">
        <is>
          <t>kr/tillfälle</t>
        </is>
      </c>
      <c r="F228" s="106" t="n"/>
      <c r="G228" s="116">
        <f>IF($F228&lt;&gt;"",$F228,IFERROR(_xlfn.XLOOKUP(ROW(),Taxa_Saknas!$H:$H,Taxa_Saknas!$G:$G),""))</f>
        <v/>
      </c>
      <c r="H228" s="126">
        <f>IF($F228&lt;&gt;"",IFERROR(_xlfn.XLOOKUP($F228,Taxa_från_edp!$B:$B,Taxa_från_edp!C:C),""),"")</f>
        <v/>
      </c>
      <c r="I228" s="127">
        <f>IF($F228&lt;&gt;"",IFERROR(_xlfn.XLOOKUP($F228,Taxa_från_edp!$B:$B,Taxa_från_edp!G:G),""),"")</f>
        <v/>
      </c>
      <c r="J228" s="127">
        <f>IF($F228&lt;&gt;"",IFERROR(_xlfn.XLOOKUP($F228,Taxa_från_edp!$B:$B,Taxa_från_edp!K:K),""),"")</f>
        <v/>
      </c>
      <c r="K228" s="145" t="n"/>
      <c r="L228" s="146" t="n"/>
      <c r="M228" s="147">
        <f>IFERROR(IF(J228&lt;&gt;"",J228*1.25,IF(K228&lt;&gt;"",K228*1.25,"")),"")</f>
        <v/>
      </c>
      <c r="N228" s="148">
        <f>IFERROR(IF(J228&lt;&gt;"",L228*J228,IF(K228&lt;&gt;"",L228*K228,"")),"")</f>
        <v/>
      </c>
      <c r="O228" t="inlineStr">
        <is>
          <t>REVIEW_REQUIRED</t>
        </is>
      </c>
      <c r="P228" t="inlineStr">
        <is>
          <t>Bästa semantiska kandidat saknar taxekod</t>
        </is>
      </c>
      <c r="Q228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229" ht="30" customHeight="1">
      <c r="A229" s="100" t="inlineStr">
        <is>
          <t>§5.2.1</t>
        </is>
      </c>
      <c r="B229" s="68" t="inlineStr">
        <is>
          <t>Tilläggstjänster fettavskiljare</t>
        </is>
      </c>
      <c r="C229" s="68" t="inlineStr">
        <is>
          <t>Krav på närvaro vid specifiserad tömningstid</t>
        </is>
      </c>
      <c r="D229" s="68" t="n"/>
      <c r="E229" s="68" t="inlineStr">
        <is>
          <t>kr/tillfälle</t>
        </is>
      </c>
      <c r="F229" s="106" t="n"/>
      <c r="G229" s="116">
        <f>IF($F229&lt;&gt;"",$F229,IFERROR(_xlfn.XLOOKUP(ROW(),Taxa_Saknas!$H:$H,Taxa_Saknas!$G:$G),""))</f>
        <v/>
      </c>
      <c r="H229" s="126">
        <f>IF($F229&lt;&gt;"",IFERROR(_xlfn.XLOOKUP($F229,Taxa_från_edp!$B:$B,Taxa_från_edp!C:C),""),"")</f>
        <v/>
      </c>
      <c r="I229" s="127">
        <f>IF($F229&lt;&gt;"",IFERROR(_xlfn.XLOOKUP($F229,Taxa_från_edp!$B:$B,Taxa_från_edp!G:G),""),"")</f>
        <v/>
      </c>
      <c r="J229" s="127">
        <f>IF($F229&lt;&gt;"",IFERROR(_xlfn.XLOOKUP($F229,Taxa_från_edp!$B:$B,Taxa_från_edp!K:K),""),"")</f>
        <v/>
      </c>
      <c r="K229" s="145" t="n"/>
      <c r="L229" s="146" t="n"/>
      <c r="M229" s="147">
        <f>IFERROR(IF(J229&lt;&gt;"",J229*1.25,IF(K229&lt;&gt;"",K229*1.25,"")),"")</f>
        <v/>
      </c>
      <c r="N229" s="148">
        <f>IFERROR(IF(J229&lt;&gt;"",L229*J229,IF(K229&lt;&gt;"",L229*K229,"")),"")</f>
        <v/>
      </c>
      <c r="O229" t="inlineStr">
        <is>
          <t>REVIEW_REQUIRED</t>
        </is>
      </c>
      <c r="P229" t="inlineStr">
        <is>
          <t>Bästa semantiska kandidat saknar taxekod</t>
        </is>
      </c>
      <c r="Q229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230" ht="30" customHeight="1">
      <c r="A230" s="100" t="inlineStr">
        <is>
          <t>§5.2.1</t>
        </is>
      </c>
      <c r="B230" s="68" t="inlineStr">
        <is>
          <t>Tilläggstjänster fettavskiljare</t>
        </is>
      </c>
      <c r="C230" s="68" t="inlineStr">
        <is>
          <t>Hantering av kod för kodlås vid tömning</t>
        </is>
      </c>
      <c r="D230" s="68" t="n"/>
      <c r="E230" s="68" t="inlineStr">
        <is>
          <t>kr/tillfälle</t>
        </is>
      </c>
      <c r="F230" s="106" t="n"/>
      <c r="G230" s="116">
        <f>IF($F230&lt;&gt;"",$F230,IFERROR(_xlfn.XLOOKUP(ROW(),Taxa_Saknas!$H:$H,Taxa_Saknas!$G:$G),""))</f>
        <v/>
      </c>
      <c r="H230" s="126">
        <f>IF($F230&lt;&gt;"",IFERROR(_xlfn.XLOOKUP($F230,Taxa_från_edp!$B:$B,Taxa_från_edp!C:C),""),"")</f>
        <v/>
      </c>
      <c r="I230" s="127">
        <f>IF($F230&lt;&gt;"",IFERROR(_xlfn.XLOOKUP($F230,Taxa_från_edp!$B:$B,Taxa_från_edp!G:G),""),"")</f>
        <v/>
      </c>
      <c r="J230" s="127">
        <f>IF($F230&lt;&gt;"",IFERROR(_xlfn.XLOOKUP($F230,Taxa_från_edp!$B:$B,Taxa_från_edp!K:K),""),"")</f>
        <v/>
      </c>
      <c r="K230" s="145" t="n"/>
      <c r="L230" s="146" t="n"/>
      <c r="M230" s="147">
        <f>IFERROR(IF(J230&lt;&gt;"",J230*1.25,IF(K230&lt;&gt;"",K230*1.25,"")),"")</f>
        <v/>
      </c>
      <c r="N230" s="148">
        <f>IFERROR(IF(J230&lt;&gt;"",L230*J230,IF(K230&lt;&gt;"",L230*K230,"")),"")</f>
        <v/>
      </c>
      <c r="O230" t="inlineStr">
        <is>
          <t>REVIEW_REQUIRED</t>
        </is>
      </c>
      <c r="P230" t="inlineStr">
        <is>
          <t>Bästa semantiska kandidat saknar taxekod</t>
        </is>
      </c>
      <c r="Q230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231" ht="30" customHeight="1">
      <c r="A231" s="100" t="inlineStr">
        <is>
          <t>§5.2.1</t>
        </is>
      </c>
      <c r="B231" s="68" t="inlineStr">
        <is>
          <t>Tilläggstjänster fettavskiljare</t>
        </is>
      </c>
      <c r="C231" s="68" t="inlineStr">
        <is>
          <t>Hetvattentvätt med spolbil, timersättning</t>
        </is>
      </c>
      <c r="D231" s="68" t="n"/>
      <c r="E231" s="68" t="inlineStr">
        <is>
          <t>kr/tillfälle</t>
        </is>
      </c>
      <c r="F231" s="106" t="n"/>
      <c r="G231" s="116">
        <f>IF($F231&lt;&gt;"",$F231,IFERROR(_xlfn.XLOOKUP(ROW(),Taxa_Saknas!$H:$H,Taxa_Saknas!$G:$G),""))</f>
        <v/>
      </c>
      <c r="H231" s="126">
        <f>IF($F231&lt;&gt;"",IFERROR(_xlfn.XLOOKUP($F231,Taxa_från_edp!$B:$B,Taxa_från_edp!C:C),""),"")</f>
        <v/>
      </c>
      <c r="I231" s="127">
        <f>IF($F231&lt;&gt;"",IFERROR(_xlfn.XLOOKUP($F231,Taxa_från_edp!$B:$B,Taxa_från_edp!G:G),""),"")</f>
        <v/>
      </c>
      <c r="J231" s="127">
        <f>IF($F231&lt;&gt;"",IFERROR(_xlfn.XLOOKUP($F231,Taxa_från_edp!$B:$B,Taxa_från_edp!K:K),""),"")</f>
        <v/>
      </c>
      <c r="K231" s="145" t="n"/>
      <c r="L231" s="146" t="n"/>
      <c r="M231" s="147">
        <f>IFERROR(IF(J231&lt;&gt;"",J231*1.25,IF(K231&lt;&gt;"",K231*1.25,"")),"")</f>
        <v/>
      </c>
      <c r="N231" s="148">
        <f>IFERROR(IF(J231&lt;&gt;"",L231*J231,IF(K231&lt;&gt;"",L231*K231,"")),"")</f>
        <v/>
      </c>
      <c r="O231" t="inlineStr">
        <is>
          <t>NEW_TAXA</t>
        </is>
      </c>
      <c r="P231" t="inlineStr">
        <is>
          <t>Ingen semantisk kandidat hittades</t>
        </is>
      </c>
      <c r="Q231" t="inlineStr">
        <is>
          <t>Skapa/hantera som ny taxa eller komplettera regelverk.</t>
        </is>
      </c>
    </row>
    <row r="232" ht="30" customHeight="1">
      <c r="A232" s="100" t="inlineStr">
        <is>
          <t>§5.2.1</t>
        </is>
      </c>
      <c r="B232" s="68" t="inlineStr">
        <is>
          <t>Tilläggstjänster fettavskiljare</t>
        </is>
      </c>
      <c r="C232" s="68" t="inlineStr">
        <is>
          <t>Silikontätning per lock</t>
        </is>
      </c>
      <c r="D232" s="68" t="n"/>
      <c r="E232" s="68" t="inlineStr">
        <is>
          <t>kr/tillfälle</t>
        </is>
      </c>
      <c r="F232" s="107" t="n"/>
      <c r="G232" s="117">
        <f>IF($F232&lt;&gt;"",$F232,IFERROR(_xlfn.XLOOKUP(ROW(),Taxa_Saknas!$H:$H,Taxa_Saknas!$G:$G),""))</f>
        <v/>
      </c>
      <c r="H232" s="128">
        <f>IF($F232&lt;&gt;"",IFERROR(_xlfn.XLOOKUP($F232,Taxa_från_edp!$B:$B,Taxa_från_edp!C:C),""),"")</f>
        <v/>
      </c>
      <c r="I232" s="129">
        <f>IF($F232&lt;&gt;"",IFERROR(_xlfn.XLOOKUP($F232,Taxa_från_edp!$B:$B,Taxa_från_edp!G:G),""),"")</f>
        <v/>
      </c>
      <c r="J232" s="129">
        <f>IF($F232&lt;&gt;"",IFERROR(_xlfn.XLOOKUP($F232,Taxa_från_edp!$B:$B,Taxa_från_edp!K:K),""),"")</f>
        <v/>
      </c>
      <c r="K232" s="150" t="n"/>
      <c r="L232" s="151" t="n"/>
      <c r="M232" s="147">
        <f>IFERROR(IF(J232&lt;&gt;"",J232*1.25,IF(K232&lt;&gt;"",K232*1.25,"")),"")</f>
        <v/>
      </c>
      <c r="N232" s="148">
        <f>IFERROR(IF(J232&lt;&gt;"",L232*J232,IF(K232&lt;&gt;"",L232*K232,"")),"")</f>
        <v/>
      </c>
      <c r="O232" t="inlineStr">
        <is>
          <t>NEW_TAXA</t>
        </is>
      </c>
      <c r="P232" t="inlineStr">
        <is>
          <t>Ingen semantisk kandidat hittades</t>
        </is>
      </c>
      <c r="Q232" t="inlineStr">
        <is>
          <t>Skapa/hantera som ny taxa eller komplettera regelverk.</t>
        </is>
      </c>
    </row>
    <row r="233" ht="30" customHeight="1">
      <c r="A233" s="100" t="inlineStr">
        <is>
          <t>§5.2.1</t>
        </is>
      </c>
      <c r="B233" s="68" t="inlineStr">
        <is>
          <t>Tilläggstjänster fettavskiljare</t>
        </is>
      </c>
      <c r="C233" s="68" t="inlineStr">
        <is>
          <t>Avgift om tömning ej kan utföras pga hinder, bristande transportväg, betonglock, lock tyngre än 25 kg eller vägran</t>
        </is>
      </c>
      <c r="D233" s="68" t="n"/>
      <c r="E233" s="68" t="inlineStr">
        <is>
          <t>kr/tillfälle</t>
        </is>
      </c>
      <c r="F233" s="107" t="n"/>
      <c r="G233" s="117">
        <f>IF($F233&lt;&gt;"",$F233,IFERROR(_xlfn.XLOOKUP(ROW(),Taxa_Saknas!$H:$H,Taxa_Saknas!$G:$G),""))</f>
        <v/>
      </c>
      <c r="H233" s="128">
        <f>IF($F233&lt;&gt;"",IFERROR(_xlfn.XLOOKUP($F233,Taxa_från_edp!$B:$B,Taxa_från_edp!C:C),""),"")</f>
        <v/>
      </c>
      <c r="I233" s="129">
        <f>IF($F233&lt;&gt;"",IFERROR(_xlfn.XLOOKUP($F233,Taxa_från_edp!$B:$B,Taxa_från_edp!G:G),""),"")</f>
        <v/>
      </c>
      <c r="J233" s="129">
        <f>IF($F233&lt;&gt;"",IFERROR(_xlfn.XLOOKUP($F233,Taxa_från_edp!$B:$B,Taxa_från_edp!K:K),""),"")</f>
        <v/>
      </c>
      <c r="K233" s="150" t="n"/>
      <c r="L233" s="151" t="n"/>
      <c r="M233" s="147">
        <f>IFERROR(IF(J233&lt;&gt;"",J233*1.25,IF(K233&lt;&gt;"",K233*1.25,"")),"")</f>
        <v/>
      </c>
      <c r="N233" s="148">
        <f>IFERROR(IF(J233&lt;&gt;"",L233*J233,IF(K233&lt;&gt;"",L233*K233,"")),"")</f>
        <v/>
      </c>
      <c r="O233" t="inlineStr">
        <is>
          <t>NEW_TAXA</t>
        </is>
      </c>
      <c r="P233" t="inlineStr">
        <is>
          <t>Ingen semantisk kandidat hittades</t>
        </is>
      </c>
      <c r="Q233" t="inlineStr">
        <is>
          <t>Skapa/hantera som ny taxa eller komplettera regelverk.</t>
        </is>
      </c>
    </row>
    <row r="234" ht="30" customHeight="1">
      <c r="A234" s="100" t="inlineStr">
        <is>
          <t>§5.2.1</t>
        </is>
      </c>
      <c r="B234" s="68" t="inlineStr">
        <is>
          <t>Tilläggstjänster fettavskiljare</t>
        </is>
      </c>
      <c r="C234" s="68" t="inlineStr">
        <is>
          <t>Tömning av extra tank i samband med ordinarie/budad tömning upp till 5 m3</t>
        </is>
      </c>
      <c r="D234" s="68" t="n"/>
      <c r="E234" s="68" t="inlineStr">
        <is>
          <t>kr/tillfälle</t>
        </is>
      </c>
      <c r="F234" s="106" t="n"/>
      <c r="G234" s="116">
        <f>IF($F234&lt;&gt;"",$F234,IFERROR(_xlfn.XLOOKUP(ROW(),Taxa_Saknas!$H:$H,Taxa_Saknas!$G:$G),""))</f>
        <v/>
      </c>
      <c r="H234" s="126">
        <f>IF($F234&lt;&gt;"",IFERROR(_xlfn.XLOOKUP($F234,Taxa_från_edp!$B:$B,Taxa_från_edp!C:C),""),"")</f>
        <v/>
      </c>
      <c r="I234" s="127">
        <f>IF($F234&lt;&gt;"",IFERROR(_xlfn.XLOOKUP($F234,Taxa_från_edp!$B:$B,Taxa_från_edp!G:G),""),"")</f>
        <v/>
      </c>
      <c r="J234" s="127">
        <f>IF($F234&lt;&gt;"",IFERROR(_xlfn.XLOOKUP($F234,Taxa_från_edp!$B:$B,Taxa_från_edp!K:K),""),"")</f>
        <v/>
      </c>
      <c r="K234" s="145" t="n"/>
      <c r="L234" s="146" t="n"/>
      <c r="M234" s="147">
        <f>IFERROR(IF(J234&lt;&gt;"",J234*1.25,IF(K234&lt;&gt;"",K234*1.25,"")),"")</f>
        <v/>
      </c>
      <c r="N234" s="148">
        <f>IFERROR(IF(J234&lt;&gt;"",L234*J234,IF(K234&lt;&gt;"",L234*K234,"")),"")</f>
        <v/>
      </c>
      <c r="O234" t="inlineStr">
        <is>
          <t>NEW_TAXA</t>
        </is>
      </c>
      <c r="P234" t="inlineStr">
        <is>
          <t>Ingen semantisk kandidat hittades</t>
        </is>
      </c>
      <c r="Q234" t="inlineStr">
        <is>
          <t>Skapa/hantera som ny taxa eller komplettera regelverk.</t>
        </is>
      </c>
    </row>
    <row r="235" ht="21.95" customHeight="1">
      <c r="A235" s="93" t="inlineStr">
        <is>
          <t>§5.3 Övriga avgifter och tillägg fettavskiljare</t>
        </is>
      </c>
      <c r="B235" s="84" t="n"/>
      <c r="C235" s="84" t="n"/>
      <c r="D235" s="84" t="n"/>
      <c r="E235" s="85" t="n"/>
      <c r="F235" s="112" t="n"/>
      <c r="G235" s="120">
        <f>IF($F235&lt;&gt;"",$F235,IFERROR(_xlfn.XLOOKUP(ROW(),Taxa_Saknas!$H:$H,Taxa_Saknas!$G:$G),""))</f>
        <v/>
      </c>
      <c r="H235" s="120">
        <f>IF($F235&lt;&gt;"",IFERROR(_xlfn.XLOOKUP($F235,Taxa_från_edp!$B:$B,Taxa_från_edp!C:C),""),"")</f>
        <v/>
      </c>
      <c r="I235" s="120">
        <f>IF($F235&lt;&gt;"",IFERROR(_xlfn.XLOOKUP($F235,Taxa_från_edp!$B:$B,Taxa_från_edp!G:G),""),"")</f>
        <v/>
      </c>
      <c r="J235" s="120">
        <f>IF($F235&lt;&gt;"",IFERROR(_xlfn.XLOOKUP($F235,Taxa_från_edp!$B:$B,Taxa_från_edp!K:K),""),"")</f>
        <v/>
      </c>
      <c r="K235" s="120" t="n"/>
      <c r="L235" s="120" t="n"/>
      <c r="M235" s="120">
        <f>IFERROR(IF(J235&lt;&gt;"",J235*1.25,IF(K235&lt;&gt;"",K235*1.25,"")),"")</f>
        <v/>
      </c>
      <c r="N235" s="143">
        <f>IFERROR(IF(J235&lt;&gt;"",L235*J235,IF(K235&lt;&gt;"",L235*K235,"")),"")</f>
        <v/>
      </c>
      <c r="O235" t="inlineStr">
        <is>
          <t>NEW_TAXA</t>
        </is>
      </c>
      <c r="P235" t="inlineStr">
        <is>
          <t>Ingen semantisk kandidat hittades</t>
        </is>
      </c>
      <c r="Q235" t="inlineStr">
        <is>
          <t>Skapa/hantera som ny taxa eller komplettera regelverk.</t>
        </is>
      </c>
    </row>
    <row r="236" ht="21.95" customHeight="1">
      <c r="A236" s="83" t="inlineStr">
        <is>
          <t>§5.3.1 Övriga avgifter och tillägg fettavskiljare</t>
        </is>
      </c>
      <c r="B236" s="84" t="n"/>
      <c r="C236" s="84" t="n"/>
      <c r="D236" s="84" t="n"/>
      <c r="E236" s="85" t="n"/>
      <c r="F236" s="114" t="n"/>
      <c r="G236" s="122">
        <f>IF($F236&lt;&gt;"",$F236,IFERROR(_xlfn.XLOOKUP(ROW(),Taxa_Saknas!$H:$H,Taxa_Saknas!$G:$G),""))</f>
        <v/>
      </c>
      <c r="H236" s="122">
        <f>IF($F236&lt;&gt;"",IFERROR(_xlfn.XLOOKUP($F236,Taxa_från_edp!$B:$B,Taxa_från_edp!C:C),""),"")</f>
        <v/>
      </c>
      <c r="I236" s="149">
        <f>IF($F236&lt;&gt;"",IFERROR(_xlfn.XLOOKUP($F236,Taxa_från_edp!$B:$B,Taxa_från_edp!G:G),""),"")</f>
        <v/>
      </c>
      <c r="J236" s="149">
        <f>IF($F236&lt;&gt;"",IFERROR(_xlfn.XLOOKUP($F236,Taxa_från_edp!$B:$B,Taxa_från_edp!K:K),""),"")</f>
        <v/>
      </c>
      <c r="K236" s="149" t="n"/>
      <c r="L236" s="149" t="n"/>
      <c r="M236" s="121">
        <f>IFERROR(IF(J236&lt;&gt;"",J236*1.25,IF(K236&lt;&gt;"",K236*1.25,"")),"")</f>
        <v/>
      </c>
      <c r="N236" s="144">
        <f>IFERROR(IF(J236&lt;&gt;"",L236*J236,IF(K236&lt;&gt;"",L236*K236,"")),"")</f>
        <v/>
      </c>
      <c r="O236" t="inlineStr">
        <is>
          <t>NEW_TAXA</t>
        </is>
      </c>
      <c r="P236" t="inlineStr">
        <is>
          <t>Ingen semantisk kandidat hittades</t>
        </is>
      </c>
      <c r="Q236" t="inlineStr">
        <is>
          <t>Skapa/hantera som ny taxa eller komplettera regelverk.</t>
        </is>
      </c>
    </row>
    <row r="237" ht="30" customHeight="1">
      <c r="A237" s="68" t="inlineStr">
        <is>
          <t>§5.3.1</t>
        </is>
      </c>
      <c r="B237" s="68" t="inlineStr">
        <is>
          <t>Övriga avgifter och tillägg fettavskiljare</t>
        </is>
      </c>
      <c r="C237" s="68" t="inlineStr">
        <is>
          <t>Budning inom ordinarie tömningsperiod (1 maj- 31 oktober)</t>
        </is>
      </c>
      <c r="D237" s="68" t="inlineStr">
        <is>
          <t>Inom 48 timmar</t>
        </is>
      </c>
      <c r="E237" s="68" t="inlineStr">
        <is>
          <t>kr/tillfälle</t>
        </is>
      </c>
      <c r="F237" s="106" t="n"/>
      <c r="G237" s="116">
        <f>IF($F237&lt;&gt;"",$F237,IFERROR(_xlfn.XLOOKUP(ROW(),Taxa_Saknas!$H:$H,Taxa_Saknas!$G:$G),""))</f>
        <v/>
      </c>
      <c r="H237" s="126">
        <f>IF($F237&lt;&gt;"",IFERROR(_xlfn.XLOOKUP($F237,Taxa_från_edp!$B:$B,Taxa_från_edp!C:C),""),"")</f>
        <v/>
      </c>
      <c r="I237" s="127">
        <f>IF($F237&lt;&gt;"",IFERROR(_xlfn.XLOOKUP($F237,Taxa_från_edp!$B:$B,Taxa_från_edp!G:G),""),"")</f>
        <v/>
      </c>
      <c r="J237" s="127">
        <f>IF($F237&lt;&gt;"",IFERROR(_xlfn.XLOOKUP($F237,Taxa_från_edp!$B:$B,Taxa_från_edp!K:K),""),"")</f>
        <v/>
      </c>
      <c r="K237" s="145" t="n"/>
      <c r="L237" s="146" t="n"/>
      <c r="M237" s="147">
        <f>IFERROR(IF(J237&lt;&gt;"",J237*1.25,IF(K237&lt;&gt;"",K237*1.25,"")),"")</f>
        <v/>
      </c>
      <c r="N237" s="148">
        <f>IFERROR(IF(J237&lt;&gt;"",L237*J237,IF(K237&lt;&gt;"",L237*K237,"")),"")</f>
        <v/>
      </c>
      <c r="O237" t="inlineStr">
        <is>
          <t>NEW_TAXA</t>
        </is>
      </c>
      <c r="P237" t="inlineStr">
        <is>
          <t>Ingen semantisk kandidat hittades</t>
        </is>
      </c>
      <c r="Q237" t="inlineStr">
        <is>
          <t>Skapa/hantera som ny taxa eller komplettera regelverk.</t>
        </is>
      </c>
    </row>
    <row r="238" ht="30" customHeight="1">
      <c r="A238" s="68" t="inlineStr">
        <is>
          <t>§5.3.1</t>
        </is>
      </c>
      <c r="B238" s="68" t="inlineStr">
        <is>
          <t>Övriga avgifter och tillägg fettavskiljare</t>
        </is>
      </c>
      <c r="C238" s="68" t="inlineStr">
        <is>
          <t>Budning utanför ordinarie tömningsperiod</t>
        </is>
      </c>
      <c r="D238" s="68" t="inlineStr">
        <is>
          <t>Inom 48 timmar</t>
        </is>
      </c>
      <c r="E238" s="68" t="inlineStr">
        <is>
          <t>kr/tillfälle</t>
        </is>
      </c>
      <c r="F238" s="106" t="n"/>
      <c r="G238" s="116">
        <f>IF($F238&lt;&gt;"",$F238,IFERROR(_xlfn.XLOOKUP(ROW(),Taxa_Saknas!$H:$H,Taxa_Saknas!$G:$G),""))</f>
        <v/>
      </c>
      <c r="H238" s="126">
        <f>IF($F238&lt;&gt;"",IFERROR(_xlfn.XLOOKUP($F238,Taxa_från_edp!$B:$B,Taxa_från_edp!C:C),""),"")</f>
        <v/>
      </c>
      <c r="I238" s="127">
        <f>IF($F238&lt;&gt;"",IFERROR(_xlfn.XLOOKUP($F238,Taxa_från_edp!$B:$B,Taxa_från_edp!G:G),""),"")</f>
        <v/>
      </c>
      <c r="J238" s="127">
        <f>IF($F238&lt;&gt;"",IFERROR(_xlfn.XLOOKUP($F238,Taxa_från_edp!$B:$B,Taxa_från_edp!K:K),""),"")</f>
        <v/>
      </c>
      <c r="K238" s="145" t="n"/>
      <c r="L238" s="146" t="n"/>
      <c r="M238" s="147">
        <f>IFERROR(IF(J238&lt;&gt;"",J238*1.25,IF(K238&lt;&gt;"",K238*1.25,"")),"")</f>
        <v/>
      </c>
      <c r="N238" s="148">
        <f>IFERROR(IF(J238&lt;&gt;"",L238*J238,IF(K238&lt;&gt;"",L238*K238,"")),"")</f>
        <v/>
      </c>
      <c r="O238" t="inlineStr">
        <is>
          <t>NEW_TAXA</t>
        </is>
      </c>
      <c r="P238" t="inlineStr">
        <is>
          <t>Ingen semantisk kandidat hittades</t>
        </is>
      </c>
      <c r="Q238" t="inlineStr">
        <is>
          <t>Skapa/hantera som ny taxa eller komplettera regelverk.</t>
        </is>
      </c>
    </row>
    <row r="239" ht="30" customHeight="1">
      <c r="A239" s="68" t="inlineStr">
        <is>
          <t>§5.3.1</t>
        </is>
      </c>
      <c r="B239" s="68" t="inlineStr">
        <is>
          <t>Övriga avgifter och tillägg fettavskiljare</t>
        </is>
      </c>
      <c r="C239" s="68" t="inlineStr">
        <is>
          <t>Budning inom ordinarie tömningsperiod (1 maj- 31 oktober)</t>
        </is>
      </c>
      <c r="D239" s="68" t="inlineStr">
        <is>
          <t>Inom 8 arbetsdagar</t>
        </is>
      </c>
      <c r="E239" s="68" t="inlineStr">
        <is>
          <t>kr/tillfälle</t>
        </is>
      </c>
      <c r="F239" s="106" t="n"/>
      <c r="G239" s="116">
        <f>IF($F239&lt;&gt;"",$F239,IFERROR(_xlfn.XLOOKUP(ROW(),Taxa_Saknas!$H:$H,Taxa_Saknas!$G:$G),""))</f>
        <v/>
      </c>
      <c r="H239" s="126">
        <f>IF($F239&lt;&gt;"",IFERROR(_xlfn.XLOOKUP($F239,Taxa_från_edp!$B:$B,Taxa_från_edp!C:C),""),"")</f>
        <v/>
      </c>
      <c r="I239" s="127">
        <f>IF($F239&lt;&gt;"",IFERROR(_xlfn.XLOOKUP($F239,Taxa_från_edp!$B:$B,Taxa_från_edp!G:G),""),"")</f>
        <v/>
      </c>
      <c r="J239" s="127">
        <f>IF($F239&lt;&gt;"",IFERROR(_xlfn.XLOOKUP($F239,Taxa_från_edp!$B:$B,Taxa_från_edp!K:K),""),"")</f>
        <v/>
      </c>
      <c r="K239" s="145" t="n"/>
      <c r="L239" s="146" t="n"/>
      <c r="M239" s="147">
        <f>IFERROR(IF(J239&lt;&gt;"",J239*1.25,IF(K239&lt;&gt;"",K239*1.25,"")),"")</f>
        <v/>
      </c>
      <c r="N239" s="148">
        <f>IFERROR(IF(J239&lt;&gt;"",L239*J239,IF(K239&lt;&gt;"",L239*K239,"")),"")</f>
        <v/>
      </c>
      <c r="O239" t="inlineStr">
        <is>
          <t>NEW_TAXA</t>
        </is>
      </c>
      <c r="P239" t="inlineStr">
        <is>
          <t>Ingen semantisk kandidat hittades</t>
        </is>
      </c>
      <c r="Q239" t="inlineStr">
        <is>
          <t>Skapa/hantera som ny taxa eller komplettera regelverk.</t>
        </is>
      </c>
    </row>
    <row r="240" ht="30" customHeight="1">
      <c r="A240" s="68" t="inlineStr">
        <is>
          <t>§5.3.1</t>
        </is>
      </c>
      <c r="B240" s="68" t="inlineStr">
        <is>
          <t>Övriga avgifter och tillägg fettavskiljare</t>
        </is>
      </c>
      <c r="C240" s="68" t="inlineStr">
        <is>
          <t>Budning utanför ordinarie tömningsperiod</t>
        </is>
      </c>
      <c r="D240" s="68" t="inlineStr">
        <is>
          <t>Inom 8 arbetsdagar</t>
        </is>
      </c>
      <c r="E240" s="68" t="inlineStr">
        <is>
          <t>kr/tillfälle</t>
        </is>
      </c>
      <c r="F240" s="107" t="n"/>
      <c r="G240" s="117">
        <f>IF($F240&lt;&gt;"",$F240,IFERROR(_xlfn.XLOOKUP(ROW(),Taxa_Saknas!$H:$H,Taxa_Saknas!$G:$G),""))</f>
        <v/>
      </c>
      <c r="H240" s="128">
        <f>IF($F240&lt;&gt;"",IFERROR(_xlfn.XLOOKUP($F240,Taxa_från_edp!$B:$B,Taxa_från_edp!C:C),""),"")</f>
        <v/>
      </c>
      <c r="I240" s="129">
        <f>IF($F240&lt;&gt;"",IFERROR(_xlfn.XLOOKUP($F240,Taxa_från_edp!$B:$B,Taxa_från_edp!G:G),""),"")</f>
        <v/>
      </c>
      <c r="J240" s="129">
        <f>IF($F240&lt;&gt;"",IFERROR(_xlfn.XLOOKUP($F240,Taxa_från_edp!$B:$B,Taxa_från_edp!K:K),""),"")</f>
        <v/>
      </c>
      <c r="K240" s="150" t="n"/>
      <c r="L240" s="151" t="n"/>
      <c r="M240" s="147">
        <f>IFERROR(IF(J240&lt;&gt;"",J240*1.25,IF(K240&lt;&gt;"",K240*1.25,"")),"")</f>
        <v/>
      </c>
      <c r="N240" s="148">
        <f>IFERROR(IF(J240&lt;&gt;"",L240*J240,IF(K240&lt;&gt;"",L240*K240,"")),"")</f>
        <v/>
      </c>
      <c r="O240" t="inlineStr">
        <is>
          <t>NEW_TAXA</t>
        </is>
      </c>
      <c r="P240" t="inlineStr">
        <is>
          <t>Ingen semantisk kandidat hittades</t>
        </is>
      </c>
      <c r="Q240" t="inlineStr">
        <is>
          <t>Skapa/hantera som ny taxa eller komplettera regelverk.</t>
        </is>
      </c>
    </row>
    <row r="241" ht="30" customHeight="1">
      <c r="A241" s="68" t="inlineStr">
        <is>
          <t>§5.3.1</t>
        </is>
      </c>
      <c r="B241" s="68" t="inlineStr">
        <is>
          <t>Övriga avgifter och tillägg fettavskiljare</t>
        </is>
      </c>
      <c r="C241" s="68" t="inlineStr">
        <is>
          <t>Framkörningsavgift då ordinarie tömning inte skett på grund av hinder, abonnenten vägrar, bristfällig väg eller annat</t>
        </is>
      </c>
      <c r="D241" s="68" t="n"/>
      <c r="E241" s="68" t="inlineStr">
        <is>
          <t>kr/tillfälle</t>
        </is>
      </c>
      <c r="F241" s="107" t="n"/>
      <c r="G241" s="117">
        <f>IF($F241&lt;&gt;"",$F241,IFERROR(_xlfn.XLOOKUP(ROW(),Taxa_Saknas!$H:$H,Taxa_Saknas!$G:$G),""))</f>
        <v/>
      </c>
      <c r="H241" s="128">
        <f>IF($F241&lt;&gt;"",IFERROR(_xlfn.XLOOKUP($F241,Taxa_från_edp!$B:$B,Taxa_från_edp!C:C),""),"")</f>
        <v/>
      </c>
      <c r="I241" s="129">
        <f>IF($F241&lt;&gt;"",IFERROR(_xlfn.XLOOKUP($F241,Taxa_från_edp!$B:$B,Taxa_från_edp!G:G),""),"")</f>
        <v/>
      </c>
      <c r="J241" s="129">
        <f>IF($F241&lt;&gt;"",IFERROR(_xlfn.XLOOKUP($F241,Taxa_från_edp!$B:$B,Taxa_från_edp!K:K),""),"")</f>
        <v/>
      </c>
      <c r="K241" s="150" t="n"/>
      <c r="L241" s="151" t="n"/>
      <c r="M241" s="147">
        <f>IFERROR(IF(J241&lt;&gt;"",J241*1.25,IF(K241&lt;&gt;"",K241*1.25,"")),"")</f>
        <v/>
      </c>
      <c r="N241" s="148">
        <f>IFERROR(IF(J241&lt;&gt;"",L241*J241,IF(K241&lt;&gt;"",L241*K241,"")),"")</f>
        <v/>
      </c>
      <c r="O241" t="inlineStr">
        <is>
          <t>NEW_TAXA</t>
        </is>
      </c>
      <c r="P241" t="inlineStr">
        <is>
          <t>Ingen semantisk kandidat hittades</t>
        </is>
      </c>
      <c r="Q241" t="inlineStr">
        <is>
          <t>Skapa/hantera som ny taxa eller komplettera regelverk.</t>
        </is>
      </c>
    </row>
    <row r="242" ht="30" customHeight="1">
      <c r="A242" s="68" t="inlineStr">
        <is>
          <t>§5.3.1</t>
        </is>
      </c>
      <c r="B242" s="68" t="inlineStr">
        <is>
          <t>Övriga avgifter och tillägg fettavskiljare</t>
        </is>
      </c>
      <c r="C242" s="68" t="inlineStr">
        <is>
          <t>Sen anmälan om förändringar av tömningsintervall. Om förändring, nyanmälan eller avbokning av tömning meddelas efter 1 april innevarande år.</t>
        </is>
      </c>
      <c r="D242" s="68" t="n"/>
      <c r="E242" s="68" t="inlineStr">
        <is>
          <t>kr/tillfälle</t>
        </is>
      </c>
      <c r="F242" s="106" t="n"/>
      <c r="G242" s="116">
        <f>IF($F242&lt;&gt;"",$F242,IFERROR(_xlfn.XLOOKUP(ROW(),Taxa_Saknas!$H:$H,Taxa_Saknas!$G:$G),""))</f>
        <v/>
      </c>
      <c r="H242" s="126">
        <f>IF($F242&lt;&gt;"",IFERROR(_xlfn.XLOOKUP($F242,Taxa_från_edp!$B:$B,Taxa_från_edp!C:C),""),"")</f>
        <v/>
      </c>
      <c r="I242" s="127">
        <f>IF($F242&lt;&gt;"",IFERROR(_xlfn.XLOOKUP($F242,Taxa_från_edp!$B:$B,Taxa_från_edp!G:G),""),"")</f>
        <v/>
      </c>
      <c r="J242" s="127">
        <f>IF($F242&lt;&gt;"",IFERROR(_xlfn.XLOOKUP($F242,Taxa_från_edp!$B:$B,Taxa_från_edp!K:K),""),"")</f>
        <v/>
      </c>
      <c r="K242" s="145" t="n"/>
      <c r="L242" s="146" t="n"/>
      <c r="M242" s="147">
        <f>IFERROR(IF(J242&lt;&gt;"",J242*1.25,IF(K242&lt;&gt;"",K242*1.25,"")),"")</f>
        <v/>
      </c>
      <c r="N242" s="148">
        <f>IFERROR(IF(J242&lt;&gt;"",L242*J242,IF(K242&lt;&gt;"",L242*K242,"")),"")</f>
        <v/>
      </c>
      <c r="O242" t="inlineStr">
        <is>
          <t>NEW_TAXA</t>
        </is>
      </c>
      <c r="P242" t="inlineStr">
        <is>
          <t>Ingen semantisk kandidat hittades</t>
        </is>
      </c>
      <c r="Q242" t="inlineStr">
        <is>
          <t>Skapa/hantera som ny taxa eller komplettera regelverk.</t>
        </is>
      </c>
    </row>
    <row r="243" ht="21.95" customHeight="1">
      <c r="A243" s="97" t="inlineStr">
        <is>
          <t>§6 Avfall inlämnat på återvinningscentral</t>
        </is>
      </c>
      <c r="B243" s="84" t="n"/>
      <c r="C243" s="84" t="n"/>
      <c r="D243" s="84" t="n"/>
      <c r="E243" s="85" t="n"/>
      <c r="F243" s="138" t="n"/>
      <c r="G243" s="84" t="n"/>
      <c r="H243" s="84" t="n"/>
      <c r="I243" s="84" t="n"/>
      <c r="J243" s="85" t="n"/>
      <c r="K243" s="141" t="n"/>
      <c r="L243" s="141" t="n"/>
      <c r="M243" s="141">
        <f>IFERROR(IF(J243&lt;&gt;"",J243*1.25,IF(K243&lt;&gt;"",K243*1.25,"")),"")</f>
        <v/>
      </c>
      <c r="N243" s="142">
        <f>IFERROR(IF(J243&lt;&gt;"",L243*J243,IF(K243&lt;&gt;"",L243*K243,"")),"")</f>
        <v/>
      </c>
    </row>
    <row r="244" ht="21.95" customHeight="1">
      <c r="A244" s="93" t="inlineStr">
        <is>
          <t>§6.1.1 Avgifter vid ÅVC</t>
        </is>
      </c>
      <c r="B244" s="84" t="n"/>
      <c r="C244" s="84" t="n"/>
      <c r="D244" s="84" t="n"/>
      <c r="E244" s="85" t="n"/>
      <c r="F244" s="112" t="n"/>
      <c r="G244" s="120">
        <f>IF($F244&lt;&gt;"",$F244,IFERROR(_xlfn.XLOOKUP(ROW(),Taxa_Saknas!$H:$H,Taxa_Saknas!$G:$G),""))</f>
        <v/>
      </c>
      <c r="H244" s="120">
        <f>IF($F244&lt;&gt;"",IFERROR(_xlfn.XLOOKUP($F244,Taxa_från_edp!$B:$B,Taxa_från_edp!C:C),""),"")</f>
        <v/>
      </c>
      <c r="I244" s="120">
        <f>IF($F244&lt;&gt;"",IFERROR(_xlfn.XLOOKUP($F244,Taxa_från_edp!$B:$B,Taxa_från_edp!G:G),""),"")</f>
        <v/>
      </c>
      <c r="J244" s="120">
        <f>IF($F244&lt;&gt;"",IFERROR(_xlfn.XLOOKUP($F244,Taxa_från_edp!$B:$B,Taxa_från_edp!K:K),""),"")</f>
        <v/>
      </c>
      <c r="K244" s="120" t="n"/>
      <c r="L244" s="120" t="n"/>
      <c r="M244" s="120">
        <f>IFERROR(IF(J244&lt;&gt;"",J244*1.25,IF(K244&lt;&gt;"",K244*1.25,"")),"")</f>
        <v/>
      </c>
      <c r="N244" s="143">
        <f>IFERROR(IF(J244&lt;&gt;"",L244*J244,IF(K244&lt;&gt;"",L244*K244,"")),"")</f>
        <v/>
      </c>
    </row>
    <row r="245" ht="21.95" customHeight="1">
      <c r="A245" s="83" t="inlineStr">
        <is>
          <t>§6.1.1 Inpassering på ÅVC</t>
        </is>
      </c>
      <c r="B245" s="84" t="n"/>
      <c r="C245" s="84" t="n"/>
      <c r="D245" s="84" t="n"/>
      <c r="E245" s="85" t="n"/>
      <c r="F245" s="114" t="n"/>
      <c r="G245" s="122">
        <f>IF($F245&lt;&gt;"",$F245,IFERROR(_xlfn.XLOOKUP(ROW(),Taxa_Saknas!$H:$H,Taxa_Saknas!$G:$G),""))</f>
        <v/>
      </c>
      <c r="H245" s="122">
        <f>IF($F245&lt;&gt;"",IFERROR(_xlfn.XLOOKUP($F245,Taxa_från_edp!$B:$B,Taxa_från_edp!C:C),""),"")</f>
        <v/>
      </c>
      <c r="I245" s="149">
        <f>IF($F245&lt;&gt;"",IFERROR(_xlfn.XLOOKUP($F245,Taxa_från_edp!$B:$B,Taxa_från_edp!G:G),""),"")</f>
        <v/>
      </c>
      <c r="J245" s="149">
        <f>IF($F245&lt;&gt;"",IFERROR(_xlfn.XLOOKUP($F245,Taxa_från_edp!$B:$B,Taxa_från_edp!K:K),""),"")</f>
        <v/>
      </c>
      <c r="K245" s="149" t="n"/>
      <c r="L245" s="149" t="n"/>
      <c r="M245" s="121">
        <f>IFERROR(IF(J245&lt;&gt;"",J245*1.25,IF(K245&lt;&gt;"",K245*1.25,"")),"")</f>
        <v/>
      </c>
      <c r="N245" s="144">
        <f>IFERROR(IF(J245&lt;&gt;"",L245*J245,IF(K245&lt;&gt;"",L245*K245,"")),"")</f>
        <v/>
      </c>
    </row>
    <row r="246" ht="30" customHeight="1">
      <c r="A246" s="68" t="inlineStr">
        <is>
          <t>§6.1.1</t>
        </is>
      </c>
      <c r="B246" s="68" t="inlineStr">
        <is>
          <t>Inpassering på ÅVC</t>
        </is>
      </c>
      <c r="C246" s="68" t="inlineStr">
        <is>
          <t>Verksamheter</t>
        </is>
      </c>
      <c r="D246" s="68" t="n"/>
      <c r="E246" s="68" t="inlineStr">
        <is>
          <t>kr/besök</t>
        </is>
      </c>
      <c r="F246" s="106" t="n"/>
      <c r="G246" s="116">
        <f>IF($F246&lt;&gt;"",$F246,IFERROR(_xlfn.XLOOKUP(ROW(),Taxa_Saknas!$H:$H,Taxa_Saknas!$G:$G),""))</f>
        <v/>
      </c>
      <c r="H246" s="126">
        <f>IF($F246&lt;&gt;"",IFERROR(_xlfn.XLOOKUP($F246,Taxa_från_edp!$B:$B,Taxa_från_edp!C:C),""),"")</f>
        <v/>
      </c>
      <c r="I246" s="127">
        <f>IF($F246&lt;&gt;"",IFERROR(_xlfn.XLOOKUP($F246,Taxa_från_edp!$B:$B,Taxa_från_edp!G:G),""),"")</f>
        <v/>
      </c>
      <c r="J246" s="127">
        <f>IF($F246&lt;&gt;"",IFERROR(_xlfn.XLOOKUP($F246,Taxa_från_edp!$B:$B,Taxa_från_edp!K:K),""),"")</f>
        <v/>
      </c>
      <c r="K246" s="145" t="n"/>
      <c r="L246" s="146" t="n"/>
      <c r="M246" s="147">
        <f>IFERROR(IF(J246&lt;&gt;"",J246*1.25,IF(K246&lt;&gt;"",K246*1.25,"")),"")</f>
        <v/>
      </c>
      <c r="N246" s="148">
        <f>IFERROR(IF(J246&lt;&gt;"",L246*J246,IF(K246&lt;&gt;"",L246*K246,"")),"")</f>
        <v/>
      </c>
    </row>
    <row r="247" ht="30" customHeight="1">
      <c r="A247" s="68" t="inlineStr">
        <is>
          <t>§6.1.1</t>
        </is>
      </c>
      <c r="B247" s="68" t="inlineStr">
        <is>
          <t>Inpassering på ÅVC</t>
        </is>
      </c>
      <c r="C247" s="68" t="inlineStr">
        <is>
          <t>Övriga abonnemangstyper</t>
        </is>
      </c>
      <c r="D247" s="68" t="n"/>
      <c r="E247" s="68" t="inlineStr">
        <is>
          <t>kr/besök</t>
        </is>
      </c>
      <c r="F247" s="107" t="n"/>
      <c r="G247" s="117">
        <f>IF($F247&lt;&gt;"",$F247,IFERROR(_xlfn.XLOOKUP(ROW(),Taxa_Saknas!$H:$H,Taxa_Saknas!$G:$G),""))</f>
        <v/>
      </c>
      <c r="H247" s="128">
        <f>IF($F247&lt;&gt;"",IFERROR(_xlfn.XLOOKUP($F247,Taxa_från_edp!$B:$B,Taxa_från_edp!C:C),""),"")</f>
        <v/>
      </c>
      <c r="I247" s="129">
        <f>IF($F247&lt;&gt;"",IFERROR(_xlfn.XLOOKUP($F247,Taxa_från_edp!$B:$B,Taxa_från_edp!G:G),""),"")</f>
        <v/>
      </c>
      <c r="J247" s="129">
        <f>IF($F247&lt;&gt;"",IFERROR(_xlfn.XLOOKUP($F247,Taxa_från_edp!$B:$B,Taxa_från_edp!K:K),""),"")</f>
        <v/>
      </c>
      <c r="K247" s="150" t="n"/>
      <c r="L247" s="151" t="n"/>
      <c r="M247" s="147">
        <f>IFERROR(IF(J247&lt;&gt;"",J247*1.25,IF(K247&lt;&gt;"",K247*1.25,"")),"")</f>
        <v/>
      </c>
      <c r="N247" s="148">
        <f>IFERROR(IF(J247&lt;&gt;"",L247*J247,IF(K247&lt;&gt;"",L247*K247,"")),"")</f>
        <v/>
      </c>
    </row>
    <row r="248" ht="30" customHeight="1">
      <c r="A248" s="68" t="inlineStr">
        <is>
          <t>§6.1.1</t>
        </is>
      </c>
      <c r="B248" s="68" t="inlineStr">
        <is>
          <t>Inpassering på ÅVC</t>
        </is>
      </c>
      <c r="C248" s="68" t="inlineStr">
        <is>
          <t>Vågkort</t>
        </is>
      </c>
      <c r="D248" s="68" t="n"/>
      <c r="E248" s="68" t="inlineStr">
        <is>
          <t>kr/besök</t>
        </is>
      </c>
      <c r="F248" s="107" t="n"/>
      <c r="G248" s="117">
        <f>IF($F248&lt;&gt;"",$F248,IFERROR(_xlfn.XLOOKUP(ROW(),Taxa_Saknas!$H:$H,Taxa_Saknas!$G:$G),""))</f>
        <v/>
      </c>
      <c r="H248" s="128">
        <f>IF($F248&lt;&gt;"",IFERROR(_xlfn.XLOOKUP($F248,Taxa_från_edp!$B:$B,Taxa_från_edp!C:C),""),"")</f>
        <v/>
      </c>
      <c r="I248" s="129">
        <f>IF($F248&lt;&gt;"",IFERROR(_xlfn.XLOOKUP($F248,Taxa_från_edp!$B:$B,Taxa_från_edp!G:G),""),"")</f>
        <v/>
      </c>
      <c r="J248" s="129">
        <f>IF($F248&lt;&gt;"",IFERROR(_xlfn.XLOOKUP($F248,Taxa_från_edp!$B:$B,Taxa_från_edp!K:K),""),"")</f>
        <v/>
      </c>
      <c r="K248" s="150" t="n"/>
      <c r="L248" s="151" t="n"/>
      <c r="M248" s="147">
        <f>IFERROR(IF(J248&lt;&gt;"",J248*1.25,IF(K248&lt;&gt;"",K248*1.25,"")),"")</f>
        <v/>
      </c>
      <c r="N248" s="148">
        <f>IFERROR(IF(J248&lt;&gt;"",L248*J248,IF(K248&lt;&gt;"",L248*K248,"")),"")</f>
        <v/>
      </c>
    </row>
    <row r="249" ht="30" customHeight="1">
      <c r="A249" s="68" t="inlineStr">
        <is>
          <t>§6.1.1</t>
        </is>
      </c>
      <c r="B249" s="68" t="inlineStr">
        <is>
          <t>Inpassering på ÅVC</t>
        </is>
      </c>
      <c r="C249" s="68" t="inlineStr">
        <is>
          <t>Borttappat vågkort</t>
        </is>
      </c>
      <c r="D249" s="68" t="n"/>
      <c r="E249" s="68" t="inlineStr">
        <is>
          <t>kr/besök</t>
        </is>
      </c>
      <c r="F249" s="106" t="n"/>
      <c r="G249" s="116">
        <f>IF($F249&lt;&gt;"",$F249,IFERROR(_xlfn.XLOOKUP(ROW(),Taxa_Saknas!$H:$H,Taxa_Saknas!$G:$G),""))</f>
        <v/>
      </c>
      <c r="H249" s="126">
        <f>IF($F249&lt;&gt;"",IFERROR(_xlfn.XLOOKUP($F249,Taxa_från_edp!$B:$B,Taxa_från_edp!C:C),""),"")</f>
        <v/>
      </c>
      <c r="I249" s="127">
        <f>IF($F249&lt;&gt;"",IFERROR(_xlfn.XLOOKUP($F249,Taxa_från_edp!$B:$B,Taxa_från_edp!G:G),""),"")</f>
        <v/>
      </c>
      <c r="J249" s="127">
        <f>IF($F249&lt;&gt;"",IFERROR(_xlfn.XLOOKUP($F249,Taxa_från_edp!$B:$B,Taxa_från_edp!K:K),""),"")</f>
        <v/>
      </c>
      <c r="K249" s="145" t="n"/>
      <c r="L249" s="146" t="n"/>
      <c r="M249" s="147">
        <f>IFERROR(IF(J249&lt;&gt;"",J249*1.25,IF(K249&lt;&gt;"",K249*1.25,"")),"")</f>
        <v/>
      </c>
      <c r="N249" s="148">
        <f>IFERROR(IF(J249&lt;&gt;"",L249*J249,IF(K249&lt;&gt;"",L249*K249,"")),"")</f>
        <v/>
      </c>
    </row>
    <row r="250" ht="30" customHeight="1">
      <c r="A250" s="68" t="inlineStr">
        <is>
          <t>§6.1.1</t>
        </is>
      </c>
      <c r="B250" s="68" t="inlineStr">
        <is>
          <t>Inpassering på ÅVC</t>
        </is>
      </c>
      <c r="C250" s="100" t="inlineStr">
        <is>
          <t>Ej redovisad ankomst till ÅVC för avlämning av verksamhetsavfall</t>
        </is>
      </c>
      <c r="D250" s="68" t="n"/>
      <c r="E250" s="68" t="inlineStr">
        <is>
          <t>kr/besök</t>
        </is>
      </c>
      <c r="F250" s="106" t="n"/>
      <c r="G250" s="116">
        <f>IF($F250&lt;&gt;"",$F250,IFERROR(_xlfn.XLOOKUP(ROW(),Taxa_Saknas!$H:$H,Taxa_Saknas!$G:$G),""))</f>
        <v/>
      </c>
      <c r="H250" s="126">
        <f>IF($F250&lt;&gt;"",IFERROR(_xlfn.XLOOKUP($F250,Taxa_från_edp!$B:$B,Taxa_från_edp!C:C),""),"")</f>
        <v/>
      </c>
      <c r="I250" s="127">
        <f>IF($F250&lt;&gt;"",IFERROR(_xlfn.XLOOKUP($F250,Taxa_från_edp!$B:$B,Taxa_från_edp!G:G),""),"")</f>
        <v/>
      </c>
      <c r="J250" s="127">
        <f>IF($F250&lt;&gt;"",IFERROR(_xlfn.XLOOKUP($F250,Taxa_från_edp!$B:$B,Taxa_från_edp!K:K),""),"")</f>
        <v/>
      </c>
      <c r="K250" s="145" t="n"/>
      <c r="L250" s="146" t="n"/>
      <c r="M250" s="147">
        <f>IFERROR(IF(J250&lt;&gt;"",J250*1.25,IF(K250&lt;&gt;"",K250*1.25,"")),"")</f>
        <v/>
      </c>
      <c r="N250" s="148">
        <f>IFERROR(IF(J250&lt;&gt;"",L250*J250,IF(K250&lt;&gt;"",L250*K250,"")),"")</f>
        <v/>
      </c>
    </row>
    <row r="251" ht="30" customHeight="1">
      <c r="A251" s="68" t="inlineStr">
        <is>
          <t>§6.1.1</t>
        </is>
      </c>
      <c r="B251" s="68" t="inlineStr">
        <is>
          <t>Inpassering på ÅVC</t>
        </is>
      </c>
      <c r="C251" s="100" t="inlineStr">
        <is>
          <t>Ej redovisad eller fel redovisad fraktion av avfall</t>
        </is>
      </c>
      <c r="D251" s="68" t="n"/>
      <c r="E251" s="100" t="inlineStr">
        <is>
          <t>kr/fraktion</t>
        </is>
      </c>
      <c r="F251" s="106" t="n"/>
      <c r="G251" s="116">
        <f>IF($F251&lt;&gt;"",$F251,IFERROR(_xlfn.XLOOKUP(ROW(),Taxa_Saknas!$H:$H,Taxa_Saknas!$G:$G),""))</f>
        <v/>
      </c>
      <c r="H251" s="126">
        <f>IF($F251&lt;&gt;"",IFERROR(_xlfn.XLOOKUP($F251,Taxa_från_edp!$B:$B,Taxa_från_edp!C:C),""),"")</f>
        <v/>
      </c>
      <c r="I251" s="127">
        <f>IF($F251&lt;&gt;"",IFERROR(_xlfn.XLOOKUP($F251,Taxa_från_edp!$B:$B,Taxa_från_edp!G:G),""),"")</f>
        <v/>
      </c>
      <c r="J251" s="127">
        <f>IF($F251&lt;&gt;"",IFERROR(_xlfn.XLOOKUP($F251,Taxa_från_edp!$B:$B,Taxa_från_edp!K:K),""),"")</f>
        <v/>
      </c>
      <c r="K251" s="145" t="n"/>
      <c r="L251" s="146" t="n"/>
      <c r="M251" s="147">
        <f>IFERROR(IF(J251&lt;&gt;"",J251*1.25,IF(K251&lt;&gt;"",K251*1.25,"")),"")</f>
        <v/>
      </c>
      <c r="N251" s="148">
        <f>IFERROR(IF(J251&lt;&gt;"",L251*J251,IF(K251&lt;&gt;"",L251*K251,"")),"")</f>
        <v/>
      </c>
    </row>
    <row r="252" ht="21.95" customHeight="1">
      <c r="A252" s="83" t="inlineStr">
        <is>
          <t>§6.1.2 Hanteringsavgifter för avfall inlämnat på återvinningscentral</t>
        </is>
      </c>
      <c r="B252" s="84" t="n"/>
      <c r="C252" s="84" t="n"/>
      <c r="D252" s="84" t="n"/>
      <c r="E252" s="85" t="n"/>
      <c r="F252" s="114" t="n"/>
      <c r="G252" s="122">
        <f>IF($F252&lt;&gt;"",$F252,IFERROR(_xlfn.XLOOKUP(ROW(),Taxa_Saknas!$H:$H,Taxa_Saknas!$G:$G),""))</f>
        <v/>
      </c>
      <c r="H252" s="122">
        <f>IF($F252&lt;&gt;"",IFERROR(_xlfn.XLOOKUP($F252,Taxa_från_edp!$B:$B,Taxa_från_edp!C:C),""),"")</f>
        <v/>
      </c>
      <c r="I252" s="149">
        <f>IF($F252&lt;&gt;"",IFERROR(_xlfn.XLOOKUP($F252,Taxa_från_edp!$B:$B,Taxa_från_edp!G:G),""),"")</f>
        <v/>
      </c>
      <c r="J252" s="149">
        <f>IF($F252&lt;&gt;"",IFERROR(_xlfn.XLOOKUP($F252,Taxa_från_edp!$B:$B,Taxa_från_edp!K:K),""),"")</f>
        <v/>
      </c>
      <c r="K252" s="149" t="n"/>
      <c r="L252" s="149" t="n"/>
      <c r="M252" s="121">
        <f>IFERROR(IF(J252&lt;&gt;"",J252*1.25,IF(K252&lt;&gt;"",K252*1.25,"")),"")</f>
        <v/>
      </c>
      <c r="N252" s="144">
        <f>IFERROR(IF(J252&lt;&gt;"",L252*J252,IF(K252&lt;&gt;"",L252*K252,"")),"")</f>
        <v/>
      </c>
    </row>
    <row r="253" ht="30" customHeight="1">
      <c r="A253" s="68" t="inlineStr">
        <is>
          <t>§6.1.2</t>
        </is>
      </c>
      <c r="B253" s="68" t="inlineStr">
        <is>
          <t>Hanteringsavgifter för avfall inlämnat på återvinningscentral</t>
        </is>
      </c>
      <c r="C253" s="100" t="inlineStr">
        <is>
          <t>Avfall till energiåtervinning (240 L sopsäck)</t>
        </is>
      </c>
      <c r="D253" s="68" t="n">
        <v>200301</v>
      </c>
      <c r="E253" s="100" t="inlineStr">
        <is>
          <t>kr/st</t>
        </is>
      </c>
      <c r="F253" s="106" t="n"/>
      <c r="G253" s="116">
        <f>IF($F253&lt;&gt;"",$F253,IFERROR(_xlfn.XLOOKUP(ROW(),Taxa_Saknas!$H:$H,Taxa_Saknas!$G:$G),""))</f>
        <v/>
      </c>
      <c r="H253" s="126">
        <f>IF($F253&lt;&gt;"",IFERROR(_xlfn.XLOOKUP($F253,Taxa_från_edp!$B:$B,Taxa_från_edp!C:C),""),"")</f>
        <v/>
      </c>
      <c r="I253" s="127">
        <f>IF($F253&lt;&gt;"",IFERROR(_xlfn.XLOOKUP($F253,Taxa_från_edp!$B:$B,Taxa_från_edp!G:G),""),"")</f>
        <v/>
      </c>
      <c r="J253" s="127">
        <f>IF($F253&lt;&gt;"",IFERROR(_xlfn.XLOOKUP($F253,Taxa_från_edp!$B:$B,Taxa_från_edp!K:K),""),"")</f>
        <v/>
      </c>
      <c r="K253" s="145" t="n"/>
      <c r="L253" s="146" t="n"/>
      <c r="M253" s="147">
        <f>IFERROR(IF(J253&lt;&gt;"",J253*1.25,IF(K253&lt;&gt;"",K253*1.25,"")),"")</f>
        <v/>
      </c>
      <c r="N253" s="148">
        <f>IFERROR(IF(J253&lt;&gt;"",L253*J253,IF(K253&lt;&gt;"",L253*K253,"")),"")</f>
        <v/>
      </c>
    </row>
    <row r="254" ht="30" customHeight="1">
      <c r="A254" s="68" t="inlineStr">
        <is>
          <t>§6.1.2</t>
        </is>
      </c>
      <c r="B254" s="68" t="inlineStr">
        <is>
          <t>Hanteringsavgifter för avfall inlämnat på återvinningscentral</t>
        </is>
      </c>
      <c r="C254" s="100" t="inlineStr">
        <is>
          <t>Avfall till energiåtervinning</t>
        </is>
      </c>
      <c r="D254" s="68" t="n">
        <v>200301</v>
      </c>
      <c r="E254" s="100" t="inlineStr">
        <is>
          <t>kr/kg</t>
        </is>
      </c>
      <c r="F254" s="106" t="n"/>
      <c r="G254" s="116">
        <f>IF($F254&lt;&gt;"",$F254,IFERROR(_xlfn.XLOOKUP(ROW(),Taxa_Saknas!$H:$H,Taxa_Saknas!$G:$G),""))</f>
        <v/>
      </c>
      <c r="H254" s="126">
        <f>IF($F254&lt;&gt;"",IFERROR(_xlfn.XLOOKUP($F254,Taxa_från_edp!$B:$B,Taxa_från_edp!C:C),""),"")</f>
        <v/>
      </c>
      <c r="I254" s="127">
        <f>IF($F254&lt;&gt;"",IFERROR(_xlfn.XLOOKUP($F254,Taxa_från_edp!$B:$B,Taxa_från_edp!G:G),""),"")</f>
        <v/>
      </c>
      <c r="J254" s="127">
        <f>IF($F254&lt;&gt;"",IFERROR(_xlfn.XLOOKUP($F254,Taxa_från_edp!$B:$B,Taxa_från_edp!K:K),""),"")</f>
        <v/>
      </c>
      <c r="K254" s="145" t="n"/>
      <c r="L254" s="146" t="n"/>
      <c r="M254" s="147">
        <f>IFERROR(IF(J254&lt;&gt;"",J254*1.25,IF(K254&lt;&gt;"",K254*1.25,"")),"")</f>
        <v/>
      </c>
      <c r="N254" s="148">
        <f>IFERROR(IF(J254&lt;&gt;"",L254*J254,IF(K254&lt;&gt;"",L254*K254,"")),"")</f>
        <v/>
      </c>
    </row>
    <row r="255" ht="30" customHeight="1">
      <c r="A255" s="68" t="inlineStr">
        <is>
          <t>§6.1.2</t>
        </is>
      </c>
      <c r="B255" s="68" t="inlineStr">
        <is>
          <t>Hanteringsavgifter för avfall inlämnat på återvinningscentral</t>
        </is>
      </c>
      <c r="C255" s="100" t="inlineStr">
        <is>
          <t>Skrymmande avfall till energiåtervinning större än 20x20x80</t>
        </is>
      </c>
      <c r="D255" s="68" t="n">
        <v>200307</v>
      </c>
      <c r="E255" s="100" t="inlineStr">
        <is>
          <t>kr/kg</t>
        </is>
      </c>
      <c r="F255" s="106" t="n"/>
      <c r="G255" s="116">
        <f>IF($F255&lt;&gt;"",$F255,IFERROR(_xlfn.XLOOKUP(ROW(),Taxa_Saknas!$H:$H,Taxa_Saknas!$G:$G),""))</f>
        <v/>
      </c>
      <c r="H255" s="126">
        <f>IF($F255&lt;&gt;"",IFERROR(_xlfn.XLOOKUP($F255,Taxa_från_edp!$B:$B,Taxa_från_edp!C:C),""),"")</f>
        <v/>
      </c>
      <c r="I255" s="127">
        <f>IF($F255&lt;&gt;"",IFERROR(_xlfn.XLOOKUP($F255,Taxa_från_edp!$B:$B,Taxa_från_edp!G:G),""),"")</f>
        <v/>
      </c>
      <c r="J255" s="127">
        <f>IF($F255&lt;&gt;"",IFERROR(_xlfn.XLOOKUP($F255,Taxa_från_edp!$B:$B,Taxa_från_edp!K:K),""),"")</f>
        <v/>
      </c>
      <c r="K255" s="145" t="n"/>
      <c r="L255" s="146" t="n"/>
      <c r="M255" s="147">
        <f>IFERROR(IF(J255&lt;&gt;"",J255*1.25,IF(K255&lt;&gt;"",K255*1.25,"")),"")</f>
        <v/>
      </c>
      <c r="N255" s="148">
        <f>IFERROR(IF(J255&lt;&gt;"",L255*J255,IF(K255&lt;&gt;"",L255*K255,"")),"")</f>
        <v/>
      </c>
    </row>
    <row r="256" ht="30" customHeight="1">
      <c r="A256" s="68" t="inlineStr">
        <is>
          <t>§6.1.2</t>
        </is>
      </c>
      <c r="B256" s="68" t="inlineStr">
        <is>
          <t>Hanteringsavgifter för avfall inlämnat på återvinningscentral</t>
        </is>
      </c>
      <c r="C256" s="68" t="inlineStr">
        <is>
          <t>Träavfall – obehandlat, utan tapet, plastmatta, tjärpapp</t>
        </is>
      </c>
      <c r="D256" s="68" t="n">
        <v>170201</v>
      </c>
      <c r="E256" s="100" t="inlineStr">
        <is>
          <t>kr/kg</t>
        </is>
      </c>
      <c r="F256" s="106" t="n"/>
      <c r="G256" s="116">
        <f>IF($F256&lt;&gt;"",$F256,IFERROR(_xlfn.XLOOKUP(ROW(),Taxa_Saknas!$H:$H,Taxa_Saknas!$G:$G),""))</f>
        <v/>
      </c>
      <c r="H256" s="126">
        <f>IF($F256&lt;&gt;"",IFERROR(_xlfn.XLOOKUP($F256,Taxa_från_edp!$B:$B,Taxa_från_edp!C:C),""),"")</f>
        <v/>
      </c>
      <c r="I256" s="127">
        <f>IF($F256&lt;&gt;"",IFERROR(_xlfn.XLOOKUP($F256,Taxa_från_edp!$B:$B,Taxa_från_edp!G:G),""),"")</f>
        <v/>
      </c>
      <c r="J256" s="127">
        <f>IF($F256&lt;&gt;"",IFERROR(_xlfn.XLOOKUP($F256,Taxa_från_edp!$B:$B,Taxa_från_edp!K:K),""),"")</f>
        <v/>
      </c>
      <c r="K256" s="145" t="n"/>
      <c r="L256" s="146" t="n"/>
      <c r="M256" s="147">
        <f>IFERROR(IF(J256&lt;&gt;"",J256*1.25,IF(K256&lt;&gt;"",K256*1.25,"")),"")</f>
        <v/>
      </c>
      <c r="N256" s="148">
        <f>IFERROR(IF(J256&lt;&gt;"",L256*J256,IF(K256&lt;&gt;"",L256*K256,"")),"")</f>
        <v/>
      </c>
    </row>
    <row r="257" ht="30" customHeight="1">
      <c r="A257" s="68" t="inlineStr">
        <is>
          <t>§6.1.2</t>
        </is>
      </c>
      <c r="B257" s="68" t="inlineStr">
        <is>
          <t>Hanteringsavgifter för avfall inlämnat på återvinningscentral</t>
        </is>
      </c>
      <c r="C257" s="68" t="inlineStr">
        <is>
          <t>Träavfall – behandlat, utan tapet, plastmatta, tjärpapp</t>
        </is>
      </c>
      <c r="D257" s="68" t="n">
        <v>170201</v>
      </c>
      <c r="E257" s="100" t="inlineStr">
        <is>
          <t>kr/kg</t>
        </is>
      </c>
      <c r="F257" s="106" t="n"/>
      <c r="G257" s="116">
        <f>IF($F257&lt;&gt;"",$F257,IFERROR(_xlfn.XLOOKUP(ROW(),Taxa_Saknas!$H:$H,Taxa_Saknas!$G:$G),""))</f>
        <v/>
      </c>
      <c r="H257" s="126">
        <f>IF($F257&lt;&gt;"",IFERROR(_xlfn.XLOOKUP($F257,Taxa_från_edp!$B:$B,Taxa_från_edp!C:C),""),"")</f>
        <v/>
      </c>
      <c r="I257" s="127">
        <f>IF($F257&lt;&gt;"",IFERROR(_xlfn.XLOOKUP($F257,Taxa_från_edp!$B:$B,Taxa_från_edp!G:G),""),"")</f>
        <v/>
      </c>
      <c r="J257" s="127">
        <f>IF($F257&lt;&gt;"",IFERROR(_xlfn.XLOOKUP($F257,Taxa_från_edp!$B:$B,Taxa_från_edp!K:K),""),"")</f>
        <v/>
      </c>
      <c r="K257" s="145" t="n"/>
      <c r="L257" s="146" t="n"/>
      <c r="M257" s="147">
        <f>IFERROR(IF(J257&lt;&gt;"",J257*1.25,IF(K257&lt;&gt;"",K257*1.25,"")),"")</f>
        <v/>
      </c>
      <c r="N257" s="148">
        <f>IFERROR(IF(J257&lt;&gt;"",L257*J257,IF(K257&lt;&gt;"",L257*K257,"")),"")</f>
        <v/>
      </c>
    </row>
    <row r="258" ht="30" customHeight="1">
      <c r="A258" s="68" t="inlineStr">
        <is>
          <t>§6.1.2</t>
        </is>
      </c>
      <c r="B258" s="68" t="inlineStr">
        <is>
          <t>Hanteringsavgifter för avfall inlämnat på återvinningscentral</t>
        </is>
      </c>
      <c r="C258" s="68" t="inlineStr">
        <is>
          <t>Tryckimpregnerat trä (inkl pall)</t>
        </is>
      </c>
      <c r="D258" s="100" t="inlineStr">
        <is>
          <t>170204*</t>
        </is>
      </c>
      <c r="E258" s="100" t="inlineStr">
        <is>
          <t>kr/kg</t>
        </is>
      </c>
      <c r="F258" s="106" t="n"/>
      <c r="G258" s="116">
        <f>IF($F258&lt;&gt;"",$F258,IFERROR(_xlfn.XLOOKUP(ROW(),Taxa_Saknas!$H:$H,Taxa_Saknas!$G:$G),""))</f>
        <v/>
      </c>
      <c r="H258" s="126">
        <f>IF($F258&lt;&gt;"",IFERROR(_xlfn.XLOOKUP($F258,Taxa_från_edp!$B:$B,Taxa_från_edp!C:C),""),"")</f>
        <v/>
      </c>
      <c r="I258" s="127">
        <f>IF($F258&lt;&gt;"",IFERROR(_xlfn.XLOOKUP($F258,Taxa_från_edp!$B:$B,Taxa_från_edp!G:G),""),"")</f>
        <v/>
      </c>
      <c r="J258" s="127">
        <f>IF($F258&lt;&gt;"",IFERROR(_xlfn.XLOOKUP($F258,Taxa_från_edp!$B:$B,Taxa_från_edp!K:K),""),"")</f>
        <v/>
      </c>
      <c r="K258" s="145" t="n"/>
      <c r="L258" s="146" t="n"/>
      <c r="M258" s="147">
        <f>IFERROR(IF(J258&lt;&gt;"",J258*1.25,IF(K258&lt;&gt;"",K258*1.25,"")),"")</f>
        <v/>
      </c>
      <c r="N258" s="148">
        <f>IFERROR(IF(J258&lt;&gt;"",L258*J258,IF(K258&lt;&gt;"",L258*K258,"")),"")</f>
        <v/>
      </c>
    </row>
    <row r="259" ht="30" customHeight="1">
      <c r="A259" s="68" t="inlineStr">
        <is>
          <t>§6.1.2</t>
        </is>
      </c>
      <c r="B259" s="68" t="inlineStr">
        <is>
          <t>Hanteringsavgifter för avfall inlämnat på återvinningscentral</t>
        </is>
      </c>
      <c r="C259" s="100" t="inlineStr">
        <is>
          <t>Betong, lättbetong</t>
        </is>
      </c>
      <c r="D259" s="68" t="n">
        <v>170101</v>
      </c>
      <c r="E259" s="100" t="inlineStr">
        <is>
          <t>kr/kg</t>
        </is>
      </c>
      <c r="F259" s="106" t="n"/>
      <c r="G259" s="116">
        <f>IF($F259&lt;&gt;"",$F259,IFERROR(_xlfn.XLOOKUP(ROW(),Taxa_Saknas!$H:$H,Taxa_Saknas!$G:$G),""))</f>
        <v/>
      </c>
      <c r="H259" s="126">
        <f>IF($F259&lt;&gt;"",IFERROR(_xlfn.XLOOKUP($F259,Taxa_från_edp!$B:$B,Taxa_från_edp!C:C),""),"")</f>
        <v/>
      </c>
      <c r="I259" s="127">
        <f>IF($F259&lt;&gt;"",IFERROR(_xlfn.XLOOKUP($F259,Taxa_från_edp!$B:$B,Taxa_från_edp!G:G),""),"")</f>
        <v/>
      </c>
      <c r="J259" s="127">
        <f>IF($F259&lt;&gt;"",IFERROR(_xlfn.XLOOKUP($F259,Taxa_från_edp!$B:$B,Taxa_från_edp!K:K),""),"")</f>
        <v/>
      </c>
      <c r="K259" s="145" t="n"/>
      <c r="L259" s="146" t="n"/>
      <c r="M259" s="147">
        <f>IFERROR(IF(J259&lt;&gt;"",J259*1.25,IF(K259&lt;&gt;"",K259*1.25,"")),"")</f>
        <v/>
      </c>
      <c r="N259" s="148">
        <f>IFERROR(IF(J259&lt;&gt;"",L259*J259,IF(K259&lt;&gt;"",L259*K259,"")),"")</f>
        <v/>
      </c>
    </row>
    <row r="260" ht="30" customHeight="1">
      <c r="A260" s="68" t="inlineStr">
        <is>
          <t>§6.1.2</t>
        </is>
      </c>
      <c r="B260" s="68" t="inlineStr">
        <is>
          <t>Hanteringsavgifter för avfall inlämnat på återvinningscentral</t>
        </is>
      </c>
      <c r="C260" s="100" t="inlineStr">
        <is>
          <t>Gips, gipsskivor</t>
        </is>
      </c>
      <c r="D260" s="68" t="n">
        <v>170802</v>
      </c>
      <c r="E260" s="100" t="inlineStr">
        <is>
          <t>kr/kg</t>
        </is>
      </c>
      <c r="F260" s="106" t="n"/>
      <c r="G260" s="116">
        <f>IF($F260&lt;&gt;"",$F260,IFERROR(_xlfn.XLOOKUP(ROW(),Taxa_Saknas!$H:$H,Taxa_Saknas!$G:$G),""))</f>
        <v/>
      </c>
      <c r="H260" s="126">
        <f>IF($F260&lt;&gt;"",IFERROR(_xlfn.XLOOKUP($F260,Taxa_från_edp!$B:$B,Taxa_från_edp!C:C),""),"")</f>
        <v/>
      </c>
      <c r="I260" s="127">
        <f>IF($F260&lt;&gt;"",IFERROR(_xlfn.XLOOKUP($F260,Taxa_från_edp!$B:$B,Taxa_från_edp!G:G),""),"")</f>
        <v/>
      </c>
      <c r="J260" s="127">
        <f>IF($F260&lt;&gt;"",IFERROR(_xlfn.XLOOKUP($F260,Taxa_från_edp!$B:$B,Taxa_från_edp!K:K),""),"")</f>
        <v/>
      </c>
      <c r="K260" s="145" t="n"/>
      <c r="L260" s="146" t="n"/>
      <c r="M260" s="147">
        <f>IFERROR(IF(J260&lt;&gt;"",J260*1.25,IF(K260&lt;&gt;"",K260*1.25,"")),"")</f>
        <v/>
      </c>
      <c r="N260" s="148">
        <f>IFERROR(IF(J260&lt;&gt;"",L260*J260,IF(K260&lt;&gt;"",L260*K260,"")),"")</f>
        <v/>
      </c>
    </row>
    <row r="261" ht="30" customHeight="1">
      <c r="A261" s="68" t="inlineStr">
        <is>
          <t>§6.1.2</t>
        </is>
      </c>
      <c r="B261" s="68" t="inlineStr">
        <is>
          <t>Hanteringsavgifter för avfall inlämnat på återvinningscentral</t>
        </is>
      </c>
      <c r="C261" s="68" t="inlineStr">
        <is>
          <t>Tegel</t>
        </is>
      </c>
      <c r="D261" s="68" t="n">
        <v>170102</v>
      </c>
      <c r="E261" s="100" t="inlineStr">
        <is>
          <t>kr/kg</t>
        </is>
      </c>
      <c r="F261" s="106" t="n"/>
      <c r="G261" s="116">
        <f>IF($F261&lt;&gt;"",$F261,IFERROR(_xlfn.XLOOKUP(ROW(),Taxa_Saknas!$H:$H,Taxa_Saknas!$G:$G),""))</f>
        <v/>
      </c>
      <c r="H261" s="126">
        <f>IF($F261&lt;&gt;"",IFERROR(_xlfn.XLOOKUP($F261,Taxa_från_edp!$B:$B,Taxa_från_edp!C:C),""),"")</f>
        <v/>
      </c>
      <c r="I261" s="127">
        <f>IF($F261&lt;&gt;"",IFERROR(_xlfn.XLOOKUP($F261,Taxa_från_edp!$B:$B,Taxa_från_edp!G:G),""),"")</f>
        <v/>
      </c>
      <c r="J261" s="127">
        <f>IF($F261&lt;&gt;"",IFERROR(_xlfn.XLOOKUP($F261,Taxa_från_edp!$B:$B,Taxa_från_edp!K:K),""),"")</f>
        <v/>
      </c>
      <c r="K261" s="145" t="n"/>
      <c r="L261" s="146" t="n"/>
      <c r="M261" s="147">
        <f>IFERROR(IF(J261&lt;&gt;"",J261*1.25,IF(K261&lt;&gt;"",K261*1.25,"")),"")</f>
        <v/>
      </c>
      <c r="N261" s="148">
        <f>IFERROR(IF(J261&lt;&gt;"",L261*J261,IF(K261&lt;&gt;"",L261*K261,"")),"")</f>
        <v/>
      </c>
    </row>
    <row r="262" ht="30" customHeight="1">
      <c r="A262" s="68" t="inlineStr">
        <is>
          <t>§6.1.2</t>
        </is>
      </c>
      <c r="B262" s="68" t="inlineStr">
        <is>
          <t>Hanteringsavgifter för avfall inlämnat på återvinningscentral</t>
        </is>
      </c>
      <c r="C262" s="100" t="inlineStr">
        <is>
          <t>Fönster- och planglas utan karm</t>
        </is>
      </c>
      <c r="D262" s="68" t="n">
        <v>170202</v>
      </c>
      <c r="E262" s="100" t="inlineStr">
        <is>
          <t>kr/kg</t>
        </is>
      </c>
      <c r="F262" s="106" t="n"/>
      <c r="G262" s="116">
        <f>IF($F262&lt;&gt;"",$F262,IFERROR(_xlfn.XLOOKUP(ROW(),Taxa_Saknas!$H:$H,Taxa_Saknas!$G:$G),""))</f>
        <v/>
      </c>
      <c r="H262" s="126">
        <f>IF($F262&lt;&gt;"",IFERROR(_xlfn.XLOOKUP($F262,Taxa_från_edp!$B:$B,Taxa_från_edp!C:C),""),"")</f>
        <v/>
      </c>
      <c r="I262" s="127">
        <f>IF($F262&lt;&gt;"",IFERROR(_xlfn.XLOOKUP($F262,Taxa_från_edp!$B:$B,Taxa_från_edp!G:G),""),"")</f>
        <v/>
      </c>
      <c r="J262" s="127">
        <f>IF($F262&lt;&gt;"",IFERROR(_xlfn.XLOOKUP($F262,Taxa_från_edp!$B:$B,Taxa_från_edp!K:K),""),"")</f>
        <v/>
      </c>
      <c r="K262" s="145" t="n"/>
      <c r="L262" s="146" t="n"/>
      <c r="M262" s="147">
        <f>IFERROR(IF(J262&lt;&gt;"",J262*1.25,IF(K262&lt;&gt;"",K262*1.25,"")),"")</f>
        <v/>
      </c>
      <c r="N262" s="148">
        <f>IFERROR(IF(J262&lt;&gt;"",L262*J262,IF(K262&lt;&gt;"",L262*K262,"")),"")</f>
        <v/>
      </c>
    </row>
    <row r="263" ht="30" customHeight="1">
      <c r="A263" s="68" t="inlineStr">
        <is>
          <t>§6.1.2</t>
        </is>
      </c>
      <c r="B263" s="68" t="inlineStr">
        <is>
          <t>Hanteringsavgifter för avfall inlämnat på återvinningscentral</t>
        </is>
      </c>
      <c r="C263" s="68" t="inlineStr">
        <is>
          <t>Fönster med karm</t>
        </is>
      </c>
      <c r="D263" s="68" t="n"/>
      <c r="E263" s="100" t="inlineStr">
        <is>
          <t>kr/kg</t>
        </is>
      </c>
      <c r="F263" s="106" t="n"/>
      <c r="G263" s="116">
        <f>IF($F263&lt;&gt;"",$F263,IFERROR(_xlfn.XLOOKUP(ROW(),Taxa_Saknas!$H:$H,Taxa_Saknas!$G:$G),""))</f>
        <v/>
      </c>
      <c r="H263" s="126">
        <f>IF($F263&lt;&gt;"",IFERROR(_xlfn.XLOOKUP($F263,Taxa_från_edp!$B:$B,Taxa_från_edp!C:C),""),"")</f>
        <v/>
      </c>
      <c r="I263" s="127">
        <f>IF($F263&lt;&gt;"",IFERROR(_xlfn.XLOOKUP($F263,Taxa_från_edp!$B:$B,Taxa_från_edp!G:G),""),"")</f>
        <v/>
      </c>
      <c r="J263" s="127">
        <f>IF($F263&lt;&gt;"",IFERROR(_xlfn.XLOOKUP($F263,Taxa_från_edp!$B:$B,Taxa_från_edp!K:K),""),"")</f>
        <v/>
      </c>
      <c r="K263" s="145" t="n"/>
      <c r="L263" s="146" t="n"/>
      <c r="M263" s="147">
        <f>IFERROR(IF(J263&lt;&gt;"",J263*1.25,IF(K263&lt;&gt;"",K263*1.25,"")),"")</f>
        <v/>
      </c>
      <c r="N263" s="148">
        <f>IFERROR(IF(J263&lt;&gt;"",L263*J263,IF(K263&lt;&gt;"",L263*K263,"")),"")</f>
        <v/>
      </c>
    </row>
    <row r="264" ht="30" customHeight="1">
      <c r="A264" s="68" t="inlineStr">
        <is>
          <t>§6.1.2</t>
        </is>
      </c>
      <c r="B264" s="68" t="inlineStr">
        <is>
          <t>Hanteringsavgifter för avfall inlämnat på återvinningscentral</t>
        </is>
      </c>
      <c r="C264" s="100" t="inlineStr">
        <is>
          <t>Plast</t>
        </is>
      </c>
      <c r="D264" s="68" t="n"/>
      <c r="E264" s="100" t="inlineStr">
        <is>
          <t>kr/kg</t>
        </is>
      </c>
      <c r="F264" s="106" t="n"/>
      <c r="G264" s="116">
        <f>IF($F264&lt;&gt;"",$F264,IFERROR(_xlfn.XLOOKUP(ROW(),Taxa_Saknas!$H:$H,Taxa_Saknas!$G:$G),""))</f>
        <v/>
      </c>
      <c r="H264" s="126">
        <f>IF($F264&lt;&gt;"",IFERROR(_xlfn.XLOOKUP($F264,Taxa_från_edp!$B:$B,Taxa_från_edp!C:C),""),"")</f>
        <v/>
      </c>
      <c r="I264" s="127">
        <f>IF($F264&lt;&gt;"",IFERROR(_xlfn.XLOOKUP($F264,Taxa_från_edp!$B:$B,Taxa_från_edp!G:G),""),"")</f>
        <v/>
      </c>
      <c r="J264" s="127">
        <f>IF($F264&lt;&gt;"",IFERROR(_xlfn.XLOOKUP($F264,Taxa_från_edp!$B:$B,Taxa_från_edp!K:K),""),"")</f>
        <v/>
      </c>
      <c r="K264" s="145" t="n"/>
      <c r="L264" s="146" t="n"/>
      <c r="M264" s="147">
        <f>IFERROR(IF(J264&lt;&gt;"",J264*1.25,IF(K264&lt;&gt;"",K264*1.25,"")),"")</f>
        <v/>
      </c>
      <c r="N264" s="148">
        <f>IFERROR(IF(J264&lt;&gt;"",L264*J264,IF(K264&lt;&gt;"",L264*K264,"")),"")</f>
        <v/>
      </c>
    </row>
    <row r="265" ht="30" customHeight="1">
      <c r="A265" s="68" t="inlineStr">
        <is>
          <t>§6.1.2</t>
        </is>
      </c>
      <c r="B265" s="68" t="inlineStr">
        <is>
          <t>Hanteringsavgifter för avfall inlämnat på återvinningscentral</t>
        </is>
      </c>
      <c r="C265" s="68" t="inlineStr">
        <is>
          <t>Isolering utan innehåll av asbest</t>
        </is>
      </c>
      <c r="D265" s="68" t="n">
        <v>170604</v>
      </c>
      <c r="E265" s="100" t="inlineStr">
        <is>
          <t>kr/m3</t>
        </is>
      </c>
      <c r="F265" s="106" t="n"/>
      <c r="G265" s="116">
        <f>IF($F265&lt;&gt;"",$F265,IFERROR(_xlfn.XLOOKUP(ROW(),Taxa_Saknas!$H:$H,Taxa_Saknas!$G:$G),""))</f>
        <v/>
      </c>
      <c r="H265" s="126">
        <f>IF($F265&lt;&gt;"",IFERROR(_xlfn.XLOOKUP($F265,Taxa_från_edp!$B:$B,Taxa_från_edp!C:C),""),"")</f>
        <v/>
      </c>
      <c r="I265" s="127">
        <f>IF($F265&lt;&gt;"",IFERROR(_xlfn.XLOOKUP($F265,Taxa_från_edp!$B:$B,Taxa_från_edp!G:G),""),"")</f>
        <v/>
      </c>
      <c r="J265" s="127">
        <f>IF($F265&lt;&gt;"",IFERROR(_xlfn.XLOOKUP($F265,Taxa_från_edp!$B:$B,Taxa_från_edp!K:K),""),"")</f>
        <v/>
      </c>
      <c r="K265" s="145" t="n"/>
      <c r="L265" s="146" t="n"/>
      <c r="M265" s="147">
        <f>IFERROR(IF(J265&lt;&gt;"",J265*1.25,IF(K265&lt;&gt;"",K265*1.25,"")),"")</f>
        <v/>
      </c>
      <c r="N265" s="148">
        <f>IFERROR(IF(J265&lt;&gt;"",L265*J265,IF(K265&lt;&gt;"",L265*K265,"")),"")</f>
        <v/>
      </c>
    </row>
    <row r="266" ht="30" customHeight="1">
      <c r="A266" s="68" t="inlineStr">
        <is>
          <t>§6.1.2</t>
        </is>
      </c>
      <c r="B266" s="68" t="inlineStr">
        <is>
          <t>Hanteringsavgifter för avfall inlämnat på återvinningscentral</t>
        </is>
      </c>
      <c r="C266" s="100" t="inlineStr">
        <is>
          <t>Klinker, keramik, porslin</t>
        </is>
      </c>
      <c r="D266" s="68" t="n">
        <v>170103</v>
      </c>
      <c r="E266" s="100" t="inlineStr">
        <is>
          <t>kr/kg</t>
        </is>
      </c>
      <c r="F266" s="106" t="n"/>
      <c r="G266" s="116">
        <f>IF($F266&lt;&gt;"",$F266,IFERROR(_xlfn.XLOOKUP(ROW(),Taxa_Saknas!$H:$H,Taxa_Saknas!$G:$G),""))</f>
        <v/>
      </c>
      <c r="H266" s="126">
        <f>IF($F266&lt;&gt;"",IFERROR(_xlfn.XLOOKUP($F266,Taxa_från_edp!$B:$B,Taxa_från_edp!C:C),""),"")</f>
        <v/>
      </c>
      <c r="I266" s="127">
        <f>IF($F266&lt;&gt;"",IFERROR(_xlfn.XLOOKUP($F266,Taxa_från_edp!$B:$B,Taxa_från_edp!G:G),""),"")</f>
        <v/>
      </c>
      <c r="J266" s="127">
        <f>IF($F266&lt;&gt;"",IFERROR(_xlfn.XLOOKUP($F266,Taxa_från_edp!$B:$B,Taxa_från_edp!K:K),""),"")</f>
        <v/>
      </c>
      <c r="K266" s="145" t="n"/>
      <c r="L266" s="146" t="n"/>
      <c r="M266" s="147">
        <f>IFERROR(IF(J266&lt;&gt;"",J266*1.25,IF(K266&lt;&gt;"",K266*1.25,"")),"")</f>
        <v/>
      </c>
      <c r="N266" s="148">
        <f>IFERROR(IF(J266&lt;&gt;"",L266*J266,IF(K266&lt;&gt;"",L266*K266,"")),"")</f>
        <v/>
      </c>
    </row>
    <row r="267" ht="30" customHeight="1">
      <c r="A267" s="68" t="inlineStr">
        <is>
          <t>§6.1.2</t>
        </is>
      </c>
      <c r="B267" s="68" t="inlineStr">
        <is>
          <t>Hanteringsavgifter för avfall inlämnat på återvinningscentral</t>
        </is>
      </c>
      <c r="C267" s="100" t="inlineStr">
        <is>
          <t>Handfat</t>
        </is>
      </c>
      <c r="D267" s="68" t="n">
        <v>170103</v>
      </c>
      <c r="E267" s="100" t="inlineStr">
        <is>
          <t>kr/st</t>
        </is>
      </c>
      <c r="F267" s="106" t="n"/>
      <c r="G267" s="116">
        <f>IF($F267&lt;&gt;"",$F267,IFERROR(_xlfn.XLOOKUP(ROW(),Taxa_Saknas!$H:$H,Taxa_Saknas!$G:$G),""))</f>
        <v/>
      </c>
      <c r="H267" s="126">
        <f>IF($F267&lt;&gt;"",IFERROR(_xlfn.XLOOKUP($F267,Taxa_från_edp!$B:$B,Taxa_från_edp!C:C),""),"")</f>
        <v/>
      </c>
      <c r="I267" s="127">
        <f>IF($F267&lt;&gt;"",IFERROR(_xlfn.XLOOKUP($F267,Taxa_från_edp!$B:$B,Taxa_från_edp!G:G),""),"")</f>
        <v/>
      </c>
      <c r="J267" s="127">
        <f>IF($F267&lt;&gt;"",IFERROR(_xlfn.XLOOKUP($F267,Taxa_från_edp!$B:$B,Taxa_från_edp!K:K),""),"")</f>
        <v/>
      </c>
      <c r="K267" s="145" t="n"/>
      <c r="L267" s="146" t="n"/>
      <c r="M267" s="147">
        <f>IFERROR(IF(J267&lt;&gt;"",J267*1.25,IF(K267&lt;&gt;"",K267*1.25,"")),"")</f>
        <v/>
      </c>
      <c r="N267" s="148">
        <f>IFERROR(IF(J267&lt;&gt;"",L267*J267,IF(K267&lt;&gt;"",L267*K267,"")),"")</f>
        <v/>
      </c>
    </row>
    <row r="268" ht="30" customHeight="1">
      <c r="A268" s="68" t="inlineStr">
        <is>
          <t>§6.1.2</t>
        </is>
      </c>
      <c r="B268" s="68" t="inlineStr">
        <is>
          <t>Hanteringsavgifter för avfall inlämnat på återvinningscentral</t>
        </is>
      </c>
      <c r="C268" s="100" t="inlineStr">
        <is>
          <t>WC stolar</t>
        </is>
      </c>
      <c r="D268" s="68" t="n">
        <v>170103</v>
      </c>
      <c r="E268" s="100" t="inlineStr">
        <is>
          <t>kr/st</t>
        </is>
      </c>
      <c r="F268" s="106" t="n"/>
      <c r="G268" s="116">
        <f>IF($F268&lt;&gt;"",$F268,IFERROR(_xlfn.XLOOKUP(ROW(),Taxa_Saknas!$H:$H,Taxa_Saknas!$G:$G),""))</f>
        <v/>
      </c>
      <c r="H268" s="126">
        <f>IF($F268&lt;&gt;"",IFERROR(_xlfn.XLOOKUP($F268,Taxa_från_edp!$B:$B,Taxa_från_edp!C:C),""),"")</f>
        <v/>
      </c>
      <c r="I268" s="127">
        <f>IF($F268&lt;&gt;"",IFERROR(_xlfn.XLOOKUP($F268,Taxa_från_edp!$B:$B,Taxa_från_edp!G:G),""),"")</f>
        <v/>
      </c>
      <c r="J268" s="127">
        <f>IF($F268&lt;&gt;"",IFERROR(_xlfn.XLOOKUP($F268,Taxa_från_edp!$B:$B,Taxa_från_edp!K:K),""),"")</f>
        <v/>
      </c>
      <c r="K268" s="145" t="n"/>
      <c r="L268" s="146" t="n"/>
      <c r="M268" s="147">
        <f>IFERROR(IF(J268&lt;&gt;"",J268*1.25,IF(K268&lt;&gt;"",K268*1.25,"")),"")</f>
        <v/>
      </c>
      <c r="N268" s="148">
        <f>IFERROR(IF(J268&lt;&gt;"",L268*J268,IF(K268&lt;&gt;"",L268*K268,"")),"")</f>
        <v/>
      </c>
    </row>
    <row r="269" ht="30" customHeight="1">
      <c r="A269" s="68" t="inlineStr">
        <is>
          <t>§6.1.2</t>
        </is>
      </c>
      <c r="B269" s="68" t="inlineStr">
        <is>
          <t>Hanteringsavgifter för avfall inlämnat på återvinningscentral</t>
        </is>
      </c>
      <c r="C269" s="100" t="inlineStr">
        <is>
          <t>Metall</t>
        </is>
      </c>
      <c r="D269" s="68" t="n">
        <v>200140</v>
      </c>
      <c r="E269" s="100" t="inlineStr">
        <is>
          <t>kr/kg</t>
        </is>
      </c>
      <c r="F269" s="106" t="n"/>
      <c r="G269" s="116">
        <f>IF($F269&lt;&gt;"",$F269,IFERROR(_xlfn.XLOOKUP(ROW(),Taxa_Saknas!$H:$H,Taxa_Saknas!$G:$G),""))</f>
        <v/>
      </c>
      <c r="H269" s="126">
        <f>IF($F269&lt;&gt;"",IFERROR(_xlfn.XLOOKUP($F269,Taxa_från_edp!$B:$B,Taxa_från_edp!C:C),""),"")</f>
        <v/>
      </c>
      <c r="I269" s="127">
        <f>IF($F269&lt;&gt;"",IFERROR(_xlfn.XLOOKUP($F269,Taxa_från_edp!$B:$B,Taxa_från_edp!G:G),""),"")</f>
        <v/>
      </c>
      <c r="J269" s="127">
        <f>IF($F269&lt;&gt;"",IFERROR(_xlfn.XLOOKUP($F269,Taxa_från_edp!$B:$B,Taxa_från_edp!K:K),""),"")</f>
        <v/>
      </c>
      <c r="K269" s="145" t="n"/>
      <c r="L269" s="146" t="n"/>
      <c r="M269" s="147">
        <f>IFERROR(IF(J269&lt;&gt;"",J269*1.25,IF(K269&lt;&gt;"",K269*1.25,"")),"")</f>
        <v/>
      </c>
      <c r="N269" s="148">
        <f>IFERROR(IF(J269&lt;&gt;"",L269*J269,IF(K269&lt;&gt;"",L269*K269,"")),"")</f>
        <v/>
      </c>
    </row>
    <row r="270" ht="30" customHeight="1">
      <c r="A270" s="68" t="inlineStr">
        <is>
          <t>§6.1.2</t>
        </is>
      </c>
      <c r="B270" s="68" t="inlineStr">
        <is>
          <t>Hanteringsavgifter för avfall inlämnat på återvinningscentral</t>
        </is>
      </c>
      <c r="C270" s="100" t="inlineStr">
        <is>
          <t>Textilier</t>
        </is>
      </c>
      <c r="D270" s="68" t="n"/>
      <c r="E270" s="100" t="inlineStr">
        <is>
          <t>kr/kg</t>
        </is>
      </c>
      <c r="F270" s="106" t="n"/>
      <c r="G270" s="116">
        <f>IF($F270&lt;&gt;"",$F270,IFERROR(_xlfn.XLOOKUP(ROW(),Taxa_Saknas!$H:$H,Taxa_Saknas!$G:$G),""))</f>
        <v/>
      </c>
      <c r="H270" s="126">
        <f>IF($F270&lt;&gt;"",IFERROR(_xlfn.XLOOKUP($F270,Taxa_från_edp!$B:$B,Taxa_från_edp!C:C),""),"")</f>
        <v/>
      </c>
      <c r="I270" s="127">
        <f>IF($F270&lt;&gt;"",IFERROR(_xlfn.XLOOKUP($F270,Taxa_från_edp!$B:$B,Taxa_från_edp!G:G),""),"")</f>
        <v/>
      </c>
      <c r="J270" s="127">
        <f>IF($F270&lt;&gt;"",IFERROR(_xlfn.XLOOKUP($F270,Taxa_från_edp!$B:$B,Taxa_från_edp!K:K),""),"")</f>
        <v/>
      </c>
      <c r="K270" s="145" t="n"/>
      <c r="L270" s="146" t="n"/>
      <c r="M270" s="147">
        <f>IFERROR(IF(J270&lt;&gt;"",J270*1.25,IF(K270&lt;&gt;"",K270*1.25,"")),"")</f>
        <v/>
      </c>
      <c r="N270" s="148">
        <f>IFERROR(IF(J270&lt;&gt;"",L270*J270,IF(K270&lt;&gt;"",L270*K270,"")),"")</f>
        <v/>
      </c>
    </row>
    <row r="271" ht="30" customHeight="1">
      <c r="A271" s="68" t="inlineStr">
        <is>
          <t>§6.1.2</t>
        </is>
      </c>
      <c r="B271" s="68" t="inlineStr">
        <is>
          <t>Hanteringsavgifter för avfall inlämnat på återvinningscentral</t>
        </is>
      </c>
      <c r="C271" s="100" t="inlineStr">
        <is>
          <t>Fiskeredskap</t>
        </is>
      </c>
      <c r="D271" s="68" t="n"/>
      <c r="E271" s="100" t="inlineStr">
        <is>
          <t>kr/kg</t>
        </is>
      </c>
      <c r="F271" s="106" t="n"/>
      <c r="G271" s="116">
        <f>IF($F271&lt;&gt;"",$F271,IFERROR(_xlfn.XLOOKUP(ROW(),Taxa_Saknas!$H:$H,Taxa_Saknas!$G:$G),""))</f>
        <v/>
      </c>
      <c r="H271" s="126">
        <f>IF($F271&lt;&gt;"",IFERROR(_xlfn.XLOOKUP($F271,Taxa_från_edp!$B:$B,Taxa_från_edp!C:C),""),"")</f>
        <v/>
      </c>
      <c r="I271" s="127">
        <f>IF($F271&lt;&gt;"",IFERROR(_xlfn.XLOOKUP($F271,Taxa_från_edp!$B:$B,Taxa_från_edp!G:G),""),"")</f>
        <v/>
      </c>
      <c r="J271" s="127">
        <f>IF($F271&lt;&gt;"",IFERROR(_xlfn.XLOOKUP($F271,Taxa_från_edp!$B:$B,Taxa_från_edp!K:K),""),"")</f>
        <v/>
      </c>
      <c r="K271" s="145" t="n"/>
      <c r="L271" s="146" t="n"/>
      <c r="M271" s="147">
        <f>IFERROR(IF(J271&lt;&gt;"",J271*1.25,IF(K271&lt;&gt;"",K271*1.25,"")),"")</f>
        <v/>
      </c>
      <c r="N271" s="148">
        <f>IFERROR(IF(J271&lt;&gt;"",L271*J271,IF(K271&lt;&gt;"",L271*K271,"")),"")</f>
        <v/>
      </c>
    </row>
    <row r="272" ht="30" customHeight="1">
      <c r="A272" s="68" t="inlineStr">
        <is>
          <t>§6.1.2</t>
        </is>
      </c>
      <c r="B272" s="68" t="inlineStr">
        <is>
          <t>Hanteringsavgifter för avfall inlämnat på återvinningscentral</t>
        </is>
      </c>
      <c r="C272" s="100" t="inlineStr">
        <is>
          <t>Ätbart fett/frityrolja</t>
        </is>
      </c>
      <c r="D272" s="68" t="n"/>
      <c r="E272" s="100" t="inlineStr">
        <is>
          <t>kr/l</t>
        </is>
      </c>
      <c r="F272" s="106" t="n"/>
      <c r="G272" s="116">
        <f>IF($F272&lt;&gt;"",$F272,IFERROR(_xlfn.XLOOKUP(ROW(),Taxa_Saknas!$H:$H,Taxa_Saknas!$G:$G),""))</f>
        <v/>
      </c>
      <c r="H272" s="126">
        <f>IF($F272&lt;&gt;"",IFERROR(_xlfn.XLOOKUP($F272,Taxa_från_edp!$B:$B,Taxa_från_edp!C:C),""),"")</f>
        <v/>
      </c>
      <c r="I272" s="127">
        <f>IF($F272&lt;&gt;"",IFERROR(_xlfn.XLOOKUP($F272,Taxa_från_edp!$B:$B,Taxa_från_edp!G:G),""),"")</f>
        <v/>
      </c>
      <c r="J272" s="127">
        <f>IF($F272&lt;&gt;"",IFERROR(_xlfn.XLOOKUP($F272,Taxa_från_edp!$B:$B,Taxa_från_edp!K:K),""),"")</f>
        <v/>
      </c>
      <c r="K272" s="145" t="n"/>
      <c r="L272" s="146" t="n"/>
      <c r="M272" s="147">
        <f>IFERROR(IF(J272&lt;&gt;"",J272*1.25,IF(K272&lt;&gt;"",K272*1.25,"")),"")</f>
        <v/>
      </c>
      <c r="N272" s="148">
        <f>IFERROR(IF(J272&lt;&gt;"",L272*J272,IF(K272&lt;&gt;"",L272*K272,"")),"")</f>
        <v/>
      </c>
    </row>
    <row r="273" ht="30" customFormat="1" customHeight="1" s="92">
      <c r="A273" s="68" t="inlineStr">
        <is>
          <t>§6.1.2</t>
        </is>
      </c>
      <c r="B273" s="68" t="inlineStr">
        <is>
          <t>Hanteringsavgifter för avfall inlämnat på återvinningscentral</t>
        </is>
      </c>
      <c r="C273" s="100" t="inlineStr">
        <is>
          <t>Kvistar och grenar</t>
        </is>
      </c>
      <c r="D273" s="68" t="n">
        <v>200201</v>
      </c>
      <c r="E273" s="100" t="inlineStr">
        <is>
          <t>kr/m3</t>
        </is>
      </c>
      <c r="F273" s="106" t="n"/>
      <c r="G273" s="116" t="n"/>
      <c r="H273" s="126" t="n"/>
      <c r="I273" s="127" t="n"/>
      <c r="J273" s="127" t="n"/>
      <c r="K273" s="145" t="n"/>
      <c r="L273" s="146" t="n"/>
      <c r="M273" s="147" t="n"/>
      <c r="N273" s="148" t="n"/>
    </row>
    <row r="274" ht="30" customFormat="1" customHeight="1" s="92">
      <c r="A274" s="68" t="inlineStr">
        <is>
          <t>§6.1.2</t>
        </is>
      </c>
      <c r="B274" s="68" t="inlineStr">
        <is>
          <t>Hanteringsavgifter för avfall inlämnat på återvinningscentral</t>
        </is>
      </c>
      <c r="C274" s="100" t="inlineStr">
        <is>
          <t>Jord</t>
        </is>
      </c>
      <c r="D274" s="68" t="n"/>
      <c r="E274" s="100" t="inlineStr">
        <is>
          <t>kr/m3</t>
        </is>
      </c>
      <c r="F274" s="106" t="n"/>
      <c r="G274" s="116" t="n"/>
      <c r="H274" s="126" t="n"/>
      <c r="I274" s="127" t="n"/>
      <c r="J274" s="127" t="n"/>
      <c r="K274" s="145" t="n"/>
      <c r="L274" s="146" t="n"/>
      <c r="M274" s="147" t="n"/>
      <c r="N274" s="148" t="n"/>
    </row>
    <row r="275" ht="30" customFormat="1" customHeight="1" s="92">
      <c r="A275" s="68" t="inlineStr">
        <is>
          <t>§6.1.2</t>
        </is>
      </c>
      <c r="B275" s="68" t="inlineStr">
        <is>
          <t>Hanteringsavgifter för avfall inlämnat på återvinningscentral</t>
        </is>
      </c>
      <c r="C275" s="100" t="inlineStr">
        <is>
          <t>Sten</t>
        </is>
      </c>
      <c r="D275" s="68" t="n"/>
      <c r="E275" s="100" t="inlineStr">
        <is>
          <t>kr/m3</t>
        </is>
      </c>
      <c r="F275" s="106" t="n"/>
      <c r="G275" s="116" t="n"/>
      <c r="H275" s="126" t="n"/>
      <c r="I275" s="127" t="n"/>
      <c r="J275" s="127" t="n"/>
      <c r="K275" s="145" t="n"/>
      <c r="L275" s="146" t="n"/>
      <c r="M275" s="147" t="n"/>
      <c r="N275" s="148" t="n"/>
    </row>
    <row r="276" ht="30" customHeight="1">
      <c r="A276" s="68" t="inlineStr">
        <is>
          <t>§6.1.2</t>
        </is>
      </c>
      <c r="B276" s="68" t="inlineStr">
        <is>
          <t>Hanteringsavgifter för avfall inlämnat på återvinningscentral</t>
        </is>
      </c>
      <c r="C276" s="100" t="inlineStr">
        <is>
          <t>Stubbar rötter för krossning</t>
        </is>
      </c>
      <c r="D276" s="68" t="n"/>
      <c r="E276" s="100" t="inlineStr">
        <is>
          <t>kr/kg</t>
        </is>
      </c>
      <c r="F276" s="106" t="n"/>
      <c r="G276" s="116">
        <f>IF($F276&lt;&gt;"",$F276,IFERROR(_xlfn.XLOOKUP(ROW(),Taxa_Saknas!$H:$H,Taxa_Saknas!$G:$G),""))</f>
        <v/>
      </c>
      <c r="H276" s="126">
        <f>IF($F276&lt;&gt;"",IFERROR(_xlfn.XLOOKUP($F276,Taxa_från_edp!$B:$B,Taxa_från_edp!C:C),""),"")</f>
        <v/>
      </c>
      <c r="I276" s="127">
        <f>IF($F276&lt;&gt;"",IFERROR(_xlfn.XLOOKUP($F276,Taxa_från_edp!$B:$B,Taxa_från_edp!G:G),""),"")</f>
        <v/>
      </c>
      <c r="J276" s="127">
        <f>IF($F276&lt;&gt;"",IFERROR(_xlfn.XLOOKUP($F276,Taxa_från_edp!$B:$B,Taxa_från_edp!K:K),""),"")</f>
        <v/>
      </c>
      <c r="K276" s="145" t="n"/>
      <c r="L276" s="146" t="n"/>
      <c r="M276" s="147">
        <f>IFERROR(IF(J276&lt;&gt;"",J276*1.25,IF(K276&lt;&gt;"",K276*1.25,"")),"")</f>
        <v/>
      </c>
      <c r="N276" s="148">
        <f>IFERROR(IF(J276&lt;&gt;"",L276*J276,IF(K276&lt;&gt;"",L276*K276,"")),"")</f>
        <v/>
      </c>
    </row>
    <row r="277" ht="30" customHeight="1">
      <c r="A277" s="68" t="inlineStr">
        <is>
          <t>§6.1.2</t>
        </is>
      </c>
      <c r="B277" s="68" t="inlineStr">
        <is>
          <t>Hanteringsavgifter för avfall inlämnat på återvinningscentral</t>
        </is>
      </c>
      <c r="C277" s="100" t="inlineStr">
        <is>
          <t>Flera fraktioner för egen sortering på ramp max 2 m3</t>
        </is>
      </c>
      <c r="D277" s="68" t="n"/>
      <c r="E277" s="100" t="inlineStr">
        <is>
          <t>Kr/besök</t>
        </is>
      </c>
      <c r="F277" s="106" t="n"/>
      <c r="G277" s="116">
        <f>IF($F277&lt;&gt;"",$F277,IFERROR(_xlfn.XLOOKUP(ROW(),Taxa_Saknas!$H:$H,Taxa_Saknas!$G:$G),""))</f>
        <v/>
      </c>
      <c r="H277" s="126">
        <f>IF($F277&lt;&gt;"",IFERROR(_xlfn.XLOOKUP($F277,Taxa_från_edp!$B:$B,Taxa_från_edp!C:C),""),"")</f>
        <v/>
      </c>
      <c r="I277" s="127">
        <f>IF($F277&lt;&gt;"",IFERROR(_xlfn.XLOOKUP($F277,Taxa_från_edp!$B:$B,Taxa_från_edp!G:G),""),"")</f>
        <v/>
      </c>
      <c r="J277" s="127">
        <f>IF($F277&lt;&gt;"",IFERROR(_xlfn.XLOOKUP($F277,Taxa_från_edp!$B:$B,Taxa_från_edp!K:K),""),"")</f>
        <v/>
      </c>
      <c r="K277" s="145" t="n"/>
      <c r="L277" s="146" t="n"/>
      <c r="M277" s="147">
        <f>IFERROR(IF(J277&lt;&gt;"",J277*1.25,IF(K277&lt;&gt;"",K277*1.25,"")),"")</f>
        <v/>
      </c>
      <c r="N277" s="148">
        <f>IFERROR(IF(J277&lt;&gt;"",L277*J277,IF(K277&lt;&gt;"",L277*K277,"")),"")</f>
        <v/>
      </c>
    </row>
    <row r="278" ht="30" customHeight="1">
      <c r="A278" s="68" t="inlineStr">
        <is>
          <t>§6.1.2</t>
        </is>
      </c>
      <c r="B278" s="68" t="inlineStr">
        <is>
          <t>Hanteringsavgifter för avfall inlämnat på återvinningscentral</t>
        </is>
      </c>
      <c r="C278" s="100" t="inlineStr">
        <is>
          <t>Osorterat avfall till sortering ej innehåll av farligt avfall eller elavfall</t>
        </is>
      </c>
      <c r="D278" s="68" t="n"/>
      <c r="E278" s="100" t="inlineStr">
        <is>
          <t>Kr/besök</t>
        </is>
      </c>
      <c r="F278" s="106" t="n"/>
      <c r="G278" s="116">
        <f>IF($F278&lt;&gt;"",$F278,IFERROR(_xlfn.XLOOKUP(ROW(),Taxa_Saknas!$H:$H,Taxa_Saknas!$G:$G),""))</f>
        <v/>
      </c>
      <c r="H278" s="126">
        <f>IF($F278&lt;&gt;"",IFERROR(_xlfn.XLOOKUP($F278,Taxa_från_edp!$B:$B,Taxa_från_edp!C:C),""),"")</f>
        <v/>
      </c>
      <c r="I278" s="127">
        <f>IF($F278&lt;&gt;"",IFERROR(_xlfn.XLOOKUP($F278,Taxa_från_edp!$B:$B,Taxa_från_edp!G:G),""),"")</f>
        <v/>
      </c>
      <c r="J278" s="127">
        <f>IF($F278&lt;&gt;"",IFERROR(_xlfn.XLOOKUP($F278,Taxa_från_edp!$B:$B,Taxa_från_edp!K:K),""),"")</f>
        <v/>
      </c>
      <c r="K278" s="145" t="n"/>
      <c r="L278" s="146" t="n"/>
      <c r="M278" s="147">
        <f>IFERROR(IF(J278&lt;&gt;"",J278*1.25,IF(K278&lt;&gt;"",K278*1.25,"")),"")</f>
        <v/>
      </c>
      <c r="N278" s="148">
        <f>IFERROR(IF(J278&lt;&gt;"",L278*J278,IF(K278&lt;&gt;"",L278*K278,"")),"")</f>
        <v/>
      </c>
    </row>
    <row r="279" ht="21.95" customHeight="1">
      <c r="A279" s="101" t="inlineStr">
        <is>
          <t>§6.1.3 Tillägg för farligt avfall</t>
        </is>
      </c>
      <c r="B279" s="84" t="n"/>
      <c r="C279" s="84" t="n"/>
      <c r="D279" s="84" t="n"/>
      <c r="E279" s="85" t="n"/>
      <c r="F279" s="114" t="n"/>
      <c r="G279" s="122">
        <f>IF($F279&lt;&gt;"",$F279,IFERROR(_xlfn.XLOOKUP(ROW(),Taxa_Saknas!$H:$H,Taxa_Saknas!$G:$G),""))</f>
        <v/>
      </c>
      <c r="H279" s="122">
        <f>IF($F279&lt;&gt;"",IFERROR(_xlfn.XLOOKUP($F279,Taxa_från_edp!$B:$B,Taxa_från_edp!C:C),""),"")</f>
        <v/>
      </c>
      <c r="I279" s="149">
        <f>IF($F279&lt;&gt;"",IFERROR(_xlfn.XLOOKUP($F279,Taxa_från_edp!$B:$B,Taxa_från_edp!G:G),""),"")</f>
        <v/>
      </c>
      <c r="J279" s="149">
        <f>IF($F279&lt;&gt;"",IFERROR(_xlfn.XLOOKUP($F279,Taxa_från_edp!$B:$B,Taxa_från_edp!K:K),""),"")</f>
        <v/>
      </c>
      <c r="K279" s="149" t="n"/>
      <c r="L279" s="149" t="n"/>
      <c r="M279" s="121">
        <f>IFERROR(IF(J279&lt;&gt;"",J279*1.25,IF(K279&lt;&gt;"",K279*1.25,"")),"")</f>
        <v/>
      </c>
      <c r="N279" s="144">
        <f>IFERROR(IF(J279&lt;&gt;"",L279*J279,IF(K279&lt;&gt;"",L279*K279,"")),"")</f>
        <v/>
      </c>
    </row>
    <row r="280" ht="30" customHeight="1">
      <c r="A280" s="100" t="inlineStr">
        <is>
          <t>§6.1.3</t>
        </is>
      </c>
      <c r="B280" s="68" t="inlineStr">
        <is>
          <t>Hanteringsavgifter för avfall inlämnat på återvinningscentral</t>
        </is>
      </c>
      <c r="C280" s="68" t="inlineStr">
        <is>
          <t>Tonerkassetter, utan elektronik/chip</t>
        </is>
      </c>
      <c r="D280" s="68" t="n">
        <v>80307</v>
      </c>
      <c r="E280" s="68" t="inlineStr">
        <is>
          <t>Kr/Kg</t>
        </is>
      </c>
      <c r="F280" s="106" t="n"/>
      <c r="G280" s="116">
        <f>IF($F280&lt;&gt;"",$F280,IFERROR(_xlfn.XLOOKUP(ROW(),Taxa_Saknas!$H:$H,Taxa_Saknas!$G:$G),""))</f>
        <v/>
      </c>
      <c r="H280" s="126">
        <f>IF($F280&lt;&gt;"",IFERROR(_xlfn.XLOOKUP($F280,Taxa_från_edp!$B:$B,Taxa_från_edp!C:C),""),"")</f>
        <v/>
      </c>
      <c r="I280" s="127">
        <f>IF($F280&lt;&gt;"",IFERROR(_xlfn.XLOOKUP($F280,Taxa_från_edp!$B:$B,Taxa_från_edp!G:G),""),"")</f>
        <v/>
      </c>
      <c r="J280" s="127">
        <f>IF($F280&lt;&gt;"",IFERROR(_xlfn.XLOOKUP($F280,Taxa_från_edp!$B:$B,Taxa_från_edp!K:K),""),"")</f>
        <v/>
      </c>
      <c r="K280" s="145" t="n"/>
      <c r="L280" s="146" t="n"/>
      <c r="M280" s="147">
        <f>IFERROR(IF(J280&lt;&gt;"",J280*1.25,IF(K280&lt;&gt;"",K280*1.25,"")),"")</f>
        <v/>
      </c>
      <c r="N280" s="148">
        <f>IFERROR(IF(J280&lt;&gt;"",L280*J280,IF(K280&lt;&gt;"",L280*K280,"")),"")</f>
        <v/>
      </c>
    </row>
    <row r="281" ht="30" customHeight="1">
      <c r="A281" s="100" t="inlineStr">
        <is>
          <t>§6.1.3</t>
        </is>
      </c>
      <c r="B281" s="68" t="inlineStr">
        <is>
          <t>Hanteringsavgifter för avfall inlämnat på återvinningscentral</t>
        </is>
      </c>
      <c r="C281" s="68" t="inlineStr">
        <is>
          <t>Oljeemulsion, emballerat</t>
        </is>
      </c>
      <c r="D281" s="68" t="inlineStr">
        <is>
          <t>120109*</t>
        </is>
      </c>
      <c r="E281" s="68" t="inlineStr">
        <is>
          <t>Kr/Kg</t>
        </is>
      </c>
      <c r="F281" s="106" t="n"/>
      <c r="G281" s="116">
        <f>IF($F281&lt;&gt;"",$F281,IFERROR(_xlfn.XLOOKUP(ROW(),Taxa_Saknas!$H:$H,Taxa_Saknas!$G:$G),""))</f>
        <v/>
      </c>
      <c r="H281" s="126">
        <f>IF($F281&lt;&gt;"",IFERROR(_xlfn.XLOOKUP($F281,Taxa_från_edp!$B:$B,Taxa_från_edp!C:C),""),"")</f>
        <v/>
      </c>
      <c r="I281" s="127">
        <f>IF($F281&lt;&gt;"",IFERROR(_xlfn.XLOOKUP($F281,Taxa_från_edp!$B:$B,Taxa_från_edp!G:G),""),"")</f>
        <v/>
      </c>
      <c r="J281" s="127">
        <f>IF($F281&lt;&gt;"",IFERROR(_xlfn.XLOOKUP($F281,Taxa_från_edp!$B:$B,Taxa_från_edp!K:K),""),"")</f>
        <v/>
      </c>
      <c r="K281" s="145" t="n"/>
      <c r="L281" s="146" t="n"/>
      <c r="M281" s="147">
        <f>IFERROR(IF(J281&lt;&gt;"",J281*1.25,IF(K281&lt;&gt;"",K281*1.25,"")),"")</f>
        <v/>
      </c>
      <c r="N281" s="148">
        <f>IFERROR(IF(J281&lt;&gt;"",L281*J281,IF(K281&lt;&gt;"",L281*K281,"")),"")</f>
        <v/>
      </c>
    </row>
    <row r="282" ht="30" customHeight="1">
      <c r="A282" s="100" t="inlineStr">
        <is>
          <t>§6.1.3</t>
        </is>
      </c>
      <c r="B282" s="68" t="inlineStr">
        <is>
          <t>Hanteringsavgifter för avfall inlämnat på återvinningscentral</t>
        </is>
      </c>
      <c r="C282" s="68" t="inlineStr">
        <is>
          <t>Förorenad olja innehållande PCB</t>
        </is>
      </c>
      <c r="D282" s="68" t="inlineStr">
        <is>
          <t>130301*</t>
        </is>
      </c>
      <c r="E282" s="68" t="inlineStr">
        <is>
          <t>Kr/Kg</t>
        </is>
      </c>
      <c r="F282" s="106" t="n"/>
      <c r="G282" s="116">
        <f>IF($F282&lt;&gt;"",$F282,IFERROR(_xlfn.XLOOKUP(ROW(),Taxa_Saknas!$H:$H,Taxa_Saknas!$G:$G),""))</f>
        <v/>
      </c>
      <c r="H282" s="126">
        <f>IF($F282&lt;&gt;"",IFERROR(_xlfn.XLOOKUP($F282,Taxa_från_edp!$B:$B,Taxa_från_edp!C:C),""),"")</f>
        <v/>
      </c>
      <c r="I282" s="127">
        <f>IF($F282&lt;&gt;"",IFERROR(_xlfn.XLOOKUP($F282,Taxa_från_edp!$B:$B,Taxa_från_edp!G:G),""),"")</f>
        <v/>
      </c>
      <c r="J282" s="127">
        <f>IF($F282&lt;&gt;"",IFERROR(_xlfn.XLOOKUP($F282,Taxa_från_edp!$B:$B,Taxa_från_edp!K:K),""),"")</f>
        <v/>
      </c>
      <c r="K282" s="145" t="n"/>
      <c r="L282" s="146" t="n"/>
      <c r="M282" s="147">
        <f>IFERROR(IF(J282&lt;&gt;"",J282*1.25,IF(K282&lt;&gt;"",K282*1.25,"")),"")</f>
        <v/>
      </c>
      <c r="N282" s="148">
        <f>IFERROR(IF(J282&lt;&gt;"",L282*J282,IF(K282&lt;&gt;"",L282*K282,"")),"")</f>
        <v/>
      </c>
    </row>
    <row r="283" ht="30" customHeight="1">
      <c r="A283" s="100" t="inlineStr">
        <is>
          <t>§6.1.3</t>
        </is>
      </c>
      <c r="B283" s="68" t="inlineStr">
        <is>
          <t>Hanteringsavgifter för avfall inlämnat på återvinningscentral</t>
        </is>
      </c>
      <c r="C283" s="68" t="inlineStr">
        <is>
          <t>Oljeavskiljarslam</t>
        </is>
      </c>
      <c r="D283" s="68" t="inlineStr">
        <is>
          <t>130508*</t>
        </is>
      </c>
      <c r="E283" s="68" t="inlineStr">
        <is>
          <t>Kr/Kg</t>
        </is>
      </c>
      <c r="F283" s="106" t="n"/>
      <c r="G283" s="116">
        <f>IF($F283&lt;&gt;"",$F283,IFERROR(_xlfn.XLOOKUP(ROW(),Taxa_Saknas!$H:$H,Taxa_Saknas!$G:$G),""))</f>
        <v/>
      </c>
      <c r="H283" s="126">
        <f>IF($F283&lt;&gt;"",IFERROR(_xlfn.XLOOKUP($F283,Taxa_från_edp!$B:$B,Taxa_från_edp!C:C),""),"")</f>
        <v/>
      </c>
      <c r="I283" s="127">
        <f>IF($F283&lt;&gt;"",IFERROR(_xlfn.XLOOKUP($F283,Taxa_från_edp!$B:$B,Taxa_från_edp!G:G),""),"")</f>
        <v/>
      </c>
      <c r="J283" s="127">
        <f>IF($F283&lt;&gt;"",IFERROR(_xlfn.XLOOKUP($F283,Taxa_från_edp!$B:$B,Taxa_från_edp!K:K),""),"")</f>
        <v/>
      </c>
      <c r="K283" s="145" t="n"/>
      <c r="L283" s="146" t="n"/>
      <c r="M283" s="147">
        <f>IFERROR(IF(J283&lt;&gt;"",J283*1.25,IF(K283&lt;&gt;"",K283*1.25,"")),"")</f>
        <v/>
      </c>
      <c r="N283" s="148">
        <f>IFERROR(IF(J283&lt;&gt;"",L283*J283,IF(K283&lt;&gt;"",L283*K283,"")),"")</f>
        <v/>
      </c>
    </row>
    <row r="284" ht="30" customHeight="1">
      <c r="A284" s="100" t="inlineStr">
        <is>
          <t>§6.1.3</t>
        </is>
      </c>
      <c r="B284" s="68" t="inlineStr">
        <is>
          <t>Hanteringsavgifter för avfall inlämnat på återvinningscentral</t>
        </is>
      </c>
      <c r="C284" s="68" t="inlineStr">
        <is>
          <t>Diesel</t>
        </is>
      </c>
      <c r="D284" s="68" t="inlineStr">
        <is>
          <t>130701*</t>
        </is>
      </c>
      <c r="E284" s="68" t="inlineStr">
        <is>
          <t>Kr/Kg</t>
        </is>
      </c>
      <c r="F284" s="106" t="n"/>
      <c r="G284" s="116">
        <f>IF($F284&lt;&gt;"",$F284,IFERROR(_xlfn.XLOOKUP(ROW(),Taxa_Saknas!$H:$H,Taxa_Saknas!$G:$G),""))</f>
        <v/>
      </c>
      <c r="H284" s="126">
        <f>IF($F284&lt;&gt;"",IFERROR(_xlfn.XLOOKUP($F284,Taxa_från_edp!$B:$B,Taxa_från_edp!C:C),""),"")</f>
        <v/>
      </c>
      <c r="I284" s="127">
        <f>IF($F284&lt;&gt;"",IFERROR(_xlfn.XLOOKUP($F284,Taxa_från_edp!$B:$B,Taxa_från_edp!G:G),""),"")</f>
        <v/>
      </c>
      <c r="J284" s="127">
        <f>IF($F284&lt;&gt;"",IFERROR(_xlfn.XLOOKUP($F284,Taxa_från_edp!$B:$B,Taxa_från_edp!K:K),""),"")</f>
        <v/>
      </c>
      <c r="K284" s="145" t="n"/>
      <c r="L284" s="146" t="n"/>
      <c r="M284" s="147">
        <f>IFERROR(IF(J284&lt;&gt;"",J284*1.25,IF(K284&lt;&gt;"",K284*1.25,"")),"")</f>
        <v/>
      </c>
      <c r="N284" s="148">
        <f>IFERROR(IF(J284&lt;&gt;"",L284*J284,IF(K284&lt;&gt;"",L284*K284,"")),"")</f>
        <v/>
      </c>
    </row>
    <row r="285" ht="30" customHeight="1">
      <c r="A285" s="100" t="inlineStr">
        <is>
          <t>§6.1.3</t>
        </is>
      </c>
      <c r="B285" s="68" t="inlineStr">
        <is>
          <t>Hanteringsavgifter för avfall inlämnat på återvinningscentral</t>
        </is>
      </c>
      <c r="C285" s="68" t="inlineStr">
        <is>
          <t>Bensinrester</t>
        </is>
      </c>
      <c r="D285" s="68" t="inlineStr">
        <is>
          <t>130702*</t>
        </is>
      </c>
      <c r="E285" s="68" t="inlineStr">
        <is>
          <t>Kr/Kg</t>
        </is>
      </c>
      <c r="F285" s="106" t="n"/>
      <c r="G285" s="116">
        <f>IF($F285&lt;&gt;"",$F285,IFERROR(_xlfn.XLOOKUP(ROW(),Taxa_Saknas!$H:$H,Taxa_Saknas!$G:$G),""))</f>
        <v/>
      </c>
      <c r="H285" s="126">
        <f>IF($F285&lt;&gt;"",IFERROR(_xlfn.XLOOKUP($F285,Taxa_från_edp!$B:$B,Taxa_från_edp!C:C),""),"")</f>
        <v/>
      </c>
      <c r="I285" s="127">
        <f>IF($F285&lt;&gt;"",IFERROR(_xlfn.XLOOKUP($F285,Taxa_från_edp!$B:$B,Taxa_från_edp!G:G),""),"")</f>
        <v/>
      </c>
      <c r="J285" s="127">
        <f>IF($F285&lt;&gt;"",IFERROR(_xlfn.XLOOKUP($F285,Taxa_från_edp!$B:$B,Taxa_från_edp!K:K),""),"")</f>
        <v/>
      </c>
      <c r="K285" s="145" t="n"/>
      <c r="L285" s="146" t="n"/>
      <c r="M285" s="147">
        <f>IFERROR(IF(J285&lt;&gt;"",J285*1.25,IF(K285&lt;&gt;"",K285*1.25,"")),"")</f>
        <v/>
      </c>
      <c r="N285" s="148">
        <f>IFERROR(IF(J285&lt;&gt;"",L285*J285,IF(K285&lt;&gt;"",L285*K285,"")),"")</f>
        <v/>
      </c>
    </row>
    <row r="286" ht="30" customHeight="1">
      <c r="A286" s="100" t="inlineStr">
        <is>
          <t>§6.1.3</t>
        </is>
      </c>
      <c r="B286" s="68" t="inlineStr">
        <is>
          <t>Hanteringsavgifter för avfall inlämnat på återvinningscentral</t>
        </is>
      </c>
      <c r="C286" s="68" t="inlineStr">
        <is>
          <t>Hydralslang, med/utan koppling</t>
        </is>
      </c>
      <c r="D286" s="68" t="inlineStr">
        <is>
          <t>130899*</t>
        </is>
      </c>
      <c r="E286" s="68" t="inlineStr">
        <is>
          <t>Kr/Kg</t>
        </is>
      </c>
      <c r="F286" s="106" t="n"/>
      <c r="G286" s="116">
        <f>IF($F286&lt;&gt;"",$F286,IFERROR(_xlfn.XLOOKUP(ROW(),Taxa_Saknas!$H:$H,Taxa_Saknas!$G:$G),""))</f>
        <v/>
      </c>
      <c r="H286" s="126">
        <f>IF($F286&lt;&gt;"",IFERROR(_xlfn.XLOOKUP($F286,Taxa_från_edp!$B:$B,Taxa_från_edp!C:C),""),"")</f>
        <v/>
      </c>
      <c r="I286" s="127">
        <f>IF($F286&lt;&gt;"",IFERROR(_xlfn.XLOOKUP($F286,Taxa_från_edp!$B:$B,Taxa_från_edp!G:G),""),"")</f>
        <v/>
      </c>
      <c r="J286" s="127">
        <f>IF($F286&lt;&gt;"",IFERROR(_xlfn.XLOOKUP($F286,Taxa_från_edp!$B:$B,Taxa_från_edp!K:K),""),"")</f>
        <v/>
      </c>
      <c r="K286" s="145" t="n"/>
      <c r="L286" s="146" t="n"/>
      <c r="M286" s="147">
        <f>IFERROR(IF(J286&lt;&gt;"",J286*1.25,IF(K286&lt;&gt;"",K286*1.25,"")),"")</f>
        <v/>
      </c>
      <c r="N286" s="148">
        <f>IFERROR(IF(J286&lt;&gt;"",L286*J286,IF(K286&lt;&gt;"",L286*K286,"")),"")</f>
        <v/>
      </c>
    </row>
    <row r="287" ht="30" customHeight="1">
      <c r="A287" s="100" t="inlineStr">
        <is>
          <t>§6.1.3</t>
        </is>
      </c>
      <c r="B287" s="68" t="inlineStr">
        <is>
          <t>Hanteringsavgifter för avfall inlämnat på återvinningscentral</t>
        </is>
      </c>
      <c r="C287" s="68" t="inlineStr">
        <is>
          <t>Förpackningar, tömde ej rengjorda</t>
        </is>
      </c>
      <c r="D287" s="68" t="inlineStr">
        <is>
          <t>150110*</t>
        </is>
      </c>
      <c r="E287" s="68" t="inlineStr">
        <is>
          <t>Kr/Kg</t>
        </is>
      </c>
      <c r="F287" s="106" t="n"/>
      <c r="G287" s="116">
        <f>IF($F287&lt;&gt;"",$F287,IFERROR(_xlfn.XLOOKUP(ROW(),Taxa_Saknas!$H:$H,Taxa_Saknas!$G:$G),""))</f>
        <v/>
      </c>
      <c r="H287" s="126">
        <f>IF($F287&lt;&gt;"",IFERROR(_xlfn.XLOOKUP($F287,Taxa_från_edp!$B:$B,Taxa_från_edp!C:C),""),"")</f>
        <v/>
      </c>
      <c r="I287" s="127">
        <f>IF($F287&lt;&gt;"",IFERROR(_xlfn.XLOOKUP($F287,Taxa_från_edp!$B:$B,Taxa_från_edp!G:G),""),"")</f>
        <v/>
      </c>
      <c r="J287" s="127">
        <f>IF($F287&lt;&gt;"",IFERROR(_xlfn.XLOOKUP($F287,Taxa_från_edp!$B:$B,Taxa_från_edp!K:K),""),"")</f>
        <v/>
      </c>
      <c r="K287" s="145" t="n"/>
      <c r="L287" s="146" t="n"/>
      <c r="M287" s="147">
        <f>IFERROR(IF(J287&lt;&gt;"",J287*1.25,IF(K287&lt;&gt;"",K287*1.25,"")),"")</f>
        <v/>
      </c>
      <c r="N287" s="148">
        <f>IFERROR(IF(J287&lt;&gt;"",L287*J287,IF(K287&lt;&gt;"",L287*K287,"")),"")</f>
        <v/>
      </c>
    </row>
    <row r="288" ht="30" customHeight="1">
      <c r="A288" s="100" t="inlineStr">
        <is>
          <t>§6.1.3</t>
        </is>
      </c>
      <c r="B288" s="68" t="inlineStr">
        <is>
          <t>Hanteringsavgifter för avfall inlämnat på återvinningscentral</t>
        </is>
      </c>
      <c r="C288" s="68" t="inlineStr">
        <is>
          <t>Oljeavfall, fast osorterat emba</t>
        </is>
      </c>
      <c r="D288" s="68" t="inlineStr">
        <is>
          <t>150202*</t>
        </is>
      </c>
      <c r="E288" s="68" t="inlineStr">
        <is>
          <t>Kr/Kg</t>
        </is>
      </c>
      <c r="F288" s="106" t="n"/>
      <c r="G288" s="116">
        <f>IF($F288&lt;&gt;"",$F288,IFERROR(_xlfn.XLOOKUP(ROW(),Taxa_Saknas!$H:$H,Taxa_Saknas!$G:$G),""))</f>
        <v/>
      </c>
      <c r="H288" s="126">
        <f>IF($F288&lt;&gt;"",IFERROR(_xlfn.XLOOKUP($F288,Taxa_från_edp!$B:$B,Taxa_från_edp!C:C),""),"")</f>
        <v/>
      </c>
      <c r="I288" s="127">
        <f>IF($F288&lt;&gt;"",IFERROR(_xlfn.XLOOKUP($F288,Taxa_från_edp!$B:$B,Taxa_från_edp!G:G),""),"")</f>
        <v/>
      </c>
      <c r="J288" s="127">
        <f>IF($F288&lt;&gt;"",IFERROR(_xlfn.XLOOKUP($F288,Taxa_från_edp!$B:$B,Taxa_från_edp!K:K),""),"")</f>
        <v/>
      </c>
      <c r="K288" s="145" t="n"/>
      <c r="L288" s="146" t="n"/>
      <c r="M288" s="147">
        <f>IFERROR(IF(J288&lt;&gt;"",J288*1.25,IF(K288&lt;&gt;"",K288*1.25,"")),"")</f>
        <v/>
      </c>
      <c r="N288" s="148">
        <f>IFERROR(IF(J288&lt;&gt;"",L288*J288,IF(K288&lt;&gt;"",L288*K288,"")),"")</f>
        <v/>
      </c>
    </row>
    <row r="289" ht="30" customHeight="1">
      <c r="A289" s="100" t="inlineStr">
        <is>
          <t>§6.1.3</t>
        </is>
      </c>
      <c r="B289" s="68" t="inlineStr">
        <is>
          <t>Hanteringsavgifter för avfall inlämnat på återvinningscentral</t>
        </is>
      </c>
      <c r="C289" s="68" t="inlineStr">
        <is>
          <t>Absorbermedel, filtermaterial</t>
        </is>
      </c>
      <c r="D289" s="68" t="inlineStr">
        <is>
          <t>150202*</t>
        </is>
      </c>
      <c r="E289" s="68" t="inlineStr">
        <is>
          <t>Kr/Kg</t>
        </is>
      </c>
      <c r="F289" s="106" t="n"/>
      <c r="G289" s="116">
        <f>IF($F289&lt;&gt;"",$F289,IFERROR(_xlfn.XLOOKUP(ROW(),Taxa_Saknas!$H:$H,Taxa_Saknas!$G:$G),""))</f>
        <v/>
      </c>
      <c r="H289" s="126">
        <f>IF($F289&lt;&gt;"",IFERROR(_xlfn.XLOOKUP($F289,Taxa_från_edp!$B:$B,Taxa_från_edp!C:C),""),"")</f>
        <v/>
      </c>
      <c r="I289" s="127">
        <f>IF($F289&lt;&gt;"",IFERROR(_xlfn.XLOOKUP($F289,Taxa_från_edp!$B:$B,Taxa_från_edp!G:G),""),"")</f>
        <v/>
      </c>
      <c r="J289" s="127">
        <f>IF($F289&lt;&gt;"",IFERROR(_xlfn.XLOOKUP($F289,Taxa_från_edp!$B:$B,Taxa_från_edp!K:K),""),"")</f>
        <v/>
      </c>
      <c r="K289" s="145" t="n"/>
      <c r="L289" s="146" t="n"/>
      <c r="M289" s="147">
        <f>IFERROR(IF(J289&lt;&gt;"",J289*1.25,IF(K289&lt;&gt;"",K289*1.25,"")),"")</f>
        <v/>
      </c>
      <c r="N289" s="148">
        <f>IFERROR(IF(J289&lt;&gt;"",L289*J289,IF(K289&lt;&gt;"",L289*K289,"")),"")</f>
        <v/>
      </c>
    </row>
    <row r="290" ht="30" customHeight="1">
      <c r="A290" s="100" t="inlineStr">
        <is>
          <t>§6.1.3</t>
        </is>
      </c>
      <c r="B290" s="68" t="inlineStr">
        <is>
          <t>Hanteringsavgifter för avfall inlämnat på återvinningscentral</t>
        </is>
      </c>
      <c r="C290" s="68" t="inlineStr">
        <is>
          <t>Oljefilter</t>
        </is>
      </c>
      <c r="D290" s="68" t="inlineStr">
        <is>
          <t>160107*</t>
        </is>
      </c>
      <c r="E290" s="68" t="inlineStr">
        <is>
          <t>Kr/Kg</t>
        </is>
      </c>
      <c r="F290" s="106" t="n"/>
      <c r="G290" s="116">
        <f>IF($F290&lt;&gt;"",$F290,IFERROR(_xlfn.XLOOKUP(ROW(),Taxa_Saknas!$H:$H,Taxa_Saknas!$G:$G),""))</f>
        <v/>
      </c>
      <c r="H290" s="126">
        <f>IF($F290&lt;&gt;"",IFERROR(_xlfn.XLOOKUP($F290,Taxa_från_edp!$B:$B,Taxa_från_edp!C:C),""),"")</f>
        <v/>
      </c>
      <c r="I290" s="127">
        <f>IF($F290&lt;&gt;"",IFERROR(_xlfn.XLOOKUP($F290,Taxa_från_edp!$B:$B,Taxa_från_edp!G:G),""),"")</f>
        <v/>
      </c>
      <c r="J290" s="127">
        <f>IF($F290&lt;&gt;"",IFERROR(_xlfn.XLOOKUP($F290,Taxa_från_edp!$B:$B,Taxa_från_edp!K:K),""),"")</f>
        <v/>
      </c>
      <c r="K290" s="145" t="n"/>
      <c r="L290" s="146" t="n"/>
      <c r="M290" s="147">
        <f>IFERROR(IF(J290&lt;&gt;"",J290*1.25,IF(K290&lt;&gt;"",K290*1.25,"")),"")</f>
        <v/>
      </c>
      <c r="N290" s="148">
        <f>IFERROR(IF(J290&lt;&gt;"",L290*J290,IF(K290&lt;&gt;"",L290*K290,"")),"")</f>
        <v/>
      </c>
    </row>
    <row r="291" ht="30" customHeight="1">
      <c r="A291" s="100" t="inlineStr">
        <is>
          <t>§6.1.3</t>
        </is>
      </c>
      <c r="B291" s="68" t="inlineStr">
        <is>
          <t>Hanteringsavgifter för avfall inlämnat på återvinningscentral</t>
        </is>
      </c>
      <c r="C291" s="68" t="inlineStr">
        <is>
          <t>Bromsvätska</t>
        </is>
      </c>
      <c r="D291" s="68" t="inlineStr">
        <is>
          <t>160113*</t>
        </is>
      </c>
      <c r="E291" s="68" t="inlineStr">
        <is>
          <t>Kr/Kg</t>
        </is>
      </c>
      <c r="F291" s="106" t="n"/>
      <c r="G291" s="116">
        <f>IF($F291&lt;&gt;"",$F291,IFERROR(_xlfn.XLOOKUP(ROW(),Taxa_Saknas!$H:$H,Taxa_Saknas!$G:$G),""))</f>
        <v/>
      </c>
      <c r="H291" s="126">
        <f>IF($F291&lt;&gt;"",IFERROR(_xlfn.XLOOKUP($F291,Taxa_från_edp!$B:$B,Taxa_från_edp!C:C),""),"")</f>
        <v/>
      </c>
      <c r="I291" s="127">
        <f>IF($F291&lt;&gt;"",IFERROR(_xlfn.XLOOKUP($F291,Taxa_från_edp!$B:$B,Taxa_från_edp!G:G),""),"")</f>
        <v/>
      </c>
      <c r="J291" s="127">
        <f>IF($F291&lt;&gt;"",IFERROR(_xlfn.XLOOKUP($F291,Taxa_från_edp!$B:$B,Taxa_från_edp!K:K),""),"")</f>
        <v/>
      </c>
      <c r="K291" s="145" t="n"/>
      <c r="L291" s="146" t="n"/>
      <c r="M291" s="147">
        <f>IFERROR(IF(J291&lt;&gt;"",J291*1.25,IF(K291&lt;&gt;"",K291*1.25,"")),"")</f>
        <v/>
      </c>
      <c r="N291" s="148">
        <f>IFERROR(IF(J291&lt;&gt;"",L291*J291,IF(K291&lt;&gt;"",L291*K291,"")),"")</f>
        <v/>
      </c>
    </row>
    <row r="292" ht="30" customHeight="1">
      <c r="A292" s="100" t="inlineStr">
        <is>
          <t>§6.1.3</t>
        </is>
      </c>
      <c r="B292" s="68" t="inlineStr">
        <is>
          <t>Hanteringsavgifter för avfall inlämnat på återvinningscentral</t>
        </is>
      </c>
      <c r="C292" s="68" t="inlineStr">
        <is>
          <t>Transformator, kondensator med PCB</t>
        </is>
      </c>
      <c r="D292" s="68" t="inlineStr">
        <is>
          <t>160209*</t>
        </is>
      </c>
      <c r="E292" s="68" t="inlineStr">
        <is>
          <t>Kr/Kg</t>
        </is>
      </c>
      <c r="F292" s="106" t="n"/>
      <c r="G292" s="116">
        <f>IF($F292&lt;&gt;"",$F292,IFERROR(_xlfn.XLOOKUP(ROW(),Taxa_Saknas!$H:$H,Taxa_Saknas!$G:$G),""))</f>
        <v/>
      </c>
      <c r="H292" s="126">
        <f>IF($F292&lt;&gt;"",IFERROR(_xlfn.XLOOKUP($F292,Taxa_från_edp!$B:$B,Taxa_från_edp!C:C),""),"")</f>
        <v/>
      </c>
      <c r="I292" s="127">
        <f>IF($F292&lt;&gt;"",IFERROR(_xlfn.XLOOKUP($F292,Taxa_från_edp!$B:$B,Taxa_från_edp!G:G),""),"")</f>
        <v/>
      </c>
      <c r="J292" s="127">
        <f>IF($F292&lt;&gt;"",IFERROR(_xlfn.XLOOKUP($F292,Taxa_från_edp!$B:$B,Taxa_från_edp!K:K),""),"")</f>
        <v/>
      </c>
      <c r="K292" s="145" t="n"/>
      <c r="L292" s="146" t="n"/>
      <c r="M292" s="147">
        <f>IFERROR(IF(J292&lt;&gt;"",J292*1.25,IF(K292&lt;&gt;"",K292*1.25,"")),"")</f>
        <v/>
      </c>
      <c r="N292" s="148">
        <f>IFERROR(IF(J292&lt;&gt;"",L292*J292,IF(K292&lt;&gt;"",L292*K292,"")),"")</f>
        <v/>
      </c>
    </row>
    <row r="293" ht="30" customHeight="1">
      <c r="A293" s="100" t="inlineStr">
        <is>
          <t>§6.1.3</t>
        </is>
      </c>
      <c r="B293" s="68" t="inlineStr">
        <is>
          <t>Hanteringsavgifter för avfall inlämnat på återvinningscentral</t>
        </is>
      </c>
      <c r="C293" s="68" t="inlineStr">
        <is>
          <t>Fogskum</t>
        </is>
      </c>
      <c r="D293" s="68" t="inlineStr">
        <is>
          <t>160504*</t>
        </is>
      </c>
      <c r="E293" s="68" t="inlineStr">
        <is>
          <t>Kr/Kg</t>
        </is>
      </c>
      <c r="F293" s="106" t="n"/>
      <c r="G293" s="116">
        <f>IF($F293&lt;&gt;"",$F293,IFERROR(_xlfn.XLOOKUP(ROW(),Taxa_Saknas!$H:$H,Taxa_Saknas!$G:$G),""))</f>
        <v/>
      </c>
      <c r="H293" s="126">
        <f>IF($F293&lt;&gt;"",IFERROR(_xlfn.XLOOKUP($F293,Taxa_från_edp!$B:$B,Taxa_från_edp!C:C),""),"")</f>
        <v/>
      </c>
      <c r="I293" s="127">
        <f>IF($F293&lt;&gt;"",IFERROR(_xlfn.XLOOKUP($F293,Taxa_från_edp!$B:$B,Taxa_från_edp!G:G),""),"")</f>
        <v/>
      </c>
      <c r="J293" s="127">
        <f>IF($F293&lt;&gt;"",IFERROR(_xlfn.XLOOKUP($F293,Taxa_från_edp!$B:$B,Taxa_från_edp!K:K),""),"")</f>
        <v/>
      </c>
      <c r="K293" s="145" t="n"/>
      <c r="L293" s="146" t="n"/>
      <c r="M293" s="147">
        <f>IFERROR(IF(J293&lt;&gt;"",J293*1.25,IF(K293&lt;&gt;"",K293*1.25,"")),"")</f>
        <v/>
      </c>
      <c r="N293" s="148">
        <f>IFERROR(IF(J293&lt;&gt;"",L293*J293,IF(K293&lt;&gt;"",L293*K293,"")),"")</f>
        <v/>
      </c>
    </row>
    <row r="294" ht="30" customHeight="1">
      <c r="A294" s="100" t="inlineStr">
        <is>
          <t>§6.1.3</t>
        </is>
      </c>
      <c r="B294" s="68" t="inlineStr">
        <is>
          <t>Hanteringsavgifter för avfall inlämnat på återvinningscentral</t>
        </is>
      </c>
      <c r="C294" s="68" t="inlineStr">
        <is>
          <t>Halon</t>
        </is>
      </c>
      <c r="D294" s="68" t="inlineStr">
        <is>
          <t>160504*</t>
        </is>
      </c>
      <c r="E294" s="68" t="inlineStr">
        <is>
          <t>Kr/Kg</t>
        </is>
      </c>
      <c r="F294" s="106" t="n"/>
      <c r="G294" s="116">
        <f>IF($F294&lt;&gt;"",$F294,IFERROR(_xlfn.XLOOKUP(ROW(),Taxa_Saknas!$H:$H,Taxa_Saknas!$G:$G),""))</f>
        <v/>
      </c>
      <c r="H294" s="126">
        <f>IF($F294&lt;&gt;"",IFERROR(_xlfn.XLOOKUP($F294,Taxa_från_edp!$B:$B,Taxa_från_edp!C:C),""),"")</f>
        <v/>
      </c>
      <c r="I294" s="127">
        <f>IF($F294&lt;&gt;"",IFERROR(_xlfn.XLOOKUP($F294,Taxa_från_edp!$B:$B,Taxa_från_edp!G:G),""),"")</f>
        <v/>
      </c>
      <c r="J294" s="127">
        <f>IF($F294&lt;&gt;"",IFERROR(_xlfn.XLOOKUP($F294,Taxa_från_edp!$B:$B,Taxa_från_edp!K:K),""),"")</f>
        <v/>
      </c>
      <c r="K294" s="145" t="n"/>
      <c r="L294" s="146" t="n"/>
      <c r="M294" s="147">
        <f>IFERROR(IF(J294&lt;&gt;"",J294*1.25,IF(K294&lt;&gt;"",K294*1.25,"")),"")</f>
        <v/>
      </c>
      <c r="N294" s="148">
        <f>IFERROR(IF(J294&lt;&gt;"",L294*J294,IF(K294&lt;&gt;"",L294*K294,"")),"")</f>
        <v/>
      </c>
    </row>
    <row r="295" ht="30" customHeight="1">
      <c r="A295" s="100" t="inlineStr">
        <is>
          <t>§6.1.3</t>
        </is>
      </c>
      <c r="B295" s="68" t="inlineStr">
        <is>
          <t>Hanteringsavgifter för avfall inlämnat på återvinningscentral</t>
        </is>
      </c>
      <c r="C295" s="68" t="inlineStr">
        <is>
          <t>Koldioxid</t>
        </is>
      </c>
      <c r="D295" s="68" t="inlineStr">
        <is>
          <t>160504*</t>
        </is>
      </c>
      <c r="E295" s="68" t="inlineStr">
        <is>
          <t>Kr/Kg</t>
        </is>
      </c>
      <c r="F295" s="106" t="n"/>
      <c r="G295" s="116">
        <f>IF($F295&lt;&gt;"",$F295,IFERROR(_xlfn.XLOOKUP(ROW(),Taxa_Saknas!$H:$H,Taxa_Saknas!$G:$G),""))</f>
        <v/>
      </c>
      <c r="H295" s="126">
        <f>IF($F295&lt;&gt;"",IFERROR(_xlfn.XLOOKUP($F295,Taxa_från_edp!$B:$B,Taxa_från_edp!C:C),""),"")</f>
        <v/>
      </c>
      <c r="I295" s="127">
        <f>IF($F295&lt;&gt;"",IFERROR(_xlfn.XLOOKUP($F295,Taxa_från_edp!$B:$B,Taxa_från_edp!G:G),""),"")</f>
        <v/>
      </c>
      <c r="J295" s="127">
        <f>IF($F295&lt;&gt;"",IFERROR(_xlfn.XLOOKUP($F295,Taxa_från_edp!$B:$B,Taxa_från_edp!K:K),""),"")</f>
        <v/>
      </c>
      <c r="K295" s="145" t="n"/>
      <c r="L295" s="146" t="n"/>
      <c r="M295" s="147">
        <f>IFERROR(IF(J295&lt;&gt;"",J295*1.25,IF(K295&lt;&gt;"",K295*1.25,"")),"")</f>
        <v/>
      </c>
      <c r="N295" s="148">
        <f>IFERROR(IF(J295&lt;&gt;"",L295*J295,IF(K295&lt;&gt;"",L295*K295,"")),"")</f>
        <v/>
      </c>
    </row>
    <row r="296" ht="30" customHeight="1">
      <c r="A296" s="100" t="inlineStr">
        <is>
          <t>§6.1.3</t>
        </is>
      </c>
      <c r="B296" s="68" t="inlineStr">
        <is>
          <t>Hanteringsavgifter för avfall inlämnat på återvinningscentral</t>
        </is>
      </c>
      <c r="C296" s="68" t="inlineStr">
        <is>
          <t>Brandsläckare</t>
        </is>
      </c>
      <c r="D296" s="68" t="inlineStr">
        <is>
          <t>160504*</t>
        </is>
      </c>
      <c r="E296" s="68" t="inlineStr">
        <is>
          <t>Kr/Kg</t>
        </is>
      </c>
      <c r="F296" s="106" t="n"/>
      <c r="G296" s="116">
        <f>IF($F296&lt;&gt;"",$F296,IFERROR(_xlfn.XLOOKUP(ROW(),Taxa_Saknas!$H:$H,Taxa_Saknas!$G:$G),""))</f>
        <v/>
      </c>
      <c r="H296" s="126">
        <f>IF($F296&lt;&gt;"",IFERROR(_xlfn.XLOOKUP($F296,Taxa_från_edp!$B:$B,Taxa_från_edp!C:C),""),"")</f>
        <v/>
      </c>
      <c r="I296" s="127">
        <f>IF($F296&lt;&gt;"",IFERROR(_xlfn.XLOOKUP($F296,Taxa_från_edp!$B:$B,Taxa_från_edp!G:G),""),"")</f>
        <v/>
      </c>
      <c r="J296" s="127">
        <f>IF($F296&lt;&gt;"",IFERROR(_xlfn.XLOOKUP($F296,Taxa_från_edp!$B:$B,Taxa_från_edp!K:K),""),"")</f>
        <v/>
      </c>
      <c r="K296" s="145" t="n"/>
      <c r="L296" s="146" t="n"/>
      <c r="M296" s="147">
        <f>IFERROR(IF(J296&lt;&gt;"",J296*1.25,IF(K296&lt;&gt;"",K296*1.25,"")),"")</f>
        <v/>
      </c>
      <c r="N296" s="148">
        <f>IFERROR(IF(J296&lt;&gt;"",L296*J296,IF(K296&lt;&gt;"",L296*K296,"")),"")</f>
        <v/>
      </c>
    </row>
    <row r="297" ht="30" customHeight="1">
      <c r="A297" s="100" t="inlineStr">
        <is>
          <t>§6.1.3</t>
        </is>
      </c>
      <c r="B297" s="68" t="inlineStr">
        <is>
          <t>Hanteringsavgifter för avfall inlämnat på återvinningscentral</t>
        </is>
      </c>
      <c r="C297" s="68" t="inlineStr">
        <is>
          <t>Helium</t>
        </is>
      </c>
      <c r="D297" s="68" t="inlineStr">
        <is>
          <t>160504*</t>
        </is>
      </c>
      <c r="E297" s="68" t="inlineStr">
        <is>
          <t>Kr/Kg</t>
        </is>
      </c>
      <c r="F297" s="106" t="n"/>
      <c r="G297" s="116">
        <f>IF($F297&lt;&gt;"",$F297,IFERROR(_xlfn.XLOOKUP(ROW(),Taxa_Saknas!$H:$H,Taxa_Saknas!$G:$G),""))</f>
        <v/>
      </c>
      <c r="H297" s="126">
        <f>IF($F297&lt;&gt;"",IFERROR(_xlfn.XLOOKUP($F297,Taxa_från_edp!$B:$B,Taxa_från_edp!C:C),""),"")</f>
        <v/>
      </c>
      <c r="I297" s="127">
        <f>IF($F297&lt;&gt;"",IFERROR(_xlfn.XLOOKUP($F297,Taxa_från_edp!$B:$B,Taxa_från_edp!G:G),""),"")</f>
        <v/>
      </c>
      <c r="J297" s="127">
        <f>IF($F297&lt;&gt;"",IFERROR(_xlfn.XLOOKUP($F297,Taxa_från_edp!$B:$B,Taxa_från_edp!K:K),""),"")</f>
        <v/>
      </c>
      <c r="K297" s="145" t="n"/>
      <c r="L297" s="146" t="n"/>
      <c r="M297" s="147">
        <f>IFERROR(IF(J297&lt;&gt;"",J297*1.25,IF(K297&lt;&gt;"",K297*1.25,"")),"")</f>
        <v/>
      </c>
      <c r="N297" s="148">
        <f>IFERROR(IF(J297&lt;&gt;"",L297*J297,IF(K297&lt;&gt;"",L297*K297,"")),"")</f>
        <v/>
      </c>
    </row>
    <row r="298" ht="30" customHeight="1">
      <c r="A298" s="100" t="inlineStr">
        <is>
          <t>§6.1.3</t>
        </is>
      </c>
      <c r="B298" s="68" t="inlineStr">
        <is>
          <t>Hanteringsavgifter för avfall inlämnat på återvinningscentral</t>
        </is>
      </c>
      <c r="C298" s="68" t="inlineStr">
        <is>
          <t>Tändare</t>
        </is>
      </c>
      <c r="D298" s="68" t="inlineStr">
        <is>
          <t>160504*</t>
        </is>
      </c>
      <c r="E298" s="68" t="inlineStr">
        <is>
          <t>Kr/Kg</t>
        </is>
      </c>
      <c r="F298" s="106" t="n"/>
      <c r="G298" s="116">
        <f>IF($F298&lt;&gt;"",$F298,IFERROR(_xlfn.XLOOKUP(ROW(),Taxa_Saknas!$H:$H,Taxa_Saknas!$G:$G),""))</f>
        <v/>
      </c>
      <c r="H298" s="126">
        <f>IF($F298&lt;&gt;"",IFERROR(_xlfn.XLOOKUP($F298,Taxa_från_edp!$B:$B,Taxa_från_edp!C:C),""),"")</f>
        <v/>
      </c>
      <c r="I298" s="127">
        <f>IF($F298&lt;&gt;"",IFERROR(_xlfn.XLOOKUP($F298,Taxa_från_edp!$B:$B,Taxa_från_edp!G:G),""),"")</f>
        <v/>
      </c>
      <c r="J298" s="127">
        <f>IF($F298&lt;&gt;"",IFERROR(_xlfn.XLOOKUP($F298,Taxa_från_edp!$B:$B,Taxa_från_edp!K:K),""),"")</f>
        <v/>
      </c>
      <c r="K298" s="145" t="n"/>
      <c r="L298" s="146" t="n"/>
      <c r="M298" s="147">
        <f>IFERROR(IF(J298&lt;&gt;"",J298*1.25,IF(K298&lt;&gt;"",K298*1.25,"")),"")</f>
        <v/>
      </c>
      <c r="N298" s="148">
        <f>IFERROR(IF(J298&lt;&gt;"",L298*J298,IF(K298&lt;&gt;"",L298*K298,"")),"")</f>
        <v/>
      </c>
    </row>
    <row r="299" ht="30" customHeight="1">
      <c r="A299" s="100" t="inlineStr">
        <is>
          <t>§6.1.3</t>
        </is>
      </c>
      <c r="B299" s="68" t="inlineStr">
        <is>
          <t>Hanteringsavgifter för avfall inlämnat på återvinningscentral</t>
        </is>
      </c>
      <c r="C299" s="68" t="inlineStr">
        <is>
          <t>Syrgas</t>
        </is>
      </c>
      <c r="D299" s="68" t="inlineStr">
        <is>
          <t>160504*</t>
        </is>
      </c>
      <c r="E299" s="68" t="inlineStr">
        <is>
          <t>Kr/Kg</t>
        </is>
      </c>
      <c r="F299" s="106" t="n"/>
      <c r="G299" s="116">
        <f>IF($F299&lt;&gt;"",$F299,IFERROR(_xlfn.XLOOKUP(ROW(),Taxa_Saknas!$H:$H,Taxa_Saknas!$G:$G),""))</f>
        <v/>
      </c>
      <c r="H299" s="126">
        <f>IF($F299&lt;&gt;"",IFERROR(_xlfn.XLOOKUP($F299,Taxa_från_edp!$B:$B,Taxa_från_edp!C:C),""),"")</f>
        <v/>
      </c>
      <c r="I299" s="127">
        <f>IF($F299&lt;&gt;"",IFERROR(_xlfn.XLOOKUP($F299,Taxa_från_edp!$B:$B,Taxa_från_edp!G:G),""),"")</f>
        <v/>
      </c>
      <c r="J299" s="127">
        <f>IF($F299&lt;&gt;"",IFERROR(_xlfn.XLOOKUP($F299,Taxa_från_edp!$B:$B,Taxa_från_edp!K:K),""),"")</f>
        <v/>
      </c>
      <c r="K299" s="145" t="n"/>
      <c r="L299" s="146" t="n"/>
      <c r="M299" s="147">
        <f>IFERROR(IF(J299&lt;&gt;"",J299*1.25,IF(K299&lt;&gt;"",K299*1.25,"")),"")</f>
        <v/>
      </c>
      <c r="N299" s="148">
        <f>IFERROR(IF(J299&lt;&gt;"",L299*J299,IF(K299&lt;&gt;"",L299*K299,"")),"")</f>
        <v/>
      </c>
    </row>
    <row r="300" ht="30" customHeight="1">
      <c r="A300" s="100" t="inlineStr">
        <is>
          <t>§6.1.3</t>
        </is>
      </c>
      <c r="B300" s="68" t="inlineStr">
        <is>
          <t>Hanteringsavgifter för avfall inlämnat på återvinningscentral</t>
        </is>
      </c>
      <c r="C300" s="68" t="inlineStr">
        <is>
          <t>Oxiderande fast ämne/vätska</t>
        </is>
      </c>
      <c r="D300" s="68" t="inlineStr">
        <is>
          <t>160504*</t>
        </is>
      </c>
      <c r="E300" s="68" t="inlineStr">
        <is>
          <t>Kr/Kg</t>
        </is>
      </c>
      <c r="F300" s="106" t="n"/>
      <c r="G300" s="116">
        <f>IF($F300&lt;&gt;"",$F300,IFERROR(_xlfn.XLOOKUP(ROW(),Taxa_Saknas!$H:$H,Taxa_Saknas!$G:$G),""))</f>
        <v/>
      </c>
      <c r="H300" s="126">
        <f>IF($F300&lt;&gt;"",IFERROR(_xlfn.XLOOKUP($F300,Taxa_från_edp!$B:$B,Taxa_från_edp!C:C),""),"")</f>
        <v/>
      </c>
      <c r="I300" s="127">
        <f>IF($F300&lt;&gt;"",IFERROR(_xlfn.XLOOKUP($F300,Taxa_från_edp!$B:$B,Taxa_från_edp!G:G),""),"")</f>
        <v/>
      </c>
      <c r="J300" s="127">
        <f>IF($F300&lt;&gt;"",IFERROR(_xlfn.XLOOKUP($F300,Taxa_från_edp!$B:$B,Taxa_från_edp!K:K),""),"")</f>
        <v/>
      </c>
      <c r="K300" s="145" t="n"/>
      <c r="L300" s="146" t="n"/>
      <c r="M300" s="147">
        <f>IFERROR(IF(J300&lt;&gt;"",J300*1.25,IF(K300&lt;&gt;"",K300*1.25,"")),"")</f>
        <v/>
      </c>
      <c r="N300" s="148">
        <f>IFERROR(IF(J300&lt;&gt;"",L300*J300,IF(K300&lt;&gt;"",L300*K300,"")),"")</f>
        <v/>
      </c>
    </row>
    <row r="301" ht="30" customHeight="1">
      <c r="A301" s="100" t="inlineStr">
        <is>
          <t>§6.1.3</t>
        </is>
      </c>
      <c r="B301" s="68" t="inlineStr">
        <is>
          <t>Hanteringsavgifter för avfall inlämnat på återvinningscentral</t>
        </is>
      </c>
      <c r="C301" s="68" t="inlineStr">
        <is>
          <t>Klorex</t>
        </is>
      </c>
      <c r="D301" s="68" t="inlineStr">
        <is>
          <t>160504*</t>
        </is>
      </c>
      <c r="E301" s="68" t="inlineStr">
        <is>
          <t>Kr/Kg</t>
        </is>
      </c>
      <c r="F301" s="106" t="n"/>
      <c r="G301" s="116">
        <f>IF($F301&lt;&gt;"",$F301,IFERROR(_xlfn.XLOOKUP(ROW(),Taxa_Saknas!$H:$H,Taxa_Saknas!$G:$G),""))</f>
        <v/>
      </c>
      <c r="H301" s="126">
        <f>IF($F301&lt;&gt;"",IFERROR(_xlfn.XLOOKUP($F301,Taxa_från_edp!$B:$B,Taxa_från_edp!C:C),""),"")</f>
        <v/>
      </c>
      <c r="I301" s="127">
        <f>IF($F301&lt;&gt;"",IFERROR(_xlfn.XLOOKUP($F301,Taxa_från_edp!$B:$B,Taxa_från_edp!G:G),""),"")</f>
        <v/>
      </c>
      <c r="J301" s="127">
        <f>IF($F301&lt;&gt;"",IFERROR(_xlfn.XLOOKUP($F301,Taxa_från_edp!$B:$B,Taxa_från_edp!K:K),""),"")</f>
        <v/>
      </c>
      <c r="K301" s="145" t="n"/>
      <c r="L301" s="146" t="n"/>
      <c r="M301" s="147">
        <f>IFERROR(IF(J301&lt;&gt;"",J301*1.25,IF(K301&lt;&gt;"",K301*1.25,"")),"")</f>
        <v/>
      </c>
      <c r="N301" s="148">
        <f>IFERROR(IF(J301&lt;&gt;"",L301*J301,IF(K301&lt;&gt;"",L301*K301,"")),"")</f>
        <v/>
      </c>
    </row>
    <row r="302" ht="30" customHeight="1">
      <c r="A302" s="100" t="inlineStr">
        <is>
          <t>§6.1.3</t>
        </is>
      </c>
      <c r="B302" s="68" t="inlineStr">
        <is>
          <t>Hanteringsavgifter för avfall inlämnat på återvinningscentral</t>
        </is>
      </c>
      <c r="C302" s="68" t="inlineStr">
        <is>
          <t>Aerosoler isocyanat, bekämpning</t>
        </is>
      </c>
      <c r="D302" s="68" t="inlineStr">
        <is>
          <t>160504*</t>
        </is>
      </c>
      <c r="E302" s="68" t="inlineStr">
        <is>
          <t>Kr/Kg</t>
        </is>
      </c>
      <c r="F302" s="106" t="n"/>
      <c r="G302" s="116">
        <f>IF($F302&lt;&gt;"",$F302,IFERROR(_xlfn.XLOOKUP(ROW(),Taxa_Saknas!$H:$H,Taxa_Saknas!$G:$G),""))</f>
        <v/>
      </c>
      <c r="H302" s="126">
        <f>IF($F302&lt;&gt;"",IFERROR(_xlfn.XLOOKUP($F302,Taxa_från_edp!$B:$B,Taxa_från_edp!C:C),""),"")</f>
        <v/>
      </c>
      <c r="I302" s="127">
        <f>IF($F302&lt;&gt;"",IFERROR(_xlfn.XLOOKUP($F302,Taxa_från_edp!$B:$B,Taxa_från_edp!G:G),""),"")</f>
        <v/>
      </c>
      <c r="J302" s="127">
        <f>IF($F302&lt;&gt;"",IFERROR(_xlfn.XLOOKUP($F302,Taxa_från_edp!$B:$B,Taxa_från_edp!K:K),""),"")</f>
        <v/>
      </c>
      <c r="K302" s="145" t="n"/>
      <c r="L302" s="146" t="n"/>
      <c r="M302" s="147">
        <f>IFERROR(IF(J302&lt;&gt;"",J302*1.25,IF(K302&lt;&gt;"",K302*1.25,"")),"")</f>
        <v/>
      </c>
      <c r="N302" s="148">
        <f>IFERROR(IF(J302&lt;&gt;"",L302*J302,IF(K302&lt;&gt;"",L302*K302,"")),"")</f>
        <v/>
      </c>
    </row>
    <row r="303" ht="30" customHeight="1">
      <c r="A303" s="100" t="inlineStr">
        <is>
          <t>§6.1.3</t>
        </is>
      </c>
      <c r="B303" s="68" t="inlineStr">
        <is>
          <t>Hanteringsavgifter för avfall inlämnat på återvinningscentral</t>
        </is>
      </c>
      <c r="C303" s="68" t="inlineStr">
        <is>
          <t>Gasol inkl tub</t>
        </is>
      </c>
      <c r="D303" s="68" t="inlineStr">
        <is>
          <t>160504*</t>
        </is>
      </c>
      <c r="E303" s="68" t="inlineStr">
        <is>
          <t>Kr/Kg</t>
        </is>
      </c>
      <c r="F303" s="106" t="n"/>
      <c r="G303" s="116">
        <f>IF($F303&lt;&gt;"",$F303,IFERROR(_xlfn.XLOOKUP(ROW(),Taxa_Saknas!$H:$H,Taxa_Saknas!$G:$G),""))</f>
        <v/>
      </c>
      <c r="H303" s="126">
        <f>IF($F303&lt;&gt;"",IFERROR(_xlfn.XLOOKUP($F303,Taxa_från_edp!$B:$B,Taxa_från_edp!C:C),""),"")</f>
        <v/>
      </c>
      <c r="I303" s="127">
        <f>IF($F303&lt;&gt;"",IFERROR(_xlfn.XLOOKUP($F303,Taxa_från_edp!$B:$B,Taxa_från_edp!G:G),""),"")</f>
        <v/>
      </c>
      <c r="J303" s="127">
        <f>IF($F303&lt;&gt;"",IFERROR(_xlfn.XLOOKUP($F303,Taxa_från_edp!$B:$B,Taxa_från_edp!K:K),""),"")</f>
        <v/>
      </c>
      <c r="K303" s="145" t="n"/>
      <c r="L303" s="146" t="n"/>
      <c r="M303" s="147">
        <f>IFERROR(IF(J303&lt;&gt;"",J303*1.25,IF(K303&lt;&gt;"",K303*1.25,"")),"")</f>
        <v/>
      </c>
      <c r="N303" s="148">
        <f>IFERROR(IF(J303&lt;&gt;"",L303*J303,IF(K303&lt;&gt;"",L303*K303,"")),"")</f>
        <v/>
      </c>
    </row>
    <row r="304" ht="30" customHeight="1">
      <c r="A304" s="100" t="inlineStr">
        <is>
          <t>§6.1.3</t>
        </is>
      </c>
      <c r="B304" s="68" t="inlineStr">
        <is>
          <t>Hanteringsavgifter för avfall inlämnat på återvinningscentral</t>
        </is>
      </c>
      <c r="C304" s="68" t="inlineStr">
        <is>
          <t>Gasol, blå programmet</t>
        </is>
      </c>
      <c r="D304" s="68" t="inlineStr">
        <is>
          <t>160504*</t>
        </is>
      </c>
      <c r="E304" s="68" t="inlineStr">
        <is>
          <t>Kr/Kg</t>
        </is>
      </c>
      <c r="F304" s="106" t="n"/>
      <c r="G304" s="116">
        <f>IF($F304&lt;&gt;"",$F304,IFERROR(_xlfn.XLOOKUP(ROW(),Taxa_Saknas!$H:$H,Taxa_Saknas!$G:$G),""))</f>
        <v/>
      </c>
      <c r="H304" s="126">
        <f>IF($F304&lt;&gt;"",IFERROR(_xlfn.XLOOKUP($F304,Taxa_från_edp!$B:$B,Taxa_från_edp!C:C),""),"")</f>
        <v/>
      </c>
      <c r="I304" s="127">
        <f>IF($F304&lt;&gt;"",IFERROR(_xlfn.XLOOKUP($F304,Taxa_från_edp!$B:$B,Taxa_från_edp!G:G),""),"")</f>
        <v/>
      </c>
      <c r="J304" s="127">
        <f>IF($F304&lt;&gt;"",IFERROR(_xlfn.XLOOKUP($F304,Taxa_från_edp!$B:$B,Taxa_från_edp!K:K),""),"")</f>
        <v/>
      </c>
      <c r="K304" s="145" t="n"/>
      <c r="L304" s="146" t="n"/>
      <c r="M304" s="147">
        <f>IFERROR(IF(J304&lt;&gt;"",J304*1.25,IF(K304&lt;&gt;"",K304*1.25,"")),"")</f>
        <v/>
      </c>
      <c r="N304" s="148">
        <f>IFERROR(IF(J304&lt;&gt;"",L304*J304,IF(K304&lt;&gt;"",L304*K304,"")),"")</f>
        <v/>
      </c>
    </row>
    <row r="305" ht="30" customHeight="1">
      <c r="A305" s="100" t="inlineStr">
        <is>
          <t>§6.1.3</t>
        </is>
      </c>
      <c r="B305" s="68" t="inlineStr">
        <is>
          <t>Hanteringsavgifter för avfall inlämnat på återvinningscentral</t>
        </is>
      </c>
      <c r="C305" s="68" t="inlineStr">
        <is>
          <t>Giftig organisk vätska</t>
        </is>
      </c>
      <c r="D305" s="68" t="inlineStr">
        <is>
          <t>160506*</t>
        </is>
      </c>
      <c r="E305" s="68" t="inlineStr">
        <is>
          <t>Kr/Kg</t>
        </is>
      </c>
      <c r="F305" s="106" t="n"/>
      <c r="G305" s="116">
        <f>IF($F305&lt;&gt;"",$F305,IFERROR(_xlfn.XLOOKUP(ROW(),Taxa_Saknas!$H:$H,Taxa_Saknas!$G:$G),""))</f>
        <v/>
      </c>
      <c r="H305" s="126">
        <f>IF($F305&lt;&gt;"",IFERROR(_xlfn.XLOOKUP($F305,Taxa_från_edp!$B:$B,Taxa_från_edp!C:C),""),"")</f>
        <v/>
      </c>
      <c r="I305" s="127">
        <f>IF($F305&lt;&gt;"",IFERROR(_xlfn.XLOOKUP($F305,Taxa_från_edp!$B:$B,Taxa_från_edp!G:G),""),"")</f>
        <v/>
      </c>
      <c r="J305" s="127">
        <f>IF($F305&lt;&gt;"",IFERROR(_xlfn.XLOOKUP($F305,Taxa_från_edp!$B:$B,Taxa_från_edp!K:K),""),"")</f>
        <v/>
      </c>
      <c r="K305" s="145" t="n"/>
      <c r="L305" s="146" t="n"/>
      <c r="M305" s="147">
        <f>IFERROR(IF(J305&lt;&gt;"",J305*1.25,IF(K305&lt;&gt;"",K305*1.25,"")),"")</f>
        <v/>
      </c>
      <c r="N305" s="148">
        <f>IFERROR(IF(J305&lt;&gt;"",L305*J305,IF(K305&lt;&gt;"",L305*K305,"")),"")</f>
        <v/>
      </c>
    </row>
    <row r="306" ht="30" customHeight="1">
      <c r="A306" s="100" t="inlineStr">
        <is>
          <t>§6.1.3</t>
        </is>
      </c>
      <c r="B306" s="68" t="inlineStr">
        <is>
          <t>Hanteringsavgifter för avfall inlämnat på återvinningscentral</t>
        </is>
      </c>
      <c r="C306" s="68" t="inlineStr">
        <is>
          <t>Småkemikalier, ej Hg-haltiga</t>
        </is>
      </c>
      <c r="D306" s="68" t="inlineStr">
        <is>
          <t>160506*</t>
        </is>
      </c>
      <c r="E306" s="68" t="inlineStr">
        <is>
          <t>Kr/Kg</t>
        </is>
      </c>
      <c r="F306" s="106" t="n"/>
      <c r="G306" s="116">
        <f>IF($F306&lt;&gt;"",$F306,IFERROR(_xlfn.XLOOKUP(ROW(),Taxa_Saknas!$H:$H,Taxa_Saknas!$G:$G),""))</f>
        <v/>
      </c>
      <c r="H306" s="126">
        <f>IF($F306&lt;&gt;"",IFERROR(_xlfn.XLOOKUP($F306,Taxa_från_edp!$B:$B,Taxa_från_edp!C:C),""),"")</f>
        <v/>
      </c>
      <c r="I306" s="127">
        <f>IF($F306&lt;&gt;"",IFERROR(_xlfn.XLOOKUP($F306,Taxa_från_edp!$B:$B,Taxa_från_edp!G:G),""),"")</f>
        <v/>
      </c>
      <c r="J306" s="127">
        <f>IF($F306&lt;&gt;"",IFERROR(_xlfn.XLOOKUP($F306,Taxa_från_edp!$B:$B,Taxa_från_edp!K:K),""),"")</f>
        <v/>
      </c>
      <c r="K306" s="145" t="n"/>
      <c r="L306" s="146" t="n"/>
      <c r="M306" s="147">
        <f>IFERROR(IF(J306&lt;&gt;"",J306*1.25,IF(K306&lt;&gt;"",K306*1.25,"")),"")</f>
        <v/>
      </c>
      <c r="N306" s="148">
        <f>IFERROR(IF(J306&lt;&gt;"",L306*J306,IF(K306&lt;&gt;"",L306*K306,"")),"")</f>
        <v/>
      </c>
    </row>
    <row r="307" ht="30" customHeight="1">
      <c r="A307" s="100" t="inlineStr">
        <is>
          <t>§6.1.3</t>
        </is>
      </c>
      <c r="B307" s="68" t="inlineStr">
        <is>
          <t>Hanteringsavgifter för avfall inlämnat på återvinningscentral</t>
        </is>
      </c>
      <c r="C307" s="68" t="inlineStr">
        <is>
          <t>Giftig oorganisk vätska</t>
        </is>
      </c>
      <c r="D307" s="68" t="inlineStr">
        <is>
          <t>160506*</t>
        </is>
      </c>
      <c r="E307" s="68" t="inlineStr">
        <is>
          <t>Kr/Kg</t>
        </is>
      </c>
      <c r="F307" s="106" t="n"/>
      <c r="G307" s="116">
        <f>IF($F307&lt;&gt;"",$F307,IFERROR(_xlfn.XLOOKUP(ROW(),Taxa_Saknas!$H:$H,Taxa_Saknas!$G:$G),""))</f>
        <v/>
      </c>
      <c r="H307" s="126">
        <f>IF($F307&lt;&gt;"",IFERROR(_xlfn.XLOOKUP($F307,Taxa_från_edp!$B:$B,Taxa_från_edp!C:C),""),"")</f>
        <v/>
      </c>
      <c r="I307" s="127">
        <f>IF($F307&lt;&gt;"",IFERROR(_xlfn.XLOOKUP($F307,Taxa_från_edp!$B:$B,Taxa_från_edp!G:G),""),"")</f>
        <v/>
      </c>
      <c r="J307" s="127">
        <f>IF($F307&lt;&gt;"",IFERROR(_xlfn.XLOOKUP($F307,Taxa_från_edp!$B:$B,Taxa_från_edp!K:K),""),"")</f>
        <v/>
      </c>
      <c r="K307" s="145" t="n"/>
      <c r="L307" s="146" t="n"/>
      <c r="M307" s="147">
        <f>IFERROR(IF(J307&lt;&gt;"",J307*1.25,IF(K307&lt;&gt;"",K307*1.25,"")),"")</f>
        <v/>
      </c>
      <c r="N307" s="148">
        <f>IFERROR(IF(J307&lt;&gt;"",L307*J307,IF(K307&lt;&gt;"",L307*K307,"")),"")</f>
        <v/>
      </c>
    </row>
    <row r="308" ht="30" customHeight="1">
      <c r="A308" s="100" t="inlineStr">
        <is>
          <t>§6.1.3</t>
        </is>
      </c>
      <c r="B308" s="68" t="inlineStr">
        <is>
          <t>Hanteringsavgifter för avfall inlämnat på återvinningscentral</t>
        </is>
      </c>
      <c r="C308" s="68" t="inlineStr">
        <is>
          <t>Oxidationsmedel, flytande</t>
        </is>
      </c>
      <c r="D308" s="68" t="inlineStr">
        <is>
          <t>160904*</t>
        </is>
      </c>
      <c r="E308" s="68" t="inlineStr">
        <is>
          <t>Kr/Kg</t>
        </is>
      </c>
      <c r="F308" s="106" t="n"/>
      <c r="G308" s="116">
        <f>IF($F308&lt;&gt;"",$F308,IFERROR(_xlfn.XLOOKUP(ROW(),Taxa_Saknas!$H:$H,Taxa_Saknas!$G:$G),""))</f>
        <v/>
      </c>
      <c r="H308" s="126">
        <f>IF($F308&lt;&gt;"",IFERROR(_xlfn.XLOOKUP($F308,Taxa_från_edp!$B:$B,Taxa_från_edp!C:C),""),"")</f>
        <v/>
      </c>
      <c r="I308" s="127">
        <f>IF($F308&lt;&gt;"",IFERROR(_xlfn.XLOOKUP($F308,Taxa_från_edp!$B:$B,Taxa_från_edp!G:G),""),"")</f>
        <v/>
      </c>
      <c r="J308" s="127">
        <f>IF($F308&lt;&gt;"",IFERROR(_xlfn.XLOOKUP($F308,Taxa_från_edp!$B:$B,Taxa_från_edp!K:K),""),"")</f>
        <v/>
      </c>
      <c r="K308" s="145" t="n"/>
      <c r="L308" s="146" t="n"/>
      <c r="M308" s="147">
        <f>IFERROR(IF(J308&lt;&gt;"",J308*1.25,IF(K308&lt;&gt;"",K308*1.25,"")),"")</f>
        <v/>
      </c>
      <c r="N308" s="148">
        <f>IFERROR(IF(J308&lt;&gt;"",L308*J308,IF(K308&lt;&gt;"",L308*K308,"")),"")</f>
        <v/>
      </c>
    </row>
    <row r="309" ht="30" customHeight="1">
      <c r="A309" s="100" t="inlineStr">
        <is>
          <t>§6.1.3</t>
        </is>
      </c>
      <c r="B309" s="68" t="inlineStr">
        <is>
          <t>Hanteringsavgifter för avfall inlämnat på återvinningscentral</t>
        </is>
      </c>
      <c r="C309" s="68" t="inlineStr">
        <is>
          <t>Asbest, emballerat</t>
        </is>
      </c>
      <c r="D309" s="68" t="inlineStr">
        <is>
          <t>170601*</t>
        </is>
      </c>
      <c r="E309" s="68" t="inlineStr">
        <is>
          <t>Kr/Kg</t>
        </is>
      </c>
      <c r="F309" s="106" t="n"/>
      <c r="G309" s="116">
        <f>IF($F309&lt;&gt;"",$F309,IFERROR(_xlfn.XLOOKUP(ROW(),Taxa_Saknas!$H:$H,Taxa_Saknas!$G:$G),""))</f>
        <v/>
      </c>
      <c r="H309" s="126">
        <f>IF($F309&lt;&gt;"",IFERROR(_xlfn.XLOOKUP($F309,Taxa_från_edp!$B:$B,Taxa_från_edp!C:C),""),"")</f>
        <v/>
      </c>
      <c r="I309" s="127">
        <f>IF($F309&lt;&gt;"",IFERROR(_xlfn.XLOOKUP($F309,Taxa_från_edp!$B:$B,Taxa_från_edp!G:G),""),"")</f>
        <v/>
      </c>
      <c r="J309" s="127">
        <f>IF($F309&lt;&gt;"",IFERROR(_xlfn.XLOOKUP($F309,Taxa_från_edp!$B:$B,Taxa_från_edp!K:K),""),"")</f>
        <v/>
      </c>
      <c r="K309" s="145" t="n"/>
      <c r="L309" s="146" t="n"/>
      <c r="M309" s="147">
        <f>IFERROR(IF(J309&lt;&gt;"",J309*1.25,IF(K309&lt;&gt;"",K309*1.25,"")),"")</f>
        <v/>
      </c>
      <c r="N309" s="148">
        <f>IFERROR(IF(J309&lt;&gt;"",L309*J309,IF(K309&lt;&gt;"",L309*K309,"")),"")</f>
        <v/>
      </c>
    </row>
    <row r="310" ht="30" customHeight="1">
      <c r="A310" s="100" t="inlineStr">
        <is>
          <t>§6.1.3</t>
        </is>
      </c>
      <c r="B310" s="68" t="inlineStr">
        <is>
          <t>Hanteringsavgifter för avfall inlämnat på återvinningscentral</t>
        </is>
      </c>
      <c r="C310" s="68" t="inlineStr">
        <is>
          <t>Smittförande avfall</t>
        </is>
      </c>
      <c r="D310" s="68" t="inlineStr">
        <is>
          <t>180103*</t>
        </is>
      </c>
      <c r="E310" s="68" t="inlineStr">
        <is>
          <t>Kr/Kg</t>
        </is>
      </c>
      <c r="F310" s="106" t="n"/>
      <c r="G310" s="116">
        <f>IF($F310&lt;&gt;"",$F310,IFERROR(_xlfn.XLOOKUP(ROW(),Taxa_Saknas!$H:$H,Taxa_Saknas!$G:$G),""))</f>
        <v/>
      </c>
      <c r="H310" s="126">
        <f>IF($F310&lt;&gt;"",IFERROR(_xlfn.XLOOKUP($F310,Taxa_från_edp!$B:$B,Taxa_från_edp!C:C),""),"")</f>
        <v/>
      </c>
      <c r="I310" s="127">
        <f>IF($F310&lt;&gt;"",IFERROR(_xlfn.XLOOKUP($F310,Taxa_från_edp!$B:$B,Taxa_från_edp!G:G),""),"")</f>
        <v/>
      </c>
      <c r="J310" s="127">
        <f>IF($F310&lt;&gt;"",IFERROR(_xlfn.XLOOKUP($F310,Taxa_från_edp!$B:$B,Taxa_från_edp!K:K),""),"")</f>
        <v/>
      </c>
      <c r="K310" s="145" t="n"/>
      <c r="L310" s="146" t="n"/>
      <c r="M310" s="147">
        <f>IFERROR(IF(J310&lt;&gt;"",J310*1.25,IF(K310&lt;&gt;"",K310*1.25,"")),"")</f>
        <v/>
      </c>
      <c r="N310" s="148">
        <f>IFERROR(IF(J310&lt;&gt;"",L310*J310,IF(K310&lt;&gt;"",L310*K310,"")),"")</f>
        <v/>
      </c>
    </row>
    <row r="311" ht="30" customHeight="1">
      <c r="A311" s="100" t="inlineStr">
        <is>
          <t>§6.1.3</t>
        </is>
      </c>
      <c r="B311" s="68" t="inlineStr">
        <is>
          <t>Hanteringsavgifter för avfall inlämnat på återvinningscentral</t>
        </is>
      </c>
      <c r="C311" s="68" t="inlineStr">
        <is>
          <t>Lösningsmedel</t>
        </is>
      </c>
      <c r="D311" s="68" t="inlineStr">
        <is>
          <t>200113*</t>
        </is>
      </c>
      <c r="E311" s="68" t="inlineStr">
        <is>
          <t>Kr/Kg</t>
        </is>
      </c>
      <c r="F311" s="106" t="n"/>
      <c r="G311" s="116">
        <f>IF($F311&lt;&gt;"",$F311,IFERROR(_xlfn.XLOOKUP(ROW(),Taxa_Saknas!$H:$H,Taxa_Saknas!$G:$G),""))</f>
        <v/>
      </c>
      <c r="H311" s="126">
        <f>IF($F311&lt;&gt;"",IFERROR(_xlfn.XLOOKUP($F311,Taxa_från_edp!$B:$B,Taxa_från_edp!C:C),""),"")</f>
        <v/>
      </c>
      <c r="I311" s="127">
        <f>IF($F311&lt;&gt;"",IFERROR(_xlfn.XLOOKUP($F311,Taxa_från_edp!$B:$B,Taxa_från_edp!G:G),""),"")</f>
        <v/>
      </c>
      <c r="J311" s="127">
        <f>IF($F311&lt;&gt;"",IFERROR(_xlfn.XLOOKUP($F311,Taxa_från_edp!$B:$B,Taxa_från_edp!K:K),""),"")</f>
        <v/>
      </c>
      <c r="K311" s="145" t="n"/>
      <c r="L311" s="146" t="n"/>
      <c r="M311" s="147">
        <f>IFERROR(IF(J311&lt;&gt;"",J311*1.25,IF(K311&lt;&gt;"",K311*1.25,"")),"")</f>
        <v/>
      </c>
      <c r="N311" s="148">
        <f>IFERROR(IF(J311&lt;&gt;"",L311*J311,IF(K311&lt;&gt;"",L311*K311,"")),"")</f>
        <v/>
      </c>
    </row>
    <row r="312" ht="30" customHeight="1">
      <c r="A312" s="100" t="inlineStr">
        <is>
          <t>§6.1.3</t>
        </is>
      </c>
      <c r="B312" s="68" t="inlineStr">
        <is>
          <t>Hanteringsavgifter för avfall inlämnat på återvinningscentral</t>
        </is>
      </c>
      <c r="C312" s="68" t="inlineStr">
        <is>
          <t>Väteperoxid</t>
        </is>
      </c>
      <c r="D312" s="68" t="inlineStr">
        <is>
          <t>200113*</t>
        </is>
      </c>
      <c r="E312" s="68" t="inlineStr">
        <is>
          <t>Kr/Kg</t>
        </is>
      </c>
      <c r="F312" s="106" t="n"/>
      <c r="G312" s="116">
        <f>IF($F312&lt;&gt;"",$F312,IFERROR(_xlfn.XLOOKUP(ROW(),Taxa_Saknas!$H:$H,Taxa_Saknas!$G:$G),""))</f>
        <v/>
      </c>
      <c r="H312" s="126">
        <f>IF($F312&lt;&gt;"",IFERROR(_xlfn.XLOOKUP($F312,Taxa_från_edp!$B:$B,Taxa_från_edp!C:C),""),"")</f>
        <v/>
      </c>
      <c r="I312" s="127">
        <f>IF($F312&lt;&gt;"",IFERROR(_xlfn.XLOOKUP($F312,Taxa_från_edp!$B:$B,Taxa_från_edp!G:G),""),"")</f>
        <v/>
      </c>
      <c r="J312" s="127">
        <f>IF($F312&lt;&gt;"",IFERROR(_xlfn.XLOOKUP($F312,Taxa_från_edp!$B:$B,Taxa_från_edp!K:K),""),"")</f>
        <v/>
      </c>
      <c r="K312" s="145" t="n"/>
      <c r="L312" s="146" t="n"/>
      <c r="M312" s="147">
        <f>IFERROR(IF(J312&lt;&gt;"",J312*1.25,IF(K312&lt;&gt;"",K312*1.25,"")),"")</f>
        <v/>
      </c>
      <c r="N312" s="148">
        <f>IFERROR(IF(J312&lt;&gt;"",L312*J312,IF(K312&lt;&gt;"",L312*K312,"")),"")</f>
        <v/>
      </c>
    </row>
    <row r="313" ht="30" customHeight="1">
      <c r="A313" s="100" t="inlineStr">
        <is>
          <t>§6.1.3</t>
        </is>
      </c>
      <c r="B313" s="68" t="inlineStr">
        <is>
          <t>Hanteringsavgifter för avfall inlämnat på återvinningscentral</t>
        </is>
      </c>
      <c r="C313" s="68" t="inlineStr">
        <is>
          <t>Flourvätesyra</t>
        </is>
      </c>
      <c r="D313" s="68" t="inlineStr">
        <is>
          <t>200114*</t>
        </is>
      </c>
      <c r="E313" s="68" t="inlineStr">
        <is>
          <t>Kr/Kg</t>
        </is>
      </c>
      <c r="F313" s="106" t="n"/>
      <c r="G313" s="116">
        <f>IF($F313&lt;&gt;"",$F313,IFERROR(_xlfn.XLOOKUP(ROW(),Taxa_Saknas!$H:$H,Taxa_Saknas!$G:$G),""))</f>
        <v/>
      </c>
      <c r="H313" s="126">
        <f>IF($F313&lt;&gt;"",IFERROR(_xlfn.XLOOKUP($F313,Taxa_från_edp!$B:$B,Taxa_från_edp!C:C),""),"")</f>
        <v/>
      </c>
      <c r="I313" s="127">
        <f>IF($F313&lt;&gt;"",IFERROR(_xlfn.XLOOKUP($F313,Taxa_från_edp!$B:$B,Taxa_från_edp!G:G),""),"")</f>
        <v/>
      </c>
      <c r="J313" s="127">
        <f>IF($F313&lt;&gt;"",IFERROR(_xlfn.XLOOKUP($F313,Taxa_från_edp!$B:$B,Taxa_från_edp!K:K),""),"")</f>
        <v/>
      </c>
      <c r="K313" s="145" t="n"/>
      <c r="L313" s="146" t="n"/>
      <c r="M313" s="147">
        <f>IFERROR(IF(J313&lt;&gt;"",J313*1.25,IF(K313&lt;&gt;"",K313*1.25,"")),"")</f>
        <v/>
      </c>
      <c r="N313" s="148">
        <f>IFERROR(IF(J313&lt;&gt;"",L313*J313,IF(K313&lt;&gt;"",L313*K313,"")),"")</f>
        <v/>
      </c>
    </row>
    <row r="314" ht="30" customHeight="1">
      <c r="A314" s="100" t="inlineStr">
        <is>
          <t>§6.1.3</t>
        </is>
      </c>
      <c r="B314" s="68" t="inlineStr">
        <is>
          <t>Hanteringsavgifter för avfall inlämnat på återvinningscentral</t>
        </is>
      </c>
      <c r="C314" s="68" t="inlineStr">
        <is>
          <t>Svavelsyra</t>
        </is>
      </c>
      <c r="D314" s="68" t="inlineStr">
        <is>
          <t>200114*</t>
        </is>
      </c>
      <c r="E314" s="68" t="inlineStr">
        <is>
          <t>Kr/Kg</t>
        </is>
      </c>
      <c r="F314" s="106" t="n"/>
      <c r="G314" s="116">
        <f>IF($F314&lt;&gt;"",$F314,IFERROR(_xlfn.XLOOKUP(ROW(),Taxa_Saknas!$H:$H,Taxa_Saknas!$G:$G),""))</f>
        <v/>
      </c>
      <c r="H314" s="126">
        <f>IF($F314&lt;&gt;"",IFERROR(_xlfn.XLOOKUP($F314,Taxa_från_edp!$B:$B,Taxa_från_edp!C:C),""),"")</f>
        <v/>
      </c>
      <c r="I314" s="127">
        <f>IF($F314&lt;&gt;"",IFERROR(_xlfn.XLOOKUP($F314,Taxa_från_edp!$B:$B,Taxa_från_edp!G:G),""),"")</f>
        <v/>
      </c>
      <c r="J314" s="127">
        <f>IF($F314&lt;&gt;"",IFERROR(_xlfn.XLOOKUP($F314,Taxa_från_edp!$B:$B,Taxa_från_edp!K:K),""),"")</f>
        <v/>
      </c>
      <c r="K314" s="145" t="n"/>
      <c r="L314" s="146" t="n"/>
      <c r="M314" s="147">
        <f>IFERROR(IF(J314&lt;&gt;"",J314*1.25,IF(K314&lt;&gt;"",K314*1.25,"")),"")</f>
        <v/>
      </c>
      <c r="N314" s="148">
        <f>IFERROR(IF(J314&lt;&gt;"",L314*J314,IF(K314&lt;&gt;"",L314*K314,"")),"")</f>
        <v/>
      </c>
    </row>
    <row r="315" ht="30" customHeight="1">
      <c r="A315" s="100" t="inlineStr">
        <is>
          <t>§6.1.3</t>
        </is>
      </c>
      <c r="B315" s="68" t="inlineStr">
        <is>
          <t>Hanteringsavgifter för avfall inlämnat på återvinningscentral</t>
        </is>
      </c>
      <c r="C315" s="68" t="inlineStr">
        <is>
          <t>Salpetersyra</t>
        </is>
      </c>
      <c r="D315" s="68" t="inlineStr">
        <is>
          <t>200114*</t>
        </is>
      </c>
      <c r="E315" s="68" t="inlineStr">
        <is>
          <t>Kr/Kg</t>
        </is>
      </c>
      <c r="F315" s="106" t="n"/>
      <c r="G315" s="116">
        <f>IF($F315&lt;&gt;"",$F315,IFERROR(_xlfn.XLOOKUP(ROW(),Taxa_Saknas!$H:$H,Taxa_Saknas!$G:$G),""))</f>
        <v/>
      </c>
      <c r="H315" s="126">
        <f>IF($F315&lt;&gt;"",IFERROR(_xlfn.XLOOKUP($F315,Taxa_från_edp!$B:$B,Taxa_från_edp!C:C),""),"")</f>
        <v/>
      </c>
      <c r="I315" s="127">
        <f>IF($F315&lt;&gt;"",IFERROR(_xlfn.XLOOKUP($F315,Taxa_från_edp!$B:$B,Taxa_från_edp!G:G),""),"")</f>
        <v/>
      </c>
      <c r="J315" s="127">
        <f>IF($F315&lt;&gt;"",IFERROR(_xlfn.XLOOKUP($F315,Taxa_från_edp!$B:$B,Taxa_från_edp!K:K),""),"")</f>
        <v/>
      </c>
      <c r="K315" s="145" t="n"/>
      <c r="L315" s="146" t="n"/>
      <c r="M315" s="147">
        <f>IFERROR(IF(J315&lt;&gt;"",J315*1.25,IF(K315&lt;&gt;"",K315*1.25,"")),"")</f>
        <v/>
      </c>
      <c r="N315" s="148">
        <f>IFERROR(IF(J315&lt;&gt;"",L315*J315,IF(K315&lt;&gt;"",L315*K315,"")),"")</f>
        <v/>
      </c>
    </row>
    <row r="316" ht="30" customHeight="1">
      <c r="A316" s="100" t="inlineStr">
        <is>
          <t>§6.1.3</t>
        </is>
      </c>
      <c r="B316" s="68" t="inlineStr">
        <is>
          <t>Hanteringsavgifter för avfall inlämnat på återvinningscentral</t>
        </is>
      </c>
      <c r="C316" s="68" t="inlineStr">
        <is>
          <t>Surt oorganisk fast ämne</t>
        </is>
      </c>
      <c r="D316" s="68" t="inlineStr">
        <is>
          <t>200114*</t>
        </is>
      </c>
      <c r="E316" s="68" t="inlineStr">
        <is>
          <t>Kr/Kg</t>
        </is>
      </c>
      <c r="F316" s="106" t="n"/>
      <c r="G316" s="116">
        <f>IF($F316&lt;&gt;"",$F316,IFERROR(_xlfn.XLOOKUP(ROW(),Taxa_Saknas!$H:$H,Taxa_Saknas!$G:$G),""))</f>
        <v/>
      </c>
      <c r="H316" s="126">
        <f>IF($F316&lt;&gt;"",IFERROR(_xlfn.XLOOKUP($F316,Taxa_från_edp!$B:$B,Taxa_från_edp!C:C),""),"")</f>
        <v/>
      </c>
      <c r="I316" s="127">
        <f>IF($F316&lt;&gt;"",IFERROR(_xlfn.XLOOKUP($F316,Taxa_från_edp!$B:$B,Taxa_från_edp!G:G),""),"")</f>
        <v/>
      </c>
      <c r="J316" s="127">
        <f>IF($F316&lt;&gt;"",IFERROR(_xlfn.XLOOKUP($F316,Taxa_från_edp!$B:$B,Taxa_från_edp!K:K),""),"")</f>
        <v/>
      </c>
      <c r="K316" s="145" t="n"/>
      <c r="L316" s="146" t="n"/>
      <c r="M316" s="147">
        <f>IFERROR(IF(J316&lt;&gt;"",J316*1.25,IF(K316&lt;&gt;"",K316*1.25,"")),"")</f>
        <v/>
      </c>
      <c r="N316" s="148">
        <f>IFERROR(IF(J316&lt;&gt;"",L316*J316,IF(K316&lt;&gt;"",L316*K316,"")),"")</f>
        <v/>
      </c>
    </row>
    <row r="317" ht="30" customHeight="1">
      <c r="A317" s="100" t="inlineStr">
        <is>
          <t>§6.1.3</t>
        </is>
      </c>
      <c r="B317" s="68" t="inlineStr">
        <is>
          <t>Hanteringsavgifter för avfall inlämnat på återvinningscentral</t>
        </is>
      </c>
      <c r="C317" s="68" t="inlineStr">
        <is>
          <t>Surt organisk fast ämne</t>
        </is>
      </c>
      <c r="D317" s="68" t="inlineStr">
        <is>
          <t>200114*</t>
        </is>
      </c>
      <c r="E317" s="68" t="inlineStr">
        <is>
          <t>Kr/Kg</t>
        </is>
      </c>
      <c r="F317" s="106" t="n"/>
      <c r="G317" s="116">
        <f>IF($F317&lt;&gt;"",$F317,IFERROR(_xlfn.XLOOKUP(ROW(),Taxa_Saknas!$H:$H,Taxa_Saknas!$G:$G),""))</f>
        <v/>
      </c>
      <c r="H317" s="126">
        <f>IF($F317&lt;&gt;"",IFERROR(_xlfn.XLOOKUP($F317,Taxa_från_edp!$B:$B,Taxa_från_edp!C:C),""),"")</f>
        <v/>
      </c>
      <c r="I317" s="127">
        <f>IF($F317&lt;&gt;"",IFERROR(_xlfn.XLOOKUP($F317,Taxa_från_edp!$B:$B,Taxa_från_edp!G:G),""),"")</f>
        <v/>
      </c>
      <c r="J317" s="127">
        <f>IF($F317&lt;&gt;"",IFERROR(_xlfn.XLOOKUP($F317,Taxa_från_edp!$B:$B,Taxa_från_edp!K:K),""),"")</f>
        <v/>
      </c>
      <c r="K317" s="145" t="n"/>
      <c r="L317" s="146" t="n"/>
      <c r="M317" s="147">
        <f>IFERROR(IF(J317&lt;&gt;"",J317*1.25,IF(K317&lt;&gt;"",K317*1.25,"")),"")</f>
        <v/>
      </c>
      <c r="N317" s="148">
        <f>IFERROR(IF(J317&lt;&gt;"",L317*J317,IF(K317&lt;&gt;"",L317*K317,"")),"")</f>
        <v/>
      </c>
    </row>
    <row r="318" ht="30" customHeight="1">
      <c r="A318" s="100" t="inlineStr">
        <is>
          <t>§6.1.3</t>
        </is>
      </c>
      <c r="B318" s="68" t="inlineStr">
        <is>
          <t>Hanteringsavgifter för avfall inlämnat på återvinningscentral</t>
        </is>
      </c>
      <c r="C318" s="68" t="inlineStr">
        <is>
          <t>Surt oorganisk vätska</t>
        </is>
      </c>
      <c r="D318" s="68" t="inlineStr">
        <is>
          <t>200114*</t>
        </is>
      </c>
      <c r="E318" s="68" t="inlineStr">
        <is>
          <t>Kr/Kg</t>
        </is>
      </c>
      <c r="F318" s="106" t="n"/>
      <c r="G318" s="116">
        <f>IF($F318&lt;&gt;"",$F318,IFERROR(_xlfn.XLOOKUP(ROW(),Taxa_Saknas!$H:$H,Taxa_Saknas!$G:$G),""))</f>
        <v/>
      </c>
      <c r="H318" s="126">
        <f>IF($F318&lt;&gt;"",IFERROR(_xlfn.XLOOKUP($F318,Taxa_från_edp!$B:$B,Taxa_från_edp!C:C),""),"")</f>
        <v/>
      </c>
      <c r="I318" s="127">
        <f>IF($F318&lt;&gt;"",IFERROR(_xlfn.XLOOKUP($F318,Taxa_från_edp!$B:$B,Taxa_från_edp!G:G),""),"")</f>
        <v/>
      </c>
      <c r="J318" s="127">
        <f>IF($F318&lt;&gt;"",IFERROR(_xlfn.XLOOKUP($F318,Taxa_från_edp!$B:$B,Taxa_från_edp!K:K),""),"")</f>
        <v/>
      </c>
      <c r="K318" s="145" t="n"/>
      <c r="L318" s="146" t="n"/>
      <c r="M318" s="147">
        <f>IFERROR(IF(J318&lt;&gt;"",J318*1.25,IF(K318&lt;&gt;"",K318*1.25,"")),"")</f>
        <v/>
      </c>
      <c r="N318" s="148">
        <f>IFERROR(IF(J318&lt;&gt;"",L318*J318,IF(K318&lt;&gt;"",L318*K318,"")),"")</f>
        <v/>
      </c>
    </row>
    <row r="319" ht="30" customHeight="1">
      <c r="A319" s="100" t="inlineStr">
        <is>
          <t>§6.1.3</t>
        </is>
      </c>
      <c r="B319" s="68" t="inlineStr">
        <is>
          <t>Hanteringsavgifter för avfall inlämnat på återvinningscentral</t>
        </is>
      </c>
      <c r="C319" s="68" t="inlineStr">
        <is>
          <t>Surt organisk vätska</t>
        </is>
      </c>
      <c r="D319" s="68" t="inlineStr">
        <is>
          <t>200114*</t>
        </is>
      </c>
      <c r="E319" s="68" t="inlineStr">
        <is>
          <t>Kr/Kg</t>
        </is>
      </c>
      <c r="F319" s="106" t="n"/>
      <c r="G319" s="116">
        <f>IF($F319&lt;&gt;"",$F319,IFERROR(_xlfn.XLOOKUP(ROW(),Taxa_Saknas!$H:$H,Taxa_Saknas!$G:$G),""))</f>
        <v/>
      </c>
      <c r="H319" s="126">
        <f>IF($F319&lt;&gt;"",IFERROR(_xlfn.XLOOKUP($F319,Taxa_från_edp!$B:$B,Taxa_från_edp!C:C),""),"")</f>
        <v/>
      </c>
      <c r="I319" s="127">
        <f>IF($F319&lt;&gt;"",IFERROR(_xlfn.XLOOKUP($F319,Taxa_från_edp!$B:$B,Taxa_från_edp!G:G),""),"")</f>
        <v/>
      </c>
      <c r="J319" s="127">
        <f>IF($F319&lt;&gt;"",IFERROR(_xlfn.XLOOKUP($F319,Taxa_från_edp!$B:$B,Taxa_från_edp!K:K),""),"")</f>
        <v/>
      </c>
      <c r="K319" s="145" t="n"/>
      <c r="L319" s="146" t="n"/>
      <c r="M319" s="147">
        <f>IFERROR(IF(J319&lt;&gt;"",J319*1.25,IF(K319&lt;&gt;"",K319*1.25,"")),"")</f>
        <v/>
      </c>
      <c r="N319" s="148">
        <f>IFERROR(IF(J319&lt;&gt;"",L319*J319,IF(K319&lt;&gt;"",L319*K319,"")),"")</f>
        <v/>
      </c>
    </row>
    <row r="320" ht="30" customHeight="1">
      <c r="A320" s="100" t="inlineStr">
        <is>
          <t>§6.1.3</t>
        </is>
      </c>
      <c r="B320" s="68" t="inlineStr">
        <is>
          <t>Hanteringsavgifter för avfall inlämnat på återvinningscentral</t>
        </is>
      </c>
      <c r="C320" s="68" t="inlineStr">
        <is>
          <t>Ammoniaklösning</t>
        </is>
      </c>
      <c r="D320" s="68" t="inlineStr">
        <is>
          <t>200115*</t>
        </is>
      </c>
      <c r="E320" s="68" t="inlineStr">
        <is>
          <t>Kr/Kg</t>
        </is>
      </c>
      <c r="F320" s="106" t="n"/>
      <c r="G320" s="116">
        <f>IF($F320&lt;&gt;"",$F320,IFERROR(_xlfn.XLOOKUP(ROW(),Taxa_Saknas!$H:$H,Taxa_Saknas!$G:$G),""))</f>
        <v/>
      </c>
      <c r="H320" s="126">
        <f>IF($F320&lt;&gt;"",IFERROR(_xlfn.XLOOKUP($F320,Taxa_från_edp!$B:$B,Taxa_från_edp!C:C),""),"")</f>
        <v/>
      </c>
      <c r="I320" s="127">
        <f>IF($F320&lt;&gt;"",IFERROR(_xlfn.XLOOKUP($F320,Taxa_från_edp!$B:$B,Taxa_från_edp!G:G),""),"")</f>
        <v/>
      </c>
      <c r="J320" s="127">
        <f>IF($F320&lt;&gt;"",IFERROR(_xlfn.XLOOKUP($F320,Taxa_från_edp!$B:$B,Taxa_från_edp!K:K),""),"")</f>
        <v/>
      </c>
      <c r="K320" s="145" t="n"/>
      <c r="L320" s="146" t="n"/>
      <c r="M320" s="147">
        <f>IFERROR(IF(J320&lt;&gt;"",J320*1.25,IF(K320&lt;&gt;"",K320*1.25,"")),"")</f>
        <v/>
      </c>
      <c r="N320" s="148">
        <f>IFERROR(IF(J320&lt;&gt;"",L320*J320,IF(K320&lt;&gt;"",L320*K320,"")),"")</f>
        <v/>
      </c>
    </row>
    <row r="321" ht="30" customHeight="1">
      <c r="A321" s="100" t="inlineStr">
        <is>
          <t>§6.1.3</t>
        </is>
      </c>
      <c r="B321" s="68" t="inlineStr">
        <is>
          <t>Hanteringsavgifter för avfall inlämnat på återvinningscentral</t>
        </is>
      </c>
      <c r="C321" s="68" t="inlineStr">
        <is>
          <t>Alkaliskt avfall fast</t>
        </is>
      </c>
      <c r="D321" s="68" t="inlineStr">
        <is>
          <t>200115*</t>
        </is>
      </c>
      <c r="E321" s="68" t="inlineStr">
        <is>
          <t>Kr/Kg</t>
        </is>
      </c>
      <c r="F321" s="106" t="n"/>
      <c r="G321" s="116">
        <f>IF($F321&lt;&gt;"",$F321,IFERROR(_xlfn.XLOOKUP(ROW(),Taxa_Saknas!$H:$H,Taxa_Saknas!$G:$G),""))</f>
        <v/>
      </c>
      <c r="H321" s="126">
        <f>IF($F321&lt;&gt;"",IFERROR(_xlfn.XLOOKUP($F321,Taxa_från_edp!$B:$B,Taxa_från_edp!C:C),""),"")</f>
        <v/>
      </c>
      <c r="I321" s="127">
        <f>IF($F321&lt;&gt;"",IFERROR(_xlfn.XLOOKUP($F321,Taxa_från_edp!$B:$B,Taxa_från_edp!G:G),""),"")</f>
        <v/>
      </c>
      <c r="J321" s="127">
        <f>IF($F321&lt;&gt;"",IFERROR(_xlfn.XLOOKUP($F321,Taxa_från_edp!$B:$B,Taxa_från_edp!K:K),""),"")</f>
        <v/>
      </c>
      <c r="K321" s="145" t="n"/>
      <c r="L321" s="146" t="n"/>
      <c r="M321" s="147">
        <f>IFERROR(IF(J321&lt;&gt;"",J321*1.25,IF(K321&lt;&gt;"",K321*1.25,"")),"")</f>
        <v/>
      </c>
      <c r="N321" s="148">
        <f>IFERROR(IF(J321&lt;&gt;"",L321*J321,IF(K321&lt;&gt;"",L321*K321,"")),"")</f>
        <v/>
      </c>
    </row>
    <row r="322" ht="30" customHeight="1">
      <c r="A322" s="100" t="inlineStr">
        <is>
          <t>§6.1.3</t>
        </is>
      </c>
      <c r="B322" s="68" t="inlineStr">
        <is>
          <t>Hanteringsavgifter för avfall inlämnat på återvinningscentral</t>
        </is>
      </c>
      <c r="C322" s="68" t="inlineStr">
        <is>
          <t>Basiskt organiskt fast/flytande</t>
        </is>
      </c>
      <c r="D322" s="68" t="inlineStr">
        <is>
          <t>200115*</t>
        </is>
      </c>
      <c r="E322" s="68" t="inlineStr">
        <is>
          <t>Kr/Kg</t>
        </is>
      </c>
      <c r="F322" s="106" t="n"/>
      <c r="G322" s="116">
        <f>IF($F322&lt;&gt;"",$F322,IFERROR(_xlfn.XLOOKUP(ROW(),Taxa_Saknas!$H:$H,Taxa_Saknas!$G:$G),""))</f>
        <v/>
      </c>
      <c r="H322" s="126">
        <f>IF($F322&lt;&gt;"",IFERROR(_xlfn.XLOOKUP($F322,Taxa_från_edp!$B:$B,Taxa_från_edp!C:C),""),"")</f>
        <v/>
      </c>
      <c r="I322" s="127">
        <f>IF($F322&lt;&gt;"",IFERROR(_xlfn.XLOOKUP($F322,Taxa_från_edp!$B:$B,Taxa_från_edp!G:G),""),"")</f>
        <v/>
      </c>
      <c r="J322" s="127">
        <f>IF($F322&lt;&gt;"",IFERROR(_xlfn.XLOOKUP($F322,Taxa_från_edp!$B:$B,Taxa_från_edp!K:K),""),"")</f>
        <v/>
      </c>
      <c r="K322" s="145" t="n"/>
      <c r="L322" s="146" t="n"/>
      <c r="M322" s="147">
        <f>IFERROR(IF(J322&lt;&gt;"",J322*1.25,IF(K322&lt;&gt;"",K322*1.25,"")),"")</f>
        <v/>
      </c>
      <c r="N322" s="148">
        <f>IFERROR(IF(J322&lt;&gt;"",L322*J322,IF(K322&lt;&gt;"",L322*K322,"")),"")</f>
        <v/>
      </c>
    </row>
    <row r="323" ht="30" customHeight="1">
      <c r="A323" s="100" t="inlineStr">
        <is>
          <t>§6.1.3</t>
        </is>
      </c>
      <c r="B323" s="68" t="inlineStr">
        <is>
          <t>Hanteringsavgifter för avfall inlämnat på återvinningscentral</t>
        </is>
      </c>
      <c r="C323" s="68" t="inlineStr">
        <is>
          <t>Fotokemikalier</t>
        </is>
      </c>
      <c r="D323" s="68" t="inlineStr">
        <is>
          <t>200117*</t>
        </is>
      </c>
      <c r="E323" s="68" t="inlineStr">
        <is>
          <t>Kr/Kg</t>
        </is>
      </c>
      <c r="F323" s="106" t="n"/>
      <c r="G323" s="116">
        <f>IF($F323&lt;&gt;"",$F323,IFERROR(_xlfn.XLOOKUP(ROW(),Taxa_Saknas!$H:$H,Taxa_Saknas!$G:$G),""))</f>
        <v/>
      </c>
      <c r="H323" s="126">
        <f>IF($F323&lt;&gt;"",IFERROR(_xlfn.XLOOKUP($F323,Taxa_från_edp!$B:$B,Taxa_från_edp!C:C),""),"")</f>
        <v/>
      </c>
      <c r="I323" s="127">
        <f>IF($F323&lt;&gt;"",IFERROR(_xlfn.XLOOKUP($F323,Taxa_från_edp!$B:$B,Taxa_från_edp!G:G),""),"")</f>
        <v/>
      </c>
      <c r="J323" s="127">
        <f>IF($F323&lt;&gt;"",IFERROR(_xlfn.XLOOKUP($F323,Taxa_från_edp!$B:$B,Taxa_från_edp!K:K),""),"")</f>
        <v/>
      </c>
      <c r="K323" s="145" t="n"/>
      <c r="L323" s="146" t="n"/>
      <c r="M323" s="147">
        <f>IFERROR(IF(J323&lt;&gt;"",J323*1.25,IF(K323&lt;&gt;"",K323*1.25,"")),"")</f>
        <v/>
      </c>
      <c r="N323" s="148">
        <f>IFERROR(IF(J323&lt;&gt;"",L323*J323,IF(K323&lt;&gt;"",L323*K323,"")),"")</f>
        <v/>
      </c>
    </row>
    <row r="324" ht="30" customHeight="1">
      <c r="A324" s="100" t="inlineStr">
        <is>
          <t>§6.1.3</t>
        </is>
      </c>
      <c r="B324" s="68" t="inlineStr">
        <is>
          <t>Hanteringsavgifter för avfall inlämnat på återvinningscentral</t>
        </is>
      </c>
      <c r="C324" s="68" t="inlineStr">
        <is>
          <t>Bekämpningsmedel aerosoler</t>
        </is>
      </c>
      <c r="D324" s="68" t="inlineStr">
        <is>
          <t>200119*</t>
        </is>
      </c>
      <c r="E324" s="68" t="inlineStr">
        <is>
          <t>Kr/Kg</t>
        </is>
      </c>
      <c r="F324" s="106" t="n"/>
      <c r="G324" s="116">
        <f>IF($F324&lt;&gt;"",$F324,IFERROR(_xlfn.XLOOKUP(ROW(),Taxa_Saknas!$H:$H,Taxa_Saknas!$G:$G),""))</f>
        <v/>
      </c>
      <c r="H324" s="126">
        <f>IF($F324&lt;&gt;"",IFERROR(_xlfn.XLOOKUP($F324,Taxa_från_edp!$B:$B,Taxa_från_edp!C:C),""),"")</f>
        <v/>
      </c>
      <c r="I324" s="127">
        <f>IF($F324&lt;&gt;"",IFERROR(_xlfn.XLOOKUP($F324,Taxa_från_edp!$B:$B,Taxa_från_edp!G:G),""),"")</f>
        <v/>
      </c>
      <c r="J324" s="127">
        <f>IF($F324&lt;&gt;"",IFERROR(_xlfn.XLOOKUP($F324,Taxa_från_edp!$B:$B,Taxa_från_edp!K:K),""),"")</f>
        <v/>
      </c>
      <c r="K324" s="145" t="n"/>
      <c r="L324" s="146" t="n"/>
      <c r="M324" s="147">
        <f>IFERROR(IF(J324&lt;&gt;"",J324*1.25,IF(K324&lt;&gt;"",K324*1.25,"")),"")</f>
        <v/>
      </c>
      <c r="N324" s="148">
        <f>IFERROR(IF(J324&lt;&gt;"",L324*J324,IF(K324&lt;&gt;"",L324*K324,"")),"")</f>
        <v/>
      </c>
    </row>
    <row r="325" ht="30" customHeight="1">
      <c r="A325" s="100" t="inlineStr">
        <is>
          <t>§6.1.3</t>
        </is>
      </c>
      <c r="B325" s="68" t="inlineStr">
        <is>
          <t>Hanteringsavgifter för avfall inlämnat på återvinningscentral</t>
        </is>
      </c>
      <c r="C325" s="68" t="inlineStr">
        <is>
          <t>Bekämpningsmedel fast</t>
        </is>
      </c>
      <c r="D325" s="68" t="inlineStr">
        <is>
          <t>200119*</t>
        </is>
      </c>
      <c r="E325" s="68" t="inlineStr">
        <is>
          <t>Kr/Kg</t>
        </is>
      </c>
      <c r="F325" s="106" t="n"/>
      <c r="G325" s="116">
        <f>IF($F325&lt;&gt;"",$F325,IFERROR(_xlfn.XLOOKUP(ROW(),Taxa_Saknas!$H:$H,Taxa_Saknas!$G:$G),""))</f>
        <v/>
      </c>
      <c r="H325" s="126">
        <f>IF($F325&lt;&gt;"",IFERROR(_xlfn.XLOOKUP($F325,Taxa_från_edp!$B:$B,Taxa_från_edp!C:C),""),"")</f>
        <v/>
      </c>
      <c r="I325" s="127">
        <f>IF($F325&lt;&gt;"",IFERROR(_xlfn.XLOOKUP($F325,Taxa_från_edp!$B:$B,Taxa_från_edp!G:G),""),"")</f>
        <v/>
      </c>
      <c r="J325" s="127">
        <f>IF($F325&lt;&gt;"",IFERROR(_xlfn.XLOOKUP($F325,Taxa_från_edp!$B:$B,Taxa_från_edp!K:K),""),"")</f>
        <v/>
      </c>
      <c r="K325" s="145" t="n"/>
      <c r="L325" s="146" t="n"/>
      <c r="M325" s="147">
        <f>IFERROR(IF(J325&lt;&gt;"",J325*1.25,IF(K325&lt;&gt;"",K325*1.25,"")),"")</f>
        <v/>
      </c>
      <c r="N325" s="148">
        <f>IFERROR(IF(J325&lt;&gt;"",L325*J325,IF(K325&lt;&gt;"",L325*K325,"")),"")</f>
        <v/>
      </c>
    </row>
    <row r="326" ht="30" customHeight="1">
      <c r="A326" s="100" t="inlineStr">
        <is>
          <t>§6.1.3</t>
        </is>
      </c>
      <c r="B326" s="68" t="inlineStr">
        <is>
          <t>Hanteringsavgifter för avfall inlämnat på återvinningscentral</t>
        </is>
      </c>
      <c r="C326" s="68" t="inlineStr">
        <is>
          <t>Bekämpningsmedel flytande</t>
        </is>
      </c>
      <c r="D326" s="68" t="inlineStr">
        <is>
          <t>200119*</t>
        </is>
      </c>
      <c r="E326" s="68" t="inlineStr">
        <is>
          <t>Kr/Kg</t>
        </is>
      </c>
      <c r="F326" s="106" t="n"/>
      <c r="G326" s="116">
        <f>IF($F326&lt;&gt;"",$F326,IFERROR(_xlfn.XLOOKUP(ROW(),Taxa_Saknas!$H:$H,Taxa_Saknas!$G:$G),""))</f>
        <v/>
      </c>
      <c r="H326" s="126">
        <f>IF($F326&lt;&gt;"",IFERROR(_xlfn.XLOOKUP($F326,Taxa_från_edp!$B:$B,Taxa_från_edp!C:C),""),"")</f>
        <v/>
      </c>
      <c r="I326" s="127">
        <f>IF($F326&lt;&gt;"",IFERROR(_xlfn.XLOOKUP($F326,Taxa_från_edp!$B:$B,Taxa_från_edp!G:G),""),"")</f>
        <v/>
      </c>
      <c r="J326" s="127">
        <f>IF($F326&lt;&gt;"",IFERROR(_xlfn.XLOOKUP($F326,Taxa_från_edp!$B:$B,Taxa_från_edp!K:K),""),"")</f>
        <v/>
      </c>
      <c r="K326" s="145" t="n"/>
      <c r="L326" s="146" t="n"/>
      <c r="M326" s="147">
        <f>IFERROR(IF(J326&lt;&gt;"",J326*1.25,IF(K326&lt;&gt;"",K326*1.25,"")),"")</f>
        <v/>
      </c>
      <c r="N326" s="148">
        <f>IFERROR(IF(J326&lt;&gt;"",L326*J326,IF(K326&lt;&gt;"",L326*K326,"")),"")</f>
        <v/>
      </c>
    </row>
    <row r="327" ht="30" customHeight="1">
      <c r="A327" s="100" t="inlineStr">
        <is>
          <t>§6.1.3</t>
        </is>
      </c>
      <c r="B327" s="68" t="inlineStr">
        <is>
          <t>Hanteringsavgifter för avfall inlämnat på återvinningscentral</t>
        </is>
      </c>
      <c r="C327" s="68" t="inlineStr">
        <is>
          <t>Kvicksilverhaltigt avfall</t>
        </is>
      </c>
      <c r="D327" s="68" t="inlineStr">
        <is>
          <t>200121*</t>
        </is>
      </c>
      <c r="E327" s="68" t="inlineStr">
        <is>
          <t>Kr/Kg</t>
        </is>
      </c>
      <c r="F327" s="106" t="n"/>
      <c r="G327" s="116">
        <f>IF($F327&lt;&gt;"",$F327,IFERROR(_xlfn.XLOOKUP(ROW(),Taxa_Saknas!$H:$H,Taxa_Saknas!$G:$G),""))</f>
        <v/>
      </c>
      <c r="H327" s="126">
        <f>IF($F327&lt;&gt;"",IFERROR(_xlfn.XLOOKUP($F327,Taxa_från_edp!$B:$B,Taxa_från_edp!C:C),""),"")</f>
        <v/>
      </c>
      <c r="I327" s="127">
        <f>IF($F327&lt;&gt;"",IFERROR(_xlfn.XLOOKUP($F327,Taxa_från_edp!$B:$B,Taxa_från_edp!G:G),""),"")</f>
        <v/>
      </c>
      <c r="J327" s="127">
        <f>IF($F327&lt;&gt;"",IFERROR(_xlfn.XLOOKUP($F327,Taxa_från_edp!$B:$B,Taxa_från_edp!K:K),""),"")</f>
        <v/>
      </c>
      <c r="K327" s="145" t="n"/>
      <c r="L327" s="146" t="n"/>
      <c r="M327" s="147">
        <f>IFERROR(IF(J327&lt;&gt;"",J327*1.25,IF(K327&lt;&gt;"",K327*1.25,"")),"")</f>
        <v/>
      </c>
      <c r="N327" s="148">
        <f>IFERROR(IF(J327&lt;&gt;"",L327*J327,IF(K327&lt;&gt;"",L327*K327,"")),"")</f>
        <v/>
      </c>
    </row>
    <row r="328" ht="30" customHeight="1">
      <c r="A328" s="100" t="inlineStr">
        <is>
          <t>§6.1.3</t>
        </is>
      </c>
      <c r="B328" s="68" t="inlineStr">
        <is>
          <t>Hanteringsavgifter för avfall inlämnat på återvinningscentral</t>
        </is>
      </c>
      <c r="C328" s="68" t="inlineStr">
        <is>
          <t>Kvicksilver i föremål</t>
        </is>
      </c>
      <c r="D328" s="68" t="inlineStr">
        <is>
          <t>200121*</t>
        </is>
      </c>
      <c r="E328" s="68" t="inlineStr">
        <is>
          <t>Kr/Kg</t>
        </is>
      </c>
      <c r="F328" s="106" t="n"/>
      <c r="G328" s="116">
        <f>IF($F328&lt;&gt;"",$F328,IFERROR(_xlfn.XLOOKUP(ROW(),Taxa_Saknas!$H:$H,Taxa_Saknas!$G:$G),""))</f>
        <v/>
      </c>
      <c r="H328" s="126">
        <f>IF($F328&lt;&gt;"",IFERROR(_xlfn.XLOOKUP($F328,Taxa_från_edp!$B:$B,Taxa_från_edp!C:C),""),"")</f>
        <v/>
      </c>
      <c r="I328" s="127">
        <f>IF($F328&lt;&gt;"",IFERROR(_xlfn.XLOOKUP($F328,Taxa_från_edp!$B:$B,Taxa_från_edp!G:G),""),"")</f>
        <v/>
      </c>
      <c r="J328" s="127">
        <f>IF($F328&lt;&gt;"",IFERROR(_xlfn.XLOOKUP($F328,Taxa_från_edp!$B:$B,Taxa_från_edp!K:K),""),"")</f>
        <v/>
      </c>
      <c r="K328" s="145" t="n"/>
      <c r="L328" s="146" t="n"/>
      <c r="M328" s="147">
        <f>IFERROR(IF(J328&lt;&gt;"",J328*1.25,IF(K328&lt;&gt;"",K328*1.25,"")),"")</f>
        <v/>
      </c>
      <c r="N328" s="148">
        <f>IFERROR(IF(J328&lt;&gt;"",L328*J328,IF(K328&lt;&gt;"",L328*K328,"")),"")</f>
        <v/>
      </c>
    </row>
    <row r="329" ht="30" customHeight="1">
      <c r="A329" s="100" t="inlineStr">
        <is>
          <t>§6.1.3</t>
        </is>
      </c>
      <c r="B329" s="68" t="inlineStr">
        <is>
          <t>Hanteringsavgifter för avfall inlämnat på återvinningscentral</t>
        </is>
      </c>
      <c r="C329" s="68" t="inlineStr">
        <is>
          <t>Oljehaltigt avfall (ej PCB)</t>
        </is>
      </c>
      <c r="D329" s="68" t="inlineStr">
        <is>
          <t>200126*</t>
        </is>
      </c>
      <c r="E329" s="100" t="inlineStr">
        <is>
          <t>Kr/l</t>
        </is>
      </c>
      <c r="F329" s="106" t="n"/>
      <c r="G329" s="116">
        <f>IF($F329&lt;&gt;"",$F329,IFERROR(_xlfn.XLOOKUP(ROW(),Taxa_Saknas!$H:$H,Taxa_Saknas!$G:$G),""))</f>
        <v/>
      </c>
      <c r="H329" s="126">
        <f>IF($F329&lt;&gt;"",IFERROR(_xlfn.XLOOKUP($F329,Taxa_från_edp!$B:$B,Taxa_från_edp!C:C),""),"")</f>
        <v/>
      </c>
      <c r="I329" s="127">
        <f>IF($F329&lt;&gt;"",IFERROR(_xlfn.XLOOKUP($F329,Taxa_från_edp!$B:$B,Taxa_från_edp!G:G),""),"")</f>
        <v/>
      </c>
      <c r="J329" s="127">
        <f>IF($F329&lt;&gt;"",IFERROR(_xlfn.XLOOKUP($F329,Taxa_från_edp!$B:$B,Taxa_från_edp!K:K),""),"")</f>
        <v/>
      </c>
      <c r="K329" s="145" t="n"/>
      <c r="L329" s="146" t="n"/>
      <c r="M329" s="147">
        <f>IFERROR(IF(J329&lt;&gt;"",J329*1.25,IF(K329&lt;&gt;"",K329*1.25,"")),"")</f>
        <v/>
      </c>
      <c r="N329" s="148">
        <f>IFERROR(IF(J329&lt;&gt;"",L329*J329,IF(K329&lt;&gt;"",L329*K329,"")),"")</f>
        <v/>
      </c>
    </row>
    <row r="330" ht="30" customHeight="1">
      <c r="A330" s="100" t="inlineStr">
        <is>
          <t>§6.1.3</t>
        </is>
      </c>
      <c r="B330" s="68" t="inlineStr">
        <is>
          <t>Hanteringsavgifter för avfall inlämnat på återvinningscentral</t>
        </is>
      </c>
      <c r="C330" s="68" t="inlineStr">
        <is>
          <t>Olja förorenad (ej PCB)</t>
        </is>
      </c>
      <c r="D330" s="68" t="inlineStr">
        <is>
          <t>200126*</t>
        </is>
      </c>
      <c r="E330" s="100" t="inlineStr">
        <is>
          <t>Kr/l</t>
        </is>
      </c>
      <c r="F330" s="106" t="n"/>
      <c r="G330" s="116">
        <f>IF($F330&lt;&gt;"",$F330,IFERROR(_xlfn.XLOOKUP(ROW(),Taxa_Saknas!$H:$H,Taxa_Saknas!$G:$G),""))</f>
        <v/>
      </c>
      <c r="H330" s="126">
        <f>IF($F330&lt;&gt;"",IFERROR(_xlfn.XLOOKUP($F330,Taxa_från_edp!$B:$B,Taxa_från_edp!C:C),""),"")</f>
        <v/>
      </c>
      <c r="I330" s="127">
        <f>IF($F330&lt;&gt;"",IFERROR(_xlfn.XLOOKUP($F330,Taxa_från_edp!$B:$B,Taxa_från_edp!G:G),""),"")</f>
        <v/>
      </c>
      <c r="J330" s="127">
        <f>IF($F330&lt;&gt;"",IFERROR(_xlfn.XLOOKUP($F330,Taxa_från_edp!$B:$B,Taxa_från_edp!K:K),""),"")</f>
        <v/>
      </c>
      <c r="K330" s="145" t="n"/>
      <c r="L330" s="146" t="n"/>
      <c r="M330" s="147">
        <f>IFERROR(IF(J330&lt;&gt;"",J330*1.25,IF(K330&lt;&gt;"",K330*1.25,"")),"")</f>
        <v/>
      </c>
      <c r="N330" s="148">
        <f>IFERROR(IF(J330&lt;&gt;"",L330*J330,IF(K330&lt;&gt;"",L330*K330,"")),"")</f>
        <v/>
      </c>
    </row>
    <row r="331" ht="30" customHeight="1">
      <c r="A331" s="100" t="inlineStr">
        <is>
          <t>§6.1.3</t>
        </is>
      </c>
      <c r="B331" s="68" t="inlineStr">
        <is>
          <t>Hanteringsavgifter för avfall inlämnat på återvinningscentral</t>
        </is>
      </c>
      <c r="C331" s="68" t="inlineStr">
        <is>
          <t>Färg-, lack-, limburkar lösning</t>
        </is>
      </c>
      <c r="D331" s="68" t="inlineStr">
        <is>
          <t>200127*</t>
        </is>
      </c>
      <c r="E331" s="68" t="inlineStr">
        <is>
          <t>Kr/Kg</t>
        </is>
      </c>
      <c r="F331" s="106" t="n"/>
      <c r="G331" s="116">
        <f>IF($F331&lt;&gt;"",$F331,IFERROR(_xlfn.XLOOKUP(ROW(),Taxa_Saknas!$H:$H,Taxa_Saknas!$G:$G),""))</f>
        <v/>
      </c>
      <c r="H331" s="126">
        <f>IF($F331&lt;&gt;"",IFERROR(_xlfn.XLOOKUP($F331,Taxa_från_edp!$B:$B,Taxa_från_edp!C:C),""),"")</f>
        <v/>
      </c>
      <c r="I331" s="127">
        <f>IF($F331&lt;&gt;"",IFERROR(_xlfn.XLOOKUP($F331,Taxa_från_edp!$B:$B,Taxa_från_edp!G:G),""),"")</f>
        <v/>
      </c>
      <c r="J331" s="127">
        <f>IF($F331&lt;&gt;"",IFERROR(_xlfn.XLOOKUP($F331,Taxa_från_edp!$B:$B,Taxa_från_edp!K:K),""),"")</f>
        <v/>
      </c>
      <c r="K331" s="145" t="n"/>
      <c r="L331" s="146" t="n"/>
      <c r="M331" s="147">
        <f>IFERROR(IF(J331&lt;&gt;"",J331*1.25,IF(K331&lt;&gt;"",K331*1.25,"")),"")</f>
        <v/>
      </c>
      <c r="N331" s="148">
        <f>IFERROR(IF(J331&lt;&gt;"",L331*J331,IF(K331&lt;&gt;"",L331*K331,"")),"")</f>
        <v/>
      </c>
    </row>
    <row r="332" ht="30" customHeight="1">
      <c r="A332" s="100" t="inlineStr">
        <is>
          <t>§6.1.3</t>
        </is>
      </c>
      <c r="B332" s="68" t="inlineStr">
        <is>
          <t>Hanteringsavgifter för avfall inlämnat på återvinningscentral</t>
        </is>
      </c>
      <c r="C332" s="68" t="inlineStr">
        <is>
          <t>Färg-, lack-, limburkar lösning aerosoler</t>
        </is>
      </c>
      <c r="D332" s="68" t="inlineStr">
        <is>
          <t>200127*</t>
        </is>
      </c>
      <c r="E332" s="68" t="inlineStr">
        <is>
          <t>Kr/Kg</t>
        </is>
      </c>
      <c r="F332" s="106" t="n"/>
      <c r="G332" s="116">
        <f>IF($F332&lt;&gt;"",$F332,IFERROR(_xlfn.XLOOKUP(ROW(),Taxa_Saknas!$H:$H,Taxa_Saknas!$G:$G),""))</f>
        <v/>
      </c>
      <c r="H332" s="126">
        <f>IF($F332&lt;&gt;"",IFERROR(_xlfn.XLOOKUP($F332,Taxa_från_edp!$B:$B,Taxa_från_edp!C:C),""),"")</f>
        <v/>
      </c>
      <c r="I332" s="127">
        <f>IF($F332&lt;&gt;"",IFERROR(_xlfn.XLOOKUP($F332,Taxa_från_edp!$B:$B,Taxa_från_edp!G:G),""),"")</f>
        <v/>
      </c>
      <c r="J332" s="127">
        <f>IF($F332&lt;&gt;"",IFERROR(_xlfn.XLOOKUP($F332,Taxa_från_edp!$B:$B,Taxa_från_edp!K:K),""),"")</f>
        <v/>
      </c>
      <c r="K332" s="145" t="n"/>
      <c r="L332" s="146" t="n"/>
      <c r="M332" s="147">
        <f>IFERROR(IF(J332&lt;&gt;"",J332*1.25,IF(K332&lt;&gt;"",K332*1.25,"")),"")</f>
        <v/>
      </c>
      <c r="N332" s="148">
        <f>IFERROR(IF(J332&lt;&gt;"",L332*J332,IF(K332&lt;&gt;"",L332*K332,"")),"")</f>
        <v/>
      </c>
    </row>
    <row r="333" ht="30" customHeight="1">
      <c r="A333" s="100" t="inlineStr">
        <is>
          <t>§6.1.3</t>
        </is>
      </c>
      <c r="B333" s="68" t="inlineStr">
        <is>
          <t>Hanteringsavgifter för avfall inlämnat på återvinningscentral</t>
        </is>
      </c>
      <c r="C333" s="68" t="inlineStr">
        <is>
          <t>Isocyanater</t>
        </is>
      </c>
      <c r="D333" s="68" t="inlineStr">
        <is>
          <t>200127*</t>
        </is>
      </c>
      <c r="E333" s="68" t="inlineStr">
        <is>
          <t>Kr/Kg</t>
        </is>
      </c>
      <c r="F333" s="106" t="n"/>
      <c r="G333" s="116">
        <f>IF($F333&lt;&gt;"",$F333,IFERROR(_xlfn.XLOOKUP(ROW(),Taxa_Saknas!$H:$H,Taxa_Saknas!$G:$G),""))</f>
        <v/>
      </c>
      <c r="H333" s="126">
        <f>IF($F333&lt;&gt;"",IFERROR(_xlfn.XLOOKUP($F333,Taxa_från_edp!$B:$B,Taxa_från_edp!C:C),""),"")</f>
        <v/>
      </c>
      <c r="I333" s="127">
        <f>IF($F333&lt;&gt;"",IFERROR(_xlfn.XLOOKUP($F333,Taxa_från_edp!$B:$B,Taxa_från_edp!G:G),""),"")</f>
        <v/>
      </c>
      <c r="J333" s="127">
        <f>IF($F333&lt;&gt;"",IFERROR(_xlfn.XLOOKUP($F333,Taxa_från_edp!$B:$B,Taxa_från_edp!K:K),""),"")</f>
        <v/>
      </c>
      <c r="K333" s="145" t="n"/>
      <c r="L333" s="146" t="n"/>
      <c r="M333" s="147">
        <f>IFERROR(IF(J333&lt;&gt;"",J333*1.25,IF(K333&lt;&gt;"",K333*1.25,"")),"")</f>
        <v/>
      </c>
      <c r="N333" s="148">
        <f>IFERROR(IF(J333&lt;&gt;"",L333*J333,IF(K333&lt;&gt;"",L333*K333,"")),"")</f>
        <v/>
      </c>
    </row>
    <row r="334" ht="30" customHeight="1">
      <c r="A334" s="100" t="inlineStr">
        <is>
          <t>§6.1.3</t>
        </is>
      </c>
      <c r="B334" s="68" t="inlineStr">
        <is>
          <t>Hanteringsavgifter för avfall inlämnat på återvinningscentral</t>
        </is>
      </c>
      <c r="C334" s="68" t="inlineStr">
        <is>
          <t>Härdare metyl- etylketonperoxid</t>
        </is>
      </c>
      <c r="D334" s="68" t="inlineStr">
        <is>
          <t>200127*</t>
        </is>
      </c>
      <c r="E334" s="68" t="inlineStr">
        <is>
          <t>Kr/Kg</t>
        </is>
      </c>
      <c r="F334" s="106" t="n"/>
      <c r="G334" s="116">
        <f>IF($F334&lt;&gt;"",$F334,IFERROR(_xlfn.XLOOKUP(ROW(),Taxa_Saknas!$H:$H,Taxa_Saknas!$G:$G),""))</f>
        <v/>
      </c>
      <c r="H334" s="126">
        <f>IF($F334&lt;&gt;"",IFERROR(_xlfn.XLOOKUP($F334,Taxa_från_edp!$B:$B,Taxa_från_edp!C:C),""),"")</f>
        <v/>
      </c>
      <c r="I334" s="127">
        <f>IF($F334&lt;&gt;"",IFERROR(_xlfn.XLOOKUP($F334,Taxa_från_edp!$B:$B,Taxa_från_edp!G:G),""),"")</f>
        <v/>
      </c>
      <c r="J334" s="127">
        <f>IF($F334&lt;&gt;"",IFERROR(_xlfn.XLOOKUP($F334,Taxa_från_edp!$B:$B,Taxa_från_edp!K:K),""),"")</f>
        <v/>
      </c>
      <c r="K334" s="145" t="n"/>
      <c r="L334" s="146" t="n"/>
      <c r="M334" s="147">
        <f>IFERROR(IF(J334&lt;&gt;"",J334*1.25,IF(K334&lt;&gt;"",K334*1.25,"")),"")</f>
        <v/>
      </c>
      <c r="N334" s="148">
        <f>IFERROR(IF(J334&lt;&gt;"",L334*J334,IF(K334&lt;&gt;"",L334*K334,"")),"")</f>
        <v/>
      </c>
    </row>
    <row r="335" ht="30" customHeight="1">
      <c r="A335" s="100" t="inlineStr">
        <is>
          <t>§6.1.3</t>
        </is>
      </c>
      <c r="B335" s="68" t="inlineStr">
        <is>
          <t>Hanteringsavgifter för avfall inlämnat på återvinningscentral</t>
        </is>
      </c>
      <c r="C335" s="68" t="inlineStr">
        <is>
          <t>Härdare dibenzoylperoxid</t>
        </is>
      </c>
      <c r="D335" s="68" t="inlineStr">
        <is>
          <t>200127*</t>
        </is>
      </c>
      <c r="E335" s="68" t="inlineStr">
        <is>
          <t>Kr/Kg</t>
        </is>
      </c>
      <c r="F335" s="106" t="n"/>
      <c r="G335" s="116">
        <f>IF($F335&lt;&gt;"",$F335,IFERROR(_xlfn.XLOOKUP(ROW(),Taxa_Saknas!$H:$H,Taxa_Saknas!$G:$G),""))</f>
        <v/>
      </c>
      <c r="H335" s="126">
        <f>IF($F335&lt;&gt;"",IFERROR(_xlfn.XLOOKUP($F335,Taxa_från_edp!$B:$B,Taxa_från_edp!C:C),""),"")</f>
        <v/>
      </c>
      <c r="I335" s="127">
        <f>IF($F335&lt;&gt;"",IFERROR(_xlfn.XLOOKUP($F335,Taxa_från_edp!$B:$B,Taxa_från_edp!G:G),""),"")</f>
        <v/>
      </c>
      <c r="J335" s="127">
        <f>IF($F335&lt;&gt;"",IFERROR(_xlfn.XLOOKUP($F335,Taxa_från_edp!$B:$B,Taxa_från_edp!K:K),""),"")</f>
        <v/>
      </c>
      <c r="K335" s="145" t="n"/>
      <c r="L335" s="146" t="n"/>
      <c r="M335" s="147">
        <f>IFERROR(IF(J335&lt;&gt;"",J335*1.25,IF(K335&lt;&gt;"",K335*1.25,"")),"")</f>
        <v/>
      </c>
      <c r="N335" s="148">
        <f>IFERROR(IF(J335&lt;&gt;"",L335*J335,IF(K335&lt;&gt;"",L335*K335,"")),"")</f>
        <v/>
      </c>
    </row>
    <row r="336" ht="30" customHeight="1">
      <c r="A336" s="100" t="inlineStr">
        <is>
          <t>§6.1.3</t>
        </is>
      </c>
      <c r="B336" s="68" t="inlineStr">
        <is>
          <t>Hanteringsavgifter för avfall inlämnat på återvinningscentral</t>
        </is>
      </c>
      <c r="C336" s="68" t="inlineStr">
        <is>
          <t>Färg-,lack-, limburkar vattenbaserade</t>
        </is>
      </c>
      <c r="D336" s="68" t="n">
        <v>200128</v>
      </c>
      <c r="E336" s="68" t="inlineStr">
        <is>
          <t>Kr/Kg</t>
        </is>
      </c>
      <c r="F336" s="106" t="n"/>
      <c r="G336" s="116">
        <f>IF($F336&lt;&gt;"",$F336,IFERROR(_xlfn.XLOOKUP(ROW(),Taxa_Saknas!$H:$H,Taxa_Saknas!$G:$G),""))</f>
        <v/>
      </c>
      <c r="H336" s="126">
        <f>IF($F336&lt;&gt;"",IFERROR(_xlfn.XLOOKUP($F336,Taxa_från_edp!$B:$B,Taxa_från_edp!C:C),""),"")</f>
        <v/>
      </c>
      <c r="I336" s="127">
        <f>IF($F336&lt;&gt;"",IFERROR(_xlfn.XLOOKUP($F336,Taxa_från_edp!$B:$B,Taxa_från_edp!G:G),""),"")</f>
        <v/>
      </c>
      <c r="J336" s="127">
        <f>IF($F336&lt;&gt;"",IFERROR(_xlfn.XLOOKUP($F336,Taxa_från_edp!$B:$B,Taxa_från_edp!K:K),""),"")</f>
        <v/>
      </c>
      <c r="K336" s="145" t="n"/>
      <c r="L336" s="146" t="n"/>
      <c r="M336" s="147">
        <f>IFERROR(IF(J336&lt;&gt;"",J336*1.25,IF(K336&lt;&gt;"",K336*1.25,"")),"")</f>
        <v/>
      </c>
      <c r="N336" s="148">
        <f>IFERROR(IF(J336&lt;&gt;"",L336*J336,IF(K336&lt;&gt;"",L336*K336,"")),"")</f>
        <v/>
      </c>
    </row>
    <row r="337" ht="30" customHeight="1">
      <c r="A337" s="100" t="inlineStr">
        <is>
          <t>§6.1.3</t>
        </is>
      </c>
      <c r="B337" s="68" t="inlineStr">
        <is>
          <t>Hanteringsavgifter för avfall inlämnat på återvinningscentral</t>
        </is>
      </c>
      <c r="C337" s="68" t="inlineStr">
        <is>
          <t>Tensida alkaliska flytande avfall</t>
        </is>
      </c>
      <c r="D337" s="68" t="inlineStr">
        <is>
          <t>200129*</t>
        </is>
      </c>
      <c r="E337" s="68" t="inlineStr">
        <is>
          <t>Kr/Kg</t>
        </is>
      </c>
      <c r="F337" s="106" t="n"/>
      <c r="G337" s="116">
        <f>IF($F337&lt;&gt;"",$F337,IFERROR(_xlfn.XLOOKUP(ROW(),Taxa_Saknas!$H:$H,Taxa_Saknas!$G:$G),""))</f>
        <v/>
      </c>
      <c r="H337" s="126">
        <f>IF($F337&lt;&gt;"",IFERROR(_xlfn.XLOOKUP($F337,Taxa_från_edp!$B:$B,Taxa_från_edp!C:C),""),"")</f>
        <v/>
      </c>
      <c r="I337" s="127">
        <f>IF($F337&lt;&gt;"",IFERROR(_xlfn.XLOOKUP($F337,Taxa_från_edp!$B:$B,Taxa_från_edp!G:G),""),"")</f>
        <v/>
      </c>
      <c r="J337" s="127">
        <f>IF($F337&lt;&gt;"",IFERROR(_xlfn.XLOOKUP($F337,Taxa_från_edp!$B:$B,Taxa_från_edp!K:K),""),"")</f>
        <v/>
      </c>
      <c r="K337" s="145" t="n"/>
      <c r="L337" s="146" t="n"/>
      <c r="M337" s="147">
        <f>IFERROR(IF(J337&lt;&gt;"",J337*1.25,IF(K337&lt;&gt;"",K337*1.25,"")),"")</f>
        <v/>
      </c>
      <c r="N337" s="148">
        <f>IFERROR(IF(J337&lt;&gt;"",L337*J337,IF(K337&lt;&gt;"",L337*K337,"")),"")</f>
        <v/>
      </c>
    </row>
    <row r="338" ht="30" customHeight="1">
      <c r="A338" s="100" t="inlineStr">
        <is>
          <t>§6.1.3</t>
        </is>
      </c>
      <c r="B338" s="68" t="inlineStr">
        <is>
          <t>Hanteringsavgifter för avfall inlämnat på återvinningscentral</t>
        </is>
      </c>
      <c r="C338" s="68" t="inlineStr">
        <is>
          <t>Rengöring/vaskmedel fast</t>
        </is>
      </c>
      <c r="D338" s="68" t="inlineStr">
        <is>
          <t>200129*</t>
        </is>
      </c>
      <c r="E338" s="68" t="inlineStr">
        <is>
          <t>Kr/Kg</t>
        </is>
      </c>
      <c r="F338" s="106" t="n"/>
      <c r="G338" s="116">
        <f>IF($F338&lt;&gt;"",$F338,IFERROR(_xlfn.XLOOKUP(ROW(),Taxa_Saknas!$H:$H,Taxa_Saknas!$G:$G),""))</f>
        <v/>
      </c>
      <c r="H338" s="126">
        <f>IF($F338&lt;&gt;"",IFERROR(_xlfn.XLOOKUP($F338,Taxa_från_edp!$B:$B,Taxa_från_edp!C:C),""),"")</f>
        <v/>
      </c>
      <c r="I338" s="127">
        <f>IF($F338&lt;&gt;"",IFERROR(_xlfn.XLOOKUP($F338,Taxa_från_edp!$B:$B,Taxa_från_edp!G:G),""),"")</f>
        <v/>
      </c>
      <c r="J338" s="127">
        <f>IF($F338&lt;&gt;"",IFERROR(_xlfn.XLOOKUP($F338,Taxa_från_edp!$B:$B,Taxa_från_edp!K:K),""),"")</f>
        <v/>
      </c>
      <c r="K338" s="145" t="n"/>
      <c r="L338" s="146" t="n"/>
      <c r="M338" s="147">
        <f>IFERROR(IF(J338&lt;&gt;"",J338*1.25,IF(K338&lt;&gt;"",K338*1.25,"")),"")</f>
        <v/>
      </c>
      <c r="N338" s="148">
        <f>IFERROR(IF(J338&lt;&gt;"",L338*J338,IF(K338&lt;&gt;"",L338*K338,"")),"")</f>
        <v/>
      </c>
    </row>
    <row r="339" ht="30" customHeight="1">
      <c r="A339" s="100" t="inlineStr">
        <is>
          <t>§6.1.3</t>
        </is>
      </c>
      <c r="B339" s="68" t="inlineStr">
        <is>
          <t>Hanteringsavgifter för avfall inlämnat på återvinningscentral</t>
        </is>
      </c>
      <c r="C339" s="68" t="inlineStr">
        <is>
          <t>Alkaliska flytande avfall</t>
        </is>
      </c>
      <c r="D339" s="68" t="inlineStr">
        <is>
          <t>200129*</t>
        </is>
      </c>
      <c r="E339" s="68" t="inlineStr">
        <is>
          <t>Kr/Kg</t>
        </is>
      </c>
      <c r="F339" s="106" t="n"/>
      <c r="G339" s="116">
        <f>IF($F339&lt;&gt;"",$F339,IFERROR(_xlfn.XLOOKUP(ROW(),Taxa_Saknas!$H:$H,Taxa_Saknas!$G:$G),""))</f>
        <v/>
      </c>
      <c r="H339" s="126">
        <f>IF($F339&lt;&gt;"",IFERROR(_xlfn.XLOOKUP($F339,Taxa_från_edp!$B:$B,Taxa_från_edp!C:C),""),"")</f>
        <v/>
      </c>
      <c r="I339" s="127">
        <f>IF($F339&lt;&gt;"",IFERROR(_xlfn.XLOOKUP($F339,Taxa_från_edp!$B:$B,Taxa_från_edp!G:G),""),"")</f>
        <v/>
      </c>
      <c r="J339" s="127">
        <f>IF($F339&lt;&gt;"",IFERROR(_xlfn.XLOOKUP($F339,Taxa_från_edp!$B:$B,Taxa_från_edp!K:K),""),"")</f>
        <v/>
      </c>
      <c r="K339" s="145" t="n"/>
      <c r="L339" s="146" t="n"/>
      <c r="M339" s="147">
        <f>IFERROR(IF(J339&lt;&gt;"",J339*1.25,IF(K339&lt;&gt;"",K339*1.25,"")),"")</f>
        <v/>
      </c>
      <c r="N339" s="148">
        <f>IFERROR(IF(J339&lt;&gt;"",L339*J339,IF(K339&lt;&gt;"",L339*K339,"")),"")</f>
        <v/>
      </c>
    </row>
    <row r="340" ht="30" customHeight="1">
      <c r="A340" s="100" t="inlineStr">
        <is>
          <t>§6.1.3</t>
        </is>
      </c>
      <c r="B340" s="68" t="inlineStr">
        <is>
          <t>Hanteringsavgifter för avfall inlämnat på återvinningscentral</t>
        </is>
      </c>
      <c r="C340" s="68" t="inlineStr">
        <is>
          <t>Cytotoxiska läkemedel, cytostat</t>
        </is>
      </c>
      <c r="D340" s="68" t="inlineStr">
        <is>
          <t>200131*</t>
        </is>
      </c>
      <c r="E340" s="68" t="inlineStr">
        <is>
          <t>Kr/Kg</t>
        </is>
      </c>
      <c r="F340" s="106" t="n"/>
      <c r="G340" s="116">
        <f>IF($F340&lt;&gt;"",$F340,IFERROR(_xlfn.XLOOKUP(ROW(),Taxa_Saknas!$H:$H,Taxa_Saknas!$G:$G),""))</f>
        <v/>
      </c>
      <c r="H340" s="126">
        <f>IF($F340&lt;&gt;"",IFERROR(_xlfn.XLOOKUP($F340,Taxa_från_edp!$B:$B,Taxa_från_edp!C:C),""),"")</f>
        <v/>
      </c>
      <c r="I340" s="127">
        <f>IF($F340&lt;&gt;"",IFERROR(_xlfn.XLOOKUP($F340,Taxa_från_edp!$B:$B,Taxa_från_edp!G:G),""),"")</f>
        <v/>
      </c>
      <c r="J340" s="127">
        <f>IF($F340&lt;&gt;"",IFERROR(_xlfn.XLOOKUP($F340,Taxa_från_edp!$B:$B,Taxa_från_edp!K:K),""),"")</f>
        <v/>
      </c>
      <c r="K340" s="145" t="n"/>
      <c r="L340" s="146" t="n"/>
      <c r="M340" s="147">
        <f>IFERROR(IF(J340&lt;&gt;"",J340*1.25,IF(K340&lt;&gt;"",K340*1.25,"")),"")</f>
        <v/>
      </c>
      <c r="N340" s="148">
        <f>IFERROR(IF(J340&lt;&gt;"",L340*J340,IF(K340&lt;&gt;"",L340*K340,"")),"")</f>
        <v/>
      </c>
    </row>
    <row r="341" ht="30" customHeight="1">
      <c r="A341" s="100" t="inlineStr">
        <is>
          <t>§6.1.3</t>
        </is>
      </c>
      <c r="B341" s="68" t="inlineStr">
        <is>
          <t>Hanteringsavgifter för avfall inlämnat på återvinningscentral</t>
        </is>
      </c>
      <c r="C341" s="68" t="inlineStr">
        <is>
          <t>Rökdetektor med andra isotoper</t>
        </is>
      </c>
      <c r="D341" s="68" t="inlineStr">
        <is>
          <t>200135*</t>
        </is>
      </c>
      <c r="E341" s="68" t="inlineStr">
        <is>
          <t>Kr/Kg</t>
        </is>
      </c>
      <c r="F341" s="106" t="n"/>
      <c r="G341" s="116">
        <f>IF($F341&lt;&gt;"",$F341,IFERROR(_xlfn.XLOOKUP(ROW(),Taxa_Saknas!$H:$H,Taxa_Saknas!$G:$G),""))</f>
        <v/>
      </c>
      <c r="H341" s="126">
        <f>IF($F341&lt;&gt;"",IFERROR(_xlfn.XLOOKUP($F341,Taxa_från_edp!$B:$B,Taxa_från_edp!C:C),""),"")</f>
        <v/>
      </c>
      <c r="I341" s="127">
        <f>IF($F341&lt;&gt;"",IFERROR(_xlfn.XLOOKUP($F341,Taxa_från_edp!$B:$B,Taxa_från_edp!G:G),""),"")</f>
        <v/>
      </c>
      <c r="J341" s="127">
        <f>IF($F341&lt;&gt;"",IFERROR(_xlfn.XLOOKUP($F341,Taxa_från_edp!$B:$B,Taxa_från_edp!K:K),""),"")</f>
        <v/>
      </c>
      <c r="K341" s="145" t="n"/>
      <c r="L341" s="146" t="n"/>
      <c r="M341" s="147">
        <f>IFERROR(IF(J341&lt;&gt;"",J341*1.25,IF(K341&lt;&gt;"",K341*1.25,"")),"")</f>
        <v/>
      </c>
      <c r="N341" s="148">
        <f>IFERROR(IF(J341&lt;&gt;"",L341*J341,IF(K341&lt;&gt;"",L341*K341,"")),"")</f>
        <v/>
      </c>
    </row>
    <row r="342" ht="30" customHeight="1">
      <c r="A342" s="100" t="inlineStr">
        <is>
          <t>§6.1.3</t>
        </is>
      </c>
      <c r="B342" s="68" t="inlineStr">
        <is>
          <t>Hanteringsavgifter för avfall inlämnat på återvinningscentral</t>
        </is>
      </c>
      <c r="C342" s="68" t="inlineStr">
        <is>
          <t>Rökdetektor med Am 241</t>
        </is>
      </c>
      <c r="D342" s="68" t="inlineStr">
        <is>
          <t>200135*</t>
        </is>
      </c>
      <c r="E342" s="68" t="inlineStr">
        <is>
          <t>Kr/Kg</t>
        </is>
      </c>
      <c r="F342" s="106" t="n"/>
      <c r="G342" s="116">
        <f>IF($F342&lt;&gt;"",$F342,IFERROR(_xlfn.XLOOKUP(ROW(),Taxa_Saknas!$H:$H,Taxa_Saknas!$G:$G),""))</f>
        <v/>
      </c>
      <c r="H342" s="126">
        <f>IF($F342&lt;&gt;"",IFERROR(_xlfn.XLOOKUP($F342,Taxa_från_edp!$B:$B,Taxa_från_edp!C:C),""),"")</f>
        <v/>
      </c>
      <c r="I342" s="127">
        <f>IF($F342&lt;&gt;"",IFERROR(_xlfn.XLOOKUP($F342,Taxa_från_edp!$B:$B,Taxa_från_edp!G:G),""),"")</f>
        <v/>
      </c>
      <c r="J342" s="127">
        <f>IF($F342&lt;&gt;"",IFERROR(_xlfn.XLOOKUP($F342,Taxa_från_edp!$B:$B,Taxa_från_edp!K:K),""),"")</f>
        <v/>
      </c>
      <c r="K342" s="145" t="n"/>
      <c r="L342" s="146" t="n"/>
      <c r="M342" s="147">
        <f>IFERROR(IF(J342&lt;&gt;"",J342*1.25,IF(K342&lt;&gt;"",K342*1.25,"")),"")</f>
        <v/>
      </c>
      <c r="N342" s="148">
        <f>IFERROR(IF(J342&lt;&gt;"",L342*J342,IF(K342&lt;&gt;"",L342*K342,"")),"")</f>
        <v/>
      </c>
    </row>
    <row r="343" ht="21.95" customHeight="1">
      <c r="A343" s="101" t="inlineStr">
        <is>
          <t>§6.1.4 Tillägg för el-avfall</t>
        </is>
      </c>
      <c r="B343" s="84" t="n"/>
      <c r="C343" s="84" t="n"/>
      <c r="D343" s="84" t="n"/>
      <c r="E343" s="85" t="n"/>
      <c r="F343" s="114" t="n"/>
      <c r="G343" s="122">
        <f>IF($F343&lt;&gt;"",$F343,IFERROR(_xlfn.XLOOKUP(ROW(),Taxa_Saknas!$H:$H,Taxa_Saknas!$G:$G),""))</f>
        <v/>
      </c>
      <c r="H343" s="122">
        <f>IF($F343&lt;&gt;"",IFERROR(_xlfn.XLOOKUP($F343,Taxa_från_edp!$B:$B,Taxa_från_edp!C:C),""),"")</f>
        <v/>
      </c>
      <c r="I343" s="149">
        <f>IF($F343&lt;&gt;"",IFERROR(_xlfn.XLOOKUP($F343,Taxa_från_edp!$B:$B,Taxa_från_edp!G:G),""),"")</f>
        <v/>
      </c>
      <c r="J343" s="149">
        <f>IF($F343&lt;&gt;"",IFERROR(_xlfn.XLOOKUP($F343,Taxa_från_edp!$B:$B,Taxa_från_edp!K:K),""),"")</f>
        <v/>
      </c>
      <c r="K343" s="149" t="n"/>
      <c r="L343" s="149" t="n"/>
      <c r="M343" s="121">
        <f>IFERROR(IF(J343&lt;&gt;"",J343*1.25,IF(K343&lt;&gt;"",K343*1.25,"")),"")</f>
        <v/>
      </c>
      <c r="N343" s="144">
        <f>IFERROR(IF(J343&lt;&gt;"",L343*J343,IF(K343&lt;&gt;"",L343*K343,"")),"")</f>
        <v/>
      </c>
    </row>
    <row r="344" ht="30" customHeight="1">
      <c r="A344" s="100" t="inlineStr">
        <is>
          <t>§6.1.4</t>
        </is>
      </c>
      <c r="B344" s="68" t="inlineStr">
        <is>
          <t>Hanteringsavgifter för avfall inlämnat på återvinningscentral</t>
        </is>
      </c>
      <c r="C344" s="68" t="inlineStr">
        <is>
          <t>Batterier stav, pencell</t>
        </is>
      </c>
      <c r="D344" s="68" t="inlineStr">
        <is>
          <t>200133*</t>
        </is>
      </c>
      <c r="E344" s="68" t="inlineStr">
        <is>
          <t>Kr/Kg</t>
        </is>
      </c>
      <c r="F344" s="106" t="n"/>
      <c r="G344" s="116">
        <f>IF($F344&lt;&gt;"",$F344,IFERROR(_xlfn.XLOOKUP(ROW(),Taxa_Saknas!$H:$H,Taxa_Saknas!$G:$G),""))</f>
        <v/>
      </c>
      <c r="H344" s="126">
        <f>IF($F344&lt;&gt;"",IFERROR(_xlfn.XLOOKUP($F344,Taxa_från_edp!$B:$B,Taxa_från_edp!C:C),""),"")</f>
        <v/>
      </c>
      <c r="I344" s="127">
        <f>IF($F344&lt;&gt;"",IFERROR(_xlfn.XLOOKUP($F344,Taxa_från_edp!$B:$B,Taxa_från_edp!G:G),""),"")</f>
        <v/>
      </c>
      <c r="J344" s="127">
        <f>IF($F344&lt;&gt;"",IFERROR(_xlfn.XLOOKUP($F344,Taxa_från_edp!$B:$B,Taxa_från_edp!K:K),""),"")</f>
        <v/>
      </c>
      <c r="K344" s="145" t="n"/>
      <c r="L344" s="146" t="n"/>
      <c r="M344" s="147">
        <f>IFERROR(IF(J344&lt;&gt;"",J344*1.25,IF(K344&lt;&gt;"",K344*1.25,"")),"")</f>
        <v/>
      </c>
      <c r="N344" s="148">
        <f>IFERROR(IF(J344&lt;&gt;"",L344*J344,IF(K344&lt;&gt;"",L344*K344,"")),"")</f>
        <v/>
      </c>
    </row>
    <row r="345" ht="30" customHeight="1">
      <c r="A345" s="100" t="inlineStr">
        <is>
          <t>§6.1.4</t>
        </is>
      </c>
      <c r="B345" s="68" t="inlineStr">
        <is>
          <t>Hanteringsavgifter för avfall inlämnat på återvinningscentral</t>
        </is>
      </c>
      <c r="C345" s="68" t="inlineStr">
        <is>
          <t>Batterier lithium</t>
        </is>
      </c>
      <c r="D345" s="68" t="inlineStr">
        <is>
          <t>200134*</t>
        </is>
      </c>
      <c r="E345" s="68" t="inlineStr">
        <is>
          <t>Kr/Kg</t>
        </is>
      </c>
      <c r="F345" s="106" t="n"/>
      <c r="G345" s="116">
        <f>IF($F345&lt;&gt;"",$F345,IFERROR(_xlfn.XLOOKUP(ROW(),Taxa_Saknas!$H:$H,Taxa_Saknas!$G:$G),""))</f>
        <v/>
      </c>
      <c r="H345" s="126">
        <f>IF($F345&lt;&gt;"",IFERROR(_xlfn.XLOOKUP($F345,Taxa_från_edp!$B:$B,Taxa_från_edp!C:C),""),"")</f>
        <v/>
      </c>
      <c r="I345" s="127">
        <f>IF($F345&lt;&gt;"",IFERROR(_xlfn.XLOOKUP($F345,Taxa_från_edp!$B:$B,Taxa_från_edp!G:G),""),"")</f>
        <v/>
      </c>
      <c r="J345" s="127">
        <f>IF($F345&lt;&gt;"",IFERROR(_xlfn.XLOOKUP($F345,Taxa_från_edp!$B:$B,Taxa_från_edp!K:K),""),"")</f>
        <v/>
      </c>
      <c r="K345" s="145" t="n"/>
      <c r="L345" s="146" t="n"/>
      <c r="M345" s="147">
        <f>IFERROR(IF(J345&lt;&gt;"",J345*1.25,IF(K345&lt;&gt;"",K345*1.25,"")),"")</f>
        <v/>
      </c>
      <c r="N345" s="148">
        <f>IFERROR(IF(J345&lt;&gt;"",L345*J345,IF(K345&lt;&gt;"",L345*K345,"")),"")</f>
        <v/>
      </c>
    </row>
    <row r="346" ht="30" customHeight="1">
      <c r="A346" s="100" t="inlineStr">
        <is>
          <t>§6.1.4</t>
        </is>
      </c>
      <c r="B346" s="68" t="inlineStr">
        <is>
          <t>Hanteringsavgifter för avfall inlämnat på återvinningscentral</t>
        </is>
      </c>
      <c r="C346" s="68" t="inlineStr">
        <is>
          <t>Bil-, mcbatteri med bly</t>
        </is>
      </c>
      <c r="D346" s="68" t="inlineStr">
        <is>
          <t>160601*</t>
        </is>
      </c>
      <c r="E346" s="100" t="inlineStr">
        <is>
          <t>Kr/St</t>
        </is>
      </c>
      <c r="F346" s="106" t="n"/>
      <c r="G346" s="116">
        <f>IF($F346&lt;&gt;"",$F346,IFERROR(_xlfn.XLOOKUP(ROW(),Taxa_Saknas!$H:$H,Taxa_Saknas!$G:$G),""))</f>
        <v/>
      </c>
      <c r="H346" s="126">
        <f>IF($F346&lt;&gt;"",IFERROR(_xlfn.XLOOKUP($F346,Taxa_från_edp!$B:$B,Taxa_från_edp!C:C),""),"")</f>
        <v/>
      </c>
      <c r="I346" s="127">
        <f>IF($F346&lt;&gt;"",IFERROR(_xlfn.XLOOKUP($F346,Taxa_från_edp!$B:$B,Taxa_från_edp!G:G),""),"")</f>
        <v/>
      </c>
      <c r="J346" s="127">
        <f>IF($F346&lt;&gt;"",IFERROR(_xlfn.XLOOKUP($F346,Taxa_från_edp!$B:$B,Taxa_från_edp!K:K),""),"")</f>
        <v/>
      </c>
      <c r="K346" s="145" t="n"/>
      <c r="L346" s="146" t="n"/>
      <c r="M346" s="147">
        <f>IFERROR(IF(J346&lt;&gt;"",J346*1.25,IF(K346&lt;&gt;"",K346*1.25,"")),"")</f>
        <v/>
      </c>
      <c r="N346" s="148">
        <f>IFERROR(IF(J346&lt;&gt;"",L346*J346,IF(K346&lt;&gt;"",L346*K346,"")),"")</f>
        <v/>
      </c>
    </row>
    <row r="347" ht="30" customHeight="1">
      <c r="A347" s="100" t="inlineStr">
        <is>
          <t>§6.1.4</t>
        </is>
      </c>
      <c r="B347" s="68" t="inlineStr">
        <is>
          <t>Hanteringsavgifter för avfall inlämnat på återvinningscentral</t>
        </is>
      </c>
      <c r="C347" s="68" t="inlineStr">
        <is>
          <t>Glödlampor</t>
        </is>
      </c>
      <c r="D347" s="68" t="inlineStr">
        <is>
          <t>200136*</t>
        </is>
      </c>
      <c r="E347" s="68" t="inlineStr">
        <is>
          <t>Kr/Kg</t>
        </is>
      </c>
      <c r="F347" s="106" t="n"/>
      <c r="G347" s="116">
        <f>IF($F347&lt;&gt;"",$F347,IFERROR(_xlfn.XLOOKUP(ROW(),Taxa_Saknas!$H:$H,Taxa_Saknas!$G:$G),""))</f>
        <v/>
      </c>
      <c r="H347" s="126">
        <f>IF($F347&lt;&gt;"",IFERROR(_xlfn.XLOOKUP($F347,Taxa_från_edp!$B:$B,Taxa_från_edp!C:C),""),"")</f>
        <v/>
      </c>
      <c r="I347" s="127">
        <f>IF($F347&lt;&gt;"",IFERROR(_xlfn.XLOOKUP($F347,Taxa_från_edp!$B:$B,Taxa_från_edp!G:G),""),"")</f>
        <v/>
      </c>
      <c r="J347" s="127">
        <f>IF($F347&lt;&gt;"",IFERROR(_xlfn.XLOOKUP($F347,Taxa_från_edp!$B:$B,Taxa_från_edp!K:K),""),"")</f>
        <v/>
      </c>
      <c r="K347" s="145" t="n"/>
      <c r="L347" s="146" t="n"/>
      <c r="M347" s="147">
        <f>IFERROR(IF(J347&lt;&gt;"",J347*1.25,IF(K347&lt;&gt;"",K347*1.25,"")),"")</f>
        <v/>
      </c>
      <c r="N347" s="148">
        <f>IFERROR(IF(J347&lt;&gt;"",L347*J347,IF(K347&lt;&gt;"",L347*K347,"")),"")</f>
        <v/>
      </c>
    </row>
    <row r="348" ht="30" customHeight="1">
      <c r="A348" s="100" t="inlineStr">
        <is>
          <t>§6.1.4</t>
        </is>
      </c>
      <c r="B348" s="68" t="inlineStr">
        <is>
          <t>Hanteringsavgifter för avfall inlämnat på återvinningscentral</t>
        </is>
      </c>
      <c r="C348" s="68" t="inlineStr">
        <is>
          <t>Lysrör</t>
        </is>
      </c>
      <c r="D348" s="68" t="inlineStr">
        <is>
          <t>200121*</t>
        </is>
      </c>
      <c r="E348" s="68" t="inlineStr">
        <is>
          <t>Kr/Kg</t>
        </is>
      </c>
      <c r="F348" s="106" t="n"/>
      <c r="G348" s="116">
        <f>IF($F348&lt;&gt;"",$F348,IFERROR(_xlfn.XLOOKUP(ROW(),Taxa_Saknas!$H:$H,Taxa_Saknas!$G:$G),""))</f>
        <v/>
      </c>
      <c r="H348" s="126">
        <f>IF($F348&lt;&gt;"",IFERROR(_xlfn.XLOOKUP($F348,Taxa_från_edp!$B:$B,Taxa_från_edp!C:C),""),"")</f>
        <v/>
      </c>
      <c r="I348" s="127">
        <f>IF($F348&lt;&gt;"",IFERROR(_xlfn.XLOOKUP($F348,Taxa_från_edp!$B:$B,Taxa_från_edp!G:G),""),"")</f>
        <v/>
      </c>
      <c r="J348" s="127">
        <f>IF($F348&lt;&gt;"",IFERROR(_xlfn.XLOOKUP($F348,Taxa_från_edp!$B:$B,Taxa_från_edp!K:K),""),"")</f>
        <v/>
      </c>
      <c r="K348" s="145" t="n"/>
      <c r="L348" s="146" t="n"/>
      <c r="M348" s="147">
        <f>IFERROR(IF(J348&lt;&gt;"",J348*1.25,IF(K348&lt;&gt;"",K348*1.25,"")),"")</f>
        <v/>
      </c>
      <c r="N348" s="148">
        <f>IFERROR(IF(J348&lt;&gt;"",L348*J348,IF(K348&lt;&gt;"",L348*K348,"")),"")</f>
        <v/>
      </c>
    </row>
    <row r="349" ht="30" customHeight="1">
      <c r="A349" s="100" t="inlineStr">
        <is>
          <t>§6.1.4</t>
        </is>
      </c>
      <c r="B349" s="68" t="inlineStr">
        <is>
          <t>Hanteringsavgifter för avfall inlämnat på återvinningscentral</t>
        </is>
      </c>
      <c r="C349" s="68" t="inlineStr">
        <is>
          <t xml:space="preserve">Elavfall, små elektronik </t>
        </is>
      </c>
      <c r="D349" s="68" t="n">
        <v>200136</v>
      </c>
      <c r="E349" s="68" t="inlineStr">
        <is>
          <t>Kr/Kg</t>
        </is>
      </c>
      <c r="F349" s="106" t="n"/>
      <c r="G349" s="116">
        <f>IF($F349&lt;&gt;"",$F349,IFERROR(_xlfn.XLOOKUP(ROW(),Taxa_Saknas!$H:$H,Taxa_Saknas!$G:$G),""))</f>
        <v/>
      </c>
      <c r="H349" s="126">
        <f>IF($F349&lt;&gt;"",IFERROR(_xlfn.XLOOKUP($F349,Taxa_från_edp!$B:$B,Taxa_från_edp!C:C),""),"")</f>
        <v/>
      </c>
      <c r="I349" s="127">
        <f>IF($F349&lt;&gt;"",IFERROR(_xlfn.XLOOKUP($F349,Taxa_från_edp!$B:$B,Taxa_från_edp!G:G),""),"")</f>
        <v/>
      </c>
      <c r="J349" s="127">
        <f>IF($F349&lt;&gt;"",IFERROR(_xlfn.XLOOKUP($F349,Taxa_från_edp!$B:$B,Taxa_från_edp!K:K),""),"")</f>
        <v/>
      </c>
      <c r="K349" s="145" t="n"/>
      <c r="L349" s="146" t="n"/>
      <c r="M349" s="147">
        <f>IFERROR(IF(J349&lt;&gt;"",J349*1.25,IF(K349&lt;&gt;"",K349*1.25,"")),"")</f>
        <v/>
      </c>
      <c r="N349" s="148">
        <f>IFERROR(IF(J349&lt;&gt;"",L349*J349,IF(K349&lt;&gt;"",L349*K349,"")),"")</f>
        <v/>
      </c>
    </row>
    <row r="350" ht="30" customHeight="1">
      <c r="A350" s="100" t="inlineStr">
        <is>
          <t>§6.1.4</t>
        </is>
      </c>
      <c r="B350" s="68" t="inlineStr">
        <is>
          <t>Hanteringsavgifter för avfall inlämnat på återvinningscentral</t>
        </is>
      </c>
      <c r="C350" s="68" t="inlineStr">
        <is>
          <t>El-avfall fast installation</t>
        </is>
      </c>
      <c r="D350" s="68" t="n">
        <v>200136</v>
      </c>
      <c r="E350" s="68" t="inlineStr">
        <is>
          <t>Kr/Kg</t>
        </is>
      </c>
      <c r="F350" s="106" t="n"/>
      <c r="G350" s="116">
        <f>IF($F350&lt;&gt;"",$F350,IFERROR(_xlfn.XLOOKUP(ROW(),Taxa_Saknas!$H:$H,Taxa_Saknas!$G:$G),""))</f>
        <v/>
      </c>
      <c r="H350" s="126">
        <f>IF($F350&lt;&gt;"",IFERROR(_xlfn.XLOOKUP($F350,Taxa_från_edp!$B:$B,Taxa_från_edp!C:C),""),"")</f>
        <v/>
      </c>
      <c r="I350" s="127">
        <f>IF($F350&lt;&gt;"",IFERROR(_xlfn.XLOOKUP($F350,Taxa_från_edp!$B:$B,Taxa_från_edp!G:G),""),"")</f>
        <v/>
      </c>
      <c r="J350" s="127">
        <f>IF($F350&lt;&gt;"",IFERROR(_xlfn.XLOOKUP($F350,Taxa_från_edp!$B:$B,Taxa_från_edp!K:K),""),"")</f>
        <v/>
      </c>
      <c r="K350" s="145" t="n"/>
      <c r="L350" s="146" t="n"/>
      <c r="M350" s="147">
        <f>IFERROR(IF(J350&lt;&gt;"",J350*1.25,IF(K350&lt;&gt;"",K350*1.25,"")),"")</f>
        <v/>
      </c>
      <c r="N350" s="148">
        <f>IFERROR(IF(J350&lt;&gt;"",L350*J350,IF(K350&lt;&gt;"",L350*K350,"")),"")</f>
        <v/>
      </c>
    </row>
    <row r="351" ht="30" customHeight="1">
      <c r="A351" s="100" t="inlineStr">
        <is>
          <t>§6.1.4</t>
        </is>
      </c>
      <c r="B351" s="68" t="inlineStr">
        <is>
          <t>Hanteringsavgifter för avfall inlämnat på återvinningscentral</t>
        </is>
      </c>
      <c r="C351" s="68" t="inlineStr">
        <is>
          <t>El-avfall kabel</t>
        </is>
      </c>
      <c r="D351" s="68" t="n">
        <v>170411</v>
      </c>
      <c r="E351" s="68" t="inlineStr">
        <is>
          <t>Kr/Kg</t>
        </is>
      </c>
      <c r="F351" s="106" t="n"/>
      <c r="G351" s="116">
        <f>IF($F351&lt;&gt;"",$F351,IFERROR(_xlfn.XLOOKUP(ROW(),Taxa_Saknas!$H:$H,Taxa_Saknas!$G:$G),""))</f>
        <v/>
      </c>
      <c r="H351" s="126">
        <f>IF($F351&lt;&gt;"",IFERROR(_xlfn.XLOOKUP($F351,Taxa_från_edp!$B:$B,Taxa_från_edp!C:C),""),"")</f>
        <v/>
      </c>
      <c r="I351" s="127">
        <f>IF($F351&lt;&gt;"",IFERROR(_xlfn.XLOOKUP($F351,Taxa_från_edp!$B:$B,Taxa_från_edp!G:G),""),"")</f>
        <v/>
      </c>
      <c r="J351" s="127">
        <f>IF($F351&lt;&gt;"",IFERROR(_xlfn.XLOOKUP($F351,Taxa_från_edp!$B:$B,Taxa_från_edp!K:K),""),"")</f>
        <v/>
      </c>
      <c r="K351" s="145" t="n"/>
      <c r="L351" s="146" t="n"/>
      <c r="M351" s="147">
        <f>IFERROR(IF(J351&lt;&gt;"",J351*1.25,IF(K351&lt;&gt;"",K351*1.25,"")),"")</f>
        <v/>
      </c>
      <c r="N351" s="148">
        <f>IFERROR(IF(J351&lt;&gt;"",L351*J351,IF(K351&lt;&gt;"",L351*K351,"")),"")</f>
        <v/>
      </c>
    </row>
    <row r="352" ht="30" customHeight="1">
      <c r="A352" s="100" t="inlineStr">
        <is>
          <t>§6.1.4</t>
        </is>
      </c>
      <c r="B352" s="68" t="inlineStr">
        <is>
          <t>Hanteringsavgifter för avfall inlämnat på återvinningscentral</t>
        </is>
      </c>
      <c r="C352" s="68" t="inlineStr">
        <is>
          <t>Toner, färgpatron med elektronik</t>
        </is>
      </c>
      <c r="D352" s="68" t="inlineStr">
        <is>
          <t>080307*</t>
        </is>
      </c>
      <c r="E352" s="68" t="inlineStr">
        <is>
          <t>Kr/Kg</t>
        </is>
      </c>
      <c r="F352" s="106" t="n"/>
      <c r="G352" s="116">
        <f>IF($F352&lt;&gt;"",$F352,IFERROR(_xlfn.XLOOKUP(ROW(),Taxa_Saknas!$H:$H,Taxa_Saknas!$G:$G),""))</f>
        <v/>
      </c>
      <c r="H352" s="126">
        <f>IF($F352&lt;&gt;"",IFERROR(_xlfn.XLOOKUP($F352,Taxa_från_edp!$B:$B,Taxa_från_edp!C:C),""),"")</f>
        <v/>
      </c>
      <c r="I352" s="127">
        <f>IF($F352&lt;&gt;"",IFERROR(_xlfn.XLOOKUP($F352,Taxa_från_edp!$B:$B,Taxa_från_edp!G:G),""),"")</f>
        <v/>
      </c>
      <c r="J352" s="127">
        <f>IF($F352&lt;&gt;"",IFERROR(_xlfn.XLOOKUP($F352,Taxa_från_edp!$B:$B,Taxa_från_edp!K:K),""),"")</f>
        <v/>
      </c>
      <c r="K352" s="145" t="n"/>
      <c r="L352" s="146" t="n"/>
      <c r="M352" s="147">
        <f>IFERROR(IF(J352&lt;&gt;"",J352*1.25,IF(K352&lt;&gt;"",K352*1.25,"")),"")</f>
        <v/>
      </c>
      <c r="N352" s="148">
        <f>IFERROR(IF(J352&lt;&gt;"",L352*J352,IF(K352&lt;&gt;"",L352*K352,"")),"")</f>
        <v/>
      </c>
    </row>
    <row r="353" ht="30" customHeight="1">
      <c r="A353" s="100" t="inlineStr">
        <is>
          <t>§6.1.4</t>
        </is>
      </c>
      <c r="B353" s="68" t="inlineStr">
        <is>
          <t>Hanteringsavgifter för avfall inlämnat på återvinningscentral</t>
        </is>
      </c>
      <c r="C353" s="100" t="inlineStr">
        <is>
          <t>Toner, färgpatron utan elektronik</t>
        </is>
      </c>
      <c r="D353" s="100" t="inlineStr">
        <is>
          <t>Se farligt avfall</t>
        </is>
      </c>
      <c r="E353" s="100" t="inlineStr">
        <is>
          <t>Ej pris</t>
        </is>
      </c>
      <c r="F353" s="106" t="n"/>
      <c r="G353" s="116">
        <f>IF($F353&lt;&gt;"",$F353,IFERROR(_xlfn.XLOOKUP(ROW(),Taxa_Saknas!$H:$H,Taxa_Saknas!$G:$G),""))</f>
        <v/>
      </c>
      <c r="H353" s="126">
        <f>IF($F353&lt;&gt;"",IFERROR(_xlfn.XLOOKUP($F353,Taxa_från_edp!$B:$B,Taxa_från_edp!C:C),""),"")</f>
        <v/>
      </c>
      <c r="I353" s="127">
        <f>IF($F353&lt;&gt;"",IFERROR(_xlfn.XLOOKUP($F353,Taxa_från_edp!$B:$B,Taxa_från_edp!G:G),""),"")</f>
        <v/>
      </c>
      <c r="J353" s="127">
        <f>IF($F353&lt;&gt;"",IFERROR(_xlfn.XLOOKUP($F353,Taxa_från_edp!$B:$B,Taxa_från_edp!K:K),""),"")</f>
        <v/>
      </c>
      <c r="K353" s="145" t="n"/>
      <c r="L353" s="146" t="n"/>
      <c r="M353" s="147">
        <f>IFERROR(IF(J353&lt;&gt;"",J353*1.25,IF(K353&lt;&gt;"",K353*1.25,"")),"")</f>
        <v/>
      </c>
      <c r="N353" s="148">
        <f>IFERROR(IF(J353&lt;&gt;"",L353*J353,IF(K353&lt;&gt;"",L353*K353,"")),"")</f>
        <v/>
      </c>
    </row>
    <row r="354" ht="30" customHeight="1">
      <c r="A354" s="100" t="inlineStr">
        <is>
          <t>§6.1.4</t>
        </is>
      </c>
      <c r="B354" s="68" t="inlineStr">
        <is>
          <t>Hanteringsavgifter för avfall inlämnat på återvinningscentral</t>
        </is>
      </c>
      <c r="C354" s="68" t="inlineStr">
        <is>
          <t>Tv, radio, skärm, skrivare utan färgpatron</t>
        </is>
      </c>
      <c r="D354" s="68" t="n">
        <v>200135</v>
      </c>
      <c r="E354" s="68" t="inlineStr">
        <is>
          <t>Kr/Kg</t>
        </is>
      </c>
      <c r="F354" s="106" t="n"/>
      <c r="G354" s="116">
        <f>IF($F354&lt;&gt;"",$F354,IFERROR(_xlfn.XLOOKUP(ROW(),Taxa_Saknas!$H:$H,Taxa_Saknas!$G:$G),""))</f>
        <v/>
      </c>
      <c r="H354" s="126">
        <f>IF($F354&lt;&gt;"",IFERROR(_xlfn.XLOOKUP($F354,Taxa_från_edp!$B:$B,Taxa_från_edp!C:C),""),"")</f>
        <v/>
      </c>
      <c r="I354" s="127">
        <f>IF($F354&lt;&gt;"",IFERROR(_xlfn.XLOOKUP($F354,Taxa_från_edp!$B:$B,Taxa_från_edp!G:G),""),"")</f>
        <v/>
      </c>
      <c r="J354" s="127">
        <f>IF($F354&lt;&gt;"",IFERROR(_xlfn.XLOOKUP($F354,Taxa_från_edp!$B:$B,Taxa_från_edp!K:K),""),"")</f>
        <v/>
      </c>
      <c r="K354" s="145" t="n"/>
      <c r="L354" s="146" t="n"/>
      <c r="M354" s="147">
        <f>IFERROR(IF(J354&lt;&gt;"",J354*1.25,IF(K354&lt;&gt;"",K354*1.25,"")),"")</f>
        <v/>
      </c>
      <c r="N354" s="148">
        <f>IFERROR(IF(J354&lt;&gt;"",L354*J354,IF(K354&lt;&gt;"",L354*K354,"")),"")</f>
        <v/>
      </c>
    </row>
    <row r="355" ht="30" customHeight="1">
      <c r="A355" s="100" t="inlineStr">
        <is>
          <t>§6.1.4</t>
        </is>
      </c>
      <c r="B355" s="68" t="inlineStr">
        <is>
          <t>Hanteringsavgifter för avfall inlämnat på återvinningscentral</t>
        </is>
      </c>
      <c r="C355" s="68" t="inlineStr">
        <is>
          <t>Kyl-, frysskåp, -box</t>
        </is>
      </c>
      <c r="D355" s="68" t="inlineStr">
        <is>
          <t>200123*</t>
        </is>
      </c>
      <c r="E355" s="100" t="inlineStr">
        <is>
          <t>Kr/St</t>
        </is>
      </c>
      <c r="F355" s="106" t="n"/>
      <c r="G355" s="116">
        <f>IF($F355&lt;&gt;"",$F355,IFERROR(_xlfn.XLOOKUP(ROW(),Taxa_Saknas!$H:$H,Taxa_Saknas!$G:$G),""))</f>
        <v/>
      </c>
      <c r="H355" s="126">
        <f>IF($F355&lt;&gt;"",IFERROR(_xlfn.XLOOKUP($F355,Taxa_från_edp!$B:$B,Taxa_från_edp!C:C),""),"")</f>
        <v/>
      </c>
      <c r="I355" s="127">
        <f>IF($F355&lt;&gt;"",IFERROR(_xlfn.XLOOKUP($F355,Taxa_från_edp!$B:$B,Taxa_från_edp!G:G),""),"")</f>
        <v/>
      </c>
      <c r="J355" s="127">
        <f>IF($F355&lt;&gt;"",IFERROR(_xlfn.XLOOKUP($F355,Taxa_från_edp!$B:$B,Taxa_från_edp!K:K),""),"")</f>
        <v/>
      </c>
      <c r="K355" s="145" t="n"/>
      <c r="L355" s="146" t="n"/>
      <c r="M355" s="147">
        <f>IFERROR(IF(J355&lt;&gt;"",J355*1.25,IF(K355&lt;&gt;"",K355*1.25,"")),"")</f>
        <v/>
      </c>
      <c r="N355" s="148">
        <f>IFERROR(IF(J355&lt;&gt;"",L355*J355,IF(K355&lt;&gt;"",L355*K355,"")),"")</f>
        <v/>
      </c>
    </row>
    <row r="356" ht="30" customHeight="1">
      <c r="A356" s="100" t="inlineStr">
        <is>
          <t>§6.1.4</t>
        </is>
      </c>
      <c r="B356" s="68" t="inlineStr">
        <is>
          <t>Hanteringsavgifter för avfall inlämnat på återvinningscentral</t>
        </is>
      </c>
      <c r="C356" s="68" t="inlineStr">
        <is>
          <t>Kyl-, frysskåp, -box från verksamhet</t>
        </is>
      </c>
      <c r="D356" s="68" t="inlineStr">
        <is>
          <t>200123*</t>
        </is>
      </c>
      <c r="E356" s="68" t="inlineStr">
        <is>
          <t>Kr/Kg</t>
        </is>
      </c>
      <c r="F356" s="106" t="n"/>
      <c r="G356" s="116">
        <f>IF($F356&lt;&gt;"",$F356,IFERROR(_xlfn.XLOOKUP(ROW(),Taxa_Saknas!$H:$H,Taxa_Saknas!$G:$G),""))</f>
        <v/>
      </c>
      <c r="H356" s="126">
        <f>IF($F356&lt;&gt;"",IFERROR(_xlfn.XLOOKUP($F356,Taxa_från_edp!$B:$B,Taxa_från_edp!C:C),""),"")</f>
        <v/>
      </c>
      <c r="I356" s="127">
        <f>IF($F356&lt;&gt;"",IFERROR(_xlfn.XLOOKUP($F356,Taxa_från_edp!$B:$B,Taxa_från_edp!G:G),""),"")</f>
        <v/>
      </c>
      <c r="J356" s="127">
        <f>IF($F356&lt;&gt;"",IFERROR(_xlfn.XLOOKUP($F356,Taxa_från_edp!$B:$B,Taxa_från_edp!K:K),""),"")</f>
        <v/>
      </c>
      <c r="K356" s="145" t="n"/>
      <c r="L356" s="146" t="n"/>
      <c r="M356" s="147">
        <f>IFERROR(IF(J356&lt;&gt;"",J356*1.25,IF(K356&lt;&gt;"",K356*1.25,"")),"")</f>
        <v/>
      </c>
      <c r="N356" s="148">
        <f>IFERROR(IF(J356&lt;&gt;"",L356*J356,IF(K356&lt;&gt;"",L356*K356,"")),"")</f>
        <v/>
      </c>
    </row>
    <row r="357" ht="30" customHeight="1">
      <c r="A357" s="100" t="inlineStr">
        <is>
          <t>§6.1.4</t>
        </is>
      </c>
      <c r="B357" s="68" t="inlineStr">
        <is>
          <t>Hanteringsavgifter för avfall inlämnat på återvinningscentral</t>
        </is>
      </c>
      <c r="C357" s="68" t="inlineStr">
        <is>
          <t>Spis, tvätt-, diskmaskin</t>
        </is>
      </c>
      <c r="D357" s="68" t="inlineStr">
        <is>
          <t>200135*</t>
        </is>
      </c>
      <c r="E357" s="100" t="inlineStr">
        <is>
          <t>Kr/St</t>
        </is>
      </c>
      <c r="F357" s="106" t="n"/>
      <c r="G357" s="116">
        <f>IF($F357&lt;&gt;"",$F357,IFERROR(_xlfn.XLOOKUP(ROW(),Taxa_Saknas!$H:$H,Taxa_Saknas!$G:$G),""))</f>
        <v/>
      </c>
      <c r="H357" s="126">
        <f>IF($F357&lt;&gt;"",IFERROR(_xlfn.XLOOKUP($F357,Taxa_från_edp!$B:$B,Taxa_från_edp!C:C),""),"")</f>
        <v/>
      </c>
      <c r="I357" s="127">
        <f>IF($F357&lt;&gt;"",IFERROR(_xlfn.XLOOKUP($F357,Taxa_från_edp!$B:$B,Taxa_från_edp!G:G),""),"")</f>
        <v/>
      </c>
      <c r="J357" s="127">
        <f>IF($F357&lt;&gt;"",IFERROR(_xlfn.XLOOKUP($F357,Taxa_från_edp!$B:$B,Taxa_från_edp!K:K),""),"")</f>
        <v/>
      </c>
      <c r="K357" s="145" t="n"/>
      <c r="L357" s="146" t="n"/>
      <c r="M357" s="147">
        <f>IFERROR(IF(J357&lt;&gt;"",J357*1.25,IF(K357&lt;&gt;"",K357*1.25,"")),"")</f>
        <v/>
      </c>
      <c r="N357" s="148">
        <f>IFERROR(IF(J357&lt;&gt;"",L357*J357,IF(K357&lt;&gt;"",L357*K357,"")),"")</f>
        <v/>
      </c>
    </row>
    <row r="358">
      <c r="A358" s="100" t="inlineStr">
        <is>
          <t>§6.1.4</t>
        </is>
      </c>
      <c r="B358" s="68" t="inlineStr">
        <is>
          <t>Hanteringsavgifter för avfall inlämnat på återvinningscentral</t>
        </is>
      </c>
      <c r="C358" s="68" t="inlineStr">
        <is>
          <t>Spis, tvätt-, diskmaskin från verksamhet</t>
        </is>
      </c>
      <c r="D358" s="68" t="inlineStr">
        <is>
          <t>200135*</t>
        </is>
      </c>
      <c r="E358" s="68" t="inlineStr">
        <is>
          <t>Kr/Kg</t>
        </is>
      </c>
      <c r="F358" s="107" t="n"/>
      <c r="G358" s="117">
        <f>IF($F358&lt;&gt;"",$F358,IFERROR(_xlfn.XLOOKUP(ROW(),Taxa_Saknas!$H:$H,Taxa_Saknas!$G:$G),""))</f>
        <v/>
      </c>
      <c r="H358" s="128">
        <f>IF($F358&lt;&gt;"",IFERROR(_xlfn.XLOOKUP($F358,Taxa_från_edp!$B:$B,Taxa_från_edp!C:C),""),"")</f>
        <v/>
      </c>
      <c r="I358" s="129">
        <f>IF($F358&lt;&gt;"",IFERROR(_xlfn.XLOOKUP($F358,Taxa_från_edp!$B:$B,Taxa_från_edp!G:G),""),"")</f>
        <v/>
      </c>
      <c r="J358" s="129">
        <f>IF($F358&lt;&gt;"",IFERROR(_xlfn.XLOOKUP($F358,Taxa_från_edp!$B:$B,Taxa_från_edp!K:K),""),"")</f>
        <v/>
      </c>
      <c r="K358" s="150" t="n"/>
      <c r="L358" s="151" t="n"/>
      <c r="M358" s="147">
        <f>IFERROR(IF(J358&lt;&gt;"",J358*1.25,IF(K358&lt;&gt;"",K358*1.25,"")),"")</f>
        <v/>
      </c>
      <c r="N358" s="148">
        <f>IFERROR(IF(J358&lt;&gt;"",L358*J358,IF(K358&lt;&gt;"",L358*K358,"")),"")</f>
        <v/>
      </c>
    </row>
    <row r="359" ht="21.95" customHeight="1">
      <c r="A359" s="101" t="inlineStr">
        <is>
          <t>§6.1.5 Hyra av container</t>
        </is>
      </c>
      <c r="B359" s="84" t="n"/>
      <c r="C359" s="84" t="n"/>
      <c r="D359" s="84" t="n"/>
      <c r="E359" s="85" t="n"/>
      <c r="F359" s="114" t="n"/>
      <c r="G359" s="122">
        <f>IF($F359&lt;&gt;"",$F359,IFERROR(_xlfn.XLOOKUP(ROW(),Taxa_Saknas!$H:$H,Taxa_Saknas!$G:$G),""))</f>
        <v/>
      </c>
      <c r="H359" s="122">
        <f>IF($F359&lt;&gt;"",IFERROR(_xlfn.XLOOKUP($F359,Taxa_från_edp!$B:$B,Taxa_från_edp!C:C),""),"")</f>
        <v/>
      </c>
      <c r="I359" s="149">
        <f>IF($F359&lt;&gt;"",IFERROR(_xlfn.XLOOKUP($F359,Taxa_från_edp!$B:$B,Taxa_från_edp!G:G),""),"")</f>
        <v/>
      </c>
      <c r="J359" s="149">
        <f>IF($F359&lt;&gt;"",IFERROR(_xlfn.XLOOKUP($F359,Taxa_från_edp!$B:$B,Taxa_från_edp!K:K),""),"")</f>
        <v/>
      </c>
      <c r="K359" s="149" t="n"/>
      <c r="L359" s="149" t="n"/>
      <c r="M359" s="121">
        <f>IFERROR(IF(J359&lt;&gt;"",J359*1.25,IF(K359&lt;&gt;"",K359*1.25,"")),"")</f>
        <v/>
      </c>
      <c r="N359" s="144">
        <f>IFERROR(IF(J359&lt;&gt;"",L359*J359,IF(K359&lt;&gt;"",L359*K359,"")),"")</f>
        <v/>
      </c>
    </row>
    <row r="360">
      <c r="A360" s="100" t="inlineStr">
        <is>
          <t>§6.1.5</t>
        </is>
      </c>
      <c r="B360" s="68" t="inlineStr">
        <is>
          <t>Hyra av container</t>
        </is>
      </c>
      <c r="C360" s="68" t="inlineStr">
        <is>
          <t>Container 3 m3</t>
        </is>
      </c>
      <c r="D360" s="68" t="n"/>
      <c r="E360" s="68" t="inlineStr">
        <is>
          <t>st/dygn</t>
        </is>
      </c>
      <c r="F360" s="107" t="n"/>
      <c r="G360" s="117">
        <f>IF($F360&lt;&gt;"",$F360,IFERROR(_xlfn.XLOOKUP(ROW(),Taxa_Saknas!$H:$H,Taxa_Saknas!$G:$G),""))</f>
        <v/>
      </c>
      <c r="H360" s="128">
        <f>IF($F360&lt;&gt;"",IFERROR(_xlfn.XLOOKUP($F360,Taxa_från_edp!$B:$B,Taxa_från_edp!C:C),""),"")</f>
        <v/>
      </c>
      <c r="I360" s="129">
        <f>IF($F360&lt;&gt;"",IFERROR(_xlfn.XLOOKUP($F360,Taxa_från_edp!$B:$B,Taxa_från_edp!G:G),""),"")</f>
        <v/>
      </c>
      <c r="J360" s="129">
        <f>IF($F360&lt;&gt;"",IFERROR(_xlfn.XLOOKUP($F360,Taxa_från_edp!$B:$B,Taxa_från_edp!K:K),""),"")</f>
        <v/>
      </c>
      <c r="K360" s="150" t="n"/>
      <c r="L360" s="151" t="n"/>
      <c r="M360" s="147">
        <f>IFERROR(IF(J360&lt;&gt;"",J360*1.25,IF(K360&lt;&gt;"",K360*1.25,"")),"")</f>
        <v/>
      </c>
      <c r="N360" s="148">
        <f>IFERROR(IF(J360&lt;&gt;"",L360*J360,IF(K360&lt;&gt;"",L360*K360,"")),"")</f>
        <v/>
      </c>
    </row>
    <row r="361" ht="45" customHeight="1">
      <c r="A361" s="100" t="inlineStr">
        <is>
          <t>§6.1.5</t>
        </is>
      </c>
      <c r="B361" s="68" t="inlineStr">
        <is>
          <t>Hyra av container</t>
        </is>
      </c>
      <c r="C361" s="68" t="inlineStr">
        <is>
          <t>Container 5 m3</t>
        </is>
      </c>
      <c r="D361" s="68" t="n"/>
      <c r="E361" s="68" t="inlineStr">
        <is>
          <t>st/dygn</t>
        </is>
      </c>
      <c r="F361" s="107" t="n"/>
      <c r="G361" s="117">
        <f>IF($F361&lt;&gt;"",$F361,IFERROR(_xlfn.XLOOKUP(ROW(),Taxa_Saknas!$H:$H,Taxa_Saknas!$G:$G),""))</f>
        <v/>
      </c>
      <c r="H361" s="128">
        <f>IF($F361&lt;&gt;"",IFERROR(_xlfn.XLOOKUP($F361,Taxa_från_edp!$B:$B,Taxa_från_edp!C:C),""),"")</f>
        <v/>
      </c>
      <c r="I361" s="129">
        <f>IF($F361&lt;&gt;"",IFERROR(_xlfn.XLOOKUP($F361,Taxa_från_edp!$B:$B,Taxa_från_edp!G:G),""),"")</f>
        <v/>
      </c>
      <c r="J361" s="129">
        <f>IF($F361&lt;&gt;"",IFERROR(_xlfn.XLOOKUP($F361,Taxa_från_edp!$B:$B,Taxa_från_edp!K:K),""),"")</f>
        <v/>
      </c>
      <c r="K361" s="150" t="n"/>
      <c r="L361" s="151" t="n"/>
      <c r="M361" s="147">
        <f>IFERROR(IF(J361&lt;&gt;"",J361*1.25,IF(K361&lt;&gt;"",K361*1.25,"")),"")</f>
        <v/>
      </c>
      <c r="N361" s="148">
        <f>IFERROR(IF(J361&lt;&gt;"",L361*J361,IF(K361&lt;&gt;"",L361*K361,"")),"")</f>
        <v/>
      </c>
    </row>
    <row r="362">
      <c r="A362" s="100" t="inlineStr">
        <is>
          <t>§6.1.5</t>
        </is>
      </c>
      <c r="B362" s="68" t="inlineStr">
        <is>
          <t>Hyra av container</t>
        </is>
      </c>
      <c r="C362" s="68" t="inlineStr">
        <is>
          <t>Container 8 m3</t>
        </is>
      </c>
      <c r="D362" s="68" t="n"/>
      <c r="E362" s="68" t="inlineStr">
        <is>
          <t>st/dygn</t>
        </is>
      </c>
      <c r="F362" s="106" t="n"/>
      <c r="G362" s="116">
        <f>IF($F362&lt;&gt;"",$F362,IFERROR(_xlfn.XLOOKUP(ROW(),Taxa_Saknas!$H:$H,Taxa_Saknas!$G:$G),""))</f>
        <v/>
      </c>
      <c r="H362" s="126">
        <f>IF($F362&lt;&gt;"",IFERROR(_xlfn.XLOOKUP($F362,Taxa_från_edp!$B:$B,Taxa_från_edp!C:C),""),"")</f>
        <v/>
      </c>
      <c r="I362" s="127">
        <f>IF($F362&lt;&gt;"",IFERROR(_xlfn.XLOOKUP($F362,Taxa_från_edp!$B:$B,Taxa_från_edp!G:G),""),"")</f>
        <v/>
      </c>
      <c r="J362" s="127">
        <f>IF($F362&lt;&gt;"",IFERROR(_xlfn.XLOOKUP($F362,Taxa_från_edp!$B:$B,Taxa_från_edp!K:K),""),"")</f>
        <v/>
      </c>
      <c r="K362" s="145" t="n"/>
      <c r="L362" s="146" t="n"/>
      <c r="M362" s="147">
        <f>IFERROR(IF(J362&lt;&gt;"",J362*1.25,IF(K362&lt;&gt;"",K362*1.25,"")),"")</f>
        <v/>
      </c>
      <c r="N362" s="148">
        <f>IFERROR(IF(J362&lt;&gt;"",L362*J362,IF(K362&lt;&gt;"",L362*K362,"")),"")</f>
        <v/>
      </c>
    </row>
    <row r="363">
      <c r="A363" s="100" t="inlineStr">
        <is>
          <t>§6.1.5</t>
        </is>
      </c>
      <c r="B363" s="68" t="inlineStr">
        <is>
          <t>Hyra av container</t>
        </is>
      </c>
      <c r="C363" s="100" t="inlineStr">
        <is>
          <t>Omklassning av felsorterad container</t>
        </is>
      </c>
      <c r="D363" s="68" t="n"/>
      <c r="E363" s="70" t="inlineStr">
        <is>
          <t>st/tillfälle</t>
        </is>
      </c>
      <c r="F363" s="106" t="n"/>
      <c r="G363" s="116">
        <f>IF($F363&lt;&gt;"",$F363,IFERROR(_xlfn.XLOOKUP(ROW(),Taxa_Saknas!$H:$H,Taxa_Saknas!$G:$G),""))</f>
        <v/>
      </c>
      <c r="H363" s="126">
        <f>IF($F363&lt;&gt;"",IFERROR(_xlfn.XLOOKUP($F363,Taxa_från_edp!$B:$B,Taxa_från_edp!C:C),""),"")</f>
        <v/>
      </c>
      <c r="I363" s="127">
        <f>IF($F363&lt;&gt;"",IFERROR(_xlfn.XLOOKUP($F363,Taxa_från_edp!$B:$B,Taxa_från_edp!G:G),""),"")</f>
        <v/>
      </c>
      <c r="J363" s="127">
        <f>IF($F363&lt;&gt;"",IFERROR(_xlfn.XLOOKUP($F363,Taxa_från_edp!$B:$B,Taxa_från_edp!K:K),""),"")</f>
        <v/>
      </c>
      <c r="K363" s="145" t="n"/>
      <c r="L363" s="146" t="n"/>
      <c r="M363" s="147">
        <f>IFERROR(IF(J363&lt;&gt;"",J363*1.25,IF(K363&lt;&gt;"",K363*1.25,"")),"")</f>
        <v/>
      </c>
      <c r="N363" s="148">
        <f>IFERROR(IF(J363&lt;&gt;"",L363*J363,IF(K363&lt;&gt;"",L363*K363,"")),"")</f>
        <v/>
      </c>
    </row>
    <row r="364" ht="21.95" customHeight="1">
      <c r="A364" s="102" t="inlineStr">
        <is>
          <t>§6.1.6 Tillägg och avgifter</t>
        </is>
      </c>
      <c r="B364" s="84" t="n"/>
      <c r="C364" s="84" t="n"/>
      <c r="D364" s="84" t="n"/>
      <c r="E364" s="85" t="n"/>
      <c r="F364" s="113" t="n"/>
      <c r="G364" s="121">
        <f>IF($F364&lt;&gt;"",$F364,IFERROR(_xlfn.XLOOKUP(ROW(),Taxa_Saknas!$H:$H,Taxa_Saknas!$G:$G),""))</f>
        <v/>
      </c>
      <c r="H364" s="121">
        <f>IF($F364&lt;&gt;"",IFERROR(_xlfn.XLOOKUP($F364,Taxa_från_edp!$B:$B,Taxa_från_edp!C:C),""),"")</f>
        <v/>
      </c>
      <c r="I364" s="121">
        <f>IF($F364&lt;&gt;"",IFERROR(_xlfn.XLOOKUP($F364,Taxa_från_edp!$B:$B,Taxa_från_edp!G:G),""),"")</f>
        <v/>
      </c>
      <c r="J364" s="121">
        <f>IF($F364&lt;&gt;"",IFERROR(_xlfn.XLOOKUP($F364,Taxa_från_edp!$B:$B,Taxa_från_edp!K:K),""),"")</f>
        <v/>
      </c>
      <c r="K364" s="121" t="n"/>
      <c r="L364" s="121" t="n"/>
      <c r="M364" s="121">
        <f>IFERROR(IF(J364&lt;&gt;"",J364*1.25,IF(K364&lt;&gt;"",K364*1.25,"")),"")</f>
        <v/>
      </c>
      <c r="N364" s="144">
        <f>IFERROR(IF(J364&lt;&gt;"",L364*J364,IF(K364&lt;&gt;"",L364*K364,"")),"")</f>
        <v/>
      </c>
    </row>
    <row r="365">
      <c r="A365" s="103" t="inlineStr">
        <is>
          <t>§6.1.6</t>
        </is>
      </c>
      <c r="B365" s="70" t="inlineStr">
        <is>
          <t>Tillägg och avgifter</t>
        </is>
      </c>
      <c r="C365" s="103" t="inlineStr">
        <is>
          <t>Okänt farligt avfall säkerhetsdatablad saknas</t>
        </is>
      </c>
      <c r="D365" s="70" t="n"/>
      <c r="E365" s="70" t="inlineStr">
        <is>
          <t>st/tillfälle</t>
        </is>
      </c>
      <c r="F365" s="115" t="n"/>
      <c r="G365" s="123">
        <f>IF($F365&lt;&gt;"",$F365,IFERROR(_xlfn.XLOOKUP(ROW(),Taxa_Saknas!$H:$H,Taxa_Saknas!$G:$G),""))</f>
        <v/>
      </c>
      <c r="H365" s="157">
        <f>IF($F365&lt;&gt;"",IFERROR(_xlfn.XLOOKUP($F365,Taxa_från_edp!$B:$B,Taxa_från_edp!C:C),""),"")</f>
        <v/>
      </c>
      <c r="I365" s="157">
        <f>IF($F365&lt;&gt;"",IFERROR(_xlfn.XLOOKUP($F365,Taxa_från_edp!$B:$B,Taxa_från_edp!G:G),""),"")</f>
        <v/>
      </c>
      <c r="J365" s="157">
        <f>IF($F365&lt;&gt;"",IFERROR(_xlfn.XLOOKUP($F365,Taxa_från_edp!$B:$B,Taxa_från_edp!K:K),""),"")</f>
        <v/>
      </c>
      <c r="K365" s="123" t="n"/>
      <c r="L365" s="115" t="n"/>
      <c r="M365" s="147">
        <f>IFERROR(IF(J365&lt;&gt;"",J365*1.25,IF(K365&lt;&gt;"",K365*1.25,"")),"")</f>
        <v/>
      </c>
      <c r="N365" s="148">
        <f>IFERROR(IF(J365&lt;&gt;"",L365*J365,IF(K365&lt;&gt;"",L365*K365,"")),"")</f>
        <v/>
      </c>
    </row>
    <row r="366">
      <c r="A366" s="103" t="inlineStr">
        <is>
          <t>§6.1.6</t>
        </is>
      </c>
      <c r="B366" s="70" t="inlineStr">
        <is>
          <t>Tillägg och avgifter</t>
        </is>
      </c>
      <c r="C366" s="104" t="inlineStr">
        <is>
          <t>Ombud för rapportering av farligt avfall i Avfallsregistret</t>
        </is>
      </c>
      <c r="D366" s="80" t="inlineStr">
        <is>
          <t>Hämtning månadsvis</t>
        </is>
      </c>
      <c r="E366" s="80" t="inlineStr">
        <is>
          <t>st/år</t>
        </is>
      </c>
      <c r="F366" s="115" t="n"/>
      <c r="G366" s="123">
        <f>IF($F366&lt;&gt;"",$F366,IFERROR(_xlfn.XLOOKUP(ROW(),Taxa_Saknas!$H:$H,Taxa_Saknas!$G:$G),""))</f>
        <v/>
      </c>
      <c r="H366" s="157">
        <f>IF($F366&lt;&gt;"",IFERROR(_xlfn.XLOOKUP($F366,Taxa_från_edp!$B:$B,Taxa_från_edp!C:C),""),"")</f>
        <v/>
      </c>
      <c r="I366" s="157">
        <f>IF($F366&lt;&gt;"",IFERROR(_xlfn.XLOOKUP($F366,Taxa_från_edp!$B:$B,Taxa_från_edp!G:G),""),"")</f>
        <v/>
      </c>
      <c r="J366" s="157">
        <f>IF($F366&lt;&gt;"",IFERROR(_xlfn.XLOOKUP($F366,Taxa_från_edp!$B:$B,Taxa_från_edp!K:K),""),"")</f>
        <v/>
      </c>
      <c r="K366" s="123" t="n"/>
      <c r="L366" s="115" t="n"/>
      <c r="M366" s="147">
        <f>IFERROR(IF(J366&lt;&gt;"",J366*1.25,IF(K366&lt;&gt;"",K366*1.25,"")),"")</f>
        <v/>
      </c>
      <c r="N366" s="148">
        <f>IFERROR(IF(J366&lt;&gt;"",L366*J366,IF(K366&lt;&gt;"",L366*K366,"")),"")</f>
        <v/>
      </c>
    </row>
    <row r="367">
      <c r="A367" s="103" t="inlineStr">
        <is>
          <t>§6.1.6</t>
        </is>
      </c>
      <c r="B367" s="70" t="inlineStr">
        <is>
          <t>Tillägg och avgifter</t>
        </is>
      </c>
      <c r="C367" s="104" t="inlineStr">
        <is>
          <t>Administrativ rapporteringsavgift till Avfallsregistret</t>
        </is>
      </c>
      <c r="D367" s="80" t="n"/>
      <c r="E367" s="80" t="inlineStr">
        <is>
          <t>st/år</t>
        </is>
      </c>
      <c r="F367" s="115" t="n"/>
      <c r="G367" s="123">
        <f>IF($F367&lt;&gt;"",$F367,IFERROR(_xlfn.XLOOKUP(ROW(),Taxa_Saknas!$H:$H,Taxa_Saknas!$G:$G),""))</f>
        <v/>
      </c>
      <c r="H367" s="157">
        <f>IF($F367&lt;&gt;"",IFERROR(_xlfn.XLOOKUP($F367,Taxa_från_edp!$B:$B,Taxa_från_edp!C:C),""),"")</f>
        <v/>
      </c>
      <c r="I367" s="157">
        <f>IF($F367&lt;&gt;"",IFERROR(_xlfn.XLOOKUP($F367,Taxa_från_edp!$B:$B,Taxa_från_edp!G:G),""),"")</f>
        <v/>
      </c>
      <c r="J367" s="157">
        <f>IF($F367&lt;&gt;"",IFERROR(_xlfn.XLOOKUP($F367,Taxa_från_edp!$B:$B,Taxa_från_edp!K:K),""),"")</f>
        <v/>
      </c>
      <c r="K367" s="123" t="n"/>
      <c r="L367" s="115" t="n"/>
      <c r="M367" s="147">
        <f>IFERROR(IF(J367&lt;&gt;"",J367*1.25,IF(K367&lt;&gt;"",K367*1.25,"")),"")</f>
        <v/>
      </c>
      <c r="N367" s="148">
        <f>IFERROR(IF(J367&lt;&gt;"",L367*J367,IF(K367&lt;&gt;"",L367*K367,"")),"")</f>
        <v/>
      </c>
    </row>
    <row r="368">
      <c r="A368" s="103" t="inlineStr">
        <is>
          <t>§6.1.6</t>
        </is>
      </c>
      <c r="B368" s="70" t="inlineStr">
        <is>
          <t>Tillägg och avgifter</t>
        </is>
      </c>
      <c r="C368" s="104" t="inlineStr">
        <is>
          <t>ombud för registrering av El-kretsen avlämnarintyg i Hämtplatsportalen</t>
        </is>
      </c>
      <c r="D368" s="80" t="n"/>
      <c r="E368" s="80" t="inlineStr">
        <is>
          <t>st/år</t>
        </is>
      </c>
      <c r="F368" s="115" t="n"/>
      <c r="G368" s="123">
        <f>IF($F368&lt;&gt;"",$F368,IFERROR(_xlfn.XLOOKUP(ROW(),Taxa_Saknas!$H:$H,Taxa_Saknas!$G:$G),""))</f>
        <v/>
      </c>
      <c r="H368" s="157">
        <f>IF($F368&lt;&gt;"",IFERROR(_xlfn.XLOOKUP($F368,Taxa_från_edp!$B:$B,Taxa_från_edp!C:C),""),"")</f>
        <v/>
      </c>
      <c r="I368" s="157">
        <f>IF($F368&lt;&gt;"",IFERROR(_xlfn.XLOOKUP($F368,Taxa_från_edp!$B:$B,Taxa_från_edp!G:G),""),"")</f>
        <v/>
      </c>
      <c r="J368" s="157">
        <f>IF($F368&lt;&gt;"",IFERROR(_xlfn.XLOOKUP($F368,Taxa_från_edp!$B:$B,Taxa_från_edp!K:K),""),"")</f>
        <v/>
      </c>
      <c r="K368" s="123" t="n"/>
      <c r="L368" s="115" t="n"/>
      <c r="M368" s="147">
        <f>IFERROR(IF(J368&lt;&gt;"",J368*1.25,IF(K368&lt;&gt;"",K368*1.25,"")),"")</f>
        <v/>
      </c>
      <c r="N368" s="148">
        <f>IFERROR(IF(J368&lt;&gt;"",L368*J368,IF(K368&lt;&gt;"",L368*K368,"")),"")</f>
        <v/>
      </c>
    </row>
  </sheetData>
  <mergeCells count="64">
    <mergeCell ref="A30:E30"/>
    <mergeCell ref="A186:E186"/>
    <mergeCell ref="A279:E279"/>
    <mergeCell ref="A157:E157"/>
    <mergeCell ref="A201:E201"/>
    <mergeCell ref="F212:J212"/>
    <mergeCell ref="A191:E191"/>
    <mergeCell ref="A222:E222"/>
    <mergeCell ref="A207:E207"/>
    <mergeCell ref="A343:E343"/>
    <mergeCell ref="F6:J6"/>
    <mergeCell ref="A123:E123"/>
    <mergeCell ref="A6:E6"/>
    <mergeCell ref="A359:E359"/>
    <mergeCell ref="A110:E110"/>
    <mergeCell ref="A196:E196"/>
    <mergeCell ref="A172:E172"/>
    <mergeCell ref="A252:E252"/>
    <mergeCell ref="A7:E7"/>
    <mergeCell ref="A221:E221"/>
    <mergeCell ref="A25:E25"/>
    <mergeCell ref="A212:E212"/>
    <mergeCell ref="A243:E243"/>
    <mergeCell ref="B2:L2"/>
    <mergeCell ref="A364:E364"/>
    <mergeCell ref="A37:E37"/>
    <mergeCell ref="A133:E133"/>
    <mergeCell ref="A84:E84"/>
    <mergeCell ref="A164:E164"/>
    <mergeCell ref="A236:E236"/>
    <mergeCell ref="A149:E149"/>
    <mergeCell ref="F163:J163"/>
    <mergeCell ref="A145:E145"/>
    <mergeCell ref="A18:E18"/>
    <mergeCell ref="B1:L1"/>
    <mergeCell ref="A158:E158"/>
    <mergeCell ref="A120:E120"/>
    <mergeCell ref="A105:E105"/>
    <mergeCell ref="A214:E214"/>
    <mergeCell ref="A163:E163"/>
    <mergeCell ref="A139:E139"/>
    <mergeCell ref="A113:E113"/>
    <mergeCell ref="F243:J243"/>
    <mergeCell ref="A195:E195"/>
    <mergeCell ref="A213:E213"/>
    <mergeCell ref="A104:E104"/>
    <mergeCell ref="A235:E235"/>
    <mergeCell ref="A185:E185"/>
    <mergeCell ref="F199:J199"/>
    <mergeCell ref="A8:E8"/>
    <mergeCell ref="A206:E206"/>
    <mergeCell ref="A126:E126"/>
    <mergeCell ref="A244:E244"/>
    <mergeCell ref="A109:E109"/>
    <mergeCell ref="A200:E200"/>
    <mergeCell ref="A100:E100"/>
    <mergeCell ref="A165:E165"/>
    <mergeCell ref="A199:E199"/>
    <mergeCell ref="A19:E19"/>
    <mergeCell ref="A68:E68"/>
    <mergeCell ref="A152:E152"/>
    <mergeCell ref="A173:E173"/>
    <mergeCell ref="A245:E245"/>
    <mergeCell ref="A130:E1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2"/>
  <sheetViews>
    <sheetView topLeftCell="A320" workbookViewId="0">
      <selection activeCell="F369" sqref="F369"/>
    </sheetView>
  </sheetViews>
  <sheetFormatPr baseColWidth="8" defaultRowHeight="15"/>
  <cols>
    <col width="23.140625" customWidth="1" min="1" max="12"/>
  </cols>
  <sheetData>
    <row r="1">
      <c r="A1" s="13" t="inlineStr">
        <is>
          <t>Paragraf</t>
        </is>
      </c>
      <c r="B1" s="14" t="inlineStr">
        <is>
          <t>Paragrafnamn</t>
        </is>
      </c>
      <c r="C1" s="14" t="inlineStr">
        <is>
          <t>Taxapunkt</t>
        </is>
      </c>
      <c r="D1" s="14" t="inlineStr">
        <is>
          <t>Variant</t>
        </is>
      </c>
      <c r="E1" s="14" t="inlineStr">
        <is>
          <t>Enhet</t>
        </is>
      </c>
      <c r="F1" s="14" t="inlineStr">
        <is>
          <t>Taxakod</t>
        </is>
      </c>
      <c r="G1" s="14" t="inlineStr">
        <is>
          <t>Taxabeskrivning</t>
        </is>
      </c>
      <c r="H1" s="14" t="inlineStr">
        <is>
          <t>Faktor</t>
        </is>
      </c>
      <c r="I1" s="14" t="inlineStr">
        <is>
          <t>Aktuellt pris (exkl m)</t>
        </is>
      </c>
      <c r="J1" s="14" t="inlineStr">
        <is>
          <t>Antal</t>
        </is>
      </c>
      <c r="K1" s="14" t="inlineStr">
        <is>
          <t>Pris (kr)</t>
        </is>
      </c>
      <c r="L1" s="15" t="inlineStr">
        <is>
          <t>Intäkt (kr)</t>
        </is>
      </c>
    </row>
    <row r="2">
      <c r="A2" s="5">
        <f>Taxepunkter!A9</f>
        <v/>
      </c>
      <c r="B2" s="4">
        <f>Taxepunkter!B9</f>
        <v/>
      </c>
      <c r="C2" s="4">
        <f>Taxepunkter!C9</f>
        <v/>
      </c>
      <c r="D2" s="4">
        <f>Taxepunkter!D9</f>
        <v/>
      </c>
      <c r="E2" s="4">
        <f>Taxepunkter!E9</f>
        <v/>
      </c>
      <c r="F2" s="4">
        <f>Taxepunkter!F9</f>
        <v/>
      </c>
      <c r="G2" s="4">
        <f>Taxepunkter!G9</f>
        <v/>
      </c>
      <c r="H2" s="4">
        <f>Taxepunkter!H9</f>
        <v/>
      </c>
      <c r="I2" s="4">
        <f>Taxepunkter!I9</f>
        <v/>
      </c>
      <c r="J2" s="4">
        <f>Taxepunkter!J9</f>
        <v/>
      </c>
      <c r="K2" s="4">
        <f>Taxepunkter!K9</f>
        <v/>
      </c>
      <c r="L2" s="6">
        <f>Taxepunkter!L9</f>
        <v/>
      </c>
    </row>
    <row r="3">
      <c r="A3" s="5">
        <f>Taxepunkter!A10</f>
        <v/>
      </c>
      <c r="B3" s="4">
        <f>Taxepunkter!B10</f>
        <v/>
      </c>
      <c r="C3" s="4">
        <f>Taxepunkter!C10</f>
        <v/>
      </c>
      <c r="D3" s="4">
        <f>Taxepunkter!D10</f>
        <v/>
      </c>
      <c r="E3" s="4">
        <f>Taxepunkter!E10</f>
        <v/>
      </c>
      <c r="F3" s="4">
        <f>Taxepunkter!F10</f>
        <v/>
      </c>
      <c r="G3" s="4">
        <f>Taxepunkter!G10</f>
        <v/>
      </c>
      <c r="H3" s="4">
        <f>Taxepunkter!H10</f>
        <v/>
      </c>
      <c r="I3" s="4">
        <f>Taxepunkter!I10</f>
        <v/>
      </c>
      <c r="J3" s="4">
        <f>Taxepunkter!J10</f>
        <v/>
      </c>
      <c r="K3" s="4">
        <f>Taxepunkter!K10</f>
        <v/>
      </c>
      <c r="L3" s="6">
        <f>Taxepunkter!L10</f>
        <v/>
      </c>
    </row>
    <row r="4">
      <c r="A4" s="5">
        <f>Taxepunkter!A11</f>
        <v/>
      </c>
      <c r="B4" s="4">
        <f>Taxepunkter!B11</f>
        <v/>
      </c>
      <c r="C4" s="4">
        <f>Taxepunkter!C11</f>
        <v/>
      </c>
      <c r="D4" s="4">
        <f>Taxepunkter!D11</f>
        <v/>
      </c>
      <c r="E4" s="4">
        <f>Taxepunkter!E11</f>
        <v/>
      </c>
      <c r="F4" s="4">
        <f>Taxepunkter!F11</f>
        <v/>
      </c>
      <c r="G4" s="4">
        <f>Taxepunkter!G11</f>
        <v/>
      </c>
      <c r="H4" s="4">
        <f>Taxepunkter!H11</f>
        <v/>
      </c>
      <c r="I4" s="4">
        <f>Taxepunkter!I11</f>
        <v/>
      </c>
      <c r="J4" s="4">
        <f>Taxepunkter!J11</f>
        <v/>
      </c>
      <c r="K4" s="4">
        <f>Taxepunkter!K11</f>
        <v/>
      </c>
      <c r="L4" s="6">
        <f>Taxepunkter!L11</f>
        <v/>
      </c>
    </row>
    <row r="5">
      <c r="A5" s="5">
        <f>Taxepunkter!A12</f>
        <v/>
      </c>
      <c r="B5" s="4">
        <f>Taxepunkter!B12</f>
        <v/>
      </c>
      <c r="C5" s="4">
        <f>Taxepunkter!C12</f>
        <v/>
      </c>
      <c r="D5" s="4">
        <f>Taxepunkter!D12</f>
        <v/>
      </c>
      <c r="E5" s="4">
        <f>Taxepunkter!E12</f>
        <v/>
      </c>
      <c r="F5" s="4">
        <f>Taxepunkter!F12</f>
        <v/>
      </c>
      <c r="G5" s="4">
        <f>Taxepunkter!G12</f>
        <v/>
      </c>
      <c r="H5" s="4">
        <f>Taxepunkter!H12</f>
        <v/>
      </c>
      <c r="I5" s="4">
        <f>Taxepunkter!I12</f>
        <v/>
      </c>
      <c r="J5" s="4">
        <f>Taxepunkter!J12</f>
        <v/>
      </c>
      <c r="K5" s="4">
        <f>Taxepunkter!K12</f>
        <v/>
      </c>
      <c r="L5" s="6">
        <f>Taxepunkter!L12</f>
        <v/>
      </c>
    </row>
    <row r="6">
      <c r="A6" s="5">
        <f>Taxepunkter!A13</f>
        <v/>
      </c>
      <c r="B6" s="4">
        <f>Taxepunkter!B13</f>
        <v/>
      </c>
      <c r="C6" s="4">
        <f>Taxepunkter!C13</f>
        <v/>
      </c>
      <c r="D6" s="4">
        <f>Taxepunkter!D13</f>
        <v/>
      </c>
      <c r="E6" s="4">
        <f>Taxepunkter!E13</f>
        <v/>
      </c>
      <c r="F6" s="4">
        <f>Taxepunkter!F13</f>
        <v/>
      </c>
      <c r="G6" s="4">
        <f>Taxepunkter!G13</f>
        <v/>
      </c>
      <c r="H6" s="4">
        <f>Taxepunkter!H13</f>
        <v/>
      </c>
      <c r="I6" s="4">
        <f>Taxepunkter!I13</f>
        <v/>
      </c>
      <c r="J6" s="4">
        <f>Taxepunkter!J13</f>
        <v/>
      </c>
      <c r="K6" s="4">
        <f>Taxepunkter!K13</f>
        <v/>
      </c>
      <c r="L6" s="6">
        <f>Taxepunkter!L13</f>
        <v/>
      </c>
    </row>
    <row r="7">
      <c r="A7" s="5">
        <f>Taxepunkter!A14</f>
        <v/>
      </c>
      <c r="B7" s="4">
        <f>Taxepunkter!B14</f>
        <v/>
      </c>
      <c r="C7" s="4">
        <f>Taxepunkter!C14</f>
        <v/>
      </c>
      <c r="D7" s="4">
        <f>Taxepunkter!D14</f>
        <v/>
      </c>
      <c r="E7" s="4">
        <f>Taxepunkter!E14</f>
        <v/>
      </c>
      <c r="F7" s="4">
        <f>Taxepunkter!F14</f>
        <v/>
      </c>
      <c r="G7" s="4">
        <f>Taxepunkter!G14</f>
        <v/>
      </c>
      <c r="H7" s="4">
        <f>Taxepunkter!H14</f>
        <v/>
      </c>
      <c r="I7" s="4">
        <f>Taxepunkter!I14</f>
        <v/>
      </c>
      <c r="J7" s="4">
        <f>Taxepunkter!J14</f>
        <v/>
      </c>
      <c r="K7" s="4">
        <f>Taxepunkter!K14</f>
        <v/>
      </c>
      <c r="L7" s="6">
        <f>Taxepunkter!L14</f>
        <v/>
      </c>
    </row>
    <row r="8">
      <c r="A8" s="5">
        <f>Taxepunkter!A15</f>
        <v/>
      </c>
      <c r="B8" s="4">
        <f>Taxepunkter!B15</f>
        <v/>
      </c>
      <c r="C8" s="4">
        <f>Taxepunkter!C15</f>
        <v/>
      </c>
      <c r="D8" s="4">
        <f>Taxepunkter!D15</f>
        <v/>
      </c>
      <c r="E8" s="4">
        <f>Taxepunkter!E15</f>
        <v/>
      </c>
      <c r="F8" s="4">
        <f>Taxepunkter!F15</f>
        <v/>
      </c>
      <c r="G8" s="4">
        <f>Taxepunkter!G15</f>
        <v/>
      </c>
      <c r="H8" s="4">
        <f>Taxepunkter!H15</f>
        <v/>
      </c>
      <c r="I8" s="4">
        <f>Taxepunkter!I15</f>
        <v/>
      </c>
      <c r="J8" s="4">
        <f>Taxepunkter!J15</f>
        <v/>
      </c>
      <c r="K8" s="4">
        <f>Taxepunkter!K15</f>
        <v/>
      </c>
      <c r="L8" s="6">
        <f>Taxepunkter!L15</f>
        <v/>
      </c>
    </row>
    <row r="9">
      <c r="A9" s="5">
        <f>Taxepunkter!A16</f>
        <v/>
      </c>
      <c r="B9" s="4">
        <f>Taxepunkter!B16</f>
        <v/>
      </c>
      <c r="C9" s="4">
        <f>Taxepunkter!C16</f>
        <v/>
      </c>
      <c r="D9" s="4">
        <f>Taxepunkter!D16</f>
        <v/>
      </c>
      <c r="E9" s="4">
        <f>Taxepunkter!E16</f>
        <v/>
      </c>
      <c r="F9" s="4">
        <f>Taxepunkter!F16</f>
        <v/>
      </c>
      <c r="G9" s="4">
        <f>Taxepunkter!G16</f>
        <v/>
      </c>
      <c r="H9" s="4">
        <f>Taxepunkter!H16</f>
        <v/>
      </c>
      <c r="I9" s="4">
        <f>Taxepunkter!I16</f>
        <v/>
      </c>
      <c r="J9" s="4">
        <f>Taxepunkter!J16</f>
        <v/>
      </c>
      <c r="K9" s="4">
        <f>Taxepunkter!K16</f>
        <v/>
      </c>
      <c r="L9" s="6">
        <f>Taxepunkter!L16</f>
        <v/>
      </c>
    </row>
    <row r="10">
      <c r="A10" s="5">
        <f>Taxepunkter!A17</f>
        <v/>
      </c>
      <c r="B10" s="4">
        <f>Taxepunkter!B17</f>
        <v/>
      </c>
      <c r="C10" s="4">
        <f>Taxepunkter!C17</f>
        <v/>
      </c>
      <c r="D10" s="4">
        <f>Taxepunkter!D17</f>
        <v/>
      </c>
      <c r="E10" s="4">
        <f>Taxepunkter!E17</f>
        <v/>
      </c>
      <c r="F10" s="4">
        <f>Taxepunkter!F17</f>
        <v/>
      </c>
      <c r="G10" s="4">
        <f>Taxepunkter!G17</f>
        <v/>
      </c>
      <c r="H10" s="4">
        <f>Taxepunkter!H17</f>
        <v/>
      </c>
      <c r="I10" s="4">
        <f>Taxepunkter!I17</f>
        <v/>
      </c>
      <c r="J10" s="4">
        <f>Taxepunkter!J17</f>
        <v/>
      </c>
      <c r="K10" s="4">
        <f>Taxepunkter!K17</f>
        <v/>
      </c>
      <c r="L10" s="6">
        <f>Taxepunkter!L17</f>
        <v/>
      </c>
    </row>
    <row r="11">
      <c r="A11" s="5">
        <f>Taxepunkter!A18</f>
        <v/>
      </c>
      <c r="B11" s="4">
        <f>Taxepunkter!B18</f>
        <v/>
      </c>
      <c r="C11" s="4">
        <f>Taxepunkter!C18</f>
        <v/>
      </c>
      <c r="D11" s="4">
        <f>Taxepunkter!D18</f>
        <v/>
      </c>
      <c r="E11" s="4">
        <f>Taxepunkter!E18</f>
        <v/>
      </c>
      <c r="F11" s="4">
        <f>Taxepunkter!F18</f>
        <v/>
      </c>
      <c r="G11" s="4">
        <f>Taxepunkter!G18</f>
        <v/>
      </c>
      <c r="H11" s="4">
        <f>Taxepunkter!H18</f>
        <v/>
      </c>
      <c r="I11" s="4">
        <f>Taxepunkter!I18</f>
        <v/>
      </c>
      <c r="J11" s="4">
        <f>Taxepunkter!J18</f>
        <v/>
      </c>
      <c r="K11" s="4">
        <f>Taxepunkter!K18</f>
        <v/>
      </c>
      <c r="L11" s="6">
        <f>Taxepunkter!L18</f>
        <v/>
      </c>
    </row>
    <row r="12">
      <c r="A12" s="5">
        <f>Taxepunkter!A19</f>
        <v/>
      </c>
      <c r="B12" s="4">
        <f>Taxepunkter!B19</f>
        <v/>
      </c>
      <c r="C12" s="4">
        <f>Taxepunkter!C19</f>
        <v/>
      </c>
      <c r="D12" s="4">
        <f>Taxepunkter!D19</f>
        <v/>
      </c>
      <c r="E12" s="4">
        <f>Taxepunkter!E19</f>
        <v/>
      </c>
      <c r="F12" s="4">
        <f>Taxepunkter!F19</f>
        <v/>
      </c>
      <c r="G12" s="4">
        <f>Taxepunkter!G19</f>
        <v/>
      </c>
      <c r="H12" s="4">
        <f>Taxepunkter!H19</f>
        <v/>
      </c>
      <c r="I12" s="4">
        <f>Taxepunkter!I19</f>
        <v/>
      </c>
      <c r="J12" s="4">
        <f>Taxepunkter!J19</f>
        <v/>
      </c>
      <c r="K12" s="4">
        <f>Taxepunkter!K19</f>
        <v/>
      </c>
      <c r="L12" s="6">
        <f>Taxepunkter!L19</f>
        <v/>
      </c>
    </row>
    <row r="13">
      <c r="A13" s="5">
        <f>Taxepunkter!A20</f>
        <v/>
      </c>
      <c r="B13" s="4">
        <f>Taxepunkter!B20</f>
        <v/>
      </c>
      <c r="C13" s="4">
        <f>Taxepunkter!C20</f>
        <v/>
      </c>
      <c r="D13" s="4">
        <f>Taxepunkter!D20</f>
        <v/>
      </c>
      <c r="E13" s="4">
        <f>Taxepunkter!E20</f>
        <v/>
      </c>
      <c r="F13" s="4">
        <f>Taxepunkter!F20</f>
        <v/>
      </c>
      <c r="G13" s="4">
        <f>Taxepunkter!G20</f>
        <v/>
      </c>
      <c r="H13" s="4">
        <f>Taxepunkter!H20</f>
        <v/>
      </c>
      <c r="I13" s="4">
        <f>Taxepunkter!I20</f>
        <v/>
      </c>
      <c r="J13" s="4">
        <f>Taxepunkter!J20</f>
        <v/>
      </c>
      <c r="K13" s="4">
        <f>Taxepunkter!K20</f>
        <v/>
      </c>
      <c r="L13" s="6">
        <f>Taxepunkter!L20</f>
        <v/>
      </c>
    </row>
    <row r="14">
      <c r="A14" s="5">
        <f>Taxepunkter!A21</f>
        <v/>
      </c>
      <c r="B14" s="4">
        <f>Taxepunkter!B21</f>
        <v/>
      </c>
      <c r="C14" s="4">
        <f>Taxepunkter!C21</f>
        <v/>
      </c>
      <c r="D14" s="4">
        <f>Taxepunkter!D21</f>
        <v/>
      </c>
      <c r="E14" s="4">
        <f>Taxepunkter!E21</f>
        <v/>
      </c>
      <c r="F14" s="4">
        <f>Taxepunkter!F21</f>
        <v/>
      </c>
      <c r="G14" s="4">
        <f>Taxepunkter!G21</f>
        <v/>
      </c>
      <c r="H14" s="4">
        <f>Taxepunkter!H21</f>
        <v/>
      </c>
      <c r="I14" s="4">
        <f>Taxepunkter!I21</f>
        <v/>
      </c>
      <c r="J14" s="4">
        <f>Taxepunkter!J21</f>
        <v/>
      </c>
      <c r="K14" s="4">
        <f>Taxepunkter!K21</f>
        <v/>
      </c>
      <c r="L14" s="6">
        <f>Taxepunkter!L21</f>
        <v/>
      </c>
    </row>
    <row r="15">
      <c r="A15" s="5">
        <f>Taxepunkter!A22</f>
        <v/>
      </c>
      <c r="B15" s="4">
        <f>Taxepunkter!B22</f>
        <v/>
      </c>
      <c r="C15" s="4">
        <f>Taxepunkter!C22</f>
        <v/>
      </c>
      <c r="D15" s="4">
        <f>Taxepunkter!D22</f>
        <v/>
      </c>
      <c r="E15" s="4">
        <f>Taxepunkter!E22</f>
        <v/>
      </c>
      <c r="F15" s="4">
        <f>Taxepunkter!F22</f>
        <v/>
      </c>
      <c r="G15" s="4">
        <f>Taxepunkter!G22</f>
        <v/>
      </c>
      <c r="H15" s="4">
        <f>Taxepunkter!H22</f>
        <v/>
      </c>
      <c r="I15" s="4">
        <f>Taxepunkter!I22</f>
        <v/>
      </c>
      <c r="J15" s="4">
        <f>Taxepunkter!J22</f>
        <v/>
      </c>
      <c r="K15" s="4">
        <f>Taxepunkter!K22</f>
        <v/>
      </c>
      <c r="L15" s="6">
        <f>Taxepunkter!L22</f>
        <v/>
      </c>
    </row>
    <row r="16">
      <c r="A16" s="5">
        <f>Taxepunkter!A23</f>
        <v/>
      </c>
      <c r="B16" s="4">
        <f>Taxepunkter!B23</f>
        <v/>
      </c>
      <c r="C16" s="4">
        <f>Taxepunkter!C23</f>
        <v/>
      </c>
      <c r="D16" s="4">
        <f>Taxepunkter!D23</f>
        <v/>
      </c>
      <c r="E16" s="4">
        <f>Taxepunkter!E23</f>
        <v/>
      </c>
      <c r="F16" s="4">
        <f>Taxepunkter!F23</f>
        <v/>
      </c>
      <c r="G16" s="4">
        <f>Taxepunkter!G23</f>
        <v/>
      </c>
      <c r="H16" s="4">
        <f>Taxepunkter!H23</f>
        <v/>
      </c>
      <c r="I16" s="4">
        <f>Taxepunkter!I23</f>
        <v/>
      </c>
      <c r="J16" s="4">
        <f>Taxepunkter!J23</f>
        <v/>
      </c>
      <c r="K16" s="4">
        <f>Taxepunkter!K23</f>
        <v/>
      </c>
      <c r="L16" s="6">
        <f>Taxepunkter!L23</f>
        <v/>
      </c>
    </row>
    <row r="17">
      <c r="A17" s="5">
        <f>Taxepunkter!A24</f>
        <v/>
      </c>
      <c r="B17" s="4">
        <f>Taxepunkter!B24</f>
        <v/>
      </c>
      <c r="C17" s="4">
        <f>Taxepunkter!C24</f>
        <v/>
      </c>
      <c r="D17" s="4">
        <f>Taxepunkter!D24</f>
        <v/>
      </c>
      <c r="E17" s="4">
        <f>Taxepunkter!E24</f>
        <v/>
      </c>
      <c r="F17" s="4">
        <f>Taxepunkter!F24</f>
        <v/>
      </c>
      <c r="G17" s="4">
        <f>Taxepunkter!G24</f>
        <v/>
      </c>
      <c r="H17" s="4">
        <f>Taxepunkter!H24</f>
        <v/>
      </c>
      <c r="I17" s="4">
        <f>Taxepunkter!I24</f>
        <v/>
      </c>
      <c r="J17" s="4">
        <f>Taxepunkter!J24</f>
        <v/>
      </c>
      <c r="K17" s="4">
        <f>Taxepunkter!K24</f>
        <v/>
      </c>
      <c r="L17" s="6">
        <f>Taxepunkter!L24</f>
        <v/>
      </c>
    </row>
    <row r="18">
      <c r="A18" s="5">
        <f>Taxepunkter!A25</f>
        <v/>
      </c>
      <c r="B18" s="4">
        <f>Taxepunkter!B25</f>
        <v/>
      </c>
      <c r="C18" s="4">
        <f>Taxepunkter!C25</f>
        <v/>
      </c>
      <c r="D18" s="4">
        <f>Taxepunkter!D25</f>
        <v/>
      </c>
      <c r="E18" s="4">
        <f>Taxepunkter!E25</f>
        <v/>
      </c>
      <c r="F18" s="4">
        <f>Taxepunkter!F25</f>
        <v/>
      </c>
      <c r="G18" s="4">
        <f>Taxepunkter!G25</f>
        <v/>
      </c>
      <c r="H18" s="4">
        <f>Taxepunkter!H25</f>
        <v/>
      </c>
      <c r="I18" s="4">
        <f>Taxepunkter!I25</f>
        <v/>
      </c>
      <c r="J18" s="4">
        <f>Taxepunkter!J25</f>
        <v/>
      </c>
      <c r="K18" s="4">
        <f>Taxepunkter!K25</f>
        <v/>
      </c>
      <c r="L18" s="6">
        <f>Taxepunkter!L25</f>
        <v/>
      </c>
    </row>
    <row r="19">
      <c r="A19" s="5">
        <f>Taxepunkter!A26</f>
        <v/>
      </c>
      <c r="B19" s="4">
        <f>Taxepunkter!B26</f>
        <v/>
      </c>
      <c r="C19" s="4">
        <f>Taxepunkter!C26</f>
        <v/>
      </c>
      <c r="D19" s="4">
        <f>Taxepunkter!D26</f>
        <v/>
      </c>
      <c r="E19" s="4">
        <f>Taxepunkter!E26</f>
        <v/>
      </c>
      <c r="F19" s="4">
        <f>Taxepunkter!F26</f>
        <v/>
      </c>
      <c r="G19" s="4">
        <f>Taxepunkter!G26</f>
        <v/>
      </c>
      <c r="H19" s="4">
        <f>Taxepunkter!H26</f>
        <v/>
      </c>
      <c r="I19" s="4">
        <f>Taxepunkter!I26</f>
        <v/>
      </c>
      <c r="J19" s="4">
        <f>Taxepunkter!J26</f>
        <v/>
      </c>
      <c r="K19" s="4">
        <f>Taxepunkter!K26</f>
        <v/>
      </c>
      <c r="L19" s="6">
        <f>Taxepunkter!L26</f>
        <v/>
      </c>
    </row>
    <row r="20">
      <c r="A20" s="5">
        <f>Taxepunkter!A27</f>
        <v/>
      </c>
      <c r="B20" s="4">
        <f>Taxepunkter!B27</f>
        <v/>
      </c>
      <c r="C20" s="4">
        <f>Taxepunkter!C27</f>
        <v/>
      </c>
      <c r="D20" s="4">
        <f>Taxepunkter!D27</f>
        <v/>
      </c>
      <c r="E20" s="4">
        <f>Taxepunkter!E27</f>
        <v/>
      </c>
      <c r="F20" s="4">
        <f>Taxepunkter!F27</f>
        <v/>
      </c>
      <c r="G20" s="4">
        <f>Taxepunkter!G27</f>
        <v/>
      </c>
      <c r="H20" s="4">
        <f>Taxepunkter!H27</f>
        <v/>
      </c>
      <c r="I20" s="4">
        <f>Taxepunkter!I27</f>
        <v/>
      </c>
      <c r="J20" s="4">
        <f>Taxepunkter!J27</f>
        <v/>
      </c>
      <c r="K20" s="4">
        <f>Taxepunkter!K27</f>
        <v/>
      </c>
      <c r="L20" s="6">
        <f>Taxepunkter!L27</f>
        <v/>
      </c>
    </row>
    <row r="21">
      <c r="A21" s="5">
        <f>Taxepunkter!A28</f>
        <v/>
      </c>
      <c r="B21" s="4">
        <f>Taxepunkter!B28</f>
        <v/>
      </c>
      <c r="C21" s="4">
        <f>Taxepunkter!C28</f>
        <v/>
      </c>
      <c r="D21" s="4">
        <f>Taxepunkter!D28</f>
        <v/>
      </c>
      <c r="E21" s="4">
        <f>Taxepunkter!E28</f>
        <v/>
      </c>
      <c r="F21" s="4">
        <f>Taxepunkter!F28</f>
        <v/>
      </c>
      <c r="G21" s="4">
        <f>Taxepunkter!G28</f>
        <v/>
      </c>
      <c r="H21" s="4">
        <f>Taxepunkter!H28</f>
        <v/>
      </c>
      <c r="I21" s="4">
        <f>Taxepunkter!I28</f>
        <v/>
      </c>
      <c r="J21" s="4">
        <f>Taxepunkter!J28</f>
        <v/>
      </c>
      <c r="K21" s="4">
        <f>Taxepunkter!K28</f>
        <v/>
      </c>
      <c r="L21" s="6">
        <f>Taxepunkter!L28</f>
        <v/>
      </c>
    </row>
    <row r="22">
      <c r="A22" s="5">
        <f>Taxepunkter!A29</f>
        <v/>
      </c>
      <c r="B22" s="4">
        <f>Taxepunkter!B29</f>
        <v/>
      </c>
      <c r="C22" s="4">
        <f>Taxepunkter!C29</f>
        <v/>
      </c>
      <c r="D22" s="4">
        <f>Taxepunkter!D29</f>
        <v/>
      </c>
      <c r="E22" s="4">
        <f>Taxepunkter!E29</f>
        <v/>
      </c>
      <c r="F22" s="4">
        <f>Taxepunkter!F29</f>
        <v/>
      </c>
      <c r="G22" s="4">
        <f>Taxepunkter!G29</f>
        <v/>
      </c>
      <c r="H22" s="4">
        <f>Taxepunkter!H29</f>
        <v/>
      </c>
      <c r="I22" s="4">
        <f>Taxepunkter!I29</f>
        <v/>
      </c>
      <c r="J22" s="4">
        <f>Taxepunkter!J29</f>
        <v/>
      </c>
      <c r="K22" s="4">
        <f>Taxepunkter!K29</f>
        <v/>
      </c>
      <c r="L22" s="6">
        <f>Taxepunkter!L29</f>
        <v/>
      </c>
    </row>
    <row r="23">
      <c r="A23" s="5">
        <f>Taxepunkter!A30</f>
        <v/>
      </c>
      <c r="B23" s="4">
        <f>Taxepunkter!B30</f>
        <v/>
      </c>
      <c r="C23" s="4">
        <f>Taxepunkter!C30</f>
        <v/>
      </c>
      <c r="D23" s="4">
        <f>Taxepunkter!D30</f>
        <v/>
      </c>
      <c r="E23" s="4">
        <f>Taxepunkter!E30</f>
        <v/>
      </c>
      <c r="F23" s="4">
        <f>Taxepunkter!F30</f>
        <v/>
      </c>
      <c r="G23" s="4">
        <f>Taxepunkter!G30</f>
        <v/>
      </c>
      <c r="H23" s="4">
        <f>Taxepunkter!H30</f>
        <v/>
      </c>
      <c r="I23" s="4">
        <f>Taxepunkter!I30</f>
        <v/>
      </c>
      <c r="J23" s="4">
        <f>Taxepunkter!J30</f>
        <v/>
      </c>
      <c r="K23" s="4">
        <f>Taxepunkter!K30</f>
        <v/>
      </c>
      <c r="L23" s="6">
        <f>Taxepunkter!L30</f>
        <v/>
      </c>
    </row>
    <row r="24">
      <c r="A24" s="5">
        <f>Taxepunkter!A31</f>
        <v/>
      </c>
      <c r="B24" s="4">
        <f>Taxepunkter!B31</f>
        <v/>
      </c>
      <c r="C24" s="4">
        <f>Taxepunkter!C31</f>
        <v/>
      </c>
      <c r="D24" s="4">
        <f>Taxepunkter!D31</f>
        <v/>
      </c>
      <c r="E24" s="4">
        <f>Taxepunkter!E31</f>
        <v/>
      </c>
      <c r="F24" s="4">
        <f>Taxepunkter!F31</f>
        <v/>
      </c>
      <c r="G24" s="4">
        <f>Taxepunkter!G31</f>
        <v/>
      </c>
      <c r="H24" s="4">
        <f>Taxepunkter!H31</f>
        <v/>
      </c>
      <c r="I24" s="4">
        <f>Taxepunkter!I31</f>
        <v/>
      </c>
      <c r="J24" s="4">
        <f>Taxepunkter!J31</f>
        <v/>
      </c>
      <c r="K24" s="4">
        <f>Taxepunkter!K31</f>
        <v/>
      </c>
      <c r="L24" s="6">
        <f>Taxepunkter!L31</f>
        <v/>
      </c>
    </row>
    <row r="25">
      <c r="A25" s="5">
        <f>Taxepunkter!A32</f>
        <v/>
      </c>
      <c r="B25" s="4">
        <f>Taxepunkter!B32</f>
        <v/>
      </c>
      <c r="C25" s="4">
        <f>Taxepunkter!C32</f>
        <v/>
      </c>
      <c r="D25" s="4">
        <f>Taxepunkter!D32</f>
        <v/>
      </c>
      <c r="E25" s="4">
        <f>Taxepunkter!E32</f>
        <v/>
      </c>
      <c r="F25" s="4">
        <f>Taxepunkter!F32</f>
        <v/>
      </c>
      <c r="G25" s="4">
        <f>Taxepunkter!G32</f>
        <v/>
      </c>
      <c r="H25" s="4">
        <f>Taxepunkter!H32</f>
        <v/>
      </c>
      <c r="I25" s="4">
        <f>Taxepunkter!I32</f>
        <v/>
      </c>
      <c r="J25" s="4">
        <f>Taxepunkter!J32</f>
        <v/>
      </c>
      <c r="K25" s="4">
        <f>Taxepunkter!K32</f>
        <v/>
      </c>
      <c r="L25" s="6">
        <f>Taxepunkter!L32</f>
        <v/>
      </c>
    </row>
    <row r="26">
      <c r="A26" s="5">
        <f>Taxepunkter!A33</f>
        <v/>
      </c>
      <c r="B26" s="4">
        <f>Taxepunkter!B33</f>
        <v/>
      </c>
      <c r="C26" s="4">
        <f>Taxepunkter!C33</f>
        <v/>
      </c>
      <c r="D26" s="4">
        <f>Taxepunkter!D33</f>
        <v/>
      </c>
      <c r="E26" s="4">
        <f>Taxepunkter!E33</f>
        <v/>
      </c>
      <c r="F26" s="4">
        <f>Taxepunkter!F33</f>
        <v/>
      </c>
      <c r="G26" s="4">
        <f>Taxepunkter!G33</f>
        <v/>
      </c>
      <c r="H26" s="4">
        <f>Taxepunkter!H33</f>
        <v/>
      </c>
      <c r="I26" s="4">
        <f>Taxepunkter!I33</f>
        <v/>
      </c>
      <c r="J26" s="4">
        <f>Taxepunkter!J33</f>
        <v/>
      </c>
      <c r="K26" s="4">
        <f>Taxepunkter!K33</f>
        <v/>
      </c>
      <c r="L26" s="6">
        <f>Taxepunkter!L33</f>
        <v/>
      </c>
    </row>
    <row r="27">
      <c r="A27" s="5">
        <f>Taxepunkter!A34</f>
        <v/>
      </c>
      <c r="B27" s="4">
        <f>Taxepunkter!B34</f>
        <v/>
      </c>
      <c r="C27" s="4">
        <f>Taxepunkter!C34</f>
        <v/>
      </c>
      <c r="D27" s="4">
        <f>Taxepunkter!D34</f>
        <v/>
      </c>
      <c r="E27" s="4">
        <f>Taxepunkter!E34</f>
        <v/>
      </c>
      <c r="F27" s="4">
        <f>Taxepunkter!F34</f>
        <v/>
      </c>
      <c r="G27" s="4">
        <f>Taxepunkter!G34</f>
        <v/>
      </c>
      <c r="H27" s="4">
        <f>Taxepunkter!H34</f>
        <v/>
      </c>
      <c r="I27" s="4">
        <f>Taxepunkter!I34</f>
        <v/>
      </c>
      <c r="J27" s="4">
        <f>Taxepunkter!J34</f>
        <v/>
      </c>
      <c r="K27" s="4">
        <f>Taxepunkter!K34</f>
        <v/>
      </c>
      <c r="L27" s="6">
        <f>Taxepunkter!L34</f>
        <v/>
      </c>
    </row>
    <row r="28">
      <c r="A28" s="5">
        <f>Taxepunkter!A35</f>
        <v/>
      </c>
      <c r="B28" s="4">
        <f>Taxepunkter!B35</f>
        <v/>
      </c>
      <c r="C28" s="4">
        <f>Taxepunkter!C35</f>
        <v/>
      </c>
      <c r="D28" s="4">
        <f>Taxepunkter!D35</f>
        <v/>
      </c>
      <c r="E28" s="4">
        <f>Taxepunkter!E35</f>
        <v/>
      </c>
      <c r="F28" s="4">
        <f>Taxepunkter!F35</f>
        <v/>
      </c>
      <c r="G28" s="4">
        <f>Taxepunkter!G35</f>
        <v/>
      </c>
      <c r="H28" s="4">
        <f>Taxepunkter!H35</f>
        <v/>
      </c>
      <c r="I28" s="4">
        <f>Taxepunkter!I35</f>
        <v/>
      </c>
      <c r="J28" s="4">
        <f>Taxepunkter!J35</f>
        <v/>
      </c>
      <c r="K28" s="4">
        <f>Taxepunkter!K35</f>
        <v/>
      </c>
      <c r="L28" s="6">
        <f>Taxepunkter!L35</f>
        <v/>
      </c>
    </row>
    <row r="29">
      <c r="A29" s="5">
        <f>Taxepunkter!A36</f>
        <v/>
      </c>
      <c r="B29" s="4">
        <f>Taxepunkter!B36</f>
        <v/>
      </c>
      <c r="C29" s="4">
        <f>Taxepunkter!C36</f>
        <v/>
      </c>
      <c r="D29" s="4">
        <f>Taxepunkter!D36</f>
        <v/>
      </c>
      <c r="E29" s="4">
        <f>Taxepunkter!E36</f>
        <v/>
      </c>
      <c r="F29" s="4">
        <f>Taxepunkter!F36</f>
        <v/>
      </c>
      <c r="G29" s="4">
        <f>Taxepunkter!G36</f>
        <v/>
      </c>
      <c r="H29" s="4">
        <f>Taxepunkter!H36</f>
        <v/>
      </c>
      <c r="I29" s="4">
        <f>Taxepunkter!I36</f>
        <v/>
      </c>
      <c r="J29" s="4">
        <f>Taxepunkter!J36</f>
        <v/>
      </c>
      <c r="K29" s="4">
        <f>Taxepunkter!K36</f>
        <v/>
      </c>
      <c r="L29" s="6">
        <f>Taxepunkter!L36</f>
        <v/>
      </c>
    </row>
    <row r="30">
      <c r="A30" s="5">
        <f>Taxepunkter!A37</f>
        <v/>
      </c>
      <c r="B30" s="4">
        <f>Taxepunkter!B37</f>
        <v/>
      </c>
      <c r="C30" s="4">
        <f>Taxepunkter!C37</f>
        <v/>
      </c>
      <c r="D30" s="4">
        <f>Taxepunkter!D37</f>
        <v/>
      </c>
      <c r="E30" s="4">
        <f>Taxepunkter!E37</f>
        <v/>
      </c>
      <c r="F30" s="4">
        <f>Taxepunkter!F37</f>
        <v/>
      </c>
      <c r="G30" s="4">
        <f>Taxepunkter!G37</f>
        <v/>
      </c>
      <c r="H30" s="4">
        <f>Taxepunkter!H37</f>
        <v/>
      </c>
      <c r="I30" s="4">
        <f>Taxepunkter!I37</f>
        <v/>
      </c>
      <c r="J30" s="4">
        <f>Taxepunkter!J37</f>
        <v/>
      </c>
      <c r="K30" s="4">
        <f>Taxepunkter!K37</f>
        <v/>
      </c>
      <c r="L30" s="6">
        <f>Taxepunkter!L37</f>
        <v/>
      </c>
    </row>
    <row r="31">
      <c r="A31" s="5">
        <f>Taxepunkter!A38</f>
        <v/>
      </c>
      <c r="B31" s="4">
        <f>Taxepunkter!B38</f>
        <v/>
      </c>
      <c r="C31" s="4">
        <f>Taxepunkter!C38</f>
        <v/>
      </c>
      <c r="D31" s="4">
        <f>Taxepunkter!D38</f>
        <v/>
      </c>
      <c r="E31" s="4">
        <f>Taxepunkter!E38</f>
        <v/>
      </c>
      <c r="F31" s="4">
        <f>Taxepunkter!F38</f>
        <v/>
      </c>
      <c r="G31" s="4">
        <f>Taxepunkter!G38</f>
        <v/>
      </c>
      <c r="H31" s="4">
        <f>Taxepunkter!H38</f>
        <v/>
      </c>
      <c r="I31" s="4">
        <f>Taxepunkter!I38</f>
        <v/>
      </c>
      <c r="J31" s="4">
        <f>Taxepunkter!J38</f>
        <v/>
      </c>
      <c r="K31" s="4">
        <f>Taxepunkter!K38</f>
        <v/>
      </c>
      <c r="L31" s="6">
        <f>Taxepunkter!L38</f>
        <v/>
      </c>
    </row>
    <row r="32">
      <c r="A32" s="5">
        <f>Taxepunkter!A39</f>
        <v/>
      </c>
      <c r="B32" s="4">
        <f>Taxepunkter!B39</f>
        <v/>
      </c>
      <c r="C32" s="4">
        <f>Taxepunkter!C39</f>
        <v/>
      </c>
      <c r="D32" s="4">
        <f>Taxepunkter!D39</f>
        <v/>
      </c>
      <c r="E32" s="4">
        <f>Taxepunkter!E39</f>
        <v/>
      </c>
      <c r="F32" s="4">
        <f>Taxepunkter!F39</f>
        <v/>
      </c>
      <c r="G32" s="4">
        <f>Taxepunkter!G39</f>
        <v/>
      </c>
      <c r="H32" s="4">
        <f>Taxepunkter!H39</f>
        <v/>
      </c>
      <c r="I32" s="4">
        <f>Taxepunkter!I39</f>
        <v/>
      </c>
      <c r="J32" s="4">
        <f>Taxepunkter!J39</f>
        <v/>
      </c>
      <c r="K32" s="4">
        <f>Taxepunkter!K39</f>
        <v/>
      </c>
      <c r="L32" s="6">
        <f>Taxepunkter!L39</f>
        <v/>
      </c>
    </row>
    <row r="33">
      <c r="A33" s="5">
        <f>Taxepunkter!A40</f>
        <v/>
      </c>
      <c r="B33" s="4">
        <f>Taxepunkter!B40</f>
        <v/>
      </c>
      <c r="C33" s="4">
        <f>Taxepunkter!C40</f>
        <v/>
      </c>
      <c r="D33" s="4">
        <f>Taxepunkter!D40</f>
        <v/>
      </c>
      <c r="E33" s="4">
        <f>Taxepunkter!E40</f>
        <v/>
      </c>
      <c r="F33" s="4">
        <f>Taxepunkter!F40</f>
        <v/>
      </c>
      <c r="G33" s="4">
        <f>Taxepunkter!G40</f>
        <v/>
      </c>
      <c r="H33" s="4">
        <f>Taxepunkter!H40</f>
        <v/>
      </c>
      <c r="I33" s="4">
        <f>Taxepunkter!I40</f>
        <v/>
      </c>
      <c r="J33" s="4">
        <f>Taxepunkter!J40</f>
        <v/>
      </c>
      <c r="K33" s="4">
        <f>Taxepunkter!K40</f>
        <v/>
      </c>
      <c r="L33" s="6">
        <f>Taxepunkter!L40</f>
        <v/>
      </c>
    </row>
    <row r="34">
      <c r="A34" s="5">
        <f>Taxepunkter!A41</f>
        <v/>
      </c>
      <c r="B34" s="4">
        <f>Taxepunkter!B41</f>
        <v/>
      </c>
      <c r="C34" s="4">
        <f>Taxepunkter!C41</f>
        <v/>
      </c>
      <c r="D34" s="4">
        <f>Taxepunkter!D41</f>
        <v/>
      </c>
      <c r="E34" s="4">
        <f>Taxepunkter!E41</f>
        <v/>
      </c>
      <c r="F34" s="4">
        <f>Taxepunkter!F41</f>
        <v/>
      </c>
      <c r="G34" s="4">
        <f>Taxepunkter!G41</f>
        <v/>
      </c>
      <c r="H34" s="4">
        <f>Taxepunkter!H41</f>
        <v/>
      </c>
      <c r="I34" s="4">
        <f>Taxepunkter!I41</f>
        <v/>
      </c>
      <c r="J34" s="4">
        <f>Taxepunkter!J41</f>
        <v/>
      </c>
      <c r="K34" s="4">
        <f>Taxepunkter!K41</f>
        <v/>
      </c>
      <c r="L34" s="6">
        <f>Taxepunkter!L41</f>
        <v/>
      </c>
    </row>
    <row r="35">
      <c r="A35" s="5">
        <f>Taxepunkter!A42</f>
        <v/>
      </c>
      <c r="B35" s="4">
        <f>Taxepunkter!B42</f>
        <v/>
      </c>
      <c r="C35" s="4">
        <f>Taxepunkter!C42</f>
        <v/>
      </c>
      <c r="D35" s="4">
        <f>Taxepunkter!D42</f>
        <v/>
      </c>
      <c r="E35" s="4">
        <f>Taxepunkter!E42</f>
        <v/>
      </c>
      <c r="F35" s="4">
        <f>Taxepunkter!F42</f>
        <v/>
      </c>
      <c r="G35" s="4">
        <f>Taxepunkter!G42</f>
        <v/>
      </c>
      <c r="H35" s="4">
        <f>Taxepunkter!H42</f>
        <v/>
      </c>
      <c r="I35" s="4">
        <f>Taxepunkter!I42</f>
        <v/>
      </c>
      <c r="J35" s="4">
        <f>Taxepunkter!J42</f>
        <v/>
      </c>
      <c r="K35" s="4">
        <f>Taxepunkter!K42</f>
        <v/>
      </c>
      <c r="L35" s="6">
        <f>Taxepunkter!L42</f>
        <v/>
      </c>
    </row>
    <row r="36">
      <c r="A36" s="5">
        <f>Taxepunkter!A43</f>
        <v/>
      </c>
      <c r="B36" s="4">
        <f>Taxepunkter!B43</f>
        <v/>
      </c>
      <c r="C36" s="4">
        <f>Taxepunkter!C43</f>
        <v/>
      </c>
      <c r="D36" s="4">
        <f>Taxepunkter!D43</f>
        <v/>
      </c>
      <c r="E36" s="4">
        <f>Taxepunkter!E43</f>
        <v/>
      </c>
      <c r="F36" s="4">
        <f>Taxepunkter!F43</f>
        <v/>
      </c>
      <c r="G36" s="4">
        <f>Taxepunkter!G43</f>
        <v/>
      </c>
      <c r="H36" s="4">
        <f>Taxepunkter!H43</f>
        <v/>
      </c>
      <c r="I36" s="4">
        <f>Taxepunkter!I43</f>
        <v/>
      </c>
      <c r="J36" s="4">
        <f>Taxepunkter!J43</f>
        <v/>
      </c>
      <c r="K36" s="4">
        <f>Taxepunkter!K43</f>
        <v/>
      </c>
      <c r="L36" s="6">
        <f>Taxepunkter!L43</f>
        <v/>
      </c>
    </row>
    <row r="37">
      <c r="A37" s="5">
        <f>Taxepunkter!A44</f>
        <v/>
      </c>
      <c r="B37" s="4">
        <f>Taxepunkter!B44</f>
        <v/>
      </c>
      <c r="C37" s="4">
        <f>Taxepunkter!C44</f>
        <v/>
      </c>
      <c r="D37" s="4">
        <f>Taxepunkter!D44</f>
        <v/>
      </c>
      <c r="E37" s="4">
        <f>Taxepunkter!E44</f>
        <v/>
      </c>
      <c r="F37" s="4">
        <f>Taxepunkter!F44</f>
        <v/>
      </c>
      <c r="G37" s="4">
        <f>Taxepunkter!G44</f>
        <v/>
      </c>
      <c r="H37" s="4">
        <f>Taxepunkter!H44</f>
        <v/>
      </c>
      <c r="I37" s="4">
        <f>Taxepunkter!I44</f>
        <v/>
      </c>
      <c r="J37" s="4">
        <f>Taxepunkter!J44</f>
        <v/>
      </c>
      <c r="K37" s="4">
        <f>Taxepunkter!K44</f>
        <v/>
      </c>
      <c r="L37" s="6">
        <f>Taxepunkter!L44</f>
        <v/>
      </c>
    </row>
    <row r="38">
      <c r="A38" s="5">
        <f>Taxepunkter!A45</f>
        <v/>
      </c>
      <c r="B38" s="4">
        <f>Taxepunkter!B45</f>
        <v/>
      </c>
      <c r="C38" s="4">
        <f>Taxepunkter!C45</f>
        <v/>
      </c>
      <c r="D38" s="4">
        <f>Taxepunkter!D45</f>
        <v/>
      </c>
      <c r="E38" s="4">
        <f>Taxepunkter!E45</f>
        <v/>
      </c>
      <c r="F38" s="4">
        <f>Taxepunkter!F45</f>
        <v/>
      </c>
      <c r="G38" s="4">
        <f>Taxepunkter!G45</f>
        <v/>
      </c>
      <c r="H38" s="4">
        <f>Taxepunkter!H45</f>
        <v/>
      </c>
      <c r="I38" s="4">
        <f>Taxepunkter!I45</f>
        <v/>
      </c>
      <c r="J38" s="4">
        <f>Taxepunkter!J45</f>
        <v/>
      </c>
      <c r="K38" s="4">
        <f>Taxepunkter!K45</f>
        <v/>
      </c>
      <c r="L38" s="6">
        <f>Taxepunkter!L45</f>
        <v/>
      </c>
    </row>
    <row r="39">
      <c r="A39" s="5">
        <f>Taxepunkter!A46</f>
        <v/>
      </c>
      <c r="B39" s="4">
        <f>Taxepunkter!B46</f>
        <v/>
      </c>
      <c r="C39" s="4">
        <f>Taxepunkter!C46</f>
        <v/>
      </c>
      <c r="D39" s="4">
        <f>Taxepunkter!D46</f>
        <v/>
      </c>
      <c r="E39" s="4">
        <f>Taxepunkter!E46</f>
        <v/>
      </c>
      <c r="F39" s="4">
        <f>Taxepunkter!F46</f>
        <v/>
      </c>
      <c r="G39" s="4">
        <f>Taxepunkter!G46</f>
        <v/>
      </c>
      <c r="H39" s="4">
        <f>Taxepunkter!H46</f>
        <v/>
      </c>
      <c r="I39" s="4">
        <f>Taxepunkter!I46</f>
        <v/>
      </c>
      <c r="J39" s="4">
        <f>Taxepunkter!J46</f>
        <v/>
      </c>
      <c r="K39" s="4">
        <f>Taxepunkter!K46</f>
        <v/>
      </c>
      <c r="L39" s="6">
        <f>Taxepunkter!L46</f>
        <v/>
      </c>
    </row>
    <row r="40">
      <c r="A40" s="5">
        <f>Taxepunkter!A47</f>
        <v/>
      </c>
      <c r="B40" s="4">
        <f>Taxepunkter!B47</f>
        <v/>
      </c>
      <c r="C40" s="4">
        <f>Taxepunkter!C47</f>
        <v/>
      </c>
      <c r="D40" s="4">
        <f>Taxepunkter!D47</f>
        <v/>
      </c>
      <c r="E40" s="4">
        <f>Taxepunkter!E47</f>
        <v/>
      </c>
      <c r="F40" s="4">
        <f>Taxepunkter!F47</f>
        <v/>
      </c>
      <c r="G40" s="4">
        <f>Taxepunkter!G47</f>
        <v/>
      </c>
      <c r="H40" s="4">
        <f>Taxepunkter!H47</f>
        <v/>
      </c>
      <c r="I40" s="4">
        <f>Taxepunkter!I47</f>
        <v/>
      </c>
      <c r="J40" s="4">
        <f>Taxepunkter!J47</f>
        <v/>
      </c>
      <c r="K40" s="4">
        <f>Taxepunkter!K47</f>
        <v/>
      </c>
      <c r="L40" s="6">
        <f>Taxepunkter!L47</f>
        <v/>
      </c>
    </row>
    <row r="41">
      <c r="A41" s="5">
        <f>Taxepunkter!A48</f>
        <v/>
      </c>
      <c r="B41" s="4">
        <f>Taxepunkter!B48</f>
        <v/>
      </c>
      <c r="C41" s="4">
        <f>Taxepunkter!C48</f>
        <v/>
      </c>
      <c r="D41" s="4">
        <f>Taxepunkter!D48</f>
        <v/>
      </c>
      <c r="E41" s="4">
        <f>Taxepunkter!E48</f>
        <v/>
      </c>
      <c r="F41" s="4">
        <f>Taxepunkter!F48</f>
        <v/>
      </c>
      <c r="G41" s="4">
        <f>Taxepunkter!G48</f>
        <v/>
      </c>
      <c r="H41" s="4">
        <f>Taxepunkter!H48</f>
        <v/>
      </c>
      <c r="I41" s="4">
        <f>Taxepunkter!I48</f>
        <v/>
      </c>
      <c r="J41" s="4">
        <f>Taxepunkter!J48</f>
        <v/>
      </c>
      <c r="K41" s="4">
        <f>Taxepunkter!K48</f>
        <v/>
      </c>
      <c r="L41" s="6">
        <f>Taxepunkter!L48</f>
        <v/>
      </c>
    </row>
    <row r="42">
      <c r="A42" s="5">
        <f>Taxepunkter!A49</f>
        <v/>
      </c>
      <c r="B42" s="4">
        <f>Taxepunkter!B49</f>
        <v/>
      </c>
      <c r="C42" s="4">
        <f>Taxepunkter!C49</f>
        <v/>
      </c>
      <c r="D42" s="4">
        <f>Taxepunkter!D49</f>
        <v/>
      </c>
      <c r="E42" s="4">
        <f>Taxepunkter!E49</f>
        <v/>
      </c>
      <c r="F42" s="4">
        <f>Taxepunkter!F49</f>
        <v/>
      </c>
      <c r="G42" s="4">
        <f>Taxepunkter!G49</f>
        <v/>
      </c>
      <c r="H42" s="4">
        <f>Taxepunkter!H49</f>
        <v/>
      </c>
      <c r="I42" s="4">
        <f>Taxepunkter!I49</f>
        <v/>
      </c>
      <c r="J42" s="4">
        <f>Taxepunkter!J49</f>
        <v/>
      </c>
      <c r="K42" s="4">
        <f>Taxepunkter!K49</f>
        <v/>
      </c>
      <c r="L42" s="6">
        <f>Taxepunkter!L49</f>
        <v/>
      </c>
    </row>
    <row r="43">
      <c r="A43" s="5">
        <f>Taxepunkter!A50</f>
        <v/>
      </c>
      <c r="B43" s="4">
        <f>Taxepunkter!B50</f>
        <v/>
      </c>
      <c r="C43" s="4">
        <f>Taxepunkter!C50</f>
        <v/>
      </c>
      <c r="D43" s="4">
        <f>Taxepunkter!D50</f>
        <v/>
      </c>
      <c r="E43" s="4">
        <f>Taxepunkter!E50</f>
        <v/>
      </c>
      <c r="F43" s="4">
        <f>Taxepunkter!F50</f>
        <v/>
      </c>
      <c r="G43" s="4">
        <f>Taxepunkter!G50</f>
        <v/>
      </c>
      <c r="H43" s="4">
        <f>Taxepunkter!H50</f>
        <v/>
      </c>
      <c r="I43" s="4">
        <f>Taxepunkter!I50</f>
        <v/>
      </c>
      <c r="J43" s="4">
        <f>Taxepunkter!J50</f>
        <v/>
      </c>
      <c r="K43" s="4">
        <f>Taxepunkter!K50</f>
        <v/>
      </c>
      <c r="L43" s="6">
        <f>Taxepunkter!L50</f>
        <v/>
      </c>
    </row>
    <row r="44">
      <c r="A44" s="5">
        <f>Taxepunkter!A51</f>
        <v/>
      </c>
      <c r="B44" s="4">
        <f>Taxepunkter!B51</f>
        <v/>
      </c>
      <c r="C44" s="4">
        <f>Taxepunkter!C51</f>
        <v/>
      </c>
      <c r="D44" s="4">
        <f>Taxepunkter!D51</f>
        <v/>
      </c>
      <c r="E44" s="4">
        <f>Taxepunkter!E51</f>
        <v/>
      </c>
      <c r="F44" s="4">
        <f>Taxepunkter!F51</f>
        <v/>
      </c>
      <c r="G44" s="4">
        <f>Taxepunkter!G51</f>
        <v/>
      </c>
      <c r="H44" s="4">
        <f>Taxepunkter!H51</f>
        <v/>
      </c>
      <c r="I44" s="4">
        <f>Taxepunkter!I51</f>
        <v/>
      </c>
      <c r="J44" s="4">
        <f>Taxepunkter!J51</f>
        <v/>
      </c>
      <c r="K44" s="4">
        <f>Taxepunkter!K51</f>
        <v/>
      </c>
      <c r="L44" s="6">
        <f>Taxepunkter!L51</f>
        <v/>
      </c>
    </row>
    <row r="45">
      <c r="A45" s="5">
        <f>Taxepunkter!A52</f>
        <v/>
      </c>
      <c r="B45" s="4">
        <f>Taxepunkter!B52</f>
        <v/>
      </c>
      <c r="C45" s="4">
        <f>Taxepunkter!C52</f>
        <v/>
      </c>
      <c r="D45" s="4">
        <f>Taxepunkter!D52</f>
        <v/>
      </c>
      <c r="E45" s="4">
        <f>Taxepunkter!E52</f>
        <v/>
      </c>
      <c r="F45" s="4">
        <f>Taxepunkter!F52</f>
        <v/>
      </c>
      <c r="G45" s="4">
        <f>Taxepunkter!G52</f>
        <v/>
      </c>
      <c r="H45" s="4">
        <f>Taxepunkter!H52</f>
        <v/>
      </c>
      <c r="I45" s="4">
        <f>Taxepunkter!I52</f>
        <v/>
      </c>
      <c r="J45" s="4">
        <f>Taxepunkter!J52</f>
        <v/>
      </c>
      <c r="K45" s="4">
        <f>Taxepunkter!K52</f>
        <v/>
      </c>
      <c r="L45" s="6">
        <f>Taxepunkter!L52</f>
        <v/>
      </c>
    </row>
    <row r="46">
      <c r="A46" s="5">
        <f>Taxepunkter!A53</f>
        <v/>
      </c>
      <c r="B46" s="4">
        <f>Taxepunkter!B53</f>
        <v/>
      </c>
      <c r="C46" s="4">
        <f>Taxepunkter!C53</f>
        <v/>
      </c>
      <c r="D46" s="4">
        <f>Taxepunkter!D53</f>
        <v/>
      </c>
      <c r="E46" s="4">
        <f>Taxepunkter!E53</f>
        <v/>
      </c>
      <c r="F46" s="4">
        <f>Taxepunkter!F53</f>
        <v/>
      </c>
      <c r="G46" s="4">
        <f>Taxepunkter!G53</f>
        <v/>
      </c>
      <c r="H46" s="4">
        <f>Taxepunkter!H53</f>
        <v/>
      </c>
      <c r="I46" s="4">
        <f>Taxepunkter!I53</f>
        <v/>
      </c>
      <c r="J46" s="4">
        <f>Taxepunkter!J53</f>
        <v/>
      </c>
      <c r="K46" s="4">
        <f>Taxepunkter!K53</f>
        <v/>
      </c>
      <c r="L46" s="6">
        <f>Taxepunkter!L53</f>
        <v/>
      </c>
    </row>
    <row r="47">
      <c r="A47" s="5">
        <f>Taxepunkter!A54</f>
        <v/>
      </c>
      <c r="B47" s="4">
        <f>Taxepunkter!B54</f>
        <v/>
      </c>
      <c r="C47" s="4">
        <f>Taxepunkter!C54</f>
        <v/>
      </c>
      <c r="D47" s="4">
        <f>Taxepunkter!D54</f>
        <v/>
      </c>
      <c r="E47" s="4">
        <f>Taxepunkter!E54</f>
        <v/>
      </c>
      <c r="F47" s="4">
        <f>Taxepunkter!F54</f>
        <v/>
      </c>
      <c r="G47" s="4">
        <f>Taxepunkter!G54</f>
        <v/>
      </c>
      <c r="H47" s="4">
        <f>Taxepunkter!H54</f>
        <v/>
      </c>
      <c r="I47" s="4">
        <f>Taxepunkter!I54</f>
        <v/>
      </c>
      <c r="J47" s="4">
        <f>Taxepunkter!J54</f>
        <v/>
      </c>
      <c r="K47" s="4">
        <f>Taxepunkter!K54</f>
        <v/>
      </c>
      <c r="L47" s="6">
        <f>Taxepunkter!L54</f>
        <v/>
      </c>
    </row>
    <row r="48">
      <c r="A48" s="5">
        <f>Taxepunkter!A55</f>
        <v/>
      </c>
      <c r="B48" s="4">
        <f>Taxepunkter!B55</f>
        <v/>
      </c>
      <c r="C48" s="4">
        <f>Taxepunkter!C55</f>
        <v/>
      </c>
      <c r="D48" s="4">
        <f>Taxepunkter!D55</f>
        <v/>
      </c>
      <c r="E48" s="4">
        <f>Taxepunkter!E55</f>
        <v/>
      </c>
      <c r="F48" s="4">
        <f>Taxepunkter!F55</f>
        <v/>
      </c>
      <c r="G48" s="4">
        <f>Taxepunkter!G55</f>
        <v/>
      </c>
      <c r="H48" s="4">
        <f>Taxepunkter!H55</f>
        <v/>
      </c>
      <c r="I48" s="4">
        <f>Taxepunkter!I55</f>
        <v/>
      </c>
      <c r="J48" s="4">
        <f>Taxepunkter!J55</f>
        <v/>
      </c>
      <c r="K48" s="4">
        <f>Taxepunkter!K55</f>
        <v/>
      </c>
      <c r="L48" s="6">
        <f>Taxepunkter!L55</f>
        <v/>
      </c>
    </row>
    <row r="49">
      <c r="A49" s="5">
        <f>Taxepunkter!A56</f>
        <v/>
      </c>
      <c r="B49" s="4">
        <f>Taxepunkter!B56</f>
        <v/>
      </c>
      <c r="C49" s="4">
        <f>Taxepunkter!C56</f>
        <v/>
      </c>
      <c r="D49" s="4">
        <f>Taxepunkter!D56</f>
        <v/>
      </c>
      <c r="E49" s="4">
        <f>Taxepunkter!E56</f>
        <v/>
      </c>
      <c r="F49" s="4">
        <f>Taxepunkter!F56</f>
        <v/>
      </c>
      <c r="G49" s="4">
        <f>Taxepunkter!G56</f>
        <v/>
      </c>
      <c r="H49" s="4">
        <f>Taxepunkter!H56</f>
        <v/>
      </c>
      <c r="I49" s="4">
        <f>Taxepunkter!I56</f>
        <v/>
      </c>
      <c r="J49" s="4">
        <f>Taxepunkter!J56</f>
        <v/>
      </c>
      <c r="K49" s="4">
        <f>Taxepunkter!K56</f>
        <v/>
      </c>
      <c r="L49" s="6">
        <f>Taxepunkter!L56</f>
        <v/>
      </c>
    </row>
    <row r="50">
      <c r="A50" s="5">
        <f>Taxepunkter!A57</f>
        <v/>
      </c>
      <c r="B50" s="4">
        <f>Taxepunkter!B57</f>
        <v/>
      </c>
      <c r="C50" s="4">
        <f>Taxepunkter!C57</f>
        <v/>
      </c>
      <c r="D50" s="4">
        <f>Taxepunkter!D57</f>
        <v/>
      </c>
      <c r="E50" s="4">
        <f>Taxepunkter!E57</f>
        <v/>
      </c>
      <c r="F50" s="4">
        <f>Taxepunkter!F57</f>
        <v/>
      </c>
      <c r="G50" s="4">
        <f>Taxepunkter!G57</f>
        <v/>
      </c>
      <c r="H50" s="4">
        <f>Taxepunkter!H57</f>
        <v/>
      </c>
      <c r="I50" s="4">
        <f>Taxepunkter!I57</f>
        <v/>
      </c>
      <c r="J50" s="4">
        <f>Taxepunkter!J57</f>
        <v/>
      </c>
      <c r="K50" s="4">
        <f>Taxepunkter!K57</f>
        <v/>
      </c>
      <c r="L50" s="6">
        <f>Taxepunkter!L57</f>
        <v/>
      </c>
    </row>
    <row r="51">
      <c r="A51" s="5">
        <f>Taxepunkter!A58</f>
        <v/>
      </c>
      <c r="B51" s="4">
        <f>Taxepunkter!B58</f>
        <v/>
      </c>
      <c r="C51" s="4">
        <f>Taxepunkter!C58</f>
        <v/>
      </c>
      <c r="D51" s="4">
        <f>Taxepunkter!D58</f>
        <v/>
      </c>
      <c r="E51" s="4">
        <f>Taxepunkter!E58</f>
        <v/>
      </c>
      <c r="F51" s="4">
        <f>Taxepunkter!F58</f>
        <v/>
      </c>
      <c r="G51" s="4">
        <f>Taxepunkter!G58</f>
        <v/>
      </c>
      <c r="H51" s="4">
        <f>Taxepunkter!H58</f>
        <v/>
      </c>
      <c r="I51" s="4">
        <f>Taxepunkter!I58</f>
        <v/>
      </c>
      <c r="J51" s="4">
        <f>Taxepunkter!J58</f>
        <v/>
      </c>
      <c r="K51" s="4">
        <f>Taxepunkter!K58</f>
        <v/>
      </c>
      <c r="L51" s="6">
        <f>Taxepunkter!L58</f>
        <v/>
      </c>
    </row>
    <row r="52">
      <c r="A52" s="5">
        <f>Taxepunkter!A59</f>
        <v/>
      </c>
      <c r="B52" s="4">
        <f>Taxepunkter!B59</f>
        <v/>
      </c>
      <c r="C52" s="4">
        <f>Taxepunkter!C59</f>
        <v/>
      </c>
      <c r="D52" s="4">
        <f>Taxepunkter!D59</f>
        <v/>
      </c>
      <c r="E52" s="4">
        <f>Taxepunkter!E59</f>
        <v/>
      </c>
      <c r="F52" s="4">
        <f>Taxepunkter!F59</f>
        <v/>
      </c>
      <c r="G52" s="4">
        <f>Taxepunkter!G59</f>
        <v/>
      </c>
      <c r="H52" s="4">
        <f>Taxepunkter!H59</f>
        <v/>
      </c>
      <c r="I52" s="4">
        <f>Taxepunkter!I59</f>
        <v/>
      </c>
      <c r="J52" s="4">
        <f>Taxepunkter!J59</f>
        <v/>
      </c>
      <c r="K52" s="4">
        <f>Taxepunkter!K59</f>
        <v/>
      </c>
      <c r="L52" s="6">
        <f>Taxepunkter!L59</f>
        <v/>
      </c>
    </row>
    <row r="53">
      <c r="A53" s="5">
        <f>Taxepunkter!A60</f>
        <v/>
      </c>
      <c r="B53" s="4">
        <f>Taxepunkter!B60</f>
        <v/>
      </c>
      <c r="C53" s="4">
        <f>Taxepunkter!C60</f>
        <v/>
      </c>
      <c r="D53" s="4">
        <f>Taxepunkter!D60</f>
        <v/>
      </c>
      <c r="E53" s="4">
        <f>Taxepunkter!E60</f>
        <v/>
      </c>
      <c r="F53" s="4">
        <f>Taxepunkter!F60</f>
        <v/>
      </c>
      <c r="G53" s="4">
        <f>Taxepunkter!G60</f>
        <v/>
      </c>
      <c r="H53" s="4">
        <f>Taxepunkter!H60</f>
        <v/>
      </c>
      <c r="I53" s="4">
        <f>Taxepunkter!I60</f>
        <v/>
      </c>
      <c r="J53" s="4">
        <f>Taxepunkter!J60</f>
        <v/>
      </c>
      <c r="K53" s="4">
        <f>Taxepunkter!K60</f>
        <v/>
      </c>
      <c r="L53" s="6">
        <f>Taxepunkter!L60</f>
        <v/>
      </c>
    </row>
    <row r="54">
      <c r="A54" s="5">
        <f>Taxepunkter!A61</f>
        <v/>
      </c>
      <c r="B54" s="4">
        <f>Taxepunkter!B61</f>
        <v/>
      </c>
      <c r="C54" s="4">
        <f>Taxepunkter!C61</f>
        <v/>
      </c>
      <c r="D54" s="4">
        <f>Taxepunkter!D61</f>
        <v/>
      </c>
      <c r="E54" s="4">
        <f>Taxepunkter!E61</f>
        <v/>
      </c>
      <c r="F54" s="4">
        <f>Taxepunkter!F61</f>
        <v/>
      </c>
      <c r="G54" s="4">
        <f>Taxepunkter!G61</f>
        <v/>
      </c>
      <c r="H54" s="4">
        <f>Taxepunkter!H61</f>
        <v/>
      </c>
      <c r="I54" s="4">
        <f>Taxepunkter!I61</f>
        <v/>
      </c>
      <c r="J54" s="4">
        <f>Taxepunkter!J61</f>
        <v/>
      </c>
      <c r="K54" s="4">
        <f>Taxepunkter!K61</f>
        <v/>
      </c>
      <c r="L54" s="6">
        <f>Taxepunkter!L61</f>
        <v/>
      </c>
    </row>
    <row r="55">
      <c r="A55" s="5">
        <f>Taxepunkter!A62</f>
        <v/>
      </c>
      <c r="B55" s="4">
        <f>Taxepunkter!B62</f>
        <v/>
      </c>
      <c r="C55" s="4">
        <f>Taxepunkter!C62</f>
        <v/>
      </c>
      <c r="D55" s="4">
        <f>Taxepunkter!D62</f>
        <v/>
      </c>
      <c r="E55" s="4">
        <f>Taxepunkter!E62</f>
        <v/>
      </c>
      <c r="F55" s="4">
        <f>Taxepunkter!F62</f>
        <v/>
      </c>
      <c r="G55" s="4">
        <f>Taxepunkter!G62</f>
        <v/>
      </c>
      <c r="H55" s="4">
        <f>Taxepunkter!H62</f>
        <v/>
      </c>
      <c r="I55" s="4">
        <f>Taxepunkter!I62</f>
        <v/>
      </c>
      <c r="J55" s="4">
        <f>Taxepunkter!J62</f>
        <v/>
      </c>
      <c r="K55" s="4">
        <f>Taxepunkter!K62</f>
        <v/>
      </c>
      <c r="L55" s="6">
        <f>Taxepunkter!L62</f>
        <v/>
      </c>
    </row>
    <row r="56">
      <c r="A56" s="5">
        <f>Taxepunkter!A63</f>
        <v/>
      </c>
      <c r="B56" s="4">
        <f>Taxepunkter!B63</f>
        <v/>
      </c>
      <c r="C56" s="4">
        <f>Taxepunkter!C63</f>
        <v/>
      </c>
      <c r="D56" s="4">
        <f>Taxepunkter!D63</f>
        <v/>
      </c>
      <c r="E56" s="4">
        <f>Taxepunkter!E63</f>
        <v/>
      </c>
      <c r="F56" s="4">
        <f>Taxepunkter!F63</f>
        <v/>
      </c>
      <c r="G56" s="4">
        <f>Taxepunkter!G63</f>
        <v/>
      </c>
      <c r="H56" s="4">
        <f>Taxepunkter!H63</f>
        <v/>
      </c>
      <c r="I56" s="4">
        <f>Taxepunkter!I63</f>
        <v/>
      </c>
      <c r="J56" s="4">
        <f>Taxepunkter!J63</f>
        <v/>
      </c>
      <c r="K56" s="4">
        <f>Taxepunkter!K63</f>
        <v/>
      </c>
      <c r="L56" s="6">
        <f>Taxepunkter!L63</f>
        <v/>
      </c>
    </row>
    <row r="57">
      <c r="A57" s="5">
        <f>Taxepunkter!A64</f>
        <v/>
      </c>
      <c r="B57" s="4">
        <f>Taxepunkter!B64</f>
        <v/>
      </c>
      <c r="C57" s="4">
        <f>Taxepunkter!C64</f>
        <v/>
      </c>
      <c r="D57" s="4">
        <f>Taxepunkter!D64</f>
        <v/>
      </c>
      <c r="E57" s="4">
        <f>Taxepunkter!E64</f>
        <v/>
      </c>
      <c r="F57" s="4">
        <f>Taxepunkter!F64</f>
        <v/>
      </c>
      <c r="G57" s="4">
        <f>Taxepunkter!G64</f>
        <v/>
      </c>
      <c r="H57" s="4">
        <f>Taxepunkter!H64</f>
        <v/>
      </c>
      <c r="I57" s="4">
        <f>Taxepunkter!I64</f>
        <v/>
      </c>
      <c r="J57" s="4">
        <f>Taxepunkter!J64</f>
        <v/>
      </c>
      <c r="K57" s="4">
        <f>Taxepunkter!K64</f>
        <v/>
      </c>
      <c r="L57" s="6">
        <f>Taxepunkter!L64</f>
        <v/>
      </c>
    </row>
    <row r="58">
      <c r="A58" s="5">
        <f>Taxepunkter!A65</f>
        <v/>
      </c>
      <c r="B58" s="4">
        <f>Taxepunkter!B65</f>
        <v/>
      </c>
      <c r="C58" s="4">
        <f>Taxepunkter!C65</f>
        <v/>
      </c>
      <c r="D58" s="4">
        <f>Taxepunkter!D65</f>
        <v/>
      </c>
      <c r="E58" s="4">
        <f>Taxepunkter!E65</f>
        <v/>
      </c>
      <c r="F58" s="4">
        <f>Taxepunkter!F65</f>
        <v/>
      </c>
      <c r="G58" s="4">
        <f>Taxepunkter!G65</f>
        <v/>
      </c>
      <c r="H58" s="4">
        <f>Taxepunkter!H65</f>
        <v/>
      </c>
      <c r="I58" s="4">
        <f>Taxepunkter!I65</f>
        <v/>
      </c>
      <c r="J58" s="4">
        <f>Taxepunkter!J65</f>
        <v/>
      </c>
      <c r="K58" s="4">
        <f>Taxepunkter!K65</f>
        <v/>
      </c>
      <c r="L58" s="6">
        <f>Taxepunkter!L65</f>
        <v/>
      </c>
    </row>
    <row r="59">
      <c r="A59" s="5">
        <f>Taxepunkter!A66</f>
        <v/>
      </c>
      <c r="B59" s="4">
        <f>Taxepunkter!B66</f>
        <v/>
      </c>
      <c r="C59" s="4">
        <f>Taxepunkter!C66</f>
        <v/>
      </c>
      <c r="D59" s="4">
        <f>Taxepunkter!D66</f>
        <v/>
      </c>
      <c r="E59" s="4">
        <f>Taxepunkter!E66</f>
        <v/>
      </c>
      <c r="F59" s="4">
        <f>Taxepunkter!F66</f>
        <v/>
      </c>
      <c r="G59" s="4">
        <f>Taxepunkter!G66</f>
        <v/>
      </c>
      <c r="H59" s="4">
        <f>Taxepunkter!H66</f>
        <v/>
      </c>
      <c r="I59" s="4">
        <f>Taxepunkter!I66</f>
        <v/>
      </c>
      <c r="J59" s="4">
        <f>Taxepunkter!J66</f>
        <v/>
      </c>
      <c r="K59" s="4">
        <f>Taxepunkter!K66</f>
        <v/>
      </c>
      <c r="L59" s="6">
        <f>Taxepunkter!L66</f>
        <v/>
      </c>
    </row>
    <row r="60">
      <c r="A60" s="5">
        <f>Taxepunkter!A67</f>
        <v/>
      </c>
      <c r="B60" s="4">
        <f>Taxepunkter!B67</f>
        <v/>
      </c>
      <c r="C60" s="4">
        <f>Taxepunkter!C67</f>
        <v/>
      </c>
      <c r="D60" s="4">
        <f>Taxepunkter!D67</f>
        <v/>
      </c>
      <c r="E60" s="4">
        <f>Taxepunkter!E67</f>
        <v/>
      </c>
      <c r="F60" s="4">
        <f>Taxepunkter!F67</f>
        <v/>
      </c>
      <c r="G60" s="4">
        <f>Taxepunkter!G67</f>
        <v/>
      </c>
      <c r="H60" s="4">
        <f>Taxepunkter!H67</f>
        <v/>
      </c>
      <c r="I60" s="4">
        <f>Taxepunkter!I67</f>
        <v/>
      </c>
      <c r="J60" s="4">
        <f>Taxepunkter!J67</f>
        <v/>
      </c>
      <c r="K60" s="4">
        <f>Taxepunkter!K67</f>
        <v/>
      </c>
      <c r="L60" s="6">
        <f>Taxepunkter!L67</f>
        <v/>
      </c>
    </row>
    <row r="61">
      <c r="A61" s="5">
        <f>Taxepunkter!A68</f>
        <v/>
      </c>
      <c r="B61" s="4">
        <f>Taxepunkter!B68</f>
        <v/>
      </c>
      <c r="C61" s="4">
        <f>Taxepunkter!C68</f>
        <v/>
      </c>
      <c r="D61" s="4">
        <f>Taxepunkter!D68</f>
        <v/>
      </c>
      <c r="E61" s="4">
        <f>Taxepunkter!E68</f>
        <v/>
      </c>
      <c r="F61" s="4">
        <f>Taxepunkter!F68</f>
        <v/>
      </c>
      <c r="G61" s="4">
        <f>Taxepunkter!G68</f>
        <v/>
      </c>
      <c r="H61" s="4">
        <f>Taxepunkter!H68</f>
        <v/>
      </c>
      <c r="I61" s="4">
        <f>Taxepunkter!I68</f>
        <v/>
      </c>
      <c r="J61" s="4">
        <f>Taxepunkter!J68</f>
        <v/>
      </c>
      <c r="K61" s="4">
        <f>Taxepunkter!K68</f>
        <v/>
      </c>
      <c r="L61" s="6">
        <f>Taxepunkter!L68</f>
        <v/>
      </c>
    </row>
    <row r="62">
      <c r="A62" s="5">
        <f>Taxepunkter!A69</f>
        <v/>
      </c>
      <c r="B62" s="4">
        <f>Taxepunkter!B69</f>
        <v/>
      </c>
      <c r="C62" s="4">
        <f>Taxepunkter!C69</f>
        <v/>
      </c>
      <c r="D62" s="4">
        <f>Taxepunkter!D69</f>
        <v/>
      </c>
      <c r="E62" s="4">
        <f>Taxepunkter!E69</f>
        <v/>
      </c>
      <c r="F62" s="4">
        <f>Taxepunkter!F69</f>
        <v/>
      </c>
      <c r="G62" s="4">
        <f>Taxepunkter!G69</f>
        <v/>
      </c>
      <c r="H62" s="4">
        <f>Taxepunkter!H69</f>
        <v/>
      </c>
      <c r="I62" s="4">
        <f>Taxepunkter!I69</f>
        <v/>
      </c>
      <c r="J62" s="4">
        <f>Taxepunkter!J69</f>
        <v/>
      </c>
      <c r="K62" s="4">
        <f>Taxepunkter!K69</f>
        <v/>
      </c>
      <c r="L62" s="6">
        <f>Taxepunkter!L69</f>
        <v/>
      </c>
    </row>
    <row r="63">
      <c r="A63" s="5">
        <f>Taxepunkter!A70</f>
        <v/>
      </c>
      <c r="B63" s="4">
        <f>Taxepunkter!B70</f>
        <v/>
      </c>
      <c r="C63" s="4">
        <f>Taxepunkter!C70</f>
        <v/>
      </c>
      <c r="D63" s="4">
        <f>Taxepunkter!D70</f>
        <v/>
      </c>
      <c r="E63" s="4">
        <f>Taxepunkter!E70</f>
        <v/>
      </c>
      <c r="F63" s="4">
        <f>Taxepunkter!F70</f>
        <v/>
      </c>
      <c r="G63" s="4">
        <f>Taxepunkter!G70</f>
        <v/>
      </c>
      <c r="H63" s="4">
        <f>Taxepunkter!H70</f>
        <v/>
      </c>
      <c r="I63" s="4">
        <f>Taxepunkter!I70</f>
        <v/>
      </c>
      <c r="J63" s="4">
        <f>Taxepunkter!J70</f>
        <v/>
      </c>
      <c r="K63" s="4">
        <f>Taxepunkter!K70</f>
        <v/>
      </c>
      <c r="L63" s="6">
        <f>Taxepunkter!L70</f>
        <v/>
      </c>
    </row>
    <row r="64">
      <c r="A64" s="5">
        <f>Taxepunkter!A71</f>
        <v/>
      </c>
      <c r="B64" s="4">
        <f>Taxepunkter!B71</f>
        <v/>
      </c>
      <c r="C64" s="4">
        <f>Taxepunkter!C71</f>
        <v/>
      </c>
      <c r="D64" s="4">
        <f>Taxepunkter!D71</f>
        <v/>
      </c>
      <c r="E64" s="4">
        <f>Taxepunkter!E71</f>
        <v/>
      </c>
      <c r="F64" s="4">
        <f>Taxepunkter!F71</f>
        <v/>
      </c>
      <c r="G64" s="4">
        <f>Taxepunkter!G71</f>
        <v/>
      </c>
      <c r="H64" s="4">
        <f>Taxepunkter!H71</f>
        <v/>
      </c>
      <c r="I64" s="4">
        <f>Taxepunkter!I71</f>
        <v/>
      </c>
      <c r="J64" s="4">
        <f>Taxepunkter!J71</f>
        <v/>
      </c>
      <c r="K64" s="4">
        <f>Taxepunkter!K71</f>
        <v/>
      </c>
      <c r="L64" s="6">
        <f>Taxepunkter!L71</f>
        <v/>
      </c>
    </row>
    <row r="65">
      <c r="A65" s="5">
        <f>Taxepunkter!A72</f>
        <v/>
      </c>
      <c r="B65" s="4">
        <f>Taxepunkter!B72</f>
        <v/>
      </c>
      <c r="C65" s="4">
        <f>Taxepunkter!C72</f>
        <v/>
      </c>
      <c r="D65" s="4">
        <f>Taxepunkter!D72</f>
        <v/>
      </c>
      <c r="E65" s="4">
        <f>Taxepunkter!E72</f>
        <v/>
      </c>
      <c r="F65" s="4">
        <f>Taxepunkter!F72</f>
        <v/>
      </c>
      <c r="G65" s="4">
        <f>Taxepunkter!G72</f>
        <v/>
      </c>
      <c r="H65" s="4">
        <f>Taxepunkter!H72</f>
        <v/>
      </c>
      <c r="I65" s="4">
        <f>Taxepunkter!I72</f>
        <v/>
      </c>
      <c r="J65" s="4">
        <f>Taxepunkter!J72</f>
        <v/>
      </c>
      <c r="K65" s="4">
        <f>Taxepunkter!K72</f>
        <v/>
      </c>
      <c r="L65" s="6">
        <f>Taxepunkter!L72</f>
        <v/>
      </c>
    </row>
    <row r="66">
      <c r="A66" s="5">
        <f>Taxepunkter!A73</f>
        <v/>
      </c>
      <c r="B66" s="4">
        <f>Taxepunkter!B73</f>
        <v/>
      </c>
      <c r="C66" s="4">
        <f>Taxepunkter!C73</f>
        <v/>
      </c>
      <c r="D66" s="4">
        <f>Taxepunkter!D73</f>
        <v/>
      </c>
      <c r="E66" s="4">
        <f>Taxepunkter!E73</f>
        <v/>
      </c>
      <c r="F66" s="4">
        <f>Taxepunkter!F73</f>
        <v/>
      </c>
      <c r="G66" s="4">
        <f>Taxepunkter!G73</f>
        <v/>
      </c>
      <c r="H66" s="4">
        <f>Taxepunkter!H73</f>
        <v/>
      </c>
      <c r="I66" s="4">
        <f>Taxepunkter!I73</f>
        <v/>
      </c>
      <c r="J66" s="4">
        <f>Taxepunkter!J73</f>
        <v/>
      </c>
      <c r="K66" s="4">
        <f>Taxepunkter!K73</f>
        <v/>
      </c>
      <c r="L66" s="6">
        <f>Taxepunkter!L73</f>
        <v/>
      </c>
    </row>
    <row r="67">
      <c r="A67" s="5">
        <f>Taxepunkter!A74</f>
        <v/>
      </c>
      <c r="B67" s="4">
        <f>Taxepunkter!B74</f>
        <v/>
      </c>
      <c r="C67" s="4">
        <f>Taxepunkter!C74</f>
        <v/>
      </c>
      <c r="D67" s="4">
        <f>Taxepunkter!D74</f>
        <v/>
      </c>
      <c r="E67" s="4">
        <f>Taxepunkter!E74</f>
        <v/>
      </c>
      <c r="F67" s="4">
        <f>Taxepunkter!F74</f>
        <v/>
      </c>
      <c r="G67" s="4">
        <f>Taxepunkter!G74</f>
        <v/>
      </c>
      <c r="H67" s="4">
        <f>Taxepunkter!H74</f>
        <v/>
      </c>
      <c r="I67" s="4">
        <f>Taxepunkter!I74</f>
        <v/>
      </c>
      <c r="J67" s="4">
        <f>Taxepunkter!J74</f>
        <v/>
      </c>
      <c r="K67" s="4">
        <f>Taxepunkter!K74</f>
        <v/>
      </c>
      <c r="L67" s="6">
        <f>Taxepunkter!L74</f>
        <v/>
      </c>
    </row>
    <row r="68">
      <c r="A68" s="5">
        <f>Taxepunkter!A75</f>
        <v/>
      </c>
      <c r="B68" s="4">
        <f>Taxepunkter!B75</f>
        <v/>
      </c>
      <c r="C68" s="4">
        <f>Taxepunkter!C75</f>
        <v/>
      </c>
      <c r="D68" s="4">
        <f>Taxepunkter!D75</f>
        <v/>
      </c>
      <c r="E68" s="4">
        <f>Taxepunkter!E75</f>
        <v/>
      </c>
      <c r="F68" s="4">
        <f>Taxepunkter!F75</f>
        <v/>
      </c>
      <c r="G68" s="4">
        <f>Taxepunkter!G75</f>
        <v/>
      </c>
      <c r="H68" s="4">
        <f>Taxepunkter!H75</f>
        <v/>
      </c>
      <c r="I68" s="4">
        <f>Taxepunkter!I75</f>
        <v/>
      </c>
      <c r="J68" s="4">
        <f>Taxepunkter!J75</f>
        <v/>
      </c>
      <c r="K68" s="4">
        <f>Taxepunkter!K75</f>
        <v/>
      </c>
      <c r="L68" s="6">
        <f>Taxepunkter!L75</f>
        <v/>
      </c>
    </row>
    <row r="69">
      <c r="A69" s="5">
        <f>Taxepunkter!A76</f>
        <v/>
      </c>
      <c r="B69" s="4">
        <f>Taxepunkter!B76</f>
        <v/>
      </c>
      <c r="C69" s="4">
        <f>Taxepunkter!C76</f>
        <v/>
      </c>
      <c r="D69" s="4">
        <f>Taxepunkter!D76</f>
        <v/>
      </c>
      <c r="E69" s="4">
        <f>Taxepunkter!E76</f>
        <v/>
      </c>
      <c r="F69" s="4">
        <f>Taxepunkter!F76</f>
        <v/>
      </c>
      <c r="G69" s="4">
        <f>Taxepunkter!G76</f>
        <v/>
      </c>
      <c r="H69" s="4">
        <f>Taxepunkter!H76</f>
        <v/>
      </c>
      <c r="I69" s="4">
        <f>Taxepunkter!I76</f>
        <v/>
      </c>
      <c r="J69" s="4">
        <f>Taxepunkter!J76</f>
        <v/>
      </c>
      <c r="K69" s="4">
        <f>Taxepunkter!K76</f>
        <v/>
      </c>
      <c r="L69" s="6">
        <f>Taxepunkter!L76</f>
        <v/>
      </c>
    </row>
    <row r="70">
      <c r="A70" s="5">
        <f>Taxepunkter!A77</f>
        <v/>
      </c>
      <c r="B70" s="4">
        <f>Taxepunkter!B77</f>
        <v/>
      </c>
      <c r="C70" s="4">
        <f>Taxepunkter!C77</f>
        <v/>
      </c>
      <c r="D70" s="4">
        <f>Taxepunkter!D77</f>
        <v/>
      </c>
      <c r="E70" s="4">
        <f>Taxepunkter!E77</f>
        <v/>
      </c>
      <c r="F70" s="4">
        <f>Taxepunkter!F77</f>
        <v/>
      </c>
      <c r="G70" s="4">
        <f>Taxepunkter!G77</f>
        <v/>
      </c>
      <c r="H70" s="4">
        <f>Taxepunkter!H77</f>
        <v/>
      </c>
      <c r="I70" s="4">
        <f>Taxepunkter!I77</f>
        <v/>
      </c>
      <c r="J70" s="4">
        <f>Taxepunkter!J77</f>
        <v/>
      </c>
      <c r="K70" s="4">
        <f>Taxepunkter!K77</f>
        <v/>
      </c>
      <c r="L70" s="6">
        <f>Taxepunkter!L77</f>
        <v/>
      </c>
    </row>
    <row r="71">
      <c r="A71" s="5">
        <f>Taxepunkter!A78</f>
        <v/>
      </c>
      <c r="B71" s="4">
        <f>Taxepunkter!B78</f>
        <v/>
      </c>
      <c r="C71" s="4">
        <f>Taxepunkter!C78</f>
        <v/>
      </c>
      <c r="D71" s="4">
        <f>Taxepunkter!D78</f>
        <v/>
      </c>
      <c r="E71" s="4">
        <f>Taxepunkter!E78</f>
        <v/>
      </c>
      <c r="F71" s="4">
        <f>Taxepunkter!F78</f>
        <v/>
      </c>
      <c r="G71" s="4">
        <f>Taxepunkter!G78</f>
        <v/>
      </c>
      <c r="H71" s="4">
        <f>Taxepunkter!H78</f>
        <v/>
      </c>
      <c r="I71" s="4">
        <f>Taxepunkter!I78</f>
        <v/>
      </c>
      <c r="J71" s="4">
        <f>Taxepunkter!J78</f>
        <v/>
      </c>
      <c r="K71" s="4">
        <f>Taxepunkter!K78</f>
        <v/>
      </c>
      <c r="L71" s="6">
        <f>Taxepunkter!L78</f>
        <v/>
      </c>
    </row>
    <row r="72">
      <c r="A72" s="5">
        <f>Taxepunkter!A79</f>
        <v/>
      </c>
      <c r="B72" s="4">
        <f>Taxepunkter!B79</f>
        <v/>
      </c>
      <c r="C72" s="4">
        <f>Taxepunkter!C79</f>
        <v/>
      </c>
      <c r="D72" s="4">
        <f>Taxepunkter!D79</f>
        <v/>
      </c>
      <c r="E72" s="4">
        <f>Taxepunkter!E79</f>
        <v/>
      </c>
      <c r="F72" s="4">
        <f>Taxepunkter!F79</f>
        <v/>
      </c>
      <c r="G72" s="4">
        <f>Taxepunkter!G79</f>
        <v/>
      </c>
      <c r="H72" s="4">
        <f>Taxepunkter!H79</f>
        <v/>
      </c>
      <c r="I72" s="4">
        <f>Taxepunkter!I79</f>
        <v/>
      </c>
      <c r="J72" s="4">
        <f>Taxepunkter!J79</f>
        <v/>
      </c>
      <c r="K72" s="4">
        <f>Taxepunkter!K79</f>
        <v/>
      </c>
      <c r="L72" s="6">
        <f>Taxepunkter!L79</f>
        <v/>
      </c>
    </row>
    <row r="73">
      <c r="A73" s="5">
        <f>Taxepunkter!A80</f>
        <v/>
      </c>
      <c r="B73" s="4">
        <f>Taxepunkter!B80</f>
        <v/>
      </c>
      <c r="C73" s="4">
        <f>Taxepunkter!C80</f>
        <v/>
      </c>
      <c r="D73" s="4">
        <f>Taxepunkter!D80</f>
        <v/>
      </c>
      <c r="E73" s="4">
        <f>Taxepunkter!E80</f>
        <v/>
      </c>
      <c r="F73" s="4">
        <f>Taxepunkter!F80</f>
        <v/>
      </c>
      <c r="G73" s="4">
        <f>Taxepunkter!G80</f>
        <v/>
      </c>
      <c r="H73" s="4">
        <f>Taxepunkter!H80</f>
        <v/>
      </c>
      <c r="I73" s="4">
        <f>Taxepunkter!I80</f>
        <v/>
      </c>
      <c r="J73" s="4">
        <f>Taxepunkter!J80</f>
        <v/>
      </c>
      <c r="K73" s="4">
        <f>Taxepunkter!K80</f>
        <v/>
      </c>
      <c r="L73" s="6">
        <f>Taxepunkter!L80</f>
        <v/>
      </c>
    </row>
    <row r="74">
      <c r="A74" s="5">
        <f>Taxepunkter!A81</f>
        <v/>
      </c>
      <c r="B74" s="4">
        <f>Taxepunkter!B81</f>
        <v/>
      </c>
      <c r="C74" s="4">
        <f>Taxepunkter!C81</f>
        <v/>
      </c>
      <c r="D74" s="4">
        <f>Taxepunkter!D81</f>
        <v/>
      </c>
      <c r="E74" s="4">
        <f>Taxepunkter!E81</f>
        <v/>
      </c>
      <c r="F74" s="4">
        <f>Taxepunkter!F81</f>
        <v/>
      </c>
      <c r="G74" s="4">
        <f>Taxepunkter!G81</f>
        <v/>
      </c>
      <c r="H74" s="4">
        <f>Taxepunkter!H81</f>
        <v/>
      </c>
      <c r="I74" s="4">
        <f>Taxepunkter!I81</f>
        <v/>
      </c>
      <c r="J74" s="4">
        <f>Taxepunkter!J81</f>
        <v/>
      </c>
      <c r="K74" s="4">
        <f>Taxepunkter!K81</f>
        <v/>
      </c>
      <c r="L74" s="6">
        <f>Taxepunkter!L81</f>
        <v/>
      </c>
    </row>
    <row r="75">
      <c r="A75" s="5">
        <f>Taxepunkter!A82</f>
        <v/>
      </c>
      <c r="B75" s="4">
        <f>Taxepunkter!B82</f>
        <v/>
      </c>
      <c r="C75" s="4">
        <f>Taxepunkter!C82</f>
        <v/>
      </c>
      <c r="D75" s="4">
        <f>Taxepunkter!D82</f>
        <v/>
      </c>
      <c r="E75" s="4">
        <f>Taxepunkter!E82</f>
        <v/>
      </c>
      <c r="F75" s="4">
        <f>Taxepunkter!F82</f>
        <v/>
      </c>
      <c r="G75" s="4">
        <f>Taxepunkter!G82</f>
        <v/>
      </c>
      <c r="H75" s="4">
        <f>Taxepunkter!H82</f>
        <v/>
      </c>
      <c r="I75" s="4">
        <f>Taxepunkter!I82</f>
        <v/>
      </c>
      <c r="J75" s="4">
        <f>Taxepunkter!J82</f>
        <v/>
      </c>
      <c r="K75" s="4">
        <f>Taxepunkter!K82</f>
        <v/>
      </c>
      <c r="L75" s="6">
        <f>Taxepunkter!L82</f>
        <v/>
      </c>
    </row>
    <row r="76">
      <c r="A76" s="5">
        <f>Taxepunkter!A83</f>
        <v/>
      </c>
      <c r="B76" s="4">
        <f>Taxepunkter!B83</f>
        <v/>
      </c>
      <c r="C76" s="4">
        <f>Taxepunkter!C83</f>
        <v/>
      </c>
      <c r="D76" s="4">
        <f>Taxepunkter!D83</f>
        <v/>
      </c>
      <c r="E76" s="4">
        <f>Taxepunkter!E83</f>
        <v/>
      </c>
      <c r="F76" s="4">
        <f>Taxepunkter!F83</f>
        <v/>
      </c>
      <c r="G76" s="4">
        <f>Taxepunkter!G83</f>
        <v/>
      </c>
      <c r="H76" s="4">
        <f>Taxepunkter!H83</f>
        <v/>
      </c>
      <c r="I76" s="4">
        <f>Taxepunkter!I83</f>
        <v/>
      </c>
      <c r="J76" s="4">
        <f>Taxepunkter!J83</f>
        <v/>
      </c>
      <c r="K76" s="4">
        <f>Taxepunkter!K83</f>
        <v/>
      </c>
      <c r="L76" s="6">
        <f>Taxepunkter!L83</f>
        <v/>
      </c>
    </row>
    <row r="77">
      <c r="A77" s="5">
        <f>Taxepunkter!A84</f>
        <v/>
      </c>
      <c r="B77" s="4">
        <f>Taxepunkter!B84</f>
        <v/>
      </c>
      <c r="C77" s="4">
        <f>Taxepunkter!C84</f>
        <v/>
      </c>
      <c r="D77" s="4">
        <f>Taxepunkter!D84</f>
        <v/>
      </c>
      <c r="E77" s="4">
        <f>Taxepunkter!E84</f>
        <v/>
      </c>
      <c r="F77" s="4">
        <f>Taxepunkter!F84</f>
        <v/>
      </c>
      <c r="G77" s="4">
        <f>Taxepunkter!G84</f>
        <v/>
      </c>
      <c r="H77" s="4">
        <f>Taxepunkter!H84</f>
        <v/>
      </c>
      <c r="I77" s="4">
        <f>Taxepunkter!I84</f>
        <v/>
      </c>
      <c r="J77" s="4">
        <f>Taxepunkter!J84</f>
        <v/>
      </c>
      <c r="K77" s="4">
        <f>Taxepunkter!K84</f>
        <v/>
      </c>
      <c r="L77" s="6">
        <f>Taxepunkter!L84</f>
        <v/>
      </c>
    </row>
    <row r="78">
      <c r="A78" s="5">
        <f>Taxepunkter!A85</f>
        <v/>
      </c>
      <c r="B78" s="4">
        <f>Taxepunkter!B85</f>
        <v/>
      </c>
      <c r="C78" s="4">
        <f>Taxepunkter!C85</f>
        <v/>
      </c>
      <c r="D78" s="4">
        <f>Taxepunkter!D85</f>
        <v/>
      </c>
      <c r="E78" s="4">
        <f>Taxepunkter!E85</f>
        <v/>
      </c>
      <c r="F78" s="4">
        <f>Taxepunkter!F85</f>
        <v/>
      </c>
      <c r="G78" s="4">
        <f>Taxepunkter!G85</f>
        <v/>
      </c>
      <c r="H78" s="4">
        <f>Taxepunkter!H85</f>
        <v/>
      </c>
      <c r="I78" s="4">
        <f>Taxepunkter!I85</f>
        <v/>
      </c>
      <c r="J78" s="4">
        <f>Taxepunkter!J85</f>
        <v/>
      </c>
      <c r="K78" s="4">
        <f>Taxepunkter!K85</f>
        <v/>
      </c>
      <c r="L78" s="6">
        <f>Taxepunkter!L85</f>
        <v/>
      </c>
    </row>
    <row r="79">
      <c r="A79" s="5">
        <f>Taxepunkter!A86</f>
        <v/>
      </c>
      <c r="B79" s="4">
        <f>Taxepunkter!B86</f>
        <v/>
      </c>
      <c r="C79" s="4">
        <f>Taxepunkter!C86</f>
        <v/>
      </c>
      <c r="D79" s="4">
        <f>Taxepunkter!D86</f>
        <v/>
      </c>
      <c r="E79" s="4">
        <f>Taxepunkter!E86</f>
        <v/>
      </c>
      <c r="F79" s="4">
        <f>Taxepunkter!F86</f>
        <v/>
      </c>
      <c r="G79" s="4">
        <f>Taxepunkter!G86</f>
        <v/>
      </c>
      <c r="H79" s="4">
        <f>Taxepunkter!H86</f>
        <v/>
      </c>
      <c r="I79" s="4">
        <f>Taxepunkter!I86</f>
        <v/>
      </c>
      <c r="J79" s="4">
        <f>Taxepunkter!J86</f>
        <v/>
      </c>
      <c r="K79" s="4">
        <f>Taxepunkter!K86</f>
        <v/>
      </c>
      <c r="L79" s="6">
        <f>Taxepunkter!L86</f>
        <v/>
      </c>
    </row>
    <row r="80">
      <c r="A80" s="5">
        <f>Taxepunkter!A87</f>
        <v/>
      </c>
      <c r="B80" s="4">
        <f>Taxepunkter!B87</f>
        <v/>
      </c>
      <c r="C80" s="4">
        <f>Taxepunkter!C87</f>
        <v/>
      </c>
      <c r="D80" s="4">
        <f>Taxepunkter!D87</f>
        <v/>
      </c>
      <c r="E80" s="4">
        <f>Taxepunkter!E87</f>
        <v/>
      </c>
      <c r="F80" s="4">
        <f>Taxepunkter!F87</f>
        <v/>
      </c>
      <c r="G80" s="4">
        <f>Taxepunkter!G87</f>
        <v/>
      </c>
      <c r="H80" s="4">
        <f>Taxepunkter!H87</f>
        <v/>
      </c>
      <c r="I80" s="4">
        <f>Taxepunkter!I87</f>
        <v/>
      </c>
      <c r="J80" s="4">
        <f>Taxepunkter!J87</f>
        <v/>
      </c>
      <c r="K80" s="4">
        <f>Taxepunkter!K87</f>
        <v/>
      </c>
      <c r="L80" s="6">
        <f>Taxepunkter!L87</f>
        <v/>
      </c>
    </row>
    <row r="81">
      <c r="A81" s="5">
        <f>Taxepunkter!A88</f>
        <v/>
      </c>
      <c r="B81" s="4">
        <f>Taxepunkter!B88</f>
        <v/>
      </c>
      <c r="C81" s="4">
        <f>Taxepunkter!C88</f>
        <v/>
      </c>
      <c r="D81" s="4">
        <f>Taxepunkter!D88</f>
        <v/>
      </c>
      <c r="E81" s="4">
        <f>Taxepunkter!E88</f>
        <v/>
      </c>
      <c r="F81" s="4">
        <f>Taxepunkter!F88</f>
        <v/>
      </c>
      <c r="G81" s="4">
        <f>Taxepunkter!G88</f>
        <v/>
      </c>
      <c r="H81" s="4">
        <f>Taxepunkter!H88</f>
        <v/>
      </c>
      <c r="I81" s="4">
        <f>Taxepunkter!I88</f>
        <v/>
      </c>
      <c r="J81" s="4">
        <f>Taxepunkter!J88</f>
        <v/>
      </c>
      <c r="K81" s="4">
        <f>Taxepunkter!K88</f>
        <v/>
      </c>
      <c r="L81" s="6">
        <f>Taxepunkter!L88</f>
        <v/>
      </c>
    </row>
    <row r="82">
      <c r="A82" s="5">
        <f>Taxepunkter!A89</f>
        <v/>
      </c>
      <c r="B82" s="4">
        <f>Taxepunkter!B89</f>
        <v/>
      </c>
      <c r="C82" s="4">
        <f>Taxepunkter!C89</f>
        <v/>
      </c>
      <c r="D82" s="4">
        <f>Taxepunkter!D89</f>
        <v/>
      </c>
      <c r="E82" s="4">
        <f>Taxepunkter!E89</f>
        <v/>
      </c>
      <c r="F82" s="4">
        <f>Taxepunkter!F89</f>
        <v/>
      </c>
      <c r="G82" s="4">
        <f>Taxepunkter!G89</f>
        <v/>
      </c>
      <c r="H82" s="4">
        <f>Taxepunkter!H89</f>
        <v/>
      </c>
      <c r="I82" s="4">
        <f>Taxepunkter!I89</f>
        <v/>
      </c>
      <c r="J82" s="4">
        <f>Taxepunkter!J89</f>
        <v/>
      </c>
      <c r="K82" s="4">
        <f>Taxepunkter!K89</f>
        <v/>
      </c>
      <c r="L82" s="6">
        <f>Taxepunkter!L89</f>
        <v/>
      </c>
    </row>
    <row r="83">
      <c r="A83" s="5">
        <f>Taxepunkter!A90</f>
        <v/>
      </c>
      <c r="B83" s="4">
        <f>Taxepunkter!B90</f>
        <v/>
      </c>
      <c r="C83" s="4">
        <f>Taxepunkter!C90</f>
        <v/>
      </c>
      <c r="D83" s="4">
        <f>Taxepunkter!D90</f>
        <v/>
      </c>
      <c r="E83" s="4">
        <f>Taxepunkter!E90</f>
        <v/>
      </c>
      <c r="F83" s="4">
        <f>Taxepunkter!F90</f>
        <v/>
      </c>
      <c r="G83" s="4">
        <f>Taxepunkter!G90</f>
        <v/>
      </c>
      <c r="H83" s="4">
        <f>Taxepunkter!H90</f>
        <v/>
      </c>
      <c r="I83" s="4">
        <f>Taxepunkter!I90</f>
        <v/>
      </c>
      <c r="J83" s="4">
        <f>Taxepunkter!J90</f>
        <v/>
      </c>
      <c r="K83" s="4">
        <f>Taxepunkter!K90</f>
        <v/>
      </c>
      <c r="L83" s="6">
        <f>Taxepunkter!L90</f>
        <v/>
      </c>
    </row>
    <row r="84">
      <c r="A84" s="5">
        <f>Taxepunkter!A91</f>
        <v/>
      </c>
      <c r="B84" s="4">
        <f>Taxepunkter!B91</f>
        <v/>
      </c>
      <c r="C84" s="4">
        <f>Taxepunkter!C91</f>
        <v/>
      </c>
      <c r="D84" s="4">
        <f>Taxepunkter!D91</f>
        <v/>
      </c>
      <c r="E84" s="4">
        <f>Taxepunkter!E91</f>
        <v/>
      </c>
      <c r="F84" s="4">
        <f>Taxepunkter!F91</f>
        <v/>
      </c>
      <c r="G84" s="4">
        <f>Taxepunkter!G91</f>
        <v/>
      </c>
      <c r="H84" s="4">
        <f>Taxepunkter!H91</f>
        <v/>
      </c>
      <c r="I84" s="4">
        <f>Taxepunkter!I91</f>
        <v/>
      </c>
      <c r="J84" s="4">
        <f>Taxepunkter!J91</f>
        <v/>
      </c>
      <c r="K84" s="4">
        <f>Taxepunkter!K91</f>
        <v/>
      </c>
      <c r="L84" s="6">
        <f>Taxepunkter!L91</f>
        <v/>
      </c>
    </row>
    <row r="85">
      <c r="A85" s="5">
        <f>Taxepunkter!A92</f>
        <v/>
      </c>
      <c r="B85" s="4">
        <f>Taxepunkter!B92</f>
        <v/>
      </c>
      <c r="C85" s="4">
        <f>Taxepunkter!C92</f>
        <v/>
      </c>
      <c r="D85" s="4">
        <f>Taxepunkter!D92</f>
        <v/>
      </c>
      <c r="E85" s="4">
        <f>Taxepunkter!E92</f>
        <v/>
      </c>
      <c r="F85" s="4">
        <f>Taxepunkter!F92</f>
        <v/>
      </c>
      <c r="G85" s="4">
        <f>Taxepunkter!G92</f>
        <v/>
      </c>
      <c r="H85" s="4">
        <f>Taxepunkter!H92</f>
        <v/>
      </c>
      <c r="I85" s="4">
        <f>Taxepunkter!I92</f>
        <v/>
      </c>
      <c r="J85" s="4">
        <f>Taxepunkter!J92</f>
        <v/>
      </c>
      <c r="K85" s="4">
        <f>Taxepunkter!K92</f>
        <v/>
      </c>
      <c r="L85" s="6">
        <f>Taxepunkter!L92</f>
        <v/>
      </c>
    </row>
    <row r="86">
      <c r="A86" s="5">
        <f>Taxepunkter!A93</f>
        <v/>
      </c>
      <c r="B86" s="4">
        <f>Taxepunkter!B93</f>
        <v/>
      </c>
      <c r="C86" s="4">
        <f>Taxepunkter!C93</f>
        <v/>
      </c>
      <c r="D86" s="4">
        <f>Taxepunkter!D93</f>
        <v/>
      </c>
      <c r="E86" s="4">
        <f>Taxepunkter!E93</f>
        <v/>
      </c>
      <c r="F86" s="4">
        <f>Taxepunkter!F93</f>
        <v/>
      </c>
      <c r="G86" s="4">
        <f>Taxepunkter!G93</f>
        <v/>
      </c>
      <c r="H86" s="4">
        <f>Taxepunkter!H93</f>
        <v/>
      </c>
      <c r="I86" s="4">
        <f>Taxepunkter!I93</f>
        <v/>
      </c>
      <c r="J86" s="4">
        <f>Taxepunkter!J93</f>
        <v/>
      </c>
      <c r="K86" s="4">
        <f>Taxepunkter!K93</f>
        <v/>
      </c>
      <c r="L86" s="6">
        <f>Taxepunkter!L93</f>
        <v/>
      </c>
    </row>
    <row r="87">
      <c r="A87" s="5">
        <f>Taxepunkter!A94</f>
        <v/>
      </c>
      <c r="B87" s="4">
        <f>Taxepunkter!B94</f>
        <v/>
      </c>
      <c r="C87" s="4">
        <f>Taxepunkter!C94</f>
        <v/>
      </c>
      <c r="D87" s="4">
        <f>Taxepunkter!D94</f>
        <v/>
      </c>
      <c r="E87" s="4">
        <f>Taxepunkter!E94</f>
        <v/>
      </c>
      <c r="F87" s="4">
        <f>Taxepunkter!F94</f>
        <v/>
      </c>
      <c r="G87" s="4">
        <f>Taxepunkter!G94</f>
        <v/>
      </c>
      <c r="H87" s="4">
        <f>Taxepunkter!H94</f>
        <v/>
      </c>
      <c r="I87" s="4">
        <f>Taxepunkter!I94</f>
        <v/>
      </c>
      <c r="J87" s="4">
        <f>Taxepunkter!J94</f>
        <v/>
      </c>
      <c r="K87" s="4">
        <f>Taxepunkter!K94</f>
        <v/>
      </c>
      <c r="L87" s="6">
        <f>Taxepunkter!L94</f>
        <v/>
      </c>
    </row>
    <row r="88">
      <c r="A88" s="5">
        <f>Taxepunkter!A95</f>
        <v/>
      </c>
      <c r="B88" s="4">
        <f>Taxepunkter!B95</f>
        <v/>
      </c>
      <c r="C88" s="4">
        <f>Taxepunkter!C95</f>
        <v/>
      </c>
      <c r="D88" s="4">
        <f>Taxepunkter!D95</f>
        <v/>
      </c>
      <c r="E88" s="4">
        <f>Taxepunkter!E95</f>
        <v/>
      </c>
      <c r="F88" s="4">
        <f>Taxepunkter!F95</f>
        <v/>
      </c>
      <c r="G88" s="4">
        <f>Taxepunkter!G95</f>
        <v/>
      </c>
      <c r="H88" s="4">
        <f>Taxepunkter!H95</f>
        <v/>
      </c>
      <c r="I88" s="4">
        <f>Taxepunkter!I95</f>
        <v/>
      </c>
      <c r="J88" s="4">
        <f>Taxepunkter!J95</f>
        <v/>
      </c>
      <c r="K88" s="4">
        <f>Taxepunkter!K95</f>
        <v/>
      </c>
      <c r="L88" s="6">
        <f>Taxepunkter!L95</f>
        <v/>
      </c>
    </row>
    <row r="89">
      <c r="A89" s="5">
        <f>Taxepunkter!A96</f>
        <v/>
      </c>
      <c r="B89" s="4">
        <f>Taxepunkter!B96</f>
        <v/>
      </c>
      <c r="C89" s="4">
        <f>Taxepunkter!C96</f>
        <v/>
      </c>
      <c r="D89" s="4">
        <f>Taxepunkter!D96</f>
        <v/>
      </c>
      <c r="E89" s="4">
        <f>Taxepunkter!E96</f>
        <v/>
      </c>
      <c r="F89" s="4">
        <f>Taxepunkter!F96</f>
        <v/>
      </c>
      <c r="G89" s="4">
        <f>Taxepunkter!G96</f>
        <v/>
      </c>
      <c r="H89" s="4">
        <f>Taxepunkter!H96</f>
        <v/>
      </c>
      <c r="I89" s="4">
        <f>Taxepunkter!I96</f>
        <v/>
      </c>
      <c r="J89" s="4">
        <f>Taxepunkter!J96</f>
        <v/>
      </c>
      <c r="K89" s="4">
        <f>Taxepunkter!K96</f>
        <v/>
      </c>
      <c r="L89" s="6">
        <f>Taxepunkter!L96</f>
        <v/>
      </c>
    </row>
    <row r="90">
      <c r="A90" s="5">
        <f>Taxepunkter!A97</f>
        <v/>
      </c>
      <c r="B90" s="4">
        <f>Taxepunkter!B97</f>
        <v/>
      </c>
      <c r="C90" s="4">
        <f>Taxepunkter!C97</f>
        <v/>
      </c>
      <c r="D90" s="4">
        <f>Taxepunkter!D97</f>
        <v/>
      </c>
      <c r="E90" s="4">
        <f>Taxepunkter!E97</f>
        <v/>
      </c>
      <c r="F90" s="4">
        <f>Taxepunkter!F97</f>
        <v/>
      </c>
      <c r="G90" s="4">
        <f>Taxepunkter!G97</f>
        <v/>
      </c>
      <c r="H90" s="4">
        <f>Taxepunkter!H97</f>
        <v/>
      </c>
      <c r="I90" s="4">
        <f>Taxepunkter!I97</f>
        <v/>
      </c>
      <c r="J90" s="4">
        <f>Taxepunkter!J97</f>
        <v/>
      </c>
      <c r="K90" s="4">
        <f>Taxepunkter!K97</f>
        <v/>
      </c>
      <c r="L90" s="6">
        <f>Taxepunkter!L97</f>
        <v/>
      </c>
    </row>
    <row r="91">
      <c r="A91" s="5">
        <f>Taxepunkter!A98</f>
        <v/>
      </c>
      <c r="B91" s="4">
        <f>Taxepunkter!B98</f>
        <v/>
      </c>
      <c r="C91" s="4">
        <f>Taxepunkter!C98</f>
        <v/>
      </c>
      <c r="D91" s="4">
        <f>Taxepunkter!D98</f>
        <v/>
      </c>
      <c r="E91" s="4">
        <f>Taxepunkter!E98</f>
        <v/>
      </c>
      <c r="F91" s="4">
        <f>Taxepunkter!F98</f>
        <v/>
      </c>
      <c r="G91" s="4">
        <f>Taxepunkter!G98</f>
        <v/>
      </c>
      <c r="H91" s="4">
        <f>Taxepunkter!H98</f>
        <v/>
      </c>
      <c r="I91" s="4">
        <f>Taxepunkter!I98</f>
        <v/>
      </c>
      <c r="J91" s="4">
        <f>Taxepunkter!J98</f>
        <v/>
      </c>
      <c r="K91" s="4">
        <f>Taxepunkter!K98</f>
        <v/>
      </c>
      <c r="L91" s="6">
        <f>Taxepunkter!L98</f>
        <v/>
      </c>
    </row>
    <row r="92">
      <c r="A92" s="5">
        <f>Taxepunkter!A99</f>
        <v/>
      </c>
      <c r="B92" s="4">
        <f>Taxepunkter!B99</f>
        <v/>
      </c>
      <c r="C92" s="4">
        <f>Taxepunkter!C99</f>
        <v/>
      </c>
      <c r="D92" s="4">
        <f>Taxepunkter!D99</f>
        <v/>
      </c>
      <c r="E92" s="4">
        <f>Taxepunkter!E99</f>
        <v/>
      </c>
      <c r="F92" s="4">
        <f>Taxepunkter!F99</f>
        <v/>
      </c>
      <c r="G92" s="4">
        <f>Taxepunkter!G99</f>
        <v/>
      </c>
      <c r="H92" s="4">
        <f>Taxepunkter!H99</f>
        <v/>
      </c>
      <c r="I92" s="4">
        <f>Taxepunkter!I99</f>
        <v/>
      </c>
      <c r="J92" s="4">
        <f>Taxepunkter!J99</f>
        <v/>
      </c>
      <c r="K92" s="4">
        <f>Taxepunkter!K99</f>
        <v/>
      </c>
      <c r="L92" s="6">
        <f>Taxepunkter!L99</f>
        <v/>
      </c>
    </row>
    <row r="93">
      <c r="A93" s="5">
        <f>Taxepunkter!A100</f>
        <v/>
      </c>
      <c r="B93" s="4">
        <f>Taxepunkter!B100</f>
        <v/>
      </c>
      <c r="C93" s="4">
        <f>Taxepunkter!C100</f>
        <v/>
      </c>
      <c r="D93" s="4">
        <f>Taxepunkter!D100</f>
        <v/>
      </c>
      <c r="E93" s="4">
        <f>Taxepunkter!E100</f>
        <v/>
      </c>
      <c r="F93" s="4">
        <f>Taxepunkter!F100</f>
        <v/>
      </c>
      <c r="G93" s="4">
        <f>Taxepunkter!G100</f>
        <v/>
      </c>
      <c r="H93" s="4">
        <f>Taxepunkter!H100</f>
        <v/>
      </c>
      <c r="I93" s="4">
        <f>Taxepunkter!I100</f>
        <v/>
      </c>
      <c r="J93" s="4">
        <f>Taxepunkter!J100</f>
        <v/>
      </c>
      <c r="K93" s="4">
        <f>Taxepunkter!K100</f>
        <v/>
      </c>
      <c r="L93" s="6">
        <f>Taxepunkter!L100</f>
        <v/>
      </c>
    </row>
    <row r="94">
      <c r="A94" s="5">
        <f>Taxepunkter!A101</f>
        <v/>
      </c>
      <c r="B94" s="4">
        <f>Taxepunkter!B101</f>
        <v/>
      </c>
      <c r="C94" s="4">
        <f>Taxepunkter!C101</f>
        <v/>
      </c>
      <c r="D94" s="4">
        <f>Taxepunkter!D101</f>
        <v/>
      </c>
      <c r="E94" s="4">
        <f>Taxepunkter!E101</f>
        <v/>
      </c>
      <c r="F94" s="4">
        <f>Taxepunkter!F101</f>
        <v/>
      </c>
      <c r="G94" s="4">
        <f>Taxepunkter!G101</f>
        <v/>
      </c>
      <c r="H94" s="4">
        <f>Taxepunkter!H101</f>
        <v/>
      </c>
      <c r="I94" s="4">
        <f>Taxepunkter!I101</f>
        <v/>
      </c>
      <c r="J94" s="4">
        <f>Taxepunkter!J101</f>
        <v/>
      </c>
      <c r="K94" s="4">
        <f>Taxepunkter!K101</f>
        <v/>
      </c>
      <c r="L94" s="6">
        <f>Taxepunkter!L101</f>
        <v/>
      </c>
    </row>
    <row r="95">
      <c r="A95" s="5">
        <f>Taxepunkter!A102</f>
        <v/>
      </c>
      <c r="B95" s="4">
        <f>Taxepunkter!B102</f>
        <v/>
      </c>
      <c r="C95" s="4">
        <f>Taxepunkter!C102</f>
        <v/>
      </c>
      <c r="D95" s="4">
        <f>Taxepunkter!D102</f>
        <v/>
      </c>
      <c r="E95" s="4">
        <f>Taxepunkter!E102</f>
        <v/>
      </c>
      <c r="F95" s="4">
        <f>Taxepunkter!F102</f>
        <v/>
      </c>
      <c r="G95" s="4">
        <f>Taxepunkter!G102</f>
        <v/>
      </c>
      <c r="H95" s="4">
        <f>Taxepunkter!H102</f>
        <v/>
      </c>
      <c r="I95" s="4">
        <f>Taxepunkter!I102</f>
        <v/>
      </c>
      <c r="J95" s="4">
        <f>Taxepunkter!J102</f>
        <v/>
      </c>
      <c r="K95" s="4">
        <f>Taxepunkter!K102</f>
        <v/>
      </c>
      <c r="L95" s="6">
        <f>Taxepunkter!L102</f>
        <v/>
      </c>
    </row>
    <row r="96">
      <c r="A96" s="5">
        <f>Taxepunkter!A103</f>
        <v/>
      </c>
      <c r="B96" s="4">
        <f>Taxepunkter!B103</f>
        <v/>
      </c>
      <c r="C96" s="4">
        <f>Taxepunkter!C103</f>
        <v/>
      </c>
      <c r="D96" s="4">
        <f>Taxepunkter!D103</f>
        <v/>
      </c>
      <c r="E96" s="4">
        <f>Taxepunkter!E103</f>
        <v/>
      </c>
      <c r="F96" s="4">
        <f>Taxepunkter!F103</f>
        <v/>
      </c>
      <c r="G96" s="4">
        <f>Taxepunkter!G103</f>
        <v/>
      </c>
      <c r="H96" s="4">
        <f>Taxepunkter!H103</f>
        <v/>
      </c>
      <c r="I96" s="4">
        <f>Taxepunkter!I103</f>
        <v/>
      </c>
      <c r="J96" s="4">
        <f>Taxepunkter!J103</f>
        <v/>
      </c>
      <c r="K96" s="4">
        <f>Taxepunkter!K103</f>
        <v/>
      </c>
      <c r="L96" s="6">
        <f>Taxepunkter!L103</f>
        <v/>
      </c>
    </row>
    <row r="97">
      <c r="A97" s="5">
        <f>Taxepunkter!A104</f>
        <v/>
      </c>
      <c r="B97" s="4">
        <f>Taxepunkter!B104</f>
        <v/>
      </c>
      <c r="C97" s="4">
        <f>Taxepunkter!C104</f>
        <v/>
      </c>
      <c r="D97" s="4">
        <f>Taxepunkter!D104</f>
        <v/>
      </c>
      <c r="E97" s="4">
        <f>Taxepunkter!E104</f>
        <v/>
      </c>
      <c r="F97" s="4">
        <f>Taxepunkter!F104</f>
        <v/>
      </c>
      <c r="G97" s="4">
        <f>Taxepunkter!G104</f>
        <v/>
      </c>
      <c r="H97" s="4">
        <f>Taxepunkter!H104</f>
        <v/>
      </c>
      <c r="I97" s="4">
        <f>Taxepunkter!I104</f>
        <v/>
      </c>
      <c r="J97" s="4">
        <f>Taxepunkter!J104</f>
        <v/>
      </c>
      <c r="K97" s="4">
        <f>Taxepunkter!K104</f>
        <v/>
      </c>
      <c r="L97" s="6">
        <f>Taxepunkter!L104</f>
        <v/>
      </c>
    </row>
    <row r="98">
      <c r="A98" s="5">
        <f>Taxepunkter!A105</f>
        <v/>
      </c>
      <c r="B98" s="4">
        <f>Taxepunkter!B105</f>
        <v/>
      </c>
      <c r="C98" s="4">
        <f>Taxepunkter!C105</f>
        <v/>
      </c>
      <c r="D98" s="4">
        <f>Taxepunkter!D105</f>
        <v/>
      </c>
      <c r="E98" s="4">
        <f>Taxepunkter!E105</f>
        <v/>
      </c>
      <c r="F98" s="4">
        <f>Taxepunkter!F105</f>
        <v/>
      </c>
      <c r="G98" s="4">
        <f>Taxepunkter!G105</f>
        <v/>
      </c>
      <c r="H98" s="4">
        <f>Taxepunkter!H105</f>
        <v/>
      </c>
      <c r="I98" s="4">
        <f>Taxepunkter!I105</f>
        <v/>
      </c>
      <c r="J98" s="4">
        <f>Taxepunkter!J105</f>
        <v/>
      </c>
      <c r="K98" s="4">
        <f>Taxepunkter!K105</f>
        <v/>
      </c>
      <c r="L98" s="6">
        <f>Taxepunkter!L105</f>
        <v/>
      </c>
    </row>
    <row r="99">
      <c r="A99" s="5">
        <f>Taxepunkter!A106</f>
        <v/>
      </c>
      <c r="B99" s="4">
        <f>Taxepunkter!B106</f>
        <v/>
      </c>
      <c r="C99" s="4">
        <f>Taxepunkter!C106</f>
        <v/>
      </c>
      <c r="D99" s="4">
        <f>Taxepunkter!D106</f>
        <v/>
      </c>
      <c r="E99" s="4">
        <f>Taxepunkter!E106</f>
        <v/>
      </c>
      <c r="F99" s="4">
        <f>Taxepunkter!F106</f>
        <v/>
      </c>
      <c r="G99" s="4">
        <f>Taxepunkter!G106</f>
        <v/>
      </c>
      <c r="H99" s="4">
        <f>Taxepunkter!H106</f>
        <v/>
      </c>
      <c r="I99" s="4">
        <f>Taxepunkter!I106</f>
        <v/>
      </c>
      <c r="J99" s="4">
        <f>Taxepunkter!J106</f>
        <v/>
      </c>
      <c r="K99" s="4">
        <f>Taxepunkter!K106</f>
        <v/>
      </c>
      <c r="L99" s="6">
        <f>Taxepunkter!L106</f>
        <v/>
      </c>
    </row>
    <row r="100">
      <c r="A100" s="5">
        <f>Taxepunkter!A107</f>
        <v/>
      </c>
      <c r="B100" s="4">
        <f>Taxepunkter!B107</f>
        <v/>
      </c>
      <c r="C100" s="4">
        <f>Taxepunkter!C107</f>
        <v/>
      </c>
      <c r="D100" s="4">
        <f>Taxepunkter!D107</f>
        <v/>
      </c>
      <c r="E100" s="4">
        <f>Taxepunkter!E107</f>
        <v/>
      </c>
      <c r="F100" s="4">
        <f>Taxepunkter!F107</f>
        <v/>
      </c>
      <c r="G100" s="4">
        <f>Taxepunkter!G107</f>
        <v/>
      </c>
      <c r="H100" s="4">
        <f>Taxepunkter!H107</f>
        <v/>
      </c>
      <c r="I100" s="4">
        <f>Taxepunkter!I107</f>
        <v/>
      </c>
      <c r="J100" s="4">
        <f>Taxepunkter!J107</f>
        <v/>
      </c>
      <c r="K100" s="4">
        <f>Taxepunkter!K107</f>
        <v/>
      </c>
      <c r="L100" s="6">
        <f>Taxepunkter!L107</f>
        <v/>
      </c>
    </row>
    <row r="101">
      <c r="A101" s="5">
        <f>Taxepunkter!A108</f>
        <v/>
      </c>
      <c r="B101" s="4">
        <f>Taxepunkter!B108</f>
        <v/>
      </c>
      <c r="C101" s="4">
        <f>Taxepunkter!C108</f>
        <v/>
      </c>
      <c r="D101" s="4">
        <f>Taxepunkter!D108</f>
        <v/>
      </c>
      <c r="E101" s="4">
        <f>Taxepunkter!E108</f>
        <v/>
      </c>
      <c r="F101" s="4">
        <f>Taxepunkter!F108</f>
        <v/>
      </c>
      <c r="G101" s="4">
        <f>Taxepunkter!G108</f>
        <v/>
      </c>
      <c r="H101" s="4">
        <f>Taxepunkter!H108</f>
        <v/>
      </c>
      <c r="I101" s="4">
        <f>Taxepunkter!I108</f>
        <v/>
      </c>
      <c r="J101" s="4">
        <f>Taxepunkter!J108</f>
        <v/>
      </c>
      <c r="K101" s="4">
        <f>Taxepunkter!K108</f>
        <v/>
      </c>
      <c r="L101" s="6">
        <f>Taxepunkter!L108</f>
        <v/>
      </c>
    </row>
    <row r="102">
      <c r="A102" s="5">
        <f>Taxepunkter!A109</f>
        <v/>
      </c>
      <c r="B102" s="4">
        <f>Taxepunkter!B109</f>
        <v/>
      </c>
      <c r="C102" s="4">
        <f>Taxepunkter!C109</f>
        <v/>
      </c>
      <c r="D102" s="4">
        <f>Taxepunkter!D109</f>
        <v/>
      </c>
      <c r="E102" s="4">
        <f>Taxepunkter!E109</f>
        <v/>
      </c>
      <c r="F102" s="4">
        <f>Taxepunkter!F109</f>
        <v/>
      </c>
      <c r="G102" s="4">
        <f>Taxepunkter!G109</f>
        <v/>
      </c>
      <c r="H102" s="4">
        <f>Taxepunkter!H109</f>
        <v/>
      </c>
      <c r="I102" s="4">
        <f>Taxepunkter!I109</f>
        <v/>
      </c>
      <c r="J102" s="4">
        <f>Taxepunkter!J109</f>
        <v/>
      </c>
      <c r="K102" s="4">
        <f>Taxepunkter!K109</f>
        <v/>
      </c>
      <c r="L102" s="6">
        <f>Taxepunkter!L109</f>
        <v/>
      </c>
    </row>
    <row r="103">
      <c r="A103" s="5">
        <f>Taxepunkter!A110</f>
        <v/>
      </c>
      <c r="B103" s="4">
        <f>Taxepunkter!B110</f>
        <v/>
      </c>
      <c r="C103" s="4">
        <f>Taxepunkter!C110</f>
        <v/>
      </c>
      <c r="D103" s="4">
        <f>Taxepunkter!D110</f>
        <v/>
      </c>
      <c r="E103" s="4">
        <f>Taxepunkter!E110</f>
        <v/>
      </c>
      <c r="F103" s="4">
        <f>Taxepunkter!F110</f>
        <v/>
      </c>
      <c r="G103" s="4">
        <f>Taxepunkter!G110</f>
        <v/>
      </c>
      <c r="H103" s="4">
        <f>Taxepunkter!H110</f>
        <v/>
      </c>
      <c r="I103" s="4">
        <f>Taxepunkter!I110</f>
        <v/>
      </c>
      <c r="J103" s="4">
        <f>Taxepunkter!J110</f>
        <v/>
      </c>
      <c r="K103" s="4">
        <f>Taxepunkter!K110</f>
        <v/>
      </c>
      <c r="L103" s="6">
        <f>Taxepunkter!L110</f>
        <v/>
      </c>
    </row>
    <row r="104">
      <c r="A104" s="5">
        <f>Taxepunkter!A111</f>
        <v/>
      </c>
      <c r="B104" s="4">
        <f>Taxepunkter!B111</f>
        <v/>
      </c>
      <c r="C104" s="4">
        <f>Taxepunkter!C111</f>
        <v/>
      </c>
      <c r="D104" s="4">
        <f>Taxepunkter!D111</f>
        <v/>
      </c>
      <c r="E104" s="4">
        <f>Taxepunkter!E111</f>
        <v/>
      </c>
      <c r="F104" s="4">
        <f>Taxepunkter!F111</f>
        <v/>
      </c>
      <c r="G104" s="4">
        <f>Taxepunkter!G111</f>
        <v/>
      </c>
      <c r="H104" s="4">
        <f>Taxepunkter!H111</f>
        <v/>
      </c>
      <c r="I104" s="4">
        <f>Taxepunkter!I111</f>
        <v/>
      </c>
      <c r="J104" s="4">
        <f>Taxepunkter!J111</f>
        <v/>
      </c>
      <c r="K104" s="4">
        <f>Taxepunkter!K111</f>
        <v/>
      </c>
      <c r="L104" s="6">
        <f>Taxepunkter!L111</f>
        <v/>
      </c>
    </row>
    <row r="105">
      <c r="A105" s="5">
        <f>Taxepunkter!A112</f>
        <v/>
      </c>
      <c r="B105" s="4">
        <f>Taxepunkter!B112</f>
        <v/>
      </c>
      <c r="C105" s="4">
        <f>Taxepunkter!C112</f>
        <v/>
      </c>
      <c r="D105" s="4">
        <f>Taxepunkter!D112</f>
        <v/>
      </c>
      <c r="E105" s="4">
        <f>Taxepunkter!E112</f>
        <v/>
      </c>
      <c r="F105" s="4">
        <f>Taxepunkter!F112</f>
        <v/>
      </c>
      <c r="G105" s="4">
        <f>Taxepunkter!G112</f>
        <v/>
      </c>
      <c r="H105" s="4">
        <f>Taxepunkter!H112</f>
        <v/>
      </c>
      <c r="I105" s="4">
        <f>Taxepunkter!I112</f>
        <v/>
      </c>
      <c r="J105" s="4">
        <f>Taxepunkter!J112</f>
        <v/>
      </c>
      <c r="K105" s="4">
        <f>Taxepunkter!K112</f>
        <v/>
      </c>
      <c r="L105" s="6">
        <f>Taxepunkter!L112</f>
        <v/>
      </c>
    </row>
    <row r="106">
      <c r="A106" s="5">
        <f>Taxepunkter!A113</f>
        <v/>
      </c>
      <c r="B106" s="4">
        <f>Taxepunkter!B113</f>
        <v/>
      </c>
      <c r="C106" s="4">
        <f>Taxepunkter!C113</f>
        <v/>
      </c>
      <c r="D106" s="4">
        <f>Taxepunkter!D113</f>
        <v/>
      </c>
      <c r="E106" s="4">
        <f>Taxepunkter!E113</f>
        <v/>
      </c>
      <c r="F106" s="4">
        <f>Taxepunkter!F113</f>
        <v/>
      </c>
      <c r="G106" s="4">
        <f>Taxepunkter!G113</f>
        <v/>
      </c>
      <c r="H106" s="4">
        <f>Taxepunkter!H113</f>
        <v/>
      </c>
      <c r="I106" s="4">
        <f>Taxepunkter!I113</f>
        <v/>
      </c>
      <c r="J106" s="4">
        <f>Taxepunkter!J113</f>
        <v/>
      </c>
      <c r="K106" s="4">
        <f>Taxepunkter!K113</f>
        <v/>
      </c>
      <c r="L106" s="6">
        <f>Taxepunkter!L113</f>
        <v/>
      </c>
    </row>
    <row r="107">
      <c r="A107" s="5">
        <f>Taxepunkter!A114</f>
        <v/>
      </c>
      <c r="B107" s="4">
        <f>Taxepunkter!B114</f>
        <v/>
      </c>
      <c r="C107" s="4">
        <f>Taxepunkter!C114</f>
        <v/>
      </c>
      <c r="D107" s="4">
        <f>Taxepunkter!D114</f>
        <v/>
      </c>
      <c r="E107" s="4">
        <f>Taxepunkter!E114</f>
        <v/>
      </c>
      <c r="F107" s="4">
        <f>Taxepunkter!F114</f>
        <v/>
      </c>
      <c r="G107" s="4">
        <f>Taxepunkter!G114</f>
        <v/>
      </c>
      <c r="H107" s="4">
        <f>Taxepunkter!H114</f>
        <v/>
      </c>
      <c r="I107" s="4">
        <f>Taxepunkter!I114</f>
        <v/>
      </c>
      <c r="J107" s="4">
        <f>Taxepunkter!J114</f>
        <v/>
      </c>
      <c r="K107" s="4">
        <f>Taxepunkter!K114</f>
        <v/>
      </c>
      <c r="L107" s="6">
        <f>Taxepunkter!L114</f>
        <v/>
      </c>
    </row>
    <row r="108">
      <c r="A108" s="5">
        <f>Taxepunkter!A115</f>
        <v/>
      </c>
      <c r="B108" s="4">
        <f>Taxepunkter!B115</f>
        <v/>
      </c>
      <c r="C108" s="4">
        <f>Taxepunkter!C115</f>
        <v/>
      </c>
      <c r="D108" s="4">
        <f>Taxepunkter!D115</f>
        <v/>
      </c>
      <c r="E108" s="4">
        <f>Taxepunkter!E115</f>
        <v/>
      </c>
      <c r="F108" s="4">
        <f>Taxepunkter!F115</f>
        <v/>
      </c>
      <c r="G108" s="4">
        <f>Taxepunkter!G115</f>
        <v/>
      </c>
      <c r="H108" s="4">
        <f>Taxepunkter!H115</f>
        <v/>
      </c>
      <c r="I108" s="4">
        <f>Taxepunkter!I115</f>
        <v/>
      </c>
      <c r="J108" s="4">
        <f>Taxepunkter!J115</f>
        <v/>
      </c>
      <c r="K108" s="4">
        <f>Taxepunkter!K115</f>
        <v/>
      </c>
      <c r="L108" s="6">
        <f>Taxepunkter!L115</f>
        <v/>
      </c>
    </row>
    <row r="109">
      <c r="A109" s="5">
        <f>Taxepunkter!A116</f>
        <v/>
      </c>
      <c r="B109" s="4">
        <f>Taxepunkter!B116</f>
        <v/>
      </c>
      <c r="C109" s="4">
        <f>Taxepunkter!C116</f>
        <v/>
      </c>
      <c r="D109" s="4">
        <f>Taxepunkter!D116</f>
        <v/>
      </c>
      <c r="E109" s="4">
        <f>Taxepunkter!E116</f>
        <v/>
      </c>
      <c r="F109" s="4">
        <f>Taxepunkter!F116</f>
        <v/>
      </c>
      <c r="G109" s="4">
        <f>Taxepunkter!G116</f>
        <v/>
      </c>
      <c r="H109" s="4">
        <f>Taxepunkter!H116</f>
        <v/>
      </c>
      <c r="I109" s="4">
        <f>Taxepunkter!I116</f>
        <v/>
      </c>
      <c r="J109" s="4">
        <f>Taxepunkter!J116</f>
        <v/>
      </c>
      <c r="K109" s="4">
        <f>Taxepunkter!K116</f>
        <v/>
      </c>
      <c r="L109" s="6">
        <f>Taxepunkter!L116</f>
        <v/>
      </c>
    </row>
    <row r="110">
      <c r="A110" s="5">
        <f>Taxepunkter!A117</f>
        <v/>
      </c>
      <c r="B110" s="4">
        <f>Taxepunkter!B117</f>
        <v/>
      </c>
      <c r="C110" s="4">
        <f>Taxepunkter!C117</f>
        <v/>
      </c>
      <c r="D110" s="4">
        <f>Taxepunkter!D117</f>
        <v/>
      </c>
      <c r="E110" s="4">
        <f>Taxepunkter!E117</f>
        <v/>
      </c>
      <c r="F110" s="4">
        <f>Taxepunkter!F117</f>
        <v/>
      </c>
      <c r="G110" s="4">
        <f>Taxepunkter!G117</f>
        <v/>
      </c>
      <c r="H110" s="4">
        <f>Taxepunkter!H117</f>
        <v/>
      </c>
      <c r="I110" s="4">
        <f>Taxepunkter!I117</f>
        <v/>
      </c>
      <c r="J110" s="4">
        <f>Taxepunkter!J117</f>
        <v/>
      </c>
      <c r="K110" s="4">
        <f>Taxepunkter!K117</f>
        <v/>
      </c>
      <c r="L110" s="6">
        <f>Taxepunkter!L117</f>
        <v/>
      </c>
    </row>
    <row r="111">
      <c r="A111" s="5">
        <f>Taxepunkter!A118</f>
        <v/>
      </c>
      <c r="B111" s="4">
        <f>Taxepunkter!B118</f>
        <v/>
      </c>
      <c r="C111" s="4">
        <f>Taxepunkter!C118</f>
        <v/>
      </c>
      <c r="D111" s="4">
        <f>Taxepunkter!D118</f>
        <v/>
      </c>
      <c r="E111" s="4">
        <f>Taxepunkter!E118</f>
        <v/>
      </c>
      <c r="F111" s="4">
        <f>Taxepunkter!F118</f>
        <v/>
      </c>
      <c r="G111" s="4">
        <f>Taxepunkter!G118</f>
        <v/>
      </c>
      <c r="H111" s="4">
        <f>Taxepunkter!H118</f>
        <v/>
      </c>
      <c r="I111" s="4">
        <f>Taxepunkter!I118</f>
        <v/>
      </c>
      <c r="J111" s="4">
        <f>Taxepunkter!J118</f>
        <v/>
      </c>
      <c r="K111" s="4">
        <f>Taxepunkter!K118</f>
        <v/>
      </c>
      <c r="L111" s="6">
        <f>Taxepunkter!L118</f>
        <v/>
      </c>
    </row>
    <row r="112">
      <c r="A112" s="5">
        <f>Taxepunkter!A119</f>
        <v/>
      </c>
      <c r="B112" s="4">
        <f>Taxepunkter!B119</f>
        <v/>
      </c>
      <c r="C112" s="4">
        <f>Taxepunkter!C119</f>
        <v/>
      </c>
      <c r="D112" s="4">
        <f>Taxepunkter!D119</f>
        <v/>
      </c>
      <c r="E112" s="4">
        <f>Taxepunkter!E119</f>
        <v/>
      </c>
      <c r="F112" s="4">
        <f>Taxepunkter!F119</f>
        <v/>
      </c>
      <c r="G112" s="4">
        <f>Taxepunkter!G119</f>
        <v/>
      </c>
      <c r="H112" s="4">
        <f>Taxepunkter!H119</f>
        <v/>
      </c>
      <c r="I112" s="4">
        <f>Taxepunkter!I119</f>
        <v/>
      </c>
      <c r="J112" s="4">
        <f>Taxepunkter!J119</f>
        <v/>
      </c>
      <c r="K112" s="4">
        <f>Taxepunkter!K119</f>
        <v/>
      </c>
      <c r="L112" s="6">
        <f>Taxepunkter!L119</f>
        <v/>
      </c>
    </row>
    <row r="113">
      <c r="A113" s="5">
        <f>Taxepunkter!A120</f>
        <v/>
      </c>
      <c r="B113" s="4">
        <f>Taxepunkter!B120</f>
        <v/>
      </c>
      <c r="C113" s="4">
        <f>Taxepunkter!C120</f>
        <v/>
      </c>
      <c r="D113" s="4">
        <f>Taxepunkter!D120</f>
        <v/>
      </c>
      <c r="E113" s="4">
        <f>Taxepunkter!E120</f>
        <v/>
      </c>
      <c r="F113" s="4">
        <f>Taxepunkter!F120</f>
        <v/>
      </c>
      <c r="G113" s="4">
        <f>Taxepunkter!G120</f>
        <v/>
      </c>
      <c r="H113" s="4">
        <f>Taxepunkter!H120</f>
        <v/>
      </c>
      <c r="I113" s="4">
        <f>Taxepunkter!I120</f>
        <v/>
      </c>
      <c r="J113" s="4">
        <f>Taxepunkter!J120</f>
        <v/>
      </c>
      <c r="K113" s="4">
        <f>Taxepunkter!K120</f>
        <v/>
      </c>
      <c r="L113" s="6">
        <f>Taxepunkter!L120</f>
        <v/>
      </c>
    </row>
    <row r="114">
      <c r="A114" s="5">
        <f>Taxepunkter!A121</f>
        <v/>
      </c>
      <c r="B114" s="4">
        <f>Taxepunkter!B121</f>
        <v/>
      </c>
      <c r="C114" s="4">
        <f>Taxepunkter!C121</f>
        <v/>
      </c>
      <c r="D114" s="4">
        <f>Taxepunkter!D121</f>
        <v/>
      </c>
      <c r="E114" s="4">
        <f>Taxepunkter!E121</f>
        <v/>
      </c>
      <c r="F114" s="4">
        <f>Taxepunkter!F121</f>
        <v/>
      </c>
      <c r="G114" s="4">
        <f>Taxepunkter!G121</f>
        <v/>
      </c>
      <c r="H114" s="4">
        <f>Taxepunkter!H121</f>
        <v/>
      </c>
      <c r="I114" s="4">
        <f>Taxepunkter!I121</f>
        <v/>
      </c>
      <c r="J114" s="4">
        <f>Taxepunkter!J121</f>
        <v/>
      </c>
      <c r="K114" s="4">
        <f>Taxepunkter!K121</f>
        <v/>
      </c>
      <c r="L114" s="6">
        <f>Taxepunkter!L121</f>
        <v/>
      </c>
    </row>
    <row r="115">
      <c r="A115" s="5">
        <f>Taxepunkter!A122</f>
        <v/>
      </c>
      <c r="B115" s="4">
        <f>Taxepunkter!B122</f>
        <v/>
      </c>
      <c r="C115" s="4">
        <f>Taxepunkter!C122</f>
        <v/>
      </c>
      <c r="D115" s="4">
        <f>Taxepunkter!D122</f>
        <v/>
      </c>
      <c r="E115" s="4">
        <f>Taxepunkter!E122</f>
        <v/>
      </c>
      <c r="F115" s="4">
        <f>Taxepunkter!F122</f>
        <v/>
      </c>
      <c r="G115" s="4">
        <f>Taxepunkter!G122</f>
        <v/>
      </c>
      <c r="H115" s="4">
        <f>Taxepunkter!H122</f>
        <v/>
      </c>
      <c r="I115" s="4">
        <f>Taxepunkter!I122</f>
        <v/>
      </c>
      <c r="J115" s="4">
        <f>Taxepunkter!J122</f>
        <v/>
      </c>
      <c r="K115" s="4">
        <f>Taxepunkter!K122</f>
        <v/>
      </c>
      <c r="L115" s="6">
        <f>Taxepunkter!L122</f>
        <v/>
      </c>
    </row>
    <row r="116">
      <c r="A116" s="5">
        <f>Taxepunkter!A123</f>
        <v/>
      </c>
      <c r="B116" s="4">
        <f>Taxepunkter!B123</f>
        <v/>
      </c>
      <c r="C116" s="4">
        <f>Taxepunkter!C123</f>
        <v/>
      </c>
      <c r="D116" s="4">
        <f>Taxepunkter!D123</f>
        <v/>
      </c>
      <c r="E116" s="4">
        <f>Taxepunkter!E123</f>
        <v/>
      </c>
      <c r="F116" s="4">
        <f>Taxepunkter!F123</f>
        <v/>
      </c>
      <c r="G116" s="4">
        <f>Taxepunkter!G123</f>
        <v/>
      </c>
      <c r="H116" s="4">
        <f>Taxepunkter!H123</f>
        <v/>
      </c>
      <c r="I116" s="4">
        <f>Taxepunkter!I123</f>
        <v/>
      </c>
      <c r="J116" s="4">
        <f>Taxepunkter!J123</f>
        <v/>
      </c>
      <c r="K116" s="4">
        <f>Taxepunkter!K123</f>
        <v/>
      </c>
      <c r="L116" s="6">
        <f>Taxepunkter!L123</f>
        <v/>
      </c>
    </row>
    <row r="117">
      <c r="A117" s="5">
        <f>Taxepunkter!A124</f>
        <v/>
      </c>
      <c r="B117" s="4">
        <f>Taxepunkter!B124</f>
        <v/>
      </c>
      <c r="C117" s="4">
        <f>Taxepunkter!C124</f>
        <v/>
      </c>
      <c r="D117" s="4">
        <f>Taxepunkter!D124</f>
        <v/>
      </c>
      <c r="E117" s="4">
        <f>Taxepunkter!E124</f>
        <v/>
      </c>
      <c r="F117" s="4">
        <f>Taxepunkter!F124</f>
        <v/>
      </c>
      <c r="G117" s="4">
        <f>Taxepunkter!G124</f>
        <v/>
      </c>
      <c r="H117" s="4">
        <f>Taxepunkter!H124</f>
        <v/>
      </c>
      <c r="I117" s="4">
        <f>Taxepunkter!I124</f>
        <v/>
      </c>
      <c r="J117" s="4">
        <f>Taxepunkter!J124</f>
        <v/>
      </c>
      <c r="K117" s="4">
        <f>Taxepunkter!K124</f>
        <v/>
      </c>
      <c r="L117" s="6">
        <f>Taxepunkter!L124</f>
        <v/>
      </c>
    </row>
    <row r="118">
      <c r="A118" s="5">
        <f>Taxepunkter!A125</f>
        <v/>
      </c>
      <c r="B118" s="4">
        <f>Taxepunkter!B125</f>
        <v/>
      </c>
      <c r="C118" s="4">
        <f>Taxepunkter!C125</f>
        <v/>
      </c>
      <c r="D118" s="4">
        <f>Taxepunkter!D125</f>
        <v/>
      </c>
      <c r="E118" s="4">
        <f>Taxepunkter!E125</f>
        <v/>
      </c>
      <c r="F118" s="4">
        <f>Taxepunkter!F125</f>
        <v/>
      </c>
      <c r="G118" s="4">
        <f>Taxepunkter!G125</f>
        <v/>
      </c>
      <c r="H118" s="4">
        <f>Taxepunkter!H125</f>
        <v/>
      </c>
      <c r="I118" s="4">
        <f>Taxepunkter!I125</f>
        <v/>
      </c>
      <c r="J118" s="4">
        <f>Taxepunkter!J125</f>
        <v/>
      </c>
      <c r="K118" s="4">
        <f>Taxepunkter!K125</f>
        <v/>
      </c>
      <c r="L118" s="6">
        <f>Taxepunkter!L125</f>
        <v/>
      </c>
    </row>
    <row r="119">
      <c r="A119" s="5">
        <f>Taxepunkter!A126</f>
        <v/>
      </c>
      <c r="B119" s="4">
        <f>Taxepunkter!B126</f>
        <v/>
      </c>
      <c r="C119" s="4">
        <f>Taxepunkter!C126</f>
        <v/>
      </c>
      <c r="D119" s="4">
        <f>Taxepunkter!D126</f>
        <v/>
      </c>
      <c r="E119" s="4">
        <f>Taxepunkter!E126</f>
        <v/>
      </c>
      <c r="F119" s="4">
        <f>Taxepunkter!F126</f>
        <v/>
      </c>
      <c r="G119" s="4">
        <f>Taxepunkter!G126</f>
        <v/>
      </c>
      <c r="H119" s="4">
        <f>Taxepunkter!H126</f>
        <v/>
      </c>
      <c r="I119" s="4">
        <f>Taxepunkter!I126</f>
        <v/>
      </c>
      <c r="J119" s="4">
        <f>Taxepunkter!J126</f>
        <v/>
      </c>
      <c r="K119" s="4">
        <f>Taxepunkter!K126</f>
        <v/>
      </c>
      <c r="L119" s="6">
        <f>Taxepunkter!L126</f>
        <v/>
      </c>
    </row>
    <row r="120">
      <c r="A120" s="5">
        <f>Taxepunkter!A127</f>
        <v/>
      </c>
      <c r="B120" s="4">
        <f>Taxepunkter!B127</f>
        <v/>
      </c>
      <c r="C120" s="4">
        <f>Taxepunkter!C127</f>
        <v/>
      </c>
      <c r="D120" s="4">
        <f>Taxepunkter!D127</f>
        <v/>
      </c>
      <c r="E120" s="4">
        <f>Taxepunkter!E127</f>
        <v/>
      </c>
      <c r="F120" s="4">
        <f>Taxepunkter!F127</f>
        <v/>
      </c>
      <c r="G120" s="4">
        <f>Taxepunkter!G127</f>
        <v/>
      </c>
      <c r="H120" s="4">
        <f>Taxepunkter!H127</f>
        <v/>
      </c>
      <c r="I120" s="4">
        <f>Taxepunkter!I127</f>
        <v/>
      </c>
      <c r="J120" s="4">
        <f>Taxepunkter!J127</f>
        <v/>
      </c>
      <c r="K120" s="4">
        <f>Taxepunkter!K127</f>
        <v/>
      </c>
      <c r="L120" s="6">
        <f>Taxepunkter!L127</f>
        <v/>
      </c>
    </row>
    <row r="121">
      <c r="A121" s="5">
        <f>Taxepunkter!A128</f>
        <v/>
      </c>
      <c r="B121" s="4">
        <f>Taxepunkter!B128</f>
        <v/>
      </c>
      <c r="C121" s="4">
        <f>Taxepunkter!C128</f>
        <v/>
      </c>
      <c r="D121" s="4">
        <f>Taxepunkter!D128</f>
        <v/>
      </c>
      <c r="E121" s="4">
        <f>Taxepunkter!E128</f>
        <v/>
      </c>
      <c r="F121" s="4">
        <f>Taxepunkter!F128</f>
        <v/>
      </c>
      <c r="G121" s="4">
        <f>Taxepunkter!G128</f>
        <v/>
      </c>
      <c r="H121" s="4">
        <f>Taxepunkter!H128</f>
        <v/>
      </c>
      <c r="I121" s="4">
        <f>Taxepunkter!I128</f>
        <v/>
      </c>
      <c r="J121" s="4">
        <f>Taxepunkter!J128</f>
        <v/>
      </c>
      <c r="K121" s="4">
        <f>Taxepunkter!K128</f>
        <v/>
      </c>
      <c r="L121" s="6">
        <f>Taxepunkter!L128</f>
        <v/>
      </c>
    </row>
    <row r="122">
      <c r="A122" s="5">
        <f>Taxepunkter!A129</f>
        <v/>
      </c>
      <c r="B122" s="4">
        <f>Taxepunkter!B129</f>
        <v/>
      </c>
      <c r="C122" s="4">
        <f>Taxepunkter!C129</f>
        <v/>
      </c>
      <c r="D122" s="4">
        <f>Taxepunkter!D129</f>
        <v/>
      </c>
      <c r="E122" s="4">
        <f>Taxepunkter!E129</f>
        <v/>
      </c>
      <c r="F122" s="4">
        <f>Taxepunkter!F129</f>
        <v/>
      </c>
      <c r="G122" s="4">
        <f>Taxepunkter!G129</f>
        <v/>
      </c>
      <c r="H122" s="4">
        <f>Taxepunkter!H129</f>
        <v/>
      </c>
      <c r="I122" s="4">
        <f>Taxepunkter!I129</f>
        <v/>
      </c>
      <c r="J122" s="4">
        <f>Taxepunkter!J129</f>
        <v/>
      </c>
      <c r="K122" s="4">
        <f>Taxepunkter!K129</f>
        <v/>
      </c>
      <c r="L122" s="6">
        <f>Taxepunkter!L129</f>
        <v/>
      </c>
    </row>
    <row r="123">
      <c r="A123" s="5">
        <f>Taxepunkter!A130</f>
        <v/>
      </c>
      <c r="B123" s="4">
        <f>Taxepunkter!B130</f>
        <v/>
      </c>
      <c r="C123" s="4">
        <f>Taxepunkter!C130</f>
        <v/>
      </c>
      <c r="D123" s="4">
        <f>Taxepunkter!D130</f>
        <v/>
      </c>
      <c r="E123" s="4">
        <f>Taxepunkter!E130</f>
        <v/>
      </c>
      <c r="F123" s="4">
        <f>Taxepunkter!F130</f>
        <v/>
      </c>
      <c r="G123" s="4">
        <f>Taxepunkter!G130</f>
        <v/>
      </c>
      <c r="H123" s="4">
        <f>Taxepunkter!H130</f>
        <v/>
      </c>
      <c r="I123" s="4">
        <f>Taxepunkter!I130</f>
        <v/>
      </c>
      <c r="J123" s="4">
        <f>Taxepunkter!J130</f>
        <v/>
      </c>
      <c r="K123" s="4">
        <f>Taxepunkter!K130</f>
        <v/>
      </c>
      <c r="L123" s="6">
        <f>Taxepunkter!L130</f>
        <v/>
      </c>
    </row>
    <row r="124">
      <c r="A124" s="5">
        <f>Taxepunkter!A131</f>
        <v/>
      </c>
      <c r="B124" s="4">
        <f>Taxepunkter!B131</f>
        <v/>
      </c>
      <c r="C124" s="4">
        <f>Taxepunkter!C131</f>
        <v/>
      </c>
      <c r="D124" s="4">
        <f>Taxepunkter!D131</f>
        <v/>
      </c>
      <c r="E124" s="4">
        <f>Taxepunkter!E131</f>
        <v/>
      </c>
      <c r="F124" s="4">
        <f>Taxepunkter!F131</f>
        <v/>
      </c>
      <c r="G124" s="4">
        <f>Taxepunkter!G131</f>
        <v/>
      </c>
      <c r="H124" s="4">
        <f>Taxepunkter!H131</f>
        <v/>
      </c>
      <c r="I124" s="4">
        <f>Taxepunkter!I131</f>
        <v/>
      </c>
      <c r="J124" s="4">
        <f>Taxepunkter!J131</f>
        <v/>
      </c>
      <c r="K124" s="4">
        <f>Taxepunkter!K131</f>
        <v/>
      </c>
      <c r="L124" s="6">
        <f>Taxepunkter!L131</f>
        <v/>
      </c>
    </row>
    <row r="125">
      <c r="A125" s="5">
        <f>Taxepunkter!A132</f>
        <v/>
      </c>
      <c r="B125" s="4">
        <f>Taxepunkter!B132</f>
        <v/>
      </c>
      <c r="C125" s="4">
        <f>Taxepunkter!C132</f>
        <v/>
      </c>
      <c r="D125" s="4">
        <f>Taxepunkter!D132</f>
        <v/>
      </c>
      <c r="E125" s="4">
        <f>Taxepunkter!E132</f>
        <v/>
      </c>
      <c r="F125" s="4">
        <f>Taxepunkter!F132</f>
        <v/>
      </c>
      <c r="G125" s="4">
        <f>Taxepunkter!G132</f>
        <v/>
      </c>
      <c r="H125" s="4">
        <f>Taxepunkter!H132</f>
        <v/>
      </c>
      <c r="I125" s="4">
        <f>Taxepunkter!I132</f>
        <v/>
      </c>
      <c r="J125" s="4">
        <f>Taxepunkter!J132</f>
        <v/>
      </c>
      <c r="K125" s="4">
        <f>Taxepunkter!K132</f>
        <v/>
      </c>
      <c r="L125" s="6">
        <f>Taxepunkter!L132</f>
        <v/>
      </c>
    </row>
    <row r="126">
      <c r="A126" s="5">
        <f>Taxepunkter!A133</f>
        <v/>
      </c>
      <c r="B126" s="4">
        <f>Taxepunkter!B133</f>
        <v/>
      </c>
      <c r="C126" s="4">
        <f>Taxepunkter!C133</f>
        <v/>
      </c>
      <c r="D126" s="4">
        <f>Taxepunkter!D133</f>
        <v/>
      </c>
      <c r="E126" s="4">
        <f>Taxepunkter!E133</f>
        <v/>
      </c>
      <c r="F126" s="4">
        <f>Taxepunkter!F133</f>
        <v/>
      </c>
      <c r="G126" s="4">
        <f>Taxepunkter!G133</f>
        <v/>
      </c>
      <c r="H126" s="4">
        <f>Taxepunkter!H133</f>
        <v/>
      </c>
      <c r="I126" s="4">
        <f>Taxepunkter!I133</f>
        <v/>
      </c>
      <c r="J126" s="4">
        <f>Taxepunkter!J133</f>
        <v/>
      </c>
      <c r="K126" s="4">
        <f>Taxepunkter!K133</f>
        <v/>
      </c>
      <c r="L126" s="6">
        <f>Taxepunkter!L133</f>
        <v/>
      </c>
    </row>
    <row r="127">
      <c r="A127" s="5">
        <f>Taxepunkter!A134</f>
        <v/>
      </c>
      <c r="B127" s="4">
        <f>Taxepunkter!B134</f>
        <v/>
      </c>
      <c r="C127" s="4">
        <f>Taxepunkter!C134</f>
        <v/>
      </c>
      <c r="D127" s="4">
        <f>Taxepunkter!D134</f>
        <v/>
      </c>
      <c r="E127" s="4">
        <f>Taxepunkter!E134</f>
        <v/>
      </c>
      <c r="F127" s="4">
        <f>Taxepunkter!F134</f>
        <v/>
      </c>
      <c r="G127" s="4">
        <f>Taxepunkter!G134</f>
        <v/>
      </c>
      <c r="H127" s="4">
        <f>Taxepunkter!H134</f>
        <v/>
      </c>
      <c r="I127" s="4">
        <f>Taxepunkter!I134</f>
        <v/>
      </c>
      <c r="J127" s="4">
        <f>Taxepunkter!J134</f>
        <v/>
      </c>
      <c r="K127" s="4">
        <f>Taxepunkter!K134</f>
        <v/>
      </c>
      <c r="L127" s="6">
        <f>Taxepunkter!L134</f>
        <v/>
      </c>
    </row>
    <row r="128">
      <c r="A128" s="5">
        <f>Taxepunkter!A135</f>
        <v/>
      </c>
      <c r="B128" s="4">
        <f>Taxepunkter!B135</f>
        <v/>
      </c>
      <c r="C128" s="4">
        <f>Taxepunkter!C135</f>
        <v/>
      </c>
      <c r="D128" s="4">
        <f>Taxepunkter!D135</f>
        <v/>
      </c>
      <c r="E128" s="4">
        <f>Taxepunkter!E135</f>
        <v/>
      </c>
      <c r="F128" s="4">
        <f>Taxepunkter!F135</f>
        <v/>
      </c>
      <c r="G128" s="4">
        <f>Taxepunkter!G135</f>
        <v/>
      </c>
      <c r="H128" s="4">
        <f>Taxepunkter!H135</f>
        <v/>
      </c>
      <c r="I128" s="4">
        <f>Taxepunkter!I135</f>
        <v/>
      </c>
      <c r="J128" s="4">
        <f>Taxepunkter!J135</f>
        <v/>
      </c>
      <c r="K128" s="4">
        <f>Taxepunkter!K135</f>
        <v/>
      </c>
      <c r="L128" s="6">
        <f>Taxepunkter!L135</f>
        <v/>
      </c>
    </row>
    <row r="129">
      <c r="A129" s="5">
        <f>Taxepunkter!A136</f>
        <v/>
      </c>
      <c r="B129" s="4">
        <f>Taxepunkter!B136</f>
        <v/>
      </c>
      <c r="C129" s="4">
        <f>Taxepunkter!C136</f>
        <v/>
      </c>
      <c r="D129" s="4">
        <f>Taxepunkter!D136</f>
        <v/>
      </c>
      <c r="E129" s="4">
        <f>Taxepunkter!E136</f>
        <v/>
      </c>
      <c r="F129" s="4">
        <f>Taxepunkter!F136</f>
        <v/>
      </c>
      <c r="G129" s="4">
        <f>Taxepunkter!G136</f>
        <v/>
      </c>
      <c r="H129" s="4">
        <f>Taxepunkter!H136</f>
        <v/>
      </c>
      <c r="I129" s="4">
        <f>Taxepunkter!I136</f>
        <v/>
      </c>
      <c r="J129" s="4">
        <f>Taxepunkter!J136</f>
        <v/>
      </c>
      <c r="K129" s="4">
        <f>Taxepunkter!K136</f>
        <v/>
      </c>
      <c r="L129" s="6">
        <f>Taxepunkter!L136</f>
        <v/>
      </c>
    </row>
    <row r="130">
      <c r="A130" s="5">
        <f>Taxepunkter!A137</f>
        <v/>
      </c>
      <c r="B130" s="4">
        <f>Taxepunkter!B137</f>
        <v/>
      </c>
      <c r="C130" s="4">
        <f>Taxepunkter!C137</f>
        <v/>
      </c>
      <c r="D130" s="4">
        <f>Taxepunkter!D137</f>
        <v/>
      </c>
      <c r="E130" s="4">
        <f>Taxepunkter!E137</f>
        <v/>
      </c>
      <c r="F130" s="4">
        <f>Taxepunkter!F137</f>
        <v/>
      </c>
      <c r="G130" s="4">
        <f>Taxepunkter!G137</f>
        <v/>
      </c>
      <c r="H130" s="4">
        <f>Taxepunkter!H137</f>
        <v/>
      </c>
      <c r="I130" s="4">
        <f>Taxepunkter!I137</f>
        <v/>
      </c>
      <c r="J130" s="4">
        <f>Taxepunkter!J137</f>
        <v/>
      </c>
      <c r="K130" s="4">
        <f>Taxepunkter!K137</f>
        <v/>
      </c>
      <c r="L130" s="6">
        <f>Taxepunkter!L137</f>
        <v/>
      </c>
    </row>
    <row r="131">
      <c r="A131" s="5">
        <f>Taxepunkter!A138</f>
        <v/>
      </c>
      <c r="B131" s="4">
        <f>Taxepunkter!B138</f>
        <v/>
      </c>
      <c r="C131" s="4">
        <f>Taxepunkter!C138</f>
        <v/>
      </c>
      <c r="D131" s="4">
        <f>Taxepunkter!D138</f>
        <v/>
      </c>
      <c r="E131" s="4">
        <f>Taxepunkter!E138</f>
        <v/>
      </c>
      <c r="F131" s="4">
        <f>Taxepunkter!F138</f>
        <v/>
      </c>
      <c r="G131" s="4">
        <f>Taxepunkter!G138</f>
        <v/>
      </c>
      <c r="H131" s="4">
        <f>Taxepunkter!H138</f>
        <v/>
      </c>
      <c r="I131" s="4">
        <f>Taxepunkter!I138</f>
        <v/>
      </c>
      <c r="J131" s="4">
        <f>Taxepunkter!J138</f>
        <v/>
      </c>
      <c r="K131" s="4">
        <f>Taxepunkter!K138</f>
        <v/>
      </c>
      <c r="L131" s="6">
        <f>Taxepunkter!L138</f>
        <v/>
      </c>
    </row>
    <row r="132">
      <c r="A132" s="5">
        <f>Taxepunkter!A139</f>
        <v/>
      </c>
      <c r="B132" s="4">
        <f>Taxepunkter!B139</f>
        <v/>
      </c>
      <c r="C132" s="4">
        <f>Taxepunkter!C139</f>
        <v/>
      </c>
      <c r="D132" s="4">
        <f>Taxepunkter!D139</f>
        <v/>
      </c>
      <c r="E132" s="4">
        <f>Taxepunkter!E139</f>
        <v/>
      </c>
      <c r="F132" s="4">
        <f>Taxepunkter!F139</f>
        <v/>
      </c>
      <c r="G132" s="4">
        <f>Taxepunkter!G139</f>
        <v/>
      </c>
      <c r="H132" s="4">
        <f>Taxepunkter!H139</f>
        <v/>
      </c>
      <c r="I132" s="4">
        <f>Taxepunkter!I139</f>
        <v/>
      </c>
      <c r="J132" s="4">
        <f>Taxepunkter!J139</f>
        <v/>
      </c>
      <c r="K132" s="4">
        <f>Taxepunkter!K139</f>
        <v/>
      </c>
      <c r="L132" s="6">
        <f>Taxepunkter!L139</f>
        <v/>
      </c>
    </row>
    <row r="133">
      <c r="A133" s="5">
        <f>Taxepunkter!A140</f>
        <v/>
      </c>
      <c r="B133" s="4">
        <f>Taxepunkter!B140</f>
        <v/>
      </c>
      <c r="C133" s="4">
        <f>Taxepunkter!C140</f>
        <v/>
      </c>
      <c r="D133" s="4">
        <f>Taxepunkter!D140</f>
        <v/>
      </c>
      <c r="E133" s="4">
        <f>Taxepunkter!E140</f>
        <v/>
      </c>
      <c r="F133" s="4">
        <f>Taxepunkter!F140</f>
        <v/>
      </c>
      <c r="G133" s="4">
        <f>Taxepunkter!G140</f>
        <v/>
      </c>
      <c r="H133" s="4">
        <f>Taxepunkter!H140</f>
        <v/>
      </c>
      <c r="I133" s="4">
        <f>Taxepunkter!I140</f>
        <v/>
      </c>
      <c r="J133" s="4">
        <f>Taxepunkter!J140</f>
        <v/>
      </c>
      <c r="K133" s="4">
        <f>Taxepunkter!K140</f>
        <v/>
      </c>
      <c r="L133" s="6">
        <f>Taxepunkter!L140</f>
        <v/>
      </c>
    </row>
    <row r="134">
      <c r="A134" s="5">
        <f>Taxepunkter!A141</f>
        <v/>
      </c>
      <c r="B134" s="4">
        <f>Taxepunkter!B141</f>
        <v/>
      </c>
      <c r="C134" s="4">
        <f>Taxepunkter!C141</f>
        <v/>
      </c>
      <c r="D134" s="4">
        <f>Taxepunkter!D141</f>
        <v/>
      </c>
      <c r="E134" s="4">
        <f>Taxepunkter!E141</f>
        <v/>
      </c>
      <c r="F134" s="4">
        <f>Taxepunkter!F141</f>
        <v/>
      </c>
      <c r="G134" s="4">
        <f>Taxepunkter!G141</f>
        <v/>
      </c>
      <c r="H134" s="4">
        <f>Taxepunkter!H141</f>
        <v/>
      </c>
      <c r="I134" s="4">
        <f>Taxepunkter!I141</f>
        <v/>
      </c>
      <c r="J134" s="4">
        <f>Taxepunkter!J141</f>
        <v/>
      </c>
      <c r="K134" s="4">
        <f>Taxepunkter!K141</f>
        <v/>
      </c>
      <c r="L134" s="6">
        <f>Taxepunkter!L141</f>
        <v/>
      </c>
    </row>
    <row r="135">
      <c r="A135" s="5">
        <f>Taxepunkter!A142</f>
        <v/>
      </c>
      <c r="B135" s="4">
        <f>Taxepunkter!B142</f>
        <v/>
      </c>
      <c r="C135" s="4">
        <f>Taxepunkter!C142</f>
        <v/>
      </c>
      <c r="D135" s="4">
        <f>Taxepunkter!D142</f>
        <v/>
      </c>
      <c r="E135" s="4">
        <f>Taxepunkter!E142</f>
        <v/>
      </c>
      <c r="F135" s="4">
        <f>Taxepunkter!F142</f>
        <v/>
      </c>
      <c r="G135" s="4">
        <f>Taxepunkter!G142</f>
        <v/>
      </c>
      <c r="H135" s="4">
        <f>Taxepunkter!H142</f>
        <v/>
      </c>
      <c r="I135" s="4">
        <f>Taxepunkter!I142</f>
        <v/>
      </c>
      <c r="J135" s="4">
        <f>Taxepunkter!J142</f>
        <v/>
      </c>
      <c r="K135" s="4">
        <f>Taxepunkter!K142</f>
        <v/>
      </c>
      <c r="L135" s="6">
        <f>Taxepunkter!L142</f>
        <v/>
      </c>
    </row>
    <row r="136">
      <c r="A136" s="5">
        <f>Taxepunkter!A143</f>
        <v/>
      </c>
      <c r="B136" s="4">
        <f>Taxepunkter!B143</f>
        <v/>
      </c>
      <c r="C136" s="4">
        <f>Taxepunkter!C143</f>
        <v/>
      </c>
      <c r="D136" s="4">
        <f>Taxepunkter!D143</f>
        <v/>
      </c>
      <c r="E136" s="4">
        <f>Taxepunkter!E143</f>
        <v/>
      </c>
      <c r="F136" s="4">
        <f>Taxepunkter!F143</f>
        <v/>
      </c>
      <c r="G136" s="4">
        <f>Taxepunkter!G143</f>
        <v/>
      </c>
      <c r="H136" s="4">
        <f>Taxepunkter!H143</f>
        <v/>
      </c>
      <c r="I136" s="4">
        <f>Taxepunkter!I143</f>
        <v/>
      </c>
      <c r="J136" s="4">
        <f>Taxepunkter!J143</f>
        <v/>
      </c>
      <c r="K136" s="4">
        <f>Taxepunkter!K143</f>
        <v/>
      </c>
      <c r="L136" s="6">
        <f>Taxepunkter!L143</f>
        <v/>
      </c>
    </row>
    <row r="137">
      <c r="A137" s="5">
        <f>Taxepunkter!A144</f>
        <v/>
      </c>
      <c r="B137" s="4">
        <f>Taxepunkter!B144</f>
        <v/>
      </c>
      <c r="C137" s="4">
        <f>Taxepunkter!C144</f>
        <v/>
      </c>
      <c r="D137" s="4">
        <f>Taxepunkter!D144</f>
        <v/>
      </c>
      <c r="E137" s="4">
        <f>Taxepunkter!E144</f>
        <v/>
      </c>
      <c r="F137" s="4">
        <f>Taxepunkter!F144</f>
        <v/>
      </c>
      <c r="G137" s="4">
        <f>Taxepunkter!G144</f>
        <v/>
      </c>
      <c r="H137" s="4">
        <f>Taxepunkter!H144</f>
        <v/>
      </c>
      <c r="I137" s="4">
        <f>Taxepunkter!I144</f>
        <v/>
      </c>
      <c r="J137" s="4">
        <f>Taxepunkter!J144</f>
        <v/>
      </c>
      <c r="K137" s="4">
        <f>Taxepunkter!K144</f>
        <v/>
      </c>
      <c r="L137" s="6">
        <f>Taxepunkter!L144</f>
        <v/>
      </c>
    </row>
    <row r="138">
      <c r="A138" s="5">
        <f>Taxepunkter!A145</f>
        <v/>
      </c>
      <c r="B138" s="4">
        <f>Taxepunkter!B145</f>
        <v/>
      </c>
      <c r="C138" s="4">
        <f>Taxepunkter!C145</f>
        <v/>
      </c>
      <c r="D138" s="4">
        <f>Taxepunkter!D145</f>
        <v/>
      </c>
      <c r="E138" s="4">
        <f>Taxepunkter!E145</f>
        <v/>
      </c>
      <c r="F138" s="4">
        <f>Taxepunkter!F145</f>
        <v/>
      </c>
      <c r="G138" s="4">
        <f>Taxepunkter!G145</f>
        <v/>
      </c>
      <c r="H138" s="4">
        <f>Taxepunkter!H145</f>
        <v/>
      </c>
      <c r="I138" s="4">
        <f>Taxepunkter!I145</f>
        <v/>
      </c>
      <c r="J138" s="4">
        <f>Taxepunkter!J145</f>
        <v/>
      </c>
      <c r="K138" s="4">
        <f>Taxepunkter!K145</f>
        <v/>
      </c>
      <c r="L138" s="6">
        <f>Taxepunkter!L145</f>
        <v/>
      </c>
    </row>
    <row r="139">
      <c r="A139" s="5">
        <f>Taxepunkter!A146</f>
        <v/>
      </c>
      <c r="B139" s="4">
        <f>Taxepunkter!B146</f>
        <v/>
      </c>
      <c r="C139" s="4">
        <f>Taxepunkter!C146</f>
        <v/>
      </c>
      <c r="D139" s="4">
        <f>Taxepunkter!D146</f>
        <v/>
      </c>
      <c r="E139" s="4">
        <f>Taxepunkter!E146</f>
        <v/>
      </c>
      <c r="F139" s="4">
        <f>Taxepunkter!F146</f>
        <v/>
      </c>
      <c r="G139" s="4">
        <f>Taxepunkter!G146</f>
        <v/>
      </c>
      <c r="H139" s="4">
        <f>Taxepunkter!H146</f>
        <v/>
      </c>
      <c r="I139" s="4">
        <f>Taxepunkter!I146</f>
        <v/>
      </c>
      <c r="J139" s="4">
        <f>Taxepunkter!J146</f>
        <v/>
      </c>
      <c r="K139" s="4">
        <f>Taxepunkter!K146</f>
        <v/>
      </c>
      <c r="L139" s="6">
        <f>Taxepunkter!L146</f>
        <v/>
      </c>
    </row>
    <row r="140">
      <c r="A140" s="5">
        <f>Taxepunkter!A147</f>
        <v/>
      </c>
      <c r="B140" s="4">
        <f>Taxepunkter!B147</f>
        <v/>
      </c>
      <c r="C140" s="4">
        <f>Taxepunkter!C147</f>
        <v/>
      </c>
      <c r="D140" s="4">
        <f>Taxepunkter!D147</f>
        <v/>
      </c>
      <c r="E140" s="4">
        <f>Taxepunkter!E147</f>
        <v/>
      </c>
      <c r="F140" s="4">
        <f>Taxepunkter!F147</f>
        <v/>
      </c>
      <c r="G140" s="4">
        <f>Taxepunkter!G147</f>
        <v/>
      </c>
      <c r="H140" s="4">
        <f>Taxepunkter!H147</f>
        <v/>
      </c>
      <c r="I140" s="4">
        <f>Taxepunkter!I147</f>
        <v/>
      </c>
      <c r="J140" s="4">
        <f>Taxepunkter!J147</f>
        <v/>
      </c>
      <c r="K140" s="4">
        <f>Taxepunkter!K147</f>
        <v/>
      </c>
      <c r="L140" s="6">
        <f>Taxepunkter!L147</f>
        <v/>
      </c>
    </row>
    <row r="141">
      <c r="A141" s="5">
        <f>Taxepunkter!A148</f>
        <v/>
      </c>
      <c r="B141" s="4">
        <f>Taxepunkter!B148</f>
        <v/>
      </c>
      <c r="C141" s="4">
        <f>Taxepunkter!C148</f>
        <v/>
      </c>
      <c r="D141" s="4">
        <f>Taxepunkter!D148</f>
        <v/>
      </c>
      <c r="E141" s="4">
        <f>Taxepunkter!E148</f>
        <v/>
      </c>
      <c r="F141" s="4">
        <f>Taxepunkter!F148</f>
        <v/>
      </c>
      <c r="G141" s="4">
        <f>Taxepunkter!G148</f>
        <v/>
      </c>
      <c r="H141" s="4">
        <f>Taxepunkter!H148</f>
        <v/>
      </c>
      <c r="I141" s="4">
        <f>Taxepunkter!I148</f>
        <v/>
      </c>
      <c r="J141" s="4">
        <f>Taxepunkter!J148</f>
        <v/>
      </c>
      <c r="K141" s="4">
        <f>Taxepunkter!K148</f>
        <v/>
      </c>
      <c r="L141" s="6">
        <f>Taxepunkter!L148</f>
        <v/>
      </c>
    </row>
    <row r="142">
      <c r="A142" s="5">
        <f>Taxepunkter!A149</f>
        <v/>
      </c>
      <c r="B142" s="4">
        <f>Taxepunkter!B149</f>
        <v/>
      </c>
      <c r="C142" s="4">
        <f>Taxepunkter!C149</f>
        <v/>
      </c>
      <c r="D142" s="4">
        <f>Taxepunkter!D149</f>
        <v/>
      </c>
      <c r="E142" s="4">
        <f>Taxepunkter!E149</f>
        <v/>
      </c>
      <c r="F142" s="4">
        <f>Taxepunkter!F149</f>
        <v/>
      </c>
      <c r="G142" s="4">
        <f>Taxepunkter!G149</f>
        <v/>
      </c>
      <c r="H142" s="4">
        <f>Taxepunkter!H149</f>
        <v/>
      </c>
      <c r="I142" s="4">
        <f>Taxepunkter!I149</f>
        <v/>
      </c>
      <c r="J142" s="4">
        <f>Taxepunkter!J149</f>
        <v/>
      </c>
      <c r="K142" s="4">
        <f>Taxepunkter!K149</f>
        <v/>
      </c>
      <c r="L142" s="6">
        <f>Taxepunkter!L149</f>
        <v/>
      </c>
    </row>
    <row r="143">
      <c r="A143" s="5">
        <f>Taxepunkter!A150</f>
        <v/>
      </c>
      <c r="B143" s="4">
        <f>Taxepunkter!B150</f>
        <v/>
      </c>
      <c r="C143" s="4">
        <f>Taxepunkter!C150</f>
        <v/>
      </c>
      <c r="D143" s="4">
        <f>Taxepunkter!D150</f>
        <v/>
      </c>
      <c r="E143" s="4">
        <f>Taxepunkter!E150</f>
        <v/>
      </c>
      <c r="F143" s="4">
        <f>Taxepunkter!F150</f>
        <v/>
      </c>
      <c r="G143" s="4">
        <f>Taxepunkter!G150</f>
        <v/>
      </c>
      <c r="H143" s="4">
        <f>Taxepunkter!H150</f>
        <v/>
      </c>
      <c r="I143" s="4">
        <f>Taxepunkter!I150</f>
        <v/>
      </c>
      <c r="J143" s="4">
        <f>Taxepunkter!J150</f>
        <v/>
      </c>
      <c r="K143" s="4">
        <f>Taxepunkter!K150</f>
        <v/>
      </c>
      <c r="L143" s="6">
        <f>Taxepunkter!L150</f>
        <v/>
      </c>
    </row>
    <row r="144">
      <c r="A144" s="5">
        <f>Taxepunkter!A151</f>
        <v/>
      </c>
      <c r="B144" s="4">
        <f>Taxepunkter!B151</f>
        <v/>
      </c>
      <c r="C144" s="4">
        <f>Taxepunkter!C151</f>
        <v/>
      </c>
      <c r="D144" s="4">
        <f>Taxepunkter!D151</f>
        <v/>
      </c>
      <c r="E144" s="4">
        <f>Taxepunkter!E151</f>
        <v/>
      </c>
      <c r="F144" s="4">
        <f>Taxepunkter!F151</f>
        <v/>
      </c>
      <c r="G144" s="4">
        <f>Taxepunkter!G151</f>
        <v/>
      </c>
      <c r="H144" s="4">
        <f>Taxepunkter!H151</f>
        <v/>
      </c>
      <c r="I144" s="4">
        <f>Taxepunkter!I151</f>
        <v/>
      </c>
      <c r="J144" s="4">
        <f>Taxepunkter!J151</f>
        <v/>
      </c>
      <c r="K144" s="4">
        <f>Taxepunkter!K151</f>
        <v/>
      </c>
      <c r="L144" s="6">
        <f>Taxepunkter!L151</f>
        <v/>
      </c>
    </row>
    <row r="145">
      <c r="A145" s="5">
        <f>Taxepunkter!A152</f>
        <v/>
      </c>
      <c r="B145" s="4">
        <f>Taxepunkter!B152</f>
        <v/>
      </c>
      <c r="C145" s="4">
        <f>Taxepunkter!C152</f>
        <v/>
      </c>
      <c r="D145" s="4">
        <f>Taxepunkter!D152</f>
        <v/>
      </c>
      <c r="E145" s="4">
        <f>Taxepunkter!E152</f>
        <v/>
      </c>
      <c r="F145" s="4">
        <f>Taxepunkter!F152</f>
        <v/>
      </c>
      <c r="G145" s="4">
        <f>Taxepunkter!G152</f>
        <v/>
      </c>
      <c r="H145" s="4">
        <f>Taxepunkter!H152</f>
        <v/>
      </c>
      <c r="I145" s="4">
        <f>Taxepunkter!I152</f>
        <v/>
      </c>
      <c r="J145" s="4">
        <f>Taxepunkter!J152</f>
        <v/>
      </c>
      <c r="K145" s="4">
        <f>Taxepunkter!K152</f>
        <v/>
      </c>
      <c r="L145" s="6">
        <f>Taxepunkter!L152</f>
        <v/>
      </c>
    </row>
    <row r="146">
      <c r="A146" s="5">
        <f>Taxepunkter!A153</f>
        <v/>
      </c>
      <c r="B146" s="4">
        <f>Taxepunkter!B153</f>
        <v/>
      </c>
      <c r="C146" s="4">
        <f>Taxepunkter!C153</f>
        <v/>
      </c>
      <c r="D146" s="4">
        <f>Taxepunkter!D153</f>
        <v/>
      </c>
      <c r="E146" s="4">
        <f>Taxepunkter!E153</f>
        <v/>
      </c>
      <c r="F146" s="4">
        <f>Taxepunkter!F153</f>
        <v/>
      </c>
      <c r="G146" s="4">
        <f>Taxepunkter!G153</f>
        <v/>
      </c>
      <c r="H146" s="4">
        <f>Taxepunkter!H153</f>
        <v/>
      </c>
      <c r="I146" s="4">
        <f>Taxepunkter!I153</f>
        <v/>
      </c>
      <c r="J146" s="4">
        <f>Taxepunkter!J153</f>
        <v/>
      </c>
      <c r="K146" s="4">
        <f>Taxepunkter!K153</f>
        <v/>
      </c>
      <c r="L146" s="6">
        <f>Taxepunkter!L153</f>
        <v/>
      </c>
    </row>
    <row r="147">
      <c r="A147" s="5">
        <f>Taxepunkter!A154</f>
        <v/>
      </c>
      <c r="B147" s="4">
        <f>Taxepunkter!B154</f>
        <v/>
      </c>
      <c r="C147" s="4">
        <f>Taxepunkter!C154</f>
        <v/>
      </c>
      <c r="D147" s="4">
        <f>Taxepunkter!D154</f>
        <v/>
      </c>
      <c r="E147" s="4">
        <f>Taxepunkter!E154</f>
        <v/>
      </c>
      <c r="F147" s="4">
        <f>Taxepunkter!F154</f>
        <v/>
      </c>
      <c r="G147" s="4">
        <f>Taxepunkter!G154</f>
        <v/>
      </c>
      <c r="H147" s="4">
        <f>Taxepunkter!H154</f>
        <v/>
      </c>
      <c r="I147" s="4">
        <f>Taxepunkter!I154</f>
        <v/>
      </c>
      <c r="J147" s="4">
        <f>Taxepunkter!J154</f>
        <v/>
      </c>
      <c r="K147" s="4">
        <f>Taxepunkter!K154</f>
        <v/>
      </c>
      <c r="L147" s="6">
        <f>Taxepunkter!L154</f>
        <v/>
      </c>
    </row>
    <row r="148">
      <c r="A148" s="5">
        <f>Taxepunkter!A155</f>
        <v/>
      </c>
      <c r="B148" s="4">
        <f>Taxepunkter!B155</f>
        <v/>
      </c>
      <c r="C148" s="4">
        <f>Taxepunkter!C155</f>
        <v/>
      </c>
      <c r="D148" s="4">
        <f>Taxepunkter!D155</f>
        <v/>
      </c>
      <c r="E148" s="4">
        <f>Taxepunkter!E155</f>
        <v/>
      </c>
      <c r="F148" s="4">
        <f>Taxepunkter!F155</f>
        <v/>
      </c>
      <c r="G148" s="4">
        <f>Taxepunkter!G155</f>
        <v/>
      </c>
      <c r="H148" s="4">
        <f>Taxepunkter!H155</f>
        <v/>
      </c>
      <c r="I148" s="4">
        <f>Taxepunkter!I155</f>
        <v/>
      </c>
      <c r="J148" s="4">
        <f>Taxepunkter!J155</f>
        <v/>
      </c>
      <c r="K148" s="4">
        <f>Taxepunkter!K155</f>
        <v/>
      </c>
      <c r="L148" s="6">
        <f>Taxepunkter!L155</f>
        <v/>
      </c>
    </row>
    <row r="149">
      <c r="A149" s="5">
        <f>Taxepunkter!A156</f>
        <v/>
      </c>
      <c r="B149" s="4">
        <f>Taxepunkter!B156</f>
        <v/>
      </c>
      <c r="C149" s="4">
        <f>Taxepunkter!C156</f>
        <v/>
      </c>
      <c r="D149" s="4">
        <f>Taxepunkter!D156</f>
        <v/>
      </c>
      <c r="E149" s="4">
        <f>Taxepunkter!E156</f>
        <v/>
      </c>
      <c r="F149" s="4">
        <f>Taxepunkter!F156</f>
        <v/>
      </c>
      <c r="G149" s="4">
        <f>Taxepunkter!G156</f>
        <v/>
      </c>
      <c r="H149" s="4">
        <f>Taxepunkter!H156</f>
        <v/>
      </c>
      <c r="I149" s="4">
        <f>Taxepunkter!I156</f>
        <v/>
      </c>
      <c r="J149" s="4">
        <f>Taxepunkter!J156</f>
        <v/>
      </c>
      <c r="K149" s="4">
        <f>Taxepunkter!K156</f>
        <v/>
      </c>
      <c r="L149" s="6">
        <f>Taxepunkter!L156</f>
        <v/>
      </c>
    </row>
    <row r="150">
      <c r="A150" s="5">
        <f>Taxepunkter!A157</f>
        <v/>
      </c>
      <c r="B150" s="4">
        <f>Taxepunkter!B157</f>
        <v/>
      </c>
      <c r="C150" s="4">
        <f>Taxepunkter!C157</f>
        <v/>
      </c>
      <c r="D150" s="4">
        <f>Taxepunkter!D157</f>
        <v/>
      </c>
      <c r="E150" s="4">
        <f>Taxepunkter!E157</f>
        <v/>
      </c>
      <c r="F150" s="4">
        <f>Taxepunkter!F157</f>
        <v/>
      </c>
      <c r="G150" s="4">
        <f>Taxepunkter!G157</f>
        <v/>
      </c>
      <c r="H150" s="4">
        <f>Taxepunkter!H157</f>
        <v/>
      </c>
      <c r="I150" s="4">
        <f>Taxepunkter!I157</f>
        <v/>
      </c>
      <c r="J150" s="4">
        <f>Taxepunkter!J157</f>
        <v/>
      </c>
      <c r="K150" s="4">
        <f>Taxepunkter!K157</f>
        <v/>
      </c>
      <c r="L150" s="6">
        <f>Taxepunkter!L157</f>
        <v/>
      </c>
    </row>
    <row r="151">
      <c r="A151" s="5">
        <f>Taxepunkter!A158</f>
        <v/>
      </c>
      <c r="B151" s="4">
        <f>Taxepunkter!B158</f>
        <v/>
      </c>
      <c r="C151" s="4">
        <f>Taxepunkter!C158</f>
        <v/>
      </c>
      <c r="D151" s="4">
        <f>Taxepunkter!D158</f>
        <v/>
      </c>
      <c r="E151" s="4">
        <f>Taxepunkter!E158</f>
        <v/>
      </c>
      <c r="F151" s="4">
        <f>Taxepunkter!F158</f>
        <v/>
      </c>
      <c r="G151" s="4">
        <f>Taxepunkter!G158</f>
        <v/>
      </c>
      <c r="H151" s="4">
        <f>Taxepunkter!H158</f>
        <v/>
      </c>
      <c r="I151" s="4">
        <f>Taxepunkter!I158</f>
        <v/>
      </c>
      <c r="J151" s="4">
        <f>Taxepunkter!J158</f>
        <v/>
      </c>
      <c r="K151" s="4">
        <f>Taxepunkter!K158</f>
        <v/>
      </c>
      <c r="L151" s="6">
        <f>Taxepunkter!L158</f>
        <v/>
      </c>
    </row>
    <row r="152">
      <c r="A152" s="5">
        <f>Taxepunkter!A159</f>
        <v/>
      </c>
      <c r="B152" s="4">
        <f>Taxepunkter!B159</f>
        <v/>
      </c>
      <c r="C152" s="4">
        <f>Taxepunkter!C159</f>
        <v/>
      </c>
      <c r="D152" s="4">
        <f>Taxepunkter!D159</f>
        <v/>
      </c>
      <c r="E152" s="4">
        <f>Taxepunkter!E159</f>
        <v/>
      </c>
      <c r="F152" s="4">
        <f>Taxepunkter!F159</f>
        <v/>
      </c>
      <c r="G152" s="4">
        <f>Taxepunkter!G159</f>
        <v/>
      </c>
      <c r="H152" s="4">
        <f>Taxepunkter!H159</f>
        <v/>
      </c>
      <c r="I152" s="4">
        <f>Taxepunkter!I159</f>
        <v/>
      </c>
      <c r="J152" s="4">
        <f>Taxepunkter!J159</f>
        <v/>
      </c>
      <c r="K152" s="4">
        <f>Taxepunkter!K159</f>
        <v/>
      </c>
      <c r="L152" s="6">
        <f>Taxepunkter!L159</f>
        <v/>
      </c>
    </row>
    <row r="153">
      <c r="A153" s="5">
        <f>Taxepunkter!A160</f>
        <v/>
      </c>
      <c r="B153" s="4">
        <f>Taxepunkter!B160</f>
        <v/>
      </c>
      <c r="C153" s="4">
        <f>Taxepunkter!C160</f>
        <v/>
      </c>
      <c r="D153" s="4">
        <f>Taxepunkter!D160</f>
        <v/>
      </c>
      <c r="E153" s="4">
        <f>Taxepunkter!E160</f>
        <v/>
      </c>
      <c r="F153" s="4">
        <f>Taxepunkter!F160</f>
        <v/>
      </c>
      <c r="G153" s="4">
        <f>Taxepunkter!G160</f>
        <v/>
      </c>
      <c r="H153" s="4">
        <f>Taxepunkter!H160</f>
        <v/>
      </c>
      <c r="I153" s="4">
        <f>Taxepunkter!I160</f>
        <v/>
      </c>
      <c r="J153" s="4">
        <f>Taxepunkter!J160</f>
        <v/>
      </c>
      <c r="K153" s="4">
        <f>Taxepunkter!K160</f>
        <v/>
      </c>
      <c r="L153" s="6">
        <f>Taxepunkter!L160</f>
        <v/>
      </c>
    </row>
    <row r="154">
      <c r="A154" s="5">
        <f>Taxepunkter!A161</f>
        <v/>
      </c>
      <c r="B154" s="4">
        <f>Taxepunkter!B161</f>
        <v/>
      </c>
      <c r="C154" s="4">
        <f>Taxepunkter!C161</f>
        <v/>
      </c>
      <c r="D154" s="4">
        <f>Taxepunkter!D161</f>
        <v/>
      </c>
      <c r="E154" s="4">
        <f>Taxepunkter!E161</f>
        <v/>
      </c>
      <c r="F154" s="4">
        <f>Taxepunkter!F161</f>
        <v/>
      </c>
      <c r="G154" s="4">
        <f>Taxepunkter!G161</f>
        <v/>
      </c>
      <c r="H154" s="4">
        <f>Taxepunkter!H161</f>
        <v/>
      </c>
      <c r="I154" s="4">
        <f>Taxepunkter!I161</f>
        <v/>
      </c>
      <c r="J154" s="4">
        <f>Taxepunkter!J161</f>
        <v/>
      </c>
      <c r="K154" s="4">
        <f>Taxepunkter!K161</f>
        <v/>
      </c>
      <c r="L154" s="6">
        <f>Taxepunkter!L161</f>
        <v/>
      </c>
    </row>
    <row r="155">
      <c r="A155" s="5">
        <f>Taxepunkter!A162</f>
        <v/>
      </c>
      <c r="B155" s="4">
        <f>Taxepunkter!B162</f>
        <v/>
      </c>
      <c r="C155" s="4">
        <f>Taxepunkter!C162</f>
        <v/>
      </c>
      <c r="D155" s="4">
        <f>Taxepunkter!D162</f>
        <v/>
      </c>
      <c r="E155" s="4">
        <f>Taxepunkter!E162</f>
        <v/>
      </c>
      <c r="F155" s="4">
        <f>Taxepunkter!F162</f>
        <v/>
      </c>
      <c r="G155" s="4">
        <f>Taxepunkter!G162</f>
        <v/>
      </c>
      <c r="H155" s="4">
        <f>Taxepunkter!H162</f>
        <v/>
      </c>
      <c r="I155" s="4">
        <f>Taxepunkter!I162</f>
        <v/>
      </c>
      <c r="J155" s="4">
        <f>Taxepunkter!J162</f>
        <v/>
      </c>
      <c r="K155" s="4">
        <f>Taxepunkter!K162</f>
        <v/>
      </c>
      <c r="L155" s="6">
        <f>Taxepunkter!L162</f>
        <v/>
      </c>
    </row>
    <row r="156">
      <c r="A156" s="5">
        <f>Taxepunkter!A163</f>
        <v/>
      </c>
      <c r="B156" s="4">
        <f>Taxepunkter!B163</f>
        <v/>
      </c>
      <c r="C156" s="4">
        <f>Taxepunkter!C163</f>
        <v/>
      </c>
      <c r="D156" s="4">
        <f>Taxepunkter!D163</f>
        <v/>
      </c>
      <c r="E156" s="4">
        <f>Taxepunkter!E163</f>
        <v/>
      </c>
      <c r="F156" s="4">
        <f>Taxepunkter!F163</f>
        <v/>
      </c>
      <c r="G156" s="4">
        <f>Taxepunkter!G163</f>
        <v/>
      </c>
      <c r="H156" s="4">
        <f>Taxepunkter!H163</f>
        <v/>
      </c>
      <c r="I156" s="4">
        <f>Taxepunkter!I163</f>
        <v/>
      </c>
      <c r="J156" s="4">
        <f>Taxepunkter!J163</f>
        <v/>
      </c>
      <c r="K156" s="4">
        <f>Taxepunkter!K163</f>
        <v/>
      </c>
      <c r="L156" s="6">
        <f>Taxepunkter!L163</f>
        <v/>
      </c>
    </row>
    <row r="157">
      <c r="A157" s="5">
        <f>Taxepunkter!A164</f>
        <v/>
      </c>
      <c r="B157" s="4">
        <f>Taxepunkter!B164</f>
        <v/>
      </c>
      <c r="C157" s="4">
        <f>Taxepunkter!C164</f>
        <v/>
      </c>
      <c r="D157" s="4">
        <f>Taxepunkter!D164</f>
        <v/>
      </c>
      <c r="E157" s="4">
        <f>Taxepunkter!E164</f>
        <v/>
      </c>
      <c r="F157" s="4">
        <f>Taxepunkter!F164</f>
        <v/>
      </c>
      <c r="G157" s="4">
        <f>Taxepunkter!G164</f>
        <v/>
      </c>
      <c r="H157" s="4">
        <f>Taxepunkter!H164</f>
        <v/>
      </c>
      <c r="I157" s="4">
        <f>Taxepunkter!I164</f>
        <v/>
      </c>
      <c r="J157" s="4">
        <f>Taxepunkter!J164</f>
        <v/>
      </c>
      <c r="K157" s="4">
        <f>Taxepunkter!K164</f>
        <v/>
      </c>
      <c r="L157" s="6">
        <f>Taxepunkter!L164</f>
        <v/>
      </c>
    </row>
    <row r="158">
      <c r="A158" s="5">
        <f>Taxepunkter!A165</f>
        <v/>
      </c>
      <c r="B158" s="4">
        <f>Taxepunkter!B165</f>
        <v/>
      </c>
      <c r="C158" s="4">
        <f>Taxepunkter!C165</f>
        <v/>
      </c>
      <c r="D158" s="4">
        <f>Taxepunkter!D165</f>
        <v/>
      </c>
      <c r="E158" s="4">
        <f>Taxepunkter!E165</f>
        <v/>
      </c>
      <c r="F158" s="4">
        <f>Taxepunkter!F165</f>
        <v/>
      </c>
      <c r="G158" s="4">
        <f>Taxepunkter!G165</f>
        <v/>
      </c>
      <c r="H158" s="4">
        <f>Taxepunkter!H165</f>
        <v/>
      </c>
      <c r="I158" s="4">
        <f>Taxepunkter!I165</f>
        <v/>
      </c>
      <c r="J158" s="4">
        <f>Taxepunkter!J165</f>
        <v/>
      </c>
      <c r="K158" s="4">
        <f>Taxepunkter!K165</f>
        <v/>
      </c>
      <c r="L158" s="6">
        <f>Taxepunkter!L165</f>
        <v/>
      </c>
    </row>
    <row r="159">
      <c r="A159" s="5">
        <f>Taxepunkter!A166</f>
        <v/>
      </c>
      <c r="B159" s="4">
        <f>Taxepunkter!B166</f>
        <v/>
      </c>
      <c r="C159" s="4">
        <f>Taxepunkter!C166</f>
        <v/>
      </c>
      <c r="D159" s="4">
        <f>Taxepunkter!D166</f>
        <v/>
      </c>
      <c r="E159" s="4">
        <f>Taxepunkter!E166</f>
        <v/>
      </c>
      <c r="F159" s="4">
        <f>Taxepunkter!F166</f>
        <v/>
      </c>
      <c r="G159" s="4">
        <f>Taxepunkter!G166</f>
        <v/>
      </c>
      <c r="H159" s="4">
        <f>Taxepunkter!H166</f>
        <v/>
      </c>
      <c r="I159" s="4">
        <f>Taxepunkter!I166</f>
        <v/>
      </c>
      <c r="J159" s="4">
        <f>Taxepunkter!J166</f>
        <v/>
      </c>
      <c r="K159" s="4">
        <f>Taxepunkter!K166</f>
        <v/>
      </c>
      <c r="L159" s="6">
        <f>Taxepunkter!L166</f>
        <v/>
      </c>
    </row>
    <row r="160">
      <c r="A160" s="5">
        <f>Taxepunkter!A167</f>
        <v/>
      </c>
      <c r="B160" s="4">
        <f>Taxepunkter!B167</f>
        <v/>
      </c>
      <c r="C160" s="4">
        <f>Taxepunkter!C167</f>
        <v/>
      </c>
      <c r="D160" s="4">
        <f>Taxepunkter!D167</f>
        <v/>
      </c>
      <c r="E160" s="4">
        <f>Taxepunkter!E167</f>
        <v/>
      </c>
      <c r="F160" s="4">
        <f>Taxepunkter!F167</f>
        <v/>
      </c>
      <c r="G160" s="4">
        <f>Taxepunkter!G167</f>
        <v/>
      </c>
      <c r="H160" s="4">
        <f>Taxepunkter!H167</f>
        <v/>
      </c>
      <c r="I160" s="4">
        <f>Taxepunkter!I167</f>
        <v/>
      </c>
      <c r="J160" s="4">
        <f>Taxepunkter!J167</f>
        <v/>
      </c>
      <c r="K160" s="4">
        <f>Taxepunkter!K167</f>
        <v/>
      </c>
      <c r="L160" s="6">
        <f>Taxepunkter!L167</f>
        <v/>
      </c>
    </row>
    <row r="161">
      <c r="A161" s="5">
        <f>Taxepunkter!A168</f>
        <v/>
      </c>
      <c r="B161" s="4">
        <f>Taxepunkter!B168</f>
        <v/>
      </c>
      <c r="C161" s="4">
        <f>Taxepunkter!C168</f>
        <v/>
      </c>
      <c r="D161" s="4">
        <f>Taxepunkter!D168</f>
        <v/>
      </c>
      <c r="E161" s="4">
        <f>Taxepunkter!E168</f>
        <v/>
      </c>
      <c r="F161" s="4">
        <f>Taxepunkter!F168</f>
        <v/>
      </c>
      <c r="G161" s="4">
        <f>Taxepunkter!G168</f>
        <v/>
      </c>
      <c r="H161" s="4">
        <f>Taxepunkter!H168</f>
        <v/>
      </c>
      <c r="I161" s="4">
        <f>Taxepunkter!I168</f>
        <v/>
      </c>
      <c r="J161" s="4">
        <f>Taxepunkter!J168</f>
        <v/>
      </c>
      <c r="K161" s="4">
        <f>Taxepunkter!K168</f>
        <v/>
      </c>
      <c r="L161" s="6">
        <f>Taxepunkter!L168</f>
        <v/>
      </c>
    </row>
    <row r="162">
      <c r="A162" s="5">
        <f>Taxepunkter!A169</f>
        <v/>
      </c>
      <c r="B162" s="4">
        <f>Taxepunkter!B169</f>
        <v/>
      </c>
      <c r="C162" s="4">
        <f>Taxepunkter!C169</f>
        <v/>
      </c>
      <c r="D162" s="4">
        <f>Taxepunkter!D169</f>
        <v/>
      </c>
      <c r="E162" s="4">
        <f>Taxepunkter!E169</f>
        <v/>
      </c>
      <c r="F162" s="4">
        <f>Taxepunkter!F169</f>
        <v/>
      </c>
      <c r="G162" s="4">
        <f>Taxepunkter!G169</f>
        <v/>
      </c>
      <c r="H162" s="4">
        <f>Taxepunkter!H169</f>
        <v/>
      </c>
      <c r="I162" s="4">
        <f>Taxepunkter!I169</f>
        <v/>
      </c>
      <c r="J162" s="4">
        <f>Taxepunkter!J169</f>
        <v/>
      </c>
      <c r="K162" s="4">
        <f>Taxepunkter!K169</f>
        <v/>
      </c>
      <c r="L162" s="6">
        <f>Taxepunkter!L169</f>
        <v/>
      </c>
    </row>
    <row r="163">
      <c r="A163" s="5">
        <f>Taxepunkter!A170</f>
        <v/>
      </c>
      <c r="B163" s="4">
        <f>Taxepunkter!B170</f>
        <v/>
      </c>
      <c r="C163" s="4">
        <f>Taxepunkter!C170</f>
        <v/>
      </c>
      <c r="D163" s="4">
        <f>Taxepunkter!D170</f>
        <v/>
      </c>
      <c r="E163" s="4">
        <f>Taxepunkter!E170</f>
        <v/>
      </c>
      <c r="F163" s="4">
        <f>Taxepunkter!F170</f>
        <v/>
      </c>
      <c r="G163" s="4">
        <f>Taxepunkter!G170</f>
        <v/>
      </c>
      <c r="H163" s="4">
        <f>Taxepunkter!H170</f>
        <v/>
      </c>
      <c r="I163" s="4">
        <f>Taxepunkter!I170</f>
        <v/>
      </c>
      <c r="J163" s="4">
        <f>Taxepunkter!J170</f>
        <v/>
      </c>
      <c r="K163" s="4">
        <f>Taxepunkter!K170</f>
        <v/>
      </c>
      <c r="L163" s="6">
        <f>Taxepunkter!L170</f>
        <v/>
      </c>
    </row>
    <row r="164">
      <c r="A164" s="5">
        <f>Taxepunkter!A171</f>
        <v/>
      </c>
      <c r="B164" s="4">
        <f>Taxepunkter!B171</f>
        <v/>
      </c>
      <c r="C164" s="4">
        <f>Taxepunkter!C171</f>
        <v/>
      </c>
      <c r="D164" s="4">
        <f>Taxepunkter!D171</f>
        <v/>
      </c>
      <c r="E164" s="4">
        <f>Taxepunkter!E171</f>
        <v/>
      </c>
      <c r="F164" s="4">
        <f>Taxepunkter!F171</f>
        <v/>
      </c>
      <c r="G164" s="4">
        <f>Taxepunkter!G171</f>
        <v/>
      </c>
      <c r="H164" s="4">
        <f>Taxepunkter!H171</f>
        <v/>
      </c>
      <c r="I164" s="4">
        <f>Taxepunkter!I171</f>
        <v/>
      </c>
      <c r="J164" s="4">
        <f>Taxepunkter!J171</f>
        <v/>
      </c>
      <c r="K164" s="4">
        <f>Taxepunkter!K171</f>
        <v/>
      </c>
      <c r="L164" s="6">
        <f>Taxepunkter!L171</f>
        <v/>
      </c>
    </row>
    <row r="165">
      <c r="A165" s="5">
        <f>Taxepunkter!A172</f>
        <v/>
      </c>
      <c r="B165" s="4">
        <f>Taxepunkter!B172</f>
        <v/>
      </c>
      <c r="C165" s="4">
        <f>Taxepunkter!C172</f>
        <v/>
      </c>
      <c r="D165" s="4">
        <f>Taxepunkter!D172</f>
        <v/>
      </c>
      <c r="E165" s="4">
        <f>Taxepunkter!E172</f>
        <v/>
      </c>
      <c r="F165" s="4">
        <f>Taxepunkter!F172</f>
        <v/>
      </c>
      <c r="G165" s="4">
        <f>Taxepunkter!G172</f>
        <v/>
      </c>
      <c r="H165" s="4">
        <f>Taxepunkter!H172</f>
        <v/>
      </c>
      <c r="I165" s="4">
        <f>Taxepunkter!I172</f>
        <v/>
      </c>
      <c r="J165" s="4">
        <f>Taxepunkter!J172</f>
        <v/>
      </c>
      <c r="K165" s="4">
        <f>Taxepunkter!K172</f>
        <v/>
      </c>
      <c r="L165" s="6">
        <f>Taxepunkter!L172</f>
        <v/>
      </c>
    </row>
    <row r="166">
      <c r="A166" s="5">
        <f>Taxepunkter!A173</f>
        <v/>
      </c>
      <c r="B166" s="4">
        <f>Taxepunkter!B173</f>
        <v/>
      </c>
      <c r="C166" s="4">
        <f>Taxepunkter!C173</f>
        <v/>
      </c>
      <c r="D166" s="4">
        <f>Taxepunkter!D173</f>
        <v/>
      </c>
      <c r="E166" s="4">
        <f>Taxepunkter!E173</f>
        <v/>
      </c>
      <c r="F166" s="4">
        <f>Taxepunkter!F173</f>
        <v/>
      </c>
      <c r="G166" s="4">
        <f>Taxepunkter!G173</f>
        <v/>
      </c>
      <c r="H166" s="4">
        <f>Taxepunkter!H173</f>
        <v/>
      </c>
      <c r="I166" s="4">
        <f>Taxepunkter!I173</f>
        <v/>
      </c>
      <c r="J166" s="4">
        <f>Taxepunkter!J173</f>
        <v/>
      </c>
      <c r="K166" s="4">
        <f>Taxepunkter!K173</f>
        <v/>
      </c>
      <c r="L166" s="6">
        <f>Taxepunkter!L173</f>
        <v/>
      </c>
    </row>
    <row r="167">
      <c r="A167" s="5">
        <f>Taxepunkter!A174</f>
        <v/>
      </c>
      <c r="B167" s="4">
        <f>Taxepunkter!B174</f>
        <v/>
      </c>
      <c r="C167" s="4">
        <f>Taxepunkter!C174</f>
        <v/>
      </c>
      <c r="D167" s="4">
        <f>Taxepunkter!D174</f>
        <v/>
      </c>
      <c r="E167" s="4">
        <f>Taxepunkter!E174</f>
        <v/>
      </c>
      <c r="F167" s="4">
        <f>Taxepunkter!F174</f>
        <v/>
      </c>
      <c r="G167" s="4">
        <f>Taxepunkter!G174</f>
        <v/>
      </c>
      <c r="H167" s="4">
        <f>Taxepunkter!H174</f>
        <v/>
      </c>
      <c r="I167" s="4">
        <f>Taxepunkter!I174</f>
        <v/>
      </c>
      <c r="J167" s="4">
        <f>Taxepunkter!J174</f>
        <v/>
      </c>
      <c r="K167" s="4">
        <f>Taxepunkter!K174</f>
        <v/>
      </c>
      <c r="L167" s="6">
        <f>Taxepunkter!L174</f>
        <v/>
      </c>
    </row>
    <row r="168">
      <c r="A168" s="5">
        <f>Taxepunkter!A175</f>
        <v/>
      </c>
      <c r="B168" s="4">
        <f>Taxepunkter!B175</f>
        <v/>
      </c>
      <c r="C168" s="4">
        <f>Taxepunkter!C175</f>
        <v/>
      </c>
      <c r="D168" s="4">
        <f>Taxepunkter!D175</f>
        <v/>
      </c>
      <c r="E168" s="4">
        <f>Taxepunkter!E175</f>
        <v/>
      </c>
      <c r="F168" s="4">
        <f>Taxepunkter!F175</f>
        <v/>
      </c>
      <c r="G168" s="4">
        <f>Taxepunkter!G175</f>
        <v/>
      </c>
      <c r="H168" s="4">
        <f>Taxepunkter!H175</f>
        <v/>
      </c>
      <c r="I168" s="4">
        <f>Taxepunkter!I175</f>
        <v/>
      </c>
      <c r="J168" s="4">
        <f>Taxepunkter!J175</f>
        <v/>
      </c>
      <c r="K168" s="4">
        <f>Taxepunkter!K175</f>
        <v/>
      </c>
      <c r="L168" s="6">
        <f>Taxepunkter!L175</f>
        <v/>
      </c>
    </row>
    <row r="169">
      <c r="A169" s="5">
        <f>Taxepunkter!A176</f>
        <v/>
      </c>
      <c r="B169" s="4">
        <f>Taxepunkter!B176</f>
        <v/>
      </c>
      <c r="C169" s="4">
        <f>Taxepunkter!C176</f>
        <v/>
      </c>
      <c r="D169" s="4">
        <f>Taxepunkter!D176</f>
        <v/>
      </c>
      <c r="E169" s="4">
        <f>Taxepunkter!E176</f>
        <v/>
      </c>
      <c r="F169" s="4">
        <f>Taxepunkter!F176</f>
        <v/>
      </c>
      <c r="G169" s="4">
        <f>Taxepunkter!G176</f>
        <v/>
      </c>
      <c r="H169" s="4">
        <f>Taxepunkter!H176</f>
        <v/>
      </c>
      <c r="I169" s="4">
        <f>Taxepunkter!I176</f>
        <v/>
      </c>
      <c r="J169" s="4">
        <f>Taxepunkter!J176</f>
        <v/>
      </c>
      <c r="K169" s="4">
        <f>Taxepunkter!K176</f>
        <v/>
      </c>
      <c r="L169" s="6">
        <f>Taxepunkter!L176</f>
        <v/>
      </c>
    </row>
    <row r="170">
      <c r="A170" s="5">
        <f>Taxepunkter!A177</f>
        <v/>
      </c>
      <c r="B170" s="4">
        <f>Taxepunkter!B177</f>
        <v/>
      </c>
      <c r="C170" s="4">
        <f>Taxepunkter!C177</f>
        <v/>
      </c>
      <c r="D170" s="4">
        <f>Taxepunkter!D177</f>
        <v/>
      </c>
      <c r="E170" s="4">
        <f>Taxepunkter!E177</f>
        <v/>
      </c>
      <c r="F170" s="4">
        <f>Taxepunkter!F177</f>
        <v/>
      </c>
      <c r="G170" s="4">
        <f>Taxepunkter!G177</f>
        <v/>
      </c>
      <c r="H170" s="4">
        <f>Taxepunkter!H177</f>
        <v/>
      </c>
      <c r="I170" s="4">
        <f>Taxepunkter!I177</f>
        <v/>
      </c>
      <c r="J170" s="4">
        <f>Taxepunkter!J177</f>
        <v/>
      </c>
      <c r="K170" s="4">
        <f>Taxepunkter!K177</f>
        <v/>
      </c>
      <c r="L170" s="6">
        <f>Taxepunkter!L177</f>
        <v/>
      </c>
    </row>
    <row r="171">
      <c r="A171" s="5">
        <f>Taxepunkter!A178</f>
        <v/>
      </c>
      <c r="B171" s="4">
        <f>Taxepunkter!B178</f>
        <v/>
      </c>
      <c r="C171" s="4">
        <f>Taxepunkter!C178</f>
        <v/>
      </c>
      <c r="D171" s="4">
        <f>Taxepunkter!D178</f>
        <v/>
      </c>
      <c r="E171" s="4">
        <f>Taxepunkter!E178</f>
        <v/>
      </c>
      <c r="F171" s="4">
        <f>Taxepunkter!F178</f>
        <v/>
      </c>
      <c r="G171" s="4">
        <f>Taxepunkter!G178</f>
        <v/>
      </c>
      <c r="H171" s="4">
        <f>Taxepunkter!H178</f>
        <v/>
      </c>
      <c r="I171" s="4">
        <f>Taxepunkter!I178</f>
        <v/>
      </c>
      <c r="J171" s="4">
        <f>Taxepunkter!J178</f>
        <v/>
      </c>
      <c r="K171" s="4">
        <f>Taxepunkter!K178</f>
        <v/>
      </c>
      <c r="L171" s="6">
        <f>Taxepunkter!L178</f>
        <v/>
      </c>
    </row>
    <row r="172">
      <c r="A172" s="5">
        <f>Taxepunkter!A179</f>
        <v/>
      </c>
      <c r="B172" s="4">
        <f>Taxepunkter!B179</f>
        <v/>
      </c>
      <c r="C172" s="4">
        <f>Taxepunkter!C179</f>
        <v/>
      </c>
      <c r="D172" s="4">
        <f>Taxepunkter!D179</f>
        <v/>
      </c>
      <c r="E172" s="4">
        <f>Taxepunkter!E179</f>
        <v/>
      </c>
      <c r="F172" s="4">
        <f>Taxepunkter!F179</f>
        <v/>
      </c>
      <c r="G172" s="4">
        <f>Taxepunkter!G179</f>
        <v/>
      </c>
      <c r="H172" s="4">
        <f>Taxepunkter!H179</f>
        <v/>
      </c>
      <c r="I172" s="4">
        <f>Taxepunkter!I179</f>
        <v/>
      </c>
      <c r="J172" s="4">
        <f>Taxepunkter!J179</f>
        <v/>
      </c>
      <c r="K172" s="4">
        <f>Taxepunkter!K179</f>
        <v/>
      </c>
      <c r="L172" s="6">
        <f>Taxepunkter!L179</f>
        <v/>
      </c>
    </row>
    <row r="173">
      <c r="A173" s="5">
        <f>Taxepunkter!A180</f>
        <v/>
      </c>
      <c r="B173" s="4">
        <f>Taxepunkter!B180</f>
        <v/>
      </c>
      <c r="C173" s="4">
        <f>Taxepunkter!C180</f>
        <v/>
      </c>
      <c r="D173" s="4">
        <f>Taxepunkter!D180</f>
        <v/>
      </c>
      <c r="E173" s="4">
        <f>Taxepunkter!E180</f>
        <v/>
      </c>
      <c r="F173" s="4">
        <f>Taxepunkter!F180</f>
        <v/>
      </c>
      <c r="G173" s="4">
        <f>Taxepunkter!G180</f>
        <v/>
      </c>
      <c r="H173" s="4">
        <f>Taxepunkter!H180</f>
        <v/>
      </c>
      <c r="I173" s="4">
        <f>Taxepunkter!I180</f>
        <v/>
      </c>
      <c r="J173" s="4">
        <f>Taxepunkter!J180</f>
        <v/>
      </c>
      <c r="K173" s="4">
        <f>Taxepunkter!K180</f>
        <v/>
      </c>
      <c r="L173" s="6">
        <f>Taxepunkter!L180</f>
        <v/>
      </c>
    </row>
    <row r="174">
      <c r="A174" s="5">
        <f>Taxepunkter!A181</f>
        <v/>
      </c>
      <c r="B174" s="4">
        <f>Taxepunkter!B181</f>
        <v/>
      </c>
      <c r="C174" s="4">
        <f>Taxepunkter!C181</f>
        <v/>
      </c>
      <c r="D174" s="4">
        <f>Taxepunkter!D181</f>
        <v/>
      </c>
      <c r="E174" s="4">
        <f>Taxepunkter!E181</f>
        <v/>
      </c>
      <c r="F174" s="4">
        <f>Taxepunkter!F181</f>
        <v/>
      </c>
      <c r="G174" s="4">
        <f>Taxepunkter!G181</f>
        <v/>
      </c>
      <c r="H174" s="4">
        <f>Taxepunkter!H181</f>
        <v/>
      </c>
      <c r="I174" s="4">
        <f>Taxepunkter!I181</f>
        <v/>
      </c>
      <c r="J174" s="4">
        <f>Taxepunkter!J181</f>
        <v/>
      </c>
      <c r="K174" s="4">
        <f>Taxepunkter!K181</f>
        <v/>
      </c>
      <c r="L174" s="6">
        <f>Taxepunkter!L181</f>
        <v/>
      </c>
    </row>
    <row r="175">
      <c r="A175" s="5">
        <f>Taxepunkter!A182</f>
        <v/>
      </c>
      <c r="B175" s="4">
        <f>Taxepunkter!B182</f>
        <v/>
      </c>
      <c r="C175" s="4">
        <f>Taxepunkter!C182</f>
        <v/>
      </c>
      <c r="D175" s="4">
        <f>Taxepunkter!D182</f>
        <v/>
      </c>
      <c r="E175" s="4">
        <f>Taxepunkter!E182</f>
        <v/>
      </c>
      <c r="F175" s="4">
        <f>Taxepunkter!F182</f>
        <v/>
      </c>
      <c r="G175" s="4">
        <f>Taxepunkter!G182</f>
        <v/>
      </c>
      <c r="H175" s="4">
        <f>Taxepunkter!H182</f>
        <v/>
      </c>
      <c r="I175" s="4">
        <f>Taxepunkter!I182</f>
        <v/>
      </c>
      <c r="J175" s="4">
        <f>Taxepunkter!J182</f>
        <v/>
      </c>
      <c r="K175" s="4">
        <f>Taxepunkter!K182</f>
        <v/>
      </c>
      <c r="L175" s="6">
        <f>Taxepunkter!L182</f>
        <v/>
      </c>
    </row>
    <row r="176">
      <c r="A176" s="5">
        <f>Taxepunkter!A183</f>
        <v/>
      </c>
      <c r="B176" s="4">
        <f>Taxepunkter!B183</f>
        <v/>
      </c>
      <c r="C176" s="4">
        <f>Taxepunkter!C183</f>
        <v/>
      </c>
      <c r="D176" s="4">
        <f>Taxepunkter!D183</f>
        <v/>
      </c>
      <c r="E176" s="4">
        <f>Taxepunkter!E183</f>
        <v/>
      </c>
      <c r="F176" s="4">
        <f>Taxepunkter!F183</f>
        <v/>
      </c>
      <c r="G176" s="4">
        <f>Taxepunkter!G183</f>
        <v/>
      </c>
      <c r="H176" s="4">
        <f>Taxepunkter!H183</f>
        <v/>
      </c>
      <c r="I176" s="4">
        <f>Taxepunkter!I183</f>
        <v/>
      </c>
      <c r="J176" s="4">
        <f>Taxepunkter!J183</f>
        <v/>
      </c>
      <c r="K176" s="4">
        <f>Taxepunkter!K183</f>
        <v/>
      </c>
      <c r="L176" s="6">
        <f>Taxepunkter!L183</f>
        <v/>
      </c>
    </row>
    <row r="177">
      <c r="A177" s="5">
        <f>Taxepunkter!A184</f>
        <v/>
      </c>
      <c r="B177" s="4">
        <f>Taxepunkter!B184</f>
        <v/>
      </c>
      <c r="C177" s="4">
        <f>Taxepunkter!C184</f>
        <v/>
      </c>
      <c r="D177" s="4">
        <f>Taxepunkter!D184</f>
        <v/>
      </c>
      <c r="E177" s="4">
        <f>Taxepunkter!E184</f>
        <v/>
      </c>
      <c r="F177" s="4">
        <f>Taxepunkter!F184</f>
        <v/>
      </c>
      <c r="G177" s="4">
        <f>Taxepunkter!G184</f>
        <v/>
      </c>
      <c r="H177" s="4">
        <f>Taxepunkter!H184</f>
        <v/>
      </c>
      <c r="I177" s="4">
        <f>Taxepunkter!I184</f>
        <v/>
      </c>
      <c r="J177" s="4">
        <f>Taxepunkter!J184</f>
        <v/>
      </c>
      <c r="K177" s="4">
        <f>Taxepunkter!K184</f>
        <v/>
      </c>
      <c r="L177" s="6">
        <f>Taxepunkter!L184</f>
        <v/>
      </c>
    </row>
    <row r="178">
      <c r="A178" s="5">
        <f>Taxepunkter!A185</f>
        <v/>
      </c>
      <c r="B178" s="4">
        <f>Taxepunkter!B185</f>
        <v/>
      </c>
      <c r="C178" s="4">
        <f>Taxepunkter!C185</f>
        <v/>
      </c>
      <c r="D178" s="4">
        <f>Taxepunkter!D185</f>
        <v/>
      </c>
      <c r="E178" s="4">
        <f>Taxepunkter!E185</f>
        <v/>
      </c>
      <c r="F178" s="4">
        <f>Taxepunkter!F185</f>
        <v/>
      </c>
      <c r="G178" s="4">
        <f>Taxepunkter!G185</f>
        <v/>
      </c>
      <c r="H178" s="4">
        <f>Taxepunkter!H185</f>
        <v/>
      </c>
      <c r="I178" s="4">
        <f>Taxepunkter!I185</f>
        <v/>
      </c>
      <c r="J178" s="4">
        <f>Taxepunkter!J185</f>
        <v/>
      </c>
      <c r="K178" s="4">
        <f>Taxepunkter!K185</f>
        <v/>
      </c>
      <c r="L178" s="6">
        <f>Taxepunkter!L185</f>
        <v/>
      </c>
    </row>
    <row r="179">
      <c r="A179" s="5">
        <f>Taxepunkter!A186</f>
        <v/>
      </c>
      <c r="B179" s="4">
        <f>Taxepunkter!B186</f>
        <v/>
      </c>
      <c r="C179" s="4">
        <f>Taxepunkter!C186</f>
        <v/>
      </c>
      <c r="D179" s="4">
        <f>Taxepunkter!D186</f>
        <v/>
      </c>
      <c r="E179" s="4">
        <f>Taxepunkter!E186</f>
        <v/>
      </c>
      <c r="F179" s="4">
        <f>Taxepunkter!F186</f>
        <v/>
      </c>
      <c r="G179" s="4">
        <f>Taxepunkter!G186</f>
        <v/>
      </c>
      <c r="H179" s="4">
        <f>Taxepunkter!H186</f>
        <v/>
      </c>
      <c r="I179" s="4">
        <f>Taxepunkter!I186</f>
        <v/>
      </c>
      <c r="J179" s="4">
        <f>Taxepunkter!J186</f>
        <v/>
      </c>
      <c r="K179" s="4">
        <f>Taxepunkter!K186</f>
        <v/>
      </c>
      <c r="L179" s="6">
        <f>Taxepunkter!L186</f>
        <v/>
      </c>
    </row>
    <row r="180">
      <c r="A180" s="5">
        <f>Taxepunkter!A187</f>
        <v/>
      </c>
      <c r="B180" s="4">
        <f>Taxepunkter!B187</f>
        <v/>
      </c>
      <c r="C180" s="4">
        <f>Taxepunkter!C187</f>
        <v/>
      </c>
      <c r="D180" s="4">
        <f>Taxepunkter!D187</f>
        <v/>
      </c>
      <c r="E180" s="4">
        <f>Taxepunkter!E187</f>
        <v/>
      </c>
      <c r="F180" s="4">
        <f>Taxepunkter!F187</f>
        <v/>
      </c>
      <c r="G180" s="4">
        <f>Taxepunkter!G187</f>
        <v/>
      </c>
      <c r="H180" s="4">
        <f>Taxepunkter!H187</f>
        <v/>
      </c>
      <c r="I180" s="4">
        <f>Taxepunkter!I187</f>
        <v/>
      </c>
      <c r="J180" s="4">
        <f>Taxepunkter!J187</f>
        <v/>
      </c>
      <c r="K180" s="4">
        <f>Taxepunkter!K187</f>
        <v/>
      </c>
      <c r="L180" s="6">
        <f>Taxepunkter!L187</f>
        <v/>
      </c>
    </row>
    <row r="181">
      <c r="A181" s="5">
        <f>Taxepunkter!A188</f>
        <v/>
      </c>
      <c r="B181" s="4">
        <f>Taxepunkter!B188</f>
        <v/>
      </c>
      <c r="C181" s="4">
        <f>Taxepunkter!C188</f>
        <v/>
      </c>
      <c r="D181" s="4">
        <f>Taxepunkter!D188</f>
        <v/>
      </c>
      <c r="E181" s="4">
        <f>Taxepunkter!E188</f>
        <v/>
      </c>
      <c r="F181" s="4">
        <f>Taxepunkter!F188</f>
        <v/>
      </c>
      <c r="G181" s="4">
        <f>Taxepunkter!G188</f>
        <v/>
      </c>
      <c r="H181" s="4">
        <f>Taxepunkter!H188</f>
        <v/>
      </c>
      <c r="I181" s="4">
        <f>Taxepunkter!I188</f>
        <v/>
      </c>
      <c r="J181" s="4">
        <f>Taxepunkter!J188</f>
        <v/>
      </c>
      <c r="K181" s="4">
        <f>Taxepunkter!K188</f>
        <v/>
      </c>
      <c r="L181" s="6">
        <f>Taxepunkter!L188</f>
        <v/>
      </c>
    </row>
    <row r="182">
      <c r="A182" s="5">
        <f>Taxepunkter!A189</f>
        <v/>
      </c>
      <c r="B182" s="4">
        <f>Taxepunkter!B189</f>
        <v/>
      </c>
      <c r="C182" s="4">
        <f>Taxepunkter!C189</f>
        <v/>
      </c>
      <c r="D182" s="4">
        <f>Taxepunkter!D189</f>
        <v/>
      </c>
      <c r="E182" s="4">
        <f>Taxepunkter!E189</f>
        <v/>
      </c>
      <c r="F182" s="4">
        <f>Taxepunkter!F189</f>
        <v/>
      </c>
      <c r="G182" s="4">
        <f>Taxepunkter!G189</f>
        <v/>
      </c>
      <c r="H182" s="4">
        <f>Taxepunkter!H189</f>
        <v/>
      </c>
      <c r="I182" s="4">
        <f>Taxepunkter!I189</f>
        <v/>
      </c>
      <c r="J182" s="4">
        <f>Taxepunkter!J189</f>
        <v/>
      </c>
      <c r="K182" s="4">
        <f>Taxepunkter!K189</f>
        <v/>
      </c>
      <c r="L182" s="6">
        <f>Taxepunkter!L189</f>
        <v/>
      </c>
    </row>
    <row r="183">
      <c r="A183" s="5">
        <f>Taxepunkter!A190</f>
        <v/>
      </c>
      <c r="B183" s="4">
        <f>Taxepunkter!B190</f>
        <v/>
      </c>
      <c r="C183" s="4">
        <f>Taxepunkter!C190</f>
        <v/>
      </c>
      <c r="D183" s="4">
        <f>Taxepunkter!D190</f>
        <v/>
      </c>
      <c r="E183" s="4">
        <f>Taxepunkter!E190</f>
        <v/>
      </c>
      <c r="F183" s="4">
        <f>Taxepunkter!F190</f>
        <v/>
      </c>
      <c r="G183" s="4">
        <f>Taxepunkter!G190</f>
        <v/>
      </c>
      <c r="H183" s="4">
        <f>Taxepunkter!H190</f>
        <v/>
      </c>
      <c r="I183" s="4">
        <f>Taxepunkter!I190</f>
        <v/>
      </c>
      <c r="J183" s="4">
        <f>Taxepunkter!J190</f>
        <v/>
      </c>
      <c r="K183" s="4">
        <f>Taxepunkter!K190</f>
        <v/>
      </c>
      <c r="L183" s="6">
        <f>Taxepunkter!L190</f>
        <v/>
      </c>
    </row>
    <row r="184">
      <c r="A184" s="5">
        <f>Taxepunkter!A191</f>
        <v/>
      </c>
      <c r="B184" s="4">
        <f>Taxepunkter!B191</f>
        <v/>
      </c>
      <c r="C184" s="4">
        <f>Taxepunkter!C191</f>
        <v/>
      </c>
      <c r="D184" s="4">
        <f>Taxepunkter!D191</f>
        <v/>
      </c>
      <c r="E184" s="4">
        <f>Taxepunkter!E191</f>
        <v/>
      </c>
      <c r="F184" s="4">
        <f>Taxepunkter!F191</f>
        <v/>
      </c>
      <c r="G184" s="4">
        <f>Taxepunkter!G191</f>
        <v/>
      </c>
      <c r="H184" s="4">
        <f>Taxepunkter!H191</f>
        <v/>
      </c>
      <c r="I184" s="4">
        <f>Taxepunkter!I191</f>
        <v/>
      </c>
      <c r="J184" s="4">
        <f>Taxepunkter!J191</f>
        <v/>
      </c>
      <c r="K184" s="4">
        <f>Taxepunkter!K191</f>
        <v/>
      </c>
      <c r="L184" s="6">
        <f>Taxepunkter!L191</f>
        <v/>
      </c>
    </row>
    <row r="185">
      <c r="A185" s="5">
        <f>Taxepunkter!A192</f>
        <v/>
      </c>
      <c r="B185" s="4">
        <f>Taxepunkter!B192</f>
        <v/>
      </c>
      <c r="C185" s="4">
        <f>Taxepunkter!C192</f>
        <v/>
      </c>
      <c r="D185" s="4">
        <f>Taxepunkter!D192</f>
        <v/>
      </c>
      <c r="E185" s="4">
        <f>Taxepunkter!E192</f>
        <v/>
      </c>
      <c r="F185" s="4">
        <f>Taxepunkter!F192</f>
        <v/>
      </c>
      <c r="G185" s="4">
        <f>Taxepunkter!G192</f>
        <v/>
      </c>
      <c r="H185" s="4">
        <f>Taxepunkter!H192</f>
        <v/>
      </c>
      <c r="I185" s="4">
        <f>Taxepunkter!I192</f>
        <v/>
      </c>
      <c r="J185" s="4">
        <f>Taxepunkter!J192</f>
        <v/>
      </c>
      <c r="K185" s="4">
        <f>Taxepunkter!K192</f>
        <v/>
      </c>
      <c r="L185" s="6">
        <f>Taxepunkter!L192</f>
        <v/>
      </c>
    </row>
    <row r="186">
      <c r="A186" s="5">
        <f>Taxepunkter!A193</f>
        <v/>
      </c>
      <c r="B186" s="4">
        <f>Taxepunkter!B193</f>
        <v/>
      </c>
      <c r="C186" s="4">
        <f>Taxepunkter!C193</f>
        <v/>
      </c>
      <c r="D186" s="4">
        <f>Taxepunkter!D193</f>
        <v/>
      </c>
      <c r="E186" s="4">
        <f>Taxepunkter!E193</f>
        <v/>
      </c>
      <c r="F186" s="4">
        <f>Taxepunkter!F193</f>
        <v/>
      </c>
      <c r="G186" s="4">
        <f>Taxepunkter!G193</f>
        <v/>
      </c>
      <c r="H186" s="4">
        <f>Taxepunkter!H193</f>
        <v/>
      </c>
      <c r="I186" s="4">
        <f>Taxepunkter!I193</f>
        <v/>
      </c>
      <c r="J186" s="4">
        <f>Taxepunkter!J193</f>
        <v/>
      </c>
      <c r="K186" s="4">
        <f>Taxepunkter!K193</f>
        <v/>
      </c>
      <c r="L186" s="6">
        <f>Taxepunkter!L193</f>
        <v/>
      </c>
    </row>
    <row r="187">
      <c r="A187" s="5">
        <f>Taxepunkter!A194</f>
        <v/>
      </c>
      <c r="B187" s="4">
        <f>Taxepunkter!B194</f>
        <v/>
      </c>
      <c r="C187" s="4">
        <f>Taxepunkter!C194</f>
        <v/>
      </c>
      <c r="D187" s="4">
        <f>Taxepunkter!D194</f>
        <v/>
      </c>
      <c r="E187" s="4">
        <f>Taxepunkter!E194</f>
        <v/>
      </c>
      <c r="F187" s="4">
        <f>Taxepunkter!F194</f>
        <v/>
      </c>
      <c r="G187" s="4">
        <f>Taxepunkter!G194</f>
        <v/>
      </c>
      <c r="H187" s="4">
        <f>Taxepunkter!H194</f>
        <v/>
      </c>
      <c r="I187" s="4">
        <f>Taxepunkter!I194</f>
        <v/>
      </c>
      <c r="J187" s="4">
        <f>Taxepunkter!J194</f>
        <v/>
      </c>
      <c r="K187" s="4">
        <f>Taxepunkter!K194</f>
        <v/>
      </c>
      <c r="L187" s="6">
        <f>Taxepunkter!L194</f>
        <v/>
      </c>
    </row>
    <row r="188">
      <c r="A188" s="5">
        <f>Taxepunkter!A195</f>
        <v/>
      </c>
      <c r="B188" s="4">
        <f>Taxepunkter!B195</f>
        <v/>
      </c>
      <c r="C188" s="4">
        <f>Taxepunkter!C195</f>
        <v/>
      </c>
      <c r="D188" s="4">
        <f>Taxepunkter!D195</f>
        <v/>
      </c>
      <c r="E188" s="4">
        <f>Taxepunkter!E195</f>
        <v/>
      </c>
      <c r="F188" s="4">
        <f>Taxepunkter!F195</f>
        <v/>
      </c>
      <c r="G188" s="4">
        <f>Taxepunkter!G195</f>
        <v/>
      </c>
      <c r="H188" s="4">
        <f>Taxepunkter!H195</f>
        <v/>
      </c>
      <c r="I188" s="4">
        <f>Taxepunkter!I195</f>
        <v/>
      </c>
      <c r="J188" s="4">
        <f>Taxepunkter!J195</f>
        <v/>
      </c>
      <c r="K188" s="4">
        <f>Taxepunkter!K195</f>
        <v/>
      </c>
      <c r="L188" s="6">
        <f>Taxepunkter!L195</f>
        <v/>
      </c>
    </row>
    <row r="189">
      <c r="A189" s="5">
        <f>Taxepunkter!A196</f>
        <v/>
      </c>
      <c r="B189" s="4">
        <f>Taxepunkter!B196</f>
        <v/>
      </c>
      <c r="C189" s="4">
        <f>Taxepunkter!C196</f>
        <v/>
      </c>
      <c r="D189" s="4">
        <f>Taxepunkter!D196</f>
        <v/>
      </c>
      <c r="E189" s="4">
        <f>Taxepunkter!E196</f>
        <v/>
      </c>
      <c r="F189" s="4">
        <f>Taxepunkter!F196</f>
        <v/>
      </c>
      <c r="G189" s="4">
        <f>Taxepunkter!G196</f>
        <v/>
      </c>
      <c r="H189" s="4">
        <f>Taxepunkter!H196</f>
        <v/>
      </c>
      <c r="I189" s="4">
        <f>Taxepunkter!I196</f>
        <v/>
      </c>
      <c r="J189" s="4">
        <f>Taxepunkter!J196</f>
        <v/>
      </c>
      <c r="K189" s="4">
        <f>Taxepunkter!K196</f>
        <v/>
      </c>
      <c r="L189" s="6">
        <f>Taxepunkter!L196</f>
        <v/>
      </c>
    </row>
    <row r="190">
      <c r="A190" s="5">
        <f>Taxepunkter!A197</f>
        <v/>
      </c>
      <c r="B190" s="4">
        <f>Taxepunkter!B197</f>
        <v/>
      </c>
      <c r="C190" s="4">
        <f>Taxepunkter!C197</f>
        <v/>
      </c>
      <c r="D190" s="4">
        <f>Taxepunkter!D197</f>
        <v/>
      </c>
      <c r="E190" s="4">
        <f>Taxepunkter!E197</f>
        <v/>
      </c>
      <c r="F190" s="4">
        <f>Taxepunkter!F197</f>
        <v/>
      </c>
      <c r="G190" s="4">
        <f>Taxepunkter!G197</f>
        <v/>
      </c>
      <c r="H190" s="4">
        <f>Taxepunkter!H197</f>
        <v/>
      </c>
      <c r="I190" s="4">
        <f>Taxepunkter!I197</f>
        <v/>
      </c>
      <c r="J190" s="4">
        <f>Taxepunkter!J197</f>
        <v/>
      </c>
      <c r="K190" s="4">
        <f>Taxepunkter!K197</f>
        <v/>
      </c>
      <c r="L190" s="6">
        <f>Taxepunkter!L197</f>
        <v/>
      </c>
    </row>
    <row r="191">
      <c r="A191" s="5">
        <f>Taxepunkter!A198</f>
        <v/>
      </c>
      <c r="B191" s="4">
        <f>Taxepunkter!B198</f>
        <v/>
      </c>
      <c r="C191" s="4">
        <f>Taxepunkter!C198</f>
        <v/>
      </c>
      <c r="D191" s="4">
        <f>Taxepunkter!D198</f>
        <v/>
      </c>
      <c r="E191" s="4">
        <f>Taxepunkter!E198</f>
        <v/>
      </c>
      <c r="F191" s="4">
        <f>Taxepunkter!F198</f>
        <v/>
      </c>
      <c r="G191" s="4">
        <f>Taxepunkter!G198</f>
        <v/>
      </c>
      <c r="H191" s="4">
        <f>Taxepunkter!H198</f>
        <v/>
      </c>
      <c r="I191" s="4">
        <f>Taxepunkter!I198</f>
        <v/>
      </c>
      <c r="J191" s="4">
        <f>Taxepunkter!J198</f>
        <v/>
      </c>
      <c r="K191" s="4">
        <f>Taxepunkter!K198</f>
        <v/>
      </c>
      <c r="L191" s="6">
        <f>Taxepunkter!L198</f>
        <v/>
      </c>
    </row>
    <row r="192">
      <c r="A192" s="5">
        <f>Taxepunkter!A199</f>
        <v/>
      </c>
      <c r="B192" s="4">
        <f>Taxepunkter!B199</f>
        <v/>
      </c>
      <c r="C192" s="4">
        <f>Taxepunkter!C199</f>
        <v/>
      </c>
      <c r="D192" s="4">
        <f>Taxepunkter!D199</f>
        <v/>
      </c>
      <c r="E192" s="4">
        <f>Taxepunkter!E199</f>
        <v/>
      </c>
      <c r="F192" s="4">
        <f>Taxepunkter!F199</f>
        <v/>
      </c>
      <c r="G192" s="4">
        <f>Taxepunkter!G199</f>
        <v/>
      </c>
      <c r="H192" s="4">
        <f>Taxepunkter!H199</f>
        <v/>
      </c>
      <c r="I192" s="4">
        <f>Taxepunkter!I199</f>
        <v/>
      </c>
      <c r="J192" s="4">
        <f>Taxepunkter!J199</f>
        <v/>
      </c>
      <c r="K192" s="4">
        <f>Taxepunkter!K199</f>
        <v/>
      </c>
      <c r="L192" s="6">
        <f>Taxepunkter!L199</f>
        <v/>
      </c>
    </row>
    <row r="193">
      <c r="A193" s="5">
        <f>Taxepunkter!A200</f>
        <v/>
      </c>
      <c r="B193" s="4">
        <f>Taxepunkter!B200</f>
        <v/>
      </c>
      <c r="C193" s="4">
        <f>Taxepunkter!C200</f>
        <v/>
      </c>
      <c r="D193" s="4">
        <f>Taxepunkter!D200</f>
        <v/>
      </c>
      <c r="E193" s="4">
        <f>Taxepunkter!E200</f>
        <v/>
      </c>
      <c r="F193" s="4">
        <f>Taxepunkter!F200</f>
        <v/>
      </c>
      <c r="G193" s="4">
        <f>Taxepunkter!G200</f>
        <v/>
      </c>
      <c r="H193" s="4">
        <f>Taxepunkter!H200</f>
        <v/>
      </c>
      <c r="I193" s="4">
        <f>Taxepunkter!I200</f>
        <v/>
      </c>
      <c r="J193" s="4">
        <f>Taxepunkter!J200</f>
        <v/>
      </c>
      <c r="K193" s="4">
        <f>Taxepunkter!K200</f>
        <v/>
      </c>
      <c r="L193" s="6">
        <f>Taxepunkter!L200</f>
        <v/>
      </c>
    </row>
    <row r="194">
      <c r="A194" s="5">
        <f>Taxepunkter!A201</f>
        <v/>
      </c>
      <c r="B194" s="4">
        <f>Taxepunkter!B201</f>
        <v/>
      </c>
      <c r="C194" s="4">
        <f>Taxepunkter!C201</f>
        <v/>
      </c>
      <c r="D194" s="4">
        <f>Taxepunkter!D201</f>
        <v/>
      </c>
      <c r="E194" s="4">
        <f>Taxepunkter!E201</f>
        <v/>
      </c>
      <c r="F194" s="4">
        <f>Taxepunkter!F201</f>
        <v/>
      </c>
      <c r="G194" s="4">
        <f>Taxepunkter!G201</f>
        <v/>
      </c>
      <c r="H194" s="4">
        <f>Taxepunkter!H201</f>
        <v/>
      </c>
      <c r="I194" s="4">
        <f>Taxepunkter!I201</f>
        <v/>
      </c>
      <c r="J194" s="4">
        <f>Taxepunkter!J201</f>
        <v/>
      </c>
      <c r="K194" s="4">
        <f>Taxepunkter!K201</f>
        <v/>
      </c>
      <c r="L194" s="6">
        <f>Taxepunkter!L201</f>
        <v/>
      </c>
    </row>
    <row r="195">
      <c r="A195" s="5">
        <f>Taxepunkter!A202</f>
        <v/>
      </c>
      <c r="B195" s="4">
        <f>Taxepunkter!B202</f>
        <v/>
      </c>
      <c r="C195" s="4">
        <f>Taxepunkter!C202</f>
        <v/>
      </c>
      <c r="D195" s="4">
        <f>Taxepunkter!D202</f>
        <v/>
      </c>
      <c r="E195" s="4">
        <f>Taxepunkter!E202</f>
        <v/>
      </c>
      <c r="F195" s="4">
        <f>Taxepunkter!F202</f>
        <v/>
      </c>
      <c r="G195" s="4">
        <f>Taxepunkter!G202</f>
        <v/>
      </c>
      <c r="H195" s="4">
        <f>Taxepunkter!H202</f>
        <v/>
      </c>
      <c r="I195" s="4">
        <f>Taxepunkter!I202</f>
        <v/>
      </c>
      <c r="J195" s="4">
        <f>Taxepunkter!J202</f>
        <v/>
      </c>
      <c r="K195" s="4">
        <f>Taxepunkter!K202</f>
        <v/>
      </c>
      <c r="L195" s="6">
        <f>Taxepunkter!L202</f>
        <v/>
      </c>
    </row>
    <row r="196">
      <c r="A196" s="5">
        <f>Taxepunkter!A203</f>
        <v/>
      </c>
      <c r="B196" s="4">
        <f>Taxepunkter!B203</f>
        <v/>
      </c>
      <c r="C196" s="4">
        <f>Taxepunkter!C203</f>
        <v/>
      </c>
      <c r="D196" s="4">
        <f>Taxepunkter!D203</f>
        <v/>
      </c>
      <c r="E196" s="4">
        <f>Taxepunkter!E203</f>
        <v/>
      </c>
      <c r="F196" s="4">
        <f>Taxepunkter!F203</f>
        <v/>
      </c>
      <c r="G196" s="4">
        <f>Taxepunkter!G203</f>
        <v/>
      </c>
      <c r="H196" s="4">
        <f>Taxepunkter!H203</f>
        <v/>
      </c>
      <c r="I196" s="4">
        <f>Taxepunkter!I203</f>
        <v/>
      </c>
      <c r="J196" s="4">
        <f>Taxepunkter!J203</f>
        <v/>
      </c>
      <c r="K196" s="4">
        <f>Taxepunkter!K203</f>
        <v/>
      </c>
      <c r="L196" s="6">
        <f>Taxepunkter!L203</f>
        <v/>
      </c>
    </row>
    <row r="197">
      <c r="A197" s="5">
        <f>Taxepunkter!A204</f>
        <v/>
      </c>
      <c r="B197" s="4">
        <f>Taxepunkter!B204</f>
        <v/>
      </c>
      <c r="C197" s="4">
        <f>Taxepunkter!C204</f>
        <v/>
      </c>
      <c r="D197" s="4">
        <f>Taxepunkter!D204</f>
        <v/>
      </c>
      <c r="E197" s="4">
        <f>Taxepunkter!E204</f>
        <v/>
      </c>
      <c r="F197" s="4">
        <f>Taxepunkter!F204</f>
        <v/>
      </c>
      <c r="G197" s="4">
        <f>Taxepunkter!G204</f>
        <v/>
      </c>
      <c r="H197" s="4">
        <f>Taxepunkter!H204</f>
        <v/>
      </c>
      <c r="I197" s="4">
        <f>Taxepunkter!I204</f>
        <v/>
      </c>
      <c r="J197" s="4">
        <f>Taxepunkter!J204</f>
        <v/>
      </c>
      <c r="K197" s="4">
        <f>Taxepunkter!K204</f>
        <v/>
      </c>
      <c r="L197" s="6">
        <f>Taxepunkter!L204</f>
        <v/>
      </c>
    </row>
    <row r="198">
      <c r="A198" s="5">
        <f>Taxepunkter!A205</f>
        <v/>
      </c>
      <c r="B198" s="4">
        <f>Taxepunkter!B205</f>
        <v/>
      </c>
      <c r="C198" s="4">
        <f>Taxepunkter!C205</f>
        <v/>
      </c>
      <c r="D198" s="4">
        <f>Taxepunkter!D205</f>
        <v/>
      </c>
      <c r="E198" s="4">
        <f>Taxepunkter!E205</f>
        <v/>
      </c>
      <c r="F198" s="4">
        <f>Taxepunkter!F205</f>
        <v/>
      </c>
      <c r="G198" s="4">
        <f>Taxepunkter!G205</f>
        <v/>
      </c>
      <c r="H198" s="4">
        <f>Taxepunkter!H205</f>
        <v/>
      </c>
      <c r="I198" s="4">
        <f>Taxepunkter!I205</f>
        <v/>
      </c>
      <c r="J198" s="4">
        <f>Taxepunkter!J205</f>
        <v/>
      </c>
      <c r="K198" s="4">
        <f>Taxepunkter!K205</f>
        <v/>
      </c>
      <c r="L198" s="6">
        <f>Taxepunkter!L205</f>
        <v/>
      </c>
    </row>
    <row r="199">
      <c r="A199" s="5">
        <f>Taxepunkter!A206</f>
        <v/>
      </c>
      <c r="B199" s="4">
        <f>Taxepunkter!B206</f>
        <v/>
      </c>
      <c r="C199" s="4">
        <f>Taxepunkter!C206</f>
        <v/>
      </c>
      <c r="D199" s="4">
        <f>Taxepunkter!D206</f>
        <v/>
      </c>
      <c r="E199" s="4">
        <f>Taxepunkter!E206</f>
        <v/>
      </c>
      <c r="F199" s="4">
        <f>Taxepunkter!F206</f>
        <v/>
      </c>
      <c r="G199" s="4">
        <f>Taxepunkter!G206</f>
        <v/>
      </c>
      <c r="H199" s="4">
        <f>Taxepunkter!H206</f>
        <v/>
      </c>
      <c r="I199" s="4">
        <f>Taxepunkter!I206</f>
        <v/>
      </c>
      <c r="J199" s="4">
        <f>Taxepunkter!J206</f>
        <v/>
      </c>
      <c r="K199" s="4">
        <f>Taxepunkter!K206</f>
        <v/>
      </c>
      <c r="L199" s="6">
        <f>Taxepunkter!L206</f>
        <v/>
      </c>
    </row>
    <row r="200">
      <c r="A200" s="5">
        <f>Taxepunkter!A207</f>
        <v/>
      </c>
      <c r="B200" s="4">
        <f>Taxepunkter!B207</f>
        <v/>
      </c>
      <c r="C200" s="4">
        <f>Taxepunkter!C207</f>
        <v/>
      </c>
      <c r="D200" s="4">
        <f>Taxepunkter!D207</f>
        <v/>
      </c>
      <c r="E200" s="4">
        <f>Taxepunkter!E207</f>
        <v/>
      </c>
      <c r="F200" s="4">
        <f>Taxepunkter!F207</f>
        <v/>
      </c>
      <c r="G200" s="4">
        <f>Taxepunkter!G207</f>
        <v/>
      </c>
      <c r="H200" s="4">
        <f>Taxepunkter!H207</f>
        <v/>
      </c>
      <c r="I200" s="4">
        <f>Taxepunkter!I207</f>
        <v/>
      </c>
      <c r="J200" s="4">
        <f>Taxepunkter!J207</f>
        <v/>
      </c>
      <c r="K200" s="4">
        <f>Taxepunkter!K207</f>
        <v/>
      </c>
      <c r="L200" s="6">
        <f>Taxepunkter!L207</f>
        <v/>
      </c>
    </row>
    <row r="201">
      <c r="A201" s="5">
        <f>Taxepunkter!A208</f>
        <v/>
      </c>
      <c r="B201" s="4">
        <f>Taxepunkter!B208</f>
        <v/>
      </c>
      <c r="C201" s="4">
        <f>Taxepunkter!C208</f>
        <v/>
      </c>
      <c r="D201" s="4">
        <f>Taxepunkter!D208</f>
        <v/>
      </c>
      <c r="E201" s="4">
        <f>Taxepunkter!E208</f>
        <v/>
      </c>
      <c r="F201" s="4">
        <f>Taxepunkter!F208</f>
        <v/>
      </c>
      <c r="G201" s="4">
        <f>Taxepunkter!G208</f>
        <v/>
      </c>
      <c r="H201" s="4">
        <f>Taxepunkter!H208</f>
        <v/>
      </c>
      <c r="I201" s="4">
        <f>Taxepunkter!I208</f>
        <v/>
      </c>
      <c r="J201" s="4">
        <f>Taxepunkter!J208</f>
        <v/>
      </c>
      <c r="K201" s="4">
        <f>Taxepunkter!K208</f>
        <v/>
      </c>
      <c r="L201" s="6">
        <f>Taxepunkter!L208</f>
        <v/>
      </c>
    </row>
    <row r="202">
      <c r="A202" s="5">
        <f>Taxepunkter!A209</f>
        <v/>
      </c>
      <c r="B202" s="4">
        <f>Taxepunkter!B209</f>
        <v/>
      </c>
      <c r="C202" s="4">
        <f>Taxepunkter!C209</f>
        <v/>
      </c>
      <c r="D202" s="4">
        <f>Taxepunkter!D209</f>
        <v/>
      </c>
      <c r="E202" s="4">
        <f>Taxepunkter!E209</f>
        <v/>
      </c>
      <c r="F202" s="4">
        <f>Taxepunkter!F209</f>
        <v/>
      </c>
      <c r="G202" s="4">
        <f>Taxepunkter!G209</f>
        <v/>
      </c>
      <c r="H202" s="4">
        <f>Taxepunkter!H209</f>
        <v/>
      </c>
      <c r="I202" s="4">
        <f>Taxepunkter!I209</f>
        <v/>
      </c>
      <c r="J202" s="4">
        <f>Taxepunkter!J209</f>
        <v/>
      </c>
      <c r="K202" s="4">
        <f>Taxepunkter!K209</f>
        <v/>
      </c>
      <c r="L202" s="6">
        <f>Taxepunkter!L209</f>
        <v/>
      </c>
    </row>
    <row r="203">
      <c r="A203" s="5">
        <f>Taxepunkter!A210</f>
        <v/>
      </c>
      <c r="B203" s="4">
        <f>Taxepunkter!B210</f>
        <v/>
      </c>
      <c r="C203" s="4">
        <f>Taxepunkter!C210</f>
        <v/>
      </c>
      <c r="D203" s="4">
        <f>Taxepunkter!D210</f>
        <v/>
      </c>
      <c r="E203" s="4">
        <f>Taxepunkter!E210</f>
        <v/>
      </c>
      <c r="F203" s="4">
        <f>Taxepunkter!F210</f>
        <v/>
      </c>
      <c r="G203" s="4">
        <f>Taxepunkter!G210</f>
        <v/>
      </c>
      <c r="H203" s="4">
        <f>Taxepunkter!H210</f>
        <v/>
      </c>
      <c r="I203" s="4">
        <f>Taxepunkter!I210</f>
        <v/>
      </c>
      <c r="J203" s="4">
        <f>Taxepunkter!J210</f>
        <v/>
      </c>
      <c r="K203" s="4">
        <f>Taxepunkter!K210</f>
        <v/>
      </c>
      <c r="L203" s="6">
        <f>Taxepunkter!L210</f>
        <v/>
      </c>
    </row>
    <row r="204">
      <c r="A204" s="5">
        <f>Taxepunkter!A211</f>
        <v/>
      </c>
      <c r="B204" s="4">
        <f>Taxepunkter!B211</f>
        <v/>
      </c>
      <c r="C204" s="4">
        <f>Taxepunkter!C211</f>
        <v/>
      </c>
      <c r="D204" s="4">
        <f>Taxepunkter!D211</f>
        <v/>
      </c>
      <c r="E204" s="4">
        <f>Taxepunkter!E211</f>
        <v/>
      </c>
      <c r="F204" s="4">
        <f>Taxepunkter!F211</f>
        <v/>
      </c>
      <c r="G204" s="4">
        <f>Taxepunkter!G211</f>
        <v/>
      </c>
      <c r="H204" s="4">
        <f>Taxepunkter!H211</f>
        <v/>
      </c>
      <c r="I204" s="4">
        <f>Taxepunkter!I211</f>
        <v/>
      </c>
      <c r="J204" s="4">
        <f>Taxepunkter!J211</f>
        <v/>
      </c>
      <c r="K204" s="4">
        <f>Taxepunkter!K211</f>
        <v/>
      </c>
      <c r="L204" s="6">
        <f>Taxepunkter!L211</f>
        <v/>
      </c>
    </row>
    <row r="205">
      <c r="A205" s="5">
        <f>Taxepunkter!A212</f>
        <v/>
      </c>
      <c r="B205" s="4">
        <f>Taxepunkter!B212</f>
        <v/>
      </c>
      <c r="C205" s="4">
        <f>Taxepunkter!C212</f>
        <v/>
      </c>
      <c r="D205" s="4">
        <f>Taxepunkter!D212</f>
        <v/>
      </c>
      <c r="E205" s="4">
        <f>Taxepunkter!E212</f>
        <v/>
      </c>
      <c r="F205" s="4">
        <f>Taxepunkter!F212</f>
        <v/>
      </c>
      <c r="G205" s="4">
        <f>Taxepunkter!G212</f>
        <v/>
      </c>
      <c r="H205" s="4">
        <f>Taxepunkter!H212</f>
        <v/>
      </c>
      <c r="I205" s="4">
        <f>Taxepunkter!I212</f>
        <v/>
      </c>
      <c r="J205" s="4">
        <f>Taxepunkter!J212</f>
        <v/>
      </c>
      <c r="K205" s="4">
        <f>Taxepunkter!K212</f>
        <v/>
      </c>
      <c r="L205" s="6">
        <f>Taxepunkter!L212</f>
        <v/>
      </c>
    </row>
    <row r="206">
      <c r="A206" s="5">
        <f>Taxepunkter!A213</f>
        <v/>
      </c>
      <c r="B206" s="4">
        <f>Taxepunkter!B213</f>
        <v/>
      </c>
      <c r="C206" s="4">
        <f>Taxepunkter!C213</f>
        <v/>
      </c>
      <c r="D206" s="4">
        <f>Taxepunkter!D213</f>
        <v/>
      </c>
      <c r="E206" s="4">
        <f>Taxepunkter!E213</f>
        <v/>
      </c>
      <c r="F206" s="4">
        <f>Taxepunkter!F213</f>
        <v/>
      </c>
      <c r="G206" s="4">
        <f>Taxepunkter!G213</f>
        <v/>
      </c>
      <c r="H206" s="4">
        <f>Taxepunkter!H213</f>
        <v/>
      </c>
      <c r="I206" s="4">
        <f>Taxepunkter!I213</f>
        <v/>
      </c>
      <c r="J206" s="4">
        <f>Taxepunkter!J213</f>
        <v/>
      </c>
      <c r="K206" s="4">
        <f>Taxepunkter!K213</f>
        <v/>
      </c>
      <c r="L206" s="6">
        <f>Taxepunkter!L213</f>
        <v/>
      </c>
    </row>
    <row r="207">
      <c r="A207" s="5">
        <f>Taxepunkter!A214</f>
        <v/>
      </c>
      <c r="B207" s="4">
        <f>Taxepunkter!B214</f>
        <v/>
      </c>
      <c r="C207" s="4">
        <f>Taxepunkter!C214</f>
        <v/>
      </c>
      <c r="D207" s="4">
        <f>Taxepunkter!D214</f>
        <v/>
      </c>
      <c r="E207" s="4">
        <f>Taxepunkter!E214</f>
        <v/>
      </c>
      <c r="F207" s="4">
        <f>Taxepunkter!F214</f>
        <v/>
      </c>
      <c r="G207" s="4">
        <f>Taxepunkter!G214</f>
        <v/>
      </c>
      <c r="H207" s="4">
        <f>Taxepunkter!H214</f>
        <v/>
      </c>
      <c r="I207" s="4">
        <f>Taxepunkter!I214</f>
        <v/>
      </c>
      <c r="J207" s="4">
        <f>Taxepunkter!J214</f>
        <v/>
      </c>
      <c r="K207" s="4">
        <f>Taxepunkter!K214</f>
        <v/>
      </c>
      <c r="L207" s="6">
        <f>Taxepunkter!L214</f>
        <v/>
      </c>
    </row>
    <row r="208">
      <c r="A208" s="5">
        <f>Taxepunkter!A215</f>
        <v/>
      </c>
      <c r="B208" s="4">
        <f>Taxepunkter!B215</f>
        <v/>
      </c>
      <c r="C208" s="4">
        <f>Taxepunkter!C215</f>
        <v/>
      </c>
      <c r="D208" s="4">
        <f>Taxepunkter!D215</f>
        <v/>
      </c>
      <c r="E208" s="4">
        <f>Taxepunkter!E215</f>
        <v/>
      </c>
      <c r="F208" s="4">
        <f>Taxepunkter!F215</f>
        <v/>
      </c>
      <c r="G208" s="4">
        <f>Taxepunkter!G215</f>
        <v/>
      </c>
      <c r="H208" s="4">
        <f>Taxepunkter!H215</f>
        <v/>
      </c>
      <c r="I208" s="4">
        <f>Taxepunkter!I215</f>
        <v/>
      </c>
      <c r="J208" s="4">
        <f>Taxepunkter!J215</f>
        <v/>
      </c>
      <c r="K208" s="4">
        <f>Taxepunkter!K215</f>
        <v/>
      </c>
      <c r="L208" s="6">
        <f>Taxepunkter!L215</f>
        <v/>
      </c>
    </row>
    <row r="209">
      <c r="A209" s="5">
        <f>Taxepunkter!A216</f>
        <v/>
      </c>
      <c r="B209" s="4">
        <f>Taxepunkter!B216</f>
        <v/>
      </c>
      <c r="C209" s="4">
        <f>Taxepunkter!C216</f>
        <v/>
      </c>
      <c r="D209" s="4">
        <f>Taxepunkter!D216</f>
        <v/>
      </c>
      <c r="E209" s="4">
        <f>Taxepunkter!E216</f>
        <v/>
      </c>
      <c r="F209" s="4">
        <f>Taxepunkter!F216</f>
        <v/>
      </c>
      <c r="G209" s="4">
        <f>Taxepunkter!G216</f>
        <v/>
      </c>
      <c r="H209" s="4">
        <f>Taxepunkter!H216</f>
        <v/>
      </c>
      <c r="I209" s="4">
        <f>Taxepunkter!I216</f>
        <v/>
      </c>
      <c r="J209" s="4">
        <f>Taxepunkter!J216</f>
        <v/>
      </c>
      <c r="K209" s="4">
        <f>Taxepunkter!K216</f>
        <v/>
      </c>
      <c r="L209" s="6">
        <f>Taxepunkter!L216</f>
        <v/>
      </c>
    </row>
    <row r="210">
      <c r="A210" s="5">
        <f>Taxepunkter!A217</f>
        <v/>
      </c>
      <c r="B210" s="4">
        <f>Taxepunkter!B217</f>
        <v/>
      </c>
      <c r="C210" s="4">
        <f>Taxepunkter!C217</f>
        <v/>
      </c>
      <c r="D210" s="4">
        <f>Taxepunkter!D217</f>
        <v/>
      </c>
      <c r="E210" s="4">
        <f>Taxepunkter!E217</f>
        <v/>
      </c>
      <c r="F210" s="4">
        <f>Taxepunkter!F217</f>
        <v/>
      </c>
      <c r="G210" s="4">
        <f>Taxepunkter!G217</f>
        <v/>
      </c>
      <c r="H210" s="4">
        <f>Taxepunkter!H217</f>
        <v/>
      </c>
      <c r="I210" s="4">
        <f>Taxepunkter!I217</f>
        <v/>
      </c>
      <c r="J210" s="4">
        <f>Taxepunkter!J217</f>
        <v/>
      </c>
      <c r="K210" s="4">
        <f>Taxepunkter!K217</f>
        <v/>
      </c>
      <c r="L210" s="6">
        <f>Taxepunkter!L217</f>
        <v/>
      </c>
    </row>
    <row r="211">
      <c r="A211" s="5">
        <f>Taxepunkter!A218</f>
        <v/>
      </c>
      <c r="B211" s="4">
        <f>Taxepunkter!B218</f>
        <v/>
      </c>
      <c r="C211" s="4">
        <f>Taxepunkter!C218</f>
        <v/>
      </c>
      <c r="D211" s="4">
        <f>Taxepunkter!D218</f>
        <v/>
      </c>
      <c r="E211" s="4">
        <f>Taxepunkter!E218</f>
        <v/>
      </c>
      <c r="F211" s="4">
        <f>Taxepunkter!F218</f>
        <v/>
      </c>
      <c r="G211" s="4">
        <f>Taxepunkter!G218</f>
        <v/>
      </c>
      <c r="H211" s="4">
        <f>Taxepunkter!H218</f>
        <v/>
      </c>
      <c r="I211" s="4">
        <f>Taxepunkter!I218</f>
        <v/>
      </c>
      <c r="J211" s="4">
        <f>Taxepunkter!J218</f>
        <v/>
      </c>
      <c r="K211" s="4">
        <f>Taxepunkter!K218</f>
        <v/>
      </c>
      <c r="L211" s="6">
        <f>Taxepunkter!L218</f>
        <v/>
      </c>
    </row>
    <row r="212">
      <c r="A212" s="5">
        <f>Taxepunkter!A219</f>
        <v/>
      </c>
      <c r="B212" s="4">
        <f>Taxepunkter!B219</f>
        <v/>
      </c>
      <c r="C212" s="4">
        <f>Taxepunkter!C219</f>
        <v/>
      </c>
      <c r="D212" s="4">
        <f>Taxepunkter!D219</f>
        <v/>
      </c>
      <c r="E212" s="4">
        <f>Taxepunkter!E219</f>
        <v/>
      </c>
      <c r="F212" s="4">
        <f>Taxepunkter!F219</f>
        <v/>
      </c>
      <c r="G212" s="4">
        <f>Taxepunkter!G219</f>
        <v/>
      </c>
      <c r="H212" s="4">
        <f>Taxepunkter!H219</f>
        <v/>
      </c>
      <c r="I212" s="4">
        <f>Taxepunkter!I219</f>
        <v/>
      </c>
      <c r="J212" s="4">
        <f>Taxepunkter!J219</f>
        <v/>
      </c>
      <c r="K212" s="4">
        <f>Taxepunkter!K219</f>
        <v/>
      </c>
      <c r="L212" s="6">
        <f>Taxepunkter!L219</f>
        <v/>
      </c>
    </row>
    <row r="213">
      <c r="A213" s="5">
        <f>Taxepunkter!A220</f>
        <v/>
      </c>
      <c r="B213" s="4">
        <f>Taxepunkter!B220</f>
        <v/>
      </c>
      <c r="C213" s="4">
        <f>Taxepunkter!C220</f>
        <v/>
      </c>
      <c r="D213" s="4">
        <f>Taxepunkter!D220</f>
        <v/>
      </c>
      <c r="E213" s="4">
        <f>Taxepunkter!E220</f>
        <v/>
      </c>
      <c r="F213" s="4">
        <f>Taxepunkter!F220</f>
        <v/>
      </c>
      <c r="G213" s="4">
        <f>Taxepunkter!G220</f>
        <v/>
      </c>
      <c r="H213" s="4">
        <f>Taxepunkter!H220</f>
        <v/>
      </c>
      <c r="I213" s="4">
        <f>Taxepunkter!I220</f>
        <v/>
      </c>
      <c r="J213" s="4">
        <f>Taxepunkter!J220</f>
        <v/>
      </c>
      <c r="K213" s="4">
        <f>Taxepunkter!K220</f>
        <v/>
      </c>
      <c r="L213" s="6">
        <f>Taxepunkter!L220</f>
        <v/>
      </c>
    </row>
    <row r="214">
      <c r="A214" s="5">
        <f>Taxepunkter!A221</f>
        <v/>
      </c>
      <c r="B214" s="4">
        <f>Taxepunkter!B221</f>
        <v/>
      </c>
      <c r="C214" s="4">
        <f>Taxepunkter!C221</f>
        <v/>
      </c>
      <c r="D214" s="4">
        <f>Taxepunkter!D221</f>
        <v/>
      </c>
      <c r="E214" s="4">
        <f>Taxepunkter!E221</f>
        <v/>
      </c>
      <c r="F214" s="4">
        <f>Taxepunkter!F221</f>
        <v/>
      </c>
      <c r="G214" s="4">
        <f>Taxepunkter!G221</f>
        <v/>
      </c>
      <c r="H214" s="4">
        <f>Taxepunkter!H221</f>
        <v/>
      </c>
      <c r="I214" s="4">
        <f>Taxepunkter!I221</f>
        <v/>
      </c>
      <c r="J214" s="4">
        <f>Taxepunkter!J221</f>
        <v/>
      </c>
      <c r="K214" s="4">
        <f>Taxepunkter!K221</f>
        <v/>
      </c>
      <c r="L214" s="6">
        <f>Taxepunkter!L221</f>
        <v/>
      </c>
    </row>
    <row r="215">
      <c r="A215" s="5">
        <f>Taxepunkter!A222</f>
        <v/>
      </c>
      <c r="B215" s="4">
        <f>Taxepunkter!B222</f>
        <v/>
      </c>
      <c r="C215" s="4">
        <f>Taxepunkter!C222</f>
        <v/>
      </c>
      <c r="D215" s="4">
        <f>Taxepunkter!D222</f>
        <v/>
      </c>
      <c r="E215" s="4">
        <f>Taxepunkter!E222</f>
        <v/>
      </c>
      <c r="F215" s="4">
        <f>Taxepunkter!F222</f>
        <v/>
      </c>
      <c r="G215" s="4">
        <f>Taxepunkter!G222</f>
        <v/>
      </c>
      <c r="H215" s="4">
        <f>Taxepunkter!H222</f>
        <v/>
      </c>
      <c r="I215" s="4">
        <f>Taxepunkter!I222</f>
        <v/>
      </c>
      <c r="J215" s="4">
        <f>Taxepunkter!J222</f>
        <v/>
      </c>
      <c r="K215" s="4">
        <f>Taxepunkter!K222</f>
        <v/>
      </c>
      <c r="L215" s="6">
        <f>Taxepunkter!L222</f>
        <v/>
      </c>
    </row>
    <row r="216">
      <c r="A216" s="5">
        <f>Taxepunkter!A223</f>
        <v/>
      </c>
      <c r="B216" s="4">
        <f>Taxepunkter!B223</f>
        <v/>
      </c>
      <c r="C216" s="4">
        <f>Taxepunkter!C223</f>
        <v/>
      </c>
      <c r="D216" s="4">
        <f>Taxepunkter!D223</f>
        <v/>
      </c>
      <c r="E216" s="4">
        <f>Taxepunkter!E223</f>
        <v/>
      </c>
      <c r="F216" s="4">
        <f>Taxepunkter!F223</f>
        <v/>
      </c>
      <c r="G216" s="4">
        <f>Taxepunkter!G223</f>
        <v/>
      </c>
      <c r="H216" s="4">
        <f>Taxepunkter!H223</f>
        <v/>
      </c>
      <c r="I216" s="4">
        <f>Taxepunkter!I223</f>
        <v/>
      </c>
      <c r="J216" s="4">
        <f>Taxepunkter!J223</f>
        <v/>
      </c>
      <c r="K216" s="4">
        <f>Taxepunkter!K223</f>
        <v/>
      </c>
      <c r="L216" s="6">
        <f>Taxepunkter!L223</f>
        <v/>
      </c>
    </row>
    <row r="217">
      <c r="A217" s="5">
        <f>Taxepunkter!A224</f>
        <v/>
      </c>
      <c r="B217" s="4">
        <f>Taxepunkter!B224</f>
        <v/>
      </c>
      <c r="C217" s="4">
        <f>Taxepunkter!C224</f>
        <v/>
      </c>
      <c r="D217" s="4">
        <f>Taxepunkter!D224</f>
        <v/>
      </c>
      <c r="E217" s="4">
        <f>Taxepunkter!E224</f>
        <v/>
      </c>
      <c r="F217" s="4">
        <f>Taxepunkter!F224</f>
        <v/>
      </c>
      <c r="G217" s="4">
        <f>Taxepunkter!G224</f>
        <v/>
      </c>
      <c r="H217" s="4">
        <f>Taxepunkter!H224</f>
        <v/>
      </c>
      <c r="I217" s="4">
        <f>Taxepunkter!I224</f>
        <v/>
      </c>
      <c r="J217" s="4">
        <f>Taxepunkter!J224</f>
        <v/>
      </c>
      <c r="K217" s="4">
        <f>Taxepunkter!K224</f>
        <v/>
      </c>
      <c r="L217" s="6">
        <f>Taxepunkter!L224</f>
        <v/>
      </c>
    </row>
    <row r="218">
      <c r="A218" s="5">
        <f>Taxepunkter!A225</f>
        <v/>
      </c>
      <c r="B218" s="4">
        <f>Taxepunkter!B225</f>
        <v/>
      </c>
      <c r="C218" s="4">
        <f>Taxepunkter!C225</f>
        <v/>
      </c>
      <c r="D218" s="4">
        <f>Taxepunkter!D225</f>
        <v/>
      </c>
      <c r="E218" s="4">
        <f>Taxepunkter!E225</f>
        <v/>
      </c>
      <c r="F218" s="4">
        <f>Taxepunkter!F225</f>
        <v/>
      </c>
      <c r="G218" s="4">
        <f>Taxepunkter!G225</f>
        <v/>
      </c>
      <c r="H218" s="4">
        <f>Taxepunkter!H225</f>
        <v/>
      </c>
      <c r="I218" s="4">
        <f>Taxepunkter!I225</f>
        <v/>
      </c>
      <c r="J218" s="4">
        <f>Taxepunkter!J225</f>
        <v/>
      </c>
      <c r="K218" s="4">
        <f>Taxepunkter!K225</f>
        <v/>
      </c>
      <c r="L218" s="6">
        <f>Taxepunkter!L225</f>
        <v/>
      </c>
    </row>
    <row r="219">
      <c r="A219" s="5">
        <f>Taxepunkter!A226</f>
        <v/>
      </c>
      <c r="B219" s="4">
        <f>Taxepunkter!B226</f>
        <v/>
      </c>
      <c r="C219" s="4">
        <f>Taxepunkter!C226</f>
        <v/>
      </c>
      <c r="D219" s="4">
        <f>Taxepunkter!D226</f>
        <v/>
      </c>
      <c r="E219" s="4">
        <f>Taxepunkter!E226</f>
        <v/>
      </c>
      <c r="F219" s="4">
        <f>Taxepunkter!F226</f>
        <v/>
      </c>
      <c r="G219" s="4">
        <f>Taxepunkter!G226</f>
        <v/>
      </c>
      <c r="H219" s="4">
        <f>Taxepunkter!H226</f>
        <v/>
      </c>
      <c r="I219" s="4">
        <f>Taxepunkter!I226</f>
        <v/>
      </c>
      <c r="J219" s="4">
        <f>Taxepunkter!J226</f>
        <v/>
      </c>
      <c r="K219" s="4">
        <f>Taxepunkter!K226</f>
        <v/>
      </c>
      <c r="L219" s="6">
        <f>Taxepunkter!L226</f>
        <v/>
      </c>
    </row>
    <row r="220">
      <c r="A220" s="5">
        <f>Taxepunkter!A227</f>
        <v/>
      </c>
      <c r="B220" s="4">
        <f>Taxepunkter!B227</f>
        <v/>
      </c>
      <c r="C220" s="4">
        <f>Taxepunkter!C227</f>
        <v/>
      </c>
      <c r="D220" s="4">
        <f>Taxepunkter!D227</f>
        <v/>
      </c>
      <c r="E220" s="4">
        <f>Taxepunkter!E227</f>
        <v/>
      </c>
      <c r="F220" s="4">
        <f>Taxepunkter!F227</f>
        <v/>
      </c>
      <c r="G220" s="4">
        <f>Taxepunkter!G227</f>
        <v/>
      </c>
      <c r="H220" s="4">
        <f>Taxepunkter!H227</f>
        <v/>
      </c>
      <c r="I220" s="4">
        <f>Taxepunkter!I227</f>
        <v/>
      </c>
      <c r="J220" s="4">
        <f>Taxepunkter!J227</f>
        <v/>
      </c>
      <c r="K220" s="4">
        <f>Taxepunkter!K227</f>
        <v/>
      </c>
      <c r="L220" s="6">
        <f>Taxepunkter!L227</f>
        <v/>
      </c>
    </row>
    <row r="221">
      <c r="A221" s="5">
        <f>Taxepunkter!A228</f>
        <v/>
      </c>
      <c r="B221" s="4">
        <f>Taxepunkter!B228</f>
        <v/>
      </c>
      <c r="C221" s="4">
        <f>Taxepunkter!C228</f>
        <v/>
      </c>
      <c r="D221" s="4">
        <f>Taxepunkter!D228</f>
        <v/>
      </c>
      <c r="E221" s="4">
        <f>Taxepunkter!E228</f>
        <v/>
      </c>
      <c r="F221" s="4">
        <f>Taxepunkter!F228</f>
        <v/>
      </c>
      <c r="G221" s="4">
        <f>Taxepunkter!G228</f>
        <v/>
      </c>
      <c r="H221" s="4">
        <f>Taxepunkter!H228</f>
        <v/>
      </c>
      <c r="I221" s="4">
        <f>Taxepunkter!I228</f>
        <v/>
      </c>
      <c r="J221" s="4">
        <f>Taxepunkter!J228</f>
        <v/>
      </c>
      <c r="K221" s="4">
        <f>Taxepunkter!K228</f>
        <v/>
      </c>
      <c r="L221" s="6">
        <f>Taxepunkter!L228</f>
        <v/>
      </c>
    </row>
    <row r="222">
      <c r="A222" s="5">
        <f>Taxepunkter!A229</f>
        <v/>
      </c>
      <c r="B222" s="4">
        <f>Taxepunkter!B229</f>
        <v/>
      </c>
      <c r="C222" s="4">
        <f>Taxepunkter!C229</f>
        <v/>
      </c>
      <c r="D222" s="4">
        <f>Taxepunkter!D229</f>
        <v/>
      </c>
      <c r="E222" s="4">
        <f>Taxepunkter!E229</f>
        <v/>
      </c>
      <c r="F222" s="4">
        <f>Taxepunkter!F229</f>
        <v/>
      </c>
      <c r="G222" s="4">
        <f>Taxepunkter!G229</f>
        <v/>
      </c>
      <c r="H222" s="4">
        <f>Taxepunkter!H229</f>
        <v/>
      </c>
      <c r="I222" s="4">
        <f>Taxepunkter!I229</f>
        <v/>
      </c>
      <c r="J222" s="4">
        <f>Taxepunkter!J229</f>
        <v/>
      </c>
      <c r="K222" s="4">
        <f>Taxepunkter!K229</f>
        <v/>
      </c>
      <c r="L222" s="6">
        <f>Taxepunkter!L229</f>
        <v/>
      </c>
    </row>
    <row r="223">
      <c r="A223" s="5">
        <f>Taxepunkter!A230</f>
        <v/>
      </c>
      <c r="B223" s="4">
        <f>Taxepunkter!B230</f>
        <v/>
      </c>
      <c r="C223" s="4">
        <f>Taxepunkter!C230</f>
        <v/>
      </c>
      <c r="D223" s="4">
        <f>Taxepunkter!D230</f>
        <v/>
      </c>
      <c r="E223" s="4">
        <f>Taxepunkter!E230</f>
        <v/>
      </c>
      <c r="F223" s="4">
        <f>Taxepunkter!F230</f>
        <v/>
      </c>
      <c r="G223" s="4">
        <f>Taxepunkter!G230</f>
        <v/>
      </c>
      <c r="H223" s="4">
        <f>Taxepunkter!H230</f>
        <v/>
      </c>
      <c r="I223" s="4">
        <f>Taxepunkter!I230</f>
        <v/>
      </c>
      <c r="J223" s="4">
        <f>Taxepunkter!J230</f>
        <v/>
      </c>
      <c r="K223" s="4">
        <f>Taxepunkter!K230</f>
        <v/>
      </c>
      <c r="L223" s="6">
        <f>Taxepunkter!L230</f>
        <v/>
      </c>
    </row>
    <row r="224">
      <c r="A224" s="5">
        <f>Taxepunkter!A231</f>
        <v/>
      </c>
      <c r="B224" s="4">
        <f>Taxepunkter!B231</f>
        <v/>
      </c>
      <c r="C224" s="4">
        <f>Taxepunkter!C231</f>
        <v/>
      </c>
      <c r="D224" s="4">
        <f>Taxepunkter!D231</f>
        <v/>
      </c>
      <c r="E224" s="4">
        <f>Taxepunkter!E231</f>
        <v/>
      </c>
      <c r="F224" s="4">
        <f>Taxepunkter!F231</f>
        <v/>
      </c>
      <c r="G224" s="4">
        <f>Taxepunkter!G231</f>
        <v/>
      </c>
      <c r="H224" s="4">
        <f>Taxepunkter!H231</f>
        <v/>
      </c>
      <c r="I224" s="4">
        <f>Taxepunkter!I231</f>
        <v/>
      </c>
      <c r="J224" s="4">
        <f>Taxepunkter!J231</f>
        <v/>
      </c>
      <c r="K224" s="4">
        <f>Taxepunkter!K231</f>
        <v/>
      </c>
      <c r="L224" s="6">
        <f>Taxepunkter!L231</f>
        <v/>
      </c>
    </row>
    <row r="225">
      <c r="A225" s="5">
        <f>Taxepunkter!A232</f>
        <v/>
      </c>
      <c r="B225" s="4">
        <f>Taxepunkter!B232</f>
        <v/>
      </c>
      <c r="C225" s="4">
        <f>Taxepunkter!C232</f>
        <v/>
      </c>
      <c r="D225" s="4">
        <f>Taxepunkter!D232</f>
        <v/>
      </c>
      <c r="E225" s="4">
        <f>Taxepunkter!E232</f>
        <v/>
      </c>
      <c r="F225" s="4">
        <f>Taxepunkter!F232</f>
        <v/>
      </c>
      <c r="G225" s="4">
        <f>Taxepunkter!G232</f>
        <v/>
      </c>
      <c r="H225" s="4">
        <f>Taxepunkter!H232</f>
        <v/>
      </c>
      <c r="I225" s="4">
        <f>Taxepunkter!I232</f>
        <v/>
      </c>
      <c r="J225" s="4">
        <f>Taxepunkter!J232</f>
        <v/>
      </c>
      <c r="K225" s="4">
        <f>Taxepunkter!K232</f>
        <v/>
      </c>
      <c r="L225" s="6">
        <f>Taxepunkter!L232</f>
        <v/>
      </c>
    </row>
    <row r="226">
      <c r="A226" s="5">
        <f>Taxepunkter!A233</f>
        <v/>
      </c>
      <c r="B226" s="4">
        <f>Taxepunkter!B233</f>
        <v/>
      </c>
      <c r="C226" s="4">
        <f>Taxepunkter!C233</f>
        <v/>
      </c>
      <c r="D226" s="4">
        <f>Taxepunkter!D233</f>
        <v/>
      </c>
      <c r="E226" s="4">
        <f>Taxepunkter!E233</f>
        <v/>
      </c>
      <c r="F226" s="4">
        <f>Taxepunkter!F233</f>
        <v/>
      </c>
      <c r="G226" s="4">
        <f>Taxepunkter!G233</f>
        <v/>
      </c>
      <c r="H226" s="4">
        <f>Taxepunkter!H233</f>
        <v/>
      </c>
      <c r="I226" s="4">
        <f>Taxepunkter!I233</f>
        <v/>
      </c>
      <c r="J226" s="4">
        <f>Taxepunkter!J233</f>
        <v/>
      </c>
      <c r="K226" s="4">
        <f>Taxepunkter!K233</f>
        <v/>
      </c>
      <c r="L226" s="6">
        <f>Taxepunkter!L233</f>
        <v/>
      </c>
    </row>
    <row r="227">
      <c r="A227" s="5">
        <f>Taxepunkter!A234</f>
        <v/>
      </c>
      <c r="B227" s="4">
        <f>Taxepunkter!B234</f>
        <v/>
      </c>
      <c r="C227" s="4">
        <f>Taxepunkter!C234</f>
        <v/>
      </c>
      <c r="D227" s="4">
        <f>Taxepunkter!D234</f>
        <v/>
      </c>
      <c r="E227" s="4">
        <f>Taxepunkter!E234</f>
        <v/>
      </c>
      <c r="F227" s="4">
        <f>Taxepunkter!F234</f>
        <v/>
      </c>
      <c r="G227" s="4">
        <f>Taxepunkter!G234</f>
        <v/>
      </c>
      <c r="H227" s="4">
        <f>Taxepunkter!H234</f>
        <v/>
      </c>
      <c r="I227" s="4">
        <f>Taxepunkter!I234</f>
        <v/>
      </c>
      <c r="J227" s="4">
        <f>Taxepunkter!J234</f>
        <v/>
      </c>
      <c r="K227" s="4">
        <f>Taxepunkter!K234</f>
        <v/>
      </c>
      <c r="L227" s="6">
        <f>Taxepunkter!L234</f>
        <v/>
      </c>
    </row>
    <row r="228">
      <c r="A228" s="5">
        <f>Taxepunkter!A235</f>
        <v/>
      </c>
      <c r="B228" s="4">
        <f>Taxepunkter!B235</f>
        <v/>
      </c>
      <c r="C228" s="4">
        <f>Taxepunkter!C235</f>
        <v/>
      </c>
      <c r="D228" s="4">
        <f>Taxepunkter!D235</f>
        <v/>
      </c>
      <c r="E228" s="4">
        <f>Taxepunkter!E235</f>
        <v/>
      </c>
      <c r="F228" s="4">
        <f>Taxepunkter!F235</f>
        <v/>
      </c>
      <c r="G228" s="4">
        <f>Taxepunkter!G235</f>
        <v/>
      </c>
      <c r="H228" s="4">
        <f>Taxepunkter!H235</f>
        <v/>
      </c>
      <c r="I228" s="4">
        <f>Taxepunkter!I235</f>
        <v/>
      </c>
      <c r="J228" s="4">
        <f>Taxepunkter!J235</f>
        <v/>
      </c>
      <c r="K228" s="4">
        <f>Taxepunkter!K235</f>
        <v/>
      </c>
      <c r="L228" s="6">
        <f>Taxepunkter!L235</f>
        <v/>
      </c>
    </row>
    <row r="229">
      <c r="A229" s="5">
        <f>Taxepunkter!A236</f>
        <v/>
      </c>
      <c r="B229" s="4">
        <f>Taxepunkter!B236</f>
        <v/>
      </c>
      <c r="C229" s="4">
        <f>Taxepunkter!C236</f>
        <v/>
      </c>
      <c r="D229" s="4">
        <f>Taxepunkter!D236</f>
        <v/>
      </c>
      <c r="E229" s="4">
        <f>Taxepunkter!E236</f>
        <v/>
      </c>
      <c r="F229" s="4">
        <f>Taxepunkter!F236</f>
        <v/>
      </c>
      <c r="G229" s="4">
        <f>Taxepunkter!G236</f>
        <v/>
      </c>
      <c r="H229" s="4">
        <f>Taxepunkter!H236</f>
        <v/>
      </c>
      <c r="I229" s="4">
        <f>Taxepunkter!I236</f>
        <v/>
      </c>
      <c r="J229" s="4">
        <f>Taxepunkter!J236</f>
        <v/>
      </c>
      <c r="K229" s="4">
        <f>Taxepunkter!K236</f>
        <v/>
      </c>
      <c r="L229" s="6">
        <f>Taxepunkter!L236</f>
        <v/>
      </c>
    </row>
    <row r="230">
      <c r="A230" s="5">
        <f>Taxepunkter!A237</f>
        <v/>
      </c>
      <c r="B230" s="4">
        <f>Taxepunkter!B237</f>
        <v/>
      </c>
      <c r="C230" s="4">
        <f>Taxepunkter!C237</f>
        <v/>
      </c>
      <c r="D230" s="4">
        <f>Taxepunkter!D237</f>
        <v/>
      </c>
      <c r="E230" s="4">
        <f>Taxepunkter!E237</f>
        <v/>
      </c>
      <c r="F230" s="4">
        <f>Taxepunkter!F237</f>
        <v/>
      </c>
      <c r="G230" s="4">
        <f>Taxepunkter!G237</f>
        <v/>
      </c>
      <c r="H230" s="4">
        <f>Taxepunkter!H237</f>
        <v/>
      </c>
      <c r="I230" s="4">
        <f>Taxepunkter!I237</f>
        <v/>
      </c>
      <c r="J230" s="4">
        <f>Taxepunkter!J237</f>
        <v/>
      </c>
      <c r="K230" s="4">
        <f>Taxepunkter!K237</f>
        <v/>
      </c>
      <c r="L230" s="6">
        <f>Taxepunkter!L237</f>
        <v/>
      </c>
    </row>
    <row r="231">
      <c r="A231" s="5">
        <f>Taxepunkter!A238</f>
        <v/>
      </c>
      <c r="B231" s="4">
        <f>Taxepunkter!B238</f>
        <v/>
      </c>
      <c r="C231" s="4">
        <f>Taxepunkter!C238</f>
        <v/>
      </c>
      <c r="D231" s="4">
        <f>Taxepunkter!D238</f>
        <v/>
      </c>
      <c r="E231" s="4">
        <f>Taxepunkter!E238</f>
        <v/>
      </c>
      <c r="F231" s="4">
        <f>Taxepunkter!F238</f>
        <v/>
      </c>
      <c r="G231" s="4">
        <f>Taxepunkter!G238</f>
        <v/>
      </c>
      <c r="H231" s="4">
        <f>Taxepunkter!H238</f>
        <v/>
      </c>
      <c r="I231" s="4">
        <f>Taxepunkter!I238</f>
        <v/>
      </c>
      <c r="J231" s="4">
        <f>Taxepunkter!J238</f>
        <v/>
      </c>
      <c r="K231" s="4">
        <f>Taxepunkter!K238</f>
        <v/>
      </c>
      <c r="L231" s="6">
        <f>Taxepunkter!L238</f>
        <v/>
      </c>
    </row>
    <row r="232">
      <c r="A232" s="5">
        <f>Taxepunkter!A239</f>
        <v/>
      </c>
      <c r="B232" s="4">
        <f>Taxepunkter!B239</f>
        <v/>
      </c>
      <c r="C232" s="4">
        <f>Taxepunkter!C239</f>
        <v/>
      </c>
      <c r="D232" s="4">
        <f>Taxepunkter!D239</f>
        <v/>
      </c>
      <c r="E232" s="4">
        <f>Taxepunkter!E239</f>
        <v/>
      </c>
      <c r="F232" s="4">
        <f>Taxepunkter!F239</f>
        <v/>
      </c>
      <c r="G232" s="4">
        <f>Taxepunkter!G239</f>
        <v/>
      </c>
      <c r="H232" s="4">
        <f>Taxepunkter!H239</f>
        <v/>
      </c>
      <c r="I232" s="4">
        <f>Taxepunkter!I239</f>
        <v/>
      </c>
      <c r="J232" s="4">
        <f>Taxepunkter!J239</f>
        <v/>
      </c>
      <c r="K232" s="4">
        <f>Taxepunkter!K239</f>
        <v/>
      </c>
      <c r="L232" s="6">
        <f>Taxepunkter!L239</f>
        <v/>
      </c>
    </row>
    <row r="233">
      <c r="A233" s="5">
        <f>Taxepunkter!A240</f>
        <v/>
      </c>
      <c r="B233" s="4">
        <f>Taxepunkter!B240</f>
        <v/>
      </c>
      <c r="C233" s="4">
        <f>Taxepunkter!C240</f>
        <v/>
      </c>
      <c r="D233" s="4">
        <f>Taxepunkter!D240</f>
        <v/>
      </c>
      <c r="E233" s="4">
        <f>Taxepunkter!E240</f>
        <v/>
      </c>
      <c r="F233" s="4">
        <f>Taxepunkter!F240</f>
        <v/>
      </c>
      <c r="G233" s="4">
        <f>Taxepunkter!G240</f>
        <v/>
      </c>
      <c r="H233" s="4">
        <f>Taxepunkter!H240</f>
        <v/>
      </c>
      <c r="I233" s="4">
        <f>Taxepunkter!I240</f>
        <v/>
      </c>
      <c r="J233" s="4">
        <f>Taxepunkter!J240</f>
        <v/>
      </c>
      <c r="K233" s="4">
        <f>Taxepunkter!K240</f>
        <v/>
      </c>
      <c r="L233" s="6">
        <f>Taxepunkter!L240</f>
        <v/>
      </c>
    </row>
    <row r="234">
      <c r="A234" s="5">
        <f>Taxepunkter!A241</f>
        <v/>
      </c>
      <c r="B234" s="4">
        <f>Taxepunkter!B241</f>
        <v/>
      </c>
      <c r="C234" s="4">
        <f>Taxepunkter!C241</f>
        <v/>
      </c>
      <c r="D234" s="4">
        <f>Taxepunkter!D241</f>
        <v/>
      </c>
      <c r="E234" s="4">
        <f>Taxepunkter!E241</f>
        <v/>
      </c>
      <c r="F234" s="4">
        <f>Taxepunkter!F241</f>
        <v/>
      </c>
      <c r="G234" s="4">
        <f>Taxepunkter!G241</f>
        <v/>
      </c>
      <c r="H234" s="4">
        <f>Taxepunkter!H241</f>
        <v/>
      </c>
      <c r="I234" s="4">
        <f>Taxepunkter!I241</f>
        <v/>
      </c>
      <c r="J234" s="4">
        <f>Taxepunkter!J241</f>
        <v/>
      </c>
      <c r="K234" s="4">
        <f>Taxepunkter!K241</f>
        <v/>
      </c>
      <c r="L234" s="6">
        <f>Taxepunkter!L241</f>
        <v/>
      </c>
    </row>
    <row r="235">
      <c r="A235" s="5">
        <f>Taxepunkter!A242</f>
        <v/>
      </c>
      <c r="B235" s="4">
        <f>Taxepunkter!B242</f>
        <v/>
      </c>
      <c r="C235" s="4">
        <f>Taxepunkter!C242</f>
        <v/>
      </c>
      <c r="D235" s="4">
        <f>Taxepunkter!D242</f>
        <v/>
      </c>
      <c r="E235" s="4">
        <f>Taxepunkter!E242</f>
        <v/>
      </c>
      <c r="F235" s="4">
        <f>Taxepunkter!F242</f>
        <v/>
      </c>
      <c r="G235" s="4">
        <f>Taxepunkter!G242</f>
        <v/>
      </c>
      <c r="H235" s="4">
        <f>Taxepunkter!H242</f>
        <v/>
      </c>
      <c r="I235" s="4">
        <f>Taxepunkter!I242</f>
        <v/>
      </c>
      <c r="J235" s="4">
        <f>Taxepunkter!J242</f>
        <v/>
      </c>
      <c r="K235" s="4">
        <f>Taxepunkter!K242</f>
        <v/>
      </c>
      <c r="L235" s="6">
        <f>Taxepunkter!L242</f>
        <v/>
      </c>
    </row>
    <row r="236">
      <c r="A236" s="5">
        <f>Taxepunkter!A243</f>
        <v/>
      </c>
      <c r="B236" s="4">
        <f>Taxepunkter!B243</f>
        <v/>
      </c>
      <c r="C236" s="4">
        <f>Taxepunkter!C243</f>
        <v/>
      </c>
      <c r="D236" s="4">
        <f>Taxepunkter!D243</f>
        <v/>
      </c>
      <c r="E236" s="4">
        <f>Taxepunkter!E243</f>
        <v/>
      </c>
      <c r="F236" s="4">
        <f>Taxepunkter!F243</f>
        <v/>
      </c>
      <c r="G236" s="4">
        <f>Taxepunkter!G243</f>
        <v/>
      </c>
      <c r="H236" s="4">
        <f>Taxepunkter!H243</f>
        <v/>
      </c>
      <c r="I236" s="4">
        <f>Taxepunkter!I243</f>
        <v/>
      </c>
      <c r="J236" s="4">
        <f>Taxepunkter!J243</f>
        <v/>
      </c>
      <c r="K236" s="4">
        <f>Taxepunkter!K243</f>
        <v/>
      </c>
      <c r="L236" s="6">
        <f>Taxepunkter!L243</f>
        <v/>
      </c>
    </row>
    <row r="237">
      <c r="A237" s="5">
        <f>Taxepunkter!A244</f>
        <v/>
      </c>
      <c r="B237" s="4">
        <f>Taxepunkter!B244</f>
        <v/>
      </c>
      <c r="C237" s="4">
        <f>Taxepunkter!C244</f>
        <v/>
      </c>
      <c r="D237" s="4">
        <f>Taxepunkter!D244</f>
        <v/>
      </c>
      <c r="E237" s="4">
        <f>Taxepunkter!E244</f>
        <v/>
      </c>
      <c r="F237" s="4">
        <f>Taxepunkter!F244</f>
        <v/>
      </c>
      <c r="G237" s="4">
        <f>Taxepunkter!G244</f>
        <v/>
      </c>
      <c r="H237" s="4">
        <f>Taxepunkter!H244</f>
        <v/>
      </c>
      <c r="I237" s="4">
        <f>Taxepunkter!I244</f>
        <v/>
      </c>
      <c r="J237" s="4">
        <f>Taxepunkter!J244</f>
        <v/>
      </c>
      <c r="K237" s="4">
        <f>Taxepunkter!K244</f>
        <v/>
      </c>
      <c r="L237" s="6">
        <f>Taxepunkter!L244</f>
        <v/>
      </c>
    </row>
    <row r="238">
      <c r="A238" s="5">
        <f>Taxepunkter!A245</f>
        <v/>
      </c>
      <c r="B238" s="4">
        <f>Taxepunkter!B245</f>
        <v/>
      </c>
      <c r="C238" s="4">
        <f>Taxepunkter!C245</f>
        <v/>
      </c>
      <c r="D238" s="4">
        <f>Taxepunkter!D245</f>
        <v/>
      </c>
      <c r="E238" s="4">
        <f>Taxepunkter!E245</f>
        <v/>
      </c>
      <c r="F238" s="4">
        <f>Taxepunkter!F245</f>
        <v/>
      </c>
      <c r="G238" s="4">
        <f>Taxepunkter!G245</f>
        <v/>
      </c>
      <c r="H238" s="4">
        <f>Taxepunkter!H245</f>
        <v/>
      </c>
      <c r="I238" s="4">
        <f>Taxepunkter!I245</f>
        <v/>
      </c>
      <c r="J238" s="4">
        <f>Taxepunkter!J245</f>
        <v/>
      </c>
      <c r="K238" s="4">
        <f>Taxepunkter!K245</f>
        <v/>
      </c>
      <c r="L238" s="6">
        <f>Taxepunkter!L245</f>
        <v/>
      </c>
    </row>
    <row r="239">
      <c r="A239" s="5">
        <f>Taxepunkter!A246</f>
        <v/>
      </c>
      <c r="B239" s="4">
        <f>Taxepunkter!B246</f>
        <v/>
      </c>
      <c r="C239" s="4">
        <f>Taxepunkter!C246</f>
        <v/>
      </c>
      <c r="D239" s="4">
        <f>Taxepunkter!D246</f>
        <v/>
      </c>
      <c r="E239" s="4">
        <f>Taxepunkter!E246</f>
        <v/>
      </c>
      <c r="F239" s="4">
        <f>Taxepunkter!F246</f>
        <v/>
      </c>
      <c r="G239" s="4">
        <f>Taxepunkter!G246</f>
        <v/>
      </c>
      <c r="H239" s="4">
        <f>Taxepunkter!H246</f>
        <v/>
      </c>
      <c r="I239" s="4">
        <f>Taxepunkter!I246</f>
        <v/>
      </c>
      <c r="J239" s="4">
        <f>Taxepunkter!J246</f>
        <v/>
      </c>
      <c r="K239" s="4">
        <f>Taxepunkter!K246</f>
        <v/>
      </c>
      <c r="L239" s="6">
        <f>Taxepunkter!L246</f>
        <v/>
      </c>
    </row>
    <row r="240">
      <c r="A240" s="5">
        <f>Taxepunkter!A247</f>
        <v/>
      </c>
      <c r="B240" s="4">
        <f>Taxepunkter!B247</f>
        <v/>
      </c>
      <c r="C240" s="4">
        <f>Taxepunkter!C247</f>
        <v/>
      </c>
      <c r="D240" s="4">
        <f>Taxepunkter!D247</f>
        <v/>
      </c>
      <c r="E240" s="4">
        <f>Taxepunkter!E247</f>
        <v/>
      </c>
      <c r="F240" s="4">
        <f>Taxepunkter!F247</f>
        <v/>
      </c>
      <c r="G240" s="4">
        <f>Taxepunkter!G247</f>
        <v/>
      </c>
      <c r="H240" s="4">
        <f>Taxepunkter!H247</f>
        <v/>
      </c>
      <c r="I240" s="4">
        <f>Taxepunkter!I247</f>
        <v/>
      </c>
      <c r="J240" s="4">
        <f>Taxepunkter!J247</f>
        <v/>
      </c>
      <c r="K240" s="4">
        <f>Taxepunkter!K247</f>
        <v/>
      </c>
      <c r="L240" s="6">
        <f>Taxepunkter!L247</f>
        <v/>
      </c>
    </row>
    <row r="241">
      <c r="A241" s="5">
        <f>Taxepunkter!A248</f>
        <v/>
      </c>
      <c r="B241" s="4">
        <f>Taxepunkter!B248</f>
        <v/>
      </c>
      <c r="C241" s="4">
        <f>Taxepunkter!C248</f>
        <v/>
      </c>
      <c r="D241" s="4">
        <f>Taxepunkter!D248</f>
        <v/>
      </c>
      <c r="E241" s="4">
        <f>Taxepunkter!E248</f>
        <v/>
      </c>
      <c r="F241" s="4">
        <f>Taxepunkter!F248</f>
        <v/>
      </c>
      <c r="G241" s="4">
        <f>Taxepunkter!G248</f>
        <v/>
      </c>
      <c r="H241" s="4">
        <f>Taxepunkter!H248</f>
        <v/>
      </c>
      <c r="I241" s="4">
        <f>Taxepunkter!I248</f>
        <v/>
      </c>
      <c r="J241" s="4">
        <f>Taxepunkter!J248</f>
        <v/>
      </c>
      <c r="K241" s="4">
        <f>Taxepunkter!K248</f>
        <v/>
      </c>
      <c r="L241" s="6">
        <f>Taxepunkter!L248</f>
        <v/>
      </c>
    </row>
    <row r="242">
      <c r="A242" s="5">
        <f>Taxepunkter!A249</f>
        <v/>
      </c>
      <c r="B242" s="4">
        <f>Taxepunkter!B249</f>
        <v/>
      </c>
      <c r="C242" s="4">
        <f>Taxepunkter!C249</f>
        <v/>
      </c>
      <c r="D242" s="4">
        <f>Taxepunkter!D249</f>
        <v/>
      </c>
      <c r="E242" s="4">
        <f>Taxepunkter!E249</f>
        <v/>
      </c>
      <c r="F242" s="4">
        <f>Taxepunkter!F249</f>
        <v/>
      </c>
      <c r="G242" s="4">
        <f>Taxepunkter!G249</f>
        <v/>
      </c>
      <c r="H242" s="4">
        <f>Taxepunkter!H249</f>
        <v/>
      </c>
      <c r="I242" s="4">
        <f>Taxepunkter!I249</f>
        <v/>
      </c>
      <c r="J242" s="4">
        <f>Taxepunkter!J249</f>
        <v/>
      </c>
      <c r="K242" s="4">
        <f>Taxepunkter!K249</f>
        <v/>
      </c>
      <c r="L242" s="6">
        <f>Taxepunkter!L249</f>
        <v/>
      </c>
    </row>
    <row r="243">
      <c r="A243" s="5">
        <f>Taxepunkter!A250</f>
        <v/>
      </c>
      <c r="B243" s="4">
        <f>Taxepunkter!B250</f>
        <v/>
      </c>
      <c r="C243" s="4">
        <f>Taxepunkter!C250</f>
        <v/>
      </c>
      <c r="D243" s="4">
        <f>Taxepunkter!D250</f>
        <v/>
      </c>
      <c r="E243" s="4">
        <f>Taxepunkter!E250</f>
        <v/>
      </c>
      <c r="F243" s="4">
        <f>Taxepunkter!F250</f>
        <v/>
      </c>
      <c r="G243" s="4">
        <f>Taxepunkter!G250</f>
        <v/>
      </c>
      <c r="H243" s="4">
        <f>Taxepunkter!H250</f>
        <v/>
      </c>
      <c r="I243" s="4">
        <f>Taxepunkter!I250</f>
        <v/>
      </c>
      <c r="J243" s="4">
        <f>Taxepunkter!J250</f>
        <v/>
      </c>
      <c r="K243" s="4">
        <f>Taxepunkter!K250</f>
        <v/>
      </c>
      <c r="L243" s="6">
        <f>Taxepunkter!L250</f>
        <v/>
      </c>
    </row>
    <row r="244">
      <c r="A244" s="5">
        <f>Taxepunkter!A251</f>
        <v/>
      </c>
      <c r="B244" s="4">
        <f>Taxepunkter!B251</f>
        <v/>
      </c>
      <c r="C244" s="4">
        <f>Taxepunkter!C251</f>
        <v/>
      </c>
      <c r="D244" s="4">
        <f>Taxepunkter!D251</f>
        <v/>
      </c>
      <c r="E244" s="4">
        <f>Taxepunkter!E251</f>
        <v/>
      </c>
      <c r="F244" s="4">
        <f>Taxepunkter!F251</f>
        <v/>
      </c>
      <c r="G244" s="4">
        <f>Taxepunkter!G251</f>
        <v/>
      </c>
      <c r="H244" s="4">
        <f>Taxepunkter!H251</f>
        <v/>
      </c>
      <c r="I244" s="4">
        <f>Taxepunkter!I251</f>
        <v/>
      </c>
      <c r="J244" s="4">
        <f>Taxepunkter!J251</f>
        <v/>
      </c>
      <c r="K244" s="4">
        <f>Taxepunkter!K251</f>
        <v/>
      </c>
      <c r="L244" s="6">
        <f>Taxepunkter!L251</f>
        <v/>
      </c>
    </row>
    <row r="245">
      <c r="A245" s="5">
        <f>Taxepunkter!A252</f>
        <v/>
      </c>
      <c r="B245" s="4">
        <f>Taxepunkter!B252</f>
        <v/>
      </c>
      <c r="C245" s="4">
        <f>Taxepunkter!C252</f>
        <v/>
      </c>
      <c r="D245" s="4">
        <f>Taxepunkter!D252</f>
        <v/>
      </c>
      <c r="E245" s="4">
        <f>Taxepunkter!E252</f>
        <v/>
      </c>
      <c r="F245" s="4">
        <f>Taxepunkter!F252</f>
        <v/>
      </c>
      <c r="G245" s="4">
        <f>Taxepunkter!G252</f>
        <v/>
      </c>
      <c r="H245" s="4">
        <f>Taxepunkter!H252</f>
        <v/>
      </c>
      <c r="I245" s="4">
        <f>Taxepunkter!I252</f>
        <v/>
      </c>
      <c r="J245" s="4">
        <f>Taxepunkter!J252</f>
        <v/>
      </c>
      <c r="K245" s="4">
        <f>Taxepunkter!K252</f>
        <v/>
      </c>
      <c r="L245" s="6">
        <f>Taxepunkter!L252</f>
        <v/>
      </c>
    </row>
    <row r="246">
      <c r="A246" s="5">
        <f>Taxepunkter!A253</f>
        <v/>
      </c>
      <c r="B246" s="4">
        <f>Taxepunkter!B253</f>
        <v/>
      </c>
      <c r="C246" s="4">
        <f>Taxepunkter!C253</f>
        <v/>
      </c>
      <c r="D246" s="4">
        <f>Taxepunkter!D253</f>
        <v/>
      </c>
      <c r="E246" s="4">
        <f>Taxepunkter!E253</f>
        <v/>
      </c>
      <c r="F246" s="4">
        <f>Taxepunkter!F253</f>
        <v/>
      </c>
      <c r="G246" s="4">
        <f>Taxepunkter!G253</f>
        <v/>
      </c>
      <c r="H246" s="4">
        <f>Taxepunkter!H253</f>
        <v/>
      </c>
      <c r="I246" s="4">
        <f>Taxepunkter!I253</f>
        <v/>
      </c>
      <c r="J246" s="4">
        <f>Taxepunkter!J253</f>
        <v/>
      </c>
      <c r="K246" s="4">
        <f>Taxepunkter!K253</f>
        <v/>
      </c>
      <c r="L246" s="6">
        <f>Taxepunkter!L253</f>
        <v/>
      </c>
    </row>
    <row r="247">
      <c r="A247" s="5">
        <f>Taxepunkter!A254</f>
        <v/>
      </c>
      <c r="B247" s="4">
        <f>Taxepunkter!B254</f>
        <v/>
      </c>
      <c r="C247" s="4">
        <f>Taxepunkter!C254</f>
        <v/>
      </c>
      <c r="D247" s="4">
        <f>Taxepunkter!D254</f>
        <v/>
      </c>
      <c r="E247" s="4">
        <f>Taxepunkter!E254</f>
        <v/>
      </c>
      <c r="F247" s="4">
        <f>Taxepunkter!F254</f>
        <v/>
      </c>
      <c r="G247" s="4">
        <f>Taxepunkter!G254</f>
        <v/>
      </c>
      <c r="H247" s="4">
        <f>Taxepunkter!H254</f>
        <v/>
      </c>
      <c r="I247" s="4">
        <f>Taxepunkter!I254</f>
        <v/>
      </c>
      <c r="J247" s="4">
        <f>Taxepunkter!J254</f>
        <v/>
      </c>
      <c r="K247" s="4">
        <f>Taxepunkter!K254</f>
        <v/>
      </c>
      <c r="L247" s="6">
        <f>Taxepunkter!L254</f>
        <v/>
      </c>
    </row>
    <row r="248">
      <c r="A248" s="5">
        <f>Taxepunkter!A255</f>
        <v/>
      </c>
      <c r="B248" s="4">
        <f>Taxepunkter!B255</f>
        <v/>
      </c>
      <c r="C248" s="4">
        <f>Taxepunkter!C255</f>
        <v/>
      </c>
      <c r="D248" s="4">
        <f>Taxepunkter!D255</f>
        <v/>
      </c>
      <c r="E248" s="4">
        <f>Taxepunkter!E255</f>
        <v/>
      </c>
      <c r="F248" s="4">
        <f>Taxepunkter!F255</f>
        <v/>
      </c>
      <c r="G248" s="4">
        <f>Taxepunkter!G255</f>
        <v/>
      </c>
      <c r="H248" s="4">
        <f>Taxepunkter!H255</f>
        <v/>
      </c>
      <c r="I248" s="4">
        <f>Taxepunkter!I255</f>
        <v/>
      </c>
      <c r="J248" s="4">
        <f>Taxepunkter!J255</f>
        <v/>
      </c>
      <c r="K248" s="4">
        <f>Taxepunkter!K255</f>
        <v/>
      </c>
      <c r="L248" s="6">
        <f>Taxepunkter!L255</f>
        <v/>
      </c>
    </row>
    <row r="249">
      <c r="A249" s="5">
        <f>Taxepunkter!A256</f>
        <v/>
      </c>
      <c r="B249" s="4">
        <f>Taxepunkter!B256</f>
        <v/>
      </c>
      <c r="C249" s="4">
        <f>Taxepunkter!C256</f>
        <v/>
      </c>
      <c r="D249" s="4">
        <f>Taxepunkter!D256</f>
        <v/>
      </c>
      <c r="E249" s="4">
        <f>Taxepunkter!E256</f>
        <v/>
      </c>
      <c r="F249" s="4">
        <f>Taxepunkter!F256</f>
        <v/>
      </c>
      <c r="G249" s="4">
        <f>Taxepunkter!G256</f>
        <v/>
      </c>
      <c r="H249" s="4">
        <f>Taxepunkter!H256</f>
        <v/>
      </c>
      <c r="I249" s="4">
        <f>Taxepunkter!I256</f>
        <v/>
      </c>
      <c r="J249" s="4">
        <f>Taxepunkter!J256</f>
        <v/>
      </c>
      <c r="K249" s="4">
        <f>Taxepunkter!K256</f>
        <v/>
      </c>
      <c r="L249" s="6">
        <f>Taxepunkter!L256</f>
        <v/>
      </c>
    </row>
    <row r="250">
      <c r="A250" s="5">
        <f>Taxepunkter!A257</f>
        <v/>
      </c>
      <c r="B250" s="4">
        <f>Taxepunkter!B257</f>
        <v/>
      </c>
      <c r="C250" s="4">
        <f>Taxepunkter!C257</f>
        <v/>
      </c>
      <c r="D250" s="4">
        <f>Taxepunkter!D257</f>
        <v/>
      </c>
      <c r="E250" s="4">
        <f>Taxepunkter!E257</f>
        <v/>
      </c>
      <c r="F250" s="4">
        <f>Taxepunkter!F257</f>
        <v/>
      </c>
      <c r="G250" s="4">
        <f>Taxepunkter!G257</f>
        <v/>
      </c>
      <c r="H250" s="4">
        <f>Taxepunkter!H257</f>
        <v/>
      </c>
      <c r="I250" s="4">
        <f>Taxepunkter!I257</f>
        <v/>
      </c>
      <c r="J250" s="4">
        <f>Taxepunkter!J257</f>
        <v/>
      </c>
      <c r="K250" s="4">
        <f>Taxepunkter!K257</f>
        <v/>
      </c>
      <c r="L250" s="6">
        <f>Taxepunkter!L257</f>
        <v/>
      </c>
    </row>
    <row r="251">
      <c r="A251" s="5">
        <f>Taxepunkter!A258</f>
        <v/>
      </c>
      <c r="B251" s="4">
        <f>Taxepunkter!B258</f>
        <v/>
      </c>
      <c r="C251" s="4">
        <f>Taxepunkter!C258</f>
        <v/>
      </c>
      <c r="D251" s="4">
        <f>Taxepunkter!D258</f>
        <v/>
      </c>
      <c r="E251" s="4">
        <f>Taxepunkter!E258</f>
        <v/>
      </c>
      <c r="F251" s="4">
        <f>Taxepunkter!F258</f>
        <v/>
      </c>
      <c r="G251" s="4">
        <f>Taxepunkter!G258</f>
        <v/>
      </c>
      <c r="H251" s="4">
        <f>Taxepunkter!H258</f>
        <v/>
      </c>
      <c r="I251" s="4">
        <f>Taxepunkter!I258</f>
        <v/>
      </c>
      <c r="J251" s="4">
        <f>Taxepunkter!J258</f>
        <v/>
      </c>
      <c r="K251" s="4">
        <f>Taxepunkter!K258</f>
        <v/>
      </c>
      <c r="L251" s="6">
        <f>Taxepunkter!L258</f>
        <v/>
      </c>
    </row>
    <row r="252">
      <c r="A252" s="5">
        <f>Taxepunkter!A259</f>
        <v/>
      </c>
      <c r="B252" s="4">
        <f>Taxepunkter!B259</f>
        <v/>
      </c>
      <c r="C252" s="4">
        <f>Taxepunkter!C259</f>
        <v/>
      </c>
      <c r="D252" s="4">
        <f>Taxepunkter!D259</f>
        <v/>
      </c>
      <c r="E252" s="4">
        <f>Taxepunkter!E259</f>
        <v/>
      </c>
      <c r="F252" s="4">
        <f>Taxepunkter!F259</f>
        <v/>
      </c>
      <c r="G252" s="4">
        <f>Taxepunkter!G259</f>
        <v/>
      </c>
      <c r="H252" s="4">
        <f>Taxepunkter!H259</f>
        <v/>
      </c>
      <c r="I252" s="4">
        <f>Taxepunkter!I259</f>
        <v/>
      </c>
      <c r="J252" s="4">
        <f>Taxepunkter!J259</f>
        <v/>
      </c>
      <c r="K252" s="4">
        <f>Taxepunkter!K259</f>
        <v/>
      </c>
      <c r="L252" s="6">
        <f>Taxepunkter!L259</f>
        <v/>
      </c>
    </row>
    <row r="253">
      <c r="A253" s="5">
        <f>Taxepunkter!A260</f>
        <v/>
      </c>
      <c r="B253" s="4">
        <f>Taxepunkter!B260</f>
        <v/>
      </c>
      <c r="C253" s="4">
        <f>Taxepunkter!C260</f>
        <v/>
      </c>
      <c r="D253" s="4">
        <f>Taxepunkter!D260</f>
        <v/>
      </c>
      <c r="E253" s="4">
        <f>Taxepunkter!E260</f>
        <v/>
      </c>
      <c r="F253" s="4">
        <f>Taxepunkter!F260</f>
        <v/>
      </c>
      <c r="G253" s="4">
        <f>Taxepunkter!G260</f>
        <v/>
      </c>
      <c r="H253" s="4">
        <f>Taxepunkter!H260</f>
        <v/>
      </c>
      <c r="I253" s="4">
        <f>Taxepunkter!I260</f>
        <v/>
      </c>
      <c r="J253" s="4">
        <f>Taxepunkter!J260</f>
        <v/>
      </c>
      <c r="K253" s="4">
        <f>Taxepunkter!K260</f>
        <v/>
      </c>
      <c r="L253" s="6">
        <f>Taxepunkter!L260</f>
        <v/>
      </c>
    </row>
    <row r="254">
      <c r="A254" s="5">
        <f>Taxepunkter!A261</f>
        <v/>
      </c>
      <c r="B254" s="4">
        <f>Taxepunkter!B261</f>
        <v/>
      </c>
      <c r="C254" s="4">
        <f>Taxepunkter!C261</f>
        <v/>
      </c>
      <c r="D254" s="4">
        <f>Taxepunkter!D261</f>
        <v/>
      </c>
      <c r="E254" s="4">
        <f>Taxepunkter!E261</f>
        <v/>
      </c>
      <c r="F254" s="4">
        <f>Taxepunkter!F261</f>
        <v/>
      </c>
      <c r="G254" s="4">
        <f>Taxepunkter!G261</f>
        <v/>
      </c>
      <c r="H254" s="4">
        <f>Taxepunkter!H261</f>
        <v/>
      </c>
      <c r="I254" s="4">
        <f>Taxepunkter!I261</f>
        <v/>
      </c>
      <c r="J254" s="4">
        <f>Taxepunkter!J261</f>
        <v/>
      </c>
      <c r="K254" s="4">
        <f>Taxepunkter!K261</f>
        <v/>
      </c>
      <c r="L254" s="6">
        <f>Taxepunkter!L261</f>
        <v/>
      </c>
    </row>
    <row r="255">
      <c r="A255" s="5">
        <f>Taxepunkter!A262</f>
        <v/>
      </c>
      <c r="B255" s="4">
        <f>Taxepunkter!B262</f>
        <v/>
      </c>
      <c r="C255" s="4">
        <f>Taxepunkter!C262</f>
        <v/>
      </c>
      <c r="D255" s="4">
        <f>Taxepunkter!D262</f>
        <v/>
      </c>
      <c r="E255" s="4">
        <f>Taxepunkter!E262</f>
        <v/>
      </c>
      <c r="F255" s="4">
        <f>Taxepunkter!F262</f>
        <v/>
      </c>
      <c r="G255" s="4">
        <f>Taxepunkter!G262</f>
        <v/>
      </c>
      <c r="H255" s="4">
        <f>Taxepunkter!H262</f>
        <v/>
      </c>
      <c r="I255" s="4">
        <f>Taxepunkter!I262</f>
        <v/>
      </c>
      <c r="J255" s="4">
        <f>Taxepunkter!J262</f>
        <v/>
      </c>
      <c r="K255" s="4">
        <f>Taxepunkter!K262</f>
        <v/>
      </c>
      <c r="L255" s="6">
        <f>Taxepunkter!L262</f>
        <v/>
      </c>
    </row>
    <row r="256">
      <c r="A256" s="5">
        <f>Taxepunkter!A263</f>
        <v/>
      </c>
      <c r="B256" s="4">
        <f>Taxepunkter!B263</f>
        <v/>
      </c>
      <c r="C256" s="4">
        <f>Taxepunkter!C263</f>
        <v/>
      </c>
      <c r="D256" s="4">
        <f>Taxepunkter!D263</f>
        <v/>
      </c>
      <c r="E256" s="4">
        <f>Taxepunkter!E263</f>
        <v/>
      </c>
      <c r="F256" s="4">
        <f>Taxepunkter!F263</f>
        <v/>
      </c>
      <c r="G256" s="4">
        <f>Taxepunkter!G263</f>
        <v/>
      </c>
      <c r="H256" s="4">
        <f>Taxepunkter!H263</f>
        <v/>
      </c>
      <c r="I256" s="4">
        <f>Taxepunkter!I263</f>
        <v/>
      </c>
      <c r="J256" s="4">
        <f>Taxepunkter!J263</f>
        <v/>
      </c>
      <c r="K256" s="4">
        <f>Taxepunkter!K263</f>
        <v/>
      </c>
      <c r="L256" s="6">
        <f>Taxepunkter!L263</f>
        <v/>
      </c>
    </row>
    <row r="257">
      <c r="A257" s="5">
        <f>Taxepunkter!A264</f>
        <v/>
      </c>
      <c r="B257" s="4">
        <f>Taxepunkter!B264</f>
        <v/>
      </c>
      <c r="C257" s="4">
        <f>Taxepunkter!C264</f>
        <v/>
      </c>
      <c r="D257" s="4">
        <f>Taxepunkter!D264</f>
        <v/>
      </c>
      <c r="E257" s="4">
        <f>Taxepunkter!E264</f>
        <v/>
      </c>
      <c r="F257" s="4">
        <f>Taxepunkter!F264</f>
        <v/>
      </c>
      <c r="G257" s="4">
        <f>Taxepunkter!G264</f>
        <v/>
      </c>
      <c r="H257" s="4">
        <f>Taxepunkter!H264</f>
        <v/>
      </c>
      <c r="I257" s="4">
        <f>Taxepunkter!I264</f>
        <v/>
      </c>
      <c r="J257" s="4">
        <f>Taxepunkter!J264</f>
        <v/>
      </c>
      <c r="K257" s="4">
        <f>Taxepunkter!K264</f>
        <v/>
      </c>
      <c r="L257" s="6">
        <f>Taxepunkter!L264</f>
        <v/>
      </c>
    </row>
    <row r="258">
      <c r="A258" s="5">
        <f>Taxepunkter!A265</f>
        <v/>
      </c>
      <c r="B258" s="4">
        <f>Taxepunkter!B265</f>
        <v/>
      </c>
      <c r="C258" s="4">
        <f>Taxepunkter!C265</f>
        <v/>
      </c>
      <c r="D258" s="4">
        <f>Taxepunkter!D265</f>
        <v/>
      </c>
      <c r="E258" s="4">
        <f>Taxepunkter!E265</f>
        <v/>
      </c>
      <c r="F258" s="4">
        <f>Taxepunkter!F265</f>
        <v/>
      </c>
      <c r="G258" s="4">
        <f>Taxepunkter!G265</f>
        <v/>
      </c>
      <c r="H258" s="4">
        <f>Taxepunkter!H265</f>
        <v/>
      </c>
      <c r="I258" s="4">
        <f>Taxepunkter!I265</f>
        <v/>
      </c>
      <c r="J258" s="4">
        <f>Taxepunkter!J265</f>
        <v/>
      </c>
      <c r="K258" s="4">
        <f>Taxepunkter!K265</f>
        <v/>
      </c>
      <c r="L258" s="6">
        <f>Taxepunkter!L265</f>
        <v/>
      </c>
    </row>
    <row r="259">
      <c r="A259" s="5">
        <f>Taxepunkter!A266</f>
        <v/>
      </c>
      <c r="B259" s="4">
        <f>Taxepunkter!B266</f>
        <v/>
      </c>
      <c r="C259" s="4">
        <f>Taxepunkter!C266</f>
        <v/>
      </c>
      <c r="D259" s="4">
        <f>Taxepunkter!D266</f>
        <v/>
      </c>
      <c r="E259" s="4">
        <f>Taxepunkter!E266</f>
        <v/>
      </c>
      <c r="F259" s="4">
        <f>Taxepunkter!F266</f>
        <v/>
      </c>
      <c r="G259" s="4">
        <f>Taxepunkter!G266</f>
        <v/>
      </c>
      <c r="H259" s="4">
        <f>Taxepunkter!H266</f>
        <v/>
      </c>
      <c r="I259" s="4">
        <f>Taxepunkter!I266</f>
        <v/>
      </c>
      <c r="J259" s="4">
        <f>Taxepunkter!J266</f>
        <v/>
      </c>
      <c r="K259" s="4">
        <f>Taxepunkter!K266</f>
        <v/>
      </c>
      <c r="L259" s="6">
        <f>Taxepunkter!L266</f>
        <v/>
      </c>
    </row>
    <row r="260">
      <c r="A260" s="5">
        <f>Taxepunkter!A267</f>
        <v/>
      </c>
      <c r="B260" s="4">
        <f>Taxepunkter!B267</f>
        <v/>
      </c>
      <c r="C260" s="4">
        <f>Taxepunkter!C267</f>
        <v/>
      </c>
      <c r="D260" s="4">
        <f>Taxepunkter!D267</f>
        <v/>
      </c>
      <c r="E260" s="4">
        <f>Taxepunkter!E267</f>
        <v/>
      </c>
      <c r="F260" s="4">
        <f>Taxepunkter!F267</f>
        <v/>
      </c>
      <c r="G260" s="4">
        <f>Taxepunkter!G267</f>
        <v/>
      </c>
      <c r="H260" s="4">
        <f>Taxepunkter!H267</f>
        <v/>
      </c>
      <c r="I260" s="4">
        <f>Taxepunkter!I267</f>
        <v/>
      </c>
      <c r="J260" s="4">
        <f>Taxepunkter!J267</f>
        <v/>
      </c>
      <c r="K260" s="4">
        <f>Taxepunkter!K267</f>
        <v/>
      </c>
      <c r="L260" s="6">
        <f>Taxepunkter!L267</f>
        <v/>
      </c>
    </row>
    <row r="261">
      <c r="A261" s="5">
        <f>Taxepunkter!A268</f>
        <v/>
      </c>
      <c r="B261" s="4">
        <f>Taxepunkter!B268</f>
        <v/>
      </c>
      <c r="C261" s="4">
        <f>Taxepunkter!C268</f>
        <v/>
      </c>
      <c r="D261" s="4">
        <f>Taxepunkter!D268</f>
        <v/>
      </c>
      <c r="E261" s="4">
        <f>Taxepunkter!E268</f>
        <v/>
      </c>
      <c r="F261" s="4">
        <f>Taxepunkter!F268</f>
        <v/>
      </c>
      <c r="G261" s="4">
        <f>Taxepunkter!G268</f>
        <v/>
      </c>
      <c r="H261" s="4">
        <f>Taxepunkter!H268</f>
        <v/>
      </c>
      <c r="I261" s="4">
        <f>Taxepunkter!I268</f>
        <v/>
      </c>
      <c r="J261" s="4">
        <f>Taxepunkter!J268</f>
        <v/>
      </c>
      <c r="K261" s="4">
        <f>Taxepunkter!K268</f>
        <v/>
      </c>
      <c r="L261" s="6">
        <f>Taxepunkter!L268</f>
        <v/>
      </c>
    </row>
    <row r="262">
      <c r="A262" s="5">
        <f>Taxepunkter!A269</f>
        <v/>
      </c>
      <c r="B262" s="4">
        <f>Taxepunkter!B269</f>
        <v/>
      </c>
      <c r="C262" s="4">
        <f>Taxepunkter!C269</f>
        <v/>
      </c>
      <c r="D262" s="4">
        <f>Taxepunkter!D269</f>
        <v/>
      </c>
      <c r="E262" s="4">
        <f>Taxepunkter!E269</f>
        <v/>
      </c>
      <c r="F262" s="4">
        <f>Taxepunkter!F269</f>
        <v/>
      </c>
      <c r="G262" s="4">
        <f>Taxepunkter!G269</f>
        <v/>
      </c>
      <c r="H262" s="4">
        <f>Taxepunkter!H269</f>
        <v/>
      </c>
      <c r="I262" s="4">
        <f>Taxepunkter!I269</f>
        <v/>
      </c>
      <c r="J262" s="4">
        <f>Taxepunkter!J269</f>
        <v/>
      </c>
      <c r="K262" s="4">
        <f>Taxepunkter!K269</f>
        <v/>
      </c>
      <c r="L262" s="6">
        <f>Taxepunkter!L269</f>
        <v/>
      </c>
    </row>
    <row r="263">
      <c r="A263" s="5">
        <f>Taxepunkter!A270</f>
        <v/>
      </c>
      <c r="B263" s="4">
        <f>Taxepunkter!B270</f>
        <v/>
      </c>
      <c r="C263" s="4">
        <f>Taxepunkter!C270</f>
        <v/>
      </c>
      <c r="D263" s="4">
        <f>Taxepunkter!D270</f>
        <v/>
      </c>
      <c r="E263" s="4">
        <f>Taxepunkter!E270</f>
        <v/>
      </c>
      <c r="F263" s="4">
        <f>Taxepunkter!F270</f>
        <v/>
      </c>
      <c r="G263" s="4">
        <f>Taxepunkter!G270</f>
        <v/>
      </c>
      <c r="H263" s="4">
        <f>Taxepunkter!H270</f>
        <v/>
      </c>
      <c r="I263" s="4">
        <f>Taxepunkter!I270</f>
        <v/>
      </c>
      <c r="J263" s="4">
        <f>Taxepunkter!J270</f>
        <v/>
      </c>
      <c r="K263" s="4">
        <f>Taxepunkter!K270</f>
        <v/>
      </c>
      <c r="L263" s="6">
        <f>Taxepunkter!L270</f>
        <v/>
      </c>
    </row>
    <row r="264">
      <c r="A264" s="5">
        <f>Taxepunkter!A271</f>
        <v/>
      </c>
      <c r="B264" s="4">
        <f>Taxepunkter!B271</f>
        <v/>
      </c>
      <c r="C264" s="4">
        <f>Taxepunkter!C271</f>
        <v/>
      </c>
      <c r="D264" s="4">
        <f>Taxepunkter!D271</f>
        <v/>
      </c>
      <c r="E264" s="4">
        <f>Taxepunkter!E271</f>
        <v/>
      </c>
      <c r="F264" s="4">
        <f>Taxepunkter!F271</f>
        <v/>
      </c>
      <c r="G264" s="4">
        <f>Taxepunkter!G271</f>
        <v/>
      </c>
      <c r="H264" s="4">
        <f>Taxepunkter!H271</f>
        <v/>
      </c>
      <c r="I264" s="4">
        <f>Taxepunkter!I271</f>
        <v/>
      </c>
      <c r="J264" s="4">
        <f>Taxepunkter!J271</f>
        <v/>
      </c>
      <c r="K264" s="4">
        <f>Taxepunkter!K271</f>
        <v/>
      </c>
      <c r="L264" s="6">
        <f>Taxepunkter!L271</f>
        <v/>
      </c>
    </row>
    <row r="265">
      <c r="A265" s="5">
        <f>Taxepunkter!A272</f>
        <v/>
      </c>
      <c r="B265" s="4">
        <f>Taxepunkter!B272</f>
        <v/>
      </c>
      <c r="C265" s="4">
        <f>Taxepunkter!C272</f>
        <v/>
      </c>
      <c r="D265" s="4">
        <f>Taxepunkter!D272</f>
        <v/>
      </c>
      <c r="E265" s="4">
        <f>Taxepunkter!E272</f>
        <v/>
      </c>
      <c r="F265" s="4">
        <f>Taxepunkter!F272</f>
        <v/>
      </c>
      <c r="G265" s="4">
        <f>Taxepunkter!G272</f>
        <v/>
      </c>
      <c r="H265" s="4">
        <f>Taxepunkter!H272</f>
        <v/>
      </c>
      <c r="I265" s="4">
        <f>Taxepunkter!I272</f>
        <v/>
      </c>
      <c r="J265" s="4">
        <f>Taxepunkter!J272</f>
        <v/>
      </c>
      <c r="K265" s="4">
        <f>Taxepunkter!K272</f>
        <v/>
      </c>
      <c r="L265" s="6">
        <f>Taxepunkter!L272</f>
        <v/>
      </c>
    </row>
    <row r="266">
      <c r="A266" s="5">
        <f>Taxepunkter!A273</f>
        <v/>
      </c>
      <c r="B266" s="4">
        <f>Taxepunkter!B273</f>
        <v/>
      </c>
      <c r="C266" s="4">
        <f>Taxepunkter!C273</f>
        <v/>
      </c>
      <c r="D266" s="4">
        <f>Taxepunkter!D273</f>
        <v/>
      </c>
      <c r="E266" s="4">
        <f>Taxepunkter!E273</f>
        <v/>
      </c>
      <c r="F266" s="4">
        <f>Taxepunkter!F273</f>
        <v/>
      </c>
      <c r="G266" s="4">
        <f>Taxepunkter!G273</f>
        <v/>
      </c>
      <c r="H266" s="4">
        <f>Taxepunkter!H273</f>
        <v/>
      </c>
      <c r="I266" s="4">
        <f>Taxepunkter!I273</f>
        <v/>
      </c>
      <c r="J266" s="4">
        <f>Taxepunkter!J273</f>
        <v/>
      </c>
      <c r="K266" s="4">
        <f>Taxepunkter!K273</f>
        <v/>
      </c>
      <c r="L266" s="6">
        <f>Taxepunkter!L273</f>
        <v/>
      </c>
    </row>
    <row r="267">
      <c r="A267" s="5">
        <f>Taxepunkter!A274</f>
        <v/>
      </c>
      <c r="B267" s="4">
        <f>Taxepunkter!B274</f>
        <v/>
      </c>
      <c r="C267" s="4">
        <f>Taxepunkter!C274</f>
        <v/>
      </c>
      <c r="D267" s="4">
        <f>Taxepunkter!D274</f>
        <v/>
      </c>
      <c r="E267" s="4">
        <f>Taxepunkter!E274</f>
        <v/>
      </c>
      <c r="F267" s="4">
        <f>Taxepunkter!F274</f>
        <v/>
      </c>
      <c r="G267" s="4">
        <f>Taxepunkter!G274</f>
        <v/>
      </c>
      <c r="H267" s="4">
        <f>Taxepunkter!H274</f>
        <v/>
      </c>
      <c r="I267" s="4">
        <f>Taxepunkter!I274</f>
        <v/>
      </c>
      <c r="J267" s="4">
        <f>Taxepunkter!J274</f>
        <v/>
      </c>
      <c r="K267" s="4">
        <f>Taxepunkter!K274</f>
        <v/>
      </c>
      <c r="L267" s="6">
        <f>Taxepunkter!L274</f>
        <v/>
      </c>
    </row>
    <row r="268">
      <c r="A268" s="5">
        <f>Taxepunkter!A275</f>
        <v/>
      </c>
      <c r="B268" s="4">
        <f>Taxepunkter!B275</f>
        <v/>
      </c>
      <c r="C268" s="4">
        <f>Taxepunkter!C275</f>
        <v/>
      </c>
      <c r="D268" s="4">
        <f>Taxepunkter!D275</f>
        <v/>
      </c>
      <c r="E268" s="4">
        <f>Taxepunkter!E275</f>
        <v/>
      </c>
      <c r="F268" s="4">
        <f>Taxepunkter!F275</f>
        <v/>
      </c>
      <c r="G268" s="4">
        <f>Taxepunkter!G275</f>
        <v/>
      </c>
      <c r="H268" s="4">
        <f>Taxepunkter!H275</f>
        <v/>
      </c>
      <c r="I268" s="4">
        <f>Taxepunkter!I275</f>
        <v/>
      </c>
      <c r="J268" s="4">
        <f>Taxepunkter!J275</f>
        <v/>
      </c>
      <c r="K268" s="4">
        <f>Taxepunkter!K275</f>
        <v/>
      </c>
      <c r="L268" s="6">
        <f>Taxepunkter!L275</f>
        <v/>
      </c>
    </row>
    <row r="269">
      <c r="A269" s="5">
        <f>Taxepunkter!A276</f>
        <v/>
      </c>
      <c r="B269" s="4">
        <f>Taxepunkter!B276</f>
        <v/>
      </c>
      <c r="C269" s="4">
        <f>Taxepunkter!C276</f>
        <v/>
      </c>
      <c r="D269" s="4">
        <f>Taxepunkter!D276</f>
        <v/>
      </c>
      <c r="E269" s="4">
        <f>Taxepunkter!E276</f>
        <v/>
      </c>
      <c r="F269" s="4">
        <f>Taxepunkter!F276</f>
        <v/>
      </c>
      <c r="G269" s="4">
        <f>Taxepunkter!G276</f>
        <v/>
      </c>
      <c r="H269" s="4">
        <f>Taxepunkter!H276</f>
        <v/>
      </c>
      <c r="I269" s="4">
        <f>Taxepunkter!I276</f>
        <v/>
      </c>
      <c r="J269" s="4">
        <f>Taxepunkter!J276</f>
        <v/>
      </c>
      <c r="K269" s="4">
        <f>Taxepunkter!K276</f>
        <v/>
      </c>
      <c r="L269" s="6">
        <f>Taxepunkter!L276</f>
        <v/>
      </c>
    </row>
    <row r="270">
      <c r="A270" s="5">
        <f>Taxepunkter!A277</f>
        <v/>
      </c>
      <c r="B270" s="4">
        <f>Taxepunkter!B277</f>
        <v/>
      </c>
      <c r="C270" s="4">
        <f>Taxepunkter!C277</f>
        <v/>
      </c>
      <c r="D270" s="4">
        <f>Taxepunkter!D277</f>
        <v/>
      </c>
      <c r="E270" s="4">
        <f>Taxepunkter!E277</f>
        <v/>
      </c>
      <c r="F270" s="4">
        <f>Taxepunkter!F277</f>
        <v/>
      </c>
      <c r="G270" s="4">
        <f>Taxepunkter!G277</f>
        <v/>
      </c>
      <c r="H270" s="4">
        <f>Taxepunkter!H277</f>
        <v/>
      </c>
      <c r="I270" s="4">
        <f>Taxepunkter!I277</f>
        <v/>
      </c>
      <c r="J270" s="4">
        <f>Taxepunkter!J277</f>
        <v/>
      </c>
      <c r="K270" s="4">
        <f>Taxepunkter!K277</f>
        <v/>
      </c>
      <c r="L270" s="6">
        <f>Taxepunkter!L277</f>
        <v/>
      </c>
    </row>
    <row r="271">
      <c r="A271" s="5">
        <f>Taxepunkter!A278</f>
        <v/>
      </c>
      <c r="B271" s="4">
        <f>Taxepunkter!B278</f>
        <v/>
      </c>
      <c r="C271" s="4">
        <f>Taxepunkter!C278</f>
        <v/>
      </c>
      <c r="D271" s="4">
        <f>Taxepunkter!D278</f>
        <v/>
      </c>
      <c r="E271" s="4">
        <f>Taxepunkter!E278</f>
        <v/>
      </c>
      <c r="F271" s="4">
        <f>Taxepunkter!F278</f>
        <v/>
      </c>
      <c r="G271" s="4">
        <f>Taxepunkter!G278</f>
        <v/>
      </c>
      <c r="H271" s="4">
        <f>Taxepunkter!H278</f>
        <v/>
      </c>
      <c r="I271" s="4">
        <f>Taxepunkter!I278</f>
        <v/>
      </c>
      <c r="J271" s="4">
        <f>Taxepunkter!J278</f>
        <v/>
      </c>
      <c r="K271" s="4">
        <f>Taxepunkter!K278</f>
        <v/>
      </c>
      <c r="L271" s="6">
        <f>Taxepunkter!L278</f>
        <v/>
      </c>
    </row>
    <row r="272">
      <c r="A272" s="5">
        <f>Taxepunkter!A279</f>
        <v/>
      </c>
      <c r="B272" s="4">
        <f>Taxepunkter!B279</f>
        <v/>
      </c>
      <c r="C272" s="4">
        <f>Taxepunkter!C279</f>
        <v/>
      </c>
      <c r="D272" s="4">
        <f>Taxepunkter!D279</f>
        <v/>
      </c>
      <c r="E272" s="4">
        <f>Taxepunkter!E279</f>
        <v/>
      </c>
      <c r="F272" s="4">
        <f>Taxepunkter!F279</f>
        <v/>
      </c>
      <c r="G272" s="4">
        <f>Taxepunkter!G279</f>
        <v/>
      </c>
      <c r="H272" s="4">
        <f>Taxepunkter!H279</f>
        <v/>
      </c>
      <c r="I272" s="4">
        <f>Taxepunkter!I279</f>
        <v/>
      </c>
      <c r="J272" s="4">
        <f>Taxepunkter!J279</f>
        <v/>
      </c>
      <c r="K272" s="4">
        <f>Taxepunkter!K279</f>
        <v/>
      </c>
      <c r="L272" s="6">
        <f>Taxepunkter!L279</f>
        <v/>
      </c>
    </row>
    <row r="273">
      <c r="A273" s="5">
        <f>Taxepunkter!A280</f>
        <v/>
      </c>
      <c r="B273" s="4">
        <f>Taxepunkter!B280</f>
        <v/>
      </c>
      <c r="C273" s="4">
        <f>Taxepunkter!C280</f>
        <v/>
      </c>
      <c r="D273" s="4">
        <f>Taxepunkter!D280</f>
        <v/>
      </c>
      <c r="E273" s="4">
        <f>Taxepunkter!E280</f>
        <v/>
      </c>
      <c r="F273" s="4">
        <f>Taxepunkter!F280</f>
        <v/>
      </c>
      <c r="G273" s="4">
        <f>Taxepunkter!G280</f>
        <v/>
      </c>
      <c r="H273" s="4">
        <f>Taxepunkter!H280</f>
        <v/>
      </c>
      <c r="I273" s="4">
        <f>Taxepunkter!I280</f>
        <v/>
      </c>
      <c r="J273" s="4">
        <f>Taxepunkter!J280</f>
        <v/>
      </c>
      <c r="K273" s="4">
        <f>Taxepunkter!K280</f>
        <v/>
      </c>
      <c r="L273" s="6">
        <f>Taxepunkter!L280</f>
        <v/>
      </c>
    </row>
    <row r="274">
      <c r="A274" s="5">
        <f>Taxepunkter!A281</f>
        <v/>
      </c>
      <c r="B274" s="4">
        <f>Taxepunkter!B281</f>
        <v/>
      </c>
      <c r="C274" s="4">
        <f>Taxepunkter!C281</f>
        <v/>
      </c>
      <c r="D274" s="4">
        <f>Taxepunkter!D281</f>
        <v/>
      </c>
      <c r="E274" s="4">
        <f>Taxepunkter!E281</f>
        <v/>
      </c>
      <c r="F274" s="4">
        <f>Taxepunkter!F281</f>
        <v/>
      </c>
      <c r="G274" s="4">
        <f>Taxepunkter!G281</f>
        <v/>
      </c>
      <c r="H274" s="4">
        <f>Taxepunkter!H281</f>
        <v/>
      </c>
      <c r="I274" s="4">
        <f>Taxepunkter!I281</f>
        <v/>
      </c>
      <c r="J274" s="4">
        <f>Taxepunkter!J281</f>
        <v/>
      </c>
      <c r="K274" s="4">
        <f>Taxepunkter!K281</f>
        <v/>
      </c>
      <c r="L274" s="6">
        <f>Taxepunkter!L281</f>
        <v/>
      </c>
    </row>
    <row r="275">
      <c r="A275" s="5">
        <f>Taxepunkter!A282</f>
        <v/>
      </c>
      <c r="B275" s="4">
        <f>Taxepunkter!B282</f>
        <v/>
      </c>
      <c r="C275" s="4">
        <f>Taxepunkter!C282</f>
        <v/>
      </c>
      <c r="D275" s="4">
        <f>Taxepunkter!D282</f>
        <v/>
      </c>
      <c r="E275" s="4">
        <f>Taxepunkter!E282</f>
        <v/>
      </c>
      <c r="F275" s="4">
        <f>Taxepunkter!F282</f>
        <v/>
      </c>
      <c r="G275" s="4">
        <f>Taxepunkter!G282</f>
        <v/>
      </c>
      <c r="H275" s="4">
        <f>Taxepunkter!H282</f>
        <v/>
      </c>
      <c r="I275" s="4">
        <f>Taxepunkter!I282</f>
        <v/>
      </c>
      <c r="J275" s="4">
        <f>Taxepunkter!J282</f>
        <v/>
      </c>
      <c r="K275" s="4">
        <f>Taxepunkter!K282</f>
        <v/>
      </c>
      <c r="L275" s="6">
        <f>Taxepunkter!L282</f>
        <v/>
      </c>
    </row>
    <row r="276">
      <c r="A276" s="5">
        <f>Taxepunkter!A283</f>
        <v/>
      </c>
      <c r="B276" s="4">
        <f>Taxepunkter!B283</f>
        <v/>
      </c>
      <c r="C276" s="4">
        <f>Taxepunkter!C283</f>
        <v/>
      </c>
      <c r="D276" s="4">
        <f>Taxepunkter!D283</f>
        <v/>
      </c>
      <c r="E276" s="4">
        <f>Taxepunkter!E283</f>
        <v/>
      </c>
      <c r="F276" s="4">
        <f>Taxepunkter!F283</f>
        <v/>
      </c>
      <c r="G276" s="4">
        <f>Taxepunkter!G283</f>
        <v/>
      </c>
      <c r="H276" s="4">
        <f>Taxepunkter!H283</f>
        <v/>
      </c>
      <c r="I276" s="4">
        <f>Taxepunkter!I283</f>
        <v/>
      </c>
      <c r="J276" s="4">
        <f>Taxepunkter!J283</f>
        <v/>
      </c>
      <c r="K276" s="4">
        <f>Taxepunkter!K283</f>
        <v/>
      </c>
      <c r="L276" s="6">
        <f>Taxepunkter!L283</f>
        <v/>
      </c>
    </row>
    <row r="277">
      <c r="A277" s="5">
        <f>Taxepunkter!A284</f>
        <v/>
      </c>
      <c r="B277" s="4">
        <f>Taxepunkter!B284</f>
        <v/>
      </c>
      <c r="C277" s="4">
        <f>Taxepunkter!C284</f>
        <v/>
      </c>
      <c r="D277" s="4">
        <f>Taxepunkter!D284</f>
        <v/>
      </c>
      <c r="E277" s="4">
        <f>Taxepunkter!E284</f>
        <v/>
      </c>
      <c r="F277" s="4">
        <f>Taxepunkter!F284</f>
        <v/>
      </c>
      <c r="G277" s="4">
        <f>Taxepunkter!G284</f>
        <v/>
      </c>
      <c r="H277" s="4">
        <f>Taxepunkter!H284</f>
        <v/>
      </c>
      <c r="I277" s="4">
        <f>Taxepunkter!I284</f>
        <v/>
      </c>
      <c r="J277" s="4">
        <f>Taxepunkter!J284</f>
        <v/>
      </c>
      <c r="K277" s="4">
        <f>Taxepunkter!K284</f>
        <v/>
      </c>
      <c r="L277" s="6">
        <f>Taxepunkter!L284</f>
        <v/>
      </c>
    </row>
    <row r="278">
      <c r="A278" s="5">
        <f>Taxepunkter!A285</f>
        <v/>
      </c>
      <c r="B278" s="4">
        <f>Taxepunkter!B285</f>
        <v/>
      </c>
      <c r="C278" s="4">
        <f>Taxepunkter!C285</f>
        <v/>
      </c>
      <c r="D278" s="4">
        <f>Taxepunkter!D285</f>
        <v/>
      </c>
      <c r="E278" s="4">
        <f>Taxepunkter!E285</f>
        <v/>
      </c>
      <c r="F278" s="4">
        <f>Taxepunkter!F285</f>
        <v/>
      </c>
      <c r="G278" s="4">
        <f>Taxepunkter!G285</f>
        <v/>
      </c>
      <c r="H278" s="4">
        <f>Taxepunkter!H285</f>
        <v/>
      </c>
      <c r="I278" s="4">
        <f>Taxepunkter!I285</f>
        <v/>
      </c>
      <c r="J278" s="4">
        <f>Taxepunkter!J285</f>
        <v/>
      </c>
      <c r="K278" s="4">
        <f>Taxepunkter!K285</f>
        <v/>
      </c>
      <c r="L278" s="6">
        <f>Taxepunkter!L285</f>
        <v/>
      </c>
    </row>
    <row r="279">
      <c r="A279" s="5">
        <f>Taxepunkter!A286</f>
        <v/>
      </c>
      <c r="B279" s="4">
        <f>Taxepunkter!B286</f>
        <v/>
      </c>
      <c r="C279" s="4">
        <f>Taxepunkter!C286</f>
        <v/>
      </c>
      <c r="D279" s="4">
        <f>Taxepunkter!D286</f>
        <v/>
      </c>
      <c r="E279" s="4">
        <f>Taxepunkter!E286</f>
        <v/>
      </c>
      <c r="F279" s="4">
        <f>Taxepunkter!F286</f>
        <v/>
      </c>
      <c r="G279" s="4">
        <f>Taxepunkter!G286</f>
        <v/>
      </c>
      <c r="H279" s="4">
        <f>Taxepunkter!H286</f>
        <v/>
      </c>
      <c r="I279" s="4">
        <f>Taxepunkter!I286</f>
        <v/>
      </c>
      <c r="J279" s="4">
        <f>Taxepunkter!J286</f>
        <v/>
      </c>
      <c r="K279" s="4">
        <f>Taxepunkter!K286</f>
        <v/>
      </c>
      <c r="L279" s="6">
        <f>Taxepunkter!L286</f>
        <v/>
      </c>
    </row>
    <row r="280">
      <c r="A280" s="5">
        <f>Taxepunkter!A287</f>
        <v/>
      </c>
      <c r="B280" s="4">
        <f>Taxepunkter!B287</f>
        <v/>
      </c>
      <c r="C280" s="4">
        <f>Taxepunkter!C287</f>
        <v/>
      </c>
      <c r="D280" s="4">
        <f>Taxepunkter!D287</f>
        <v/>
      </c>
      <c r="E280" s="4">
        <f>Taxepunkter!E287</f>
        <v/>
      </c>
      <c r="F280" s="4">
        <f>Taxepunkter!F287</f>
        <v/>
      </c>
      <c r="G280" s="4">
        <f>Taxepunkter!G287</f>
        <v/>
      </c>
      <c r="H280" s="4">
        <f>Taxepunkter!H287</f>
        <v/>
      </c>
      <c r="I280" s="4">
        <f>Taxepunkter!I287</f>
        <v/>
      </c>
      <c r="J280" s="4">
        <f>Taxepunkter!J287</f>
        <v/>
      </c>
      <c r="K280" s="4">
        <f>Taxepunkter!K287</f>
        <v/>
      </c>
      <c r="L280" s="6">
        <f>Taxepunkter!L287</f>
        <v/>
      </c>
    </row>
    <row r="281">
      <c r="A281" s="5">
        <f>Taxepunkter!A288</f>
        <v/>
      </c>
      <c r="B281" s="4">
        <f>Taxepunkter!B288</f>
        <v/>
      </c>
      <c r="C281" s="4">
        <f>Taxepunkter!C288</f>
        <v/>
      </c>
      <c r="D281" s="4">
        <f>Taxepunkter!D288</f>
        <v/>
      </c>
      <c r="E281" s="4">
        <f>Taxepunkter!E288</f>
        <v/>
      </c>
      <c r="F281" s="4">
        <f>Taxepunkter!F288</f>
        <v/>
      </c>
      <c r="G281" s="4">
        <f>Taxepunkter!G288</f>
        <v/>
      </c>
      <c r="H281" s="4">
        <f>Taxepunkter!H288</f>
        <v/>
      </c>
      <c r="I281" s="4">
        <f>Taxepunkter!I288</f>
        <v/>
      </c>
      <c r="J281" s="4">
        <f>Taxepunkter!J288</f>
        <v/>
      </c>
      <c r="K281" s="4">
        <f>Taxepunkter!K288</f>
        <v/>
      </c>
      <c r="L281" s="6">
        <f>Taxepunkter!L288</f>
        <v/>
      </c>
    </row>
    <row r="282">
      <c r="A282" s="5">
        <f>Taxepunkter!A289</f>
        <v/>
      </c>
      <c r="B282" s="4">
        <f>Taxepunkter!B289</f>
        <v/>
      </c>
      <c r="C282" s="4">
        <f>Taxepunkter!C289</f>
        <v/>
      </c>
      <c r="D282" s="4">
        <f>Taxepunkter!D289</f>
        <v/>
      </c>
      <c r="E282" s="4">
        <f>Taxepunkter!E289</f>
        <v/>
      </c>
      <c r="F282" s="4">
        <f>Taxepunkter!F289</f>
        <v/>
      </c>
      <c r="G282" s="4">
        <f>Taxepunkter!G289</f>
        <v/>
      </c>
      <c r="H282" s="4">
        <f>Taxepunkter!H289</f>
        <v/>
      </c>
      <c r="I282" s="4">
        <f>Taxepunkter!I289</f>
        <v/>
      </c>
      <c r="J282" s="4">
        <f>Taxepunkter!J289</f>
        <v/>
      </c>
      <c r="K282" s="4">
        <f>Taxepunkter!K289</f>
        <v/>
      </c>
      <c r="L282" s="6">
        <f>Taxepunkter!L289</f>
        <v/>
      </c>
    </row>
    <row r="283">
      <c r="A283" s="5">
        <f>Taxepunkter!A290</f>
        <v/>
      </c>
      <c r="B283" s="4">
        <f>Taxepunkter!B290</f>
        <v/>
      </c>
      <c r="C283" s="4">
        <f>Taxepunkter!C290</f>
        <v/>
      </c>
      <c r="D283" s="4">
        <f>Taxepunkter!D290</f>
        <v/>
      </c>
      <c r="E283" s="4">
        <f>Taxepunkter!E290</f>
        <v/>
      </c>
      <c r="F283" s="4">
        <f>Taxepunkter!F290</f>
        <v/>
      </c>
      <c r="G283" s="4">
        <f>Taxepunkter!G290</f>
        <v/>
      </c>
      <c r="H283" s="4">
        <f>Taxepunkter!H290</f>
        <v/>
      </c>
      <c r="I283" s="4">
        <f>Taxepunkter!I290</f>
        <v/>
      </c>
      <c r="J283" s="4">
        <f>Taxepunkter!J290</f>
        <v/>
      </c>
      <c r="K283" s="4">
        <f>Taxepunkter!K290</f>
        <v/>
      </c>
      <c r="L283" s="6">
        <f>Taxepunkter!L290</f>
        <v/>
      </c>
    </row>
    <row r="284">
      <c r="A284" s="5">
        <f>Taxepunkter!A291</f>
        <v/>
      </c>
      <c r="B284" s="4">
        <f>Taxepunkter!B291</f>
        <v/>
      </c>
      <c r="C284" s="4">
        <f>Taxepunkter!C291</f>
        <v/>
      </c>
      <c r="D284" s="4">
        <f>Taxepunkter!D291</f>
        <v/>
      </c>
      <c r="E284" s="4">
        <f>Taxepunkter!E291</f>
        <v/>
      </c>
      <c r="F284" s="4">
        <f>Taxepunkter!F291</f>
        <v/>
      </c>
      <c r="G284" s="4">
        <f>Taxepunkter!G291</f>
        <v/>
      </c>
      <c r="H284" s="4">
        <f>Taxepunkter!H291</f>
        <v/>
      </c>
      <c r="I284" s="4">
        <f>Taxepunkter!I291</f>
        <v/>
      </c>
      <c r="J284" s="4">
        <f>Taxepunkter!J291</f>
        <v/>
      </c>
      <c r="K284" s="4">
        <f>Taxepunkter!K291</f>
        <v/>
      </c>
      <c r="L284" s="6">
        <f>Taxepunkter!L291</f>
        <v/>
      </c>
    </row>
    <row r="285">
      <c r="A285" s="5">
        <f>Taxepunkter!A292</f>
        <v/>
      </c>
      <c r="B285" s="4">
        <f>Taxepunkter!B292</f>
        <v/>
      </c>
      <c r="C285" s="4">
        <f>Taxepunkter!C292</f>
        <v/>
      </c>
      <c r="D285" s="4">
        <f>Taxepunkter!D292</f>
        <v/>
      </c>
      <c r="E285" s="4">
        <f>Taxepunkter!E292</f>
        <v/>
      </c>
      <c r="F285" s="4">
        <f>Taxepunkter!F292</f>
        <v/>
      </c>
      <c r="G285" s="4">
        <f>Taxepunkter!G292</f>
        <v/>
      </c>
      <c r="H285" s="4">
        <f>Taxepunkter!H292</f>
        <v/>
      </c>
      <c r="I285" s="4">
        <f>Taxepunkter!I292</f>
        <v/>
      </c>
      <c r="J285" s="4">
        <f>Taxepunkter!J292</f>
        <v/>
      </c>
      <c r="K285" s="4">
        <f>Taxepunkter!K292</f>
        <v/>
      </c>
      <c r="L285" s="6">
        <f>Taxepunkter!L292</f>
        <v/>
      </c>
    </row>
    <row r="286">
      <c r="A286" s="5">
        <f>Taxepunkter!A293</f>
        <v/>
      </c>
      <c r="B286" s="4">
        <f>Taxepunkter!B293</f>
        <v/>
      </c>
      <c r="C286" s="4">
        <f>Taxepunkter!C293</f>
        <v/>
      </c>
      <c r="D286" s="4">
        <f>Taxepunkter!D293</f>
        <v/>
      </c>
      <c r="E286" s="4">
        <f>Taxepunkter!E293</f>
        <v/>
      </c>
      <c r="F286" s="4">
        <f>Taxepunkter!F293</f>
        <v/>
      </c>
      <c r="G286" s="4">
        <f>Taxepunkter!G293</f>
        <v/>
      </c>
      <c r="H286" s="4">
        <f>Taxepunkter!H293</f>
        <v/>
      </c>
      <c r="I286" s="4">
        <f>Taxepunkter!I293</f>
        <v/>
      </c>
      <c r="J286" s="4">
        <f>Taxepunkter!J293</f>
        <v/>
      </c>
      <c r="K286" s="4">
        <f>Taxepunkter!K293</f>
        <v/>
      </c>
      <c r="L286" s="6">
        <f>Taxepunkter!L293</f>
        <v/>
      </c>
    </row>
    <row r="287">
      <c r="A287" s="5">
        <f>Taxepunkter!A294</f>
        <v/>
      </c>
      <c r="B287" s="4">
        <f>Taxepunkter!B294</f>
        <v/>
      </c>
      <c r="C287" s="4">
        <f>Taxepunkter!C294</f>
        <v/>
      </c>
      <c r="D287" s="4">
        <f>Taxepunkter!D294</f>
        <v/>
      </c>
      <c r="E287" s="4">
        <f>Taxepunkter!E294</f>
        <v/>
      </c>
      <c r="F287" s="4">
        <f>Taxepunkter!F294</f>
        <v/>
      </c>
      <c r="G287" s="4">
        <f>Taxepunkter!G294</f>
        <v/>
      </c>
      <c r="H287" s="4">
        <f>Taxepunkter!H294</f>
        <v/>
      </c>
      <c r="I287" s="4">
        <f>Taxepunkter!I294</f>
        <v/>
      </c>
      <c r="J287" s="4">
        <f>Taxepunkter!J294</f>
        <v/>
      </c>
      <c r="K287" s="4">
        <f>Taxepunkter!K294</f>
        <v/>
      </c>
      <c r="L287" s="6">
        <f>Taxepunkter!L294</f>
        <v/>
      </c>
    </row>
    <row r="288">
      <c r="A288" s="5">
        <f>Taxepunkter!A295</f>
        <v/>
      </c>
      <c r="B288" s="4">
        <f>Taxepunkter!B295</f>
        <v/>
      </c>
      <c r="C288" s="4">
        <f>Taxepunkter!C295</f>
        <v/>
      </c>
      <c r="D288" s="4">
        <f>Taxepunkter!D295</f>
        <v/>
      </c>
      <c r="E288" s="4">
        <f>Taxepunkter!E295</f>
        <v/>
      </c>
      <c r="F288" s="4">
        <f>Taxepunkter!F295</f>
        <v/>
      </c>
      <c r="G288" s="4">
        <f>Taxepunkter!G295</f>
        <v/>
      </c>
      <c r="H288" s="4">
        <f>Taxepunkter!H295</f>
        <v/>
      </c>
      <c r="I288" s="4">
        <f>Taxepunkter!I295</f>
        <v/>
      </c>
      <c r="J288" s="4">
        <f>Taxepunkter!J295</f>
        <v/>
      </c>
      <c r="K288" s="4">
        <f>Taxepunkter!K295</f>
        <v/>
      </c>
      <c r="L288" s="6">
        <f>Taxepunkter!L295</f>
        <v/>
      </c>
    </row>
    <row r="289">
      <c r="A289" s="5">
        <f>Taxepunkter!A296</f>
        <v/>
      </c>
      <c r="B289" s="4">
        <f>Taxepunkter!B296</f>
        <v/>
      </c>
      <c r="C289" s="4">
        <f>Taxepunkter!C296</f>
        <v/>
      </c>
      <c r="D289" s="4">
        <f>Taxepunkter!D296</f>
        <v/>
      </c>
      <c r="E289" s="4">
        <f>Taxepunkter!E296</f>
        <v/>
      </c>
      <c r="F289" s="4">
        <f>Taxepunkter!F296</f>
        <v/>
      </c>
      <c r="G289" s="4">
        <f>Taxepunkter!G296</f>
        <v/>
      </c>
      <c r="H289" s="4">
        <f>Taxepunkter!H296</f>
        <v/>
      </c>
      <c r="I289" s="4">
        <f>Taxepunkter!I296</f>
        <v/>
      </c>
      <c r="J289" s="4">
        <f>Taxepunkter!J296</f>
        <v/>
      </c>
      <c r="K289" s="4">
        <f>Taxepunkter!K296</f>
        <v/>
      </c>
      <c r="L289" s="6">
        <f>Taxepunkter!L296</f>
        <v/>
      </c>
    </row>
    <row r="290">
      <c r="A290" s="5">
        <f>Taxepunkter!A297</f>
        <v/>
      </c>
      <c r="B290" s="4">
        <f>Taxepunkter!B297</f>
        <v/>
      </c>
      <c r="C290" s="4">
        <f>Taxepunkter!C297</f>
        <v/>
      </c>
      <c r="D290" s="4">
        <f>Taxepunkter!D297</f>
        <v/>
      </c>
      <c r="E290" s="4">
        <f>Taxepunkter!E297</f>
        <v/>
      </c>
      <c r="F290" s="4">
        <f>Taxepunkter!F297</f>
        <v/>
      </c>
      <c r="G290" s="4">
        <f>Taxepunkter!G297</f>
        <v/>
      </c>
      <c r="H290" s="4">
        <f>Taxepunkter!H297</f>
        <v/>
      </c>
      <c r="I290" s="4">
        <f>Taxepunkter!I297</f>
        <v/>
      </c>
      <c r="J290" s="4">
        <f>Taxepunkter!J297</f>
        <v/>
      </c>
      <c r="K290" s="4">
        <f>Taxepunkter!K297</f>
        <v/>
      </c>
      <c r="L290" s="6">
        <f>Taxepunkter!L297</f>
        <v/>
      </c>
    </row>
    <row r="291">
      <c r="A291" s="5">
        <f>Taxepunkter!A298</f>
        <v/>
      </c>
      <c r="B291" s="4">
        <f>Taxepunkter!B298</f>
        <v/>
      </c>
      <c r="C291" s="4">
        <f>Taxepunkter!C298</f>
        <v/>
      </c>
      <c r="D291" s="4">
        <f>Taxepunkter!D298</f>
        <v/>
      </c>
      <c r="E291" s="4">
        <f>Taxepunkter!E298</f>
        <v/>
      </c>
      <c r="F291" s="4">
        <f>Taxepunkter!F298</f>
        <v/>
      </c>
      <c r="G291" s="4">
        <f>Taxepunkter!G298</f>
        <v/>
      </c>
      <c r="H291" s="4">
        <f>Taxepunkter!H298</f>
        <v/>
      </c>
      <c r="I291" s="4">
        <f>Taxepunkter!I298</f>
        <v/>
      </c>
      <c r="J291" s="4">
        <f>Taxepunkter!J298</f>
        <v/>
      </c>
      <c r="K291" s="4">
        <f>Taxepunkter!K298</f>
        <v/>
      </c>
      <c r="L291" s="6">
        <f>Taxepunkter!L298</f>
        <v/>
      </c>
    </row>
    <row r="292">
      <c r="A292" s="5">
        <f>Taxepunkter!A299</f>
        <v/>
      </c>
      <c r="B292" s="4">
        <f>Taxepunkter!B299</f>
        <v/>
      </c>
      <c r="C292" s="4">
        <f>Taxepunkter!C299</f>
        <v/>
      </c>
      <c r="D292" s="4">
        <f>Taxepunkter!D299</f>
        <v/>
      </c>
      <c r="E292" s="4">
        <f>Taxepunkter!E299</f>
        <v/>
      </c>
      <c r="F292" s="4">
        <f>Taxepunkter!F299</f>
        <v/>
      </c>
      <c r="G292" s="4">
        <f>Taxepunkter!G299</f>
        <v/>
      </c>
      <c r="H292" s="4">
        <f>Taxepunkter!H299</f>
        <v/>
      </c>
      <c r="I292" s="4">
        <f>Taxepunkter!I299</f>
        <v/>
      </c>
      <c r="J292" s="4">
        <f>Taxepunkter!J299</f>
        <v/>
      </c>
      <c r="K292" s="4">
        <f>Taxepunkter!K299</f>
        <v/>
      </c>
      <c r="L292" s="6">
        <f>Taxepunkter!L299</f>
        <v/>
      </c>
    </row>
    <row r="293">
      <c r="A293" s="5">
        <f>Taxepunkter!A300</f>
        <v/>
      </c>
      <c r="B293" s="4">
        <f>Taxepunkter!B300</f>
        <v/>
      </c>
      <c r="C293" s="4">
        <f>Taxepunkter!C300</f>
        <v/>
      </c>
      <c r="D293" s="4">
        <f>Taxepunkter!D300</f>
        <v/>
      </c>
      <c r="E293" s="4">
        <f>Taxepunkter!E300</f>
        <v/>
      </c>
      <c r="F293" s="4">
        <f>Taxepunkter!F300</f>
        <v/>
      </c>
      <c r="G293" s="4">
        <f>Taxepunkter!G300</f>
        <v/>
      </c>
      <c r="H293" s="4">
        <f>Taxepunkter!H300</f>
        <v/>
      </c>
      <c r="I293" s="4">
        <f>Taxepunkter!I300</f>
        <v/>
      </c>
      <c r="J293" s="4">
        <f>Taxepunkter!J300</f>
        <v/>
      </c>
      <c r="K293" s="4">
        <f>Taxepunkter!K300</f>
        <v/>
      </c>
      <c r="L293" s="6">
        <f>Taxepunkter!L300</f>
        <v/>
      </c>
    </row>
    <row r="294">
      <c r="A294" s="5">
        <f>Taxepunkter!A301</f>
        <v/>
      </c>
      <c r="B294" s="4">
        <f>Taxepunkter!B301</f>
        <v/>
      </c>
      <c r="C294" s="4">
        <f>Taxepunkter!C301</f>
        <v/>
      </c>
      <c r="D294" s="4">
        <f>Taxepunkter!D301</f>
        <v/>
      </c>
      <c r="E294" s="4">
        <f>Taxepunkter!E301</f>
        <v/>
      </c>
      <c r="F294" s="4">
        <f>Taxepunkter!F301</f>
        <v/>
      </c>
      <c r="G294" s="4">
        <f>Taxepunkter!G301</f>
        <v/>
      </c>
      <c r="H294" s="4">
        <f>Taxepunkter!H301</f>
        <v/>
      </c>
      <c r="I294" s="4">
        <f>Taxepunkter!I301</f>
        <v/>
      </c>
      <c r="J294" s="4">
        <f>Taxepunkter!J301</f>
        <v/>
      </c>
      <c r="K294" s="4">
        <f>Taxepunkter!K301</f>
        <v/>
      </c>
      <c r="L294" s="6">
        <f>Taxepunkter!L301</f>
        <v/>
      </c>
    </row>
    <row r="295">
      <c r="A295" s="5">
        <f>Taxepunkter!A302</f>
        <v/>
      </c>
      <c r="B295" s="4">
        <f>Taxepunkter!B302</f>
        <v/>
      </c>
      <c r="C295" s="4">
        <f>Taxepunkter!C302</f>
        <v/>
      </c>
      <c r="D295" s="4">
        <f>Taxepunkter!D302</f>
        <v/>
      </c>
      <c r="E295" s="4">
        <f>Taxepunkter!E302</f>
        <v/>
      </c>
      <c r="F295" s="4">
        <f>Taxepunkter!F302</f>
        <v/>
      </c>
      <c r="G295" s="4">
        <f>Taxepunkter!G302</f>
        <v/>
      </c>
      <c r="H295" s="4">
        <f>Taxepunkter!H302</f>
        <v/>
      </c>
      <c r="I295" s="4">
        <f>Taxepunkter!I302</f>
        <v/>
      </c>
      <c r="J295" s="4">
        <f>Taxepunkter!J302</f>
        <v/>
      </c>
      <c r="K295" s="4">
        <f>Taxepunkter!K302</f>
        <v/>
      </c>
      <c r="L295" s="6">
        <f>Taxepunkter!L302</f>
        <v/>
      </c>
    </row>
    <row r="296">
      <c r="A296" s="5">
        <f>Taxepunkter!A303</f>
        <v/>
      </c>
      <c r="B296" s="4">
        <f>Taxepunkter!B303</f>
        <v/>
      </c>
      <c r="C296" s="4">
        <f>Taxepunkter!C303</f>
        <v/>
      </c>
      <c r="D296" s="4">
        <f>Taxepunkter!D303</f>
        <v/>
      </c>
      <c r="E296" s="4">
        <f>Taxepunkter!E303</f>
        <v/>
      </c>
      <c r="F296" s="4">
        <f>Taxepunkter!F303</f>
        <v/>
      </c>
      <c r="G296" s="4">
        <f>Taxepunkter!G303</f>
        <v/>
      </c>
      <c r="H296" s="4">
        <f>Taxepunkter!H303</f>
        <v/>
      </c>
      <c r="I296" s="4">
        <f>Taxepunkter!I303</f>
        <v/>
      </c>
      <c r="J296" s="4">
        <f>Taxepunkter!J303</f>
        <v/>
      </c>
      <c r="K296" s="4">
        <f>Taxepunkter!K303</f>
        <v/>
      </c>
      <c r="L296" s="6">
        <f>Taxepunkter!L303</f>
        <v/>
      </c>
    </row>
    <row r="297">
      <c r="A297" s="5">
        <f>Taxepunkter!A304</f>
        <v/>
      </c>
      <c r="B297" s="4">
        <f>Taxepunkter!B304</f>
        <v/>
      </c>
      <c r="C297" s="4">
        <f>Taxepunkter!C304</f>
        <v/>
      </c>
      <c r="D297" s="4">
        <f>Taxepunkter!D304</f>
        <v/>
      </c>
      <c r="E297" s="4">
        <f>Taxepunkter!E304</f>
        <v/>
      </c>
      <c r="F297" s="4">
        <f>Taxepunkter!F304</f>
        <v/>
      </c>
      <c r="G297" s="4">
        <f>Taxepunkter!G304</f>
        <v/>
      </c>
      <c r="H297" s="4">
        <f>Taxepunkter!H304</f>
        <v/>
      </c>
      <c r="I297" s="4">
        <f>Taxepunkter!I304</f>
        <v/>
      </c>
      <c r="J297" s="4">
        <f>Taxepunkter!J304</f>
        <v/>
      </c>
      <c r="K297" s="4">
        <f>Taxepunkter!K304</f>
        <v/>
      </c>
      <c r="L297" s="6">
        <f>Taxepunkter!L304</f>
        <v/>
      </c>
    </row>
    <row r="298">
      <c r="A298" s="5">
        <f>Taxepunkter!A305</f>
        <v/>
      </c>
      <c r="B298" s="4">
        <f>Taxepunkter!B305</f>
        <v/>
      </c>
      <c r="C298" s="4">
        <f>Taxepunkter!C305</f>
        <v/>
      </c>
      <c r="D298" s="4">
        <f>Taxepunkter!D305</f>
        <v/>
      </c>
      <c r="E298" s="4">
        <f>Taxepunkter!E305</f>
        <v/>
      </c>
      <c r="F298" s="4">
        <f>Taxepunkter!F305</f>
        <v/>
      </c>
      <c r="G298" s="4">
        <f>Taxepunkter!G305</f>
        <v/>
      </c>
      <c r="H298" s="4">
        <f>Taxepunkter!H305</f>
        <v/>
      </c>
      <c r="I298" s="4">
        <f>Taxepunkter!I305</f>
        <v/>
      </c>
      <c r="J298" s="4">
        <f>Taxepunkter!J305</f>
        <v/>
      </c>
      <c r="K298" s="4">
        <f>Taxepunkter!K305</f>
        <v/>
      </c>
      <c r="L298" s="6">
        <f>Taxepunkter!L305</f>
        <v/>
      </c>
    </row>
    <row r="299">
      <c r="A299" s="5">
        <f>Taxepunkter!A306</f>
        <v/>
      </c>
      <c r="B299" s="4">
        <f>Taxepunkter!B306</f>
        <v/>
      </c>
      <c r="C299" s="4">
        <f>Taxepunkter!C306</f>
        <v/>
      </c>
      <c r="D299" s="4">
        <f>Taxepunkter!D306</f>
        <v/>
      </c>
      <c r="E299" s="4">
        <f>Taxepunkter!E306</f>
        <v/>
      </c>
      <c r="F299" s="4">
        <f>Taxepunkter!F306</f>
        <v/>
      </c>
      <c r="G299" s="4">
        <f>Taxepunkter!G306</f>
        <v/>
      </c>
      <c r="H299" s="4">
        <f>Taxepunkter!H306</f>
        <v/>
      </c>
      <c r="I299" s="4">
        <f>Taxepunkter!I306</f>
        <v/>
      </c>
      <c r="J299" s="4">
        <f>Taxepunkter!J306</f>
        <v/>
      </c>
      <c r="K299" s="4">
        <f>Taxepunkter!K306</f>
        <v/>
      </c>
      <c r="L299" s="6">
        <f>Taxepunkter!L306</f>
        <v/>
      </c>
    </row>
    <row r="300">
      <c r="A300" s="5">
        <f>Taxepunkter!A307</f>
        <v/>
      </c>
      <c r="B300" s="4">
        <f>Taxepunkter!B307</f>
        <v/>
      </c>
      <c r="C300" s="4">
        <f>Taxepunkter!C307</f>
        <v/>
      </c>
      <c r="D300" s="4">
        <f>Taxepunkter!D307</f>
        <v/>
      </c>
      <c r="E300" s="4">
        <f>Taxepunkter!E307</f>
        <v/>
      </c>
      <c r="F300" s="4">
        <f>Taxepunkter!F307</f>
        <v/>
      </c>
      <c r="G300" s="4">
        <f>Taxepunkter!G307</f>
        <v/>
      </c>
      <c r="H300" s="4">
        <f>Taxepunkter!H307</f>
        <v/>
      </c>
      <c r="I300" s="4">
        <f>Taxepunkter!I307</f>
        <v/>
      </c>
      <c r="J300" s="4">
        <f>Taxepunkter!J307</f>
        <v/>
      </c>
      <c r="K300" s="4">
        <f>Taxepunkter!K307</f>
        <v/>
      </c>
      <c r="L300" s="6">
        <f>Taxepunkter!L307</f>
        <v/>
      </c>
    </row>
    <row r="301">
      <c r="A301" s="5">
        <f>Taxepunkter!A308</f>
        <v/>
      </c>
      <c r="B301" s="4">
        <f>Taxepunkter!B308</f>
        <v/>
      </c>
      <c r="C301" s="4">
        <f>Taxepunkter!C308</f>
        <v/>
      </c>
      <c r="D301" s="4">
        <f>Taxepunkter!D308</f>
        <v/>
      </c>
      <c r="E301" s="4">
        <f>Taxepunkter!E308</f>
        <v/>
      </c>
      <c r="F301" s="4">
        <f>Taxepunkter!F308</f>
        <v/>
      </c>
      <c r="G301" s="4">
        <f>Taxepunkter!G308</f>
        <v/>
      </c>
      <c r="H301" s="4">
        <f>Taxepunkter!H308</f>
        <v/>
      </c>
      <c r="I301" s="4">
        <f>Taxepunkter!I308</f>
        <v/>
      </c>
      <c r="J301" s="4">
        <f>Taxepunkter!J308</f>
        <v/>
      </c>
      <c r="K301" s="4">
        <f>Taxepunkter!K308</f>
        <v/>
      </c>
      <c r="L301" s="6">
        <f>Taxepunkter!L308</f>
        <v/>
      </c>
    </row>
    <row r="302">
      <c r="A302" s="5">
        <f>Taxepunkter!A309</f>
        <v/>
      </c>
      <c r="B302" s="4">
        <f>Taxepunkter!B309</f>
        <v/>
      </c>
      <c r="C302" s="4">
        <f>Taxepunkter!C309</f>
        <v/>
      </c>
      <c r="D302" s="4">
        <f>Taxepunkter!D309</f>
        <v/>
      </c>
      <c r="E302" s="4">
        <f>Taxepunkter!E309</f>
        <v/>
      </c>
      <c r="F302" s="4">
        <f>Taxepunkter!F309</f>
        <v/>
      </c>
      <c r="G302" s="4">
        <f>Taxepunkter!G309</f>
        <v/>
      </c>
      <c r="H302" s="4">
        <f>Taxepunkter!H309</f>
        <v/>
      </c>
      <c r="I302" s="4">
        <f>Taxepunkter!I309</f>
        <v/>
      </c>
      <c r="J302" s="4">
        <f>Taxepunkter!J309</f>
        <v/>
      </c>
      <c r="K302" s="4">
        <f>Taxepunkter!K309</f>
        <v/>
      </c>
      <c r="L302" s="6">
        <f>Taxepunkter!L309</f>
        <v/>
      </c>
    </row>
    <row r="303">
      <c r="A303" s="5">
        <f>Taxepunkter!A310</f>
        <v/>
      </c>
      <c r="B303" s="4">
        <f>Taxepunkter!B310</f>
        <v/>
      </c>
      <c r="C303" s="4">
        <f>Taxepunkter!C310</f>
        <v/>
      </c>
      <c r="D303" s="4">
        <f>Taxepunkter!D310</f>
        <v/>
      </c>
      <c r="E303" s="4">
        <f>Taxepunkter!E310</f>
        <v/>
      </c>
      <c r="F303" s="4">
        <f>Taxepunkter!F310</f>
        <v/>
      </c>
      <c r="G303" s="4">
        <f>Taxepunkter!G310</f>
        <v/>
      </c>
      <c r="H303" s="4">
        <f>Taxepunkter!H310</f>
        <v/>
      </c>
      <c r="I303" s="4">
        <f>Taxepunkter!I310</f>
        <v/>
      </c>
      <c r="J303" s="4">
        <f>Taxepunkter!J310</f>
        <v/>
      </c>
      <c r="K303" s="4">
        <f>Taxepunkter!K310</f>
        <v/>
      </c>
      <c r="L303" s="6">
        <f>Taxepunkter!L310</f>
        <v/>
      </c>
    </row>
    <row r="304">
      <c r="A304" s="5">
        <f>Taxepunkter!A311</f>
        <v/>
      </c>
      <c r="B304" s="4">
        <f>Taxepunkter!B311</f>
        <v/>
      </c>
      <c r="C304" s="4">
        <f>Taxepunkter!C311</f>
        <v/>
      </c>
      <c r="D304" s="4">
        <f>Taxepunkter!D311</f>
        <v/>
      </c>
      <c r="E304" s="4">
        <f>Taxepunkter!E311</f>
        <v/>
      </c>
      <c r="F304" s="4">
        <f>Taxepunkter!F311</f>
        <v/>
      </c>
      <c r="G304" s="4">
        <f>Taxepunkter!G311</f>
        <v/>
      </c>
      <c r="H304" s="4">
        <f>Taxepunkter!H311</f>
        <v/>
      </c>
      <c r="I304" s="4">
        <f>Taxepunkter!I311</f>
        <v/>
      </c>
      <c r="J304" s="4">
        <f>Taxepunkter!J311</f>
        <v/>
      </c>
      <c r="K304" s="4">
        <f>Taxepunkter!K311</f>
        <v/>
      </c>
      <c r="L304" s="6">
        <f>Taxepunkter!L311</f>
        <v/>
      </c>
    </row>
    <row r="305">
      <c r="A305" s="5">
        <f>Taxepunkter!A312</f>
        <v/>
      </c>
      <c r="B305" s="4">
        <f>Taxepunkter!B312</f>
        <v/>
      </c>
      <c r="C305" s="4">
        <f>Taxepunkter!C312</f>
        <v/>
      </c>
      <c r="D305" s="4">
        <f>Taxepunkter!D312</f>
        <v/>
      </c>
      <c r="E305" s="4">
        <f>Taxepunkter!E312</f>
        <v/>
      </c>
      <c r="F305" s="4">
        <f>Taxepunkter!F312</f>
        <v/>
      </c>
      <c r="G305" s="4">
        <f>Taxepunkter!G312</f>
        <v/>
      </c>
      <c r="H305" s="4">
        <f>Taxepunkter!H312</f>
        <v/>
      </c>
      <c r="I305" s="4">
        <f>Taxepunkter!I312</f>
        <v/>
      </c>
      <c r="J305" s="4">
        <f>Taxepunkter!J312</f>
        <v/>
      </c>
      <c r="K305" s="4">
        <f>Taxepunkter!K312</f>
        <v/>
      </c>
      <c r="L305" s="6">
        <f>Taxepunkter!L312</f>
        <v/>
      </c>
    </row>
    <row r="306">
      <c r="A306" s="5">
        <f>Taxepunkter!A313</f>
        <v/>
      </c>
      <c r="B306" s="4">
        <f>Taxepunkter!B313</f>
        <v/>
      </c>
      <c r="C306" s="4">
        <f>Taxepunkter!C313</f>
        <v/>
      </c>
      <c r="D306" s="4">
        <f>Taxepunkter!D313</f>
        <v/>
      </c>
      <c r="E306" s="4">
        <f>Taxepunkter!E313</f>
        <v/>
      </c>
      <c r="F306" s="4">
        <f>Taxepunkter!F313</f>
        <v/>
      </c>
      <c r="G306" s="4">
        <f>Taxepunkter!G313</f>
        <v/>
      </c>
      <c r="H306" s="4">
        <f>Taxepunkter!H313</f>
        <v/>
      </c>
      <c r="I306" s="4">
        <f>Taxepunkter!I313</f>
        <v/>
      </c>
      <c r="J306" s="4">
        <f>Taxepunkter!J313</f>
        <v/>
      </c>
      <c r="K306" s="4">
        <f>Taxepunkter!K313</f>
        <v/>
      </c>
      <c r="L306" s="6">
        <f>Taxepunkter!L313</f>
        <v/>
      </c>
    </row>
    <row r="307">
      <c r="A307" s="5">
        <f>Taxepunkter!A314</f>
        <v/>
      </c>
      <c r="B307" s="4">
        <f>Taxepunkter!B314</f>
        <v/>
      </c>
      <c r="C307" s="4">
        <f>Taxepunkter!C314</f>
        <v/>
      </c>
      <c r="D307" s="4">
        <f>Taxepunkter!D314</f>
        <v/>
      </c>
      <c r="E307" s="4">
        <f>Taxepunkter!E314</f>
        <v/>
      </c>
      <c r="F307" s="4">
        <f>Taxepunkter!F314</f>
        <v/>
      </c>
      <c r="G307" s="4">
        <f>Taxepunkter!G314</f>
        <v/>
      </c>
      <c r="H307" s="4">
        <f>Taxepunkter!H314</f>
        <v/>
      </c>
      <c r="I307" s="4">
        <f>Taxepunkter!I314</f>
        <v/>
      </c>
      <c r="J307" s="4">
        <f>Taxepunkter!J314</f>
        <v/>
      </c>
      <c r="K307" s="4">
        <f>Taxepunkter!K314</f>
        <v/>
      </c>
      <c r="L307" s="6">
        <f>Taxepunkter!L314</f>
        <v/>
      </c>
    </row>
    <row r="308">
      <c r="A308" s="5">
        <f>Taxepunkter!A315</f>
        <v/>
      </c>
      <c r="B308" s="4">
        <f>Taxepunkter!B315</f>
        <v/>
      </c>
      <c r="C308" s="4">
        <f>Taxepunkter!C315</f>
        <v/>
      </c>
      <c r="D308" s="4">
        <f>Taxepunkter!D315</f>
        <v/>
      </c>
      <c r="E308" s="4">
        <f>Taxepunkter!E315</f>
        <v/>
      </c>
      <c r="F308" s="4">
        <f>Taxepunkter!F315</f>
        <v/>
      </c>
      <c r="G308" s="4">
        <f>Taxepunkter!G315</f>
        <v/>
      </c>
      <c r="H308" s="4">
        <f>Taxepunkter!H315</f>
        <v/>
      </c>
      <c r="I308" s="4">
        <f>Taxepunkter!I315</f>
        <v/>
      </c>
      <c r="J308" s="4">
        <f>Taxepunkter!J315</f>
        <v/>
      </c>
      <c r="K308" s="4">
        <f>Taxepunkter!K315</f>
        <v/>
      </c>
      <c r="L308" s="6">
        <f>Taxepunkter!L315</f>
        <v/>
      </c>
    </row>
    <row r="309">
      <c r="A309" s="5">
        <f>Taxepunkter!A316</f>
        <v/>
      </c>
      <c r="B309" s="4">
        <f>Taxepunkter!B316</f>
        <v/>
      </c>
      <c r="C309" s="4">
        <f>Taxepunkter!C316</f>
        <v/>
      </c>
      <c r="D309" s="4">
        <f>Taxepunkter!D316</f>
        <v/>
      </c>
      <c r="E309" s="4">
        <f>Taxepunkter!E316</f>
        <v/>
      </c>
      <c r="F309" s="4">
        <f>Taxepunkter!F316</f>
        <v/>
      </c>
      <c r="G309" s="4">
        <f>Taxepunkter!G316</f>
        <v/>
      </c>
      <c r="H309" s="4">
        <f>Taxepunkter!H316</f>
        <v/>
      </c>
      <c r="I309" s="4">
        <f>Taxepunkter!I316</f>
        <v/>
      </c>
      <c r="J309" s="4">
        <f>Taxepunkter!J316</f>
        <v/>
      </c>
      <c r="K309" s="4">
        <f>Taxepunkter!K316</f>
        <v/>
      </c>
      <c r="L309" s="6">
        <f>Taxepunkter!L316</f>
        <v/>
      </c>
    </row>
    <row r="310">
      <c r="A310" s="5">
        <f>Taxepunkter!A317</f>
        <v/>
      </c>
      <c r="B310" s="4">
        <f>Taxepunkter!B317</f>
        <v/>
      </c>
      <c r="C310" s="4">
        <f>Taxepunkter!C317</f>
        <v/>
      </c>
      <c r="D310" s="4">
        <f>Taxepunkter!D317</f>
        <v/>
      </c>
      <c r="E310" s="4">
        <f>Taxepunkter!E317</f>
        <v/>
      </c>
      <c r="F310" s="4">
        <f>Taxepunkter!F317</f>
        <v/>
      </c>
      <c r="G310" s="4">
        <f>Taxepunkter!G317</f>
        <v/>
      </c>
      <c r="H310" s="4">
        <f>Taxepunkter!H317</f>
        <v/>
      </c>
      <c r="I310" s="4">
        <f>Taxepunkter!I317</f>
        <v/>
      </c>
      <c r="J310" s="4">
        <f>Taxepunkter!J317</f>
        <v/>
      </c>
      <c r="K310" s="4">
        <f>Taxepunkter!K317</f>
        <v/>
      </c>
      <c r="L310" s="6">
        <f>Taxepunkter!L317</f>
        <v/>
      </c>
    </row>
    <row r="311">
      <c r="A311" s="5">
        <f>Taxepunkter!A318</f>
        <v/>
      </c>
      <c r="B311" s="4">
        <f>Taxepunkter!B318</f>
        <v/>
      </c>
      <c r="C311" s="4">
        <f>Taxepunkter!C318</f>
        <v/>
      </c>
      <c r="D311" s="4">
        <f>Taxepunkter!D318</f>
        <v/>
      </c>
      <c r="E311" s="4">
        <f>Taxepunkter!E318</f>
        <v/>
      </c>
      <c r="F311" s="4">
        <f>Taxepunkter!F318</f>
        <v/>
      </c>
      <c r="G311" s="4">
        <f>Taxepunkter!G318</f>
        <v/>
      </c>
      <c r="H311" s="4">
        <f>Taxepunkter!H318</f>
        <v/>
      </c>
      <c r="I311" s="4">
        <f>Taxepunkter!I318</f>
        <v/>
      </c>
      <c r="J311" s="4">
        <f>Taxepunkter!J318</f>
        <v/>
      </c>
      <c r="K311" s="4">
        <f>Taxepunkter!K318</f>
        <v/>
      </c>
      <c r="L311" s="6">
        <f>Taxepunkter!L318</f>
        <v/>
      </c>
    </row>
    <row r="312">
      <c r="A312" s="5">
        <f>Taxepunkter!A319</f>
        <v/>
      </c>
      <c r="B312" s="4">
        <f>Taxepunkter!B319</f>
        <v/>
      </c>
      <c r="C312" s="4">
        <f>Taxepunkter!C319</f>
        <v/>
      </c>
      <c r="D312" s="4">
        <f>Taxepunkter!D319</f>
        <v/>
      </c>
      <c r="E312" s="4">
        <f>Taxepunkter!E319</f>
        <v/>
      </c>
      <c r="F312" s="4">
        <f>Taxepunkter!F319</f>
        <v/>
      </c>
      <c r="G312" s="4">
        <f>Taxepunkter!G319</f>
        <v/>
      </c>
      <c r="H312" s="4">
        <f>Taxepunkter!H319</f>
        <v/>
      </c>
      <c r="I312" s="4">
        <f>Taxepunkter!I319</f>
        <v/>
      </c>
      <c r="J312" s="4">
        <f>Taxepunkter!J319</f>
        <v/>
      </c>
      <c r="K312" s="4">
        <f>Taxepunkter!K319</f>
        <v/>
      </c>
      <c r="L312" s="6">
        <f>Taxepunkter!L319</f>
        <v/>
      </c>
    </row>
    <row r="313">
      <c r="A313" s="5">
        <f>Taxepunkter!A320</f>
        <v/>
      </c>
      <c r="B313" s="4">
        <f>Taxepunkter!B320</f>
        <v/>
      </c>
      <c r="C313" s="4">
        <f>Taxepunkter!C320</f>
        <v/>
      </c>
      <c r="D313" s="4">
        <f>Taxepunkter!D320</f>
        <v/>
      </c>
      <c r="E313" s="4">
        <f>Taxepunkter!E320</f>
        <v/>
      </c>
      <c r="F313" s="4">
        <f>Taxepunkter!F320</f>
        <v/>
      </c>
      <c r="G313" s="4">
        <f>Taxepunkter!G320</f>
        <v/>
      </c>
      <c r="H313" s="4">
        <f>Taxepunkter!H320</f>
        <v/>
      </c>
      <c r="I313" s="4">
        <f>Taxepunkter!I320</f>
        <v/>
      </c>
      <c r="J313" s="4">
        <f>Taxepunkter!J320</f>
        <v/>
      </c>
      <c r="K313" s="4">
        <f>Taxepunkter!K320</f>
        <v/>
      </c>
      <c r="L313" s="6">
        <f>Taxepunkter!L320</f>
        <v/>
      </c>
    </row>
    <row r="314">
      <c r="A314" s="5">
        <f>Taxepunkter!A321</f>
        <v/>
      </c>
      <c r="B314" s="4">
        <f>Taxepunkter!B321</f>
        <v/>
      </c>
      <c r="C314" s="4">
        <f>Taxepunkter!C321</f>
        <v/>
      </c>
      <c r="D314" s="4">
        <f>Taxepunkter!D321</f>
        <v/>
      </c>
      <c r="E314" s="4">
        <f>Taxepunkter!E321</f>
        <v/>
      </c>
      <c r="F314" s="4">
        <f>Taxepunkter!F321</f>
        <v/>
      </c>
      <c r="G314" s="4">
        <f>Taxepunkter!G321</f>
        <v/>
      </c>
      <c r="H314" s="4">
        <f>Taxepunkter!H321</f>
        <v/>
      </c>
      <c r="I314" s="4">
        <f>Taxepunkter!I321</f>
        <v/>
      </c>
      <c r="J314" s="4">
        <f>Taxepunkter!J321</f>
        <v/>
      </c>
      <c r="K314" s="4">
        <f>Taxepunkter!K321</f>
        <v/>
      </c>
      <c r="L314" s="6">
        <f>Taxepunkter!L321</f>
        <v/>
      </c>
    </row>
    <row r="315">
      <c r="A315" s="5">
        <f>Taxepunkter!A322</f>
        <v/>
      </c>
      <c r="B315" s="4">
        <f>Taxepunkter!B322</f>
        <v/>
      </c>
      <c r="C315" s="4">
        <f>Taxepunkter!C322</f>
        <v/>
      </c>
      <c r="D315" s="4">
        <f>Taxepunkter!D322</f>
        <v/>
      </c>
      <c r="E315" s="4">
        <f>Taxepunkter!E322</f>
        <v/>
      </c>
      <c r="F315" s="4">
        <f>Taxepunkter!F322</f>
        <v/>
      </c>
      <c r="G315" s="4">
        <f>Taxepunkter!G322</f>
        <v/>
      </c>
      <c r="H315" s="4">
        <f>Taxepunkter!H322</f>
        <v/>
      </c>
      <c r="I315" s="4">
        <f>Taxepunkter!I322</f>
        <v/>
      </c>
      <c r="J315" s="4">
        <f>Taxepunkter!J322</f>
        <v/>
      </c>
      <c r="K315" s="4">
        <f>Taxepunkter!K322</f>
        <v/>
      </c>
      <c r="L315" s="6">
        <f>Taxepunkter!L322</f>
        <v/>
      </c>
    </row>
    <row r="316">
      <c r="A316" s="5">
        <f>Taxepunkter!A323</f>
        <v/>
      </c>
      <c r="B316" s="4">
        <f>Taxepunkter!B323</f>
        <v/>
      </c>
      <c r="C316" s="4">
        <f>Taxepunkter!C323</f>
        <v/>
      </c>
      <c r="D316" s="4">
        <f>Taxepunkter!D323</f>
        <v/>
      </c>
      <c r="E316" s="4">
        <f>Taxepunkter!E323</f>
        <v/>
      </c>
      <c r="F316" s="4">
        <f>Taxepunkter!F323</f>
        <v/>
      </c>
      <c r="G316" s="4">
        <f>Taxepunkter!G323</f>
        <v/>
      </c>
      <c r="H316" s="4">
        <f>Taxepunkter!H323</f>
        <v/>
      </c>
      <c r="I316" s="4">
        <f>Taxepunkter!I323</f>
        <v/>
      </c>
      <c r="J316" s="4">
        <f>Taxepunkter!J323</f>
        <v/>
      </c>
      <c r="K316" s="4">
        <f>Taxepunkter!K323</f>
        <v/>
      </c>
      <c r="L316" s="6">
        <f>Taxepunkter!L323</f>
        <v/>
      </c>
    </row>
    <row r="317">
      <c r="A317" s="5">
        <f>Taxepunkter!A324</f>
        <v/>
      </c>
      <c r="B317" s="4">
        <f>Taxepunkter!B324</f>
        <v/>
      </c>
      <c r="C317" s="4">
        <f>Taxepunkter!C324</f>
        <v/>
      </c>
      <c r="D317" s="4">
        <f>Taxepunkter!D324</f>
        <v/>
      </c>
      <c r="E317" s="4">
        <f>Taxepunkter!E324</f>
        <v/>
      </c>
      <c r="F317" s="4">
        <f>Taxepunkter!F324</f>
        <v/>
      </c>
      <c r="G317" s="4">
        <f>Taxepunkter!G324</f>
        <v/>
      </c>
      <c r="H317" s="4">
        <f>Taxepunkter!H324</f>
        <v/>
      </c>
      <c r="I317" s="4">
        <f>Taxepunkter!I324</f>
        <v/>
      </c>
      <c r="J317" s="4">
        <f>Taxepunkter!J324</f>
        <v/>
      </c>
      <c r="K317" s="4">
        <f>Taxepunkter!K324</f>
        <v/>
      </c>
      <c r="L317" s="6">
        <f>Taxepunkter!L324</f>
        <v/>
      </c>
    </row>
    <row r="318">
      <c r="A318" s="5">
        <f>Taxepunkter!A325</f>
        <v/>
      </c>
      <c r="B318" s="4">
        <f>Taxepunkter!B325</f>
        <v/>
      </c>
      <c r="C318" s="4">
        <f>Taxepunkter!C325</f>
        <v/>
      </c>
      <c r="D318" s="4">
        <f>Taxepunkter!D325</f>
        <v/>
      </c>
      <c r="E318" s="4">
        <f>Taxepunkter!E325</f>
        <v/>
      </c>
      <c r="F318" s="4">
        <f>Taxepunkter!F325</f>
        <v/>
      </c>
      <c r="G318" s="4">
        <f>Taxepunkter!G325</f>
        <v/>
      </c>
      <c r="H318" s="4">
        <f>Taxepunkter!H325</f>
        <v/>
      </c>
      <c r="I318" s="4">
        <f>Taxepunkter!I325</f>
        <v/>
      </c>
      <c r="J318" s="4">
        <f>Taxepunkter!J325</f>
        <v/>
      </c>
      <c r="K318" s="4">
        <f>Taxepunkter!K325</f>
        <v/>
      </c>
      <c r="L318" s="6">
        <f>Taxepunkter!L325</f>
        <v/>
      </c>
    </row>
    <row r="319">
      <c r="A319" s="5">
        <f>Taxepunkter!A326</f>
        <v/>
      </c>
      <c r="B319" s="4">
        <f>Taxepunkter!B326</f>
        <v/>
      </c>
      <c r="C319" s="4">
        <f>Taxepunkter!C326</f>
        <v/>
      </c>
      <c r="D319" s="4">
        <f>Taxepunkter!D326</f>
        <v/>
      </c>
      <c r="E319" s="4">
        <f>Taxepunkter!E326</f>
        <v/>
      </c>
      <c r="F319" s="4">
        <f>Taxepunkter!F326</f>
        <v/>
      </c>
      <c r="G319" s="4">
        <f>Taxepunkter!G326</f>
        <v/>
      </c>
      <c r="H319" s="4">
        <f>Taxepunkter!H326</f>
        <v/>
      </c>
      <c r="I319" s="4">
        <f>Taxepunkter!I326</f>
        <v/>
      </c>
      <c r="J319" s="4">
        <f>Taxepunkter!J326</f>
        <v/>
      </c>
      <c r="K319" s="4">
        <f>Taxepunkter!K326</f>
        <v/>
      </c>
      <c r="L319" s="6">
        <f>Taxepunkter!L326</f>
        <v/>
      </c>
    </row>
    <row r="320">
      <c r="A320" s="5">
        <f>Taxepunkter!A327</f>
        <v/>
      </c>
      <c r="B320" s="4">
        <f>Taxepunkter!B327</f>
        <v/>
      </c>
      <c r="C320" s="4">
        <f>Taxepunkter!C327</f>
        <v/>
      </c>
      <c r="D320" s="4">
        <f>Taxepunkter!D327</f>
        <v/>
      </c>
      <c r="E320" s="4">
        <f>Taxepunkter!E327</f>
        <v/>
      </c>
      <c r="F320" s="4">
        <f>Taxepunkter!F327</f>
        <v/>
      </c>
      <c r="G320" s="4">
        <f>Taxepunkter!G327</f>
        <v/>
      </c>
      <c r="H320" s="4">
        <f>Taxepunkter!H327</f>
        <v/>
      </c>
      <c r="I320" s="4">
        <f>Taxepunkter!I327</f>
        <v/>
      </c>
      <c r="J320" s="4">
        <f>Taxepunkter!J327</f>
        <v/>
      </c>
      <c r="K320" s="4">
        <f>Taxepunkter!K327</f>
        <v/>
      </c>
      <c r="L320" s="6">
        <f>Taxepunkter!L327</f>
        <v/>
      </c>
    </row>
    <row r="321">
      <c r="A321" s="5">
        <f>Taxepunkter!A328</f>
        <v/>
      </c>
      <c r="B321" s="4">
        <f>Taxepunkter!B328</f>
        <v/>
      </c>
      <c r="C321" s="4">
        <f>Taxepunkter!C328</f>
        <v/>
      </c>
      <c r="D321" s="4">
        <f>Taxepunkter!D328</f>
        <v/>
      </c>
      <c r="E321" s="4">
        <f>Taxepunkter!E328</f>
        <v/>
      </c>
      <c r="F321" s="4">
        <f>Taxepunkter!F328</f>
        <v/>
      </c>
      <c r="G321" s="4">
        <f>Taxepunkter!G328</f>
        <v/>
      </c>
      <c r="H321" s="4">
        <f>Taxepunkter!H328</f>
        <v/>
      </c>
      <c r="I321" s="4">
        <f>Taxepunkter!I328</f>
        <v/>
      </c>
      <c r="J321" s="4">
        <f>Taxepunkter!J328</f>
        <v/>
      </c>
      <c r="K321" s="4">
        <f>Taxepunkter!K328</f>
        <v/>
      </c>
      <c r="L321" s="6">
        <f>Taxepunkter!L328</f>
        <v/>
      </c>
    </row>
    <row r="322">
      <c r="A322" s="5">
        <f>Taxepunkter!A329</f>
        <v/>
      </c>
      <c r="B322" s="4">
        <f>Taxepunkter!B329</f>
        <v/>
      </c>
      <c r="C322" s="4">
        <f>Taxepunkter!C329</f>
        <v/>
      </c>
      <c r="D322" s="4">
        <f>Taxepunkter!D329</f>
        <v/>
      </c>
      <c r="E322" s="4">
        <f>Taxepunkter!E329</f>
        <v/>
      </c>
      <c r="F322" s="4">
        <f>Taxepunkter!F329</f>
        <v/>
      </c>
      <c r="G322" s="4">
        <f>Taxepunkter!G329</f>
        <v/>
      </c>
      <c r="H322" s="4">
        <f>Taxepunkter!H329</f>
        <v/>
      </c>
      <c r="I322" s="4">
        <f>Taxepunkter!I329</f>
        <v/>
      </c>
      <c r="J322" s="4">
        <f>Taxepunkter!J329</f>
        <v/>
      </c>
      <c r="K322" s="4">
        <f>Taxepunkter!K329</f>
        <v/>
      </c>
      <c r="L322" s="6">
        <f>Taxepunkter!L329</f>
        <v/>
      </c>
    </row>
    <row r="323">
      <c r="A323" s="5">
        <f>Taxepunkter!A330</f>
        <v/>
      </c>
      <c r="B323" s="4">
        <f>Taxepunkter!B330</f>
        <v/>
      </c>
      <c r="C323" s="4">
        <f>Taxepunkter!C330</f>
        <v/>
      </c>
      <c r="D323" s="4">
        <f>Taxepunkter!D330</f>
        <v/>
      </c>
      <c r="E323" s="4">
        <f>Taxepunkter!E330</f>
        <v/>
      </c>
      <c r="F323" s="4">
        <f>Taxepunkter!F330</f>
        <v/>
      </c>
      <c r="G323" s="4">
        <f>Taxepunkter!G330</f>
        <v/>
      </c>
      <c r="H323" s="4">
        <f>Taxepunkter!H330</f>
        <v/>
      </c>
      <c r="I323" s="4">
        <f>Taxepunkter!I330</f>
        <v/>
      </c>
      <c r="J323" s="4">
        <f>Taxepunkter!J330</f>
        <v/>
      </c>
      <c r="K323" s="4">
        <f>Taxepunkter!K330</f>
        <v/>
      </c>
      <c r="L323" s="6">
        <f>Taxepunkter!L330</f>
        <v/>
      </c>
    </row>
    <row r="324">
      <c r="A324" s="5">
        <f>Taxepunkter!A331</f>
        <v/>
      </c>
      <c r="B324" s="4">
        <f>Taxepunkter!B331</f>
        <v/>
      </c>
      <c r="C324" s="4">
        <f>Taxepunkter!C331</f>
        <v/>
      </c>
      <c r="D324" s="4">
        <f>Taxepunkter!D331</f>
        <v/>
      </c>
      <c r="E324" s="4">
        <f>Taxepunkter!E331</f>
        <v/>
      </c>
      <c r="F324" s="4">
        <f>Taxepunkter!F331</f>
        <v/>
      </c>
      <c r="G324" s="4">
        <f>Taxepunkter!G331</f>
        <v/>
      </c>
      <c r="H324" s="4">
        <f>Taxepunkter!H331</f>
        <v/>
      </c>
      <c r="I324" s="4">
        <f>Taxepunkter!I331</f>
        <v/>
      </c>
      <c r="J324" s="4">
        <f>Taxepunkter!J331</f>
        <v/>
      </c>
      <c r="K324" s="4">
        <f>Taxepunkter!K331</f>
        <v/>
      </c>
      <c r="L324" s="6">
        <f>Taxepunkter!L331</f>
        <v/>
      </c>
    </row>
    <row r="325">
      <c r="A325" s="5">
        <f>Taxepunkter!A332</f>
        <v/>
      </c>
      <c r="B325" s="4">
        <f>Taxepunkter!B332</f>
        <v/>
      </c>
      <c r="C325" s="4">
        <f>Taxepunkter!C332</f>
        <v/>
      </c>
      <c r="D325" s="4">
        <f>Taxepunkter!D332</f>
        <v/>
      </c>
      <c r="E325" s="4">
        <f>Taxepunkter!E332</f>
        <v/>
      </c>
      <c r="F325" s="4">
        <f>Taxepunkter!F332</f>
        <v/>
      </c>
      <c r="G325" s="4">
        <f>Taxepunkter!G332</f>
        <v/>
      </c>
      <c r="H325" s="4">
        <f>Taxepunkter!H332</f>
        <v/>
      </c>
      <c r="I325" s="4">
        <f>Taxepunkter!I332</f>
        <v/>
      </c>
      <c r="J325" s="4">
        <f>Taxepunkter!J332</f>
        <v/>
      </c>
      <c r="K325" s="4">
        <f>Taxepunkter!K332</f>
        <v/>
      </c>
      <c r="L325" s="6">
        <f>Taxepunkter!L332</f>
        <v/>
      </c>
    </row>
    <row r="326">
      <c r="A326" s="5">
        <f>Taxepunkter!A333</f>
        <v/>
      </c>
      <c r="B326" s="4">
        <f>Taxepunkter!B333</f>
        <v/>
      </c>
      <c r="C326" s="4">
        <f>Taxepunkter!C333</f>
        <v/>
      </c>
      <c r="D326" s="4">
        <f>Taxepunkter!D333</f>
        <v/>
      </c>
      <c r="E326" s="4">
        <f>Taxepunkter!E333</f>
        <v/>
      </c>
      <c r="F326" s="4">
        <f>Taxepunkter!F333</f>
        <v/>
      </c>
      <c r="G326" s="4">
        <f>Taxepunkter!G333</f>
        <v/>
      </c>
      <c r="H326" s="4">
        <f>Taxepunkter!H333</f>
        <v/>
      </c>
      <c r="I326" s="4">
        <f>Taxepunkter!I333</f>
        <v/>
      </c>
      <c r="J326" s="4">
        <f>Taxepunkter!J333</f>
        <v/>
      </c>
      <c r="K326" s="4">
        <f>Taxepunkter!K333</f>
        <v/>
      </c>
      <c r="L326" s="6">
        <f>Taxepunkter!L333</f>
        <v/>
      </c>
    </row>
    <row r="327">
      <c r="A327" s="5">
        <f>Taxepunkter!A334</f>
        <v/>
      </c>
      <c r="B327" s="4">
        <f>Taxepunkter!B334</f>
        <v/>
      </c>
      <c r="C327" s="4">
        <f>Taxepunkter!C334</f>
        <v/>
      </c>
      <c r="D327" s="4">
        <f>Taxepunkter!D334</f>
        <v/>
      </c>
      <c r="E327" s="4">
        <f>Taxepunkter!E334</f>
        <v/>
      </c>
      <c r="F327" s="4">
        <f>Taxepunkter!F334</f>
        <v/>
      </c>
      <c r="G327" s="4">
        <f>Taxepunkter!G334</f>
        <v/>
      </c>
      <c r="H327" s="4">
        <f>Taxepunkter!H334</f>
        <v/>
      </c>
      <c r="I327" s="4">
        <f>Taxepunkter!I334</f>
        <v/>
      </c>
      <c r="J327" s="4">
        <f>Taxepunkter!J334</f>
        <v/>
      </c>
      <c r="K327" s="4">
        <f>Taxepunkter!K334</f>
        <v/>
      </c>
      <c r="L327" s="6">
        <f>Taxepunkter!L334</f>
        <v/>
      </c>
    </row>
    <row r="328">
      <c r="A328" s="5">
        <f>Taxepunkter!A335</f>
        <v/>
      </c>
      <c r="B328" s="4">
        <f>Taxepunkter!B335</f>
        <v/>
      </c>
      <c r="C328" s="4">
        <f>Taxepunkter!C335</f>
        <v/>
      </c>
      <c r="D328" s="4">
        <f>Taxepunkter!D335</f>
        <v/>
      </c>
      <c r="E328" s="4">
        <f>Taxepunkter!E335</f>
        <v/>
      </c>
      <c r="F328" s="4">
        <f>Taxepunkter!F335</f>
        <v/>
      </c>
      <c r="G328" s="4">
        <f>Taxepunkter!G335</f>
        <v/>
      </c>
      <c r="H328" s="4">
        <f>Taxepunkter!H335</f>
        <v/>
      </c>
      <c r="I328" s="4">
        <f>Taxepunkter!I335</f>
        <v/>
      </c>
      <c r="J328" s="4">
        <f>Taxepunkter!J335</f>
        <v/>
      </c>
      <c r="K328" s="4">
        <f>Taxepunkter!K335</f>
        <v/>
      </c>
      <c r="L328" s="6">
        <f>Taxepunkter!L335</f>
        <v/>
      </c>
    </row>
    <row r="329">
      <c r="A329" s="5">
        <f>Taxepunkter!A336</f>
        <v/>
      </c>
      <c r="B329" s="4">
        <f>Taxepunkter!B336</f>
        <v/>
      </c>
      <c r="C329" s="4">
        <f>Taxepunkter!C336</f>
        <v/>
      </c>
      <c r="D329" s="4">
        <f>Taxepunkter!D336</f>
        <v/>
      </c>
      <c r="E329" s="4">
        <f>Taxepunkter!E336</f>
        <v/>
      </c>
      <c r="F329" s="4">
        <f>Taxepunkter!F336</f>
        <v/>
      </c>
      <c r="G329" s="4">
        <f>Taxepunkter!G336</f>
        <v/>
      </c>
      <c r="H329" s="4">
        <f>Taxepunkter!H336</f>
        <v/>
      </c>
      <c r="I329" s="4">
        <f>Taxepunkter!I336</f>
        <v/>
      </c>
      <c r="J329" s="4">
        <f>Taxepunkter!J336</f>
        <v/>
      </c>
      <c r="K329" s="4">
        <f>Taxepunkter!K336</f>
        <v/>
      </c>
      <c r="L329" s="6">
        <f>Taxepunkter!L336</f>
        <v/>
      </c>
    </row>
    <row r="330">
      <c r="A330" s="5">
        <f>Taxepunkter!A337</f>
        <v/>
      </c>
      <c r="B330" s="4">
        <f>Taxepunkter!B337</f>
        <v/>
      </c>
      <c r="C330" s="4">
        <f>Taxepunkter!C337</f>
        <v/>
      </c>
      <c r="D330" s="4">
        <f>Taxepunkter!D337</f>
        <v/>
      </c>
      <c r="E330" s="4">
        <f>Taxepunkter!E337</f>
        <v/>
      </c>
      <c r="F330" s="4">
        <f>Taxepunkter!F337</f>
        <v/>
      </c>
      <c r="G330" s="4">
        <f>Taxepunkter!G337</f>
        <v/>
      </c>
      <c r="H330" s="4">
        <f>Taxepunkter!H337</f>
        <v/>
      </c>
      <c r="I330" s="4">
        <f>Taxepunkter!I337</f>
        <v/>
      </c>
      <c r="J330" s="4">
        <f>Taxepunkter!J337</f>
        <v/>
      </c>
      <c r="K330" s="4">
        <f>Taxepunkter!K337</f>
        <v/>
      </c>
      <c r="L330" s="6">
        <f>Taxepunkter!L337</f>
        <v/>
      </c>
    </row>
    <row r="331">
      <c r="A331" s="5">
        <f>Taxepunkter!A338</f>
        <v/>
      </c>
      <c r="B331" s="4">
        <f>Taxepunkter!B338</f>
        <v/>
      </c>
      <c r="C331" s="4">
        <f>Taxepunkter!C338</f>
        <v/>
      </c>
      <c r="D331" s="4">
        <f>Taxepunkter!D338</f>
        <v/>
      </c>
      <c r="E331" s="4">
        <f>Taxepunkter!E338</f>
        <v/>
      </c>
      <c r="F331" s="4">
        <f>Taxepunkter!F338</f>
        <v/>
      </c>
      <c r="G331" s="4">
        <f>Taxepunkter!G338</f>
        <v/>
      </c>
      <c r="H331" s="4">
        <f>Taxepunkter!H338</f>
        <v/>
      </c>
      <c r="I331" s="4">
        <f>Taxepunkter!I338</f>
        <v/>
      </c>
      <c r="J331" s="4">
        <f>Taxepunkter!J338</f>
        <v/>
      </c>
      <c r="K331" s="4">
        <f>Taxepunkter!K338</f>
        <v/>
      </c>
      <c r="L331" s="6">
        <f>Taxepunkter!L338</f>
        <v/>
      </c>
    </row>
    <row r="332">
      <c r="A332" s="5">
        <f>Taxepunkter!A339</f>
        <v/>
      </c>
      <c r="B332" s="4">
        <f>Taxepunkter!B339</f>
        <v/>
      </c>
      <c r="C332" s="4">
        <f>Taxepunkter!C339</f>
        <v/>
      </c>
      <c r="D332" s="4">
        <f>Taxepunkter!D339</f>
        <v/>
      </c>
      <c r="E332" s="4">
        <f>Taxepunkter!E339</f>
        <v/>
      </c>
      <c r="F332" s="4">
        <f>Taxepunkter!F339</f>
        <v/>
      </c>
      <c r="G332" s="4">
        <f>Taxepunkter!G339</f>
        <v/>
      </c>
      <c r="H332" s="4">
        <f>Taxepunkter!H339</f>
        <v/>
      </c>
      <c r="I332" s="4">
        <f>Taxepunkter!I339</f>
        <v/>
      </c>
      <c r="J332" s="4">
        <f>Taxepunkter!J339</f>
        <v/>
      </c>
      <c r="K332" s="4">
        <f>Taxepunkter!K339</f>
        <v/>
      </c>
      <c r="L332" s="6">
        <f>Taxepunkter!L339</f>
        <v/>
      </c>
    </row>
    <row r="333">
      <c r="A333" s="5">
        <f>Taxepunkter!A340</f>
        <v/>
      </c>
      <c r="B333" s="4">
        <f>Taxepunkter!B340</f>
        <v/>
      </c>
      <c r="C333" s="4">
        <f>Taxepunkter!C340</f>
        <v/>
      </c>
      <c r="D333" s="4">
        <f>Taxepunkter!D340</f>
        <v/>
      </c>
      <c r="E333" s="4">
        <f>Taxepunkter!E340</f>
        <v/>
      </c>
      <c r="F333" s="4">
        <f>Taxepunkter!F340</f>
        <v/>
      </c>
      <c r="G333" s="4">
        <f>Taxepunkter!G340</f>
        <v/>
      </c>
      <c r="H333" s="4">
        <f>Taxepunkter!H340</f>
        <v/>
      </c>
      <c r="I333" s="4">
        <f>Taxepunkter!I340</f>
        <v/>
      </c>
      <c r="J333" s="4">
        <f>Taxepunkter!J340</f>
        <v/>
      </c>
      <c r="K333" s="4">
        <f>Taxepunkter!K340</f>
        <v/>
      </c>
      <c r="L333" s="6">
        <f>Taxepunkter!L340</f>
        <v/>
      </c>
    </row>
    <row r="334">
      <c r="A334" s="5">
        <f>Taxepunkter!A341</f>
        <v/>
      </c>
      <c r="B334" s="4">
        <f>Taxepunkter!B341</f>
        <v/>
      </c>
      <c r="C334" s="4">
        <f>Taxepunkter!C341</f>
        <v/>
      </c>
      <c r="D334" s="4">
        <f>Taxepunkter!D341</f>
        <v/>
      </c>
      <c r="E334" s="4">
        <f>Taxepunkter!E341</f>
        <v/>
      </c>
      <c r="F334" s="4">
        <f>Taxepunkter!F341</f>
        <v/>
      </c>
      <c r="G334" s="4">
        <f>Taxepunkter!G341</f>
        <v/>
      </c>
      <c r="H334" s="4">
        <f>Taxepunkter!H341</f>
        <v/>
      </c>
      <c r="I334" s="4">
        <f>Taxepunkter!I341</f>
        <v/>
      </c>
      <c r="J334" s="4">
        <f>Taxepunkter!J341</f>
        <v/>
      </c>
      <c r="K334" s="4">
        <f>Taxepunkter!K341</f>
        <v/>
      </c>
      <c r="L334" s="6">
        <f>Taxepunkter!L341</f>
        <v/>
      </c>
    </row>
    <row r="335">
      <c r="A335" s="5">
        <f>Taxepunkter!A342</f>
        <v/>
      </c>
      <c r="B335" s="4">
        <f>Taxepunkter!B342</f>
        <v/>
      </c>
      <c r="C335" s="4">
        <f>Taxepunkter!C342</f>
        <v/>
      </c>
      <c r="D335" s="4">
        <f>Taxepunkter!D342</f>
        <v/>
      </c>
      <c r="E335" s="4">
        <f>Taxepunkter!E342</f>
        <v/>
      </c>
      <c r="F335" s="4">
        <f>Taxepunkter!F342</f>
        <v/>
      </c>
      <c r="G335" s="4">
        <f>Taxepunkter!G342</f>
        <v/>
      </c>
      <c r="H335" s="4">
        <f>Taxepunkter!H342</f>
        <v/>
      </c>
      <c r="I335" s="4">
        <f>Taxepunkter!I342</f>
        <v/>
      </c>
      <c r="J335" s="4">
        <f>Taxepunkter!J342</f>
        <v/>
      </c>
      <c r="K335" s="4">
        <f>Taxepunkter!K342</f>
        <v/>
      </c>
      <c r="L335" s="6">
        <f>Taxepunkter!L342</f>
        <v/>
      </c>
    </row>
    <row r="336">
      <c r="A336" s="5">
        <f>Taxepunkter!A343</f>
        <v/>
      </c>
      <c r="B336" s="4">
        <f>Taxepunkter!B343</f>
        <v/>
      </c>
      <c r="C336" s="4">
        <f>Taxepunkter!C343</f>
        <v/>
      </c>
      <c r="D336" s="4">
        <f>Taxepunkter!D343</f>
        <v/>
      </c>
      <c r="E336" s="4">
        <f>Taxepunkter!E343</f>
        <v/>
      </c>
      <c r="F336" s="4">
        <f>Taxepunkter!F343</f>
        <v/>
      </c>
      <c r="G336" s="4">
        <f>Taxepunkter!G343</f>
        <v/>
      </c>
      <c r="H336" s="4">
        <f>Taxepunkter!H343</f>
        <v/>
      </c>
      <c r="I336" s="4">
        <f>Taxepunkter!I343</f>
        <v/>
      </c>
      <c r="J336" s="4">
        <f>Taxepunkter!J343</f>
        <v/>
      </c>
      <c r="K336" s="4">
        <f>Taxepunkter!K343</f>
        <v/>
      </c>
      <c r="L336" s="6">
        <f>Taxepunkter!L343</f>
        <v/>
      </c>
    </row>
    <row r="337">
      <c r="A337" s="5">
        <f>Taxepunkter!A344</f>
        <v/>
      </c>
      <c r="B337" s="4">
        <f>Taxepunkter!B344</f>
        <v/>
      </c>
      <c r="C337" s="4">
        <f>Taxepunkter!C344</f>
        <v/>
      </c>
      <c r="D337" s="4">
        <f>Taxepunkter!D344</f>
        <v/>
      </c>
      <c r="E337" s="4">
        <f>Taxepunkter!E344</f>
        <v/>
      </c>
      <c r="F337" s="4">
        <f>Taxepunkter!F344</f>
        <v/>
      </c>
      <c r="G337" s="4">
        <f>Taxepunkter!G344</f>
        <v/>
      </c>
      <c r="H337" s="4">
        <f>Taxepunkter!H344</f>
        <v/>
      </c>
      <c r="I337" s="4">
        <f>Taxepunkter!I344</f>
        <v/>
      </c>
      <c r="J337" s="4">
        <f>Taxepunkter!J344</f>
        <v/>
      </c>
      <c r="K337" s="4">
        <f>Taxepunkter!K344</f>
        <v/>
      </c>
      <c r="L337" s="6">
        <f>Taxepunkter!L344</f>
        <v/>
      </c>
    </row>
    <row r="338">
      <c r="A338" s="5">
        <f>Taxepunkter!A345</f>
        <v/>
      </c>
      <c r="B338" s="4">
        <f>Taxepunkter!B345</f>
        <v/>
      </c>
      <c r="C338" s="4">
        <f>Taxepunkter!C345</f>
        <v/>
      </c>
      <c r="D338" s="4">
        <f>Taxepunkter!D345</f>
        <v/>
      </c>
      <c r="E338" s="4">
        <f>Taxepunkter!E345</f>
        <v/>
      </c>
      <c r="F338" s="4">
        <f>Taxepunkter!F345</f>
        <v/>
      </c>
      <c r="G338" s="4">
        <f>Taxepunkter!G345</f>
        <v/>
      </c>
      <c r="H338" s="4">
        <f>Taxepunkter!H345</f>
        <v/>
      </c>
      <c r="I338" s="4">
        <f>Taxepunkter!I345</f>
        <v/>
      </c>
      <c r="J338" s="4">
        <f>Taxepunkter!J345</f>
        <v/>
      </c>
      <c r="K338" s="4">
        <f>Taxepunkter!K345</f>
        <v/>
      </c>
      <c r="L338" s="6">
        <f>Taxepunkter!L345</f>
        <v/>
      </c>
    </row>
    <row r="339">
      <c r="A339" s="5">
        <f>Taxepunkter!A346</f>
        <v/>
      </c>
      <c r="B339" s="4">
        <f>Taxepunkter!B346</f>
        <v/>
      </c>
      <c r="C339" s="4">
        <f>Taxepunkter!C346</f>
        <v/>
      </c>
      <c r="D339" s="4">
        <f>Taxepunkter!D346</f>
        <v/>
      </c>
      <c r="E339" s="4">
        <f>Taxepunkter!E346</f>
        <v/>
      </c>
      <c r="F339" s="4">
        <f>Taxepunkter!F346</f>
        <v/>
      </c>
      <c r="G339" s="4">
        <f>Taxepunkter!G346</f>
        <v/>
      </c>
      <c r="H339" s="4">
        <f>Taxepunkter!H346</f>
        <v/>
      </c>
      <c r="I339" s="4">
        <f>Taxepunkter!I346</f>
        <v/>
      </c>
      <c r="J339" s="4">
        <f>Taxepunkter!J346</f>
        <v/>
      </c>
      <c r="K339" s="4">
        <f>Taxepunkter!K346</f>
        <v/>
      </c>
      <c r="L339" s="6">
        <f>Taxepunkter!L346</f>
        <v/>
      </c>
    </row>
    <row r="340">
      <c r="A340" s="5">
        <f>Taxepunkter!A347</f>
        <v/>
      </c>
      <c r="B340" s="4">
        <f>Taxepunkter!B347</f>
        <v/>
      </c>
      <c r="C340" s="4">
        <f>Taxepunkter!C347</f>
        <v/>
      </c>
      <c r="D340" s="4">
        <f>Taxepunkter!D347</f>
        <v/>
      </c>
      <c r="E340" s="4">
        <f>Taxepunkter!E347</f>
        <v/>
      </c>
      <c r="F340" s="4">
        <f>Taxepunkter!F347</f>
        <v/>
      </c>
      <c r="G340" s="4">
        <f>Taxepunkter!G347</f>
        <v/>
      </c>
      <c r="H340" s="4">
        <f>Taxepunkter!H347</f>
        <v/>
      </c>
      <c r="I340" s="4">
        <f>Taxepunkter!I347</f>
        <v/>
      </c>
      <c r="J340" s="4">
        <f>Taxepunkter!J347</f>
        <v/>
      </c>
      <c r="K340" s="4">
        <f>Taxepunkter!K347</f>
        <v/>
      </c>
      <c r="L340" s="6">
        <f>Taxepunkter!L347</f>
        <v/>
      </c>
    </row>
    <row r="341">
      <c r="A341" s="5">
        <f>Taxepunkter!A348</f>
        <v/>
      </c>
      <c r="B341" s="4">
        <f>Taxepunkter!B348</f>
        <v/>
      </c>
      <c r="C341" s="4">
        <f>Taxepunkter!C348</f>
        <v/>
      </c>
      <c r="D341" s="4">
        <f>Taxepunkter!D348</f>
        <v/>
      </c>
      <c r="E341" s="4">
        <f>Taxepunkter!E348</f>
        <v/>
      </c>
      <c r="F341" s="4">
        <f>Taxepunkter!F348</f>
        <v/>
      </c>
      <c r="G341" s="4">
        <f>Taxepunkter!G348</f>
        <v/>
      </c>
      <c r="H341" s="4">
        <f>Taxepunkter!H348</f>
        <v/>
      </c>
      <c r="I341" s="4">
        <f>Taxepunkter!I348</f>
        <v/>
      </c>
      <c r="J341" s="4">
        <f>Taxepunkter!J348</f>
        <v/>
      </c>
      <c r="K341" s="4">
        <f>Taxepunkter!K348</f>
        <v/>
      </c>
      <c r="L341" s="6">
        <f>Taxepunkter!L348</f>
        <v/>
      </c>
    </row>
    <row r="342">
      <c r="A342" s="5">
        <f>Taxepunkter!A349</f>
        <v/>
      </c>
      <c r="B342" s="4">
        <f>Taxepunkter!B349</f>
        <v/>
      </c>
      <c r="C342" s="4">
        <f>Taxepunkter!C349</f>
        <v/>
      </c>
      <c r="D342" s="4">
        <f>Taxepunkter!D349</f>
        <v/>
      </c>
      <c r="E342" s="4">
        <f>Taxepunkter!E349</f>
        <v/>
      </c>
      <c r="F342" s="4">
        <f>Taxepunkter!F349</f>
        <v/>
      </c>
      <c r="G342" s="4">
        <f>Taxepunkter!G349</f>
        <v/>
      </c>
      <c r="H342" s="4">
        <f>Taxepunkter!H349</f>
        <v/>
      </c>
      <c r="I342" s="4">
        <f>Taxepunkter!I349</f>
        <v/>
      </c>
      <c r="J342" s="4">
        <f>Taxepunkter!J349</f>
        <v/>
      </c>
      <c r="K342" s="4">
        <f>Taxepunkter!K349</f>
        <v/>
      </c>
      <c r="L342" s="6">
        <f>Taxepunkter!L349</f>
        <v/>
      </c>
    </row>
    <row r="343">
      <c r="A343" s="5">
        <f>Taxepunkter!A350</f>
        <v/>
      </c>
      <c r="B343" s="4">
        <f>Taxepunkter!B350</f>
        <v/>
      </c>
      <c r="C343" s="4">
        <f>Taxepunkter!C350</f>
        <v/>
      </c>
      <c r="D343" s="4">
        <f>Taxepunkter!D350</f>
        <v/>
      </c>
      <c r="E343" s="4">
        <f>Taxepunkter!E350</f>
        <v/>
      </c>
      <c r="F343" s="4">
        <f>Taxepunkter!F350</f>
        <v/>
      </c>
      <c r="G343" s="4">
        <f>Taxepunkter!G350</f>
        <v/>
      </c>
      <c r="H343" s="4">
        <f>Taxepunkter!H350</f>
        <v/>
      </c>
      <c r="I343" s="4">
        <f>Taxepunkter!I350</f>
        <v/>
      </c>
      <c r="J343" s="4">
        <f>Taxepunkter!J350</f>
        <v/>
      </c>
      <c r="K343" s="4">
        <f>Taxepunkter!K350</f>
        <v/>
      </c>
      <c r="L343" s="6">
        <f>Taxepunkter!L350</f>
        <v/>
      </c>
    </row>
    <row r="344">
      <c r="A344" s="5">
        <f>Taxepunkter!A351</f>
        <v/>
      </c>
      <c r="B344" s="4">
        <f>Taxepunkter!B351</f>
        <v/>
      </c>
      <c r="C344" s="4">
        <f>Taxepunkter!C351</f>
        <v/>
      </c>
      <c r="D344" s="4">
        <f>Taxepunkter!D351</f>
        <v/>
      </c>
      <c r="E344" s="4">
        <f>Taxepunkter!E351</f>
        <v/>
      </c>
      <c r="F344" s="4">
        <f>Taxepunkter!F351</f>
        <v/>
      </c>
      <c r="G344" s="4">
        <f>Taxepunkter!G351</f>
        <v/>
      </c>
      <c r="H344" s="4">
        <f>Taxepunkter!H351</f>
        <v/>
      </c>
      <c r="I344" s="4">
        <f>Taxepunkter!I351</f>
        <v/>
      </c>
      <c r="J344" s="4">
        <f>Taxepunkter!J351</f>
        <v/>
      </c>
      <c r="K344" s="4">
        <f>Taxepunkter!K351</f>
        <v/>
      </c>
      <c r="L344" s="6">
        <f>Taxepunkter!L351</f>
        <v/>
      </c>
    </row>
    <row r="345">
      <c r="A345" s="5">
        <f>Taxepunkter!A352</f>
        <v/>
      </c>
      <c r="B345" s="4">
        <f>Taxepunkter!B352</f>
        <v/>
      </c>
      <c r="C345" s="4">
        <f>Taxepunkter!C352</f>
        <v/>
      </c>
      <c r="D345" s="4">
        <f>Taxepunkter!D352</f>
        <v/>
      </c>
      <c r="E345" s="4">
        <f>Taxepunkter!E352</f>
        <v/>
      </c>
      <c r="F345" s="4">
        <f>Taxepunkter!F352</f>
        <v/>
      </c>
      <c r="G345" s="4">
        <f>Taxepunkter!G352</f>
        <v/>
      </c>
      <c r="H345" s="4">
        <f>Taxepunkter!H352</f>
        <v/>
      </c>
      <c r="I345" s="4">
        <f>Taxepunkter!I352</f>
        <v/>
      </c>
      <c r="J345" s="4">
        <f>Taxepunkter!J352</f>
        <v/>
      </c>
      <c r="K345" s="4">
        <f>Taxepunkter!K352</f>
        <v/>
      </c>
      <c r="L345" s="6">
        <f>Taxepunkter!L352</f>
        <v/>
      </c>
    </row>
    <row r="346">
      <c r="A346" s="5">
        <f>Taxepunkter!A353</f>
        <v/>
      </c>
      <c r="B346" s="4">
        <f>Taxepunkter!B353</f>
        <v/>
      </c>
      <c r="C346" s="4">
        <f>Taxepunkter!C353</f>
        <v/>
      </c>
      <c r="D346" s="4">
        <f>Taxepunkter!D353</f>
        <v/>
      </c>
      <c r="E346" s="4">
        <f>Taxepunkter!E353</f>
        <v/>
      </c>
      <c r="F346" s="4">
        <f>Taxepunkter!F353</f>
        <v/>
      </c>
      <c r="G346" s="4">
        <f>Taxepunkter!G353</f>
        <v/>
      </c>
      <c r="H346" s="4">
        <f>Taxepunkter!H353</f>
        <v/>
      </c>
      <c r="I346" s="4">
        <f>Taxepunkter!I353</f>
        <v/>
      </c>
      <c r="J346" s="4">
        <f>Taxepunkter!J353</f>
        <v/>
      </c>
      <c r="K346" s="4">
        <f>Taxepunkter!K353</f>
        <v/>
      </c>
      <c r="L346" s="6">
        <f>Taxepunkter!L353</f>
        <v/>
      </c>
    </row>
    <row r="347">
      <c r="A347" s="5">
        <f>Taxepunkter!A354</f>
        <v/>
      </c>
      <c r="B347" s="4">
        <f>Taxepunkter!B354</f>
        <v/>
      </c>
      <c r="C347" s="4">
        <f>Taxepunkter!C354</f>
        <v/>
      </c>
      <c r="D347" s="4">
        <f>Taxepunkter!D354</f>
        <v/>
      </c>
      <c r="E347" s="4">
        <f>Taxepunkter!E354</f>
        <v/>
      </c>
      <c r="F347" s="4">
        <f>Taxepunkter!F354</f>
        <v/>
      </c>
      <c r="G347" s="4">
        <f>Taxepunkter!G354</f>
        <v/>
      </c>
      <c r="H347" s="4">
        <f>Taxepunkter!H354</f>
        <v/>
      </c>
      <c r="I347" s="4">
        <f>Taxepunkter!I354</f>
        <v/>
      </c>
      <c r="J347" s="4">
        <f>Taxepunkter!J354</f>
        <v/>
      </c>
      <c r="K347" s="4">
        <f>Taxepunkter!K354</f>
        <v/>
      </c>
      <c r="L347" s="6">
        <f>Taxepunkter!L354</f>
        <v/>
      </c>
    </row>
    <row r="348">
      <c r="A348" s="5">
        <f>Taxepunkter!A355</f>
        <v/>
      </c>
      <c r="B348" s="4">
        <f>Taxepunkter!B355</f>
        <v/>
      </c>
      <c r="C348" s="4">
        <f>Taxepunkter!C355</f>
        <v/>
      </c>
      <c r="D348" s="4">
        <f>Taxepunkter!D355</f>
        <v/>
      </c>
      <c r="E348" s="4">
        <f>Taxepunkter!E355</f>
        <v/>
      </c>
      <c r="F348" s="4">
        <f>Taxepunkter!F355</f>
        <v/>
      </c>
      <c r="G348" s="4">
        <f>Taxepunkter!G355</f>
        <v/>
      </c>
      <c r="H348" s="4">
        <f>Taxepunkter!H355</f>
        <v/>
      </c>
      <c r="I348" s="4">
        <f>Taxepunkter!I355</f>
        <v/>
      </c>
      <c r="J348" s="4">
        <f>Taxepunkter!J355</f>
        <v/>
      </c>
      <c r="K348" s="4">
        <f>Taxepunkter!K355</f>
        <v/>
      </c>
      <c r="L348" s="6">
        <f>Taxepunkter!L355</f>
        <v/>
      </c>
    </row>
    <row r="349">
      <c r="A349" s="5">
        <f>Taxepunkter!A356</f>
        <v/>
      </c>
      <c r="B349" s="4">
        <f>Taxepunkter!B356</f>
        <v/>
      </c>
      <c r="C349" s="4">
        <f>Taxepunkter!C356</f>
        <v/>
      </c>
      <c r="D349" s="4">
        <f>Taxepunkter!D356</f>
        <v/>
      </c>
      <c r="E349" s="4">
        <f>Taxepunkter!E356</f>
        <v/>
      </c>
      <c r="F349" s="4">
        <f>Taxepunkter!F356</f>
        <v/>
      </c>
      <c r="G349" s="4">
        <f>Taxepunkter!G356</f>
        <v/>
      </c>
      <c r="H349" s="4">
        <f>Taxepunkter!H356</f>
        <v/>
      </c>
      <c r="I349" s="4">
        <f>Taxepunkter!I356</f>
        <v/>
      </c>
      <c r="J349" s="4">
        <f>Taxepunkter!J356</f>
        <v/>
      </c>
      <c r="K349" s="4">
        <f>Taxepunkter!K356</f>
        <v/>
      </c>
      <c r="L349" s="6">
        <f>Taxepunkter!L356</f>
        <v/>
      </c>
    </row>
    <row r="350">
      <c r="A350" s="5">
        <f>Taxepunkter!A357</f>
        <v/>
      </c>
      <c r="B350" s="4">
        <f>Taxepunkter!B357</f>
        <v/>
      </c>
      <c r="C350" s="4">
        <f>Taxepunkter!C357</f>
        <v/>
      </c>
      <c r="D350" s="4">
        <f>Taxepunkter!D357</f>
        <v/>
      </c>
      <c r="E350" s="4">
        <f>Taxepunkter!E357</f>
        <v/>
      </c>
      <c r="F350" s="4">
        <f>Taxepunkter!F357</f>
        <v/>
      </c>
      <c r="G350" s="4">
        <f>Taxepunkter!G357</f>
        <v/>
      </c>
      <c r="H350" s="4">
        <f>Taxepunkter!H357</f>
        <v/>
      </c>
      <c r="I350" s="4">
        <f>Taxepunkter!I357</f>
        <v/>
      </c>
      <c r="J350" s="4">
        <f>Taxepunkter!J357</f>
        <v/>
      </c>
      <c r="K350" s="4">
        <f>Taxepunkter!K357</f>
        <v/>
      </c>
      <c r="L350" s="6">
        <f>Taxepunkter!L357</f>
        <v/>
      </c>
    </row>
    <row r="351">
      <c r="A351" s="5">
        <f>Taxepunkter!A358</f>
        <v/>
      </c>
      <c r="B351" s="4">
        <f>Taxepunkter!B358</f>
        <v/>
      </c>
      <c r="C351" s="4">
        <f>Taxepunkter!C358</f>
        <v/>
      </c>
      <c r="D351" s="4">
        <f>Taxepunkter!D358</f>
        <v/>
      </c>
      <c r="E351" s="4">
        <f>Taxepunkter!E358</f>
        <v/>
      </c>
      <c r="F351" s="4">
        <f>Taxepunkter!F358</f>
        <v/>
      </c>
      <c r="G351" s="4">
        <f>Taxepunkter!G358</f>
        <v/>
      </c>
      <c r="H351" s="4">
        <f>Taxepunkter!H358</f>
        <v/>
      </c>
      <c r="I351" s="4">
        <f>Taxepunkter!I358</f>
        <v/>
      </c>
      <c r="J351" s="4">
        <f>Taxepunkter!J358</f>
        <v/>
      </c>
      <c r="K351" s="4">
        <f>Taxepunkter!K358</f>
        <v/>
      </c>
      <c r="L351" s="6">
        <f>Taxepunkter!L358</f>
        <v/>
      </c>
    </row>
    <row r="352">
      <c r="A352" s="5">
        <f>Taxepunkter!A359</f>
        <v/>
      </c>
      <c r="B352" s="4">
        <f>Taxepunkter!B359</f>
        <v/>
      </c>
      <c r="C352" s="4">
        <f>Taxepunkter!C359</f>
        <v/>
      </c>
      <c r="D352" s="4">
        <f>Taxepunkter!D359</f>
        <v/>
      </c>
      <c r="E352" s="4">
        <f>Taxepunkter!E359</f>
        <v/>
      </c>
      <c r="F352" s="4">
        <f>Taxepunkter!F359</f>
        <v/>
      </c>
      <c r="G352" s="4">
        <f>Taxepunkter!G359</f>
        <v/>
      </c>
      <c r="H352" s="4">
        <f>Taxepunkter!H359</f>
        <v/>
      </c>
      <c r="I352" s="4">
        <f>Taxepunkter!I359</f>
        <v/>
      </c>
      <c r="J352" s="4">
        <f>Taxepunkter!J359</f>
        <v/>
      </c>
      <c r="K352" s="4">
        <f>Taxepunkter!K359</f>
        <v/>
      </c>
      <c r="L352" s="6">
        <f>Taxepunkter!L359</f>
        <v/>
      </c>
    </row>
    <row r="353">
      <c r="A353" s="5">
        <f>Taxepunkter!A360</f>
        <v/>
      </c>
      <c r="B353" s="4">
        <f>Taxepunkter!B360</f>
        <v/>
      </c>
      <c r="C353" s="4">
        <f>Taxepunkter!C360</f>
        <v/>
      </c>
      <c r="D353" s="4">
        <f>Taxepunkter!D360</f>
        <v/>
      </c>
      <c r="E353" s="4">
        <f>Taxepunkter!E360</f>
        <v/>
      </c>
      <c r="F353" s="4">
        <f>Taxepunkter!F360</f>
        <v/>
      </c>
      <c r="G353" s="4">
        <f>Taxepunkter!G360</f>
        <v/>
      </c>
      <c r="H353" s="4">
        <f>Taxepunkter!H360</f>
        <v/>
      </c>
      <c r="I353" s="4">
        <f>Taxepunkter!I360</f>
        <v/>
      </c>
      <c r="J353" s="4">
        <f>Taxepunkter!J360</f>
        <v/>
      </c>
      <c r="K353" s="4">
        <f>Taxepunkter!K360</f>
        <v/>
      </c>
      <c r="L353" s="6">
        <f>Taxepunkter!L360</f>
        <v/>
      </c>
    </row>
    <row r="354">
      <c r="A354" s="5">
        <f>Taxepunkter!A361</f>
        <v/>
      </c>
      <c r="B354" s="4">
        <f>Taxepunkter!B361</f>
        <v/>
      </c>
      <c r="C354" s="4">
        <f>Taxepunkter!C361</f>
        <v/>
      </c>
      <c r="D354" s="4">
        <f>Taxepunkter!D361</f>
        <v/>
      </c>
      <c r="E354" s="4">
        <f>Taxepunkter!E361</f>
        <v/>
      </c>
      <c r="F354" s="4">
        <f>Taxepunkter!F361</f>
        <v/>
      </c>
      <c r="G354" s="4">
        <f>Taxepunkter!G361</f>
        <v/>
      </c>
      <c r="H354" s="4">
        <f>Taxepunkter!H361</f>
        <v/>
      </c>
      <c r="I354" s="4">
        <f>Taxepunkter!I361</f>
        <v/>
      </c>
      <c r="J354" s="4">
        <f>Taxepunkter!J361</f>
        <v/>
      </c>
      <c r="K354" s="4">
        <f>Taxepunkter!K361</f>
        <v/>
      </c>
      <c r="L354" s="6">
        <f>Taxepunkter!L361</f>
        <v/>
      </c>
    </row>
    <row r="355">
      <c r="A355" s="5">
        <f>Taxepunkter!A362</f>
        <v/>
      </c>
      <c r="B355" s="4">
        <f>Taxepunkter!B362</f>
        <v/>
      </c>
      <c r="C355" s="4">
        <f>Taxepunkter!C362</f>
        <v/>
      </c>
      <c r="D355" s="4">
        <f>Taxepunkter!D362</f>
        <v/>
      </c>
      <c r="E355" s="4">
        <f>Taxepunkter!E362</f>
        <v/>
      </c>
      <c r="F355" s="4">
        <f>Taxepunkter!F362</f>
        <v/>
      </c>
      <c r="G355" s="4">
        <f>Taxepunkter!G362</f>
        <v/>
      </c>
      <c r="H355" s="4">
        <f>Taxepunkter!H362</f>
        <v/>
      </c>
      <c r="I355" s="4">
        <f>Taxepunkter!I362</f>
        <v/>
      </c>
      <c r="J355" s="4">
        <f>Taxepunkter!J362</f>
        <v/>
      </c>
      <c r="K355" s="4">
        <f>Taxepunkter!K362</f>
        <v/>
      </c>
      <c r="L355" s="6">
        <f>Taxepunkter!L362</f>
        <v/>
      </c>
    </row>
    <row r="356">
      <c r="A356" s="5">
        <f>Taxepunkter!A363</f>
        <v/>
      </c>
      <c r="B356" s="4">
        <f>Taxepunkter!B363</f>
        <v/>
      </c>
      <c r="C356" s="4">
        <f>Taxepunkter!C363</f>
        <v/>
      </c>
      <c r="D356" s="4">
        <f>Taxepunkter!D363</f>
        <v/>
      </c>
      <c r="E356" s="4">
        <f>Taxepunkter!E363</f>
        <v/>
      </c>
      <c r="F356" s="4">
        <f>Taxepunkter!F363</f>
        <v/>
      </c>
      <c r="G356" s="4">
        <f>Taxepunkter!G363</f>
        <v/>
      </c>
      <c r="H356" s="4">
        <f>Taxepunkter!H363</f>
        <v/>
      </c>
      <c r="I356" s="4">
        <f>Taxepunkter!I363</f>
        <v/>
      </c>
      <c r="J356" s="4">
        <f>Taxepunkter!J363</f>
        <v/>
      </c>
      <c r="K356" s="4">
        <f>Taxepunkter!K363</f>
        <v/>
      </c>
      <c r="L356" s="6">
        <f>Taxepunkter!L363</f>
        <v/>
      </c>
    </row>
    <row r="357">
      <c r="A357" s="5">
        <f>Taxepunkter!A364</f>
        <v/>
      </c>
      <c r="B357" s="4">
        <f>Taxepunkter!B364</f>
        <v/>
      </c>
      <c r="C357" s="4">
        <f>Taxepunkter!C364</f>
        <v/>
      </c>
      <c r="D357" s="4">
        <f>Taxepunkter!D364</f>
        <v/>
      </c>
      <c r="E357" s="4">
        <f>Taxepunkter!E364</f>
        <v/>
      </c>
      <c r="F357" s="4">
        <f>Taxepunkter!F364</f>
        <v/>
      </c>
      <c r="G357" s="4">
        <f>Taxepunkter!G364</f>
        <v/>
      </c>
      <c r="H357" s="4">
        <f>Taxepunkter!H364</f>
        <v/>
      </c>
      <c r="I357" s="4">
        <f>Taxepunkter!I364</f>
        <v/>
      </c>
      <c r="J357" s="4">
        <f>Taxepunkter!J364</f>
        <v/>
      </c>
      <c r="K357" s="4">
        <f>Taxepunkter!K364</f>
        <v/>
      </c>
      <c r="L357" s="6">
        <f>Taxepunkter!L364</f>
        <v/>
      </c>
    </row>
    <row r="358">
      <c r="A358" s="5">
        <f>Taxepunkter!A365</f>
        <v/>
      </c>
      <c r="B358" s="4">
        <f>Taxepunkter!B365</f>
        <v/>
      </c>
      <c r="C358" s="4">
        <f>Taxepunkter!C365</f>
        <v/>
      </c>
      <c r="D358" s="4">
        <f>Taxepunkter!D365</f>
        <v/>
      </c>
      <c r="E358" s="4">
        <f>Taxepunkter!E365</f>
        <v/>
      </c>
      <c r="F358" s="4">
        <f>Taxepunkter!F365</f>
        <v/>
      </c>
      <c r="G358" s="4">
        <f>Taxepunkter!G365</f>
        <v/>
      </c>
      <c r="H358" s="4">
        <f>Taxepunkter!H365</f>
        <v/>
      </c>
      <c r="I358" s="4">
        <f>Taxepunkter!I365</f>
        <v/>
      </c>
      <c r="J358" s="4">
        <f>Taxepunkter!J365</f>
        <v/>
      </c>
      <c r="K358" s="4">
        <f>Taxepunkter!K365</f>
        <v/>
      </c>
      <c r="L358" s="6">
        <f>Taxepunkter!L365</f>
        <v/>
      </c>
    </row>
    <row r="359">
      <c r="A359" s="5">
        <f>Taxepunkter!A366</f>
        <v/>
      </c>
      <c r="B359" s="4">
        <f>Taxepunkter!B366</f>
        <v/>
      </c>
      <c r="C359" s="4">
        <f>Taxepunkter!C366</f>
        <v/>
      </c>
      <c r="D359" s="4">
        <f>Taxepunkter!D366</f>
        <v/>
      </c>
      <c r="E359" s="4">
        <f>Taxepunkter!E366</f>
        <v/>
      </c>
      <c r="F359" s="4">
        <f>Taxepunkter!F366</f>
        <v/>
      </c>
      <c r="G359" s="4">
        <f>Taxepunkter!G366</f>
        <v/>
      </c>
      <c r="H359" s="4">
        <f>Taxepunkter!H366</f>
        <v/>
      </c>
      <c r="I359" s="4">
        <f>Taxepunkter!I366</f>
        <v/>
      </c>
      <c r="J359" s="4">
        <f>Taxepunkter!J366</f>
        <v/>
      </c>
      <c r="K359" s="4">
        <f>Taxepunkter!K366</f>
        <v/>
      </c>
      <c r="L359" s="6">
        <f>Taxepunkter!L366</f>
        <v/>
      </c>
    </row>
    <row r="360">
      <c r="A360" s="5">
        <f>Taxepunkter!A367</f>
        <v/>
      </c>
      <c r="B360" s="4">
        <f>Taxepunkter!B367</f>
        <v/>
      </c>
      <c r="C360" s="4">
        <f>Taxepunkter!C367</f>
        <v/>
      </c>
      <c r="D360" s="4">
        <f>Taxepunkter!D367</f>
        <v/>
      </c>
      <c r="E360" s="4">
        <f>Taxepunkter!E367</f>
        <v/>
      </c>
      <c r="F360" s="4">
        <f>Taxepunkter!F367</f>
        <v/>
      </c>
      <c r="G360" s="4">
        <f>Taxepunkter!G367</f>
        <v/>
      </c>
      <c r="H360" s="4">
        <f>Taxepunkter!H367</f>
        <v/>
      </c>
      <c r="I360" s="4">
        <f>Taxepunkter!I367</f>
        <v/>
      </c>
      <c r="J360" s="4">
        <f>Taxepunkter!J367</f>
        <v/>
      </c>
      <c r="K360" s="4">
        <f>Taxepunkter!K367</f>
        <v/>
      </c>
      <c r="L360" s="6">
        <f>Taxepunkter!L367</f>
        <v/>
      </c>
    </row>
    <row r="361">
      <c r="A361" s="5">
        <f>Taxepunkter!A368</f>
        <v/>
      </c>
      <c r="B361" s="4">
        <f>Taxepunkter!B368</f>
        <v/>
      </c>
      <c r="C361" s="4">
        <f>Taxepunkter!C368</f>
        <v/>
      </c>
      <c r="D361" s="4">
        <f>Taxepunkter!D368</f>
        <v/>
      </c>
      <c r="E361" s="4">
        <f>Taxepunkter!E368</f>
        <v/>
      </c>
      <c r="F361" s="4">
        <f>Taxepunkter!F368</f>
        <v/>
      </c>
      <c r="G361" s="4">
        <f>Taxepunkter!G368</f>
        <v/>
      </c>
      <c r="H361" s="4">
        <f>Taxepunkter!H368</f>
        <v/>
      </c>
      <c r="I361" s="4">
        <f>Taxepunkter!I368</f>
        <v/>
      </c>
      <c r="J361" s="4">
        <f>Taxepunkter!J368</f>
        <v/>
      </c>
      <c r="K361" s="4">
        <f>Taxepunkter!K368</f>
        <v/>
      </c>
      <c r="L361" s="6">
        <f>Taxepunkter!L368</f>
        <v/>
      </c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selection activeCell="A1" sqref="A1"/>
    </sheetView>
  </sheetViews>
  <sheetFormatPr baseColWidth="8" defaultRowHeight="15"/>
  <cols>
    <col width="18.140625" customWidth="1" min="1" max="17"/>
  </cols>
  <sheetData>
    <row r="1" ht="30" customHeight="1">
      <c r="A1" s="62" t="inlineStr">
        <is>
          <t>intRecnum</t>
        </is>
      </c>
      <c r="B1" s="63" t="inlineStr">
        <is>
          <t>strTaxekod</t>
        </is>
      </c>
      <c r="C1" s="63" t="inlineStr">
        <is>
          <t>strTaxebenamning</t>
        </is>
      </c>
      <c r="D1" s="63" t="inlineStr">
        <is>
          <t>strProdukt</t>
        </is>
      </c>
      <c r="E1" s="63" t="inlineStr">
        <is>
          <t>strDelProdukt</t>
        </is>
      </c>
      <c r="F1" s="63" t="inlineStr">
        <is>
          <t>bytDelradnr</t>
        </is>
      </c>
      <c r="G1" s="63" t="inlineStr">
        <is>
          <t>strFaktor</t>
        </is>
      </c>
      <c r="H1" s="63" t="inlineStr">
        <is>
          <t>strTaxedelAvser</t>
        </is>
      </c>
      <c r="I1" s="63" t="inlineStr">
        <is>
          <t>strEntreprenorkod</t>
        </is>
      </c>
      <c r="J1" s="63" t="inlineStr">
        <is>
          <t>strRenhDistrKod</t>
        </is>
      </c>
      <c r="K1" s="63" t="inlineStr">
        <is>
          <t>curNuvarandePris</t>
        </is>
      </c>
      <c r="L1" s="63" t="inlineStr">
        <is>
          <t>datNuvarandePrisDatum</t>
        </is>
      </c>
      <c r="M1" s="63" t="inlineStr">
        <is>
          <t>bolPrisPerTomning</t>
        </is>
      </c>
      <c r="N1" s="63" t="inlineStr">
        <is>
          <t>strAvvikandeFormel</t>
        </is>
      </c>
      <c r="O1" s="63" t="inlineStr">
        <is>
          <t>bolPriserInklMoms</t>
        </is>
      </c>
      <c r="P1" s="63" t="inlineStr">
        <is>
          <t>bytMomskod</t>
        </is>
      </c>
      <c r="Q1" s="67" t="inlineStr">
        <is>
          <t>strFormel</t>
        </is>
      </c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n">
        <v>13</v>
      </c>
      <c r="B2" s="4" t="inlineStr">
        <is>
          <t>A</t>
        </is>
      </c>
      <c r="C2" s="4" t="inlineStr">
        <is>
          <t>AVLOPP BOSTADSHUS</t>
        </is>
      </c>
      <c r="D2" s="4" t="inlineStr">
        <is>
          <t>VA</t>
        </is>
      </c>
      <c r="E2" s="4" t="inlineStr">
        <is>
          <t>AVL</t>
        </is>
      </c>
      <c r="F2" s="4" t="n">
        <v>1</v>
      </c>
      <c r="G2" s="4" t="inlineStr">
        <is>
          <t>ÅRPR</t>
        </is>
      </c>
      <c r="H2" s="4" t="inlineStr">
        <is>
          <t>Avlopp bostadshus</t>
        </is>
      </c>
      <c r="I2" s="4" t="n"/>
      <c r="J2" s="4" t="n"/>
      <c r="K2" s="4" t="n">
        <v>2762</v>
      </c>
      <c r="L2" s="19" t="n">
        <v>45658</v>
      </c>
      <c r="M2" s="4" t="n">
        <v>0</v>
      </c>
      <c r="N2" s="4" t="n"/>
      <c r="O2" s="4" t="inlineStr">
        <is>
          <t>-</t>
        </is>
      </c>
      <c r="P2" s="4" t="n">
        <v>1</v>
      </c>
      <c r="Q2" s="6" t="n"/>
    </row>
    <row r="3">
      <c r="A3" s="5" t="n">
        <v>14</v>
      </c>
      <c r="B3" s="4" t="inlineStr">
        <is>
          <t>AF</t>
        </is>
      </c>
      <c r="C3" s="4" t="inlineStr">
        <is>
          <t>AVLOPP FRITIDSHUS</t>
        </is>
      </c>
      <c r="D3" s="4" t="inlineStr">
        <is>
          <t>VA</t>
        </is>
      </c>
      <c r="E3" s="4" t="inlineStr">
        <is>
          <t>AVL</t>
        </is>
      </c>
      <c r="F3" s="4" t="n">
        <v>1</v>
      </c>
      <c r="G3" s="4" t="inlineStr">
        <is>
          <t>ÅRPR</t>
        </is>
      </c>
      <c r="H3" s="4" t="inlineStr">
        <is>
          <t>Avlopp fritidshus</t>
        </is>
      </c>
      <c r="I3" s="4" t="n"/>
      <c r="J3" s="4" t="n"/>
      <c r="K3" s="4" t="n">
        <v>1939</v>
      </c>
      <c r="L3" s="19" t="n">
        <v>45658</v>
      </c>
      <c r="M3" s="4" t="n">
        <v>0</v>
      </c>
      <c r="N3" s="4" t="n"/>
      <c r="O3" s="4" t="inlineStr">
        <is>
          <t>-</t>
        </is>
      </c>
      <c r="P3" s="4" t="n">
        <v>1</v>
      </c>
      <c r="Q3" s="6" t="n"/>
    </row>
    <row r="4">
      <c r="A4" s="5" t="n">
        <v>15</v>
      </c>
      <c r="B4" s="4" t="inlineStr">
        <is>
          <t>AFC</t>
        </is>
      </c>
      <c r="C4" s="4" t="inlineStr">
        <is>
          <t>AVLOPP FRITIDSHUS CAMPING</t>
        </is>
      </c>
      <c r="D4" s="4" t="inlineStr">
        <is>
          <t>VA</t>
        </is>
      </c>
      <c r="E4" s="4" t="inlineStr">
        <is>
          <t>AVL</t>
        </is>
      </c>
      <c r="F4" s="4" t="n">
        <v>1</v>
      </c>
      <c r="G4" s="4" t="inlineStr">
        <is>
          <t>ÅRKV</t>
        </is>
      </c>
      <c r="H4" s="4" t="inlineStr">
        <is>
          <t>Avlopp fritidshus</t>
        </is>
      </c>
      <c r="I4" s="4" t="n"/>
      <c r="J4" s="4" t="n"/>
      <c r="K4" s="4" t="n">
        <v>1112</v>
      </c>
      <c r="L4" s="19" t="n">
        <v>39814</v>
      </c>
      <c r="M4" s="4" t="n">
        <v>0</v>
      </c>
      <c r="N4" s="4" t="n"/>
      <c r="O4" s="4" t="inlineStr">
        <is>
          <t>-</t>
        </is>
      </c>
      <c r="P4" s="4" t="n">
        <v>1</v>
      </c>
      <c r="Q4" s="6" t="inlineStr">
        <is>
          <t>KETT</t>
        </is>
      </c>
    </row>
    <row r="5">
      <c r="A5" s="5" t="n">
        <v>16</v>
      </c>
      <c r="B5" s="4" t="inlineStr">
        <is>
          <t>AKUT</t>
        </is>
      </c>
      <c r="C5" s="4" t="inlineStr">
        <is>
          <t>EXTRAAVGIFT AKUT SLAMTÖMNING</t>
        </is>
      </c>
      <c r="D5" s="4" t="inlineStr">
        <is>
          <t>RENH</t>
        </is>
      </c>
      <c r="E5" s="4" t="inlineStr">
        <is>
          <t>SLAM</t>
        </is>
      </c>
      <c r="F5" s="4" t="n">
        <v>1</v>
      </c>
      <c r="G5" s="4" t="inlineStr">
        <is>
          <t>KVAN</t>
        </is>
      </c>
      <c r="H5" s="4" t="inlineStr">
        <is>
          <t>Extraavg akut slamtömning</t>
        </is>
      </c>
      <c r="I5" s="4" t="n"/>
      <c r="J5" s="4" t="n"/>
      <c r="K5" s="4" t="n">
        <v>640</v>
      </c>
      <c r="L5" s="19" t="n">
        <v>43922</v>
      </c>
      <c r="M5" s="4" t="n">
        <v>0</v>
      </c>
      <c r="N5" s="4" t="n"/>
      <c r="O5" s="4" t="inlineStr">
        <is>
          <t>-</t>
        </is>
      </c>
      <c r="P5" s="4" t="n">
        <v>1</v>
      </c>
      <c r="Q5" s="6" t="inlineStr">
        <is>
          <t>ANTL</t>
        </is>
      </c>
    </row>
    <row r="6">
      <c r="A6" s="5" t="n">
        <v>178</v>
      </c>
      <c r="B6" s="4" t="inlineStr">
        <is>
          <t>AKUTSÄCK</t>
        </is>
      </c>
      <c r="C6" s="4" t="inlineStr">
        <is>
          <t>Avgift för akutsäck</t>
        </is>
      </c>
      <c r="D6" s="4" t="inlineStr">
        <is>
          <t>RENH</t>
        </is>
      </c>
      <c r="E6" s="4" t="inlineStr">
        <is>
          <t>HUSH</t>
        </is>
      </c>
      <c r="F6" s="4" t="n">
        <v>1</v>
      </c>
      <c r="G6" s="4" t="inlineStr">
        <is>
          <t>KVAN</t>
        </is>
      </c>
      <c r="H6" s="4" t="inlineStr">
        <is>
          <t>Avgift för akutsäck</t>
        </is>
      </c>
      <c r="I6" s="4" t="n"/>
      <c r="J6" s="4" t="n"/>
      <c r="K6" s="4" t="n">
        <v>160</v>
      </c>
      <c r="L6" s="19" t="n">
        <v>45200</v>
      </c>
      <c r="M6" s="4" t="n">
        <v>0</v>
      </c>
      <c r="N6" s="4" t="n"/>
      <c r="O6" s="4" t="inlineStr">
        <is>
          <t>-</t>
        </is>
      </c>
      <c r="P6" s="4" t="n">
        <v>1</v>
      </c>
      <c r="Q6" s="6" t="inlineStr">
        <is>
          <t>ANTL</t>
        </is>
      </c>
    </row>
    <row r="7">
      <c r="A7" s="5" t="n">
        <v>2</v>
      </c>
      <c r="B7" s="4" t="inlineStr">
        <is>
          <t>AMOAVISER</t>
        </is>
      </c>
      <c r="C7" s="4" t="inlineStr">
        <is>
          <t>Amorteringsplanavisering</t>
        </is>
      </c>
      <c r="D7" s="4" t="inlineStr">
        <is>
          <t>VA</t>
        </is>
      </c>
      <c r="E7" s="4" t="n"/>
      <c r="F7" s="4" t="n">
        <v>1</v>
      </c>
      <c r="G7" s="4" t="inlineStr">
        <is>
          <t>KVAN</t>
        </is>
      </c>
      <c r="H7" s="4" t="inlineStr">
        <is>
          <t>Amorteringsplanavisering</t>
        </is>
      </c>
      <c r="I7" s="4" t="n"/>
      <c r="J7" s="4" t="n"/>
      <c r="K7" s="4" t="n">
        <v>20</v>
      </c>
      <c r="L7" s="19" t="n">
        <v>32874</v>
      </c>
      <c r="M7" s="4" t="n">
        <v>0</v>
      </c>
      <c r="N7" s="4" t="n"/>
      <c r="O7" s="4" t="inlineStr">
        <is>
          <t>-</t>
        </is>
      </c>
      <c r="P7" s="4" t="n">
        <v>0</v>
      </c>
      <c r="Q7" s="6" t="n"/>
    </row>
    <row r="8">
      <c r="A8" s="5" t="n">
        <v>12</v>
      </c>
      <c r="B8" s="4" t="inlineStr">
        <is>
          <t>AMOPLAN</t>
        </is>
      </c>
      <c r="C8" s="4" t="inlineStr">
        <is>
          <t>Amorteringsplan</t>
        </is>
      </c>
      <c r="D8" s="4" t="inlineStr">
        <is>
          <t>VA</t>
        </is>
      </c>
      <c r="E8" s="4" t="n"/>
      <c r="F8" s="4" t="n">
        <v>1</v>
      </c>
      <c r="G8" s="4" t="inlineStr">
        <is>
          <t>KVAN</t>
        </is>
      </c>
      <c r="H8" s="4" t="inlineStr">
        <is>
          <t>Amorteringsplan</t>
        </is>
      </c>
      <c r="I8" s="4" t="n"/>
      <c r="J8" s="4" t="n"/>
      <c r="K8" s="4" t="n"/>
      <c r="L8" s="19" t="n"/>
      <c r="M8" s="4" t="n">
        <v>0</v>
      </c>
      <c r="N8" s="4" t="n"/>
      <c r="O8" s="4" t="inlineStr">
        <is>
          <t>-</t>
        </is>
      </c>
      <c r="P8" s="4" t="n">
        <v>0</v>
      </c>
      <c r="Q8" s="6" t="inlineStr">
        <is>
          <t>ANTL</t>
        </is>
      </c>
    </row>
    <row r="9">
      <c r="A9" s="5" t="n">
        <v>3</v>
      </c>
      <c r="B9" s="4" t="inlineStr">
        <is>
          <t>AMORÄNTA</t>
        </is>
      </c>
      <c r="C9" s="4" t="inlineStr">
        <is>
          <t>Amorteringsplanränta</t>
        </is>
      </c>
      <c r="D9" s="4" t="inlineStr">
        <is>
          <t>VA</t>
        </is>
      </c>
      <c r="E9" s="4" t="n"/>
      <c r="F9" s="4" t="n">
        <v>1</v>
      </c>
      <c r="G9" s="4" t="inlineStr">
        <is>
          <t>KVAN</t>
        </is>
      </c>
      <c r="H9" s="4" t="inlineStr">
        <is>
          <t>Amorteringsplanränta</t>
        </is>
      </c>
      <c r="I9" s="4" t="n"/>
      <c r="J9" s="4" t="n"/>
      <c r="K9" s="4" t="n">
        <v>0</v>
      </c>
      <c r="L9" s="19" t="n">
        <v>32874</v>
      </c>
      <c r="M9" s="4" t="n">
        <v>0</v>
      </c>
      <c r="N9" s="4" t="n"/>
      <c r="O9" s="4" t="inlineStr">
        <is>
          <t>-</t>
        </is>
      </c>
      <c r="P9" s="4" t="n">
        <v>0</v>
      </c>
      <c r="Q9" s="6" t="n"/>
    </row>
    <row r="10">
      <c r="A10" s="5" t="n">
        <v>1</v>
      </c>
      <c r="B10" s="4" t="inlineStr">
        <is>
          <t>AMOUPP</t>
        </is>
      </c>
      <c r="C10" s="4" t="inlineStr">
        <is>
          <t>Amorteringsplansuppläggning</t>
        </is>
      </c>
      <c r="D10" s="4" t="inlineStr">
        <is>
          <t>VA</t>
        </is>
      </c>
      <c r="E10" s="4" t="n"/>
      <c r="F10" s="4" t="n">
        <v>1</v>
      </c>
      <c r="G10" s="4" t="inlineStr">
        <is>
          <t>KVAN</t>
        </is>
      </c>
      <c r="H10" s="4" t="inlineStr">
        <is>
          <t>Amorteringsplansuppläggning</t>
        </is>
      </c>
      <c r="I10" s="4" t="n"/>
      <c r="J10" s="4" t="n"/>
      <c r="K10" s="4" t="n">
        <v>150</v>
      </c>
      <c r="L10" s="19" t="n">
        <v>32874</v>
      </c>
      <c r="M10" s="4" t="n">
        <v>0</v>
      </c>
      <c r="N10" s="4" t="n"/>
      <c r="O10" s="4" t="inlineStr">
        <is>
          <t>-</t>
        </is>
      </c>
      <c r="P10" s="4" t="n">
        <v>0</v>
      </c>
      <c r="Q10" s="6" t="n"/>
    </row>
    <row r="11">
      <c r="A11" s="5" t="n">
        <v>127</v>
      </c>
      <c r="B11" s="4" t="inlineStr">
        <is>
          <t>ANL03SL</t>
        </is>
      </c>
      <c r="C11" s="4" t="inlineStr">
        <is>
          <t>Tömning slamanläggning</t>
        </is>
      </c>
      <c r="D11" s="4" t="inlineStr">
        <is>
          <t>RENH</t>
        </is>
      </c>
      <c r="E11" s="4" t="inlineStr">
        <is>
          <t>SLAM</t>
        </is>
      </c>
      <c r="F11" s="4" t="n">
        <v>1</v>
      </c>
      <c r="G11" s="4" t="inlineStr">
        <is>
          <t>KVAN</t>
        </is>
      </c>
      <c r="H11" s="4" t="inlineStr">
        <is>
          <t>Tömning av slamanläggning</t>
        </is>
      </c>
      <c r="I11" s="4" t="n"/>
      <c r="J11" s="4" t="n"/>
      <c r="K11" s="4" t="n">
        <v>1420</v>
      </c>
      <c r="L11" s="19" t="n">
        <v>45658</v>
      </c>
      <c r="M11" s="4" t="n">
        <v>0</v>
      </c>
      <c r="N11" s="4" t="n"/>
      <c r="O11" s="4" t="inlineStr">
        <is>
          <t>-</t>
        </is>
      </c>
      <c r="P11" s="4" t="n">
        <v>1</v>
      </c>
      <c r="Q11" s="6" t="inlineStr">
        <is>
          <t>ANTL</t>
        </is>
      </c>
    </row>
    <row r="12">
      <c r="A12" s="5" t="n">
        <v>128</v>
      </c>
      <c r="B12" s="4" t="inlineStr">
        <is>
          <t>ANL36SL</t>
        </is>
      </c>
      <c r="C12" s="4" t="inlineStr">
        <is>
          <t>Tömning slamanläggning 3,1-6 m³</t>
        </is>
      </c>
      <c r="D12" s="4" t="inlineStr">
        <is>
          <t>RENH</t>
        </is>
      </c>
      <c r="E12" s="4" t="inlineStr">
        <is>
          <t>SLAM</t>
        </is>
      </c>
      <c r="F12" s="4" t="n">
        <v>1</v>
      </c>
      <c r="G12" s="4" t="inlineStr">
        <is>
          <t>KVAN</t>
        </is>
      </c>
      <c r="H12" s="4" t="inlineStr">
        <is>
          <t>Tömning av slamanlägg. 3,1-6</t>
        </is>
      </c>
      <c r="I12" s="4" t="n"/>
      <c r="J12" s="4" t="n"/>
      <c r="K12" s="4" t="n">
        <v>1920</v>
      </c>
      <c r="L12" s="19" t="n">
        <v>45658</v>
      </c>
      <c r="M12" s="4" t="n">
        <v>0</v>
      </c>
      <c r="N12" s="4" t="n"/>
      <c r="O12" s="4" t="inlineStr">
        <is>
          <t>-</t>
        </is>
      </c>
      <c r="P12" s="4" t="n">
        <v>1</v>
      </c>
      <c r="Q12" s="6" t="inlineStr">
        <is>
          <t>ANTL</t>
        </is>
      </c>
    </row>
    <row r="13">
      <c r="A13" s="5" t="n">
        <v>294</v>
      </c>
      <c r="B13" s="4" t="inlineStr">
        <is>
          <t>ANLSLBASTÖM</t>
        </is>
      </c>
      <c r="C13" s="4" t="inlineStr">
        <is>
          <t>Tömning slam från Reningsverksbassäng</t>
        </is>
      </c>
      <c r="D13" s="4" t="inlineStr">
        <is>
          <t>RENH</t>
        </is>
      </c>
      <c r="E13" s="4" t="inlineStr">
        <is>
          <t>SLAM</t>
        </is>
      </c>
      <c r="F13" s="4" t="n">
        <v>1</v>
      </c>
      <c r="G13" s="4" t="inlineStr">
        <is>
          <t>KVAN</t>
        </is>
      </c>
      <c r="H13" s="4" t="inlineStr">
        <is>
          <t>Tömning slam från Reningsverksbassäng</t>
        </is>
      </c>
      <c r="I13" s="4" t="n"/>
      <c r="J13" s="4" t="n"/>
      <c r="K13" s="4" t="n">
        <v>0</v>
      </c>
      <c r="L13" s="19" t="n">
        <v>45658</v>
      </c>
      <c r="M13" s="4" t="n">
        <v>0</v>
      </c>
      <c r="N13" s="4" t="n"/>
      <c r="O13" s="4" t="inlineStr">
        <is>
          <t>-</t>
        </is>
      </c>
      <c r="P13" s="4" t="n">
        <v>1</v>
      </c>
      <c r="Q13" s="6" t="inlineStr">
        <is>
          <t>ANTL</t>
        </is>
      </c>
    </row>
    <row r="14">
      <c r="A14" s="5" t="n">
        <v>129</v>
      </c>
      <c r="B14" s="4" t="inlineStr">
        <is>
          <t>ANLÖ6SL</t>
        </is>
      </c>
      <c r="C14" s="4" t="inlineStr">
        <is>
          <t>Tömning slamanläggning över 6 m³</t>
        </is>
      </c>
      <c r="D14" s="4" t="inlineStr">
        <is>
          <t>RENH</t>
        </is>
      </c>
      <c r="E14" s="4" t="inlineStr">
        <is>
          <t>SLAM</t>
        </is>
      </c>
      <c r="F14" s="4" t="n">
        <v>1</v>
      </c>
      <c r="G14" s="4" t="inlineStr">
        <is>
          <t>KVAN</t>
        </is>
      </c>
      <c r="H14" s="4" t="inlineStr">
        <is>
          <t>Tömning av slamanlägg över 6 m³</t>
        </is>
      </c>
      <c r="I14" s="4" t="n"/>
      <c r="J14" s="4" t="n"/>
      <c r="K14" s="4" t="n">
        <v>2448</v>
      </c>
      <c r="L14" s="19" t="n">
        <v>45658</v>
      </c>
      <c r="M14" s="4" t="n">
        <v>0</v>
      </c>
      <c r="N14" s="4" t="n"/>
      <c r="O14" s="4" t="inlineStr">
        <is>
          <t>-</t>
        </is>
      </c>
      <c r="P14" s="4" t="n">
        <v>1</v>
      </c>
      <c r="Q14" s="6" t="inlineStr">
        <is>
          <t>ANTL</t>
        </is>
      </c>
    </row>
    <row r="15">
      <c r="A15" s="5" t="n">
        <v>156</v>
      </c>
      <c r="B15" s="4" t="inlineStr">
        <is>
          <t>AOBF</t>
        </is>
      </c>
      <c r="C15" s="4" t="inlineStr">
        <is>
          <t>A, OBEBYGGD FAST. INOM DETALJPLAN</t>
        </is>
      </c>
      <c r="D15" s="4" t="inlineStr">
        <is>
          <t>VA</t>
        </is>
      </c>
      <c r="E15" s="4" t="inlineStr">
        <is>
          <t>AVL</t>
        </is>
      </c>
      <c r="F15" s="4" t="n">
        <v>1</v>
      </c>
      <c r="G15" s="4" t="inlineStr">
        <is>
          <t>ÅRPR</t>
        </is>
      </c>
      <c r="H15" s="4" t="inlineStr">
        <is>
          <t>Avlopp obebygg inom detaljp</t>
        </is>
      </c>
      <c r="I15" s="4" t="n"/>
      <c r="J15" s="4" t="n"/>
      <c r="K15" s="4" t="n">
        <v>2200</v>
      </c>
      <c r="L15" s="19" t="n">
        <v>45078</v>
      </c>
      <c r="M15" s="4" t="n">
        <v>0</v>
      </c>
      <c r="N15" s="4" t="n"/>
      <c r="O15" s="4" t="inlineStr">
        <is>
          <t>-</t>
        </is>
      </c>
      <c r="P15" s="4" t="n">
        <v>1</v>
      </c>
      <c r="Q15" s="6" t="n"/>
    </row>
    <row r="16">
      <c r="A16" s="5" t="n">
        <v>287</v>
      </c>
      <c r="B16" s="4" t="inlineStr">
        <is>
          <t>AVSLUTA_TJÄNST</t>
        </is>
      </c>
      <c r="C16" s="4" t="inlineStr">
        <is>
          <t>Dummy för avslut av tjänst via order</t>
        </is>
      </c>
      <c r="D16" s="4" t="inlineStr">
        <is>
          <t>RENH</t>
        </is>
      </c>
      <c r="E16" s="4" t="inlineStr">
        <is>
          <t>HUSH</t>
        </is>
      </c>
      <c r="F16" s="4" t="n">
        <v>1</v>
      </c>
      <c r="G16" s="4" t="inlineStr">
        <is>
          <t>KVAN</t>
        </is>
      </c>
      <c r="H16" s="4" t="inlineStr">
        <is>
          <t>Avslut av tjänst</t>
        </is>
      </c>
      <c r="I16" s="4" t="n"/>
      <c r="J16" s="4" t="n"/>
      <c r="K16" s="4" t="n"/>
      <c r="L16" s="19" t="n"/>
      <c r="M16" s="4" t="n">
        <v>0</v>
      </c>
      <c r="N16" s="4" t="n"/>
      <c r="O16" s="4" t="inlineStr">
        <is>
          <t>-</t>
        </is>
      </c>
      <c r="P16" s="4" t="n">
        <v>0</v>
      </c>
      <c r="Q16" s="6" t="inlineStr">
        <is>
          <t>0</t>
        </is>
      </c>
    </row>
    <row r="17">
      <c r="A17" s="5" t="n">
        <v>293</v>
      </c>
      <c r="B17" s="4" t="inlineStr">
        <is>
          <t>BASSLORDKOM</t>
        </is>
      </c>
      <c r="C17" s="4" t="inlineStr">
        <is>
          <t>Reningsverksbassäng, slam. Ord. tur Kommunal</t>
        </is>
      </c>
      <c r="D17" s="4" t="inlineStr">
        <is>
          <t>RENH</t>
        </is>
      </c>
      <c r="E17" s="4" t="inlineStr">
        <is>
          <t>SLAM</t>
        </is>
      </c>
      <c r="F17" s="4" t="n">
        <v>1</v>
      </c>
      <c r="G17" s="4" t="inlineStr">
        <is>
          <t>ÅRKV</t>
        </is>
      </c>
      <c r="H17" s="4" t="inlineStr">
        <is>
          <t>Reningsverksbassäng, slam. Ord. tur Kommunal</t>
        </is>
      </c>
      <c r="I17" s="4" t="n"/>
      <c r="J17" s="4" t="n"/>
      <c r="K17" s="4" t="n">
        <v>0</v>
      </c>
      <c r="L17" s="19" t="n">
        <v>44927</v>
      </c>
      <c r="M17" s="4" t="n">
        <v>0</v>
      </c>
      <c r="N17" s="4" t="n"/>
      <c r="O17" s="4" t="inlineStr">
        <is>
          <t>-</t>
        </is>
      </c>
      <c r="P17" s="4" t="n">
        <v>1</v>
      </c>
      <c r="Q17" s="6" t="inlineStr">
        <is>
          <t>ANTB</t>
        </is>
      </c>
    </row>
    <row r="18">
      <c r="A18" s="5" t="n">
        <v>115</v>
      </c>
      <c r="B18" s="4" t="inlineStr">
        <is>
          <t>BDT03SLBUD</t>
        </is>
      </c>
      <c r="C18" s="4" t="inlineStr">
        <is>
          <t>BDT 0-3 m³, slam. Budning</t>
        </is>
      </c>
      <c r="D18" s="4" t="inlineStr">
        <is>
          <t>RENH</t>
        </is>
      </c>
      <c r="E18" s="4" t="inlineStr">
        <is>
          <t>SLAM</t>
        </is>
      </c>
      <c r="F18" s="4" t="n">
        <v>1</v>
      </c>
      <c r="G18" s="4" t="inlineStr">
        <is>
          <t>ÅRKV</t>
        </is>
      </c>
      <c r="H18" s="4" t="inlineStr">
        <is>
          <t>BDT 0-3 m³, slam. Budning</t>
        </is>
      </c>
      <c r="I18" s="4" t="n"/>
      <c r="J18" s="4" t="n"/>
      <c r="K18" s="4" t="n">
        <v>800</v>
      </c>
      <c r="L18" s="19" t="n">
        <v>45658</v>
      </c>
      <c r="M18" s="4" t="n">
        <v>0</v>
      </c>
      <c r="N18" s="4" t="n"/>
      <c r="O18" s="4" t="inlineStr">
        <is>
          <t>-</t>
        </is>
      </c>
      <c r="P18" s="4" t="n">
        <v>1</v>
      </c>
      <c r="Q18" s="6" t="inlineStr">
        <is>
          <t>ANTB</t>
        </is>
      </c>
    </row>
    <row r="19">
      <c r="A19" s="5" t="n">
        <v>142</v>
      </c>
      <c r="B19" s="4" t="inlineStr">
        <is>
          <t>BDT03SLORD</t>
        </is>
      </c>
      <c r="C19" s="4" t="inlineStr">
        <is>
          <t>BDT 0-3 m³, slam. Ordinarie tur</t>
        </is>
      </c>
      <c r="D19" s="4" t="inlineStr">
        <is>
          <t>RENH</t>
        </is>
      </c>
      <c r="E19" s="4" t="inlineStr">
        <is>
          <t>SLAM</t>
        </is>
      </c>
      <c r="F19" s="4" t="n">
        <v>1</v>
      </c>
      <c r="G19" s="4" t="inlineStr">
        <is>
          <t>ÅRKV</t>
        </is>
      </c>
      <c r="H19" s="4" t="inlineStr">
        <is>
          <t>BDT 0-3 m³, slam. Ord. tur</t>
        </is>
      </c>
      <c r="I19" s="4" t="n"/>
      <c r="J19" s="4" t="n"/>
      <c r="K19" s="4" t="n">
        <v>1420</v>
      </c>
      <c r="L19" s="19" t="n">
        <v>45658</v>
      </c>
      <c r="M19" s="4" t="n">
        <v>0</v>
      </c>
      <c r="N19" s="4" t="n"/>
      <c r="O19" s="4" t="inlineStr">
        <is>
          <t>-</t>
        </is>
      </c>
      <c r="P19" s="4" t="n">
        <v>1</v>
      </c>
      <c r="Q19" s="6" t="inlineStr">
        <is>
          <t>ANTB</t>
        </is>
      </c>
    </row>
    <row r="20">
      <c r="A20" s="5" t="n">
        <v>116</v>
      </c>
      <c r="B20" s="4" t="inlineStr">
        <is>
          <t>BDT36SLBUD</t>
        </is>
      </c>
      <c r="C20" s="4" t="inlineStr">
        <is>
          <t>BDT 3,1-6 m³, slam. Budning</t>
        </is>
      </c>
      <c r="D20" s="4" t="inlineStr">
        <is>
          <t>RENH</t>
        </is>
      </c>
      <c r="E20" s="4" t="inlineStr">
        <is>
          <t>SLAM</t>
        </is>
      </c>
      <c r="F20" s="4" t="n">
        <v>1</v>
      </c>
      <c r="G20" s="4" t="inlineStr">
        <is>
          <t>ÅRKV</t>
        </is>
      </c>
      <c r="H20" s="4" t="inlineStr">
        <is>
          <t>BDT 3,1-6 m³, slam. Budning</t>
        </is>
      </c>
      <c r="I20" s="4" t="n"/>
      <c r="J20" s="4" t="n"/>
      <c r="K20" s="4" t="n">
        <v>0</v>
      </c>
      <c r="L20" s="19" t="n">
        <v>44927</v>
      </c>
      <c r="M20" s="4" t="n">
        <v>0</v>
      </c>
      <c r="N20" s="4" t="n"/>
      <c r="O20" s="4" t="inlineStr">
        <is>
          <t>-</t>
        </is>
      </c>
      <c r="P20" s="4" t="n">
        <v>1</v>
      </c>
      <c r="Q20" s="6" t="inlineStr">
        <is>
          <t>ANTB</t>
        </is>
      </c>
    </row>
    <row r="21">
      <c r="A21" s="5" t="n">
        <v>143</v>
      </c>
      <c r="B21" s="4" t="inlineStr">
        <is>
          <t>BDT36SLORD</t>
        </is>
      </c>
      <c r="C21" s="4" t="inlineStr">
        <is>
          <t>BDT 3,1-6 m³, slam. Ord. tur</t>
        </is>
      </c>
      <c r="D21" s="4" t="inlineStr">
        <is>
          <t>RENH</t>
        </is>
      </c>
      <c r="E21" s="4" t="inlineStr">
        <is>
          <t>SLAM</t>
        </is>
      </c>
      <c r="F21" s="4" t="n">
        <v>1</v>
      </c>
      <c r="G21" s="4" t="inlineStr">
        <is>
          <t>ÅRKV</t>
        </is>
      </c>
      <c r="H21" s="4" t="inlineStr">
        <is>
          <t>BDT 3,1-6 m³, slam. Ord. tur</t>
        </is>
      </c>
      <c r="I21" s="4" t="n"/>
      <c r="J21" s="4" t="n"/>
      <c r="K21" s="4" t="n">
        <v>0</v>
      </c>
      <c r="L21" s="19" t="n">
        <v>44927</v>
      </c>
      <c r="M21" s="4" t="n">
        <v>0</v>
      </c>
      <c r="N21" s="4" t="n"/>
      <c r="O21" s="4" t="inlineStr">
        <is>
          <t>-</t>
        </is>
      </c>
      <c r="P21" s="4" t="n">
        <v>1</v>
      </c>
      <c r="Q21" s="6" t="inlineStr">
        <is>
          <t>ANTB</t>
        </is>
      </c>
    </row>
    <row r="22">
      <c r="A22" s="5" t="n">
        <v>117</v>
      </c>
      <c r="B22" s="4" t="inlineStr">
        <is>
          <t>BDTÖ6SLBUD</t>
        </is>
      </c>
      <c r="C22" s="4" t="inlineStr">
        <is>
          <t>BDT över 6 m³, slam. Budning</t>
        </is>
      </c>
      <c r="D22" s="4" t="inlineStr">
        <is>
          <t>RENH</t>
        </is>
      </c>
      <c r="E22" s="4" t="inlineStr">
        <is>
          <t>SLAM</t>
        </is>
      </c>
      <c r="F22" s="4" t="n">
        <v>1</v>
      </c>
      <c r="G22" s="4" t="inlineStr">
        <is>
          <t>ÅRKV</t>
        </is>
      </c>
      <c r="H22" s="4" t="inlineStr">
        <is>
          <t>BDT över 6 m³, slam. Budning</t>
        </is>
      </c>
      <c r="I22" s="4" t="n"/>
      <c r="J22" s="4" t="n"/>
      <c r="K22" s="4" t="n">
        <v>0</v>
      </c>
      <c r="L22" s="19" t="n">
        <v>44927</v>
      </c>
      <c r="M22" s="4" t="n">
        <v>0</v>
      </c>
      <c r="N22" s="4" t="n"/>
      <c r="O22" s="4" t="inlineStr">
        <is>
          <t>-</t>
        </is>
      </c>
      <c r="P22" s="4" t="n">
        <v>1</v>
      </c>
      <c r="Q22" s="6" t="inlineStr">
        <is>
          <t>ANTB</t>
        </is>
      </c>
    </row>
    <row r="23">
      <c r="A23" s="5" t="n">
        <v>144</v>
      </c>
      <c r="B23" s="4" t="inlineStr">
        <is>
          <t>BDTÖ6SLORD</t>
        </is>
      </c>
      <c r="C23" s="4" t="inlineStr">
        <is>
          <t>BDT över 6 m³, slam. Ord. tur</t>
        </is>
      </c>
      <c r="D23" s="4" t="inlineStr">
        <is>
          <t>RENH</t>
        </is>
      </c>
      <c r="E23" s="4" t="inlineStr">
        <is>
          <t>SLAM</t>
        </is>
      </c>
      <c r="F23" s="4" t="n">
        <v>1</v>
      </c>
      <c r="G23" s="4" t="inlineStr">
        <is>
          <t>ÅRKV</t>
        </is>
      </c>
      <c r="H23" s="4" t="inlineStr">
        <is>
          <t>BDT över 6 m³, slam. Ord. tur</t>
        </is>
      </c>
      <c r="I23" s="4" t="n"/>
      <c r="J23" s="4" t="n"/>
      <c r="K23" s="4" t="n">
        <v>0</v>
      </c>
      <c r="L23" s="19" t="n">
        <v>44927</v>
      </c>
      <c r="M23" s="4" t="n">
        <v>0</v>
      </c>
      <c r="N23" s="4" t="n"/>
      <c r="O23" s="4" t="inlineStr">
        <is>
          <t>-</t>
        </is>
      </c>
      <c r="P23" s="4" t="n">
        <v>1</v>
      </c>
      <c r="Q23" s="6" t="inlineStr">
        <is>
          <t>ANTB</t>
        </is>
      </c>
    </row>
    <row r="24">
      <c r="A24" s="5" t="n">
        <v>262</v>
      </c>
      <c r="B24" s="4" t="inlineStr">
        <is>
          <t>BEHASKA</t>
        </is>
      </c>
      <c r="C24" s="4" t="inlineStr">
        <is>
          <t>Behandlingsavgift Aska</t>
        </is>
      </c>
      <c r="D24" s="4" t="inlineStr">
        <is>
          <t>RENH</t>
        </is>
      </c>
      <c r="E24" s="4" t="inlineStr">
        <is>
          <t>CONT</t>
        </is>
      </c>
      <c r="F24" s="4" t="n">
        <v>1</v>
      </c>
      <c r="G24" s="4" t="inlineStr">
        <is>
          <t>KVAN</t>
        </is>
      </c>
      <c r="H24" s="4" t="inlineStr">
        <is>
          <t>Behandlingsavgift Aska</t>
        </is>
      </c>
      <c r="I24" s="4" t="n"/>
      <c r="J24" s="4" t="n"/>
      <c r="K24" s="4" t="n">
        <v>650</v>
      </c>
      <c r="L24" s="19" t="n">
        <v>45658</v>
      </c>
      <c r="M24" s="4" t="n">
        <v>0</v>
      </c>
      <c r="N24" s="4" t="n"/>
      <c r="O24" s="4" t="inlineStr">
        <is>
          <t>-</t>
        </is>
      </c>
      <c r="P24" s="4" t="n">
        <v>1</v>
      </c>
      <c r="Q24" s="6" t="inlineStr">
        <is>
          <t>KBM</t>
        </is>
      </c>
    </row>
    <row r="25">
      <c r="A25" s="5" t="n">
        <v>267</v>
      </c>
      <c r="B25" s="4" t="inlineStr">
        <is>
          <t>BEHREST</t>
        </is>
      </c>
      <c r="C25" s="4" t="inlineStr">
        <is>
          <t>Behandlingsavgift Restavfall</t>
        </is>
      </c>
      <c r="D25" s="4" t="inlineStr">
        <is>
          <t>RENH</t>
        </is>
      </c>
      <c r="E25" s="4" t="inlineStr">
        <is>
          <t>CONT</t>
        </is>
      </c>
      <c r="F25" s="4" t="n">
        <v>1</v>
      </c>
      <c r="G25" s="4" t="inlineStr">
        <is>
          <t>KVAN</t>
        </is>
      </c>
      <c r="H25" s="4" t="inlineStr">
        <is>
          <t>Behandlingsavgift Restavfall</t>
        </is>
      </c>
      <c r="I25" s="4" t="n"/>
      <c r="J25" s="4" t="n"/>
      <c r="K25" s="4" t="n">
        <v>2500</v>
      </c>
      <c r="L25" s="19" t="n">
        <v>45658</v>
      </c>
      <c r="M25" s="4" t="n">
        <v>0</v>
      </c>
      <c r="N25" s="4" t="n"/>
      <c r="O25" s="4" t="inlineStr">
        <is>
          <t>-</t>
        </is>
      </c>
      <c r="P25" s="4" t="n">
        <v>1</v>
      </c>
      <c r="Q25" s="6" t="inlineStr">
        <is>
          <t>VITO</t>
        </is>
      </c>
    </row>
    <row r="26">
      <c r="A26" s="5" t="n">
        <v>289</v>
      </c>
      <c r="B26" s="4" t="inlineStr">
        <is>
          <t>BEHSLAM</t>
        </is>
      </c>
      <c r="C26" s="4" t="inlineStr">
        <is>
          <t>Behandlingsavgift Slam</t>
        </is>
      </c>
      <c r="D26" s="4" t="inlineStr">
        <is>
          <t>RENH</t>
        </is>
      </c>
      <c r="E26" s="4" t="inlineStr">
        <is>
          <t>CONT</t>
        </is>
      </c>
      <c r="F26" s="4" t="n">
        <v>1</v>
      </c>
      <c r="G26" s="4" t="inlineStr">
        <is>
          <t>KVAN</t>
        </is>
      </c>
      <c r="H26" s="4" t="inlineStr">
        <is>
          <t>Behandlingsavgift Slam</t>
        </is>
      </c>
      <c r="I26" s="4" t="n"/>
      <c r="J26" s="4" t="n"/>
      <c r="K26" s="4" t="n">
        <v>0</v>
      </c>
      <c r="L26" s="19" t="n">
        <v>45658</v>
      </c>
      <c r="M26" s="4" t="n">
        <v>0</v>
      </c>
      <c r="N26" s="4" t="n"/>
      <c r="O26" s="4" t="inlineStr">
        <is>
          <t>-</t>
        </is>
      </c>
      <c r="P26" s="4" t="n">
        <v>1</v>
      </c>
      <c r="Q26" s="6" t="inlineStr">
        <is>
          <t>KBM</t>
        </is>
      </c>
    </row>
    <row r="27">
      <c r="A27" s="5" t="n">
        <v>296</v>
      </c>
      <c r="B27" s="4" t="inlineStr">
        <is>
          <t>BEHSLAMSTAT</t>
        </is>
      </c>
      <c r="C27" s="4" t="inlineStr">
        <is>
          <t>Behandlingsavgift Slam Statistik</t>
        </is>
      </c>
      <c r="D27" s="4" t="inlineStr">
        <is>
          <t>RENH</t>
        </is>
      </c>
      <c r="E27" s="4" t="inlineStr">
        <is>
          <t>CONT</t>
        </is>
      </c>
      <c r="F27" s="4" t="n">
        <v>1</v>
      </c>
      <c r="G27" s="4" t="inlineStr">
        <is>
          <t>KVAN</t>
        </is>
      </c>
      <c r="H27" s="4" t="inlineStr">
        <is>
          <t>Behandlingsavgift Slam</t>
        </is>
      </c>
      <c r="I27" s="4" t="n"/>
      <c r="J27" s="4" t="n"/>
      <c r="K27" s="4" t="n">
        <v>0</v>
      </c>
      <c r="L27" s="19" t="n">
        <v>45658</v>
      </c>
      <c r="M27" s="4" t="n">
        <v>0</v>
      </c>
      <c r="N27" s="4" t="n"/>
      <c r="O27" s="4" t="inlineStr">
        <is>
          <t>-</t>
        </is>
      </c>
      <c r="P27" s="4" t="n">
        <v>1</v>
      </c>
      <c r="Q27" s="6" t="inlineStr">
        <is>
          <t>KBM</t>
        </is>
      </c>
    </row>
    <row r="28">
      <c r="A28" s="5" t="n">
        <v>162</v>
      </c>
      <c r="B28" s="4" t="inlineStr">
        <is>
          <t>BETALSÄCK</t>
        </is>
      </c>
      <c r="C28" s="4" t="inlineStr">
        <is>
          <t>Betalsäck, pris per säck</t>
        </is>
      </c>
      <c r="D28" s="4" t="inlineStr">
        <is>
          <t>RENH</t>
        </is>
      </c>
      <c r="E28" s="4" t="inlineStr">
        <is>
          <t>HUSH</t>
        </is>
      </c>
      <c r="F28" s="4" t="n">
        <v>1</v>
      </c>
      <c r="G28" s="4" t="inlineStr">
        <is>
          <t>KVAN</t>
        </is>
      </c>
      <c r="H28" s="4" t="inlineStr">
        <is>
          <t>Betalsäck, pris per säck</t>
        </is>
      </c>
      <c r="I28" s="4" t="n"/>
      <c r="J28" s="4" t="n"/>
      <c r="K28" s="4" t="n">
        <v>128</v>
      </c>
      <c r="L28" s="19" t="n">
        <v>45200</v>
      </c>
      <c r="M28" s="4" t="n">
        <v>0</v>
      </c>
      <c r="N28" s="4" t="n"/>
      <c r="O28" s="4" t="inlineStr">
        <is>
          <t>-</t>
        </is>
      </c>
      <c r="P28" s="4" t="n">
        <v>1</v>
      </c>
      <c r="Q28" s="6" t="inlineStr">
        <is>
          <t>ANTL</t>
        </is>
      </c>
    </row>
    <row r="29">
      <c r="A29" s="5" t="n">
        <v>209</v>
      </c>
      <c r="B29" s="4" t="inlineStr">
        <is>
          <t>BINI1000</t>
        </is>
      </c>
      <c r="C29" s="4" t="inlineStr">
        <is>
          <t>Bini 1000 lastväxlare-</t>
        </is>
      </c>
      <c r="D29" s="4" t="inlineStr">
        <is>
          <t>RENH</t>
        </is>
      </c>
      <c r="E29" s="4" t="inlineStr">
        <is>
          <t>EXT</t>
        </is>
      </c>
      <c r="F29" s="4" t="n">
        <v>1</v>
      </c>
      <c r="G29" s="4" t="inlineStr">
        <is>
          <t>KVAN</t>
        </is>
      </c>
      <c r="H29" s="4" t="inlineStr">
        <is>
          <t>Bini 1000 lastväxlare</t>
        </is>
      </c>
      <c r="I29" s="4" t="n"/>
      <c r="J29" s="4" t="n"/>
      <c r="K29" s="4" t="n">
        <v>248</v>
      </c>
      <c r="L29" s="19" t="n">
        <v>44927</v>
      </c>
      <c r="M29" s="4" t="n">
        <v>0</v>
      </c>
      <c r="N29" s="4" t="n"/>
      <c r="O29" s="4" t="inlineStr">
        <is>
          <t>-</t>
        </is>
      </c>
      <c r="P29" s="4" t="n">
        <v>1</v>
      </c>
      <c r="Q29" s="6" t="inlineStr">
        <is>
          <t>TIMT</t>
        </is>
      </c>
    </row>
    <row r="30">
      <c r="A30" s="5" t="n">
        <v>208</v>
      </c>
      <c r="B30" s="4" t="inlineStr">
        <is>
          <t>BINI500</t>
        </is>
      </c>
      <c r="C30" s="4" t="inlineStr">
        <is>
          <t>Bini 610/500</t>
        </is>
      </c>
      <c r="D30" s="4" t="inlineStr">
        <is>
          <t>RENH</t>
        </is>
      </c>
      <c r="E30" s="4" t="inlineStr">
        <is>
          <t>EXT</t>
        </is>
      </c>
      <c r="F30" s="4" t="n">
        <v>1</v>
      </c>
      <c r="G30" s="4" t="inlineStr">
        <is>
          <t>KVAN</t>
        </is>
      </c>
      <c r="H30" s="4" t="inlineStr">
        <is>
          <t>Bini 610/500</t>
        </is>
      </c>
      <c r="I30" s="4" t="n"/>
      <c r="J30" s="4" t="n"/>
      <c r="K30" s="4" t="n">
        <v>240</v>
      </c>
      <c r="L30" s="19" t="n">
        <v>44927</v>
      </c>
      <c r="M30" s="4" t="n">
        <v>0</v>
      </c>
      <c r="N30" s="4" t="n"/>
      <c r="O30" s="4" t="inlineStr">
        <is>
          <t>-</t>
        </is>
      </c>
      <c r="P30" s="4" t="n">
        <v>1</v>
      </c>
      <c r="Q30" s="6" t="inlineStr">
        <is>
          <t>TIMT</t>
        </is>
      </c>
    </row>
    <row r="31">
      <c r="A31" s="5" t="n">
        <v>118</v>
      </c>
      <c r="B31" s="4" t="inlineStr">
        <is>
          <t>BRN03SLBUD</t>
        </is>
      </c>
      <c r="C31" s="4" t="inlineStr">
        <is>
          <t>Brunn 0-3 m³, slam. Budning</t>
        </is>
      </c>
      <c r="D31" s="4" t="inlineStr">
        <is>
          <t>RENH</t>
        </is>
      </c>
      <c r="E31" s="4" t="inlineStr">
        <is>
          <t>SLAM</t>
        </is>
      </c>
      <c r="F31" s="4" t="n">
        <v>1</v>
      </c>
      <c r="G31" s="4" t="inlineStr">
        <is>
          <t>ÅRKV</t>
        </is>
      </c>
      <c r="H31" s="4" t="inlineStr">
        <is>
          <t>Brunn 0-3 m³, slam. Budning</t>
        </is>
      </c>
      <c r="I31" s="4" t="n"/>
      <c r="J31" s="4" t="n"/>
      <c r="K31" s="4" t="n">
        <v>0</v>
      </c>
      <c r="L31" s="19" t="n">
        <v>44927</v>
      </c>
      <c r="M31" s="4" t="n">
        <v>0</v>
      </c>
      <c r="N31" s="4" t="n"/>
      <c r="O31" s="4" t="inlineStr">
        <is>
          <t>-</t>
        </is>
      </c>
      <c r="P31" s="4" t="n">
        <v>1</v>
      </c>
      <c r="Q31" s="6" t="inlineStr">
        <is>
          <t>ANTB</t>
        </is>
      </c>
    </row>
    <row r="32">
      <c r="A32" s="5" t="n">
        <v>145</v>
      </c>
      <c r="B32" s="4" t="inlineStr">
        <is>
          <t>BRN03SLORD</t>
        </is>
      </c>
      <c r="C32" s="4" t="inlineStr">
        <is>
          <t>Brunn 0-3 m³, slam. Ord. tur</t>
        </is>
      </c>
      <c r="D32" s="4" t="inlineStr">
        <is>
          <t>RENH</t>
        </is>
      </c>
      <c r="E32" s="4" t="inlineStr">
        <is>
          <t>SLAM</t>
        </is>
      </c>
      <c r="F32" s="4" t="n">
        <v>1</v>
      </c>
      <c r="G32" s="4" t="inlineStr">
        <is>
          <t>ÅRKV</t>
        </is>
      </c>
      <c r="H32" s="4" t="inlineStr">
        <is>
          <t>Brunn 0-3 m³, slam. Ord. tur</t>
        </is>
      </c>
      <c r="I32" s="4" t="n"/>
      <c r="J32" s="4" t="n"/>
      <c r="K32" s="4" t="n">
        <v>0</v>
      </c>
      <c r="L32" s="19" t="n">
        <v>44927</v>
      </c>
      <c r="M32" s="4" t="n">
        <v>0</v>
      </c>
      <c r="N32" s="4" t="n"/>
      <c r="O32" s="4" t="inlineStr">
        <is>
          <t>-</t>
        </is>
      </c>
      <c r="P32" s="4" t="n">
        <v>1</v>
      </c>
      <c r="Q32" s="6" t="inlineStr">
        <is>
          <t>ANTB</t>
        </is>
      </c>
    </row>
    <row r="33">
      <c r="A33" s="5" t="n">
        <v>119</v>
      </c>
      <c r="B33" s="4" t="inlineStr">
        <is>
          <t>BRN36SLBUD</t>
        </is>
      </c>
      <c r="C33" s="4" t="inlineStr">
        <is>
          <t>Brunn 3,1-6 m³, slam. Budning</t>
        </is>
      </c>
      <c r="D33" s="4" t="inlineStr">
        <is>
          <t>RENH</t>
        </is>
      </c>
      <c r="E33" s="4" t="inlineStr">
        <is>
          <t>SLAM</t>
        </is>
      </c>
      <c r="F33" s="4" t="n">
        <v>1</v>
      </c>
      <c r="G33" s="4" t="inlineStr">
        <is>
          <t>ÅRKV</t>
        </is>
      </c>
      <c r="H33" s="4" t="inlineStr">
        <is>
          <t>Brunn 3,1-6 m³, slam. Budning</t>
        </is>
      </c>
      <c r="I33" s="4" t="n"/>
      <c r="J33" s="4" t="n"/>
      <c r="K33" s="4" t="n">
        <v>0</v>
      </c>
      <c r="L33" s="19" t="n">
        <v>44927</v>
      </c>
      <c r="M33" s="4" t="n">
        <v>0</v>
      </c>
      <c r="N33" s="4" t="n"/>
      <c r="O33" s="4" t="inlineStr">
        <is>
          <t>-</t>
        </is>
      </c>
      <c r="P33" s="4" t="n">
        <v>1</v>
      </c>
      <c r="Q33" s="6" t="inlineStr">
        <is>
          <t>ANTB</t>
        </is>
      </c>
    </row>
    <row r="34">
      <c r="A34" s="5" t="n">
        <v>146</v>
      </c>
      <c r="B34" s="4" t="inlineStr">
        <is>
          <t>BRN36SLORD</t>
        </is>
      </c>
      <c r="C34" s="4" t="inlineStr">
        <is>
          <t>Brunn 3,1-6 m³, slam. Ord. tur</t>
        </is>
      </c>
      <c r="D34" s="4" t="inlineStr">
        <is>
          <t>RENH</t>
        </is>
      </c>
      <c r="E34" s="4" t="inlineStr">
        <is>
          <t>SLAM</t>
        </is>
      </c>
      <c r="F34" s="4" t="n">
        <v>1</v>
      </c>
      <c r="G34" s="4" t="inlineStr">
        <is>
          <t>ÅRKV</t>
        </is>
      </c>
      <c r="H34" s="4" t="inlineStr">
        <is>
          <t>Brunn över 6 m³, slam. Ord. tur</t>
        </is>
      </c>
      <c r="I34" s="4" t="n"/>
      <c r="J34" s="4" t="n"/>
      <c r="K34" s="4" t="n">
        <v>0</v>
      </c>
      <c r="L34" s="19" t="n">
        <v>44927</v>
      </c>
      <c r="M34" s="4" t="n">
        <v>0</v>
      </c>
      <c r="N34" s="4" t="n"/>
      <c r="O34" s="4" t="inlineStr">
        <is>
          <t>-</t>
        </is>
      </c>
      <c r="P34" s="4" t="n">
        <v>1</v>
      </c>
      <c r="Q34" s="6" t="inlineStr">
        <is>
          <t>ANTB</t>
        </is>
      </c>
    </row>
    <row r="35">
      <c r="A35" s="5" t="n">
        <v>120</v>
      </c>
      <c r="B35" s="4" t="inlineStr">
        <is>
          <t>BRNÖ6SLBUD</t>
        </is>
      </c>
      <c r="C35" s="4" t="inlineStr">
        <is>
          <t>Brunn över 6 m³, slam. Budning</t>
        </is>
      </c>
      <c r="D35" s="4" t="inlineStr">
        <is>
          <t>RENH</t>
        </is>
      </c>
      <c r="E35" s="4" t="inlineStr">
        <is>
          <t>SLAM</t>
        </is>
      </c>
      <c r="F35" s="4" t="n">
        <v>1</v>
      </c>
      <c r="G35" s="4" t="inlineStr">
        <is>
          <t>ÅRKV</t>
        </is>
      </c>
      <c r="H35" s="4" t="inlineStr">
        <is>
          <t>Brunn över 6 m³, slam. Budning</t>
        </is>
      </c>
      <c r="I35" s="4" t="n"/>
      <c r="J35" s="4" t="n"/>
      <c r="K35" s="4" t="n">
        <v>0</v>
      </c>
      <c r="L35" s="19" t="n">
        <v>44927</v>
      </c>
      <c r="M35" s="4" t="n">
        <v>0</v>
      </c>
      <c r="N35" s="4" t="n"/>
      <c r="O35" s="4" t="inlineStr">
        <is>
          <t>-</t>
        </is>
      </c>
      <c r="P35" s="4" t="n">
        <v>1</v>
      </c>
      <c r="Q35" s="6" t="inlineStr">
        <is>
          <t>ANTB</t>
        </is>
      </c>
    </row>
    <row r="36">
      <c r="A36" s="5" t="n">
        <v>147</v>
      </c>
      <c r="B36" s="4" t="inlineStr">
        <is>
          <t>BRNÖ6SLORD</t>
        </is>
      </c>
      <c r="C36" s="4" t="inlineStr">
        <is>
          <t>Brunn över 6 m³, slam. Ord. tur</t>
        </is>
      </c>
      <c r="D36" s="4" t="inlineStr">
        <is>
          <t>RENH</t>
        </is>
      </c>
      <c r="E36" s="4" t="inlineStr">
        <is>
          <t>SLAM</t>
        </is>
      </c>
      <c r="F36" s="4" t="n">
        <v>1</v>
      </c>
      <c r="G36" s="4" t="inlineStr">
        <is>
          <t>ÅRKV</t>
        </is>
      </c>
      <c r="H36" s="4" t="inlineStr">
        <is>
          <t>Brunn över 6 m³, slam. Ord. tur</t>
        </is>
      </c>
      <c r="I36" s="4" t="n"/>
      <c r="J36" s="4" t="n"/>
      <c r="K36" s="4" t="n">
        <v>0</v>
      </c>
      <c r="L36" s="19" t="n">
        <v>44927</v>
      </c>
      <c r="M36" s="4" t="n">
        <v>0</v>
      </c>
      <c r="N36" s="4" t="n"/>
      <c r="O36" s="4" t="inlineStr">
        <is>
          <t>-</t>
        </is>
      </c>
      <c r="P36" s="4" t="n">
        <v>1</v>
      </c>
      <c r="Q36" s="6" t="inlineStr">
        <is>
          <t>ANTB</t>
        </is>
      </c>
    </row>
    <row r="37">
      <c r="A37" s="5" t="n">
        <v>167</v>
      </c>
      <c r="B37" s="4" t="inlineStr">
        <is>
          <t>BRÄNNBART</t>
        </is>
      </c>
      <c r="C37" s="4" t="inlineStr">
        <is>
          <t>Brännbart avfall</t>
        </is>
      </c>
      <c r="D37" s="4" t="inlineStr">
        <is>
          <t>RENH</t>
        </is>
      </c>
      <c r="E37" s="4" t="inlineStr">
        <is>
          <t>BYGG</t>
        </is>
      </c>
      <c r="F37" s="4" t="n">
        <v>1</v>
      </c>
      <c r="G37" s="4" t="inlineStr">
        <is>
          <t>KVAN</t>
        </is>
      </c>
      <c r="H37" s="4" t="inlineStr">
        <is>
          <t>Brännbart avfall</t>
        </is>
      </c>
      <c r="I37" s="4" t="n"/>
      <c r="J37" s="4" t="n"/>
      <c r="K37" s="4" t="n">
        <v>2500</v>
      </c>
      <c r="L37" s="19" t="n">
        <v>45200</v>
      </c>
      <c r="M37" s="4" t="n">
        <v>0</v>
      </c>
      <c r="N37" s="4" t="n"/>
      <c r="O37" s="4" t="inlineStr">
        <is>
          <t>-</t>
        </is>
      </c>
      <c r="P37" s="4" t="n">
        <v>1</v>
      </c>
      <c r="Q37" s="6" t="inlineStr">
        <is>
          <t>VITO</t>
        </is>
      </c>
    </row>
    <row r="38">
      <c r="A38" s="5" t="n">
        <v>17</v>
      </c>
      <c r="B38" s="4" t="inlineStr">
        <is>
          <t>BS</t>
        </is>
      </c>
      <c r="C38" s="4" t="inlineStr">
        <is>
          <t>Byte av sopkärl</t>
        </is>
      </c>
      <c r="D38" s="4" t="inlineStr">
        <is>
          <t>RENH</t>
        </is>
      </c>
      <c r="E38" s="4" t="inlineStr">
        <is>
          <t>HUSH</t>
        </is>
      </c>
      <c r="F38" s="4" t="n">
        <v>1</v>
      </c>
      <c r="G38" s="4" t="inlineStr">
        <is>
          <t>KVAN</t>
        </is>
      </c>
      <c r="H38" s="4" t="inlineStr">
        <is>
          <t>Byte av sopkärl</t>
        </is>
      </c>
      <c r="I38" s="4" t="n"/>
      <c r="J38" s="4" t="n"/>
      <c r="K38" s="4" t="n">
        <v>192</v>
      </c>
      <c r="L38" s="19" t="n">
        <v>44378</v>
      </c>
      <c r="M38" s="4" t="n">
        <v>0</v>
      </c>
      <c r="N38" s="4" t="n"/>
      <c r="O38" s="4" t="inlineStr">
        <is>
          <t>-</t>
        </is>
      </c>
      <c r="P38" s="4" t="n">
        <v>1</v>
      </c>
      <c r="Q38" s="6" t="inlineStr">
        <is>
          <t>ANTL</t>
        </is>
      </c>
    </row>
    <row r="39">
      <c r="A39" s="5" t="n">
        <v>263</v>
      </c>
      <c r="B39" s="4" t="inlineStr">
        <is>
          <t>CONT10ASBUD</t>
        </is>
      </c>
      <c r="C39" s="4" t="inlineStr">
        <is>
          <t>Container 10m3 Aska</t>
        </is>
      </c>
      <c r="D39" s="4" t="inlineStr">
        <is>
          <t>RENH</t>
        </is>
      </c>
      <c r="E39" s="4" t="inlineStr">
        <is>
          <t>CONT</t>
        </is>
      </c>
      <c r="F39" s="4" t="n">
        <v>1</v>
      </c>
      <c r="G39" s="4" t="inlineStr">
        <is>
          <t>ÅRKV</t>
        </is>
      </c>
      <c r="H39" s="4" t="inlineStr">
        <is>
          <t>Container 10m3 Aska</t>
        </is>
      </c>
      <c r="I39" s="4" t="n"/>
      <c r="J39" s="4" t="n"/>
      <c r="K39" s="4" t="n">
        <v>0</v>
      </c>
      <c r="L39" s="19" t="n">
        <v>45658</v>
      </c>
      <c r="M39" s="4" t="n">
        <v>0</v>
      </c>
      <c r="N39" s="4" t="n"/>
      <c r="O39" s="4" t="inlineStr">
        <is>
          <t>-</t>
        </is>
      </c>
      <c r="P39" s="4" t="n">
        <v>1</v>
      </c>
      <c r="Q39" s="6" t="inlineStr">
        <is>
          <t>ANTB</t>
        </is>
      </c>
    </row>
    <row r="40">
      <c r="A40" s="5" t="n">
        <v>268</v>
      </c>
      <c r="B40" s="4" t="inlineStr">
        <is>
          <t>CONT12_6FREBUD</t>
        </is>
      </c>
      <c r="C40" s="4" t="inlineStr">
        <is>
          <t>Container 12m3 6-fack Restavfall</t>
        </is>
      </c>
      <c r="D40" s="4" t="inlineStr">
        <is>
          <t>RENH</t>
        </is>
      </c>
      <c r="E40" s="4" t="inlineStr">
        <is>
          <t>CONT</t>
        </is>
      </c>
      <c r="F40" s="4" t="n">
        <v>1</v>
      </c>
      <c r="G40" s="4" t="inlineStr">
        <is>
          <t>ÅRKV</t>
        </is>
      </c>
      <c r="H40" s="4" t="inlineStr">
        <is>
          <t>Container 12m3 6-fack</t>
        </is>
      </c>
      <c r="I40" s="4" t="n"/>
      <c r="J40" s="4" t="n"/>
      <c r="K40" s="4" t="n">
        <v>0</v>
      </c>
      <c r="L40" s="19" t="n">
        <v>45658</v>
      </c>
      <c r="M40" s="4" t="n">
        <v>0</v>
      </c>
      <c r="N40" s="4" t="n"/>
      <c r="O40" s="4" t="inlineStr">
        <is>
          <t>-</t>
        </is>
      </c>
      <c r="P40" s="4" t="n">
        <v>1</v>
      </c>
      <c r="Q40" s="6" t="inlineStr">
        <is>
          <t>ANTB</t>
        </is>
      </c>
    </row>
    <row r="41">
      <c r="A41" s="5" t="n">
        <v>297</v>
      </c>
      <c r="B41" s="4" t="inlineStr">
        <is>
          <t>CONT12SLBUD</t>
        </is>
      </c>
      <c r="C41" s="4" t="inlineStr">
        <is>
          <t>Container 12 m3, Slam</t>
        </is>
      </c>
      <c r="D41" s="4" t="inlineStr">
        <is>
          <t>RENH</t>
        </is>
      </c>
      <c r="E41" s="4" t="inlineStr">
        <is>
          <t>SLAM</t>
        </is>
      </c>
      <c r="F41" s="4" t="n">
        <v>1</v>
      </c>
      <c r="G41" s="4" t="inlineStr">
        <is>
          <t>ÅRKV</t>
        </is>
      </c>
      <c r="H41" s="4" t="inlineStr">
        <is>
          <t>Container 12 m3, Slam</t>
        </is>
      </c>
      <c r="I41" s="4" t="n"/>
      <c r="J41" s="4" t="n"/>
      <c r="K41" s="4" t="n">
        <v>0</v>
      </c>
      <c r="L41" s="19" t="n">
        <v>44927</v>
      </c>
      <c r="M41" s="4" t="n">
        <v>0</v>
      </c>
      <c r="N41" s="4" t="n"/>
      <c r="O41" s="4" t="inlineStr">
        <is>
          <t>-</t>
        </is>
      </c>
      <c r="P41" s="4" t="n">
        <v>1</v>
      </c>
      <c r="Q41" s="6" t="inlineStr">
        <is>
          <t>ANTB</t>
        </is>
      </c>
    </row>
    <row r="42">
      <c r="A42" s="5" t="n">
        <v>18</v>
      </c>
      <c r="B42" s="4" t="inlineStr">
        <is>
          <t>DE190</t>
        </is>
      </c>
      <c r="C42" s="4" t="inlineStr">
        <is>
          <t>190 L KÄRL DELAT</t>
        </is>
      </c>
      <c r="D42" s="4" t="inlineStr">
        <is>
          <t>RENH</t>
        </is>
      </c>
      <c r="E42" s="4" t="inlineStr">
        <is>
          <t>HUSH</t>
        </is>
      </c>
      <c r="F42" s="4" t="n">
        <v>1</v>
      </c>
      <c r="G42" s="4" t="inlineStr">
        <is>
          <t>ÅRKV</t>
        </is>
      </c>
      <c r="H42" s="4" t="inlineStr">
        <is>
          <t>Sophämtning delat 190 l kärl</t>
        </is>
      </c>
      <c r="I42" s="4" t="n"/>
      <c r="J42" s="4" t="n"/>
      <c r="K42" s="4" t="n">
        <v>706</v>
      </c>
      <c r="L42" s="19" t="n">
        <v>40179</v>
      </c>
      <c r="M42" s="4" t="n">
        <v>0</v>
      </c>
      <c r="N42" s="4" t="n"/>
      <c r="O42" s="4" t="inlineStr">
        <is>
          <t>-</t>
        </is>
      </c>
      <c r="P42" s="4" t="n">
        <v>1</v>
      </c>
      <c r="Q42" s="6" t="inlineStr">
        <is>
          <t>ANTB</t>
        </is>
      </c>
    </row>
    <row r="43">
      <c r="A43" s="5" t="n">
        <v>7</v>
      </c>
      <c r="B43" s="4" t="inlineStr">
        <is>
          <t>DRÖJRÄNTA</t>
        </is>
      </c>
      <c r="C43" s="4" t="inlineStr">
        <is>
          <t>Dröjsmålsränta</t>
        </is>
      </c>
      <c r="D43" s="4" t="inlineStr">
        <is>
          <t>VA</t>
        </is>
      </c>
      <c r="E43" s="4" t="n"/>
      <c r="F43" s="4" t="n">
        <v>1</v>
      </c>
      <c r="G43" s="4" t="inlineStr">
        <is>
          <t>KVAN</t>
        </is>
      </c>
      <c r="H43" s="4" t="inlineStr">
        <is>
          <t>Dröjsmålsränta</t>
        </is>
      </c>
      <c r="I43" s="4" t="n"/>
      <c r="J43" s="4" t="n"/>
      <c r="K43" s="4" t="n">
        <v>0</v>
      </c>
      <c r="L43" s="19" t="n">
        <v>32874</v>
      </c>
      <c r="M43" s="4" t="n">
        <v>0</v>
      </c>
      <c r="N43" s="4" t="n"/>
      <c r="O43" s="4" t="inlineStr">
        <is>
          <t>-</t>
        </is>
      </c>
      <c r="P43" s="4" t="n">
        <v>0</v>
      </c>
      <c r="Q43" s="6" t="n"/>
    </row>
    <row r="44">
      <c r="A44" s="5" t="n">
        <v>184</v>
      </c>
      <c r="B44" s="4" t="inlineStr">
        <is>
          <t>EVEKÄ140MA</t>
        </is>
      </c>
      <c r="C44" s="4" t="inlineStr">
        <is>
          <t>Evenemangskärl 140 L, matavfall</t>
        </is>
      </c>
      <c r="D44" s="4" t="inlineStr">
        <is>
          <t>RENH</t>
        </is>
      </c>
      <c r="E44" s="4" t="inlineStr">
        <is>
          <t>HUSH</t>
        </is>
      </c>
      <c r="F44" s="4" t="n">
        <v>1</v>
      </c>
      <c r="G44" s="4" t="inlineStr">
        <is>
          <t>KVAN</t>
        </is>
      </c>
      <c r="H44" s="4" t="inlineStr">
        <is>
          <t>Evenemangskärl 140 L, matavfall</t>
        </is>
      </c>
      <c r="I44" s="4" t="n"/>
      <c r="J44" s="4" t="n"/>
      <c r="K44" s="4" t="n">
        <v>1000</v>
      </c>
      <c r="L44" s="19" t="n">
        <v>45200</v>
      </c>
      <c r="M44" s="4" t="n">
        <v>0</v>
      </c>
      <c r="N44" s="4" t="n"/>
      <c r="O44" s="4" t="inlineStr">
        <is>
          <t>-</t>
        </is>
      </c>
      <c r="P44" s="4" t="n">
        <v>1</v>
      </c>
      <c r="Q44" s="6" t="inlineStr">
        <is>
          <t>ANTL</t>
        </is>
      </c>
    </row>
    <row r="45">
      <c r="A45" s="5" t="n">
        <v>185</v>
      </c>
      <c r="B45" s="4" t="inlineStr">
        <is>
          <t>EVEKÄ190RE</t>
        </is>
      </c>
      <c r="C45" s="4" t="inlineStr">
        <is>
          <t>Evenemangskärl 190 L, restavfall</t>
        </is>
      </c>
      <c r="D45" s="4" t="inlineStr">
        <is>
          <t>RENH</t>
        </is>
      </c>
      <c r="E45" s="4" t="inlineStr">
        <is>
          <t>HUSH</t>
        </is>
      </c>
      <c r="F45" s="4" t="n">
        <v>1</v>
      </c>
      <c r="G45" s="4" t="inlineStr">
        <is>
          <t>KVAN</t>
        </is>
      </c>
      <c r="H45" s="4" t="inlineStr">
        <is>
          <t>Evenemangskärl 190 L, restavfall</t>
        </is>
      </c>
      <c r="I45" s="4" t="n"/>
      <c r="J45" s="4" t="n"/>
      <c r="K45" s="4" t="n">
        <v>1200</v>
      </c>
      <c r="L45" s="19" t="n">
        <v>45200</v>
      </c>
      <c r="M45" s="4" t="n">
        <v>0</v>
      </c>
      <c r="N45" s="4" t="n"/>
      <c r="O45" s="4" t="inlineStr">
        <is>
          <t>-</t>
        </is>
      </c>
      <c r="P45" s="4" t="n">
        <v>1</v>
      </c>
      <c r="Q45" s="6" t="inlineStr">
        <is>
          <t>ANTL</t>
        </is>
      </c>
    </row>
    <row r="46">
      <c r="A46" s="5" t="n">
        <v>186</v>
      </c>
      <c r="B46" s="4" t="inlineStr">
        <is>
          <t>EVEKÄ660RE</t>
        </is>
      </c>
      <c r="C46" s="4" t="inlineStr">
        <is>
          <t>Evenemangskärl 660 L, restavfall</t>
        </is>
      </c>
      <c r="D46" s="4" t="inlineStr">
        <is>
          <t>RENH</t>
        </is>
      </c>
      <c r="E46" s="4" t="inlineStr">
        <is>
          <t>HUSH</t>
        </is>
      </c>
      <c r="F46" s="4" t="n">
        <v>1</v>
      </c>
      <c r="G46" s="4" t="inlineStr">
        <is>
          <t>KVAN</t>
        </is>
      </c>
      <c r="H46" s="4" t="inlineStr">
        <is>
          <t>Evenemangskärl 660 L, restavfall</t>
        </is>
      </c>
      <c r="I46" s="4" t="n"/>
      <c r="J46" s="4" t="n"/>
      <c r="K46" s="4" t="n">
        <v>2000</v>
      </c>
      <c r="L46" s="19" t="n">
        <v>45200</v>
      </c>
      <c r="M46" s="4" t="n">
        <v>0</v>
      </c>
      <c r="N46" s="4" t="n"/>
      <c r="O46" s="4" t="inlineStr">
        <is>
          <t>-</t>
        </is>
      </c>
      <c r="P46" s="4" t="n">
        <v>1</v>
      </c>
      <c r="Q46" s="6" t="inlineStr">
        <is>
          <t>ANTL</t>
        </is>
      </c>
    </row>
    <row r="47">
      <c r="A47" s="5" t="n">
        <v>187</v>
      </c>
      <c r="B47" s="4" t="inlineStr">
        <is>
          <t>EVENEMANG</t>
        </is>
      </c>
      <c r="C47" s="4" t="inlineStr">
        <is>
          <t>Tjänsttaxa för tillfälliga evenemangskärl</t>
        </is>
      </c>
      <c r="D47" s="4" t="inlineStr">
        <is>
          <t>RENH</t>
        </is>
      </c>
      <c r="E47" s="4" t="inlineStr">
        <is>
          <t>HUSH</t>
        </is>
      </c>
      <c r="F47" s="4" t="n">
        <v>1</v>
      </c>
      <c r="G47" s="4" t="inlineStr">
        <is>
          <t>ÅRKV</t>
        </is>
      </c>
      <c r="H47" s="4" t="inlineStr">
        <is>
          <t>Tjänsttaxa för evenemangskärl</t>
        </is>
      </c>
      <c r="I47" s="4" t="n"/>
      <c r="J47" s="4" t="n"/>
      <c r="K47" s="4" t="n">
        <v>0</v>
      </c>
      <c r="L47" s="19" t="n">
        <v>45200</v>
      </c>
      <c r="M47" s="4" t="n">
        <v>0</v>
      </c>
      <c r="N47" s="4" t="n"/>
      <c r="O47" s="4" t="inlineStr">
        <is>
          <t>-</t>
        </is>
      </c>
      <c r="P47" s="4" t="n">
        <v>1</v>
      </c>
      <c r="Q47" s="6" t="inlineStr">
        <is>
          <t>0</t>
        </is>
      </c>
    </row>
    <row r="48">
      <c r="A48" s="5" t="n">
        <v>19</v>
      </c>
      <c r="B48" s="4" t="inlineStr">
        <is>
          <t>EXTRA</t>
        </is>
      </c>
      <c r="C48" s="4" t="inlineStr">
        <is>
          <t>Efteranmälan slamtömning</t>
        </is>
      </c>
      <c r="D48" s="4" t="inlineStr">
        <is>
          <t>RENH</t>
        </is>
      </c>
      <c r="E48" s="4" t="inlineStr">
        <is>
          <t>SLAM</t>
        </is>
      </c>
      <c r="F48" s="4" t="n">
        <v>1</v>
      </c>
      <c r="G48" s="4" t="inlineStr">
        <is>
          <t>KVAN</t>
        </is>
      </c>
      <c r="H48" s="4" t="inlineStr">
        <is>
          <t>Förseningsavgift efteranmälan</t>
        </is>
      </c>
      <c r="I48" s="4" t="n"/>
      <c r="J48" s="4" t="n"/>
      <c r="K48" s="4" t="n">
        <v>640</v>
      </c>
      <c r="L48" s="19" t="n">
        <v>43922</v>
      </c>
      <c r="M48" s="4" t="n">
        <v>0</v>
      </c>
      <c r="N48" s="4" t="n"/>
      <c r="O48" s="4" t="inlineStr">
        <is>
          <t>-</t>
        </is>
      </c>
      <c r="P48" s="4" t="n">
        <v>1</v>
      </c>
      <c r="Q48" s="6" t="inlineStr">
        <is>
          <t>ANTL</t>
        </is>
      </c>
    </row>
    <row r="49">
      <c r="A49" s="5" t="n">
        <v>166</v>
      </c>
      <c r="B49" s="4" t="inlineStr">
        <is>
          <t>FARLIGTBUD</t>
        </is>
      </c>
      <c r="C49" s="4" t="inlineStr">
        <is>
          <t>Budning av farligt avfall, pris per tillfälle</t>
        </is>
      </c>
      <c r="D49" s="4" t="inlineStr">
        <is>
          <t>RENH</t>
        </is>
      </c>
      <c r="E49" s="4" t="inlineStr">
        <is>
          <t>HUSH</t>
        </is>
      </c>
      <c r="F49" s="4" t="n">
        <v>1</v>
      </c>
      <c r="G49" s="4" t="inlineStr">
        <is>
          <t>KVAN</t>
        </is>
      </c>
      <c r="H49" s="4" t="inlineStr">
        <is>
          <t>Budning av farligt avfall, pris per tillfälle</t>
        </is>
      </c>
      <c r="I49" s="4" t="n"/>
      <c r="J49" s="4" t="n"/>
      <c r="K49" s="4" t="n">
        <v>1600</v>
      </c>
      <c r="L49" s="19" t="n">
        <v>45200</v>
      </c>
      <c r="M49" s="4" t="n">
        <v>0</v>
      </c>
      <c r="N49" s="4" t="n"/>
      <c r="O49" s="4" t="inlineStr">
        <is>
          <t>-</t>
        </is>
      </c>
      <c r="P49" s="4" t="n">
        <v>1</v>
      </c>
      <c r="Q49" s="6" t="inlineStr">
        <is>
          <t>ANTL</t>
        </is>
      </c>
    </row>
    <row r="50">
      <c r="A50" s="5" t="n">
        <v>163</v>
      </c>
      <c r="B50" s="4" t="inlineStr">
        <is>
          <t>FELSORT</t>
        </is>
      </c>
      <c r="C50" s="4" t="inlineStr">
        <is>
          <t>Felsorteringsavgift, pris per tillfälle och kärl</t>
        </is>
      </c>
      <c r="D50" s="4" t="inlineStr">
        <is>
          <t>RENH</t>
        </is>
      </c>
      <c r="E50" s="4" t="inlineStr">
        <is>
          <t>HUSH</t>
        </is>
      </c>
      <c r="F50" s="4" t="n">
        <v>1</v>
      </c>
      <c r="G50" s="4" t="inlineStr">
        <is>
          <t>KVAN</t>
        </is>
      </c>
      <c r="H50" s="4" t="inlineStr">
        <is>
          <t>Felsorteringsavgift, pris per tillfälle och kärl</t>
        </is>
      </c>
      <c r="I50" s="4" t="n"/>
      <c r="J50" s="4" t="n"/>
      <c r="K50" s="4" t="n">
        <v>400</v>
      </c>
      <c r="L50" s="19" t="n">
        <v>45200</v>
      </c>
      <c r="M50" s="4" t="n">
        <v>0</v>
      </c>
      <c r="N50" s="4" t="n"/>
      <c r="O50" s="4" t="inlineStr">
        <is>
          <t>-</t>
        </is>
      </c>
      <c r="P50" s="4" t="n">
        <v>1</v>
      </c>
      <c r="Q50" s="6" t="inlineStr">
        <is>
          <t>ANTL</t>
        </is>
      </c>
    </row>
    <row r="51">
      <c r="A51" s="5" t="n">
        <v>207</v>
      </c>
      <c r="B51" s="4" t="inlineStr">
        <is>
          <t>FILMBESIKT</t>
        </is>
      </c>
      <c r="C51" s="4" t="inlineStr">
        <is>
          <t>Filmning/besiktning</t>
        </is>
      </c>
      <c r="D51" s="4" t="inlineStr">
        <is>
          <t>RENH</t>
        </is>
      </c>
      <c r="E51" s="4" t="inlineStr">
        <is>
          <t>EXT</t>
        </is>
      </c>
      <c r="F51" s="4" t="n">
        <v>1</v>
      </c>
      <c r="G51" s="4" t="inlineStr">
        <is>
          <t>KVAN</t>
        </is>
      </c>
      <c r="H51" s="4" t="inlineStr">
        <is>
          <t>Filmning/besiktning</t>
        </is>
      </c>
      <c r="I51" s="4" t="n"/>
      <c r="J51" s="4" t="n"/>
      <c r="K51" s="4" t="n">
        <v>113.6</v>
      </c>
      <c r="L51" s="19" t="n">
        <v>44927</v>
      </c>
      <c r="M51" s="4" t="n">
        <v>0</v>
      </c>
      <c r="N51" s="4" t="n"/>
      <c r="O51" s="4" t="inlineStr">
        <is>
          <t>-</t>
        </is>
      </c>
      <c r="P51" s="4" t="n">
        <v>1</v>
      </c>
      <c r="Q51" s="6" t="inlineStr">
        <is>
          <t>TIMT</t>
        </is>
      </c>
    </row>
    <row r="52">
      <c r="A52" s="5" t="n">
        <v>20</v>
      </c>
      <c r="B52" s="4" t="inlineStr">
        <is>
          <t>FJ</t>
        </is>
      </c>
      <c r="C52" s="4" t="inlineStr">
        <is>
          <t>FJÄRRVÄRME</t>
        </is>
      </c>
      <c r="D52" s="4" t="inlineStr">
        <is>
          <t>VA</t>
        </is>
      </c>
      <c r="E52" s="4" t="inlineStr">
        <is>
          <t>FJ</t>
        </is>
      </c>
      <c r="F52" s="4" t="n">
        <v>1</v>
      </c>
      <c r="G52" s="4" t="inlineStr">
        <is>
          <t>FÖRB</t>
        </is>
      </c>
      <c r="H52" s="4" t="inlineStr">
        <is>
          <t>Fjärrvärme</t>
        </is>
      </c>
      <c r="I52" s="4" t="n"/>
      <c r="J52" s="4" t="n"/>
      <c r="K52" s="4" t="n">
        <v>424</v>
      </c>
      <c r="L52" s="19" t="n">
        <v>37987</v>
      </c>
      <c r="M52" s="4" t="n">
        <v>0</v>
      </c>
      <c r="N52" s="4" t="n"/>
      <c r="O52" s="4" t="inlineStr">
        <is>
          <t>-</t>
        </is>
      </c>
      <c r="P52" s="4" t="n">
        <v>1</v>
      </c>
      <c r="Q52" s="6" t="n"/>
    </row>
    <row r="53">
      <c r="A53" s="5" t="n">
        <v>94</v>
      </c>
      <c r="B53" s="4" t="inlineStr">
        <is>
          <t>FRAMKAVG</t>
        </is>
      </c>
      <c r="C53" s="4" t="inlineStr">
        <is>
          <t>Framkörningsavgift</t>
        </is>
      </c>
      <c r="D53" s="4" t="inlineStr">
        <is>
          <t>RENH</t>
        </is>
      </c>
      <c r="E53" s="4" t="inlineStr">
        <is>
          <t>SLAM</t>
        </is>
      </c>
      <c r="F53" s="4" t="n">
        <v>1</v>
      </c>
      <c r="G53" s="4" t="inlineStr">
        <is>
          <t>KVAN</t>
        </is>
      </c>
      <c r="H53" s="4" t="inlineStr">
        <is>
          <t>Framkörningsavgift</t>
        </is>
      </c>
      <c r="I53" s="4" t="n"/>
      <c r="J53" s="4" t="n"/>
      <c r="K53" s="4" t="n">
        <v>652</v>
      </c>
      <c r="L53" s="19" t="n">
        <v>45658</v>
      </c>
      <c r="M53" s="4" t="n">
        <v>0</v>
      </c>
      <c r="N53" s="4" t="n"/>
      <c r="O53" s="4" t="inlineStr">
        <is>
          <t>-</t>
        </is>
      </c>
      <c r="P53" s="4" t="n">
        <v>1</v>
      </c>
      <c r="Q53" s="6" t="inlineStr">
        <is>
          <t>ANTL</t>
        </is>
      </c>
    </row>
    <row r="54">
      <c r="A54" s="5" t="n">
        <v>11</v>
      </c>
      <c r="B54" s="4" t="inlineStr">
        <is>
          <t>FRIFAKTURA</t>
        </is>
      </c>
      <c r="C54" s="4" t="inlineStr">
        <is>
          <t>Fri faktura, standard</t>
        </is>
      </c>
      <c r="D54" s="4" t="inlineStr">
        <is>
          <t>VA</t>
        </is>
      </c>
      <c r="E54" s="4" t="n"/>
      <c r="F54" s="4" t="n">
        <v>1</v>
      </c>
      <c r="G54" s="4" t="inlineStr">
        <is>
          <t>KVAN</t>
        </is>
      </c>
      <c r="H54" s="4" t="inlineStr">
        <is>
          <t>Fri faktura, standard</t>
        </is>
      </c>
      <c r="I54" s="4" t="n"/>
      <c r="J54" s="4" t="n"/>
      <c r="K54" s="4" t="n">
        <v>0</v>
      </c>
      <c r="L54" s="19" t="n">
        <v>32874</v>
      </c>
      <c r="M54" s="4" t="n">
        <v>0</v>
      </c>
      <c r="N54" s="4" t="n"/>
      <c r="O54" s="4" t="inlineStr">
        <is>
          <t>-</t>
        </is>
      </c>
      <c r="P54" s="4" t="n">
        <v>1</v>
      </c>
      <c r="Q54" s="6" t="n"/>
    </row>
    <row r="55">
      <c r="A55" s="5" t="n">
        <v>22</v>
      </c>
      <c r="B55" s="4" t="inlineStr">
        <is>
          <t>FRIKV</t>
        </is>
      </c>
      <c r="C55" s="4" t="inlineStr">
        <is>
          <t>FRI KVANTITET</t>
        </is>
      </c>
      <c r="D55" s="4" t="inlineStr">
        <is>
          <t>AD</t>
        </is>
      </c>
      <c r="E55" s="4" t="n"/>
      <c r="F55" s="4" t="n">
        <v>1</v>
      </c>
      <c r="G55" s="4" t="inlineStr">
        <is>
          <t>KVAN</t>
        </is>
      </c>
      <c r="H55" s="4" t="n"/>
      <c r="I55" s="4" t="n"/>
      <c r="J55" s="4" t="n"/>
      <c r="K55" s="4" t="n">
        <v>0</v>
      </c>
      <c r="L55" s="19" t="n">
        <v>34700</v>
      </c>
      <c r="M55" s="4" t="n">
        <v>0</v>
      </c>
      <c r="N55" s="4" t="n"/>
      <c r="O55" s="4" t="inlineStr">
        <is>
          <t>-</t>
        </is>
      </c>
      <c r="P55" s="4" t="n">
        <v>1</v>
      </c>
      <c r="Q55" s="6" t="inlineStr">
        <is>
          <t>ANTB</t>
        </is>
      </c>
    </row>
    <row r="56">
      <c r="A56" s="5" t="n">
        <v>23</v>
      </c>
      <c r="B56" s="4" t="inlineStr">
        <is>
          <t>FRIUT</t>
        </is>
      </c>
      <c r="C56" s="4" t="inlineStr">
        <is>
          <t>FRITT UTFÖRANDE</t>
        </is>
      </c>
      <c r="D56" s="4" t="inlineStr">
        <is>
          <t>AD</t>
        </is>
      </c>
      <c r="E56" s="4" t="n"/>
      <c r="F56" s="4" t="n">
        <v>1</v>
      </c>
      <c r="G56" s="4" t="inlineStr">
        <is>
          <t>KVAN</t>
        </is>
      </c>
      <c r="H56" s="4" t="n"/>
      <c r="I56" s="4" t="n"/>
      <c r="J56" s="4" t="n"/>
      <c r="K56" s="4" t="n">
        <v>123</v>
      </c>
      <c r="L56" s="19" t="n">
        <v>35431</v>
      </c>
      <c r="M56" s="4" t="n">
        <v>0</v>
      </c>
      <c r="N56" s="4" t="n"/>
      <c r="O56" s="4" t="inlineStr">
        <is>
          <t>-</t>
        </is>
      </c>
      <c r="P56" s="4" t="n">
        <v>1</v>
      </c>
      <c r="Q56" s="6" t="inlineStr">
        <is>
          <t>ANTL</t>
        </is>
      </c>
    </row>
    <row r="57">
      <c r="A57" s="5" t="n">
        <v>24</v>
      </c>
      <c r="B57" s="4" t="inlineStr">
        <is>
          <t>FRUSEN</t>
        </is>
      </c>
      <c r="C57" s="4" t="inlineStr">
        <is>
          <t>BYTE AV FRUSEN MÄTARE</t>
        </is>
      </c>
      <c r="D57" s="4" t="inlineStr">
        <is>
          <t>VA</t>
        </is>
      </c>
      <c r="E57" s="4" t="inlineStr">
        <is>
          <t>VA</t>
        </is>
      </c>
      <c r="F57" s="4" t="n">
        <v>1</v>
      </c>
      <c r="G57" s="4" t="inlineStr">
        <is>
          <t>KVAN</t>
        </is>
      </c>
      <c r="H57" s="4" t="inlineStr">
        <is>
          <t>Byte av frusen mätare</t>
        </is>
      </c>
      <c r="I57" s="4" t="n"/>
      <c r="J57" s="4" t="n"/>
      <c r="K57" s="4" t="n">
        <v>720</v>
      </c>
      <c r="L57" s="19" t="n">
        <v>35431</v>
      </c>
      <c r="M57" s="4" t="n">
        <v>0</v>
      </c>
      <c r="N57" s="4" t="n"/>
      <c r="O57" s="4" t="inlineStr">
        <is>
          <t>-</t>
        </is>
      </c>
      <c r="P57" s="4" t="n">
        <v>1</v>
      </c>
      <c r="Q57" s="6" t="inlineStr">
        <is>
          <t>ANTL</t>
        </is>
      </c>
    </row>
    <row r="58">
      <c r="A58" s="5" t="n">
        <v>192</v>
      </c>
      <c r="B58" s="4" t="inlineStr">
        <is>
          <t>GEMKÄFRI</t>
        </is>
      </c>
      <c r="C58" s="4" t="inlineStr">
        <is>
          <t>Gemensam uppsamlingsplats med eget kärl, fritidshus</t>
        </is>
      </c>
      <c r="D58" s="4" t="inlineStr">
        <is>
          <t>RENH</t>
        </is>
      </c>
      <c r="E58" s="4" t="inlineStr">
        <is>
          <t>HUSH</t>
        </is>
      </c>
      <c r="F58" s="4" t="n">
        <v>1</v>
      </c>
      <c r="G58" s="4" t="inlineStr">
        <is>
          <t>ÅRKV</t>
        </is>
      </c>
      <c r="H58" s="4" t="inlineStr">
        <is>
          <t>Hämtningavgift gemensam uppsamlingsplats, eget kärl</t>
        </is>
      </c>
      <c r="I58" s="4" t="n"/>
      <c r="J58" s="4" t="n"/>
      <c r="K58" s="4" t="n">
        <v>280</v>
      </c>
      <c r="L58" s="19" t="n">
        <v>45200</v>
      </c>
      <c r="M58" s="4" t="n">
        <v>0</v>
      </c>
      <c r="N58" s="4" t="n"/>
      <c r="O58" s="4" t="inlineStr">
        <is>
          <t>-</t>
        </is>
      </c>
      <c r="P58" s="4" t="n">
        <v>1</v>
      </c>
      <c r="Q58" s="6" t="inlineStr">
        <is>
          <t>ANTB</t>
        </is>
      </c>
    </row>
    <row r="59">
      <c r="A59" s="5" t="n">
        <v>193</v>
      </c>
      <c r="B59" s="4" t="inlineStr">
        <is>
          <t>GEMKÄFRI</t>
        </is>
      </c>
      <c r="C59" s="4" t="inlineStr">
        <is>
          <t>Gemensam uppsamlingsplats med eget kärl, fritidshus</t>
        </is>
      </c>
      <c r="D59" s="4" t="inlineStr">
        <is>
          <t>RENH</t>
        </is>
      </c>
      <c r="E59" s="4" t="inlineStr">
        <is>
          <t>HUSH</t>
        </is>
      </c>
      <c r="F59" s="4" t="n">
        <v>2</v>
      </c>
      <c r="G59" s="4" t="inlineStr">
        <is>
          <t>ÅRKV</t>
        </is>
      </c>
      <c r="H59" s="4" t="inlineStr">
        <is>
          <t>Viktavgift rest- matavfall kr/kg</t>
        </is>
      </c>
      <c r="I59" s="4" t="n"/>
      <c r="J59" s="4" t="n"/>
      <c r="K59" s="4" t="n">
        <v>4</v>
      </c>
      <c r="L59" s="19" t="n">
        <v>45200</v>
      </c>
      <c r="M59" s="4" t="n">
        <v>0</v>
      </c>
      <c r="N59" s="4" t="n"/>
      <c r="O59" s="4" t="inlineStr">
        <is>
          <t>-</t>
        </is>
      </c>
      <c r="P59" s="4" t="n">
        <v>1</v>
      </c>
      <c r="Q59" s="6" t="inlineStr">
        <is>
          <t>VIKG</t>
        </is>
      </c>
    </row>
    <row r="60">
      <c r="A60" s="5" t="n">
        <v>195</v>
      </c>
      <c r="B60" s="4" t="inlineStr">
        <is>
          <t>GEMLIPFRI</t>
        </is>
      </c>
      <c r="C60" s="4" t="inlineStr">
        <is>
          <t>Gemensam uppsamlingsplats (LIP), fritidshus</t>
        </is>
      </c>
      <c r="D60" s="4" t="inlineStr">
        <is>
          <t>RENH</t>
        </is>
      </c>
      <c r="E60" s="4" t="inlineStr">
        <is>
          <t>HUSH</t>
        </is>
      </c>
      <c r="F60" s="4" t="n">
        <v>1</v>
      </c>
      <c r="G60" s="4" t="inlineStr">
        <is>
          <t>ÅRKV</t>
        </is>
      </c>
      <c r="H60" s="4" t="inlineStr">
        <is>
          <t>LIP, mat- och restavfall</t>
        </is>
      </c>
      <c r="I60" s="4" t="n"/>
      <c r="J60" s="4" t="n"/>
      <c r="K60" s="4" t="n">
        <v>640</v>
      </c>
      <c r="L60" s="19" t="n">
        <v>45200</v>
      </c>
      <c r="M60" s="4" t="n">
        <v>0</v>
      </c>
      <c r="N60" s="4" t="n"/>
      <c r="O60" s="4" t="inlineStr">
        <is>
          <t>-</t>
        </is>
      </c>
      <c r="P60" s="4" t="n">
        <v>1</v>
      </c>
      <c r="Q60" s="6" t="inlineStr">
        <is>
          <t>FAST</t>
        </is>
      </c>
    </row>
    <row r="61">
      <c r="A61" s="5" t="n">
        <v>244</v>
      </c>
      <c r="B61" s="4" t="inlineStr">
        <is>
          <t>GEMNYCKEL3</t>
        </is>
      </c>
      <c r="C61" s="4" t="inlineStr">
        <is>
          <t>Telefonnyckel nr 3 Gemlipfri</t>
        </is>
      </c>
      <c r="D61" s="4" t="inlineStr">
        <is>
          <t>RENH</t>
        </is>
      </c>
      <c r="E61" s="4" t="inlineStr">
        <is>
          <t>HUSH</t>
        </is>
      </c>
      <c r="F61" s="4" t="n">
        <v>1</v>
      </c>
      <c r="G61" s="4" t="inlineStr">
        <is>
          <t>ÅRPR</t>
        </is>
      </c>
      <c r="H61" s="4" t="inlineStr">
        <is>
          <t>Telefonnyckel nr 3 Gemlipfri</t>
        </is>
      </c>
      <c r="I61" s="4" t="n"/>
      <c r="J61" s="4" t="n"/>
      <c r="K61" s="4" t="n">
        <v>80</v>
      </c>
      <c r="L61" s="19" t="n">
        <v>45362</v>
      </c>
      <c r="M61" s="4" t="n">
        <v>0</v>
      </c>
      <c r="N61" s="4" t="n"/>
      <c r="O61" s="4" t="inlineStr">
        <is>
          <t>-</t>
        </is>
      </c>
      <c r="P61" s="4" t="n">
        <v>1</v>
      </c>
      <c r="Q61" s="6" t="n"/>
    </row>
    <row r="62">
      <c r="A62" s="5" t="n">
        <v>245</v>
      </c>
      <c r="B62" s="4" t="inlineStr">
        <is>
          <t>GEMNYCKEL4</t>
        </is>
      </c>
      <c r="C62" s="4" t="inlineStr">
        <is>
          <t>Telefonnyckel nr 4 Gemlipfri</t>
        </is>
      </c>
      <c r="D62" s="4" t="inlineStr">
        <is>
          <t>RENH</t>
        </is>
      </c>
      <c r="E62" s="4" t="inlineStr">
        <is>
          <t>HUSH</t>
        </is>
      </c>
      <c r="F62" s="4" t="n">
        <v>1</v>
      </c>
      <c r="G62" s="4" t="inlineStr">
        <is>
          <t>ÅRPR</t>
        </is>
      </c>
      <c r="H62" s="4" t="inlineStr">
        <is>
          <t>Telefonnyckel nr 4 Gemlipfri</t>
        </is>
      </c>
      <c r="I62" s="4" t="n"/>
      <c r="J62" s="4" t="n"/>
      <c r="K62" s="4" t="n">
        <v>80</v>
      </c>
      <c r="L62" s="19" t="n">
        <v>45362</v>
      </c>
      <c r="M62" s="4" t="n">
        <v>0</v>
      </c>
      <c r="N62" s="4" t="n"/>
      <c r="O62" s="4" t="inlineStr">
        <is>
          <t>-</t>
        </is>
      </c>
      <c r="P62" s="4" t="n">
        <v>1</v>
      </c>
      <c r="Q62" s="6" t="n"/>
    </row>
    <row r="63">
      <c r="A63" s="5" t="n">
        <v>246</v>
      </c>
      <c r="B63" s="4" t="inlineStr">
        <is>
          <t>GEMNYCKELTAGG</t>
        </is>
      </c>
      <c r="C63" s="4" t="inlineStr">
        <is>
          <t>Tagg Gemlipfri</t>
        </is>
      </c>
      <c r="D63" s="4" t="inlineStr">
        <is>
          <t>RENH</t>
        </is>
      </c>
      <c r="E63" s="4" t="inlineStr">
        <is>
          <t>HUSH</t>
        </is>
      </c>
      <c r="F63" s="4" t="n">
        <v>1</v>
      </c>
      <c r="G63" s="4" t="inlineStr">
        <is>
          <t>ÅRPR</t>
        </is>
      </c>
      <c r="H63" s="4" t="inlineStr">
        <is>
          <t>Tagg Gemlipfri</t>
        </is>
      </c>
      <c r="I63" s="4" t="n"/>
      <c r="J63" s="4" t="n"/>
      <c r="K63" s="4" t="n">
        <v>80</v>
      </c>
      <c r="L63" s="19" t="n">
        <v>45362</v>
      </c>
      <c r="M63" s="4" t="n">
        <v>0</v>
      </c>
      <c r="N63" s="4" t="n"/>
      <c r="O63" s="4" t="inlineStr">
        <is>
          <t>-</t>
        </is>
      </c>
      <c r="P63" s="4" t="n">
        <v>1</v>
      </c>
      <c r="Q63" s="6" t="n"/>
    </row>
    <row r="64">
      <c r="A64" s="5" t="n">
        <v>27</v>
      </c>
      <c r="B64" s="4" t="inlineStr">
        <is>
          <t>GM</t>
        </is>
      </c>
      <c r="C64" s="4" t="inlineStr">
        <is>
          <t>GRUND OCH MÄTARAVGIFT</t>
        </is>
      </c>
      <c r="D64" s="4" t="inlineStr">
        <is>
          <t>VA</t>
        </is>
      </c>
      <c r="E64" s="4" t="inlineStr">
        <is>
          <t>VA</t>
        </is>
      </c>
      <c r="F64" s="4" t="n">
        <v>1</v>
      </c>
      <c r="G64" s="4" t="inlineStr">
        <is>
          <t>ÅRPR</t>
        </is>
      </c>
      <c r="H64" s="4" t="inlineStr">
        <is>
          <t>Grund och mätaravgift</t>
        </is>
      </c>
      <c r="I64" s="4" t="n"/>
      <c r="J64" s="4" t="n"/>
      <c r="K64" s="4" t="n">
        <v>2884</v>
      </c>
      <c r="L64" s="19" t="n">
        <v>44378</v>
      </c>
      <c r="M64" s="4" t="n">
        <v>0</v>
      </c>
      <c r="N64" s="4" t="n"/>
      <c r="O64" s="4" t="inlineStr">
        <is>
          <t>-</t>
        </is>
      </c>
      <c r="P64" s="4" t="n">
        <v>1</v>
      </c>
      <c r="Q64" s="6" t="n"/>
    </row>
    <row r="65">
      <c r="A65" s="5" t="n">
        <v>171</v>
      </c>
      <c r="B65" s="4" t="inlineStr">
        <is>
          <t>GROVAVFALL</t>
        </is>
      </c>
      <c r="C65" s="4" t="inlineStr">
        <is>
          <t>Grovavfall/organiskt avfall, storkompost (verksamhet)</t>
        </is>
      </c>
      <c r="D65" s="4" t="inlineStr">
        <is>
          <t>RENH</t>
        </is>
      </c>
      <c r="E65" s="4" t="inlineStr">
        <is>
          <t>BYGG</t>
        </is>
      </c>
      <c r="F65" s="4" t="n">
        <v>1</v>
      </c>
      <c r="G65" s="4" t="inlineStr">
        <is>
          <t>KVAN</t>
        </is>
      </c>
      <c r="H65" s="4" t="inlineStr">
        <is>
          <t>Grovavfall/organiskt avfall, storkompost</t>
        </is>
      </c>
      <c r="I65" s="4" t="n"/>
      <c r="J65" s="4" t="n"/>
      <c r="K65" s="4" t="n">
        <v>260</v>
      </c>
      <c r="L65" s="19" t="n">
        <v>45200</v>
      </c>
      <c r="M65" s="4" t="n">
        <v>0</v>
      </c>
      <c r="N65" s="4" t="n"/>
      <c r="O65" s="4" t="inlineStr">
        <is>
          <t>-</t>
        </is>
      </c>
      <c r="P65" s="4" t="n">
        <v>1</v>
      </c>
      <c r="Q65" s="6" t="inlineStr">
        <is>
          <t>VITO</t>
        </is>
      </c>
    </row>
    <row r="66">
      <c r="A66" s="5" t="n">
        <v>164</v>
      </c>
      <c r="B66" s="4" t="inlineStr">
        <is>
          <t>GROVBUD</t>
        </is>
      </c>
      <c r="C66" s="4" t="inlineStr">
        <is>
          <t>Budning av grovavfall, pris per tillfälle</t>
        </is>
      </c>
      <c r="D66" s="4" t="inlineStr">
        <is>
          <t>RENH</t>
        </is>
      </c>
      <c r="E66" s="4" t="inlineStr">
        <is>
          <t>HUSH</t>
        </is>
      </c>
      <c r="F66" s="4" t="n">
        <v>1</v>
      </c>
      <c r="G66" s="4" t="inlineStr">
        <is>
          <t>KVAN</t>
        </is>
      </c>
      <c r="H66" s="4" t="inlineStr">
        <is>
          <t>Budning av grovavfall, pris per tillfälle</t>
        </is>
      </c>
      <c r="I66" s="4" t="n"/>
      <c r="J66" s="4" t="n"/>
      <c r="K66" s="4" t="n">
        <v>1600</v>
      </c>
      <c r="L66" s="19" t="n">
        <v>45200</v>
      </c>
      <c r="M66" s="4" t="n">
        <v>0</v>
      </c>
      <c r="N66" s="4" t="n"/>
      <c r="O66" s="4" t="inlineStr">
        <is>
          <t>-</t>
        </is>
      </c>
      <c r="P66" s="4" t="n">
        <v>1</v>
      </c>
      <c r="Q66" s="6" t="inlineStr">
        <is>
          <t>ANTL</t>
        </is>
      </c>
    </row>
    <row r="67">
      <c r="A67" s="5" t="n">
        <v>160</v>
      </c>
      <c r="B67" s="4" t="inlineStr">
        <is>
          <t>GRUNDFLB</t>
        </is>
      </c>
      <c r="C67" s="4" t="inlineStr">
        <is>
          <t>Grundavgift per lägenhet, flerbostadshus</t>
        </is>
      </c>
      <c r="D67" s="4" t="inlineStr">
        <is>
          <t>RENH</t>
        </is>
      </c>
      <c r="E67" s="4" t="inlineStr">
        <is>
          <t>HUSH</t>
        </is>
      </c>
      <c r="F67" s="4" t="n">
        <v>1</v>
      </c>
      <c r="G67" s="4" t="inlineStr">
        <is>
          <t>ÅRKV</t>
        </is>
      </c>
      <c r="H67" s="4" t="inlineStr">
        <is>
          <t>Grundavgift per lägenhet</t>
        </is>
      </c>
      <c r="I67" s="4" t="n"/>
      <c r="J67" s="4" t="n"/>
      <c r="K67" s="4" t="n">
        <v>562.5</v>
      </c>
      <c r="L67" s="19" t="n">
        <v>45200</v>
      </c>
      <c r="M67" s="4" t="n">
        <v>0</v>
      </c>
      <c r="N67" s="4" t="n"/>
      <c r="O67" s="4" t="inlineStr">
        <is>
          <t>-</t>
        </is>
      </c>
      <c r="P67" s="4" t="n">
        <v>1</v>
      </c>
      <c r="Q67" s="6" t="inlineStr">
        <is>
          <t>LÄGH</t>
        </is>
      </c>
    </row>
    <row r="68">
      <c r="A68" s="5" t="n">
        <v>110</v>
      </c>
      <c r="B68" s="4" t="inlineStr">
        <is>
          <t>GRUNDFRI</t>
        </is>
      </c>
      <c r="C68" s="4" t="inlineStr">
        <is>
          <t>Grundavgift fritidshus</t>
        </is>
      </c>
      <c r="D68" s="4" t="inlineStr">
        <is>
          <t>RENH</t>
        </is>
      </c>
      <c r="E68" s="4" t="inlineStr">
        <is>
          <t>HUSH</t>
        </is>
      </c>
      <c r="F68" s="4" t="n">
        <v>1</v>
      </c>
      <c r="G68" s="4" t="inlineStr">
        <is>
          <t>ÅRPR</t>
        </is>
      </c>
      <c r="H68" s="4" t="inlineStr">
        <is>
          <t>Grundavg. renhåll. fritid</t>
        </is>
      </c>
      <c r="I68" s="4" t="n"/>
      <c r="J68" s="4" t="n"/>
      <c r="K68" s="4" t="n">
        <v>1040</v>
      </c>
      <c r="L68" s="19" t="n">
        <v>45658</v>
      </c>
      <c r="M68" s="4" t="n">
        <v>0</v>
      </c>
      <c r="N68" s="4" t="n"/>
      <c r="O68" s="4" t="inlineStr">
        <is>
          <t>-</t>
        </is>
      </c>
      <c r="P68" s="4" t="n">
        <v>1</v>
      </c>
      <c r="Q68" s="6" t="n"/>
    </row>
    <row r="69">
      <c r="A69" s="5" t="n">
        <v>113</v>
      </c>
      <c r="B69" s="4" t="inlineStr">
        <is>
          <t>GRUNDFÖR1</t>
        </is>
      </c>
      <c r="C69" s="4" t="inlineStr">
        <is>
          <t>Grundavgift nivå 1, små/medel</t>
        </is>
      </c>
      <c r="D69" s="4" t="inlineStr">
        <is>
          <t>RENH</t>
        </is>
      </c>
      <c r="E69" s="4" t="inlineStr">
        <is>
          <t>HUSH</t>
        </is>
      </c>
      <c r="F69" s="4" t="n">
        <v>1</v>
      </c>
      <c r="G69" s="4" t="inlineStr">
        <is>
          <t>ÅRPR</t>
        </is>
      </c>
      <c r="H69" s="4" t="inlineStr">
        <is>
          <t>Grundavgift nivå 1</t>
        </is>
      </c>
      <c r="I69" s="4" t="n"/>
      <c r="J69" s="4" t="n"/>
      <c r="K69" s="4" t="n">
        <v>4500</v>
      </c>
      <c r="L69" s="19" t="n">
        <v>45658</v>
      </c>
      <c r="M69" s="4" t="n">
        <v>0</v>
      </c>
      <c r="N69" s="4" t="n"/>
      <c r="O69" s="4" t="inlineStr">
        <is>
          <t>-</t>
        </is>
      </c>
      <c r="P69" s="4" t="n">
        <v>1</v>
      </c>
      <c r="Q69" s="6" t="n"/>
    </row>
    <row r="70">
      <c r="A70" s="5" t="n">
        <v>114</v>
      </c>
      <c r="B70" s="4" t="inlineStr">
        <is>
          <t>GRUNDFÖR2</t>
        </is>
      </c>
      <c r="C70" s="4" t="inlineStr">
        <is>
          <t>Grundavgift nivå 2, större företag</t>
        </is>
      </c>
      <c r="D70" s="4" t="inlineStr">
        <is>
          <t>RENH</t>
        </is>
      </c>
      <c r="E70" s="4" t="inlineStr">
        <is>
          <t>HUSH</t>
        </is>
      </c>
      <c r="F70" s="4" t="n">
        <v>1</v>
      </c>
      <c r="G70" s="4" t="inlineStr">
        <is>
          <t>ÅRPR</t>
        </is>
      </c>
      <c r="H70" s="4" t="inlineStr">
        <is>
          <t>Grundavgift nivå 2</t>
        </is>
      </c>
      <c r="I70" s="4" t="n"/>
      <c r="J70" s="4" t="n"/>
      <c r="K70" s="4" t="n">
        <v>6000</v>
      </c>
      <c r="L70" s="19" t="n">
        <v>45658</v>
      </c>
      <c r="M70" s="4" t="n">
        <v>0</v>
      </c>
      <c r="N70" s="4" t="n"/>
      <c r="O70" s="4" t="inlineStr">
        <is>
          <t>-</t>
        </is>
      </c>
      <c r="P70" s="4" t="n">
        <v>1</v>
      </c>
      <c r="Q70" s="6" t="n"/>
    </row>
    <row r="71">
      <c r="A71" s="5" t="n">
        <v>161</v>
      </c>
      <c r="B71" s="4" t="inlineStr">
        <is>
          <t>GRUNDLOK</t>
        </is>
      </c>
      <c r="C71" s="4" t="inlineStr">
        <is>
          <t>Grundavgift lokaler, föreningar etc.</t>
        </is>
      </c>
      <c r="D71" s="4" t="inlineStr">
        <is>
          <t>RENH</t>
        </is>
      </c>
      <c r="E71" s="4" t="inlineStr">
        <is>
          <t>HUSH</t>
        </is>
      </c>
      <c r="F71" s="4" t="n">
        <v>1</v>
      </c>
      <c r="G71" s="4" t="inlineStr">
        <is>
          <t>ÅRPR</t>
        </is>
      </c>
      <c r="H71" s="4" t="inlineStr">
        <is>
          <t>Grundavgift</t>
        </is>
      </c>
      <c r="I71" s="4" t="n"/>
      <c r="J71" s="4" t="n"/>
      <c r="K71" s="4" t="n">
        <v>960</v>
      </c>
      <c r="L71" s="19" t="n">
        <v>45658</v>
      </c>
      <c r="M71" s="4" t="n">
        <v>0</v>
      </c>
      <c r="N71" s="4" t="n"/>
      <c r="O71" s="4" t="inlineStr">
        <is>
          <t>-</t>
        </is>
      </c>
      <c r="P71" s="4" t="n">
        <v>1</v>
      </c>
      <c r="Q71" s="6" t="n"/>
    </row>
    <row r="72">
      <c r="A72" s="5" t="n">
        <v>112</v>
      </c>
      <c r="B72" s="4" t="inlineStr">
        <is>
          <t>GRUNDLÄG</t>
        </is>
      </c>
      <c r="C72" s="4" t="inlineStr">
        <is>
          <t>Grundavgift, tvåbostadshus</t>
        </is>
      </c>
      <c r="D72" s="4" t="inlineStr">
        <is>
          <t>RENH</t>
        </is>
      </c>
      <c r="E72" s="4" t="inlineStr">
        <is>
          <t>HUSH</t>
        </is>
      </c>
      <c r="F72" s="4" t="n">
        <v>1</v>
      </c>
      <c r="G72" s="4" t="inlineStr">
        <is>
          <t>ÅRKV</t>
        </is>
      </c>
      <c r="H72" s="4" t="inlineStr">
        <is>
          <t>Grundavgift per lägenhet</t>
        </is>
      </c>
      <c r="I72" s="4" t="n"/>
      <c r="J72" s="4" t="n"/>
      <c r="K72" s="4" t="n">
        <v>680</v>
      </c>
      <c r="L72" s="19" t="n">
        <v>45658</v>
      </c>
      <c r="M72" s="4" t="n">
        <v>0</v>
      </c>
      <c r="N72" s="4" t="n"/>
      <c r="O72" s="4" t="inlineStr">
        <is>
          <t>-</t>
        </is>
      </c>
      <c r="P72" s="4" t="n">
        <v>1</v>
      </c>
      <c r="Q72" s="6" t="inlineStr">
        <is>
          <t>LÄGH</t>
        </is>
      </c>
    </row>
    <row r="73">
      <c r="A73" s="5" t="n">
        <v>111</v>
      </c>
      <c r="B73" s="4" t="inlineStr">
        <is>
          <t>GRUNDPER</t>
        </is>
      </c>
      <c r="C73" s="4" t="inlineStr">
        <is>
          <t>Grundavgift permanentboende</t>
        </is>
      </c>
      <c r="D73" s="4" t="inlineStr">
        <is>
          <t>RENH</t>
        </is>
      </c>
      <c r="E73" s="4" t="inlineStr">
        <is>
          <t>HUSH</t>
        </is>
      </c>
      <c r="F73" s="4" t="n">
        <v>1</v>
      </c>
      <c r="G73" s="4" t="inlineStr">
        <is>
          <t>ÅRPR</t>
        </is>
      </c>
      <c r="H73" s="4" t="inlineStr">
        <is>
          <t>Grundavgift renhållning perm.</t>
        </is>
      </c>
      <c r="I73" s="4" t="n"/>
      <c r="J73" s="4" t="n"/>
      <c r="K73" s="4" t="n">
        <v>1280</v>
      </c>
      <c r="L73" s="19" t="n">
        <v>45658</v>
      </c>
      <c r="M73" s="4" t="n">
        <v>0</v>
      </c>
      <c r="N73" s="4" t="n"/>
      <c r="O73" s="4" t="inlineStr">
        <is>
          <t>-</t>
        </is>
      </c>
      <c r="P73" s="4" t="n">
        <v>1</v>
      </c>
      <c r="Q73" s="6" t="n"/>
    </row>
    <row r="74">
      <c r="A74" s="5" t="n">
        <v>153</v>
      </c>
      <c r="B74" s="4" t="inlineStr">
        <is>
          <t>GRUNDPERM</t>
        </is>
      </c>
      <c r="C74" s="4" t="inlineStr">
        <is>
          <t>Grundavgift permanentboende *ska upphöra*</t>
        </is>
      </c>
      <c r="D74" s="4" t="inlineStr">
        <is>
          <t>RENH</t>
        </is>
      </c>
      <c r="E74" s="4" t="inlineStr">
        <is>
          <t>HUSH</t>
        </is>
      </c>
      <c r="F74" s="4" t="n">
        <v>1</v>
      </c>
      <c r="G74" s="4" t="inlineStr">
        <is>
          <t>ÅRPR</t>
        </is>
      </c>
      <c r="H74" s="4" t="inlineStr">
        <is>
          <t>Grundavgift permanentboende</t>
        </is>
      </c>
      <c r="I74" s="4" t="n"/>
      <c r="J74" s="4" t="n"/>
      <c r="K74" s="4" t="n">
        <v>936</v>
      </c>
      <c r="L74" s="19" t="n">
        <v>44378</v>
      </c>
      <c r="M74" s="4" t="n">
        <v>0</v>
      </c>
      <c r="N74" s="4" t="n"/>
      <c r="O74" s="4" t="inlineStr">
        <is>
          <t>-</t>
        </is>
      </c>
      <c r="P74" s="4" t="n">
        <v>1</v>
      </c>
      <c r="Q74" s="6" t="n"/>
    </row>
    <row r="75">
      <c r="A75" s="5" t="n">
        <v>31</v>
      </c>
      <c r="B75" s="4" t="inlineStr">
        <is>
          <t>H120</t>
        </is>
      </c>
      <c r="C75" s="4" t="inlineStr">
        <is>
          <t>120 L KÄRL 14-DAG. HÄMTN.</t>
        </is>
      </c>
      <c r="D75" s="4" t="inlineStr">
        <is>
          <t>RENH</t>
        </is>
      </c>
      <c r="E75" s="4" t="inlineStr">
        <is>
          <t>HUSH</t>
        </is>
      </c>
      <c r="F75" s="4" t="n">
        <v>1</v>
      </c>
      <c r="G75" s="4" t="inlineStr">
        <is>
          <t>ÅRKV</t>
        </is>
      </c>
      <c r="H75" s="4" t="inlineStr">
        <is>
          <t>14-dagars hämtning 120 l kärl</t>
        </is>
      </c>
      <c r="I75" s="4" t="n"/>
      <c r="J75" s="4" t="n"/>
      <c r="K75" s="4" t="n">
        <v>1340</v>
      </c>
      <c r="L75" s="19" t="n">
        <v>44378</v>
      </c>
      <c r="M75" s="4" t="n">
        <v>0</v>
      </c>
      <c r="N75" s="4" t="n"/>
      <c r="O75" s="4" t="inlineStr">
        <is>
          <t>-</t>
        </is>
      </c>
      <c r="P75" s="4" t="n">
        <v>1</v>
      </c>
      <c r="Q75" s="6" t="inlineStr">
        <is>
          <t>ANTB</t>
        </is>
      </c>
    </row>
    <row r="76">
      <c r="A76" s="5" t="n">
        <v>32</v>
      </c>
      <c r="B76" s="4" t="inlineStr">
        <is>
          <t>H120</t>
        </is>
      </c>
      <c r="C76" s="4" t="inlineStr">
        <is>
          <t>120 L KÄRL 14-DAG. HÄMTN.</t>
        </is>
      </c>
      <c r="D76" s="4" t="inlineStr">
        <is>
          <t>RENH</t>
        </is>
      </c>
      <c r="E76" s="4" t="inlineStr">
        <is>
          <t>HUSH</t>
        </is>
      </c>
      <c r="F76" s="4" t="n">
        <v>2</v>
      </c>
      <c r="G76" s="4" t="inlineStr">
        <is>
          <t>ÅRPR</t>
        </is>
      </c>
      <c r="H76" s="4" t="inlineStr">
        <is>
          <t>Grundavgift</t>
        </is>
      </c>
      <c r="I76" s="4" t="n"/>
      <c r="J76" s="4" t="n"/>
      <c r="K76" s="4" t="n">
        <v>936</v>
      </c>
      <c r="L76" s="19" t="n">
        <v>44378</v>
      </c>
      <c r="M76" s="4" t="n">
        <v>0</v>
      </c>
      <c r="N76" s="4" t="n"/>
      <c r="O76" s="4" t="inlineStr">
        <is>
          <t>-</t>
        </is>
      </c>
      <c r="P76" s="4" t="n">
        <v>1</v>
      </c>
      <c r="Q76" s="6" t="n"/>
    </row>
    <row r="77">
      <c r="A77" s="5" t="n">
        <v>33</v>
      </c>
      <c r="B77" s="4" t="inlineStr">
        <is>
          <t>H190</t>
        </is>
      </c>
      <c r="C77" s="4" t="inlineStr">
        <is>
          <t>190 L KÄRL 14-DAG. HÄMTN.</t>
        </is>
      </c>
      <c r="D77" s="4" t="inlineStr">
        <is>
          <t>RENH</t>
        </is>
      </c>
      <c r="E77" s="4" t="inlineStr">
        <is>
          <t>HUSH</t>
        </is>
      </c>
      <c r="F77" s="4" t="n">
        <v>1</v>
      </c>
      <c r="G77" s="4" t="inlineStr">
        <is>
          <t>ÅRKV</t>
        </is>
      </c>
      <c r="H77" s="4" t="inlineStr">
        <is>
          <t>14-dagars hämtning 190 l kärl</t>
        </is>
      </c>
      <c r="I77" s="4" t="n"/>
      <c r="J77" s="4" t="n"/>
      <c r="K77" s="4" t="n">
        <v>2336</v>
      </c>
      <c r="L77" s="19" t="n">
        <v>44378</v>
      </c>
      <c r="M77" s="4" t="n">
        <v>0</v>
      </c>
      <c r="N77" s="4" t="n"/>
      <c r="O77" s="4" t="inlineStr">
        <is>
          <t>-</t>
        </is>
      </c>
      <c r="P77" s="4" t="n">
        <v>1</v>
      </c>
      <c r="Q77" s="6" t="inlineStr">
        <is>
          <t>ANTB</t>
        </is>
      </c>
    </row>
    <row r="78">
      <c r="A78" s="5" t="n">
        <v>34</v>
      </c>
      <c r="B78" s="4" t="inlineStr">
        <is>
          <t>H190</t>
        </is>
      </c>
      <c r="C78" s="4" t="inlineStr">
        <is>
          <t>190 L KÄRL 14-DAG. HÄMTN.</t>
        </is>
      </c>
      <c r="D78" s="4" t="inlineStr">
        <is>
          <t>RENH</t>
        </is>
      </c>
      <c r="E78" s="4" t="inlineStr">
        <is>
          <t>HUSH</t>
        </is>
      </c>
      <c r="F78" s="4" t="n">
        <v>2</v>
      </c>
      <c r="G78" s="4" t="inlineStr">
        <is>
          <t>ÅRPR</t>
        </is>
      </c>
      <c r="H78" s="4" t="inlineStr">
        <is>
          <t>Grundavgift</t>
        </is>
      </c>
      <c r="I78" s="4" t="n"/>
      <c r="J78" s="4" t="n"/>
      <c r="K78" s="4" t="n">
        <v>936</v>
      </c>
      <c r="L78" s="19" t="n">
        <v>44378</v>
      </c>
      <c r="M78" s="4" t="n">
        <v>0</v>
      </c>
      <c r="N78" s="4" t="n"/>
      <c r="O78" s="4" t="inlineStr">
        <is>
          <t>-</t>
        </is>
      </c>
      <c r="P78" s="4" t="n">
        <v>1</v>
      </c>
      <c r="Q78" s="6" t="n"/>
    </row>
    <row r="79">
      <c r="A79" s="5" t="n">
        <v>35</v>
      </c>
      <c r="B79" s="4" t="inlineStr">
        <is>
          <t>H190TT</t>
        </is>
      </c>
      <c r="C79" s="4" t="inlineStr">
        <is>
          <t>190 L KÄRL tillf tjänst</t>
        </is>
      </c>
      <c r="D79" s="4" t="inlineStr">
        <is>
          <t>RENH</t>
        </is>
      </c>
      <c r="E79" s="4" t="inlineStr">
        <is>
          <t>HUSH</t>
        </is>
      </c>
      <c r="F79" s="4" t="n">
        <v>1</v>
      </c>
      <c r="G79" s="4" t="inlineStr">
        <is>
          <t>KVAN</t>
        </is>
      </c>
      <c r="H79" s="4" t="inlineStr">
        <is>
          <t>190 L KÄRL tillf tjänst</t>
        </is>
      </c>
      <c r="I79" s="4" t="n"/>
      <c r="J79" s="4" t="n"/>
      <c r="K79" s="4" t="n">
        <v>396.15</v>
      </c>
      <c r="L79" s="19" t="n">
        <v>41275</v>
      </c>
      <c r="M79" s="4" t="n">
        <v>0</v>
      </c>
      <c r="N79" s="4" t="n"/>
      <c r="O79" s="4" t="inlineStr">
        <is>
          <t>-</t>
        </is>
      </c>
      <c r="P79" s="4" t="n">
        <v>1</v>
      </c>
      <c r="Q79" s="6" t="inlineStr">
        <is>
          <t>ANTL</t>
        </is>
      </c>
    </row>
    <row r="80">
      <c r="A80" s="5" t="n">
        <v>36</v>
      </c>
      <c r="B80" s="4" t="inlineStr">
        <is>
          <t>H370</t>
        </is>
      </c>
      <c r="C80" s="4" t="inlineStr">
        <is>
          <t>370 L KÄRL 14-DAG. HÄMTN.</t>
        </is>
      </c>
      <c r="D80" s="4" t="inlineStr">
        <is>
          <t>RENH</t>
        </is>
      </c>
      <c r="E80" s="4" t="inlineStr">
        <is>
          <t>HUSH</t>
        </is>
      </c>
      <c r="F80" s="4" t="n">
        <v>1</v>
      </c>
      <c r="G80" s="4" t="inlineStr">
        <is>
          <t>ÅRKV</t>
        </is>
      </c>
      <c r="H80" s="4" t="inlineStr">
        <is>
          <t>14-dagars hämtning 370 l kärl</t>
        </is>
      </c>
      <c r="I80" s="4" t="n"/>
      <c r="J80" s="4" t="n"/>
      <c r="K80" s="4" t="n">
        <v>3632</v>
      </c>
      <c r="L80" s="19" t="n">
        <v>44378</v>
      </c>
      <c r="M80" s="4" t="n">
        <v>0</v>
      </c>
      <c r="N80" s="4" t="n"/>
      <c r="O80" s="4" t="inlineStr">
        <is>
          <t>-</t>
        </is>
      </c>
      <c r="P80" s="4" t="n">
        <v>1</v>
      </c>
      <c r="Q80" s="6" t="inlineStr">
        <is>
          <t>ANTB</t>
        </is>
      </c>
    </row>
    <row r="81">
      <c r="A81" s="5" t="n">
        <v>37</v>
      </c>
      <c r="B81" s="4" t="inlineStr">
        <is>
          <t>H370</t>
        </is>
      </c>
      <c r="C81" s="4" t="inlineStr">
        <is>
          <t>370 L KÄRL 14-DAG. HÄMTN.</t>
        </is>
      </c>
      <c r="D81" s="4" t="inlineStr">
        <is>
          <t>RENH</t>
        </is>
      </c>
      <c r="E81" s="4" t="inlineStr">
        <is>
          <t>HUSH</t>
        </is>
      </c>
      <c r="F81" s="4" t="n">
        <v>2</v>
      </c>
      <c r="G81" s="4" t="inlineStr">
        <is>
          <t>ÅRPR</t>
        </is>
      </c>
      <c r="H81" s="4" t="inlineStr">
        <is>
          <t>Grundavgift</t>
        </is>
      </c>
      <c r="I81" s="4" t="n"/>
      <c r="J81" s="4" t="n"/>
      <c r="K81" s="4" t="n">
        <v>936</v>
      </c>
      <c r="L81" s="19" t="n">
        <v>44378</v>
      </c>
      <c r="M81" s="4" t="n">
        <v>0</v>
      </c>
      <c r="N81" s="4" t="n"/>
      <c r="O81" s="4" t="inlineStr">
        <is>
          <t>-</t>
        </is>
      </c>
      <c r="P81" s="4" t="n">
        <v>1</v>
      </c>
      <c r="Q81" s="6" t="n"/>
    </row>
    <row r="82">
      <c r="A82" s="5" t="n">
        <v>38</v>
      </c>
      <c r="B82" s="4" t="inlineStr">
        <is>
          <t>H660</t>
        </is>
      </c>
      <c r="C82" s="4" t="inlineStr">
        <is>
          <t>660 L KÄRL 14-DAG. HÄMTN.</t>
        </is>
      </c>
      <c r="D82" s="4" t="inlineStr">
        <is>
          <t>RENH</t>
        </is>
      </c>
      <c r="E82" s="4" t="inlineStr">
        <is>
          <t>HUSH</t>
        </is>
      </c>
      <c r="F82" s="4" t="n">
        <v>1</v>
      </c>
      <c r="G82" s="4" t="inlineStr">
        <is>
          <t>ÅRKV</t>
        </is>
      </c>
      <c r="H82" s="4" t="inlineStr">
        <is>
          <t>14-dagars hämtning 660 l kärl</t>
        </is>
      </c>
      <c r="I82" s="4" t="n"/>
      <c r="J82" s="4" t="n"/>
      <c r="K82" s="4" t="n">
        <v>6240</v>
      </c>
      <c r="L82" s="19" t="n">
        <v>44378</v>
      </c>
      <c r="M82" s="4" t="n">
        <v>0</v>
      </c>
      <c r="N82" s="4" t="n"/>
      <c r="O82" s="4" t="inlineStr">
        <is>
          <t>-</t>
        </is>
      </c>
      <c r="P82" s="4" t="n">
        <v>1</v>
      </c>
      <c r="Q82" s="6" t="inlineStr">
        <is>
          <t>ANTB</t>
        </is>
      </c>
    </row>
    <row r="83">
      <c r="A83" s="5" t="n">
        <v>180</v>
      </c>
      <c r="B83" s="4" t="inlineStr">
        <is>
          <t>HCO03</t>
        </is>
      </c>
      <c r="C83" s="4" t="inlineStr">
        <is>
          <t>Hyra container 3 m³</t>
        </is>
      </c>
      <c r="D83" s="4" t="inlineStr">
        <is>
          <t>RENH</t>
        </is>
      </c>
      <c r="E83" s="4" t="inlineStr">
        <is>
          <t>BYGG</t>
        </is>
      </c>
      <c r="F83" s="4" t="n">
        <v>1</v>
      </c>
      <c r="G83" s="4" t="inlineStr">
        <is>
          <t>ÅRKV</t>
        </is>
      </c>
      <c r="H83" s="4" t="inlineStr">
        <is>
          <t>Hyra container 3 m³</t>
        </is>
      </c>
      <c r="I83" s="4" t="n"/>
      <c r="J83" s="4" t="n"/>
      <c r="K83" s="4" t="n">
        <v>21900</v>
      </c>
      <c r="L83" s="19" t="n">
        <v>45200</v>
      </c>
      <c r="M83" s="4" t="n">
        <v>0</v>
      </c>
      <c r="N83" s="4" t="n"/>
      <c r="O83" s="4" t="inlineStr">
        <is>
          <t>-</t>
        </is>
      </c>
      <c r="P83" s="4" t="n">
        <v>1</v>
      </c>
      <c r="Q83" s="6" t="inlineStr">
        <is>
          <t>ANTB</t>
        </is>
      </c>
    </row>
    <row r="84">
      <c r="A84" s="5" t="n">
        <v>181</v>
      </c>
      <c r="B84" s="4" t="inlineStr">
        <is>
          <t>HCO05</t>
        </is>
      </c>
      <c r="C84" s="4" t="inlineStr">
        <is>
          <t>Hyra container 5 m³</t>
        </is>
      </c>
      <c r="D84" s="4" t="inlineStr">
        <is>
          <t>RENH</t>
        </is>
      </c>
      <c r="E84" s="4" t="inlineStr">
        <is>
          <t>BYGG</t>
        </is>
      </c>
      <c r="F84" s="4" t="n">
        <v>1</v>
      </c>
      <c r="G84" s="4" t="inlineStr">
        <is>
          <t>ÅRKV</t>
        </is>
      </c>
      <c r="H84" s="4" t="inlineStr">
        <is>
          <t>Hyra container 5 m³</t>
        </is>
      </c>
      <c r="I84" s="4" t="n"/>
      <c r="J84" s="4" t="n"/>
      <c r="K84" s="4" t="n">
        <v>29200</v>
      </c>
      <c r="L84" s="19" t="n">
        <v>45200</v>
      </c>
      <c r="M84" s="4" t="n">
        <v>0</v>
      </c>
      <c r="N84" s="4" t="n"/>
      <c r="O84" s="4" t="inlineStr">
        <is>
          <t>-</t>
        </is>
      </c>
      <c r="P84" s="4" t="n">
        <v>1</v>
      </c>
      <c r="Q84" s="6" t="inlineStr">
        <is>
          <t>ANTB</t>
        </is>
      </c>
    </row>
    <row r="85">
      <c r="A85" s="5" t="n">
        <v>182</v>
      </c>
      <c r="B85" s="4" t="inlineStr">
        <is>
          <t>HCO08</t>
        </is>
      </c>
      <c r="C85" s="4" t="inlineStr">
        <is>
          <t>Hyra container 8 m³</t>
        </is>
      </c>
      <c r="D85" s="4" t="inlineStr">
        <is>
          <t>RENH</t>
        </is>
      </c>
      <c r="E85" s="4" t="inlineStr">
        <is>
          <t>BYGG</t>
        </is>
      </c>
      <c r="F85" s="4" t="n">
        <v>1</v>
      </c>
      <c r="G85" s="4" t="inlineStr">
        <is>
          <t>ÅRKV</t>
        </is>
      </c>
      <c r="H85" s="4" t="inlineStr">
        <is>
          <t>Hyra container 8 m³</t>
        </is>
      </c>
      <c r="I85" s="4" t="n"/>
      <c r="J85" s="4" t="n"/>
      <c r="K85" s="4" t="n">
        <v>36500</v>
      </c>
      <c r="L85" s="19" t="n">
        <v>45200</v>
      </c>
      <c r="M85" s="4" t="n">
        <v>0</v>
      </c>
      <c r="N85" s="4" t="n"/>
      <c r="O85" s="4" t="inlineStr">
        <is>
          <t>-</t>
        </is>
      </c>
      <c r="P85" s="4" t="n">
        <v>1</v>
      </c>
      <c r="Q85" s="6" t="inlineStr">
        <is>
          <t>ANTB</t>
        </is>
      </c>
    </row>
    <row r="86">
      <c r="A86" s="5" t="n">
        <v>39</v>
      </c>
      <c r="B86" s="4" t="inlineStr">
        <is>
          <t>HF120</t>
        </is>
      </c>
      <c r="C86" s="4" t="inlineStr">
        <is>
          <t>120 L KÄRL FRITIDSHUS</t>
        </is>
      </c>
      <c r="D86" s="4" t="inlineStr">
        <is>
          <t>RENH</t>
        </is>
      </c>
      <c r="E86" s="4" t="inlineStr">
        <is>
          <t>HUSH</t>
        </is>
      </c>
      <c r="F86" s="4" t="n">
        <v>1</v>
      </c>
      <c r="G86" s="4" t="inlineStr">
        <is>
          <t>ÅRKV</t>
        </is>
      </c>
      <c r="H86" s="4" t="inlineStr">
        <is>
          <t>14-dagars hämtning 120 l kärl</t>
        </is>
      </c>
      <c r="I86" s="4" t="n"/>
      <c r="J86" s="4" t="n"/>
      <c r="K86" s="4" t="n">
        <v>832</v>
      </c>
      <c r="L86" s="19" t="n">
        <v>44378</v>
      </c>
      <c r="M86" s="4" t="n">
        <v>0</v>
      </c>
      <c r="N86" s="4" t="n"/>
      <c r="O86" s="4" t="inlineStr">
        <is>
          <t>-</t>
        </is>
      </c>
      <c r="P86" s="4" t="n">
        <v>1</v>
      </c>
      <c r="Q86" s="6" t="inlineStr">
        <is>
          <t>ANTB</t>
        </is>
      </c>
    </row>
    <row r="87">
      <c r="A87" s="5" t="n">
        <v>40</v>
      </c>
      <c r="B87" s="4" t="inlineStr">
        <is>
          <t>HF120</t>
        </is>
      </c>
      <c r="C87" s="4" t="inlineStr">
        <is>
          <t>120 L KÄRL FRITIDSHUS</t>
        </is>
      </c>
      <c r="D87" s="4" t="inlineStr">
        <is>
          <t>RENH</t>
        </is>
      </c>
      <c r="E87" s="4" t="inlineStr">
        <is>
          <t>HUSH</t>
        </is>
      </c>
      <c r="F87" s="4" t="n">
        <v>2</v>
      </c>
      <c r="G87" s="4" t="inlineStr">
        <is>
          <t>ÅRPR</t>
        </is>
      </c>
      <c r="H87" s="4" t="inlineStr">
        <is>
          <t>Grundavgift</t>
        </is>
      </c>
      <c r="I87" s="4" t="n"/>
      <c r="J87" s="4" t="n"/>
      <c r="K87" s="4" t="n">
        <v>580</v>
      </c>
      <c r="L87" s="19" t="n">
        <v>44378</v>
      </c>
      <c r="M87" s="4" t="n">
        <v>0</v>
      </c>
      <c r="N87" s="4" t="n"/>
      <c r="O87" s="4" t="inlineStr">
        <is>
          <t>-</t>
        </is>
      </c>
      <c r="P87" s="4" t="n">
        <v>1</v>
      </c>
      <c r="Q87" s="6" t="n"/>
    </row>
    <row r="88">
      <c r="A88" s="5" t="n">
        <v>41</v>
      </c>
      <c r="B88" s="4" t="inlineStr">
        <is>
          <t>HF190</t>
        </is>
      </c>
      <c r="C88" s="4" t="inlineStr">
        <is>
          <t>190 L KÄRL FRITIDSHUS</t>
        </is>
      </c>
      <c r="D88" s="4" t="inlineStr">
        <is>
          <t>RENH</t>
        </is>
      </c>
      <c r="E88" s="4" t="inlineStr">
        <is>
          <t>HUSH</t>
        </is>
      </c>
      <c r="F88" s="4" t="n">
        <v>1</v>
      </c>
      <c r="G88" s="4" t="inlineStr">
        <is>
          <t>ÅRKV</t>
        </is>
      </c>
      <c r="H88" s="4" t="inlineStr">
        <is>
          <t>14-dagars hämtning 190 l kärl</t>
        </is>
      </c>
      <c r="I88" s="4" t="n"/>
      <c r="J88" s="4" t="n"/>
      <c r="K88" s="4" t="n">
        <v>1216</v>
      </c>
      <c r="L88" s="19" t="n">
        <v>44378</v>
      </c>
      <c r="M88" s="4" t="n">
        <v>0</v>
      </c>
      <c r="N88" s="4" t="n"/>
      <c r="O88" s="4" t="inlineStr">
        <is>
          <t>-</t>
        </is>
      </c>
      <c r="P88" s="4" t="n">
        <v>1</v>
      </c>
      <c r="Q88" s="6" t="inlineStr">
        <is>
          <t>ANTB</t>
        </is>
      </c>
    </row>
    <row r="89">
      <c r="A89" s="5" t="n">
        <v>42</v>
      </c>
      <c r="B89" s="4" t="inlineStr">
        <is>
          <t>HF190</t>
        </is>
      </c>
      <c r="C89" s="4" t="inlineStr">
        <is>
          <t>190 L KÄRL FRITIDSHUS</t>
        </is>
      </c>
      <c r="D89" s="4" t="inlineStr">
        <is>
          <t>RENH</t>
        </is>
      </c>
      <c r="E89" s="4" t="inlineStr">
        <is>
          <t>HUSH</t>
        </is>
      </c>
      <c r="F89" s="4" t="n">
        <v>2</v>
      </c>
      <c r="G89" s="4" t="inlineStr">
        <is>
          <t>ÅRPR</t>
        </is>
      </c>
      <c r="H89" s="4" t="inlineStr">
        <is>
          <t>Grundavgift</t>
        </is>
      </c>
      <c r="I89" s="4" t="n"/>
      <c r="J89" s="4" t="n"/>
      <c r="K89" s="4" t="n">
        <v>580</v>
      </c>
      <c r="L89" s="19" t="n">
        <v>44378</v>
      </c>
      <c r="M89" s="4" t="n">
        <v>0</v>
      </c>
      <c r="N89" s="4" t="n"/>
      <c r="O89" s="4" t="inlineStr">
        <is>
          <t>-</t>
        </is>
      </c>
      <c r="P89" s="4" t="n">
        <v>1</v>
      </c>
      <c r="Q89" s="6" t="n"/>
    </row>
    <row r="90">
      <c r="A90" s="5" t="n">
        <v>43</v>
      </c>
      <c r="B90" s="4" t="inlineStr">
        <is>
          <t>HF190T</t>
        </is>
      </c>
      <c r="C90" s="4" t="inlineStr">
        <is>
          <t>190 L KÄRL tillf tjänst</t>
        </is>
      </c>
      <c r="D90" s="4" t="inlineStr">
        <is>
          <t>RENH</t>
        </is>
      </c>
      <c r="E90" s="4" t="inlineStr">
        <is>
          <t>HUSH</t>
        </is>
      </c>
      <c r="F90" s="4" t="n">
        <v>1</v>
      </c>
      <c r="G90" s="4" t="inlineStr">
        <is>
          <t>KVAN</t>
        </is>
      </c>
      <c r="H90" s="4" t="inlineStr">
        <is>
          <t>190 L KÄRL tillf tjänst</t>
        </is>
      </c>
      <c r="I90" s="4" t="n"/>
      <c r="J90" s="4" t="n"/>
      <c r="K90" s="4" t="n">
        <v>207.13</v>
      </c>
      <c r="L90" s="19" t="n">
        <v>41275</v>
      </c>
      <c r="M90" s="4" t="n">
        <v>0</v>
      </c>
      <c r="N90" s="4" t="n"/>
      <c r="O90" s="4" t="inlineStr">
        <is>
          <t>-</t>
        </is>
      </c>
      <c r="P90" s="4" t="n">
        <v>1</v>
      </c>
      <c r="Q90" s="6" t="inlineStr">
        <is>
          <t>ANTL</t>
        </is>
      </c>
    </row>
    <row r="91">
      <c r="A91" s="5" t="n">
        <v>44</v>
      </c>
      <c r="B91" s="4" t="inlineStr">
        <is>
          <t>HF370</t>
        </is>
      </c>
      <c r="C91" s="4" t="inlineStr">
        <is>
          <t>370 L KÄRL FRITIDSHUS</t>
        </is>
      </c>
      <c r="D91" s="4" t="inlineStr">
        <is>
          <t>RENH</t>
        </is>
      </c>
      <c r="E91" s="4" t="inlineStr">
        <is>
          <t>HUSH</t>
        </is>
      </c>
      <c r="F91" s="4" t="n">
        <v>1</v>
      </c>
      <c r="G91" s="4" t="inlineStr">
        <is>
          <t>ÅRKV</t>
        </is>
      </c>
      <c r="H91" s="4" t="inlineStr">
        <is>
          <t>14-dagars hämtning 370 l kärl</t>
        </is>
      </c>
      <c r="I91" s="4" t="n"/>
      <c r="J91" s="4" t="n"/>
      <c r="K91" s="4" t="n">
        <v>1784</v>
      </c>
      <c r="L91" s="19" t="n">
        <v>44378</v>
      </c>
      <c r="M91" s="4" t="n">
        <v>0</v>
      </c>
      <c r="N91" s="4" t="n"/>
      <c r="O91" s="4" t="inlineStr">
        <is>
          <t>-</t>
        </is>
      </c>
      <c r="P91" s="4" t="n">
        <v>1</v>
      </c>
      <c r="Q91" s="6" t="inlineStr">
        <is>
          <t>ANTB</t>
        </is>
      </c>
    </row>
    <row r="92">
      <c r="A92" s="5" t="n">
        <v>45</v>
      </c>
      <c r="B92" s="4" t="inlineStr">
        <is>
          <t>HF370</t>
        </is>
      </c>
      <c r="C92" s="4" t="inlineStr">
        <is>
          <t>370 L KÄRL FRITIDSHUS</t>
        </is>
      </c>
      <c r="D92" s="4" t="inlineStr">
        <is>
          <t>RENH</t>
        </is>
      </c>
      <c r="E92" s="4" t="inlineStr">
        <is>
          <t>HUSH</t>
        </is>
      </c>
      <c r="F92" s="4" t="n">
        <v>2</v>
      </c>
      <c r="G92" s="4" t="inlineStr">
        <is>
          <t>ÅRPR</t>
        </is>
      </c>
      <c r="H92" s="4" t="inlineStr">
        <is>
          <t>Grundavgift</t>
        </is>
      </c>
      <c r="I92" s="4" t="n"/>
      <c r="J92" s="4" t="n"/>
      <c r="K92" s="4" t="n">
        <v>580</v>
      </c>
      <c r="L92" s="19" t="n">
        <v>44378</v>
      </c>
      <c r="M92" s="4" t="n">
        <v>0</v>
      </c>
      <c r="N92" s="4" t="n"/>
      <c r="O92" s="4" t="inlineStr">
        <is>
          <t>-</t>
        </is>
      </c>
      <c r="P92" s="4" t="n">
        <v>1</v>
      </c>
      <c r="Q92" s="6" t="n"/>
    </row>
    <row r="93">
      <c r="A93" s="5" t="n">
        <v>46</v>
      </c>
      <c r="B93" s="4" t="inlineStr">
        <is>
          <t>HU120</t>
        </is>
      </c>
      <c r="C93" s="4" t="inlineStr">
        <is>
          <t>120 L KÄRL UTAN GRUNDAVGIFT</t>
        </is>
      </c>
      <c r="D93" s="4" t="inlineStr">
        <is>
          <t>RENH</t>
        </is>
      </c>
      <c r="E93" s="4" t="inlineStr">
        <is>
          <t>HUSH</t>
        </is>
      </c>
      <c r="F93" s="4" t="n">
        <v>1</v>
      </c>
      <c r="G93" s="4" t="inlineStr">
        <is>
          <t>ÅRKV</t>
        </is>
      </c>
      <c r="H93" s="4" t="inlineStr">
        <is>
          <t>Sophämtning 120 l kärl</t>
        </is>
      </c>
      <c r="I93" s="4" t="n"/>
      <c r="J93" s="4" t="n"/>
      <c r="K93" s="4" t="n">
        <v>1340</v>
      </c>
      <c r="L93" s="19" t="n">
        <v>44378</v>
      </c>
      <c r="M93" s="4" t="n">
        <v>0</v>
      </c>
      <c r="N93" s="4" t="n"/>
      <c r="O93" s="4" t="inlineStr">
        <is>
          <t>-</t>
        </is>
      </c>
      <c r="P93" s="4" t="n">
        <v>1</v>
      </c>
      <c r="Q93" s="6" t="inlineStr">
        <is>
          <t>ANTB</t>
        </is>
      </c>
    </row>
    <row r="94">
      <c r="A94" s="5" t="n">
        <v>47</v>
      </c>
      <c r="B94" s="4" t="inlineStr">
        <is>
          <t>HU190</t>
        </is>
      </c>
      <c r="C94" s="4" t="inlineStr">
        <is>
          <t>190 L KÄRL UTAN GRUNDAVGIFT</t>
        </is>
      </c>
      <c r="D94" s="4" t="inlineStr">
        <is>
          <t>RENH</t>
        </is>
      </c>
      <c r="E94" s="4" t="inlineStr">
        <is>
          <t>HUSH</t>
        </is>
      </c>
      <c r="F94" s="4" t="n">
        <v>1</v>
      </c>
      <c r="G94" s="4" t="inlineStr">
        <is>
          <t>ÅRKV</t>
        </is>
      </c>
      <c r="H94" s="4" t="inlineStr">
        <is>
          <t>Sophämtning 190 l kärl</t>
        </is>
      </c>
      <c r="I94" s="4" t="n"/>
      <c r="J94" s="4" t="n"/>
      <c r="K94" s="4" t="n">
        <v>2336</v>
      </c>
      <c r="L94" s="19" t="n">
        <v>44378</v>
      </c>
      <c r="M94" s="4" t="n">
        <v>0</v>
      </c>
      <c r="N94" s="4" t="n"/>
      <c r="O94" s="4" t="inlineStr">
        <is>
          <t>-</t>
        </is>
      </c>
      <c r="P94" s="4" t="n">
        <v>1</v>
      </c>
      <c r="Q94" s="6" t="inlineStr">
        <is>
          <t>ANTB</t>
        </is>
      </c>
    </row>
    <row r="95">
      <c r="A95" s="5" t="n">
        <v>48</v>
      </c>
      <c r="B95" s="4" t="inlineStr">
        <is>
          <t>HU370</t>
        </is>
      </c>
      <c r="C95" s="4" t="inlineStr">
        <is>
          <t>370 L KÄRL UTAN GRUNDAVGIFT</t>
        </is>
      </c>
      <c r="D95" s="4" t="inlineStr">
        <is>
          <t>RENH</t>
        </is>
      </c>
      <c r="E95" s="4" t="inlineStr">
        <is>
          <t>HUSH</t>
        </is>
      </c>
      <c r="F95" s="4" t="n">
        <v>1</v>
      </c>
      <c r="G95" s="4" t="inlineStr">
        <is>
          <t>ÅRKV</t>
        </is>
      </c>
      <c r="H95" s="4" t="inlineStr">
        <is>
          <t>Sophämtning 370 l kärl</t>
        </is>
      </c>
      <c r="I95" s="4" t="n"/>
      <c r="J95" s="4" t="n"/>
      <c r="K95" s="4" t="n">
        <v>3632</v>
      </c>
      <c r="L95" s="19" t="n">
        <v>44378</v>
      </c>
      <c r="M95" s="4" t="n">
        <v>0</v>
      </c>
      <c r="N95" s="4" t="n"/>
      <c r="O95" s="4" t="inlineStr">
        <is>
          <t>-</t>
        </is>
      </c>
      <c r="P95" s="4" t="n">
        <v>1</v>
      </c>
      <c r="Q95" s="6" t="inlineStr">
        <is>
          <t>ANTB</t>
        </is>
      </c>
    </row>
    <row r="96">
      <c r="A96" s="5" t="n">
        <v>49</v>
      </c>
      <c r="B96" s="4" t="inlineStr">
        <is>
          <t>HU660</t>
        </is>
      </c>
      <c r="C96" s="4" t="inlineStr">
        <is>
          <t>660 L KÄRL UTAN GRUNDAVGIFT</t>
        </is>
      </c>
      <c r="D96" s="4" t="inlineStr">
        <is>
          <t>RENH</t>
        </is>
      </c>
      <c r="E96" s="4" t="inlineStr">
        <is>
          <t>HUSH</t>
        </is>
      </c>
      <c r="F96" s="4" t="n">
        <v>1</v>
      </c>
      <c r="G96" s="4" t="inlineStr">
        <is>
          <t>ÅRKV</t>
        </is>
      </c>
      <c r="H96" s="4" t="inlineStr">
        <is>
          <t>Sophämtning 660 l kärl</t>
        </is>
      </c>
      <c r="I96" s="4" t="n"/>
      <c r="J96" s="4" t="n"/>
      <c r="K96" s="4" t="n">
        <v>6240</v>
      </c>
      <c r="L96" s="19" t="n">
        <v>44378</v>
      </c>
      <c r="M96" s="4" t="n">
        <v>0</v>
      </c>
      <c r="N96" s="4" t="n"/>
      <c r="O96" s="4" t="inlineStr">
        <is>
          <t>-</t>
        </is>
      </c>
      <c r="P96" s="4" t="n">
        <v>1</v>
      </c>
      <c r="Q96" s="6" t="inlineStr">
        <is>
          <t>ANTB</t>
        </is>
      </c>
    </row>
    <row r="97">
      <c r="A97" s="5" t="n">
        <v>50</v>
      </c>
      <c r="B97" s="4" t="inlineStr">
        <is>
          <t>HUF120</t>
        </is>
      </c>
      <c r="C97" s="4" t="inlineStr">
        <is>
          <t>120 L KÄRL FRITIDSHUS UTAN GRUNDAVG.</t>
        </is>
      </c>
      <c r="D97" s="4" t="inlineStr">
        <is>
          <t>RENH</t>
        </is>
      </c>
      <c r="E97" s="4" t="inlineStr">
        <is>
          <t>HUSH</t>
        </is>
      </c>
      <c r="F97" s="4" t="n">
        <v>1</v>
      </c>
      <c r="G97" s="4" t="inlineStr">
        <is>
          <t>ÅRKV</t>
        </is>
      </c>
      <c r="H97" s="4" t="inlineStr">
        <is>
          <t>Sophämtning 120 lit kärl</t>
        </is>
      </c>
      <c r="I97" s="4" t="n"/>
      <c r="J97" s="4" t="n"/>
      <c r="K97" s="4" t="n">
        <v>832</v>
      </c>
      <c r="L97" s="19" t="n">
        <v>44378</v>
      </c>
      <c r="M97" s="4" t="n">
        <v>0</v>
      </c>
      <c r="N97" s="4" t="n"/>
      <c r="O97" s="4" t="inlineStr">
        <is>
          <t>-</t>
        </is>
      </c>
      <c r="P97" s="4" t="n">
        <v>1</v>
      </c>
      <c r="Q97" s="6" t="inlineStr">
        <is>
          <t>ANTB</t>
        </is>
      </c>
    </row>
    <row r="98">
      <c r="A98" s="5" t="n">
        <v>51</v>
      </c>
      <c r="B98" s="4" t="inlineStr">
        <is>
          <t>HUF370</t>
        </is>
      </c>
      <c r="C98" s="4" t="inlineStr">
        <is>
          <t>370 L KÄRL FRITIDSHUS UTAN GRUNDAVG.</t>
        </is>
      </c>
      <c r="D98" s="4" t="inlineStr">
        <is>
          <t>RENH</t>
        </is>
      </c>
      <c r="E98" s="4" t="inlineStr">
        <is>
          <t>HUSH</t>
        </is>
      </c>
      <c r="F98" s="4" t="n">
        <v>1</v>
      </c>
      <c r="G98" s="4" t="inlineStr">
        <is>
          <t>ÅRKV</t>
        </is>
      </c>
      <c r="H98" s="4" t="inlineStr">
        <is>
          <t>Sophämtning 370 l kärl</t>
        </is>
      </c>
      <c r="I98" s="4" t="n"/>
      <c r="J98" s="4" t="n"/>
      <c r="K98" s="4" t="n">
        <v>1784</v>
      </c>
      <c r="L98" s="19" t="n">
        <v>44378</v>
      </c>
      <c r="M98" s="4" t="n">
        <v>0</v>
      </c>
      <c r="N98" s="4" t="n"/>
      <c r="O98" s="4" t="inlineStr">
        <is>
          <t>-</t>
        </is>
      </c>
      <c r="P98" s="4" t="n">
        <v>1</v>
      </c>
      <c r="Q98" s="6" t="inlineStr">
        <is>
          <t>ANTB</t>
        </is>
      </c>
    </row>
    <row r="99">
      <c r="A99" s="5" t="n">
        <v>174</v>
      </c>
      <c r="B99" s="4" t="inlineStr">
        <is>
          <t>HÄMTFARLIGT</t>
        </is>
      </c>
      <c r="C99" s="4" t="inlineStr">
        <is>
          <t>Hämtning av farligt avfall hos hushåll (max 25 kg)</t>
        </is>
      </c>
      <c r="D99" s="4" t="inlineStr">
        <is>
          <t>RENH</t>
        </is>
      </c>
      <c r="E99" s="4" t="inlineStr">
        <is>
          <t>HUSH</t>
        </is>
      </c>
      <c r="F99" s="4" t="n">
        <v>1</v>
      </c>
      <c r="G99" s="4" t="inlineStr">
        <is>
          <t>KVAN</t>
        </is>
      </c>
      <c r="H99" s="4" t="inlineStr">
        <is>
          <t>Hämtning av farligt avfall, pris per tillfälle</t>
        </is>
      </c>
      <c r="I99" s="4" t="n"/>
      <c r="J99" s="4" t="n"/>
      <c r="K99" s="4" t="n">
        <v>2000</v>
      </c>
      <c r="L99" s="19" t="n">
        <v>45200</v>
      </c>
      <c r="M99" s="4" t="n">
        <v>0</v>
      </c>
      <c r="N99" s="4" t="n"/>
      <c r="O99" s="4" t="inlineStr">
        <is>
          <t>-</t>
        </is>
      </c>
      <c r="P99" s="4" t="n">
        <v>1</v>
      </c>
      <c r="Q99" s="6" t="inlineStr">
        <is>
          <t>ANTL</t>
        </is>
      </c>
    </row>
    <row r="100">
      <c r="A100" s="5" t="n">
        <v>170</v>
      </c>
      <c r="B100" s="4" t="inlineStr">
        <is>
          <t>INERTAVFALL</t>
        </is>
      </c>
      <c r="C100" s="4" t="inlineStr">
        <is>
          <t>Inert avfall. Tex klinker, porslin, toalettstolar</t>
        </is>
      </c>
      <c r="D100" s="4" t="inlineStr">
        <is>
          <t>RENH</t>
        </is>
      </c>
      <c r="E100" s="4" t="inlineStr">
        <is>
          <t>BYGG</t>
        </is>
      </c>
      <c r="F100" s="4" t="n">
        <v>1</v>
      </c>
      <c r="G100" s="4" t="inlineStr">
        <is>
          <t>KVAN</t>
        </is>
      </c>
      <c r="H100" s="4" t="inlineStr">
        <is>
          <t>Inert avfall. Tex klinker, porslin, toalettstolar</t>
        </is>
      </c>
      <c r="I100" s="4" t="n"/>
      <c r="J100" s="4" t="n"/>
      <c r="K100" s="4" t="n">
        <v>1800</v>
      </c>
      <c r="L100" s="19" t="n">
        <v>45200</v>
      </c>
      <c r="M100" s="4" t="n">
        <v>0</v>
      </c>
      <c r="N100" s="4" t="n"/>
      <c r="O100" s="4" t="inlineStr">
        <is>
          <t>-</t>
        </is>
      </c>
      <c r="P100" s="4" t="n">
        <v>1</v>
      </c>
      <c r="Q100" s="6" t="inlineStr">
        <is>
          <t>VITO</t>
        </is>
      </c>
    </row>
    <row r="101">
      <c r="A101" s="5" t="n">
        <v>5</v>
      </c>
      <c r="B101" s="4" t="inlineStr">
        <is>
          <t>INKASSO</t>
        </is>
      </c>
      <c r="C101" s="4" t="inlineStr">
        <is>
          <t>Inkassoavgift</t>
        </is>
      </c>
      <c r="D101" s="4" t="inlineStr">
        <is>
          <t>VA</t>
        </is>
      </c>
      <c r="E101" s="4" t="n"/>
      <c r="F101" s="4" t="n">
        <v>1</v>
      </c>
      <c r="G101" s="4" t="inlineStr">
        <is>
          <t>KVAN</t>
        </is>
      </c>
      <c r="H101" s="4" t="inlineStr">
        <is>
          <t>Inkassoavgift</t>
        </is>
      </c>
      <c r="I101" s="4" t="n"/>
      <c r="J101" s="4" t="n"/>
      <c r="K101" s="4" t="n">
        <v>160</v>
      </c>
      <c r="L101" s="19" t="n">
        <v>32874</v>
      </c>
      <c r="M101" s="4" t="n">
        <v>0</v>
      </c>
      <c r="N101" s="4" t="n"/>
      <c r="O101" s="4" t="inlineStr">
        <is>
          <t>-</t>
        </is>
      </c>
      <c r="P101" s="4" t="n">
        <v>0</v>
      </c>
      <c r="Q101" s="6" t="n"/>
    </row>
    <row r="102">
      <c r="A102" s="5" t="n">
        <v>152</v>
      </c>
      <c r="B102" s="4" t="inlineStr">
        <is>
          <t>KREDGRUNDPER</t>
        </is>
      </c>
      <c r="C102" s="4" t="inlineStr">
        <is>
          <t>Kreditering av grundavgifter april/maj 2023</t>
        </is>
      </c>
      <c r="D102" s="4" t="inlineStr">
        <is>
          <t>RENH</t>
        </is>
      </c>
      <c r="E102" s="4" t="n"/>
      <c r="F102" s="4" t="n">
        <v>1</v>
      </c>
      <c r="G102" s="4" t="inlineStr">
        <is>
          <t>KVAN</t>
        </is>
      </c>
      <c r="H102" s="4" t="inlineStr">
        <is>
          <t>Kreditering av grundavgifter april/maj 2023</t>
        </is>
      </c>
      <c r="I102" s="4" t="n"/>
      <c r="J102" s="4" t="n"/>
      <c r="K102" s="4" t="n">
        <v>0</v>
      </c>
      <c r="L102" s="19" t="n">
        <v>32874</v>
      </c>
      <c r="M102" s="4" t="n">
        <v>0</v>
      </c>
      <c r="N102" s="4" t="n"/>
      <c r="O102" s="4" t="inlineStr">
        <is>
          <t>-</t>
        </is>
      </c>
      <c r="P102" s="4" t="n">
        <v>1</v>
      </c>
      <c r="Q102" s="6" t="inlineStr">
        <is>
          <t>ANTL</t>
        </is>
      </c>
    </row>
    <row r="103">
      <c r="A103" s="5" t="n">
        <v>199</v>
      </c>
      <c r="B103" s="4" t="inlineStr">
        <is>
          <t>KÄ140MA26FV</t>
        </is>
      </c>
      <c r="C103" s="4" t="inlineStr">
        <is>
          <t>Kärl 140 L, matavfall. Var 14:e dag. FLB/VHT</t>
        </is>
      </c>
      <c r="D103" s="4" t="inlineStr">
        <is>
          <t>RENH</t>
        </is>
      </c>
      <c r="E103" s="4" t="inlineStr">
        <is>
          <t>HUSH</t>
        </is>
      </c>
      <c r="F103" s="4" t="n">
        <v>1</v>
      </c>
      <c r="G103" s="4" t="inlineStr">
        <is>
          <t>ÅRKV</t>
        </is>
      </c>
      <c r="H103" s="4" t="inlineStr">
        <is>
          <t>Kärl 140 L matavfall FLB/VHT</t>
        </is>
      </c>
      <c r="I103" s="4" t="n"/>
      <c r="J103" s="4" t="n"/>
      <c r="K103" s="4" t="n">
        <v>500</v>
      </c>
      <c r="L103" s="19" t="n">
        <v>45658</v>
      </c>
      <c r="M103" s="4" t="n">
        <v>0</v>
      </c>
      <c r="N103" s="4" t="n"/>
      <c r="O103" s="4" t="inlineStr">
        <is>
          <t>-</t>
        </is>
      </c>
      <c r="P103" s="4" t="n">
        <v>1</v>
      </c>
      <c r="Q103" s="6" t="inlineStr">
        <is>
          <t>ANTB</t>
        </is>
      </c>
    </row>
    <row r="104">
      <c r="A104" s="5" t="n">
        <v>200</v>
      </c>
      <c r="B104" s="4" t="inlineStr">
        <is>
          <t>KÄ140MA26FV</t>
        </is>
      </c>
      <c r="C104" s="4" t="inlineStr">
        <is>
          <t>Kärl 140 L, matavfall. Var 14:e dag. FLB/VHT</t>
        </is>
      </c>
      <c r="D104" s="4" t="inlineStr">
        <is>
          <t>RENH</t>
        </is>
      </c>
      <c r="E104" s="4" t="inlineStr">
        <is>
          <t>HUSH</t>
        </is>
      </c>
      <c r="F104" s="4" t="n">
        <v>3</v>
      </c>
      <c r="G104" s="4" t="inlineStr">
        <is>
          <t>KVAN</t>
        </is>
      </c>
      <c r="H104" s="4" t="inlineStr">
        <is>
          <t>Viktavgift matavfall kr/kg</t>
        </is>
      </c>
      <c r="I104" s="4" t="n"/>
      <c r="J104" s="4" t="n"/>
      <c r="K104" s="4" t="n">
        <v>2.24</v>
      </c>
      <c r="L104" s="19" t="n">
        <v>45658</v>
      </c>
      <c r="M104" s="4" t="n">
        <v>0</v>
      </c>
      <c r="N104" s="4" t="n"/>
      <c r="O104" s="4" t="inlineStr">
        <is>
          <t>-</t>
        </is>
      </c>
      <c r="P104" s="4" t="n">
        <v>1</v>
      </c>
      <c r="Q104" s="6" t="inlineStr">
        <is>
          <t>VIKG,MAX60</t>
        </is>
      </c>
    </row>
    <row r="105">
      <c r="A105" s="5" t="n">
        <v>217</v>
      </c>
      <c r="B105" s="4" t="inlineStr">
        <is>
          <t>KÄ140MA26FV</t>
        </is>
      </c>
      <c r="C105" s="4" t="inlineStr">
        <is>
          <t>Kärl 140 L, matavfall. Var 14:e dag. FLB/VHT</t>
        </is>
      </c>
      <c r="D105" s="4" t="inlineStr">
        <is>
          <t>RENH</t>
        </is>
      </c>
      <c r="E105" s="4" t="inlineStr">
        <is>
          <t>HUSH</t>
        </is>
      </c>
      <c r="F105" s="4" t="n">
        <v>4</v>
      </c>
      <c r="G105" s="4" t="inlineStr">
        <is>
          <t>KVAN</t>
        </is>
      </c>
      <c r="H105" s="4" t="inlineStr">
        <is>
          <t>Vikt över 60 kg, matavfall</t>
        </is>
      </c>
      <c r="I105" s="4" t="n"/>
      <c r="J105" s="4" t="n"/>
      <c r="K105" s="4" t="n">
        <v>4</v>
      </c>
      <c r="L105" s="19" t="n">
        <v>45658</v>
      </c>
      <c r="M105" s="4" t="n">
        <v>0</v>
      </c>
      <c r="N105" s="4" t="n"/>
      <c r="O105" s="4" t="inlineStr">
        <is>
          <t>-</t>
        </is>
      </c>
      <c r="P105" s="4" t="n">
        <v>1</v>
      </c>
      <c r="Q105" s="6" t="inlineStr">
        <is>
          <t>VIKG-60,MIN0</t>
        </is>
      </c>
    </row>
    <row r="106">
      <c r="A106" s="5" t="n">
        <v>196</v>
      </c>
      <c r="B106" s="4" t="inlineStr">
        <is>
          <t>KÄ140MA26FV_old</t>
        </is>
      </c>
      <c r="C106" s="4" t="inlineStr">
        <is>
          <t>Kärl 140 L, matavfall. Var 14:e dag. FLB/VHT</t>
        </is>
      </c>
      <c r="D106" s="4" t="inlineStr">
        <is>
          <t>RENH</t>
        </is>
      </c>
      <c r="E106" s="4" t="inlineStr">
        <is>
          <t>HUSH</t>
        </is>
      </c>
      <c r="F106" s="4" t="n">
        <v>1</v>
      </c>
      <c r="G106" s="4" t="inlineStr">
        <is>
          <t>ÅRKV</t>
        </is>
      </c>
      <c r="H106" s="4" t="inlineStr">
        <is>
          <t>Kärlavgift 140 L kärl, matavfall. Var 14:e dag</t>
        </is>
      </c>
      <c r="I106" s="4" t="n"/>
      <c r="J106" s="4" t="n"/>
      <c r="K106" s="4" t="n">
        <v>0</v>
      </c>
      <c r="L106" s="19" t="n">
        <v>44927</v>
      </c>
      <c r="M106" s="4" t="n">
        <v>0</v>
      </c>
      <c r="N106" s="4" t="n"/>
      <c r="O106" s="4" t="inlineStr">
        <is>
          <t>-</t>
        </is>
      </c>
      <c r="P106" s="4" t="n">
        <v>1</v>
      </c>
      <c r="Q106" s="6" t="inlineStr">
        <is>
          <t>ANTB</t>
        </is>
      </c>
    </row>
    <row r="107">
      <c r="A107" s="5" t="n">
        <v>197</v>
      </c>
      <c r="B107" s="4" t="inlineStr">
        <is>
          <t>KÄ140MA26FV_old</t>
        </is>
      </c>
      <c r="C107" s="4" t="inlineStr">
        <is>
          <t>Kärl 140 L, matavfall. Var 14:e dag. FLB/VHT</t>
        </is>
      </c>
      <c r="D107" s="4" t="inlineStr">
        <is>
          <t>RENH</t>
        </is>
      </c>
      <c r="E107" s="4" t="inlineStr">
        <is>
          <t>HUSH</t>
        </is>
      </c>
      <c r="F107" s="4" t="n">
        <v>2</v>
      </c>
      <c r="G107" s="4" t="inlineStr">
        <is>
          <t>KVAN</t>
        </is>
      </c>
      <c r="H107" s="4" t="inlineStr">
        <is>
          <t>Viktavgift restavfall kr/kg</t>
        </is>
      </c>
      <c r="I107" s="4" t="n"/>
      <c r="J107" s="4" t="n"/>
      <c r="K107" s="4" t="n">
        <v>0</v>
      </c>
      <c r="L107" s="19" t="n">
        <v>44927</v>
      </c>
      <c r="M107" s="4" t="n">
        <v>0</v>
      </c>
      <c r="N107" s="4" t="n"/>
      <c r="O107" s="4" t="inlineStr">
        <is>
          <t>-</t>
        </is>
      </c>
      <c r="P107" s="4" t="n">
        <v>1</v>
      </c>
      <c r="Q107" s="6" t="inlineStr">
        <is>
          <t>0</t>
        </is>
      </c>
    </row>
    <row r="108">
      <c r="A108" s="5" t="n">
        <v>198</v>
      </c>
      <c r="B108" s="4" t="inlineStr">
        <is>
          <t>KÄ140MA26FV_old</t>
        </is>
      </c>
      <c r="C108" s="4" t="inlineStr">
        <is>
          <t>Kärl 140 L, matavfall. Var 14:e dag. FLB/VHT</t>
        </is>
      </c>
      <c r="D108" s="4" t="inlineStr">
        <is>
          <t>RENH</t>
        </is>
      </c>
      <c r="E108" s="4" t="inlineStr">
        <is>
          <t>HUSH</t>
        </is>
      </c>
      <c r="F108" s="4" t="n">
        <v>3</v>
      </c>
      <c r="G108" s="4" t="inlineStr">
        <is>
          <t>KVAN</t>
        </is>
      </c>
      <c r="H108" s="4" t="inlineStr">
        <is>
          <t>Viktavgift matavfall kr/kg</t>
        </is>
      </c>
      <c r="I108" s="4" t="n"/>
      <c r="J108" s="4" t="n"/>
      <c r="K108" s="4" t="n">
        <v>0</v>
      </c>
      <c r="L108" s="19" t="n">
        <v>44927</v>
      </c>
      <c r="M108" s="4" t="n">
        <v>0</v>
      </c>
      <c r="N108" s="4" t="n"/>
      <c r="O108" s="4" t="inlineStr">
        <is>
          <t>-</t>
        </is>
      </c>
      <c r="P108" s="4" t="n">
        <v>1</v>
      </c>
      <c r="Q108" s="6" t="inlineStr">
        <is>
          <t>VIKG</t>
        </is>
      </c>
    </row>
    <row r="109">
      <c r="A109" s="5" t="n">
        <v>148</v>
      </c>
      <c r="B109" s="4" t="inlineStr">
        <is>
          <t>KÄ140MAEXTRA</t>
        </is>
      </c>
      <c r="C109" s="4" t="inlineStr">
        <is>
          <t>Kärlavgift för extra kärl 140 L, matavfall. Var 14:e dag</t>
        </is>
      </c>
      <c r="D109" s="4" t="inlineStr">
        <is>
          <t>RENH</t>
        </is>
      </c>
      <c r="E109" s="4" t="inlineStr">
        <is>
          <t>HUSH</t>
        </is>
      </c>
      <c r="F109" s="4" t="n">
        <v>1</v>
      </c>
      <c r="G109" s="4" t="inlineStr">
        <is>
          <t>ÅRKV</t>
        </is>
      </c>
      <c r="H109" s="4" t="inlineStr">
        <is>
          <t>Extra kärl 140 L, matavfall</t>
        </is>
      </c>
      <c r="I109" s="4" t="n"/>
      <c r="J109" s="4" t="n"/>
      <c r="K109" s="4" t="n">
        <v>240</v>
      </c>
      <c r="L109" s="19" t="n">
        <v>45658</v>
      </c>
      <c r="M109" s="4" t="n">
        <v>0</v>
      </c>
      <c r="N109" s="4" t="n"/>
      <c r="O109" s="4" t="inlineStr">
        <is>
          <t>-</t>
        </is>
      </c>
      <c r="P109" s="4" t="n">
        <v>1</v>
      </c>
      <c r="Q109" s="6" t="inlineStr">
        <is>
          <t>ANTB</t>
        </is>
      </c>
    </row>
    <row r="110">
      <c r="A110" s="5" t="n">
        <v>149</v>
      </c>
      <c r="B110" s="4" t="inlineStr">
        <is>
          <t>KÄ140MAEXTRA</t>
        </is>
      </c>
      <c r="C110" s="4" t="inlineStr">
        <is>
          <t>Kärlavgift för extra kärl 140 L, matavfall. Var 14:e dag</t>
        </is>
      </c>
      <c r="D110" s="4" t="inlineStr">
        <is>
          <t>RENH</t>
        </is>
      </c>
      <c r="E110" s="4" t="inlineStr">
        <is>
          <t>HUSH</t>
        </is>
      </c>
      <c r="F110" s="4" t="n">
        <v>2</v>
      </c>
      <c r="G110" s="4" t="inlineStr">
        <is>
          <t>KVAN</t>
        </is>
      </c>
      <c r="H110" s="4" t="inlineStr">
        <is>
          <t>Viktavgift matavfall kr/kg</t>
        </is>
      </c>
      <c r="I110" s="4" t="n"/>
      <c r="J110" s="4" t="n"/>
      <c r="K110" s="4" t="n">
        <v>2.24</v>
      </c>
      <c r="L110" s="19" t="n">
        <v>45658</v>
      </c>
      <c r="M110" s="4" t="n">
        <v>0</v>
      </c>
      <c r="N110" s="4" t="n"/>
      <c r="O110" s="4" t="inlineStr">
        <is>
          <t>-</t>
        </is>
      </c>
      <c r="P110" s="4" t="n">
        <v>1</v>
      </c>
      <c r="Q110" s="6" t="inlineStr">
        <is>
          <t>VIKG,MAX60</t>
        </is>
      </c>
    </row>
    <row r="111">
      <c r="A111" s="5" t="n">
        <v>218</v>
      </c>
      <c r="B111" s="4" t="inlineStr">
        <is>
          <t>KÄ140MAEXTRA</t>
        </is>
      </c>
      <c r="C111" s="4" t="inlineStr">
        <is>
          <t>Kärlavgift för extra kärl 140 L, matavfall. Var 14:e dag</t>
        </is>
      </c>
      <c r="D111" s="4" t="inlineStr">
        <is>
          <t>RENH</t>
        </is>
      </c>
      <c r="E111" s="4" t="inlineStr">
        <is>
          <t>HUSH</t>
        </is>
      </c>
      <c r="F111" s="4" t="n">
        <v>3</v>
      </c>
      <c r="G111" s="4" t="inlineStr">
        <is>
          <t>KVAN</t>
        </is>
      </c>
      <c r="H111" s="4" t="inlineStr">
        <is>
          <t>Vikt över 60 kg, matavfall</t>
        </is>
      </c>
      <c r="I111" s="4" t="n"/>
      <c r="J111" s="4" t="n"/>
      <c r="K111" s="4" t="n">
        <v>4</v>
      </c>
      <c r="L111" s="19" t="n">
        <v>45658</v>
      </c>
      <c r="M111" s="4" t="n">
        <v>0</v>
      </c>
      <c r="N111" s="4" t="n"/>
      <c r="O111" s="4" t="inlineStr">
        <is>
          <t>-</t>
        </is>
      </c>
      <c r="P111" s="4" t="n">
        <v>1</v>
      </c>
      <c r="Q111" s="6" t="inlineStr">
        <is>
          <t>VIKG-60,MIN0</t>
        </is>
      </c>
    </row>
    <row r="112">
      <c r="A112" s="5" t="n">
        <v>150</v>
      </c>
      <c r="B112" s="4" t="inlineStr">
        <is>
          <t>KÄ140REEXTRA</t>
        </is>
      </c>
      <c r="C112" s="4" t="inlineStr">
        <is>
          <t>Kärlavgift för extra kärl 140 L, restavfall. Var 14:e dag</t>
        </is>
      </c>
      <c r="D112" s="4" t="inlineStr">
        <is>
          <t>RENH</t>
        </is>
      </c>
      <c r="E112" s="4" t="inlineStr">
        <is>
          <t>HUSH</t>
        </is>
      </c>
      <c r="F112" s="4" t="n">
        <v>1</v>
      </c>
      <c r="G112" s="4" t="inlineStr">
        <is>
          <t>ÅRKV</t>
        </is>
      </c>
      <c r="H112" s="4" t="inlineStr">
        <is>
          <t>Extra kärl 140 L, restavfall</t>
        </is>
      </c>
      <c r="I112" s="4" t="n"/>
      <c r="J112" s="4" t="n"/>
      <c r="K112" s="4" t="n">
        <v>240</v>
      </c>
      <c r="L112" s="19" t="n">
        <v>45658</v>
      </c>
      <c r="M112" s="4" t="n">
        <v>0</v>
      </c>
      <c r="N112" s="4" t="n"/>
      <c r="O112" s="4" t="inlineStr">
        <is>
          <t>-</t>
        </is>
      </c>
      <c r="P112" s="4" t="n">
        <v>1</v>
      </c>
      <c r="Q112" s="6" t="inlineStr">
        <is>
          <t>ANTB</t>
        </is>
      </c>
    </row>
    <row r="113">
      <c r="A113" s="5" t="n">
        <v>151</v>
      </c>
      <c r="B113" s="4" t="inlineStr">
        <is>
          <t>KÄ140REEXTRA</t>
        </is>
      </c>
      <c r="C113" s="4" t="inlineStr">
        <is>
          <t>Kärlavgift för extra kärl 140 L, restavfall. Var 14:e dag</t>
        </is>
      </c>
      <c r="D113" s="4" t="inlineStr">
        <is>
          <t>RENH</t>
        </is>
      </c>
      <c r="E113" s="4" t="inlineStr">
        <is>
          <t>HUSH</t>
        </is>
      </c>
      <c r="F113" s="4" t="n">
        <v>2</v>
      </c>
      <c r="G113" s="4" t="inlineStr">
        <is>
          <t>KVAN</t>
        </is>
      </c>
      <c r="H113" s="4" t="inlineStr">
        <is>
          <t>Viktavgift restavfall kr/kg</t>
        </is>
      </c>
      <c r="I113" s="4" t="n"/>
      <c r="J113" s="4" t="n"/>
      <c r="K113" s="4" t="n">
        <v>4.4</v>
      </c>
      <c r="L113" s="19" t="n">
        <v>45658</v>
      </c>
      <c r="M113" s="4" t="n">
        <v>0</v>
      </c>
      <c r="N113" s="4" t="n"/>
      <c r="O113" s="4" t="inlineStr">
        <is>
          <t>-</t>
        </is>
      </c>
      <c r="P113" s="4" t="n">
        <v>1</v>
      </c>
      <c r="Q113" s="6" t="inlineStr">
        <is>
          <t>VIKG,MAX60</t>
        </is>
      </c>
    </row>
    <row r="114">
      <c r="A114" s="5" t="n">
        <v>219</v>
      </c>
      <c r="B114" s="4" t="inlineStr">
        <is>
          <t>KÄ140REEXTRA</t>
        </is>
      </c>
      <c r="C114" s="4" t="inlineStr">
        <is>
          <t>Kärlavgift för extra kärl 140 L, restavfall. Var 14:e dag</t>
        </is>
      </c>
      <c r="D114" s="4" t="inlineStr">
        <is>
          <t>RENH</t>
        </is>
      </c>
      <c r="E114" s="4" t="inlineStr">
        <is>
          <t>HUSH</t>
        </is>
      </c>
      <c r="F114" s="4" t="n">
        <v>3</v>
      </c>
      <c r="G114" s="4" t="inlineStr">
        <is>
          <t>KVAN</t>
        </is>
      </c>
      <c r="H114" s="4" t="inlineStr">
        <is>
          <t>Vikt över 60 kg, restavfall</t>
        </is>
      </c>
      <c r="I114" s="4" t="n"/>
      <c r="J114" s="4" t="n"/>
      <c r="K114" s="4" t="n">
        <v>8</v>
      </c>
      <c r="L114" s="19" t="n">
        <v>45658</v>
      </c>
      <c r="M114" s="4" t="n">
        <v>0</v>
      </c>
      <c r="N114" s="4" t="n"/>
      <c r="O114" s="4" t="inlineStr">
        <is>
          <t>-</t>
        </is>
      </c>
      <c r="P114" s="4" t="n">
        <v>1</v>
      </c>
      <c r="Q114" s="6" t="inlineStr">
        <is>
          <t>VIKG-60,MIN0</t>
        </is>
      </c>
    </row>
    <row r="115">
      <c r="A115" s="5" t="n">
        <v>98</v>
      </c>
      <c r="B115" s="4" t="inlineStr">
        <is>
          <t>KÄ240RK26</t>
        </is>
      </c>
      <c r="C115" s="4" t="inlineStr">
        <is>
          <t>Tvåfackskärl, rest/kompost.</t>
        </is>
      </c>
      <c r="D115" s="4" t="inlineStr">
        <is>
          <t>RENH</t>
        </is>
      </c>
      <c r="E115" s="4" t="inlineStr">
        <is>
          <t>HUSH</t>
        </is>
      </c>
      <c r="F115" s="4" t="n">
        <v>1</v>
      </c>
      <c r="G115" s="4" t="inlineStr">
        <is>
          <t>ÅRKV</t>
        </is>
      </c>
      <c r="H115" s="4" t="inlineStr">
        <is>
          <t>Kärl 240L , restavfall/kompost</t>
        </is>
      </c>
      <c r="I115" s="4" t="n"/>
      <c r="J115" s="4" t="n"/>
      <c r="K115" s="4" t="n">
        <v>640</v>
      </c>
      <c r="L115" s="19" t="n">
        <v>45658</v>
      </c>
      <c r="M115" s="4" t="n">
        <v>0</v>
      </c>
      <c r="N115" s="4" t="n"/>
      <c r="O115" s="4" t="inlineStr">
        <is>
          <t>-</t>
        </is>
      </c>
      <c r="P115" s="4" t="n">
        <v>1</v>
      </c>
      <c r="Q115" s="6" t="inlineStr">
        <is>
          <t>ANTB</t>
        </is>
      </c>
    </row>
    <row r="116">
      <c r="A116" s="5" t="n">
        <v>99</v>
      </c>
      <c r="B116" s="4" t="inlineStr">
        <is>
          <t>KÄ240RK26</t>
        </is>
      </c>
      <c r="C116" s="4" t="inlineStr">
        <is>
          <t>Tvåfackskärl, rest/kompost.</t>
        </is>
      </c>
      <c r="D116" s="4" t="inlineStr">
        <is>
          <t>RENH</t>
        </is>
      </c>
      <c r="E116" s="4" t="inlineStr">
        <is>
          <t>HUSH</t>
        </is>
      </c>
      <c r="F116" s="4" t="n">
        <v>2</v>
      </c>
      <c r="G116" s="4" t="inlineStr">
        <is>
          <t>KVAN</t>
        </is>
      </c>
      <c r="H116" s="4" t="inlineStr">
        <is>
          <t>Viktavgift restavfall kr/kg</t>
        </is>
      </c>
      <c r="I116" s="4" t="n"/>
      <c r="J116" s="4" t="n"/>
      <c r="K116" s="4" t="n">
        <v>4.4</v>
      </c>
      <c r="L116" s="19" t="n">
        <v>45658</v>
      </c>
      <c r="M116" s="4" t="n">
        <v>0</v>
      </c>
      <c r="N116" s="4" t="n"/>
      <c r="O116" s="4" t="inlineStr">
        <is>
          <t>-</t>
        </is>
      </c>
      <c r="P116" s="4" t="n">
        <v>1</v>
      </c>
      <c r="Q116" s="6" t="inlineStr">
        <is>
          <t>VIKG</t>
        </is>
      </c>
    </row>
    <row r="117">
      <c r="A117" s="5" t="n">
        <v>95</v>
      </c>
      <c r="B117" s="4" t="inlineStr">
        <is>
          <t>KÄ240RM26</t>
        </is>
      </c>
      <c r="C117" s="4" t="inlineStr">
        <is>
          <t>Tvåfackskärl , rest/matavfall.</t>
        </is>
      </c>
      <c r="D117" s="4" t="inlineStr">
        <is>
          <t>RENH</t>
        </is>
      </c>
      <c r="E117" s="4" t="inlineStr">
        <is>
          <t>HUSH</t>
        </is>
      </c>
      <c r="F117" s="4" t="n">
        <v>1</v>
      </c>
      <c r="G117" s="4" t="inlineStr">
        <is>
          <t>ÅRKV</t>
        </is>
      </c>
      <c r="H117" s="4" t="inlineStr">
        <is>
          <t>Tvåfackskärl , rest/matavfall.</t>
        </is>
      </c>
      <c r="I117" s="4" t="n"/>
      <c r="J117" s="4" t="n"/>
      <c r="K117" s="4" t="n">
        <v>640</v>
      </c>
      <c r="L117" s="19" t="n">
        <v>45658</v>
      </c>
      <c r="M117" s="4" t="n">
        <v>0</v>
      </c>
      <c r="N117" s="4" t="n"/>
      <c r="O117" s="4" t="inlineStr">
        <is>
          <t>-</t>
        </is>
      </c>
      <c r="P117" s="4" t="n">
        <v>1</v>
      </c>
      <c r="Q117" s="6" t="inlineStr">
        <is>
          <t>ANTB</t>
        </is>
      </c>
    </row>
    <row r="118">
      <c r="A118" s="5" t="n">
        <v>96</v>
      </c>
      <c r="B118" s="4" t="inlineStr">
        <is>
          <t>KÄ240RM26</t>
        </is>
      </c>
      <c r="C118" s="4" t="inlineStr">
        <is>
          <t>Tvåfackskärl , rest/matavfall.</t>
        </is>
      </c>
      <c r="D118" s="4" t="inlineStr">
        <is>
          <t>RENH</t>
        </is>
      </c>
      <c r="E118" s="4" t="inlineStr">
        <is>
          <t>HUSH</t>
        </is>
      </c>
      <c r="F118" s="4" t="n">
        <v>2</v>
      </c>
      <c r="G118" s="4" t="inlineStr">
        <is>
          <t>KVAN</t>
        </is>
      </c>
      <c r="H118" s="4" t="inlineStr">
        <is>
          <t>Viktavgift restavfall kr/kg</t>
        </is>
      </c>
      <c r="I118" s="4" t="n"/>
      <c r="J118" s="4" t="n"/>
      <c r="K118" s="4" t="n">
        <v>4.4</v>
      </c>
      <c r="L118" s="19" t="n">
        <v>45658</v>
      </c>
      <c r="M118" s="4" t="n">
        <v>0</v>
      </c>
      <c r="N118" s="4" t="n"/>
      <c r="O118" s="4" t="inlineStr">
        <is>
          <t>-</t>
        </is>
      </c>
      <c r="P118" s="4" t="n">
        <v>1</v>
      </c>
      <c r="Q118" s="6" t="inlineStr">
        <is>
          <t>0</t>
        </is>
      </c>
    </row>
    <row r="119">
      <c r="A119" s="5" t="n">
        <v>97</v>
      </c>
      <c r="B119" s="4" t="inlineStr">
        <is>
          <t>KÄ240RM26</t>
        </is>
      </c>
      <c r="C119" s="4" t="inlineStr">
        <is>
          <t>Tvåfackskärl , rest/matavfall.</t>
        </is>
      </c>
      <c r="D119" s="4" t="inlineStr">
        <is>
          <t>RENH</t>
        </is>
      </c>
      <c r="E119" s="4" t="inlineStr">
        <is>
          <t>HUSH</t>
        </is>
      </c>
      <c r="F119" s="4" t="n">
        <v>3</v>
      </c>
      <c r="G119" s="4" t="inlineStr">
        <is>
          <t>KVAN</t>
        </is>
      </c>
      <c r="H119" s="4" t="inlineStr">
        <is>
          <t>Viktavgift matavfall kr/kg</t>
        </is>
      </c>
      <c r="I119" s="4" t="n"/>
      <c r="J119" s="4" t="n"/>
      <c r="K119" s="4" t="n">
        <v>2.24</v>
      </c>
      <c r="L119" s="19" t="n">
        <v>45658</v>
      </c>
      <c r="M119" s="4" t="n">
        <v>0</v>
      </c>
      <c r="N119" s="4" t="n"/>
      <c r="O119" s="4" t="inlineStr">
        <is>
          <t>-</t>
        </is>
      </c>
      <c r="P119" s="4" t="n">
        <v>1</v>
      </c>
      <c r="Q119" s="6" t="inlineStr">
        <is>
          <t>0</t>
        </is>
      </c>
    </row>
    <row r="120">
      <c r="A120" s="5" t="n">
        <v>100</v>
      </c>
      <c r="B120" s="4" t="inlineStr">
        <is>
          <t>KÄ240RM26FV</t>
        </is>
      </c>
      <c r="C120" s="4" t="inlineStr">
        <is>
          <t>Tvåfackskärl, rest/mat FLB/VHT</t>
        </is>
      </c>
      <c r="D120" s="4" t="inlineStr">
        <is>
          <t>RENH</t>
        </is>
      </c>
      <c r="E120" s="4" t="inlineStr">
        <is>
          <t>HUSH</t>
        </is>
      </c>
      <c r="F120" s="4" t="n">
        <v>1</v>
      </c>
      <c r="G120" s="4" t="inlineStr">
        <is>
          <t>ÅRKV</t>
        </is>
      </c>
      <c r="H120" s="4" t="inlineStr">
        <is>
          <t>Kärl 240L , rest/mat FLB/VHT</t>
        </is>
      </c>
      <c r="I120" s="4" t="n"/>
      <c r="J120" s="4" t="n"/>
      <c r="K120" s="4" t="n">
        <v>640</v>
      </c>
      <c r="L120" s="19" t="n">
        <v>45658</v>
      </c>
      <c r="M120" s="4" t="n">
        <v>0</v>
      </c>
      <c r="N120" s="4" t="n"/>
      <c r="O120" s="4" t="inlineStr">
        <is>
          <t>-</t>
        </is>
      </c>
      <c r="P120" s="4" t="n">
        <v>1</v>
      </c>
      <c r="Q120" s="6" t="inlineStr">
        <is>
          <t>ANTB</t>
        </is>
      </c>
    </row>
    <row r="121">
      <c r="A121" s="5" t="n">
        <v>101</v>
      </c>
      <c r="B121" s="4" t="inlineStr">
        <is>
          <t>KÄ240RM26FV</t>
        </is>
      </c>
      <c r="C121" s="4" t="inlineStr">
        <is>
          <t>Tvåfackskärl, rest/mat FLB/VHT</t>
        </is>
      </c>
      <c r="D121" s="4" t="inlineStr">
        <is>
          <t>RENH</t>
        </is>
      </c>
      <c r="E121" s="4" t="inlineStr">
        <is>
          <t>HUSH</t>
        </is>
      </c>
      <c r="F121" s="4" t="n">
        <v>2</v>
      </c>
      <c r="G121" s="4" t="inlineStr">
        <is>
          <t>KVAN</t>
        </is>
      </c>
      <c r="H121" s="4" t="inlineStr">
        <is>
          <t>Viktavgift restavfall kr/kg</t>
        </is>
      </c>
      <c r="I121" s="4" t="n"/>
      <c r="J121" s="4" t="n"/>
      <c r="K121" s="4" t="n">
        <v>4.4</v>
      </c>
      <c r="L121" s="19" t="n">
        <v>45658</v>
      </c>
      <c r="M121" s="4" t="n">
        <v>0</v>
      </c>
      <c r="N121" s="4" t="n"/>
      <c r="O121" s="4" t="inlineStr">
        <is>
          <t>-</t>
        </is>
      </c>
      <c r="P121" s="4" t="n">
        <v>1</v>
      </c>
      <c r="Q121" s="6" t="inlineStr">
        <is>
          <t>0</t>
        </is>
      </c>
    </row>
    <row r="122">
      <c r="A122" s="5" t="n">
        <v>102</v>
      </c>
      <c r="B122" s="4" t="inlineStr">
        <is>
          <t>KÄ240RM26FV</t>
        </is>
      </c>
      <c r="C122" s="4" t="inlineStr">
        <is>
          <t>Tvåfackskärl, rest/mat FLB/VHT</t>
        </is>
      </c>
      <c r="D122" s="4" t="inlineStr">
        <is>
          <t>RENH</t>
        </is>
      </c>
      <c r="E122" s="4" t="inlineStr">
        <is>
          <t>HUSH</t>
        </is>
      </c>
      <c r="F122" s="4" t="n">
        <v>3</v>
      </c>
      <c r="G122" s="4" t="inlineStr">
        <is>
          <t>KVAN</t>
        </is>
      </c>
      <c r="H122" s="4" t="inlineStr">
        <is>
          <t>Viktavgift matavfall kr/kg</t>
        </is>
      </c>
      <c r="I122" s="4" t="n"/>
      <c r="J122" s="4" t="n"/>
      <c r="K122" s="4" t="n">
        <v>2.24</v>
      </c>
      <c r="L122" s="19" t="n">
        <v>45658</v>
      </c>
      <c r="M122" s="4" t="n">
        <v>0</v>
      </c>
      <c r="N122" s="4" t="n"/>
      <c r="O122" s="4" t="inlineStr">
        <is>
          <t>-</t>
        </is>
      </c>
      <c r="P122" s="4" t="n">
        <v>1</v>
      </c>
      <c r="Q122" s="6" t="inlineStr">
        <is>
          <t>0</t>
        </is>
      </c>
    </row>
    <row r="123">
      <c r="A123" s="5" t="n">
        <v>103</v>
      </c>
      <c r="B123" s="4" t="inlineStr">
        <is>
          <t>KÄ370RE26FV</t>
        </is>
      </c>
      <c r="C123" s="4" t="inlineStr">
        <is>
          <t>Kärl 370 L, rest. FLB/VHT</t>
        </is>
      </c>
      <c r="D123" s="4" t="inlineStr">
        <is>
          <t>RENH</t>
        </is>
      </c>
      <c r="E123" s="4" t="inlineStr">
        <is>
          <t>HUSH</t>
        </is>
      </c>
      <c r="F123" s="4" t="n">
        <v>1</v>
      </c>
      <c r="G123" s="4" t="inlineStr">
        <is>
          <t>ÅRKV</t>
        </is>
      </c>
      <c r="H123" s="4" t="inlineStr">
        <is>
          <t>Kärl 370 L kärl, rest. FLB/VHT</t>
        </is>
      </c>
      <c r="I123" s="4" t="n"/>
      <c r="J123" s="4" t="n"/>
      <c r="K123" s="4" t="n">
        <v>800</v>
      </c>
      <c r="L123" s="19" t="n">
        <v>45658</v>
      </c>
      <c r="M123" s="4" t="n">
        <v>0</v>
      </c>
      <c r="N123" s="4" t="n"/>
      <c r="O123" s="4" t="inlineStr">
        <is>
          <t>-</t>
        </is>
      </c>
      <c r="P123" s="4" t="n">
        <v>1</v>
      </c>
      <c r="Q123" s="6" t="inlineStr">
        <is>
          <t>ANTB</t>
        </is>
      </c>
    </row>
    <row r="124">
      <c r="A124" s="5" t="n">
        <v>104</v>
      </c>
      <c r="B124" s="4" t="inlineStr">
        <is>
          <t>KÄ370RE26FV</t>
        </is>
      </c>
      <c r="C124" s="4" t="inlineStr">
        <is>
          <t>Kärl 370 L, rest. FLB/VHT</t>
        </is>
      </c>
      <c r="D124" s="4" t="inlineStr">
        <is>
          <t>RENH</t>
        </is>
      </c>
      <c r="E124" s="4" t="inlineStr">
        <is>
          <t>HUSH</t>
        </is>
      </c>
      <c r="F124" s="4" t="n">
        <v>2</v>
      </c>
      <c r="G124" s="4" t="inlineStr">
        <is>
          <t>KVAN</t>
        </is>
      </c>
      <c r="H124" s="4" t="inlineStr">
        <is>
          <t>Viktavgift restavfall kr/kg</t>
        </is>
      </c>
      <c r="I124" s="4" t="n"/>
      <c r="J124" s="4" t="n"/>
      <c r="K124" s="4" t="n">
        <v>4.4</v>
      </c>
      <c r="L124" s="19" t="n">
        <v>45658</v>
      </c>
      <c r="M124" s="4" t="n">
        <v>0</v>
      </c>
      <c r="N124" s="4" t="n"/>
      <c r="O124" s="4" t="inlineStr">
        <is>
          <t>-</t>
        </is>
      </c>
      <c r="P124" s="4" t="n">
        <v>1</v>
      </c>
      <c r="Q124" s="6" t="inlineStr">
        <is>
          <t>VIKG,MAX60</t>
        </is>
      </c>
    </row>
    <row r="125">
      <c r="A125" s="5" t="n">
        <v>220</v>
      </c>
      <c r="B125" s="4" t="inlineStr">
        <is>
          <t>KÄ370RE26FV</t>
        </is>
      </c>
      <c r="C125" s="4" t="inlineStr">
        <is>
          <t>Kärl 370 L, rest. FLB/VHT</t>
        </is>
      </c>
      <c r="D125" s="4" t="inlineStr">
        <is>
          <t>RENH</t>
        </is>
      </c>
      <c r="E125" s="4" t="inlineStr">
        <is>
          <t>HUSH</t>
        </is>
      </c>
      <c r="F125" s="4" t="n">
        <v>3</v>
      </c>
      <c r="G125" s="4" t="inlineStr">
        <is>
          <t>KVAN</t>
        </is>
      </c>
      <c r="H125" s="4" t="inlineStr">
        <is>
          <t>Avgift över 60 kg, restavfall</t>
        </is>
      </c>
      <c r="I125" s="4" t="n"/>
      <c r="J125" s="4" t="n"/>
      <c r="K125" s="4" t="n">
        <v>7.5</v>
      </c>
      <c r="L125" s="19" t="n">
        <v>45658</v>
      </c>
      <c r="M125" s="4" t="n">
        <v>0</v>
      </c>
      <c r="N125" s="4" t="n"/>
      <c r="O125" s="4" t="inlineStr">
        <is>
          <t>-</t>
        </is>
      </c>
      <c r="P125" s="4" t="n">
        <v>1</v>
      </c>
      <c r="Q125" s="6" t="inlineStr">
        <is>
          <t>VIKG-60,MIN0</t>
        </is>
      </c>
    </row>
    <row r="126">
      <c r="A126" s="5" t="n">
        <v>105</v>
      </c>
      <c r="B126" s="4" t="inlineStr">
        <is>
          <t>KÄ660RE26FV</t>
        </is>
      </c>
      <c r="C126" s="4" t="inlineStr">
        <is>
          <t>Kärl 660 L, rest. FLB/VHT</t>
        </is>
      </c>
      <c r="D126" s="4" t="inlineStr">
        <is>
          <t>RENH</t>
        </is>
      </c>
      <c r="E126" s="4" t="inlineStr">
        <is>
          <t>HUSH</t>
        </is>
      </c>
      <c r="F126" s="4" t="n">
        <v>1</v>
      </c>
      <c r="G126" s="4" t="inlineStr">
        <is>
          <t>ÅRKV</t>
        </is>
      </c>
      <c r="H126" s="4" t="inlineStr">
        <is>
          <t>Kärl 660 L, rest. FLB/VHT</t>
        </is>
      </c>
      <c r="I126" s="4" t="n"/>
      <c r="J126" s="4" t="n"/>
      <c r="K126" s="4" t="n">
        <v>1040</v>
      </c>
      <c r="L126" s="19" t="n">
        <v>45658</v>
      </c>
      <c r="M126" s="4" t="n">
        <v>0</v>
      </c>
      <c r="N126" s="4" t="n"/>
      <c r="O126" s="4" t="inlineStr">
        <is>
          <t>-</t>
        </is>
      </c>
      <c r="P126" s="4" t="n">
        <v>1</v>
      </c>
      <c r="Q126" s="6" t="inlineStr">
        <is>
          <t>ANTB</t>
        </is>
      </c>
    </row>
    <row r="127">
      <c r="A127" s="5" t="n">
        <v>106</v>
      </c>
      <c r="B127" s="4" t="inlineStr">
        <is>
          <t>KÄ660RE26FV</t>
        </is>
      </c>
      <c r="C127" s="4" t="inlineStr">
        <is>
          <t>Kärl 660 L, rest. FLB/VHT</t>
        </is>
      </c>
      <c r="D127" s="4" t="inlineStr">
        <is>
          <t>RENH</t>
        </is>
      </c>
      <c r="E127" s="4" t="inlineStr">
        <is>
          <t>HUSH</t>
        </is>
      </c>
      <c r="F127" s="4" t="n">
        <v>2</v>
      </c>
      <c r="G127" s="4" t="inlineStr">
        <is>
          <t>KVAN</t>
        </is>
      </c>
      <c r="H127" s="4" t="inlineStr">
        <is>
          <t>Viktavgift restavfall kr/kg</t>
        </is>
      </c>
      <c r="I127" s="4" t="n"/>
      <c r="J127" s="4" t="n"/>
      <c r="K127" s="4" t="n">
        <v>4.4</v>
      </c>
      <c r="L127" s="19" t="n">
        <v>45658</v>
      </c>
      <c r="M127" s="4" t="n">
        <v>0</v>
      </c>
      <c r="N127" s="4" t="n"/>
      <c r="O127" s="4" t="inlineStr">
        <is>
          <t>-</t>
        </is>
      </c>
      <c r="P127" s="4" t="n">
        <v>1</v>
      </c>
      <c r="Q127" s="6" t="inlineStr">
        <is>
          <t>VIKG,MAX60</t>
        </is>
      </c>
    </row>
    <row r="128">
      <c r="A128" s="5" t="n">
        <v>221</v>
      </c>
      <c r="B128" s="4" t="inlineStr">
        <is>
          <t>KÄ660RE26FV</t>
        </is>
      </c>
      <c r="C128" s="4" t="inlineStr">
        <is>
          <t>Kärl 660 L, rest. FLB/VHT</t>
        </is>
      </c>
      <c r="D128" s="4" t="inlineStr">
        <is>
          <t>RENH</t>
        </is>
      </c>
      <c r="E128" s="4" t="inlineStr">
        <is>
          <t>HUSH</t>
        </is>
      </c>
      <c r="F128" s="4" t="n">
        <v>3</v>
      </c>
      <c r="G128" s="4" t="inlineStr">
        <is>
          <t>KVAN</t>
        </is>
      </c>
      <c r="H128" s="4" t="inlineStr">
        <is>
          <t>Avgift över 60 kg, restavfall</t>
        </is>
      </c>
      <c r="I128" s="4" t="n"/>
      <c r="J128" s="4" t="n"/>
      <c r="K128" s="4" t="n">
        <v>7.5</v>
      </c>
      <c r="L128" s="19" t="n">
        <v>45658</v>
      </c>
      <c r="M128" s="4" t="n">
        <v>0</v>
      </c>
      <c r="N128" s="4" t="n"/>
      <c r="O128" s="4" t="inlineStr">
        <is>
          <t>-</t>
        </is>
      </c>
      <c r="P128" s="4" t="n">
        <v>1</v>
      </c>
      <c r="Q128" s="6" t="inlineStr">
        <is>
          <t>VIKG-60,MIN0</t>
        </is>
      </c>
    </row>
    <row r="129">
      <c r="A129" s="5" t="n">
        <v>260</v>
      </c>
      <c r="B129" s="4" t="inlineStr">
        <is>
          <t>KÄ660ÖVRIGT</t>
        </is>
      </c>
      <c r="C129" s="4" t="inlineStr">
        <is>
          <t>Kärl 660 kommunens egna kärl för tex akutsäck</t>
        </is>
      </c>
      <c r="D129" s="4" t="inlineStr">
        <is>
          <t>RENH</t>
        </is>
      </c>
      <c r="E129" s="4" t="inlineStr">
        <is>
          <t>HUSH</t>
        </is>
      </c>
      <c r="F129" s="4" t="n">
        <v>1</v>
      </c>
      <c r="G129" s="4" t="inlineStr">
        <is>
          <t>ÅRKV</t>
        </is>
      </c>
      <c r="H129" s="4" t="inlineStr">
        <is>
          <t>Kärl 660 L, rest. FLB/VHT</t>
        </is>
      </c>
      <c r="I129" s="4" t="n"/>
      <c r="J129" s="4" t="n"/>
      <c r="K129" s="4" t="n"/>
      <c r="L129" s="19" t="n"/>
      <c r="M129" s="4" t="n">
        <v>0</v>
      </c>
      <c r="N129" s="4" t="n"/>
      <c r="O129" s="4" t="inlineStr">
        <is>
          <t>-</t>
        </is>
      </c>
      <c r="P129" s="4" t="n">
        <v>1</v>
      </c>
      <c r="Q129" s="6" t="inlineStr">
        <is>
          <t>ANTB</t>
        </is>
      </c>
    </row>
    <row r="130">
      <c r="A130" s="5" t="n">
        <v>175</v>
      </c>
      <c r="B130" s="4" t="inlineStr">
        <is>
          <t>KÄRLBYTE240</t>
        </is>
      </c>
      <c r="C130" s="4" t="inlineStr">
        <is>
          <t>Byte/återtag av behållare 140–240 L, 1 ggr/år</t>
        </is>
      </c>
      <c r="D130" s="4" t="inlineStr">
        <is>
          <t>RENH</t>
        </is>
      </c>
      <c r="E130" s="4" t="inlineStr">
        <is>
          <t>HUSH</t>
        </is>
      </c>
      <c r="F130" s="4" t="n">
        <v>1</v>
      </c>
      <c r="G130" s="4" t="inlineStr">
        <is>
          <t>KVAN</t>
        </is>
      </c>
      <c r="H130" s="4" t="inlineStr">
        <is>
          <t>Byte/återtag av behållare 140–240 L, 1 ggr/år</t>
        </is>
      </c>
      <c r="I130" s="4" t="n"/>
      <c r="J130" s="4" t="n"/>
      <c r="K130" s="4" t="n">
        <v>200</v>
      </c>
      <c r="L130" s="19" t="n">
        <v>45200</v>
      </c>
      <c r="M130" s="4" t="n">
        <v>0</v>
      </c>
      <c r="N130" s="4" t="n"/>
      <c r="O130" s="4" t="inlineStr">
        <is>
          <t>-</t>
        </is>
      </c>
      <c r="P130" s="4" t="n">
        <v>1</v>
      </c>
      <c r="Q130" s="6" t="inlineStr">
        <is>
          <t>ANTL</t>
        </is>
      </c>
    </row>
    <row r="131">
      <c r="A131" s="5" t="n">
        <v>176</v>
      </c>
      <c r="B131" s="4" t="inlineStr">
        <is>
          <t>KÄRLBYTE660</t>
        </is>
      </c>
      <c r="C131" s="4" t="inlineStr">
        <is>
          <t>Byte/återtag av behållare 370–660 L, 1 ggr/år</t>
        </is>
      </c>
      <c r="D131" s="4" t="inlineStr">
        <is>
          <t>RENH</t>
        </is>
      </c>
      <c r="E131" s="4" t="inlineStr">
        <is>
          <t>HUSH</t>
        </is>
      </c>
      <c r="F131" s="4" t="n">
        <v>1</v>
      </c>
      <c r="G131" s="4" t="inlineStr">
        <is>
          <t>KVAN</t>
        </is>
      </c>
      <c r="H131" s="4" t="inlineStr">
        <is>
          <t>Byte/återtag av behållare 370–660 L, 1 ggr/år</t>
        </is>
      </c>
      <c r="I131" s="4" t="n"/>
      <c r="J131" s="4" t="n"/>
      <c r="K131" s="4" t="n">
        <v>320</v>
      </c>
      <c r="L131" s="19" t="n">
        <v>45200</v>
      </c>
      <c r="M131" s="4" t="n">
        <v>0</v>
      </c>
      <c r="N131" s="4" t="n"/>
      <c r="O131" s="4" t="inlineStr">
        <is>
          <t>-</t>
        </is>
      </c>
      <c r="P131" s="4" t="n">
        <v>1</v>
      </c>
      <c r="Q131" s="6" t="inlineStr">
        <is>
          <t>ANTL</t>
        </is>
      </c>
    </row>
    <row r="132">
      <c r="A132" s="5" t="n">
        <v>177</v>
      </c>
      <c r="B132" s="4" t="inlineStr">
        <is>
          <t>KÄRLBYTEFLER</t>
        </is>
      </c>
      <c r="C132" s="4" t="inlineStr">
        <is>
          <t>Ytterligare byte av kärl under kalenderåret</t>
        </is>
      </c>
      <c r="D132" s="4" t="inlineStr">
        <is>
          <t>RENH</t>
        </is>
      </c>
      <c r="E132" s="4" t="inlineStr">
        <is>
          <t>HUSH</t>
        </is>
      </c>
      <c r="F132" s="4" t="n">
        <v>1</v>
      </c>
      <c r="G132" s="4" t="inlineStr">
        <is>
          <t>KVAN</t>
        </is>
      </c>
      <c r="H132" s="4" t="inlineStr">
        <is>
          <t>Ytterligare byte av kärl under kalenderåret</t>
        </is>
      </c>
      <c r="I132" s="4" t="n"/>
      <c r="J132" s="4" t="n"/>
      <c r="K132" s="4" t="n">
        <v>480</v>
      </c>
      <c r="L132" s="19" t="n">
        <v>45200</v>
      </c>
      <c r="M132" s="4" t="n">
        <v>0</v>
      </c>
      <c r="N132" s="4" t="n"/>
      <c r="O132" s="4" t="inlineStr">
        <is>
          <t>-</t>
        </is>
      </c>
      <c r="P132" s="4" t="n">
        <v>1</v>
      </c>
      <c r="Q132" s="6" t="inlineStr">
        <is>
          <t>ANTL</t>
        </is>
      </c>
    </row>
    <row r="133">
      <c r="A133" s="5" t="n">
        <v>52</v>
      </c>
      <c r="B133" s="4" t="inlineStr">
        <is>
          <t>L</t>
        </is>
      </c>
      <c r="C133" s="4" t="inlineStr">
        <is>
          <t>EXTRA SLANG &gt; 5 M</t>
        </is>
      </c>
      <c r="D133" s="4" t="inlineStr">
        <is>
          <t>RENH</t>
        </is>
      </c>
      <c r="E133" s="4" t="inlineStr">
        <is>
          <t>SLAM</t>
        </is>
      </c>
      <c r="F133" s="4" t="n">
        <v>1</v>
      </c>
      <c r="G133" s="4" t="inlineStr">
        <is>
          <t>KVAN</t>
        </is>
      </c>
      <c r="H133" s="4" t="inlineStr">
        <is>
          <t>Extra slang &gt; 5 m</t>
        </is>
      </c>
      <c r="I133" s="4" t="n"/>
      <c r="J133" s="4" t="n"/>
      <c r="K133" s="4" t="n">
        <v>480</v>
      </c>
      <c r="L133" s="19" t="n">
        <v>43922</v>
      </c>
      <c r="M133" s="4" t="n">
        <v>0</v>
      </c>
      <c r="N133" s="4" t="n"/>
      <c r="O133" s="4" t="inlineStr">
        <is>
          <t>-</t>
        </is>
      </c>
      <c r="P133" s="4" t="n">
        <v>1</v>
      </c>
      <c r="Q133" s="6" t="inlineStr">
        <is>
          <t>ANTL</t>
        </is>
      </c>
    </row>
    <row r="134">
      <c r="A134" s="5" t="n">
        <v>179</v>
      </c>
      <c r="B134" s="4" t="inlineStr">
        <is>
          <t>LATRINBEHÅLL</t>
        </is>
      </c>
      <c r="C134" s="4" t="inlineStr">
        <is>
          <t>Avgift för latrinbehållare</t>
        </is>
      </c>
      <c r="D134" s="4" t="inlineStr">
        <is>
          <t>RENH</t>
        </is>
      </c>
      <c r="E134" s="4" t="inlineStr">
        <is>
          <t>HUSH</t>
        </is>
      </c>
      <c r="F134" s="4" t="n">
        <v>1</v>
      </c>
      <c r="G134" s="4" t="inlineStr">
        <is>
          <t>KVAN</t>
        </is>
      </c>
      <c r="H134" s="4" t="inlineStr">
        <is>
          <t>Avgift för latrinbehållare</t>
        </is>
      </c>
      <c r="I134" s="4" t="n"/>
      <c r="J134" s="4" t="n"/>
      <c r="K134" s="4" t="n">
        <v>360</v>
      </c>
      <c r="L134" s="19" t="n">
        <v>45200</v>
      </c>
      <c r="M134" s="4" t="n">
        <v>0</v>
      </c>
      <c r="N134" s="4" t="n"/>
      <c r="O134" s="4" t="inlineStr">
        <is>
          <t>-</t>
        </is>
      </c>
      <c r="P134" s="4" t="n">
        <v>1</v>
      </c>
      <c r="Q134" s="6" t="inlineStr">
        <is>
          <t>ANTL</t>
        </is>
      </c>
    </row>
    <row r="135">
      <c r="A135" s="5" t="n">
        <v>205</v>
      </c>
      <c r="B135" s="4" t="inlineStr">
        <is>
          <t>MANLASTBIL</t>
        </is>
      </c>
      <c r="C135" s="4" t="inlineStr">
        <is>
          <t>MAN Lastbil- externa tjänster</t>
        </is>
      </c>
      <c r="D135" s="4" t="inlineStr">
        <is>
          <t>RENH</t>
        </is>
      </c>
      <c r="E135" s="4" t="inlineStr">
        <is>
          <t>EXT</t>
        </is>
      </c>
      <c r="F135" s="4" t="n">
        <v>1</v>
      </c>
      <c r="G135" s="4" t="inlineStr">
        <is>
          <t>KVAN</t>
        </is>
      </c>
      <c r="H135" s="4" t="inlineStr">
        <is>
          <t>MAN Lastbil</t>
        </is>
      </c>
      <c r="I135" s="4" t="n"/>
      <c r="J135" s="4" t="n"/>
      <c r="K135" s="4" t="n">
        <v>258.4</v>
      </c>
      <c r="L135" s="19" t="n">
        <v>44927</v>
      </c>
      <c r="M135" s="4" t="n">
        <v>0</v>
      </c>
      <c r="N135" s="4" t="n"/>
      <c r="O135" s="4" t="inlineStr">
        <is>
          <t>-</t>
        </is>
      </c>
      <c r="P135" s="4" t="n">
        <v>1</v>
      </c>
      <c r="Q135" s="6" t="inlineStr">
        <is>
          <t>TIMT</t>
        </is>
      </c>
    </row>
    <row r="136">
      <c r="A136" s="5" t="n">
        <v>280</v>
      </c>
      <c r="B136" s="4" t="inlineStr">
        <is>
          <t>MB1400GF</t>
        </is>
      </c>
      <c r="C136" s="4" t="inlineStr">
        <is>
          <t>Tömning Markbehållare 1.4 m³, glas färgat. Tjänsttaxa</t>
        </is>
      </c>
      <c r="D136" s="4" t="inlineStr">
        <is>
          <t>RENH</t>
        </is>
      </c>
      <c r="E136" s="4" t="inlineStr">
        <is>
          <t>ÅVS</t>
        </is>
      </c>
      <c r="F136" s="4" t="n">
        <v>1</v>
      </c>
      <c r="G136" s="4" t="inlineStr">
        <is>
          <t>ÅRKV</t>
        </is>
      </c>
      <c r="H136" s="4" t="inlineStr">
        <is>
          <t>Tömning Markbehållare 1.4 m³, glas färgat.</t>
        </is>
      </c>
      <c r="I136" s="4" t="n"/>
      <c r="J136" s="4" t="n"/>
      <c r="K136" s="4" t="n">
        <v>0</v>
      </c>
      <c r="L136" s="19" t="n">
        <v>45292</v>
      </c>
      <c r="M136" s="4" t="n">
        <v>0</v>
      </c>
      <c r="N136" s="4" t="n"/>
      <c r="O136" s="4" t="inlineStr">
        <is>
          <t>-</t>
        </is>
      </c>
      <c r="P136" s="4" t="n">
        <v>1</v>
      </c>
      <c r="Q136" s="6" t="inlineStr">
        <is>
          <t>0</t>
        </is>
      </c>
    </row>
    <row r="137">
      <c r="A137" s="5" t="n">
        <v>272</v>
      </c>
      <c r="B137" s="4" t="inlineStr">
        <is>
          <t>MB1400GFTÖM</t>
        </is>
      </c>
      <c r="C137" s="4" t="inlineStr">
        <is>
          <t>Tömning Markbehållare 1.4 m³, glas färgat.</t>
        </is>
      </c>
      <c r="D137" s="4" t="inlineStr">
        <is>
          <t>RENH</t>
        </is>
      </c>
      <c r="E137" s="4" t="inlineStr">
        <is>
          <t>ÅVS</t>
        </is>
      </c>
      <c r="F137" s="4" t="n">
        <v>1</v>
      </c>
      <c r="G137" s="4" t="inlineStr">
        <is>
          <t>KVAN</t>
        </is>
      </c>
      <c r="H137" s="4" t="inlineStr">
        <is>
          <t>Tömning Markbehållare 1.4 m³, glas färgat.</t>
        </is>
      </c>
      <c r="I137" s="4" t="n"/>
      <c r="J137" s="4" t="n"/>
      <c r="K137" s="4" t="n">
        <v>0</v>
      </c>
      <c r="L137" s="19" t="n">
        <v>45292</v>
      </c>
      <c r="M137" s="4" t="n">
        <v>0</v>
      </c>
      <c r="N137" s="4" t="n"/>
      <c r="O137" s="4" t="inlineStr">
        <is>
          <t>-</t>
        </is>
      </c>
      <c r="P137" s="4" t="n">
        <v>1</v>
      </c>
      <c r="Q137" s="6" t="inlineStr">
        <is>
          <t>ANTL</t>
        </is>
      </c>
    </row>
    <row r="138">
      <c r="A138" s="5" t="n">
        <v>281</v>
      </c>
      <c r="B138" s="4" t="inlineStr">
        <is>
          <t>MB1400GO</t>
        </is>
      </c>
      <c r="C138" s="4" t="inlineStr">
        <is>
          <t>Tömning Markbehållare 1.4 m³, glas ofärgat. Tjänsttaxa</t>
        </is>
      </c>
      <c r="D138" s="4" t="inlineStr">
        <is>
          <t>RENH</t>
        </is>
      </c>
      <c r="E138" s="4" t="inlineStr">
        <is>
          <t>ÅVS</t>
        </is>
      </c>
      <c r="F138" s="4" t="n">
        <v>1</v>
      </c>
      <c r="G138" s="4" t="inlineStr">
        <is>
          <t>ÅRKV</t>
        </is>
      </c>
      <c r="H138" s="4" t="inlineStr">
        <is>
          <t>Tömning Markbehållare 1.4 m³, glas ofärgat.</t>
        </is>
      </c>
      <c r="I138" s="4" t="n"/>
      <c r="J138" s="4" t="n"/>
      <c r="K138" s="4" t="n">
        <v>0</v>
      </c>
      <c r="L138" s="19" t="n">
        <v>45292</v>
      </c>
      <c r="M138" s="4" t="n">
        <v>0</v>
      </c>
      <c r="N138" s="4" t="n"/>
      <c r="O138" s="4" t="inlineStr">
        <is>
          <t>-</t>
        </is>
      </c>
      <c r="P138" s="4" t="n">
        <v>1</v>
      </c>
      <c r="Q138" s="6" t="inlineStr">
        <is>
          <t>0</t>
        </is>
      </c>
    </row>
    <row r="139">
      <c r="A139" s="5" t="n">
        <v>273</v>
      </c>
      <c r="B139" s="4" t="inlineStr">
        <is>
          <t>MB1400GOTÖM</t>
        </is>
      </c>
      <c r="C139" s="4" t="inlineStr">
        <is>
          <t>Tömning Markbehållare 1.4 m³, glas ofärgat.</t>
        </is>
      </c>
      <c r="D139" s="4" t="inlineStr">
        <is>
          <t>RENH</t>
        </is>
      </c>
      <c r="E139" s="4" t="inlineStr">
        <is>
          <t>ÅVS</t>
        </is>
      </c>
      <c r="F139" s="4" t="n">
        <v>1</v>
      </c>
      <c r="G139" s="4" t="inlineStr">
        <is>
          <t>KVAN</t>
        </is>
      </c>
      <c r="H139" s="4" t="inlineStr">
        <is>
          <t>TTömning Markbehållare 1.4 m³, glas ofärgat.</t>
        </is>
      </c>
      <c r="I139" s="4" t="n"/>
      <c r="J139" s="4" t="n"/>
      <c r="K139" s="4" t="n">
        <v>0</v>
      </c>
      <c r="L139" s="19" t="n">
        <v>45292</v>
      </c>
      <c r="M139" s="4" t="n">
        <v>0</v>
      </c>
      <c r="N139" s="4" t="n"/>
      <c r="O139" s="4" t="inlineStr">
        <is>
          <t>-</t>
        </is>
      </c>
      <c r="P139" s="4" t="n">
        <v>1</v>
      </c>
      <c r="Q139" s="6" t="inlineStr">
        <is>
          <t>ANTL</t>
        </is>
      </c>
    </row>
    <row r="140">
      <c r="A140" s="5" t="n">
        <v>279</v>
      </c>
      <c r="B140" s="4" t="inlineStr">
        <is>
          <t>MB1400MA</t>
        </is>
      </c>
      <c r="C140" s="4" t="inlineStr">
        <is>
          <t>Tömning Markbehållare 1.4 m³, matavfall. Tjänsttaxa</t>
        </is>
      </c>
      <c r="D140" s="4" t="inlineStr">
        <is>
          <t>RENH</t>
        </is>
      </c>
      <c r="E140" s="4" t="inlineStr">
        <is>
          <t>ÅVS</t>
        </is>
      </c>
      <c r="F140" s="4" t="n">
        <v>1</v>
      </c>
      <c r="G140" s="4" t="inlineStr">
        <is>
          <t>ÅRKV</t>
        </is>
      </c>
      <c r="H140" s="4" t="inlineStr">
        <is>
          <t>Tömning Markbehållare 1.4 m³, matavfall.</t>
        </is>
      </c>
      <c r="I140" s="4" t="n"/>
      <c r="J140" s="4" t="n"/>
      <c r="K140" s="4" t="n">
        <v>0</v>
      </c>
      <c r="L140" s="19" t="n">
        <v>45292</v>
      </c>
      <c r="M140" s="4" t="n">
        <v>0</v>
      </c>
      <c r="N140" s="4" t="n"/>
      <c r="O140" s="4" t="inlineStr">
        <is>
          <t>-</t>
        </is>
      </c>
      <c r="P140" s="4" t="n">
        <v>1</v>
      </c>
      <c r="Q140" s="6" t="inlineStr">
        <is>
          <t>0</t>
        </is>
      </c>
    </row>
    <row r="141">
      <c r="A141" s="5" t="n">
        <v>271</v>
      </c>
      <c r="B141" s="4" t="inlineStr">
        <is>
          <t>MB1400MATÖM</t>
        </is>
      </c>
      <c r="C141" s="4" t="inlineStr">
        <is>
          <t>Tömning Markbehållare 1.4 m³, matavfall</t>
        </is>
      </c>
      <c r="D141" s="4" t="inlineStr">
        <is>
          <t>RENH</t>
        </is>
      </c>
      <c r="E141" s="4" t="inlineStr">
        <is>
          <t>ÅVS</t>
        </is>
      </c>
      <c r="F141" s="4" t="n">
        <v>1</v>
      </c>
      <c r="G141" s="4" t="inlineStr">
        <is>
          <t>KVAN</t>
        </is>
      </c>
      <c r="H141" s="4" t="inlineStr">
        <is>
          <t>Tömning Markbehållare 1.4 m³, matavfall</t>
        </is>
      </c>
      <c r="I141" s="4" t="n"/>
      <c r="J141" s="4" t="n"/>
      <c r="K141" s="4" t="n">
        <v>0</v>
      </c>
      <c r="L141" s="19" t="n">
        <v>45292</v>
      </c>
      <c r="M141" s="4" t="n">
        <v>0</v>
      </c>
      <c r="N141" s="4" t="n"/>
      <c r="O141" s="4" t="inlineStr">
        <is>
          <t>-</t>
        </is>
      </c>
      <c r="P141" s="4" t="n">
        <v>1</v>
      </c>
      <c r="Q141" s="6" t="inlineStr">
        <is>
          <t>ANTL</t>
        </is>
      </c>
    </row>
    <row r="142">
      <c r="A142" s="5" t="n">
        <v>282</v>
      </c>
      <c r="B142" s="4" t="inlineStr">
        <is>
          <t>MB1400ME</t>
        </is>
      </c>
      <c r="C142" s="4" t="inlineStr">
        <is>
          <t>Tömning Markbehållare 1.4 m³, metallförpackningar. Tjänsttaxa</t>
        </is>
      </c>
      <c r="D142" s="4" t="inlineStr">
        <is>
          <t>RENH</t>
        </is>
      </c>
      <c r="E142" s="4" t="inlineStr">
        <is>
          <t>ÅVS</t>
        </is>
      </c>
      <c r="F142" s="4" t="n">
        <v>1</v>
      </c>
      <c r="G142" s="4" t="inlineStr">
        <is>
          <t>ÅRKV</t>
        </is>
      </c>
      <c r="H142" s="4" t="inlineStr">
        <is>
          <t>Tömning Markbehållare 1.4 m³, metallförpackningar.</t>
        </is>
      </c>
      <c r="I142" s="4" t="n"/>
      <c r="J142" s="4" t="n"/>
      <c r="K142" s="4" t="n">
        <v>0</v>
      </c>
      <c r="L142" s="19" t="n">
        <v>45292</v>
      </c>
      <c r="M142" s="4" t="n">
        <v>0</v>
      </c>
      <c r="N142" s="4" t="n"/>
      <c r="O142" s="4" t="inlineStr">
        <is>
          <t>-</t>
        </is>
      </c>
      <c r="P142" s="4" t="n">
        <v>1</v>
      </c>
      <c r="Q142" s="6" t="inlineStr">
        <is>
          <t>0</t>
        </is>
      </c>
    </row>
    <row r="143">
      <c r="A143" s="5" t="n">
        <v>274</v>
      </c>
      <c r="B143" s="4" t="inlineStr">
        <is>
          <t>MB1400METÖM</t>
        </is>
      </c>
      <c r="C143" s="4" t="inlineStr">
        <is>
          <t>Tömning Markbehållare 1.4 m³, metallförpackningar.</t>
        </is>
      </c>
      <c r="D143" s="4" t="inlineStr">
        <is>
          <t>RENH</t>
        </is>
      </c>
      <c r="E143" s="4" t="inlineStr">
        <is>
          <t>ÅVS</t>
        </is>
      </c>
      <c r="F143" s="4" t="n">
        <v>1</v>
      </c>
      <c r="G143" s="4" t="inlineStr">
        <is>
          <t>KVAN</t>
        </is>
      </c>
      <c r="H143" s="4" t="inlineStr">
        <is>
          <t>Tömning Markbehållare 1.4 m³, metallförpackningar.</t>
        </is>
      </c>
      <c r="I143" s="4" t="n"/>
      <c r="J143" s="4" t="n"/>
      <c r="K143" s="4" t="n">
        <v>0</v>
      </c>
      <c r="L143" s="19" t="n">
        <v>45292</v>
      </c>
      <c r="M143" s="4" t="n">
        <v>0</v>
      </c>
      <c r="N143" s="4" t="n"/>
      <c r="O143" s="4" t="inlineStr">
        <is>
          <t>-</t>
        </is>
      </c>
      <c r="P143" s="4" t="n">
        <v>1</v>
      </c>
      <c r="Q143" s="6" t="inlineStr">
        <is>
          <t>ANTL</t>
        </is>
      </c>
    </row>
    <row r="144">
      <c r="A144" s="5" t="n">
        <v>283</v>
      </c>
      <c r="B144" s="4" t="inlineStr">
        <is>
          <t>MB1400TI</t>
        </is>
      </c>
      <c r="C144" s="4" t="inlineStr">
        <is>
          <t>Tömning Markbehållare 1.4 m³, tidningar. Tjänsttaxa</t>
        </is>
      </c>
      <c r="D144" s="4" t="inlineStr">
        <is>
          <t>RENH</t>
        </is>
      </c>
      <c r="E144" s="4" t="inlineStr">
        <is>
          <t>ÅVS</t>
        </is>
      </c>
      <c r="F144" s="4" t="n">
        <v>1</v>
      </c>
      <c r="G144" s="4" t="inlineStr">
        <is>
          <t>ÅRKV</t>
        </is>
      </c>
      <c r="H144" s="4" t="inlineStr">
        <is>
          <t>Tömning Markbehållare 1.4 m³, tidningar.</t>
        </is>
      </c>
      <c r="I144" s="4" t="n"/>
      <c r="J144" s="4" t="n"/>
      <c r="K144" s="4" t="n">
        <v>0</v>
      </c>
      <c r="L144" s="19" t="n">
        <v>45292</v>
      </c>
      <c r="M144" s="4" t="n">
        <v>0</v>
      </c>
      <c r="N144" s="4" t="n"/>
      <c r="O144" s="4" t="inlineStr">
        <is>
          <t>-</t>
        </is>
      </c>
      <c r="P144" s="4" t="n">
        <v>1</v>
      </c>
      <c r="Q144" s="6" t="inlineStr">
        <is>
          <t>0</t>
        </is>
      </c>
    </row>
    <row r="145">
      <c r="A145" s="5" t="n">
        <v>275</v>
      </c>
      <c r="B145" s="4" t="inlineStr">
        <is>
          <t>MB1400TITÖM</t>
        </is>
      </c>
      <c r="C145" s="4" t="inlineStr">
        <is>
          <t>Tömning Markbehållare 1.4 m³, tidningar.</t>
        </is>
      </c>
      <c r="D145" s="4" t="inlineStr">
        <is>
          <t>RENH</t>
        </is>
      </c>
      <c r="E145" s="4" t="inlineStr">
        <is>
          <t>ÅVS</t>
        </is>
      </c>
      <c r="F145" s="4" t="n">
        <v>1</v>
      </c>
      <c r="G145" s="4" t="inlineStr">
        <is>
          <t>KVAN</t>
        </is>
      </c>
      <c r="H145" s="4" t="inlineStr">
        <is>
          <t>Tömning Markbehållare 1.4 m³, tidningar.</t>
        </is>
      </c>
      <c r="I145" s="4" t="n"/>
      <c r="J145" s="4" t="n"/>
      <c r="K145" s="4" t="n">
        <v>0</v>
      </c>
      <c r="L145" s="19" t="n">
        <v>45292</v>
      </c>
      <c r="M145" s="4" t="n">
        <v>0</v>
      </c>
      <c r="N145" s="4" t="n"/>
      <c r="O145" s="4" t="inlineStr">
        <is>
          <t>-</t>
        </is>
      </c>
      <c r="P145" s="4" t="n">
        <v>1</v>
      </c>
      <c r="Q145" s="6" t="inlineStr">
        <is>
          <t>ANTL</t>
        </is>
      </c>
    </row>
    <row r="146">
      <c r="A146" s="5" t="n">
        <v>270</v>
      </c>
      <c r="B146" s="4" t="inlineStr">
        <is>
          <t>MB1400TÖM</t>
        </is>
      </c>
      <c r="C146" s="4" t="inlineStr">
        <is>
          <t>Tömning Markbehållare 1.4 m³, matavfall</t>
        </is>
      </c>
      <c r="D146" s="4" t="inlineStr">
        <is>
          <t>RENH</t>
        </is>
      </c>
      <c r="E146" s="4" t="inlineStr">
        <is>
          <t>ÅVS</t>
        </is>
      </c>
      <c r="F146" s="4" t="n">
        <v>1</v>
      </c>
      <c r="G146" s="4" t="inlineStr">
        <is>
          <t>KVAN</t>
        </is>
      </c>
      <c r="H146" s="4" t="inlineStr">
        <is>
          <t>Tömning Markbehållare 1.4 m³, matavfall</t>
        </is>
      </c>
      <c r="I146" s="4" t="n"/>
      <c r="J146" s="4" t="n"/>
      <c r="K146" s="4" t="n">
        <v>0</v>
      </c>
      <c r="L146" s="19" t="n">
        <v>45292</v>
      </c>
      <c r="M146" s="4" t="n">
        <v>0</v>
      </c>
      <c r="N146" s="4" t="n"/>
      <c r="O146" s="4" t="inlineStr">
        <is>
          <t>-</t>
        </is>
      </c>
      <c r="P146" s="4" t="n">
        <v>1</v>
      </c>
      <c r="Q146" s="6" t="inlineStr">
        <is>
          <t>ANTL</t>
        </is>
      </c>
    </row>
    <row r="147">
      <c r="A147" s="5" t="n">
        <v>286</v>
      </c>
      <c r="B147" s="4" t="inlineStr">
        <is>
          <t>MB2600PA</t>
        </is>
      </c>
      <c r="C147" s="4" t="inlineStr">
        <is>
          <t>Tömning Markbehållare 2,6 m³, pappersförpackningar. Tjänsttaxa</t>
        </is>
      </c>
      <c r="D147" s="4" t="inlineStr">
        <is>
          <t>RENH</t>
        </is>
      </c>
      <c r="E147" s="4" t="inlineStr">
        <is>
          <t>ÅVS</t>
        </is>
      </c>
      <c r="F147" s="4" t="n">
        <v>1</v>
      </c>
      <c r="G147" s="4" t="inlineStr">
        <is>
          <t>ÅRKV</t>
        </is>
      </c>
      <c r="H147" s="4" t="inlineStr">
        <is>
          <t>Tömning Markbehållare 2,6 m³, pappersförpackningar.</t>
        </is>
      </c>
      <c r="I147" s="4" t="n"/>
      <c r="J147" s="4" t="n"/>
      <c r="K147" s="4" t="n">
        <v>0</v>
      </c>
      <c r="L147" s="19" t="n">
        <v>45292</v>
      </c>
      <c r="M147" s="4" t="n">
        <v>0</v>
      </c>
      <c r="N147" s="4" t="n"/>
      <c r="O147" s="4" t="inlineStr">
        <is>
          <t>-</t>
        </is>
      </c>
      <c r="P147" s="4" t="n">
        <v>1</v>
      </c>
      <c r="Q147" s="6" t="inlineStr">
        <is>
          <t>0</t>
        </is>
      </c>
    </row>
    <row r="148">
      <c r="A148" s="5" t="n">
        <v>278</v>
      </c>
      <c r="B148" s="4" t="inlineStr">
        <is>
          <t>MB2600PATÖM</t>
        </is>
      </c>
      <c r="C148" s="4" t="inlineStr">
        <is>
          <t>Tömning Markbehållare 2,6 m³, pappersförpackningar.</t>
        </is>
      </c>
      <c r="D148" s="4" t="inlineStr">
        <is>
          <t>RENH</t>
        </is>
      </c>
      <c r="E148" s="4" t="inlineStr">
        <is>
          <t>ÅVS</t>
        </is>
      </c>
      <c r="F148" s="4" t="n">
        <v>1</v>
      </c>
      <c r="G148" s="4" t="inlineStr">
        <is>
          <t>KVAN</t>
        </is>
      </c>
      <c r="H148" s="4" t="inlineStr">
        <is>
          <t>Tömning Markbehållare 2,6 m³, pappersförpackningar.</t>
        </is>
      </c>
      <c r="I148" s="4" t="n"/>
      <c r="J148" s="4" t="n"/>
      <c r="K148" s="4" t="n">
        <v>0</v>
      </c>
      <c r="L148" s="19" t="n">
        <v>45292</v>
      </c>
      <c r="M148" s="4" t="n">
        <v>0</v>
      </c>
      <c r="N148" s="4" t="n"/>
      <c r="O148" s="4" t="inlineStr">
        <is>
          <t>-</t>
        </is>
      </c>
      <c r="P148" s="4" t="n">
        <v>1</v>
      </c>
      <c r="Q148" s="6" t="inlineStr">
        <is>
          <t>ANTL</t>
        </is>
      </c>
    </row>
    <row r="149">
      <c r="A149" s="5" t="n">
        <v>284</v>
      </c>
      <c r="B149" s="4" t="inlineStr">
        <is>
          <t>MB2600PL</t>
        </is>
      </c>
      <c r="C149" s="4" t="inlineStr">
        <is>
          <t>Tömning Markbehållare 2,6 m³, plastförpackning. Tjänsttaxa</t>
        </is>
      </c>
      <c r="D149" s="4" t="inlineStr">
        <is>
          <t>RENH</t>
        </is>
      </c>
      <c r="E149" s="4" t="inlineStr">
        <is>
          <t>ÅVS</t>
        </is>
      </c>
      <c r="F149" s="4" t="n">
        <v>1</v>
      </c>
      <c r="G149" s="4" t="inlineStr">
        <is>
          <t>ÅRKV</t>
        </is>
      </c>
      <c r="H149" s="4" t="inlineStr">
        <is>
          <t>Tömning Markbehållare 2,6 m³, plastförpackning.</t>
        </is>
      </c>
      <c r="I149" s="4" t="n"/>
      <c r="J149" s="4" t="n"/>
      <c r="K149" s="4" t="n">
        <v>0</v>
      </c>
      <c r="L149" s="19" t="n">
        <v>45292</v>
      </c>
      <c r="M149" s="4" t="n">
        <v>0</v>
      </c>
      <c r="N149" s="4" t="n"/>
      <c r="O149" s="4" t="inlineStr">
        <is>
          <t>-</t>
        </is>
      </c>
      <c r="P149" s="4" t="n">
        <v>1</v>
      </c>
      <c r="Q149" s="6" t="inlineStr">
        <is>
          <t>0</t>
        </is>
      </c>
    </row>
    <row r="150">
      <c r="A150" s="5" t="n">
        <v>276</v>
      </c>
      <c r="B150" s="4" t="inlineStr">
        <is>
          <t>MB2600PLTÖM</t>
        </is>
      </c>
      <c r="C150" s="4" t="inlineStr">
        <is>
          <t>Tömning Markbehållare 2,6 m³, plastförpackning.</t>
        </is>
      </c>
      <c r="D150" s="4" t="inlineStr">
        <is>
          <t>RENH</t>
        </is>
      </c>
      <c r="E150" s="4" t="inlineStr">
        <is>
          <t>ÅVS</t>
        </is>
      </c>
      <c r="F150" s="4" t="n">
        <v>1</v>
      </c>
      <c r="G150" s="4" t="inlineStr">
        <is>
          <t>KVAN</t>
        </is>
      </c>
      <c r="H150" s="4" t="inlineStr">
        <is>
          <t>Tömning Markbehållare 2,6 m³, plastförpackning.</t>
        </is>
      </c>
      <c r="I150" s="4" t="n"/>
      <c r="J150" s="4" t="n"/>
      <c r="K150" s="4" t="n">
        <v>0</v>
      </c>
      <c r="L150" s="19" t="n">
        <v>45292</v>
      </c>
      <c r="M150" s="4" t="n">
        <v>0</v>
      </c>
      <c r="N150" s="4" t="n"/>
      <c r="O150" s="4" t="inlineStr">
        <is>
          <t>-</t>
        </is>
      </c>
      <c r="P150" s="4" t="n">
        <v>1</v>
      </c>
      <c r="Q150" s="6" t="inlineStr">
        <is>
          <t>ANTL</t>
        </is>
      </c>
    </row>
    <row r="151">
      <c r="A151" s="5" t="n">
        <v>285</v>
      </c>
      <c r="B151" s="4" t="inlineStr">
        <is>
          <t>MB2600RE</t>
        </is>
      </c>
      <c r="C151" s="4" t="inlineStr">
        <is>
          <t>Tömning Markbehållare 2,6 m³, restavfall. Tjänsttaxa</t>
        </is>
      </c>
      <c r="D151" s="4" t="inlineStr">
        <is>
          <t>RENH</t>
        </is>
      </c>
      <c r="E151" s="4" t="inlineStr">
        <is>
          <t>ÅVS</t>
        </is>
      </c>
      <c r="F151" s="4" t="n">
        <v>1</v>
      </c>
      <c r="G151" s="4" t="inlineStr">
        <is>
          <t>ÅRKV</t>
        </is>
      </c>
      <c r="H151" s="4" t="inlineStr">
        <is>
          <t>Tömning Markbehållare 2,6 m³, restavfall.</t>
        </is>
      </c>
      <c r="I151" s="4" t="n"/>
      <c r="J151" s="4" t="n"/>
      <c r="K151" s="4" t="n">
        <v>0</v>
      </c>
      <c r="L151" s="19" t="n">
        <v>45292</v>
      </c>
      <c r="M151" s="4" t="n">
        <v>0</v>
      </c>
      <c r="N151" s="4" t="n"/>
      <c r="O151" s="4" t="inlineStr">
        <is>
          <t>-</t>
        </is>
      </c>
      <c r="P151" s="4" t="n">
        <v>1</v>
      </c>
      <c r="Q151" s="6" t="inlineStr">
        <is>
          <t>0</t>
        </is>
      </c>
    </row>
    <row r="152">
      <c r="A152" s="5" t="n">
        <v>277</v>
      </c>
      <c r="B152" s="4" t="inlineStr">
        <is>
          <t>MB2600RETÖM</t>
        </is>
      </c>
      <c r="C152" s="4" t="inlineStr">
        <is>
          <t>Tömning Markbehållare 2,6 m³, restavfall.</t>
        </is>
      </c>
      <c r="D152" s="4" t="inlineStr">
        <is>
          <t>RENH</t>
        </is>
      </c>
      <c r="E152" s="4" t="inlineStr">
        <is>
          <t>ÅVS</t>
        </is>
      </c>
      <c r="F152" s="4" t="n">
        <v>1</v>
      </c>
      <c r="G152" s="4" t="inlineStr">
        <is>
          <t>KVAN</t>
        </is>
      </c>
      <c r="H152" s="4" t="inlineStr">
        <is>
          <t>Tömning Markbehållare 2,6 m³, restavfall.</t>
        </is>
      </c>
      <c r="I152" s="4" t="n"/>
      <c r="J152" s="4" t="n"/>
      <c r="K152" s="4" t="n">
        <v>0</v>
      </c>
      <c r="L152" s="19" t="n">
        <v>45292</v>
      </c>
      <c r="M152" s="4" t="n">
        <v>0</v>
      </c>
      <c r="N152" s="4" t="n"/>
      <c r="O152" s="4" t="inlineStr">
        <is>
          <t>-</t>
        </is>
      </c>
      <c r="P152" s="4" t="n">
        <v>1</v>
      </c>
      <c r="Q152" s="6" t="inlineStr">
        <is>
          <t>ANTL</t>
        </is>
      </c>
    </row>
    <row r="153">
      <c r="A153" s="5" t="n">
        <v>203</v>
      </c>
      <c r="B153" s="4" t="inlineStr">
        <is>
          <t>MBSPRINTER</t>
        </is>
      </c>
      <c r="C153" s="4" t="inlineStr">
        <is>
          <t>MB Sprinter- externa tjänster</t>
        </is>
      </c>
      <c r="D153" s="4" t="inlineStr">
        <is>
          <t>RENH</t>
        </is>
      </c>
      <c r="E153" s="4" t="inlineStr">
        <is>
          <t>EXT</t>
        </is>
      </c>
      <c r="F153" s="4" t="n">
        <v>1</v>
      </c>
      <c r="G153" s="4" t="inlineStr">
        <is>
          <t>KVAN</t>
        </is>
      </c>
      <c r="H153" s="4" t="inlineStr">
        <is>
          <t>MB Sprinter</t>
        </is>
      </c>
      <c r="I153" s="4" t="n"/>
      <c r="J153" s="4" t="n"/>
      <c r="K153" s="4" t="n">
        <v>160</v>
      </c>
      <c r="L153" s="19" t="n">
        <v>44927</v>
      </c>
      <c r="M153" s="4" t="n">
        <v>0</v>
      </c>
      <c r="N153" s="4" t="n"/>
      <c r="O153" s="4" t="inlineStr">
        <is>
          <t>-</t>
        </is>
      </c>
      <c r="P153" s="4" t="n">
        <v>1</v>
      </c>
      <c r="Q153" s="6" t="inlineStr">
        <is>
          <t>TIMT</t>
        </is>
      </c>
    </row>
    <row r="154">
      <c r="A154" s="5" t="n">
        <v>173</v>
      </c>
      <c r="B154" s="4" t="inlineStr">
        <is>
          <t>METALLSKROT</t>
        </is>
      </c>
      <c r="C154" s="4" t="inlineStr">
        <is>
          <t>Metallskrot- rent</t>
        </is>
      </c>
      <c r="D154" s="4" t="inlineStr">
        <is>
          <t>RENH</t>
        </is>
      </c>
      <c r="E154" s="4" t="inlineStr">
        <is>
          <t>BYGG</t>
        </is>
      </c>
      <c r="F154" s="4" t="n">
        <v>1</v>
      </c>
      <c r="G154" s="4" t="inlineStr">
        <is>
          <t>KVAN</t>
        </is>
      </c>
      <c r="H154" s="4" t="inlineStr">
        <is>
          <t>Metallskrot- rent</t>
        </is>
      </c>
      <c r="I154" s="4" t="n"/>
      <c r="J154" s="4" t="n"/>
      <c r="K154" s="4" t="n">
        <v>0</v>
      </c>
      <c r="L154" s="19" t="n">
        <v>45200</v>
      </c>
      <c r="M154" s="4" t="n">
        <v>0</v>
      </c>
      <c r="N154" s="4" t="n"/>
      <c r="O154" s="4" t="inlineStr">
        <is>
          <t>-</t>
        </is>
      </c>
      <c r="P154" s="4" t="n">
        <v>1</v>
      </c>
      <c r="Q154" s="6" t="inlineStr">
        <is>
          <t>VITO</t>
        </is>
      </c>
    </row>
    <row r="155">
      <c r="A155" s="5" t="n">
        <v>53</v>
      </c>
      <c r="B155" s="4" t="inlineStr">
        <is>
          <t>MF1</t>
        </is>
      </c>
      <c r="C155" s="4" t="inlineStr">
        <is>
          <t>Miljöfarligt avfall nivå , små/medel företag</t>
        </is>
      </c>
      <c r="D155" s="4" t="inlineStr">
        <is>
          <t>RENH</t>
        </is>
      </c>
      <c r="E155" s="4" t="inlineStr">
        <is>
          <t>HUSH</t>
        </is>
      </c>
      <c r="F155" s="4" t="n">
        <v>1</v>
      </c>
      <c r="G155" s="4" t="inlineStr">
        <is>
          <t>ÅRPR</t>
        </is>
      </c>
      <c r="H155" s="4" t="inlineStr">
        <is>
          <t>Miljöfarligt avfall nivå 1</t>
        </is>
      </c>
      <c r="I155" s="4" t="n"/>
      <c r="J155" s="4" t="n"/>
      <c r="K155" s="4" t="n">
        <v>4500</v>
      </c>
      <c r="L155" s="19" t="n">
        <v>45658</v>
      </c>
      <c r="M155" s="4" t="n">
        <v>0</v>
      </c>
      <c r="N155" s="4" t="n"/>
      <c r="O155" s="4" t="inlineStr">
        <is>
          <t>-</t>
        </is>
      </c>
      <c r="P155" s="4" t="n">
        <v>1</v>
      </c>
      <c r="Q155" s="6" t="n"/>
    </row>
    <row r="156">
      <c r="A156" s="5" t="n">
        <v>54</v>
      </c>
      <c r="B156" s="4" t="inlineStr">
        <is>
          <t>MF2</t>
        </is>
      </c>
      <c r="C156" s="4" t="inlineStr">
        <is>
          <t>Miljöfarligt avfall nivå 2, större företag</t>
        </is>
      </c>
      <c r="D156" s="4" t="inlineStr">
        <is>
          <t>RENH</t>
        </is>
      </c>
      <c r="E156" s="4" t="inlineStr">
        <is>
          <t>HUSH</t>
        </is>
      </c>
      <c r="F156" s="4" t="n">
        <v>1</v>
      </c>
      <c r="G156" s="4" t="inlineStr">
        <is>
          <t>ÅRPR</t>
        </is>
      </c>
      <c r="H156" s="4" t="inlineStr">
        <is>
          <t>Miljöfarligt avfall nivå 2</t>
        </is>
      </c>
      <c r="I156" s="4" t="n"/>
      <c r="J156" s="4" t="n"/>
      <c r="K156" s="4" t="n">
        <v>9000</v>
      </c>
      <c r="L156" s="19" t="n">
        <v>45658</v>
      </c>
      <c r="M156" s="4" t="n">
        <v>0</v>
      </c>
      <c r="N156" s="4" t="n"/>
      <c r="O156" s="4" t="inlineStr">
        <is>
          <t>-</t>
        </is>
      </c>
      <c r="P156" s="4" t="n">
        <v>1</v>
      </c>
      <c r="Q156" s="6" t="n"/>
    </row>
    <row r="157">
      <c r="A157" s="5" t="n">
        <v>124</v>
      </c>
      <c r="B157" s="4" t="inlineStr">
        <is>
          <t>MRV03SLBUD</t>
        </is>
      </c>
      <c r="C157" s="4" t="inlineStr">
        <is>
          <t>Minireningsverk 0-3 m³, slam. Budning</t>
        </is>
      </c>
      <c r="D157" s="4" t="inlineStr">
        <is>
          <t>RENH</t>
        </is>
      </c>
      <c r="E157" s="4" t="inlineStr">
        <is>
          <t>SLAM</t>
        </is>
      </c>
      <c r="F157" s="4" t="n">
        <v>1</v>
      </c>
      <c r="G157" s="4" t="inlineStr">
        <is>
          <t>ÅRKV</t>
        </is>
      </c>
      <c r="H157" s="4" t="inlineStr">
        <is>
          <t>Minireningsverk 0-3 m³, slam. Budning</t>
        </is>
      </c>
      <c r="I157" s="4" t="n"/>
      <c r="J157" s="4" t="n"/>
      <c r="K157" s="4" t="n">
        <v>0</v>
      </c>
      <c r="L157" s="19" t="n">
        <v>44927</v>
      </c>
      <c r="M157" s="4" t="n">
        <v>0</v>
      </c>
      <c r="N157" s="4" t="n"/>
      <c r="O157" s="4" t="inlineStr">
        <is>
          <t>-</t>
        </is>
      </c>
      <c r="P157" s="4" t="n">
        <v>1</v>
      </c>
      <c r="Q157" s="6" t="inlineStr">
        <is>
          <t>ANTB</t>
        </is>
      </c>
    </row>
    <row r="158">
      <c r="A158" s="5" t="n">
        <v>139</v>
      </c>
      <c r="B158" s="4" t="inlineStr">
        <is>
          <t>MRV03SLORD</t>
        </is>
      </c>
      <c r="C158" s="4" t="inlineStr">
        <is>
          <t>Minireningsverk 0-3 m³, slam. Ordinarie tur</t>
        </is>
      </c>
      <c r="D158" s="4" t="inlineStr">
        <is>
          <t>RENH</t>
        </is>
      </c>
      <c r="E158" s="4" t="inlineStr">
        <is>
          <t>SLAM</t>
        </is>
      </c>
      <c r="F158" s="4" t="n">
        <v>1</v>
      </c>
      <c r="G158" s="4" t="inlineStr">
        <is>
          <t>ÅRKV</t>
        </is>
      </c>
      <c r="H158" s="4" t="inlineStr">
        <is>
          <t>Minireningsverk 0-3 m³, slam. Ordinarie tur</t>
        </is>
      </c>
      <c r="I158" s="4" t="n"/>
      <c r="J158" s="4" t="n"/>
      <c r="K158" s="4" t="n">
        <v>0</v>
      </c>
      <c r="L158" s="19" t="n">
        <v>44927</v>
      </c>
      <c r="M158" s="4" t="n">
        <v>0</v>
      </c>
      <c r="N158" s="4" t="n"/>
      <c r="O158" s="4" t="inlineStr">
        <is>
          <t>-</t>
        </is>
      </c>
      <c r="P158" s="4" t="n">
        <v>1</v>
      </c>
      <c r="Q158" s="6" t="inlineStr">
        <is>
          <t>ANTB</t>
        </is>
      </c>
    </row>
    <row r="159">
      <c r="A159" s="5" t="n">
        <v>125</v>
      </c>
      <c r="B159" s="4" t="inlineStr">
        <is>
          <t>MRV36SLBUD</t>
        </is>
      </c>
      <c r="C159" s="4" t="inlineStr">
        <is>
          <t>Minireningsverk 3,1-6 m³, slam. Budning</t>
        </is>
      </c>
      <c r="D159" s="4" t="inlineStr">
        <is>
          <t>RENH</t>
        </is>
      </c>
      <c r="E159" s="4" t="inlineStr">
        <is>
          <t>SLAM</t>
        </is>
      </c>
      <c r="F159" s="4" t="n">
        <v>1</v>
      </c>
      <c r="G159" s="4" t="inlineStr">
        <is>
          <t>ÅRKV</t>
        </is>
      </c>
      <c r="H159" s="4" t="inlineStr">
        <is>
          <t>Minireningsverk 3,1-6 m³, slam. Budning</t>
        </is>
      </c>
      <c r="I159" s="4" t="n"/>
      <c r="J159" s="4" t="n"/>
      <c r="K159" s="4" t="n">
        <v>0</v>
      </c>
      <c r="L159" s="19" t="n">
        <v>44927</v>
      </c>
      <c r="M159" s="4" t="n">
        <v>0</v>
      </c>
      <c r="N159" s="4" t="n"/>
      <c r="O159" s="4" t="inlineStr">
        <is>
          <t>-</t>
        </is>
      </c>
      <c r="P159" s="4" t="n">
        <v>1</v>
      </c>
      <c r="Q159" s="6" t="inlineStr">
        <is>
          <t>ANTB</t>
        </is>
      </c>
    </row>
    <row r="160">
      <c r="A160" s="5" t="n">
        <v>140</v>
      </c>
      <c r="B160" s="4" t="inlineStr">
        <is>
          <t>MRV36SLORD</t>
        </is>
      </c>
      <c r="C160" s="4" t="inlineStr">
        <is>
          <t>Minireningsverk 3,1-6 m³, slam. Ordinarie tur</t>
        </is>
      </c>
      <c r="D160" s="4" t="inlineStr">
        <is>
          <t>RENH</t>
        </is>
      </c>
      <c r="E160" s="4" t="inlineStr">
        <is>
          <t>SLAM</t>
        </is>
      </c>
      <c r="F160" s="4" t="n">
        <v>1</v>
      </c>
      <c r="G160" s="4" t="inlineStr">
        <is>
          <t>ÅRKV</t>
        </is>
      </c>
      <c r="H160" s="4" t="inlineStr">
        <is>
          <t>Minireningsverk 3,1-6 m³, slam. Ordinarie tur</t>
        </is>
      </c>
      <c r="I160" s="4" t="n"/>
      <c r="J160" s="4" t="n"/>
      <c r="K160" s="4" t="n">
        <v>0</v>
      </c>
      <c r="L160" s="19" t="n">
        <v>44927</v>
      </c>
      <c r="M160" s="4" t="n">
        <v>0</v>
      </c>
      <c r="N160" s="4" t="n"/>
      <c r="O160" s="4" t="inlineStr">
        <is>
          <t>-</t>
        </is>
      </c>
      <c r="P160" s="4" t="n">
        <v>1</v>
      </c>
      <c r="Q160" s="6" t="inlineStr">
        <is>
          <t>ANTB</t>
        </is>
      </c>
    </row>
    <row r="161">
      <c r="A161" s="5" t="n">
        <v>126</v>
      </c>
      <c r="B161" s="4" t="inlineStr">
        <is>
          <t>MRVÖ6SLBUD</t>
        </is>
      </c>
      <c r="C161" s="4" t="inlineStr">
        <is>
          <t>Minireningsverk över 6 m³, slam. Budning</t>
        </is>
      </c>
      <c r="D161" s="4" t="inlineStr">
        <is>
          <t>RENH</t>
        </is>
      </c>
      <c r="E161" s="4" t="inlineStr">
        <is>
          <t>SLAM</t>
        </is>
      </c>
      <c r="F161" s="4" t="n">
        <v>1</v>
      </c>
      <c r="G161" s="4" t="inlineStr">
        <is>
          <t>ÅRKV</t>
        </is>
      </c>
      <c r="H161" s="4" t="inlineStr">
        <is>
          <t>Minireningsverk över 6 m³, slam. Budning</t>
        </is>
      </c>
      <c r="I161" s="4" t="n"/>
      <c r="J161" s="4" t="n"/>
      <c r="K161" s="4" t="n">
        <v>0</v>
      </c>
      <c r="L161" s="19" t="n">
        <v>44927</v>
      </c>
      <c r="M161" s="4" t="n">
        <v>0</v>
      </c>
      <c r="N161" s="4" t="n"/>
      <c r="O161" s="4" t="inlineStr">
        <is>
          <t>-</t>
        </is>
      </c>
      <c r="P161" s="4" t="n">
        <v>1</v>
      </c>
      <c r="Q161" s="6" t="inlineStr">
        <is>
          <t>ANTB</t>
        </is>
      </c>
    </row>
    <row r="162">
      <c r="A162" s="5" t="n">
        <v>141</v>
      </c>
      <c r="B162" s="4" t="inlineStr">
        <is>
          <t>MRVÖ6SLORD</t>
        </is>
      </c>
      <c r="C162" s="4" t="inlineStr">
        <is>
          <t>Minireningsverk över 6 m³, slam. Ordinarie tur</t>
        </is>
      </c>
      <c r="D162" s="4" t="inlineStr">
        <is>
          <t>RENH</t>
        </is>
      </c>
      <c r="E162" s="4" t="inlineStr">
        <is>
          <t>SLAM</t>
        </is>
      </c>
      <c r="F162" s="4" t="n">
        <v>1</v>
      </c>
      <c r="G162" s="4" t="inlineStr">
        <is>
          <t>ÅRKV</t>
        </is>
      </c>
      <c r="H162" s="4" t="inlineStr">
        <is>
          <t>Minireningsverk över 6 m³, slam. Ordinarie tur</t>
        </is>
      </c>
      <c r="I162" s="4" t="n"/>
      <c r="J162" s="4" t="n"/>
      <c r="K162" s="4" t="n">
        <v>0</v>
      </c>
      <c r="L162" s="19" t="n">
        <v>44927</v>
      </c>
      <c r="M162" s="4" t="n">
        <v>0</v>
      </c>
      <c r="N162" s="4" t="n"/>
      <c r="O162" s="4" t="inlineStr">
        <is>
          <t>-</t>
        </is>
      </c>
      <c r="P162" s="4" t="n">
        <v>1</v>
      </c>
      <c r="Q162" s="6" t="inlineStr">
        <is>
          <t>ANTB</t>
        </is>
      </c>
    </row>
    <row r="163">
      <c r="A163" s="5" t="n">
        <v>261</v>
      </c>
      <c r="B163" s="4" t="inlineStr">
        <is>
          <t>NYRFID</t>
        </is>
      </c>
      <c r="C163" s="4" t="inlineStr">
        <is>
          <t>Mottagarantjänstför okänt RFID</t>
        </is>
      </c>
      <c r="D163" s="4" t="inlineStr">
        <is>
          <t>RENH</t>
        </is>
      </c>
      <c r="E163" s="4" t="inlineStr">
        <is>
          <t>HUSH</t>
        </is>
      </c>
      <c r="F163" s="4" t="n">
        <v>1</v>
      </c>
      <c r="G163" s="4" t="inlineStr">
        <is>
          <t>ÅRKV</t>
        </is>
      </c>
      <c r="H163" s="4" t="inlineStr">
        <is>
          <t>Tvåfackskärl , rest/matavfall.</t>
        </is>
      </c>
      <c r="I163" s="4" t="n"/>
      <c r="J163" s="4" t="n"/>
      <c r="K163" s="4" t="n"/>
      <c r="L163" s="19" t="n"/>
      <c r="M163" s="4" t="n">
        <v>0</v>
      </c>
      <c r="N163" s="4" t="n"/>
      <c r="O163" s="4" t="inlineStr">
        <is>
          <t>-</t>
        </is>
      </c>
      <c r="P163" s="4" t="n">
        <v>1</v>
      </c>
      <c r="Q163" s="6" t="inlineStr">
        <is>
          <t>0</t>
        </is>
      </c>
    </row>
    <row r="164">
      <c r="A164" s="5" t="n">
        <v>265</v>
      </c>
      <c r="B164" s="4" t="inlineStr">
        <is>
          <t>NYTJÄNST</t>
        </is>
      </c>
      <c r="C164" s="4" t="inlineStr">
        <is>
          <t>Dummytaxa, ny tjänst via ändringsorder</t>
        </is>
      </c>
      <c r="D164" s="4" t="inlineStr">
        <is>
          <t>RENH</t>
        </is>
      </c>
      <c r="E164" s="4" t="inlineStr">
        <is>
          <t>HUSH</t>
        </is>
      </c>
      <c r="F164" s="4" t="n">
        <v>1</v>
      </c>
      <c r="G164" s="4" t="inlineStr">
        <is>
          <t>ÅRKV</t>
        </is>
      </c>
      <c r="H164" s="4" t="inlineStr">
        <is>
          <t>Dummytaxa, ny tjänst via ändringsorder</t>
        </is>
      </c>
      <c r="I164" s="4" t="n"/>
      <c r="J164" s="4" t="n"/>
      <c r="K164" s="4" t="n"/>
      <c r="L164" s="19" t="n"/>
      <c r="M164" s="4" t="n">
        <v>0</v>
      </c>
      <c r="N164" s="4" t="n"/>
      <c r="O164" s="4" t="inlineStr">
        <is>
          <t>-</t>
        </is>
      </c>
      <c r="P164" s="4" t="n">
        <v>1</v>
      </c>
      <c r="Q164" s="6" t="inlineStr">
        <is>
          <t>ANTB</t>
        </is>
      </c>
    </row>
    <row r="165">
      <c r="A165" s="5" t="n">
        <v>55</v>
      </c>
      <c r="B165" s="4" t="inlineStr">
        <is>
          <t>OA</t>
        </is>
      </c>
      <c r="C165" s="4" t="inlineStr">
        <is>
          <t>OBEBOTT AVLOPP</t>
        </is>
      </c>
      <c r="D165" s="4" t="inlineStr">
        <is>
          <t>VA</t>
        </is>
      </c>
      <c r="E165" s="4" t="inlineStr">
        <is>
          <t>VA</t>
        </is>
      </c>
      <c r="F165" s="4" t="n">
        <v>1</v>
      </c>
      <c r="G165" s="4" t="inlineStr">
        <is>
          <t>ÅRPR</t>
        </is>
      </c>
      <c r="H165" s="4" t="inlineStr">
        <is>
          <t>Obebott, avlopp</t>
        </is>
      </c>
      <c r="I165" s="4" t="n"/>
      <c r="J165" s="4" t="n"/>
      <c r="K165" s="4" t="n">
        <v>2200</v>
      </c>
      <c r="L165" s="19" t="n">
        <v>44378</v>
      </c>
      <c r="M165" s="4" t="n">
        <v>0</v>
      </c>
      <c r="N165" s="4" t="n"/>
      <c r="O165" s="4" t="inlineStr">
        <is>
          <t>-</t>
        </is>
      </c>
      <c r="P165" s="4" t="n">
        <v>1</v>
      </c>
      <c r="Q165" s="6" t="n"/>
    </row>
    <row r="166">
      <c r="A166" s="5" t="n">
        <v>183</v>
      </c>
      <c r="B166" s="4" t="inlineStr">
        <is>
          <t>OMKLASS</t>
        </is>
      </c>
      <c r="C166" s="4" t="inlineStr">
        <is>
          <t>Omklassning av felsorterad container</t>
        </is>
      </c>
      <c r="D166" s="4" t="inlineStr">
        <is>
          <t>RENH</t>
        </is>
      </c>
      <c r="E166" s="4" t="inlineStr">
        <is>
          <t>BYGG</t>
        </is>
      </c>
      <c r="F166" s="4" t="n">
        <v>1</v>
      </c>
      <c r="G166" s="4" t="inlineStr">
        <is>
          <t>KVAN</t>
        </is>
      </c>
      <c r="H166" s="4" t="inlineStr">
        <is>
          <t>Omklassning av felsorterad container</t>
        </is>
      </c>
      <c r="I166" s="4" t="n"/>
      <c r="J166" s="4" t="n"/>
      <c r="K166" s="4" t="n">
        <v>1710</v>
      </c>
      <c r="L166" s="19" t="n">
        <v>45200</v>
      </c>
      <c r="M166" s="4" t="n">
        <v>0</v>
      </c>
      <c r="N166" s="4" t="n"/>
      <c r="O166" s="4" t="inlineStr">
        <is>
          <t>-</t>
        </is>
      </c>
      <c r="P166" s="4" t="n">
        <v>1</v>
      </c>
      <c r="Q166" s="6" t="inlineStr">
        <is>
          <t>ANTL</t>
        </is>
      </c>
    </row>
    <row r="167">
      <c r="A167" s="5" t="n">
        <v>243</v>
      </c>
      <c r="B167" s="4" t="inlineStr">
        <is>
          <t>ORTRASIGTKÄRL</t>
        </is>
      </c>
      <c r="C167" s="4" t="inlineStr">
        <is>
          <t>Orderrad för trasigt kärl, byta/laga</t>
        </is>
      </c>
      <c r="D167" s="4" t="inlineStr">
        <is>
          <t>RENH</t>
        </is>
      </c>
      <c r="E167" s="4" t="inlineStr">
        <is>
          <t>EXT</t>
        </is>
      </c>
      <c r="F167" s="4" t="n">
        <v>1</v>
      </c>
      <c r="G167" s="4" t="inlineStr">
        <is>
          <t>KVAN</t>
        </is>
      </c>
      <c r="H167" s="4" t="inlineStr">
        <is>
          <t>Orderrad för trasigt kärl, byta/laga</t>
        </is>
      </c>
      <c r="I167" s="4" t="n"/>
      <c r="J167" s="4" t="n"/>
      <c r="K167" s="4" t="n">
        <v>0</v>
      </c>
      <c r="L167" s="19" t="n">
        <v>45292</v>
      </c>
      <c r="M167" s="4" t="n">
        <v>0</v>
      </c>
      <c r="N167" s="4" t="n"/>
      <c r="O167" s="4" t="inlineStr">
        <is>
          <t>-</t>
        </is>
      </c>
      <c r="P167" s="4" t="n">
        <v>1</v>
      </c>
      <c r="Q167" s="6" t="inlineStr">
        <is>
          <t>0</t>
        </is>
      </c>
    </row>
    <row r="168">
      <c r="A168" s="5" t="n">
        <v>56</v>
      </c>
      <c r="B168" s="4" t="inlineStr">
        <is>
          <t>OV</t>
        </is>
      </c>
      <c r="C168" s="4" t="inlineStr">
        <is>
          <t>OBEBOTT VATTEN</t>
        </is>
      </c>
      <c r="D168" s="4" t="inlineStr">
        <is>
          <t>VA</t>
        </is>
      </c>
      <c r="E168" s="4" t="inlineStr">
        <is>
          <t>VATT</t>
        </is>
      </c>
      <c r="F168" s="4" t="n">
        <v>1</v>
      </c>
      <c r="G168" s="4" t="inlineStr">
        <is>
          <t>ÅRPR</t>
        </is>
      </c>
      <c r="H168" s="4" t="inlineStr">
        <is>
          <t>Obebott, vatten</t>
        </is>
      </c>
      <c r="I168" s="4" t="n"/>
      <c r="J168" s="4" t="n"/>
      <c r="K168" s="4" t="n">
        <v>2288</v>
      </c>
      <c r="L168" s="19" t="n">
        <v>45658</v>
      </c>
      <c r="M168" s="4" t="n">
        <v>0</v>
      </c>
      <c r="N168" s="4" t="n"/>
      <c r="O168" s="4" t="inlineStr">
        <is>
          <t>-</t>
        </is>
      </c>
      <c r="P168" s="4" t="n">
        <v>1</v>
      </c>
      <c r="Q168" s="6" t="n"/>
    </row>
    <row r="169">
      <c r="A169" s="5" t="n">
        <v>57</v>
      </c>
      <c r="B169" s="4" t="inlineStr">
        <is>
          <t>OVA</t>
        </is>
      </c>
      <c r="C169" s="4" t="inlineStr">
        <is>
          <t>OBEBOTT VA</t>
        </is>
      </c>
      <c r="D169" s="4" t="inlineStr">
        <is>
          <t>VA</t>
        </is>
      </c>
      <c r="E169" s="4" t="inlineStr">
        <is>
          <t>VA</t>
        </is>
      </c>
      <c r="F169" s="4" t="n">
        <v>1</v>
      </c>
      <c r="G169" s="4" t="inlineStr">
        <is>
          <t>ÅRPR</t>
        </is>
      </c>
      <c r="H169" s="4" t="inlineStr">
        <is>
          <t>Obebott, vatten och avlopp</t>
        </is>
      </c>
      <c r="I169" s="4" t="n"/>
      <c r="J169" s="4" t="n"/>
      <c r="K169" s="4" t="n">
        <v>4293</v>
      </c>
      <c r="L169" s="19" t="n">
        <v>45658</v>
      </c>
      <c r="M169" s="4" t="n">
        <v>0</v>
      </c>
      <c r="N169" s="4" t="n"/>
      <c r="O169" s="4" t="inlineStr">
        <is>
          <t>-</t>
        </is>
      </c>
      <c r="P169" s="4" t="n">
        <v>1</v>
      </c>
      <c r="Q169" s="6" t="n"/>
    </row>
    <row r="170">
      <c r="A170" s="5" t="n">
        <v>201</v>
      </c>
      <c r="B170" s="4" t="inlineStr">
        <is>
          <t>PERSONAL</t>
        </is>
      </c>
      <c r="C170" s="4" t="inlineStr">
        <is>
          <t>Personal- externa tjänster</t>
        </is>
      </c>
      <c r="D170" s="4" t="inlineStr">
        <is>
          <t>RENH</t>
        </is>
      </c>
      <c r="E170" s="4" t="inlineStr">
        <is>
          <t>EXT</t>
        </is>
      </c>
      <c r="F170" s="4" t="n">
        <v>1</v>
      </c>
      <c r="G170" s="4" t="inlineStr">
        <is>
          <t>KVAN</t>
        </is>
      </c>
      <c r="H170" s="4" t="inlineStr">
        <is>
          <t>Personal</t>
        </is>
      </c>
      <c r="I170" s="4" t="n"/>
      <c r="J170" s="4" t="n"/>
      <c r="K170" s="4" t="n">
        <v>233.6</v>
      </c>
      <c r="L170" s="19" t="n">
        <v>44927</v>
      </c>
      <c r="M170" s="4" t="n">
        <v>0</v>
      </c>
      <c r="N170" s="4" t="n"/>
      <c r="O170" s="4" t="inlineStr">
        <is>
          <t>-</t>
        </is>
      </c>
      <c r="P170" s="4" t="n">
        <v>1</v>
      </c>
      <c r="Q170" s="6" t="inlineStr">
        <is>
          <t>TIMT</t>
        </is>
      </c>
    </row>
    <row r="171">
      <c r="A171" s="5" t="n">
        <v>202</v>
      </c>
      <c r="B171" s="4" t="inlineStr">
        <is>
          <t>PERSONBIL</t>
        </is>
      </c>
      <c r="C171" s="4" t="inlineStr">
        <is>
          <t>Personbil- externa tjänster</t>
        </is>
      </c>
      <c r="D171" s="4" t="inlineStr">
        <is>
          <t>RENH</t>
        </is>
      </c>
      <c r="E171" s="4" t="inlineStr">
        <is>
          <t>EXT</t>
        </is>
      </c>
      <c r="F171" s="4" t="n">
        <v>1</v>
      </c>
      <c r="G171" s="4" t="inlineStr">
        <is>
          <t>KVAN</t>
        </is>
      </c>
      <c r="H171" s="4" t="inlineStr">
        <is>
          <t>Personbil</t>
        </is>
      </c>
      <c r="I171" s="4" t="n"/>
      <c r="J171" s="4" t="n"/>
      <c r="K171" s="4" t="n">
        <v>152</v>
      </c>
      <c r="L171" s="19" t="n">
        <v>44927</v>
      </c>
      <c r="M171" s="4" t="n">
        <v>0</v>
      </c>
      <c r="N171" s="4" t="n"/>
      <c r="O171" s="4" t="inlineStr">
        <is>
          <t>-</t>
        </is>
      </c>
      <c r="P171" s="4" t="n">
        <v>1</v>
      </c>
      <c r="Q171" s="6" t="inlineStr">
        <is>
          <t>TIMT</t>
        </is>
      </c>
    </row>
    <row r="172">
      <c r="A172" s="5" t="n">
        <v>6</v>
      </c>
      <c r="B172" s="4" t="inlineStr">
        <is>
          <t>PÅMINN</t>
        </is>
      </c>
      <c r="C172" s="4" t="inlineStr">
        <is>
          <t>Påminnelsavgift</t>
        </is>
      </c>
      <c r="D172" s="4" t="inlineStr">
        <is>
          <t>VA</t>
        </is>
      </c>
      <c r="E172" s="4" t="n"/>
      <c r="F172" s="4" t="n">
        <v>1</v>
      </c>
      <c r="G172" s="4" t="inlineStr">
        <is>
          <t>KVAN</t>
        </is>
      </c>
      <c r="H172" s="4" t="inlineStr">
        <is>
          <t>Påminnelsavgift</t>
        </is>
      </c>
      <c r="I172" s="4" t="n"/>
      <c r="J172" s="4" t="n"/>
      <c r="K172" s="4" t="n">
        <v>50</v>
      </c>
      <c r="L172" s="19" t="n">
        <v>32874</v>
      </c>
      <c r="M172" s="4" t="n">
        <v>0</v>
      </c>
      <c r="N172" s="4" t="n"/>
      <c r="O172" s="4" t="inlineStr">
        <is>
          <t>-</t>
        </is>
      </c>
      <c r="P172" s="4" t="n">
        <v>0</v>
      </c>
      <c r="Q172" s="6" t="n"/>
    </row>
    <row r="173">
      <c r="A173" s="5" t="n">
        <v>58</v>
      </c>
      <c r="B173" s="4" t="inlineStr">
        <is>
          <t>RES</t>
        </is>
      </c>
      <c r="C173" s="4" t="inlineStr">
        <is>
          <t>660 L RESURSKÄRL</t>
        </is>
      </c>
      <c r="D173" s="4" t="inlineStr">
        <is>
          <t>RENH</t>
        </is>
      </c>
      <c r="E173" s="4" t="inlineStr">
        <is>
          <t>HUSH</t>
        </is>
      </c>
      <c r="F173" s="4" t="n">
        <v>1</v>
      </c>
      <c r="G173" s="4" t="inlineStr">
        <is>
          <t>KVAN</t>
        </is>
      </c>
      <c r="H173" s="4" t="inlineStr">
        <is>
          <t>Tömning av resurskärl</t>
        </is>
      </c>
      <c r="I173" s="4" t="n"/>
      <c r="J173" s="4" t="n"/>
      <c r="K173" s="4" t="n">
        <v>400</v>
      </c>
      <c r="L173" s="19" t="n">
        <v>44378</v>
      </c>
      <c r="M173" s="4" t="n">
        <v>0</v>
      </c>
      <c r="N173" s="4" t="n"/>
      <c r="O173" s="4" t="inlineStr">
        <is>
          <t>-</t>
        </is>
      </c>
      <c r="P173" s="4" t="n">
        <v>1</v>
      </c>
      <c r="Q173" s="6" t="inlineStr">
        <is>
          <t>ANTL</t>
        </is>
      </c>
    </row>
    <row r="174">
      <c r="A174" s="5" t="n">
        <v>4</v>
      </c>
      <c r="B174" s="4" t="inlineStr">
        <is>
          <t>RESTSKULD</t>
        </is>
      </c>
      <c r="C174" s="4" t="inlineStr">
        <is>
          <t>Restskuld</t>
        </is>
      </c>
      <c r="D174" s="4" t="inlineStr">
        <is>
          <t>VA</t>
        </is>
      </c>
      <c r="E174" s="4" t="n"/>
      <c r="F174" s="4" t="n">
        <v>1</v>
      </c>
      <c r="G174" s="4" t="inlineStr">
        <is>
          <t>KVAN</t>
        </is>
      </c>
      <c r="H174" s="4" t="inlineStr">
        <is>
          <t>Restskuld</t>
        </is>
      </c>
      <c r="I174" s="4" t="n"/>
      <c r="J174" s="4" t="n"/>
      <c r="K174" s="4" t="n">
        <v>0</v>
      </c>
      <c r="L174" s="19" t="n">
        <v>32874</v>
      </c>
      <c r="M174" s="4" t="n">
        <v>0</v>
      </c>
      <c r="N174" s="4" t="n"/>
      <c r="O174" s="4" t="inlineStr">
        <is>
          <t>-</t>
        </is>
      </c>
      <c r="P174" s="4" t="n">
        <v>0</v>
      </c>
      <c r="Q174" s="6" t="n"/>
    </row>
    <row r="175">
      <c r="A175" s="5" t="n">
        <v>10</v>
      </c>
      <c r="B175" s="4" t="inlineStr">
        <is>
          <t>RHTILLAV</t>
        </is>
      </c>
      <c r="C175" s="4" t="inlineStr">
        <is>
          <t>Renh, tillägg-avdrag</t>
        </is>
      </c>
      <c r="D175" s="4" t="inlineStr">
        <is>
          <t>RENH</t>
        </is>
      </c>
      <c r="E175" s="4" t="n"/>
      <c r="F175" s="4" t="n">
        <v>1</v>
      </c>
      <c r="G175" s="4" t="inlineStr">
        <is>
          <t>KVAN</t>
        </is>
      </c>
      <c r="H175" s="4" t="inlineStr">
        <is>
          <t>Renh, tillägg-avdrag</t>
        </is>
      </c>
      <c r="I175" s="4" t="n"/>
      <c r="J175" s="4" t="n"/>
      <c r="K175" s="4" t="n">
        <v>0</v>
      </c>
      <c r="L175" s="19" t="n">
        <v>32874</v>
      </c>
      <c r="M175" s="4" t="n">
        <v>0</v>
      </c>
      <c r="N175" s="4" t="n"/>
      <c r="O175" s="4" t="inlineStr">
        <is>
          <t>-</t>
        </is>
      </c>
      <c r="P175" s="4" t="n">
        <v>1</v>
      </c>
      <c r="Q175" s="6" t="n"/>
    </row>
    <row r="176">
      <c r="A176" s="5" t="n">
        <v>59</v>
      </c>
      <c r="B176" s="4" t="inlineStr">
        <is>
          <t>SAMAM</t>
        </is>
      </c>
      <c r="C176" s="4" t="inlineStr">
        <is>
          <t>SAMLINGSKÄRL AMMARNÄS</t>
        </is>
      </c>
      <c r="D176" s="4" t="inlineStr">
        <is>
          <t>RENH</t>
        </is>
      </c>
      <c r="E176" s="4" t="inlineStr">
        <is>
          <t>HUSH</t>
        </is>
      </c>
      <c r="F176" s="4" t="n">
        <v>1</v>
      </c>
      <c r="G176" s="4" t="inlineStr">
        <is>
          <t>ÅRPR</t>
        </is>
      </c>
      <c r="H176" s="4" t="inlineStr">
        <is>
          <t>Sophämtning samlingskärl</t>
        </is>
      </c>
      <c r="I176" s="4" t="n"/>
      <c r="J176" s="4" t="n"/>
      <c r="K176" s="4" t="n">
        <v>472</v>
      </c>
      <c r="L176" s="19" t="n">
        <v>43922</v>
      </c>
      <c r="M176" s="4" t="n">
        <v>0</v>
      </c>
      <c r="N176" s="4" t="n"/>
      <c r="O176" s="4" t="inlineStr">
        <is>
          <t>-</t>
        </is>
      </c>
      <c r="P176" s="4" t="n">
        <v>1</v>
      </c>
      <c r="Q176" s="6" t="n"/>
    </row>
    <row r="177">
      <c r="A177" s="5" t="n">
        <v>60</v>
      </c>
      <c r="B177" s="4" t="inlineStr">
        <is>
          <t>SAMAM</t>
        </is>
      </c>
      <c r="C177" s="4" t="inlineStr">
        <is>
          <t>SAMLINGSKÄRL AMMARNÄS</t>
        </is>
      </c>
      <c r="D177" s="4" t="inlineStr">
        <is>
          <t>RENH</t>
        </is>
      </c>
      <c r="E177" s="4" t="inlineStr">
        <is>
          <t>HUSH</t>
        </is>
      </c>
      <c r="F177" s="4" t="n">
        <v>2</v>
      </c>
      <c r="G177" s="4" t="inlineStr">
        <is>
          <t>ÅRPR</t>
        </is>
      </c>
      <c r="H177" s="4" t="inlineStr">
        <is>
          <t>Grundavgift</t>
        </is>
      </c>
      <c r="I177" s="4" t="n"/>
      <c r="J177" s="4" t="n"/>
      <c r="K177" s="4" t="n">
        <v>536</v>
      </c>
      <c r="L177" s="19" t="n">
        <v>43922</v>
      </c>
      <c r="M177" s="4" t="n">
        <v>0</v>
      </c>
      <c r="N177" s="4" t="n"/>
      <c r="O177" s="4" t="inlineStr">
        <is>
          <t>-</t>
        </is>
      </c>
      <c r="P177" s="4" t="n">
        <v>1</v>
      </c>
      <c r="Q177" s="6" t="n"/>
    </row>
    <row r="178">
      <c r="A178" s="5" t="n">
        <v>61</v>
      </c>
      <c r="B178" s="4" t="inlineStr">
        <is>
          <t>SAML</t>
        </is>
      </c>
      <c r="C178" s="4" t="inlineStr">
        <is>
          <t>SAMLINGSKÄRL</t>
        </is>
      </c>
      <c r="D178" s="4" t="inlineStr">
        <is>
          <t>RENH</t>
        </is>
      </c>
      <c r="E178" s="4" t="inlineStr">
        <is>
          <t>HUSH</t>
        </is>
      </c>
      <c r="F178" s="4" t="n">
        <v>1</v>
      </c>
      <c r="G178" s="4" t="inlineStr">
        <is>
          <t>ÅRPR</t>
        </is>
      </c>
      <c r="H178" s="4" t="inlineStr">
        <is>
          <t>Sophämtning samlingskärl</t>
        </is>
      </c>
      <c r="I178" s="4" t="n"/>
      <c r="J178" s="4" t="n"/>
      <c r="K178" s="4" t="n">
        <v>920</v>
      </c>
      <c r="L178" s="19" t="n">
        <v>43922</v>
      </c>
      <c r="M178" s="4" t="n">
        <v>0</v>
      </c>
      <c r="N178" s="4" t="n"/>
      <c r="O178" s="4" t="inlineStr">
        <is>
          <t>-</t>
        </is>
      </c>
      <c r="P178" s="4" t="n">
        <v>1</v>
      </c>
      <c r="Q178" s="6" t="n"/>
    </row>
    <row r="179">
      <c r="A179" s="5" t="n">
        <v>62</v>
      </c>
      <c r="B179" s="4" t="inlineStr">
        <is>
          <t>SAML</t>
        </is>
      </c>
      <c r="C179" s="4" t="inlineStr">
        <is>
          <t>SAMLINGSKÄRL</t>
        </is>
      </c>
      <c r="D179" s="4" t="inlineStr">
        <is>
          <t>RENH</t>
        </is>
      </c>
      <c r="E179" s="4" t="inlineStr">
        <is>
          <t>HUSH</t>
        </is>
      </c>
      <c r="F179" s="4" t="n">
        <v>2</v>
      </c>
      <c r="G179" s="4" t="inlineStr">
        <is>
          <t>ÅRPR</t>
        </is>
      </c>
      <c r="H179" s="4" t="inlineStr">
        <is>
          <t>Grundavgift</t>
        </is>
      </c>
      <c r="I179" s="4" t="n"/>
      <c r="J179" s="4" t="n"/>
      <c r="K179" s="4" t="n">
        <v>864</v>
      </c>
      <c r="L179" s="19" t="n">
        <v>43922</v>
      </c>
      <c r="M179" s="4" t="n">
        <v>0</v>
      </c>
      <c r="N179" s="4" t="n"/>
      <c r="O179" s="4" t="inlineStr">
        <is>
          <t>-</t>
        </is>
      </c>
      <c r="P179" s="4" t="n">
        <v>1</v>
      </c>
      <c r="Q179" s="6" t="n"/>
    </row>
    <row r="180">
      <c r="A180" s="5" t="n">
        <v>63</v>
      </c>
      <c r="B180" s="4" t="inlineStr">
        <is>
          <t>SAMLB</t>
        </is>
      </c>
      <c r="C180" s="4" t="inlineStr">
        <is>
          <t>FRITIDSHUS BRÄSKAFORS</t>
        </is>
      </c>
      <c r="D180" s="4" t="inlineStr">
        <is>
          <t>RENH</t>
        </is>
      </c>
      <c r="E180" s="4" t="inlineStr">
        <is>
          <t>HUSH</t>
        </is>
      </c>
      <c r="F180" s="4" t="n">
        <v>1</v>
      </c>
      <c r="G180" s="4" t="inlineStr">
        <is>
          <t>ÅRPR</t>
        </is>
      </c>
      <c r="H180" s="4" t="inlineStr">
        <is>
          <t>Sophämtning samlingskärl</t>
        </is>
      </c>
      <c r="I180" s="4" t="n"/>
      <c r="J180" s="4" t="n"/>
      <c r="K180" s="4" t="n">
        <v>364</v>
      </c>
      <c r="L180" s="19" t="n">
        <v>39814</v>
      </c>
      <c r="M180" s="4" t="n">
        <v>0</v>
      </c>
      <c r="N180" s="4" t="n"/>
      <c r="O180" s="4" t="inlineStr">
        <is>
          <t>-</t>
        </is>
      </c>
      <c r="P180" s="4" t="n">
        <v>1</v>
      </c>
      <c r="Q180" s="6" t="n"/>
    </row>
    <row r="181">
      <c r="A181" s="5" t="n">
        <v>64</v>
      </c>
      <c r="B181" s="4" t="inlineStr">
        <is>
          <t>SAMLB</t>
        </is>
      </c>
      <c r="C181" s="4" t="inlineStr">
        <is>
          <t>FRITIDSHUS BRÄSKAFORS</t>
        </is>
      </c>
      <c r="D181" s="4" t="inlineStr">
        <is>
          <t>RENH</t>
        </is>
      </c>
      <c r="E181" s="4" t="inlineStr">
        <is>
          <t>HUSH</t>
        </is>
      </c>
      <c r="F181" s="4" t="n">
        <v>2</v>
      </c>
      <c r="G181" s="4" t="inlineStr">
        <is>
          <t>ÅRPR</t>
        </is>
      </c>
      <c r="H181" s="4" t="inlineStr">
        <is>
          <t>Grundavgift</t>
        </is>
      </c>
      <c r="I181" s="4" t="n"/>
      <c r="J181" s="4" t="n"/>
      <c r="K181" s="4" t="n">
        <v>332</v>
      </c>
      <c r="L181" s="19" t="n">
        <v>39814</v>
      </c>
      <c r="M181" s="4" t="n">
        <v>0</v>
      </c>
      <c r="N181" s="4" t="n"/>
      <c r="O181" s="4" t="inlineStr">
        <is>
          <t>-</t>
        </is>
      </c>
      <c r="P181" s="4" t="n">
        <v>1</v>
      </c>
      <c r="Q181" s="6" t="n"/>
    </row>
    <row r="182">
      <c r="A182" s="5" t="n">
        <v>65</v>
      </c>
      <c r="B182" s="4" t="inlineStr">
        <is>
          <t>SAMLF</t>
        </is>
      </c>
      <c r="C182" s="4" t="inlineStr">
        <is>
          <t>SAMLINGSKÄRL FRITIDSHUS</t>
        </is>
      </c>
      <c r="D182" s="4" t="inlineStr">
        <is>
          <t>RENH</t>
        </is>
      </c>
      <c r="E182" s="4" t="inlineStr">
        <is>
          <t>HUSH</t>
        </is>
      </c>
      <c r="F182" s="4" t="n">
        <v>1</v>
      </c>
      <c r="G182" s="4" t="inlineStr">
        <is>
          <t>ÅRPR</t>
        </is>
      </c>
      <c r="H182" s="4" t="inlineStr">
        <is>
          <t>Sophämtning samlingskärl</t>
        </is>
      </c>
      <c r="I182" s="4" t="n"/>
      <c r="J182" s="4" t="n"/>
      <c r="K182" s="4" t="n">
        <v>472</v>
      </c>
      <c r="L182" s="19" t="n">
        <v>43922</v>
      </c>
      <c r="M182" s="4" t="n">
        <v>0</v>
      </c>
      <c r="N182" s="4" t="n"/>
      <c r="O182" s="4" t="inlineStr">
        <is>
          <t>-</t>
        </is>
      </c>
      <c r="P182" s="4" t="n">
        <v>1</v>
      </c>
      <c r="Q182" s="6" t="n"/>
    </row>
    <row r="183">
      <c r="A183" s="5" t="n">
        <v>66</v>
      </c>
      <c r="B183" s="4" t="inlineStr">
        <is>
          <t>SAMLF</t>
        </is>
      </c>
      <c r="C183" s="4" t="inlineStr">
        <is>
          <t>SAMLINGSKÄRL FRITIDSHUS</t>
        </is>
      </c>
      <c r="D183" s="4" t="inlineStr">
        <is>
          <t>RENH</t>
        </is>
      </c>
      <c r="E183" s="4" t="inlineStr">
        <is>
          <t>HUSH</t>
        </is>
      </c>
      <c r="F183" s="4" t="n">
        <v>2</v>
      </c>
      <c r="G183" s="4" t="inlineStr">
        <is>
          <t>ÅRPR</t>
        </is>
      </c>
      <c r="H183" s="4" t="inlineStr">
        <is>
          <t>Grundavgift</t>
        </is>
      </c>
      <c r="I183" s="4" t="n"/>
      <c r="J183" s="4" t="n"/>
      <c r="K183" s="4" t="n">
        <v>536</v>
      </c>
      <c r="L183" s="19" t="n">
        <v>43922</v>
      </c>
      <c r="M183" s="4" t="n">
        <v>0</v>
      </c>
      <c r="N183" s="4" t="n"/>
      <c r="O183" s="4" t="inlineStr">
        <is>
          <t>-</t>
        </is>
      </c>
      <c r="P183" s="4" t="n">
        <v>1</v>
      </c>
      <c r="Q183" s="6" t="n"/>
    </row>
    <row r="184">
      <c r="A184" s="5" t="n">
        <v>130</v>
      </c>
      <c r="B184" s="4" t="inlineStr">
        <is>
          <t>SLAKUT</t>
        </is>
      </c>
      <c r="C184" s="4" t="inlineStr">
        <is>
          <t>Slam, tillägg för akut tömning</t>
        </is>
      </c>
      <c r="D184" s="4" t="inlineStr">
        <is>
          <t>RENH</t>
        </is>
      </c>
      <c r="E184" s="4" t="inlineStr">
        <is>
          <t>SLAM</t>
        </is>
      </c>
      <c r="F184" s="4" t="n">
        <v>1</v>
      </c>
      <c r="G184" s="4" t="inlineStr">
        <is>
          <t>KVAN</t>
        </is>
      </c>
      <c r="H184" s="4" t="inlineStr">
        <is>
          <t>Tillägg för akut tömning</t>
        </is>
      </c>
      <c r="I184" s="4" t="n"/>
      <c r="J184" s="4" t="n"/>
      <c r="K184" s="4" t="n">
        <v>640</v>
      </c>
      <c r="L184" s="19" t="n">
        <v>44927</v>
      </c>
      <c r="M184" s="4" t="n">
        <v>0</v>
      </c>
      <c r="N184" s="4" t="n"/>
      <c r="O184" s="4" t="inlineStr">
        <is>
          <t>-</t>
        </is>
      </c>
      <c r="P184" s="4" t="n">
        <v>1</v>
      </c>
      <c r="Q184" s="6" t="inlineStr">
        <is>
          <t>ANTL</t>
        </is>
      </c>
    </row>
    <row r="185">
      <c r="A185" s="5" t="n">
        <v>67</v>
      </c>
      <c r="B185" s="4" t="inlineStr">
        <is>
          <t>SLAM</t>
        </is>
      </c>
      <c r="C185" s="4" t="inlineStr">
        <is>
          <t>SLAM</t>
        </is>
      </c>
      <c r="D185" s="4" t="inlineStr">
        <is>
          <t>RENH</t>
        </is>
      </c>
      <c r="E185" s="4" t="inlineStr">
        <is>
          <t>SLAM</t>
        </is>
      </c>
      <c r="F185" s="4" t="n">
        <v>1</v>
      </c>
      <c r="G185" s="4" t="inlineStr">
        <is>
          <t>KVAN</t>
        </is>
      </c>
      <c r="H185" s="4" t="inlineStr">
        <is>
          <t>Tömning av slambrunn</t>
        </is>
      </c>
      <c r="I185" s="4" t="n"/>
      <c r="J185" s="4" t="n"/>
      <c r="K185" s="4" t="n">
        <v>1392</v>
      </c>
      <c r="L185" s="19" t="n">
        <v>43922</v>
      </c>
      <c r="M185" s="4" t="n">
        <v>0</v>
      </c>
      <c r="N185" s="4" t="n"/>
      <c r="O185" s="4" t="inlineStr">
        <is>
          <t>-</t>
        </is>
      </c>
      <c r="P185" s="4" t="n">
        <v>1</v>
      </c>
      <c r="Q185" s="6" t="inlineStr">
        <is>
          <t>ANTL</t>
        </is>
      </c>
    </row>
    <row r="186">
      <c r="A186" s="5" t="n">
        <v>68</v>
      </c>
      <c r="B186" s="4" t="inlineStr">
        <is>
          <t>SLAM3</t>
        </is>
      </c>
      <c r="C186" s="4" t="inlineStr">
        <is>
          <t>SLAM MER ÄN 3 kbm</t>
        </is>
      </c>
      <c r="D186" s="4" t="inlineStr">
        <is>
          <t>RENH</t>
        </is>
      </c>
      <c r="E186" s="4" t="inlineStr">
        <is>
          <t>SLAM</t>
        </is>
      </c>
      <c r="F186" s="4" t="n">
        <v>1</v>
      </c>
      <c r="G186" s="4" t="inlineStr">
        <is>
          <t>KVAN</t>
        </is>
      </c>
      <c r="H186" s="4" t="inlineStr">
        <is>
          <t>Tömning av slambrunn</t>
        </is>
      </c>
      <c r="I186" s="4" t="n"/>
      <c r="J186" s="4" t="n"/>
      <c r="K186" s="4" t="n">
        <v>1880</v>
      </c>
      <c r="L186" s="19" t="n">
        <v>43922</v>
      </c>
      <c r="M186" s="4" t="n">
        <v>0</v>
      </c>
      <c r="N186" s="4" t="n"/>
      <c r="O186" s="4" t="inlineStr">
        <is>
          <t>-</t>
        </is>
      </c>
      <c r="P186" s="4" t="n">
        <v>1</v>
      </c>
      <c r="Q186" s="6" t="inlineStr">
        <is>
          <t>ANTL</t>
        </is>
      </c>
    </row>
    <row r="187">
      <c r="A187" s="5" t="n">
        <v>90</v>
      </c>
      <c r="B187" s="4" t="inlineStr">
        <is>
          <t>SLAM3D</t>
        </is>
      </c>
      <c r="C187" s="4" t="inlineStr">
        <is>
          <t>Slam3 dummy</t>
        </is>
      </c>
      <c r="D187" s="4" t="inlineStr">
        <is>
          <t>RENH</t>
        </is>
      </c>
      <c r="E187" s="4" t="inlineStr">
        <is>
          <t>SLAM</t>
        </is>
      </c>
      <c r="F187" s="4" t="n">
        <v>1</v>
      </c>
      <c r="G187" s="4" t="inlineStr">
        <is>
          <t>KVAN</t>
        </is>
      </c>
      <c r="H187" s="4" t="inlineStr">
        <is>
          <t>Slam &gt;3 kbm</t>
        </is>
      </c>
      <c r="I187" s="4" t="n"/>
      <c r="J187" s="4" t="n"/>
      <c r="K187" s="4" t="n">
        <v>0</v>
      </c>
      <c r="L187" s="19" t="n">
        <v>43466</v>
      </c>
      <c r="M187" s="4" t="n">
        <v>0</v>
      </c>
      <c r="N187" s="4" t="n"/>
      <c r="O187" s="4" t="inlineStr">
        <is>
          <t>-</t>
        </is>
      </c>
      <c r="P187" s="4" t="n">
        <v>1</v>
      </c>
      <c r="Q187" s="6" t="inlineStr">
        <is>
          <t>ANTB</t>
        </is>
      </c>
    </row>
    <row r="188">
      <c r="A188" s="5" t="n">
        <v>91</v>
      </c>
      <c r="B188" s="4" t="inlineStr">
        <is>
          <t>SLAM3D</t>
        </is>
      </c>
      <c r="C188" s="4" t="inlineStr">
        <is>
          <t>Slam3 dummy</t>
        </is>
      </c>
      <c r="D188" s="4" t="inlineStr">
        <is>
          <t>RENH</t>
        </is>
      </c>
      <c r="E188" s="4" t="inlineStr">
        <is>
          <t>SLAM</t>
        </is>
      </c>
      <c r="F188" s="4" t="n">
        <v>2</v>
      </c>
      <c r="G188" s="4" t="inlineStr">
        <is>
          <t>KVAN</t>
        </is>
      </c>
      <c r="H188" s="4" t="inlineStr">
        <is>
          <t>Extra slang &gt; 5 m</t>
        </is>
      </c>
      <c r="I188" s="4" t="n"/>
      <c r="J188" s="4" t="n"/>
      <c r="K188" s="4" t="n">
        <v>0</v>
      </c>
      <c r="L188" s="19" t="n">
        <v>43466</v>
      </c>
      <c r="M188" s="4" t="n">
        <v>0</v>
      </c>
      <c r="N188" s="4" t="n"/>
      <c r="O188" s="4" t="inlineStr">
        <is>
          <t>-</t>
        </is>
      </c>
      <c r="P188" s="4" t="n">
        <v>1</v>
      </c>
      <c r="Q188" s="6" t="inlineStr">
        <is>
          <t>SLNG</t>
        </is>
      </c>
    </row>
    <row r="189">
      <c r="A189" s="5" t="n">
        <v>69</v>
      </c>
      <c r="B189" s="4" t="inlineStr">
        <is>
          <t>SLAM6</t>
        </is>
      </c>
      <c r="C189" s="4" t="inlineStr">
        <is>
          <t>SLAMBRUNN ÖVER 6 KBM</t>
        </is>
      </c>
      <c r="D189" s="4" t="inlineStr">
        <is>
          <t>RENH</t>
        </is>
      </c>
      <c r="E189" s="4" t="inlineStr">
        <is>
          <t>SLAM</t>
        </is>
      </c>
      <c r="F189" s="4" t="n">
        <v>1</v>
      </c>
      <c r="G189" s="4" t="inlineStr">
        <is>
          <t>KVAN</t>
        </is>
      </c>
      <c r="H189" s="4" t="inlineStr">
        <is>
          <t>Tömn av slambrunn över 6 kbm</t>
        </is>
      </c>
      <c r="I189" s="4" t="n"/>
      <c r="J189" s="4" t="n"/>
      <c r="K189" s="4" t="n">
        <v>2400</v>
      </c>
      <c r="L189" s="19" t="n">
        <v>43922</v>
      </c>
      <c r="M189" s="4" t="n">
        <v>0</v>
      </c>
      <c r="N189" s="4" t="n"/>
      <c r="O189" s="4" t="inlineStr">
        <is>
          <t>-</t>
        </is>
      </c>
      <c r="P189" s="4" t="n">
        <v>1</v>
      </c>
      <c r="Q189" s="6" t="inlineStr">
        <is>
          <t>ANTL</t>
        </is>
      </c>
    </row>
    <row r="190">
      <c r="A190" s="5" t="n">
        <v>92</v>
      </c>
      <c r="B190" s="4" t="inlineStr">
        <is>
          <t>SLAM6D</t>
        </is>
      </c>
      <c r="C190" s="4" t="inlineStr">
        <is>
          <t>Slam6 dummy</t>
        </is>
      </c>
      <c r="D190" s="4" t="inlineStr">
        <is>
          <t>RENH</t>
        </is>
      </c>
      <c r="E190" s="4" t="inlineStr">
        <is>
          <t>SLAM</t>
        </is>
      </c>
      <c r="F190" s="4" t="n">
        <v>1</v>
      </c>
      <c r="G190" s="4" t="inlineStr">
        <is>
          <t>KVAN</t>
        </is>
      </c>
      <c r="H190" s="4" t="inlineStr">
        <is>
          <t>Slam &gt;6 kbm</t>
        </is>
      </c>
      <c r="I190" s="4" t="n"/>
      <c r="J190" s="4" t="n"/>
      <c r="K190" s="4" t="n">
        <v>0</v>
      </c>
      <c r="L190" s="19" t="n">
        <v>43466</v>
      </c>
      <c r="M190" s="4" t="n">
        <v>0</v>
      </c>
      <c r="N190" s="4" t="n"/>
      <c r="O190" s="4" t="inlineStr">
        <is>
          <t>-</t>
        </is>
      </c>
      <c r="P190" s="4" t="n">
        <v>1</v>
      </c>
      <c r="Q190" s="6" t="inlineStr">
        <is>
          <t>ANTB</t>
        </is>
      </c>
    </row>
    <row r="191">
      <c r="A191" s="5" t="n">
        <v>93</v>
      </c>
      <c r="B191" s="4" t="inlineStr">
        <is>
          <t>SLAM6D</t>
        </is>
      </c>
      <c r="C191" s="4" t="inlineStr">
        <is>
          <t>Slam6 dummy</t>
        </is>
      </c>
      <c r="D191" s="4" t="inlineStr">
        <is>
          <t>RENH</t>
        </is>
      </c>
      <c r="E191" s="4" t="inlineStr">
        <is>
          <t>SLAM</t>
        </is>
      </c>
      <c r="F191" s="4" t="n">
        <v>2</v>
      </c>
      <c r="G191" s="4" t="inlineStr">
        <is>
          <t>KVAN</t>
        </is>
      </c>
      <c r="H191" s="4" t="inlineStr">
        <is>
          <t>Extra slang &gt; 5 m</t>
        </is>
      </c>
      <c r="I191" s="4" t="n"/>
      <c r="J191" s="4" t="n"/>
      <c r="K191" s="4" t="n">
        <v>0</v>
      </c>
      <c r="L191" s="19" t="n">
        <v>43466</v>
      </c>
      <c r="M191" s="4" t="n">
        <v>0</v>
      </c>
      <c r="N191" s="4" t="n"/>
      <c r="O191" s="4" t="inlineStr">
        <is>
          <t>-</t>
        </is>
      </c>
      <c r="P191" s="4" t="n">
        <v>1</v>
      </c>
      <c r="Q191" s="6" t="inlineStr">
        <is>
          <t>SLNG</t>
        </is>
      </c>
    </row>
    <row r="192">
      <c r="A192" s="5" t="n">
        <v>88</v>
      </c>
      <c r="B192" s="4" t="inlineStr">
        <is>
          <t>SLAMD</t>
        </is>
      </c>
      <c r="C192" s="4" t="inlineStr">
        <is>
          <t>Slam dummy</t>
        </is>
      </c>
      <c r="D192" s="4" t="inlineStr">
        <is>
          <t>RENH</t>
        </is>
      </c>
      <c r="E192" s="4" t="inlineStr">
        <is>
          <t>SLAM</t>
        </is>
      </c>
      <c r="F192" s="4" t="n">
        <v>1</v>
      </c>
      <c r="G192" s="4" t="inlineStr">
        <is>
          <t>KVAN</t>
        </is>
      </c>
      <c r="H192" s="4" t="inlineStr">
        <is>
          <t>Slam &lt;3 kbm</t>
        </is>
      </c>
      <c r="I192" s="4" t="n"/>
      <c r="J192" s="4" t="n"/>
      <c r="K192" s="4" t="n">
        <v>0</v>
      </c>
      <c r="L192" s="19" t="n">
        <v>43466</v>
      </c>
      <c r="M192" s="4" t="n">
        <v>0</v>
      </c>
      <c r="N192" s="4" t="n"/>
      <c r="O192" s="4" t="inlineStr">
        <is>
          <t>-</t>
        </is>
      </c>
      <c r="P192" s="4" t="n">
        <v>1</v>
      </c>
      <c r="Q192" s="6" t="inlineStr">
        <is>
          <t>ANTB</t>
        </is>
      </c>
    </row>
    <row r="193">
      <c r="A193" s="5" t="n">
        <v>89</v>
      </c>
      <c r="B193" s="4" t="inlineStr">
        <is>
          <t>SLAMD</t>
        </is>
      </c>
      <c r="C193" s="4" t="inlineStr">
        <is>
          <t>Slam dummy</t>
        </is>
      </c>
      <c r="D193" s="4" t="inlineStr">
        <is>
          <t>RENH</t>
        </is>
      </c>
      <c r="E193" s="4" t="inlineStr">
        <is>
          <t>SLAM</t>
        </is>
      </c>
      <c r="F193" s="4" t="n">
        <v>2</v>
      </c>
      <c r="G193" s="4" t="inlineStr">
        <is>
          <t>KVAN</t>
        </is>
      </c>
      <c r="H193" s="4" t="inlineStr">
        <is>
          <t>Extra slang &gt; 5 m</t>
        </is>
      </c>
      <c r="I193" s="4" t="n"/>
      <c r="J193" s="4" t="n"/>
      <c r="K193" s="4" t="n">
        <v>0</v>
      </c>
      <c r="L193" s="19" t="n">
        <v>43466</v>
      </c>
      <c r="M193" s="4" t="n">
        <v>0</v>
      </c>
      <c r="N193" s="4" t="n"/>
      <c r="O193" s="4" t="inlineStr">
        <is>
          <t>-</t>
        </is>
      </c>
      <c r="P193" s="4" t="n">
        <v>1</v>
      </c>
      <c r="Q193" s="6" t="inlineStr">
        <is>
          <t>SLNG</t>
        </is>
      </c>
    </row>
    <row r="194">
      <c r="A194" s="5" t="n">
        <v>86</v>
      </c>
      <c r="B194" s="4" t="inlineStr">
        <is>
          <t>SlamInfo</t>
        </is>
      </c>
      <c r="C194" s="4" t="inlineStr">
        <is>
          <t>SLAM</t>
        </is>
      </c>
      <c r="D194" s="4" t="inlineStr">
        <is>
          <t>RENH</t>
        </is>
      </c>
      <c r="E194" s="4" t="inlineStr">
        <is>
          <t>SLAM</t>
        </is>
      </c>
      <c r="F194" s="4" t="n">
        <v>1</v>
      </c>
      <c r="G194" s="4" t="inlineStr">
        <is>
          <t>KVAN</t>
        </is>
      </c>
      <c r="H194" s="4" t="inlineStr">
        <is>
          <t>Tömning av slambrunn</t>
        </is>
      </c>
      <c r="I194" s="4" t="n"/>
      <c r="J194" s="4" t="n"/>
      <c r="K194" s="4" t="n">
        <v>0</v>
      </c>
      <c r="L194" s="19" t="n">
        <v>41275</v>
      </c>
      <c r="M194" s="4" t="n">
        <v>0</v>
      </c>
      <c r="N194" s="4" t="n"/>
      <c r="O194" s="4" t="inlineStr">
        <is>
          <t>-</t>
        </is>
      </c>
      <c r="P194" s="4" t="n">
        <v>1</v>
      </c>
      <c r="Q194" s="6" t="inlineStr">
        <is>
          <t>ANTL</t>
        </is>
      </c>
    </row>
    <row r="195">
      <c r="A195" s="5" t="n">
        <v>87</v>
      </c>
      <c r="B195" s="4" t="inlineStr">
        <is>
          <t>SlamInfo</t>
        </is>
      </c>
      <c r="C195" s="4" t="inlineStr">
        <is>
          <t>SLAM</t>
        </is>
      </c>
      <c r="D195" s="4" t="inlineStr">
        <is>
          <t>RENH</t>
        </is>
      </c>
      <c r="E195" s="4" t="inlineStr">
        <is>
          <t>SLAM</t>
        </is>
      </c>
      <c r="F195" s="4" t="n">
        <v>2</v>
      </c>
      <c r="G195" s="4" t="inlineStr">
        <is>
          <t>KVAN</t>
        </is>
      </c>
      <c r="H195" s="4" t="inlineStr">
        <is>
          <t>Slanglängd</t>
        </is>
      </c>
      <c r="I195" s="4" t="n"/>
      <c r="J195" s="4" t="n"/>
      <c r="K195" s="4" t="n">
        <v>0</v>
      </c>
      <c r="L195" s="19" t="n">
        <v>41275</v>
      </c>
      <c r="M195" s="4" t="n">
        <v>0</v>
      </c>
      <c r="N195" s="4" t="n"/>
      <c r="O195" s="4" t="inlineStr">
        <is>
          <t>-</t>
        </is>
      </c>
      <c r="P195" s="4" t="n">
        <v>0</v>
      </c>
      <c r="Q195" s="6" t="inlineStr">
        <is>
          <t>SLNG</t>
        </is>
      </c>
    </row>
    <row r="196">
      <c r="A196" s="5" t="n">
        <v>210</v>
      </c>
      <c r="B196" s="4" t="inlineStr">
        <is>
          <t>SLAMTUNNA</t>
        </is>
      </c>
      <c r="C196" s="4" t="inlineStr">
        <is>
          <t>Rolba slamtunna- externa tjänster</t>
        </is>
      </c>
      <c r="D196" s="4" t="inlineStr">
        <is>
          <t>RENH</t>
        </is>
      </c>
      <c r="E196" s="4" t="inlineStr">
        <is>
          <t>EXT</t>
        </is>
      </c>
      <c r="F196" s="4" t="n">
        <v>1</v>
      </c>
      <c r="G196" s="4" t="inlineStr">
        <is>
          <t>KVAN</t>
        </is>
      </c>
      <c r="H196" s="4" t="inlineStr">
        <is>
          <t>Rolba slamtunna</t>
        </is>
      </c>
      <c r="I196" s="4" t="n"/>
      <c r="J196" s="4" t="n"/>
      <c r="K196" s="4" t="n">
        <v>280.8</v>
      </c>
      <c r="L196" s="19" t="n">
        <v>44927</v>
      </c>
      <c r="M196" s="4" t="n">
        <v>0</v>
      </c>
      <c r="N196" s="4" t="n"/>
      <c r="O196" s="4" t="inlineStr">
        <is>
          <t>-</t>
        </is>
      </c>
      <c r="P196" s="4" t="n">
        <v>1</v>
      </c>
      <c r="Q196" s="6" t="inlineStr">
        <is>
          <t>TIMT</t>
        </is>
      </c>
    </row>
    <row r="197">
      <c r="A197" s="5" t="n">
        <v>131</v>
      </c>
      <c r="B197" s="4" t="inlineStr">
        <is>
          <t>SLAVROP</t>
        </is>
      </c>
      <c r="C197" s="4" t="inlineStr">
        <is>
          <t>Slam, tillägg för avropad/budad tömning</t>
        </is>
      </c>
      <c r="D197" s="4" t="inlineStr">
        <is>
          <t>RENH</t>
        </is>
      </c>
      <c r="E197" s="4" t="inlineStr">
        <is>
          <t>SLAM</t>
        </is>
      </c>
      <c r="F197" s="4" t="n">
        <v>1</v>
      </c>
      <c r="G197" s="4" t="inlineStr">
        <is>
          <t>KVAN</t>
        </is>
      </c>
      <c r="H197" s="4" t="inlineStr">
        <is>
          <t>Tillägg för avropad/budad tömning</t>
        </is>
      </c>
      <c r="I197" s="4" t="n"/>
      <c r="J197" s="4" t="n"/>
      <c r="K197" s="4" t="n">
        <v>1200</v>
      </c>
      <c r="L197" s="19" t="n">
        <v>44927</v>
      </c>
      <c r="M197" s="4" t="n">
        <v>0</v>
      </c>
      <c r="N197" s="4" t="n"/>
      <c r="O197" s="4" t="inlineStr">
        <is>
          <t>-</t>
        </is>
      </c>
      <c r="P197" s="4" t="n">
        <v>1</v>
      </c>
      <c r="Q197" s="6" t="inlineStr">
        <is>
          <t>ANTL</t>
        </is>
      </c>
    </row>
    <row r="198">
      <c r="A198" s="5" t="n">
        <v>132</v>
      </c>
      <c r="B198" s="4" t="inlineStr">
        <is>
          <t>SLAVSTEG</t>
        </is>
      </c>
      <c r="C198" s="4" t="inlineStr">
        <is>
          <t>Slam, avgift avsteg från gällande abonnemang</t>
        </is>
      </c>
      <c r="D198" s="4" t="inlineStr">
        <is>
          <t>RENH</t>
        </is>
      </c>
      <c r="E198" s="4" t="inlineStr">
        <is>
          <t>SLAM</t>
        </is>
      </c>
      <c r="F198" s="4" t="n">
        <v>1</v>
      </c>
      <c r="G198" s="4" t="inlineStr">
        <is>
          <t>KVAN</t>
        </is>
      </c>
      <c r="H198" s="4" t="inlineStr">
        <is>
          <t>Avgift avsteg från gällande abonnemang</t>
        </is>
      </c>
      <c r="I198" s="4" t="n"/>
      <c r="J198" s="4" t="n"/>
      <c r="K198" s="4" t="n">
        <v>640</v>
      </c>
      <c r="L198" s="19" t="n">
        <v>44927</v>
      </c>
      <c r="M198" s="4" t="n">
        <v>0</v>
      </c>
      <c r="N198" s="4" t="n"/>
      <c r="O198" s="4" t="inlineStr">
        <is>
          <t>-</t>
        </is>
      </c>
      <c r="P198" s="4" t="n">
        <v>1</v>
      </c>
      <c r="Q198" s="6" t="inlineStr">
        <is>
          <t>ANTL</t>
        </is>
      </c>
    </row>
    <row r="199">
      <c r="A199" s="5" t="n">
        <v>133</v>
      </c>
      <c r="B199" s="4" t="inlineStr">
        <is>
          <t>SLFRAMKÖR</t>
        </is>
      </c>
      <c r="C199" s="4" t="inlineStr">
        <is>
          <t>Slam, framkörningsavgift</t>
        </is>
      </c>
      <c r="D199" s="4" t="inlineStr">
        <is>
          <t>RENH</t>
        </is>
      </c>
      <c r="E199" s="4" t="inlineStr">
        <is>
          <t>SLAM</t>
        </is>
      </c>
      <c r="F199" s="4" t="n">
        <v>1</v>
      </c>
      <c r="G199" s="4" t="inlineStr">
        <is>
          <t>KVAN</t>
        </is>
      </c>
      <c r="H199" s="4" t="inlineStr">
        <is>
          <t>Framkörningsavgift slam</t>
        </is>
      </c>
      <c r="I199" s="4" t="n"/>
      <c r="J199" s="4" t="n"/>
      <c r="K199" s="4" t="n">
        <v>640</v>
      </c>
      <c r="L199" s="19" t="n">
        <v>44927</v>
      </c>
      <c r="M199" s="4" t="n">
        <v>0</v>
      </c>
      <c r="N199" s="4" t="n"/>
      <c r="O199" s="4" t="inlineStr">
        <is>
          <t>-</t>
        </is>
      </c>
      <c r="P199" s="4" t="n">
        <v>1</v>
      </c>
      <c r="Q199" s="6" t="inlineStr">
        <is>
          <t>ANTL</t>
        </is>
      </c>
    </row>
    <row r="200">
      <c r="A200" s="5" t="n">
        <v>191</v>
      </c>
      <c r="B200" s="4" t="inlineStr">
        <is>
          <t>SLMEDDELANDE</t>
        </is>
      </c>
      <c r="C200" s="4" t="inlineStr">
        <is>
          <t>Avgift för ej uppfyllt meddelaransvar</t>
        </is>
      </c>
      <c r="D200" s="4" t="inlineStr">
        <is>
          <t>RENH</t>
        </is>
      </c>
      <c r="E200" s="4" t="inlineStr">
        <is>
          <t>SLAM</t>
        </is>
      </c>
      <c r="F200" s="4" t="n">
        <v>1</v>
      </c>
      <c r="G200" s="4" t="inlineStr">
        <is>
          <t>KVAN</t>
        </is>
      </c>
      <c r="H200" s="4" t="inlineStr">
        <is>
          <t>Avgift för ej uppfyllt meddelaransvar</t>
        </is>
      </c>
      <c r="I200" s="4" t="n"/>
      <c r="J200" s="4" t="n"/>
      <c r="K200" s="4" t="n">
        <v>250</v>
      </c>
      <c r="L200" s="19" t="n">
        <v>45200</v>
      </c>
      <c r="M200" s="4" t="n">
        <v>0</v>
      </c>
      <c r="N200" s="4" t="n"/>
      <c r="O200" s="4" t="inlineStr">
        <is>
          <t>-</t>
        </is>
      </c>
      <c r="P200" s="4" t="n">
        <v>1</v>
      </c>
      <c r="Q200" s="6" t="inlineStr">
        <is>
          <t>ANTL</t>
        </is>
      </c>
    </row>
    <row r="201">
      <c r="A201" s="5" t="n">
        <v>134</v>
      </c>
      <c r="B201" s="4" t="inlineStr">
        <is>
          <t>SLSLANG</t>
        </is>
      </c>
      <c r="C201" s="4" t="inlineStr">
        <is>
          <t>Slam, tillägg för slangdragning</t>
        </is>
      </c>
      <c r="D201" s="4" t="inlineStr">
        <is>
          <t>RENH</t>
        </is>
      </c>
      <c r="E201" s="4" t="inlineStr">
        <is>
          <t>SLAM</t>
        </is>
      </c>
      <c r="F201" s="4" t="n">
        <v>1</v>
      </c>
      <c r="G201" s="4" t="inlineStr">
        <is>
          <t>KVAN</t>
        </is>
      </c>
      <c r="H201" s="4" t="inlineStr">
        <is>
          <t>Slam, tillägg för slangdragning</t>
        </is>
      </c>
      <c r="I201" s="4" t="n"/>
      <c r="J201" s="4" t="n"/>
      <c r="K201" s="4" t="n">
        <v>492</v>
      </c>
      <c r="L201" s="19" t="n">
        <v>45658</v>
      </c>
      <c r="M201" s="4" t="n">
        <v>0</v>
      </c>
      <c r="N201" s="4" t="n"/>
      <c r="O201" s="4" t="inlineStr">
        <is>
          <t>-</t>
        </is>
      </c>
      <c r="P201" s="4" t="n">
        <v>1</v>
      </c>
      <c r="Q201" s="6" t="inlineStr">
        <is>
          <t>ANTL</t>
        </is>
      </c>
    </row>
    <row r="202">
      <c r="A202" s="5" t="n">
        <v>295</v>
      </c>
      <c r="B202" s="4" t="inlineStr">
        <is>
          <t>SLSLANGSTAT</t>
        </is>
      </c>
      <c r="C202" s="4" t="inlineStr">
        <is>
          <t>Slam, tillägg för slangdragning</t>
        </is>
      </c>
      <c r="D202" s="4" t="inlineStr">
        <is>
          <t>RENH</t>
        </is>
      </c>
      <c r="E202" s="4" t="inlineStr">
        <is>
          <t>SLAM</t>
        </is>
      </c>
      <c r="F202" s="4" t="n">
        <v>1</v>
      </c>
      <c r="G202" s="4" t="inlineStr">
        <is>
          <t>KVAN</t>
        </is>
      </c>
      <c r="H202" s="4" t="inlineStr">
        <is>
          <t>Slam, tillägg för slangdragning</t>
        </is>
      </c>
      <c r="I202" s="4" t="n"/>
      <c r="J202" s="4" t="n"/>
      <c r="K202" s="4" t="n">
        <v>0</v>
      </c>
      <c r="L202" s="19" t="n">
        <v>45658</v>
      </c>
      <c r="M202" s="4" t="n">
        <v>0</v>
      </c>
      <c r="N202" s="4" t="n"/>
      <c r="O202" s="4" t="inlineStr">
        <is>
          <t>-</t>
        </is>
      </c>
      <c r="P202" s="4" t="n">
        <v>1</v>
      </c>
      <c r="Q202" s="6" t="inlineStr">
        <is>
          <t>SLNG</t>
        </is>
      </c>
    </row>
    <row r="203">
      <c r="A203" s="5" t="n">
        <v>121</v>
      </c>
      <c r="B203" s="4" t="inlineStr">
        <is>
          <t>SLT03SLBUD</t>
        </is>
      </c>
      <c r="C203" s="4" t="inlineStr">
        <is>
          <t>Sluten tank 0-3 m³, slam. Budning</t>
        </is>
      </c>
      <c r="D203" s="4" t="inlineStr">
        <is>
          <t>RENH</t>
        </is>
      </c>
      <c r="E203" s="4" t="inlineStr">
        <is>
          <t>SLAM</t>
        </is>
      </c>
      <c r="F203" s="4" t="n">
        <v>1</v>
      </c>
      <c r="G203" s="4" t="inlineStr">
        <is>
          <t>ÅRKV</t>
        </is>
      </c>
      <c r="H203" s="4" t="inlineStr">
        <is>
          <t>Sluten tank 0-3 m³, slam. Bud</t>
        </is>
      </c>
      <c r="I203" s="4" t="n"/>
      <c r="J203" s="4" t="n"/>
      <c r="K203" s="4" t="n">
        <v>0</v>
      </c>
      <c r="L203" s="19" t="n">
        <v>44927</v>
      </c>
      <c r="M203" s="4" t="n">
        <v>0</v>
      </c>
      <c r="N203" s="4" t="n"/>
      <c r="O203" s="4" t="inlineStr">
        <is>
          <t>-</t>
        </is>
      </c>
      <c r="P203" s="4" t="n">
        <v>1</v>
      </c>
      <c r="Q203" s="6" t="inlineStr">
        <is>
          <t>ANTB</t>
        </is>
      </c>
    </row>
    <row r="204">
      <c r="A204" s="5" t="n">
        <v>138</v>
      </c>
      <c r="B204" s="4" t="inlineStr">
        <is>
          <t>SLT03SLORD</t>
        </is>
      </c>
      <c r="C204" s="4" t="inlineStr">
        <is>
          <t>Sluten tank 0-3 m³, slam. Ordinarie tur</t>
        </is>
      </c>
      <c r="D204" s="4" t="inlineStr">
        <is>
          <t>RENH</t>
        </is>
      </c>
      <c r="E204" s="4" t="inlineStr">
        <is>
          <t>SLAM</t>
        </is>
      </c>
      <c r="F204" s="4" t="n">
        <v>1</v>
      </c>
      <c r="G204" s="4" t="inlineStr">
        <is>
          <t>ÅRKV</t>
        </is>
      </c>
      <c r="H204" s="4" t="inlineStr">
        <is>
          <t>Sluten tank 0-3 m³, slam. Ord</t>
        </is>
      </c>
      <c r="I204" s="4" t="n"/>
      <c r="J204" s="4" t="n"/>
      <c r="K204" s="4" t="n">
        <v>0</v>
      </c>
      <c r="L204" s="19" t="n">
        <v>44927</v>
      </c>
      <c r="M204" s="4" t="n">
        <v>0</v>
      </c>
      <c r="N204" s="4" t="n"/>
      <c r="O204" s="4" t="inlineStr">
        <is>
          <t>-</t>
        </is>
      </c>
      <c r="P204" s="4" t="n">
        <v>1</v>
      </c>
      <c r="Q204" s="6" t="inlineStr">
        <is>
          <t>ANTB</t>
        </is>
      </c>
    </row>
    <row r="205">
      <c r="A205" s="5" t="n">
        <v>122</v>
      </c>
      <c r="B205" s="4" t="inlineStr">
        <is>
          <t>SLT36SLBUD</t>
        </is>
      </c>
      <c r="C205" s="4" t="inlineStr">
        <is>
          <t>Sluten tank 3,1-6 m³, slam. Budning</t>
        </is>
      </c>
      <c r="D205" s="4" t="inlineStr">
        <is>
          <t>RENH</t>
        </is>
      </c>
      <c r="E205" s="4" t="inlineStr">
        <is>
          <t>SLAM</t>
        </is>
      </c>
      <c r="F205" s="4" t="n">
        <v>1</v>
      </c>
      <c r="G205" s="4" t="inlineStr">
        <is>
          <t>ÅRKV</t>
        </is>
      </c>
      <c r="H205" s="4" t="inlineStr">
        <is>
          <t>Sluten tank 3,1-6 m³, slam. Bud</t>
        </is>
      </c>
      <c r="I205" s="4" t="n"/>
      <c r="J205" s="4" t="n"/>
      <c r="K205" s="4" t="n">
        <v>0</v>
      </c>
      <c r="L205" s="19" t="n">
        <v>44927</v>
      </c>
      <c r="M205" s="4" t="n">
        <v>0</v>
      </c>
      <c r="N205" s="4" t="n"/>
      <c r="O205" s="4" t="inlineStr">
        <is>
          <t>-</t>
        </is>
      </c>
      <c r="P205" s="4" t="n">
        <v>1</v>
      </c>
      <c r="Q205" s="6" t="inlineStr">
        <is>
          <t>ANTB</t>
        </is>
      </c>
    </row>
    <row r="206">
      <c r="A206" s="5" t="n">
        <v>137</v>
      </c>
      <c r="B206" s="4" t="inlineStr">
        <is>
          <t>SLT36SLORD</t>
        </is>
      </c>
      <c r="C206" s="4" t="inlineStr">
        <is>
          <t>Sluten tank 3,1-6 m³, slam. Ordinarie tur</t>
        </is>
      </c>
      <c r="D206" s="4" t="inlineStr">
        <is>
          <t>RENH</t>
        </is>
      </c>
      <c r="E206" s="4" t="inlineStr">
        <is>
          <t>SLAM</t>
        </is>
      </c>
      <c r="F206" s="4" t="n">
        <v>1</v>
      </c>
      <c r="G206" s="4" t="inlineStr">
        <is>
          <t>ÅRKV</t>
        </is>
      </c>
      <c r="H206" s="4" t="inlineStr">
        <is>
          <t>Sluten tank 3,1-6 m³, slam. Ord</t>
        </is>
      </c>
      <c r="I206" s="4" t="n"/>
      <c r="J206" s="4" t="n"/>
      <c r="K206" s="4" t="n">
        <v>0</v>
      </c>
      <c r="L206" s="19" t="n">
        <v>44927</v>
      </c>
      <c r="M206" s="4" t="n">
        <v>0</v>
      </c>
      <c r="N206" s="4" t="n"/>
      <c r="O206" s="4" t="inlineStr">
        <is>
          <t>-</t>
        </is>
      </c>
      <c r="P206" s="4" t="n">
        <v>1</v>
      </c>
      <c r="Q206" s="6" t="inlineStr">
        <is>
          <t>ANTB</t>
        </is>
      </c>
    </row>
    <row r="207">
      <c r="A207" s="5" t="n">
        <v>135</v>
      </c>
      <c r="B207" s="4" t="inlineStr">
        <is>
          <t>SLTIMTID</t>
        </is>
      </c>
      <c r="C207" s="4" t="inlineStr">
        <is>
          <t>Slam, tillägg timtid för tömning överstigande 1 timme</t>
        </is>
      </c>
      <c r="D207" s="4" t="inlineStr">
        <is>
          <t>RENH</t>
        </is>
      </c>
      <c r="E207" s="4" t="inlineStr">
        <is>
          <t>SLAM</t>
        </is>
      </c>
      <c r="F207" s="4" t="n">
        <v>1</v>
      </c>
      <c r="G207" s="4" t="inlineStr">
        <is>
          <t>KVAN</t>
        </is>
      </c>
      <c r="H207" s="4" t="inlineStr">
        <is>
          <t>Tömning överstigande 1 timme</t>
        </is>
      </c>
      <c r="I207" s="4" t="n"/>
      <c r="J207" s="4" t="n"/>
      <c r="K207" s="4" t="n">
        <v>1530</v>
      </c>
      <c r="L207" s="19" t="n">
        <v>45658</v>
      </c>
      <c r="M207" s="4" t="n">
        <v>0</v>
      </c>
      <c r="N207" s="4" t="n"/>
      <c r="O207" s="4" t="inlineStr">
        <is>
          <t>-</t>
        </is>
      </c>
      <c r="P207" s="4" t="n">
        <v>1</v>
      </c>
      <c r="Q207" s="6" t="inlineStr">
        <is>
          <t>TIMT</t>
        </is>
      </c>
    </row>
    <row r="208">
      <c r="A208" s="5" t="n">
        <v>190</v>
      </c>
      <c r="B208" s="4" t="inlineStr">
        <is>
          <t>SLTOAVAGN</t>
        </is>
      </c>
      <c r="C208" s="4" t="inlineStr">
        <is>
          <t>Tömning av toalettvagn eller liknande</t>
        </is>
      </c>
      <c r="D208" s="4" t="inlineStr">
        <is>
          <t>RENH</t>
        </is>
      </c>
      <c r="E208" s="4" t="inlineStr">
        <is>
          <t>SLAM</t>
        </is>
      </c>
      <c r="F208" s="4" t="n">
        <v>1</v>
      </c>
      <c r="G208" s="4" t="inlineStr">
        <is>
          <t>KVAN</t>
        </is>
      </c>
      <c r="H208" s="4" t="inlineStr">
        <is>
          <t>Tömning av toalettvagn eller liknande</t>
        </is>
      </c>
      <c r="I208" s="4" t="n"/>
      <c r="J208" s="4" t="n"/>
      <c r="K208" s="4" t="n">
        <v>2000</v>
      </c>
      <c r="L208" s="19" t="n">
        <v>45200</v>
      </c>
      <c r="M208" s="4" t="n">
        <v>0</v>
      </c>
      <c r="N208" s="4" t="n"/>
      <c r="O208" s="4" t="inlineStr">
        <is>
          <t>-</t>
        </is>
      </c>
      <c r="P208" s="4" t="n">
        <v>1</v>
      </c>
      <c r="Q208" s="6" t="inlineStr">
        <is>
          <t>ANTL</t>
        </is>
      </c>
    </row>
    <row r="209">
      <c r="A209" s="5" t="n">
        <v>189</v>
      </c>
      <c r="B209" s="4" t="inlineStr">
        <is>
          <t>SLTUNGTLOCK</t>
        </is>
      </c>
      <c r="C209" s="4" t="inlineStr">
        <is>
          <t>Lyft av tungt brunnslock över 15 kg</t>
        </is>
      </c>
      <c r="D209" s="4" t="inlineStr">
        <is>
          <t>RENH</t>
        </is>
      </c>
      <c r="E209" s="4" t="inlineStr">
        <is>
          <t>SLAM</t>
        </is>
      </c>
      <c r="F209" s="4" t="n">
        <v>1</v>
      </c>
      <c r="G209" s="4" t="inlineStr">
        <is>
          <t>KVAN</t>
        </is>
      </c>
      <c r="H209" s="4" t="inlineStr">
        <is>
          <t>Lyft av tungt brunnslock över 15 kg</t>
        </is>
      </c>
      <c r="I209" s="4" t="n"/>
      <c r="J209" s="4" t="n"/>
      <c r="K209" s="4" t="n">
        <v>950</v>
      </c>
      <c r="L209" s="19" t="n">
        <v>45200</v>
      </c>
      <c r="M209" s="4" t="n">
        <v>0</v>
      </c>
      <c r="N209" s="4" t="n"/>
      <c r="O209" s="4" t="inlineStr">
        <is>
          <t>-</t>
        </is>
      </c>
      <c r="P209" s="4" t="n">
        <v>1</v>
      </c>
      <c r="Q209" s="6" t="inlineStr">
        <is>
          <t>ANTL</t>
        </is>
      </c>
    </row>
    <row r="210">
      <c r="A210" s="5" t="n">
        <v>123</v>
      </c>
      <c r="B210" s="4" t="inlineStr">
        <is>
          <t>SLTÖ6SLBUD</t>
        </is>
      </c>
      <c r="C210" s="4" t="inlineStr">
        <is>
          <t>Sluten tank över 6 m³, slam. Budning</t>
        </is>
      </c>
      <c r="D210" s="4" t="inlineStr">
        <is>
          <t>RENH</t>
        </is>
      </c>
      <c r="E210" s="4" t="inlineStr">
        <is>
          <t>SLAM</t>
        </is>
      </c>
      <c r="F210" s="4" t="n">
        <v>1</v>
      </c>
      <c r="G210" s="4" t="inlineStr">
        <is>
          <t>ÅRKV</t>
        </is>
      </c>
      <c r="H210" s="4" t="inlineStr">
        <is>
          <t>Sluten tank över 6 m³, slam. Bud</t>
        </is>
      </c>
      <c r="I210" s="4" t="n"/>
      <c r="J210" s="4" t="n"/>
      <c r="K210" s="4" t="n">
        <v>0</v>
      </c>
      <c r="L210" s="19" t="n">
        <v>44927</v>
      </c>
      <c r="M210" s="4" t="n">
        <v>0</v>
      </c>
      <c r="N210" s="4" t="n"/>
      <c r="O210" s="4" t="inlineStr">
        <is>
          <t>-</t>
        </is>
      </c>
      <c r="P210" s="4" t="n">
        <v>1</v>
      </c>
      <c r="Q210" s="6" t="inlineStr">
        <is>
          <t>ANTB</t>
        </is>
      </c>
    </row>
    <row r="211">
      <c r="A211" s="5" t="n">
        <v>136</v>
      </c>
      <c r="B211" s="4" t="inlineStr">
        <is>
          <t>SLTÖ6SLORD</t>
        </is>
      </c>
      <c r="C211" s="4" t="inlineStr">
        <is>
          <t>Sluten tank över 6 m³, slam. Ordinarie tur</t>
        </is>
      </c>
      <c r="D211" s="4" t="inlineStr">
        <is>
          <t>RENH</t>
        </is>
      </c>
      <c r="E211" s="4" t="inlineStr">
        <is>
          <t>SLAM</t>
        </is>
      </c>
      <c r="F211" s="4" t="n">
        <v>1</v>
      </c>
      <c r="G211" s="4" t="inlineStr">
        <is>
          <t>ÅRKV</t>
        </is>
      </c>
      <c r="H211" s="4" t="inlineStr">
        <is>
          <t>Sluten tank över 6 m³, slam. Ord</t>
        </is>
      </c>
      <c r="I211" s="4" t="n"/>
      <c r="J211" s="4" t="n"/>
      <c r="K211" s="4" t="n">
        <v>0</v>
      </c>
      <c r="L211" s="19" t="n">
        <v>44927</v>
      </c>
      <c r="M211" s="4" t="n">
        <v>0</v>
      </c>
      <c r="N211" s="4" t="n"/>
      <c r="O211" s="4" t="inlineStr">
        <is>
          <t>-</t>
        </is>
      </c>
      <c r="P211" s="4" t="n">
        <v>1</v>
      </c>
      <c r="Q211" s="6" t="inlineStr">
        <is>
          <t>ANTB</t>
        </is>
      </c>
    </row>
    <row r="212">
      <c r="A212" s="5" t="n">
        <v>172</v>
      </c>
      <c r="B212" s="4" t="inlineStr">
        <is>
          <t>SORTERING</t>
        </is>
      </c>
      <c r="C212" s="4" t="inlineStr">
        <is>
          <t>Material till sortering (Ej farligt avfall och elavfall)</t>
        </is>
      </c>
      <c r="D212" s="4" t="inlineStr">
        <is>
          <t>RENH</t>
        </is>
      </c>
      <c r="E212" s="4" t="inlineStr">
        <is>
          <t>BYGG</t>
        </is>
      </c>
      <c r="F212" s="4" t="n">
        <v>1</v>
      </c>
      <c r="G212" s="4" t="inlineStr">
        <is>
          <t>KVAN</t>
        </is>
      </c>
      <c r="H212" s="4" t="inlineStr">
        <is>
          <t>Material till sortering</t>
        </is>
      </c>
      <c r="I212" s="4" t="n"/>
      <c r="J212" s="4" t="n"/>
      <c r="K212" s="4" t="n">
        <v>4000</v>
      </c>
      <c r="L212" s="19" t="n">
        <v>45200</v>
      </c>
      <c r="M212" s="4" t="n">
        <v>0</v>
      </c>
      <c r="N212" s="4" t="n"/>
      <c r="O212" s="4" t="inlineStr">
        <is>
          <t>-</t>
        </is>
      </c>
      <c r="P212" s="4" t="n">
        <v>1</v>
      </c>
      <c r="Q212" s="6" t="inlineStr">
        <is>
          <t>VITO</t>
        </is>
      </c>
    </row>
    <row r="213">
      <c r="A213" s="5" t="n">
        <v>206</v>
      </c>
      <c r="B213" s="4" t="inlineStr">
        <is>
          <t>SPOLVAGN</t>
        </is>
      </c>
      <c r="C213" s="4" t="inlineStr">
        <is>
          <t>Spolvagn- externa tjänster</t>
        </is>
      </c>
      <c r="D213" s="4" t="inlineStr">
        <is>
          <t>RENH</t>
        </is>
      </c>
      <c r="E213" s="4" t="inlineStr">
        <is>
          <t>EXT</t>
        </is>
      </c>
      <c r="F213" s="4" t="n">
        <v>1</v>
      </c>
      <c r="G213" s="4" t="inlineStr">
        <is>
          <t>KVAN</t>
        </is>
      </c>
      <c r="H213" s="4" t="inlineStr">
        <is>
          <t>Spolvagn</t>
        </is>
      </c>
      <c r="I213" s="4" t="n"/>
      <c r="J213" s="4" t="n"/>
      <c r="K213" s="4" t="n">
        <v>269.6</v>
      </c>
      <c r="L213" s="19" t="n">
        <v>44927</v>
      </c>
      <c r="M213" s="4" t="n">
        <v>0</v>
      </c>
      <c r="N213" s="4" t="n"/>
      <c r="O213" s="4" t="inlineStr">
        <is>
          <t>-</t>
        </is>
      </c>
      <c r="P213" s="4" t="n">
        <v>1</v>
      </c>
      <c r="Q213" s="6" t="inlineStr">
        <is>
          <t>TIMT</t>
        </is>
      </c>
    </row>
    <row r="214">
      <c r="A214" s="5" t="n">
        <v>253</v>
      </c>
      <c r="B214" s="4" t="inlineStr">
        <is>
          <t>TEST 370VV</t>
        </is>
      </c>
      <c r="C214" s="4" t="inlineStr">
        <is>
          <t>370 L KÄRL/14 DGR 2-DELAT PAPPER OCH PLAST</t>
        </is>
      </c>
      <c r="D214" s="4" t="inlineStr">
        <is>
          <t>RENH</t>
        </is>
      </c>
      <c r="E214" s="4" t="inlineStr">
        <is>
          <t>HUSH</t>
        </is>
      </c>
      <c r="F214" s="4" t="n">
        <v>1</v>
      </c>
      <c r="G214" s="4" t="inlineStr">
        <is>
          <t>ÅRKV</t>
        </is>
      </c>
      <c r="H214" s="4" t="inlineStr">
        <is>
          <t>Kärl 370 L kärl test papper plast</t>
        </is>
      </c>
      <c r="I214" s="4" t="n"/>
      <c r="J214" s="4" t="n"/>
      <c r="K214" s="4" t="n"/>
      <c r="L214" s="19" t="n"/>
      <c r="M214" s="4" t="n">
        <v>0</v>
      </c>
      <c r="N214" s="4" t="n"/>
      <c r="O214" s="4" t="inlineStr">
        <is>
          <t>X</t>
        </is>
      </c>
      <c r="P214" s="4" t="n">
        <v>1</v>
      </c>
      <c r="Q214" s="6" t="inlineStr">
        <is>
          <t>ANTB</t>
        </is>
      </c>
    </row>
    <row r="215">
      <c r="A215" s="5" t="n">
        <v>254</v>
      </c>
      <c r="B215" s="4" t="inlineStr">
        <is>
          <t>TEST 370VV</t>
        </is>
      </c>
      <c r="C215" s="4" t="inlineStr">
        <is>
          <t>370 L KÄRL/14 DGR 2-DELAT PAPPER OCH PLAST</t>
        </is>
      </c>
      <c r="D215" s="4" t="inlineStr">
        <is>
          <t>RENH</t>
        </is>
      </c>
      <c r="E215" s="4" t="inlineStr">
        <is>
          <t>HUSH</t>
        </is>
      </c>
      <c r="F215" s="4" t="n">
        <v>2</v>
      </c>
      <c r="G215" s="4" t="inlineStr">
        <is>
          <t>KVAN</t>
        </is>
      </c>
      <c r="H215" s="4" t="inlineStr">
        <is>
          <t>Kärl 370 L kärl test viktavgift papper plast</t>
        </is>
      </c>
      <c r="I215" s="4" t="n"/>
      <c r="J215" s="4" t="n"/>
      <c r="K215" s="4" t="n"/>
      <c r="L215" s="19" t="n"/>
      <c r="M215" s="4" t="n">
        <v>0</v>
      </c>
      <c r="N215" s="4" t="n"/>
      <c r="O215" s="4" t="inlineStr">
        <is>
          <t>X</t>
        </is>
      </c>
      <c r="P215" s="4" t="n">
        <v>1</v>
      </c>
      <c r="Q215" s="6" t="inlineStr">
        <is>
          <t>VIKG</t>
        </is>
      </c>
    </row>
    <row r="216">
      <c r="A216" s="5" t="n">
        <v>257</v>
      </c>
      <c r="B216" s="4" t="inlineStr">
        <is>
          <t>TEST240METE13</t>
        </is>
      </c>
      <c r="C216" s="4" t="inlineStr">
        <is>
          <t>240L 2- delat kärl/4:e vecka metall, textil TEST</t>
        </is>
      </c>
      <c r="D216" s="4" t="inlineStr">
        <is>
          <t>RENH</t>
        </is>
      </c>
      <c r="E216" s="4" t="inlineStr">
        <is>
          <t>HUSH</t>
        </is>
      </c>
      <c r="F216" s="4" t="n">
        <v>1</v>
      </c>
      <c r="G216" s="4" t="inlineStr">
        <is>
          <t>ÅRKV</t>
        </is>
      </c>
      <c r="H216" s="4" t="inlineStr">
        <is>
          <t>240 L kärl/4:e vecka metall textil TEST</t>
        </is>
      </c>
      <c r="I216" s="4" t="n"/>
      <c r="J216" s="4" t="n"/>
      <c r="K216" s="4" t="n"/>
      <c r="L216" s="19" t="n"/>
      <c r="M216" s="4" t="n">
        <v>0</v>
      </c>
      <c r="N216" s="4" t="n"/>
      <c r="O216" s="4" t="inlineStr">
        <is>
          <t>-</t>
        </is>
      </c>
      <c r="P216" s="4" t="n">
        <v>1</v>
      </c>
      <c r="Q216" s="6" t="inlineStr">
        <is>
          <t>ANTB</t>
        </is>
      </c>
    </row>
    <row r="217">
      <c r="A217" s="5" t="n">
        <v>258</v>
      </c>
      <c r="B217" s="4" t="inlineStr">
        <is>
          <t>TEST240METE13</t>
        </is>
      </c>
      <c r="C217" s="4" t="inlineStr">
        <is>
          <t>240L 2- delat kärl/4:e vecka metall, textil TEST</t>
        </is>
      </c>
      <c r="D217" s="4" t="inlineStr">
        <is>
          <t>RENH</t>
        </is>
      </c>
      <c r="E217" s="4" t="inlineStr">
        <is>
          <t>HUSH</t>
        </is>
      </c>
      <c r="F217" s="4" t="n">
        <v>2</v>
      </c>
      <c r="G217" s="4" t="inlineStr">
        <is>
          <t>KVAN</t>
        </is>
      </c>
      <c r="H217" s="4" t="inlineStr">
        <is>
          <t>240 L kärl viktavgift metall textil TEST</t>
        </is>
      </c>
      <c r="I217" s="4" t="n"/>
      <c r="J217" s="4" t="n"/>
      <c r="K217" s="4" t="n"/>
      <c r="L217" s="19" t="n"/>
      <c r="M217" s="4" t="n">
        <v>0</v>
      </c>
      <c r="N217" s="4" t="n"/>
      <c r="O217" s="4" t="inlineStr">
        <is>
          <t>-</t>
        </is>
      </c>
      <c r="P217" s="4" t="n">
        <v>1</v>
      </c>
      <c r="Q217" s="6" t="inlineStr">
        <is>
          <t>VIKG</t>
        </is>
      </c>
    </row>
    <row r="218">
      <c r="A218" s="5" t="n">
        <v>255</v>
      </c>
      <c r="B218" s="4" t="inlineStr">
        <is>
          <t>TEST240OFFG13</t>
        </is>
      </c>
      <c r="C218" s="4" t="inlineStr">
        <is>
          <t>240 2-DELAT KÄRL/4:E VECKA FÄRGAT O OFÄRGAT GLAS TEST</t>
        </is>
      </c>
      <c r="D218" s="4" t="inlineStr">
        <is>
          <t>RENH</t>
        </is>
      </c>
      <c r="E218" s="4" t="inlineStr">
        <is>
          <t>HUSH</t>
        </is>
      </c>
      <c r="F218" s="4" t="n">
        <v>1</v>
      </c>
      <c r="G218" s="4" t="inlineStr">
        <is>
          <t>ÅRKV</t>
        </is>
      </c>
      <c r="H218" s="4" t="inlineStr">
        <is>
          <t>240 l kärl/4 vecka test glas färgat ofärgata</t>
        </is>
      </c>
      <c r="I218" s="4" t="n"/>
      <c r="J218" s="4" t="n"/>
      <c r="K218" s="4" t="n"/>
      <c r="L218" s="19" t="n"/>
      <c r="M218" s="4" t="n">
        <v>0</v>
      </c>
      <c r="N218" s="4" t="n"/>
      <c r="O218" s="4" t="inlineStr">
        <is>
          <t>X</t>
        </is>
      </c>
      <c r="P218" s="4" t="n">
        <v>1</v>
      </c>
      <c r="Q218" s="6" t="inlineStr">
        <is>
          <t>ANTB</t>
        </is>
      </c>
    </row>
    <row r="219">
      <c r="A219" s="5" t="n">
        <v>256</v>
      </c>
      <c r="B219" s="4" t="inlineStr">
        <is>
          <t>TEST240OFFG13</t>
        </is>
      </c>
      <c r="C219" s="4" t="inlineStr">
        <is>
          <t>240 2-DELAT KÄRL/4:E VECKA FÄRGAT O OFÄRGAT GLAS TEST</t>
        </is>
      </c>
      <c r="D219" s="4" t="inlineStr">
        <is>
          <t>RENH</t>
        </is>
      </c>
      <c r="E219" s="4" t="inlineStr">
        <is>
          <t>HUSH</t>
        </is>
      </c>
      <c r="F219" s="4" t="n">
        <v>2</v>
      </c>
      <c r="G219" s="4" t="inlineStr">
        <is>
          <t>KVAN</t>
        </is>
      </c>
      <c r="H219" s="4" t="inlineStr">
        <is>
          <t>240 l viktavgift färgat ofärgat test</t>
        </is>
      </c>
      <c r="I219" s="4" t="n"/>
      <c r="J219" s="4" t="n"/>
      <c r="K219" s="4" t="n"/>
      <c r="L219" s="19" t="n"/>
      <c r="M219" s="4" t="n">
        <v>0</v>
      </c>
      <c r="N219" s="4" t="n"/>
      <c r="O219" s="4" t="inlineStr">
        <is>
          <t>X</t>
        </is>
      </c>
      <c r="P219" s="4" t="n">
        <v>1</v>
      </c>
      <c r="Q219" s="6" t="inlineStr">
        <is>
          <t>VIKG</t>
        </is>
      </c>
    </row>
    <row r="220">
      <c r="A220" s="5" t="n">
        <v>8</v>
      </c>
      <c r="B220" s="4" t="inlineStr">
        <is>
          <t>TILLGODO</t>
        </is>
      </c>
      <c r="C220" s="4" t="inlineStr">
        <is>
          <t>Kreditavdrag</t>
        </is>
      </c>
      <c r="D220" s="4" t="inlineStr">
        <is>
          <t>VA</t>
        </is>
      </c>
      <c r="E220" s="4" t="n"/>
      <c r="F220" s="4" t="n">
        <v>1</v>
      </c>
      <c r="G220" s="4" t="inlineStr">
        <is>
          <t>KRED</t>
        </is>
      </c>
      <c r="H220" s="4" t="inlineStr">
        <is>
          <t>Kreditavdrag</t>
        </is>
      </c>
      <c r="I220" s="4" t="n"/>
      <c r="J220" s="4" t="n"/>
      <c r="K220" s="4" t="n">
        <v>0</v>
      </c>
      <c r="L220" s="19" t="n">
        <v>32874</v>
      </c>
      <c r="M220" s="4" t="n">
        <v>0</v>
      </c>
      <c r="N220" s="4" t="n"/>
      <c r="O220" s="4" t="inlineStr">
        <is>
          <t>-</t>
        </is>
      </c>
      <c r="P220" s="4" t="n">
        <v>0</v>
      </c>
      <c r="Q220" s="6" t="n"/>
    </row>
    <row r="221">
      <c r="A221" s="5" t="n">
        <v>169</v>
      </c>
      <c r="B221" s="4" t="inlineStr">
        <is>
          <t>TRÄBEHANDL</t>
        </is>
      </c>
      <c r="C221" s="4" t="inlineStr">
        <is>
          <t>Träavfall- behandlat utan tapet, plastmatta, tjärpapp</t>
        </is>
      </c>
      <c r="D221" s="4" t="inlineStr">
        <is>
          <t>RENH</t>
        </is>
      </c>
      <c r="E221" s="4" t="inlineStr">
        <is>
          <t>BYGG</t>
        </is>
      </c>
      <c r="F221" s="4" t="n">
        <v>1</v>
      </c>
      <c r="G221" s="4" t="inlineStr">
        <is>
          <t>KVAN</t>
        </is>
      </c>
      <c r="H221" s="4" t="inlineStr">
        <is>
          <t>Träavfall- behandlat</t>
        </is>
      </c>
      <c r="I221" s="4" t="n"/>
      <c r="J221" s="4" t="n"/>
      <c r="K221" s="4" t="n">
        <v>1600</v>
      </c>
      <c r="L221" s="19" t="n">
        <v>45200</v>
      </c>
      <c r="M221" s="4" t="n">
        <v>0</v>
      </c>
      <c r="N221" s="4" t="n"/>
      <c r="O221" s="4" t="inlineStr">
        <is>
          <t>-</t>
        </is>
      </c>
      <c r="P221" s="4" t="n">
        <v>1</v>
      </c>
      <c r="Q221" s="6" t="inlineStr">
        <is>
          <t>VITO</t>
        </is>
      </c>
    </row>
    <row r="222">
      <c r="A222" s="5" t="n">
        <v>165</v>
      </c>
      <c r="B222" s="4" t="inlineStr">
        <is>
          <t>TRÄDGÅRDBUD</t>
        </is>
      </c>
      <c r="C222" s="4" t="inlineStr">
        <is>
          <t>Budning av trädgårdsavfall, pris per tillfälle</t>
        </is>
      </c>
      <c r="D222" s="4" t="inlineStr">
        <is>
          <t>RENH</t>
        </is>
      </c>
      <c r="E222" s="4" t="inlineStr">
        <is>
          <t>HUSH</t>
        </is>
      </c>
      <c r="F222" s="4" t="n">
        <v>1</v>
      </c>
      <c r="G222" s="4" t="inlineStr">
        <is>
          <t>KVAN</t>
        </is>
      </c>
      <c r="H222" s="4" t="inlineStr">
        <is>
          <t>Budning av trädgårdsavfall, pris per tillfälle</t>
        </is>
      </c>
      <c r="I222" s="4" t="n"/>
      <c r="J222" s="4" t="n"/>
      <c r="K222" s="4" t="n">
        <v>1600</v>
      </c>
      <c r="L222" s="19" t="n">
        <v>45200</v>
      </c>
      <c r="M222" s="4" t="n">
        <v>0</v>
      </c>
      <c r="N222" s="4" t="n"/>
      <c r="O222" s="4" t="inlineStr">
        <is>
          <t>-</t>
        </is>
      </c>
      <c r="P222" s="4" t="n">
        <v>1</v>
      </c>
      <c r="Q222" s="6" t="inlineStr">
        <is>
          <t>ANTL</t>
        </is>
      </c>
    </row>
    <row r="223">
      <c r="A223" s="5" t="n">
        <v>168</v>
      </c>
      <c r="B223" s="4" t="inlineStr">
        <is>
          <t>TRÄRENT</t>
        </is>
      </c>
      <c r="C223" s="4" t="inlineStr">
        <is>
          <t>Träavfall- rent utan tapet, plastmatta, tjärpapp</t>
        </is>
      </c>
      <c r="D223" s="4" t="inlineStr">
        <is>
          <t>RENH</t>
        </is>
      </c>
      <c r="E223" s="4" t="inlineStr">
        <is>
          <t>BYGG</t>
        </is>
      </c>
      <c r="F223" s="4" t="n">
        <v>1</v>
      </c>
      <c r="G223" s="4" t="inlineStr">
        <is>
          <t>KVAN</t>
        </is>
      </c>
      <c r="H223" s="4" t="inlineStr">
        <is>
          <t>Träavfall- rent</t>
        </is>
      </c>
      <c r="I223" s="4" t="n"/>
      <c r="J223" s="4" t="n"/>
      <c r="K223" s="4" t="n">
        <v>950</v>
      </c>
      <c r="L223" s="19" t="n">
        <v>45200</v>
      </c>
      <c r="M223" s="4" t="n">
        <v>0</v>
      </c>
      <c r="N223" s="4" t="n"/>
      <c r="O223" s="4" t="inlineStr">
        <is>
          <t>-</t>
        </is>
      </c>
      <c r="P223" s="4" t="n">
        <v>1</v>
      </c>
      <c r="Q223" s="6" t="inlineStr">
        <is>
          <t>VITO</t>
        </is>
      </c>
    </row>
    <row r="224">
      <c r="A224" s="5" t="n">
        <v>259</v>
      </c>
      <c r="B224" s="4" t="inlineStr">
        <is>
          <t>Tungt lock</t>
        </is>
      </c>
      <c r="C224" s="4" t="inlineStr">
        <is>
          <t>Lyft av tung lock över 15 kilo slam</t>
        </is>
      </c>
      <c r="D224" s="4" t="inlineStr">
        <is>
          <t>RENH</t>
        </is>
      </c>
      <c r="E224" s="4" t="inlineStr">
        <is>
          <t>SLAM</t>
        </is>
      </c>
      <c r="F224" s="4" t="n">
        <v>1</v>
      </c>
      <c r="G224" s="4" t="inlineStr">
        <is>
          <t>KVAN</t>
        </is>
      </c>
      <c r="H224" s="4" t="inlineStr">
        <is>
          <t>Lyft av tungt brunnslock över 15 kg</t>
        </is>
      </c>
      <c r="I224" s="4" t="n"/>
      <c r="J224" s="4" t="n"/>
      <c r="K224" s="4" t="n">
        <v>776</v>
      </c>
      <c r="L224" s="19" t="n">
        <v>45658</v>
      </c>
      <c r="M224" s="4" t="n">
        <v>0</v>
      </c>
      <c r="N224" s="4" t="n"/>
      <c r="O224" s="4" t="inlineStr">
        <is>
          <t>-</t>
        </is>
      </c>
      <c r="P224" s="4" t="n">
        <v>1</v>
      </c>
      <c r="Q224" s="6" t="inlineStr">
        <is>
          <t>ANTL</t>
        </is>
      </c>
    </row>
    <row r="225">
      <c r="A225" s="5" t="n">
        <v>228</v>
      </c>
      <c r="B225" s="4" t="inlineStr">
        <is>
          <t>UJ1500GF</t>
        </is>
      </c>
      <c r="C225" s="4" t="inlineStr">
        <is>
          <t>Underjordsbehållare 1,5 m³, glas färgat. Tjänsttaxa</t>
        </is>
      </c>
      <c r="D225" s="4" t="inlineStr">
        <is>
          <t>RENH</t>
        </is>
      </c>
      <c r="E225" s="4" t="inlineStr">
        <is>
          <t>ÅVS</t>
        </is>
      </c>
      <c r="F225" s="4" t="n">
        <v>1</v>
      </c>
      <c r="G225" s="4" t="inlineStr">
        <is>
          <t>ÅRKV</t>
        </is>
      </c>
      <c r="H225" s="4" t="inlineStr">
        <is>
          <t>Underjordsbehållare 1,5 m³, glas färgat</t>
        </is>
      </c>
      <c r="I225" s="4" t="n"/>
      <c r="J225" s="4" t="n"/>
      <c r="K225" s="4" t="n">
        <v>0</v>
      </c>
      <c r="L225" s="19" t="n">
        <v>45292</v>
      </c>
      <c r="M225" s="4" t="n">
        <v>0</v>
      </c>
      <c r="N225" s="4" t="n"/>
      <c r="O225" s="4" t="inlineStr">
        <is>
          <t>-</t>
        </is>
      </c>
      <c r="P225" s="4" t="n">
        <v>1</v>
      </c>
      <c r="Q225" s="6" t="inlineStr">
        <is>
          <t>0</t>
        </is>
      </c>
    </row>
    <row r="226">
      <c r="A226" s="5" t="n">
        <v>230</v>
      </c>
      <c r="B226" s="4" t="inlineStr">
        <is>
          <t>UJ1500GFTÖM</t>
        </is>
      </c>
      <c r="C226" s="4" t="inlineStr">
        <is>
          <t>Tömning underjordsbehållare 1,5 m³, glasförp färgat</t>
        </is>
      </c>
      <c r="D226" s="4" t="inlineStr">
        <is>
          <t>RENH</t>
        </is>
      </c>
      <c r="E226" s="4" t="inlineStr">
        <is>
          <t>ÅVS</t>
        </is>
      </c>
      <c r="F226" s="4" t="n">
        <v>1</v>
      </c>
      <c r="G226" s="4" t="inlineStr">
        <is>
          <t>KVAN</t>
        </is>
      </c>
      <c r="H226" s="4" t="inlineStr">
        <is>
          <t>Tömning underjordsbehållare 1,5 m³, glasförp färgat</t>
        </is>
      </c>
      <c r="I226" s="4" t="n"/>
      <c r="J226" s="4" t="n"/>
      <c r="K226" s="4" t="n">
        <v>0</v>
      </c>
      <c r="L226" s="19" t="n">
        <v>45292</v>
      </c>
      <c r="M226" s="4" t="n">
        <v>0</v>
      </c>
      <c r="N226" s="4" t="n"/>
      <c r="O226" s="4" t="inlineStr">
        <is>
          <t>-</t>
        </is>
      </c>
      <c r="P226" s="4" t="n">
        <v>1</v>
      </c>
      <c r="Q226" s="6" t="inlineStr">
        <is>
          <t>ANTL</t>
        </is>
      </c>
    </row>
    <row r="227">
      <c r="A227" s="5" t="n">
        <v>229</v>
      </c>
      <c r="B227" s="4" t="inlineStr">
        <is>
          <t>UJ1500GO</t>
        </is>
      </c>
      <c r="C227" s="4" t="inlineStr">
        <is>
          <t>Underjordsbehållare 1,5 m³, glas ofärgat. Tjänsttaxa</t>
        </is>
      </c>
      <c r="D227" s="4" t="inlineStr">
        <is>
          <t>RENH</t>
        </is>
      </c>
      <c r="E227" s="4" t="inlineStr">
        <is>
          <t>ÅVS</t>
        </is>
      </c>
      <c r="F227" s="4" t="n">
        <v>1</v>
      </c>
      <c r="G227" s="4" t="inlineStr">
        <is>
          <t>ÅRKV</t>
        </is>
      </c>
      <c r="H227" s="4" t="inlineStr">
        <is>
          <t>Underjordsbehållare 1,5 m³, glas ofärgat</t>
        </is>
      </c>
      <c r="I227" s="4" t="n"/>
      <c r="J227" s="4" t="n"/>
      <c r="K227" s="4" t="n">
        <v>0</v>
      </c>
      <c r="L227" s="19" t="n">
        <v>45292</v>
      </c>
      <c r="M227" s="4" t="n">
        <v>0</v>
      </c>
      <c r="N227" s="4" t="n"/>
      <c r="O227" s="4" t="inlineStr">
        <is>
          <t>-</t>
        </is>
      </c>
      <c r="P227" s="4" t="n">
        <v>1</v>
      </c>
      <c r="Q227" s="6" t="inlineStr">
        <is>
          <t>0</t>
        </is>
      </c>
    </row>
    <row r="228">
      <c r="A228" s="5" t="n">
        <v>231</v>
      </c>
      <c r="B228" s="4" t="inlineStr">
        <is>
          <t>UJ1500GOTÖM</t>
        </is>
      </c>
      <c r="C228" s="4" t="inlineStr">
        <is>
          <t>Tömning underjordsbehållare 1,5 m³, glasförp ofärgat</t>
        </is>
      </c>
      <c r="D228" s="4" t="inlineStr">
        <is>
          <t>RENH</t>
        </is>
      </c>
      <c r="E228" s="4" t="inlineStr">
        <is>
          <t>ÅVS</t>
        </is>
      </c>
      <c r="F228" s="4" t="n">
        <v>1</v>
      </c>
      <c r="G228" s="4" t="inlineStr">
        <is>
          <t>KVAN</t>
        </is>
      </c>
      <c r="H228" s="4" t="inlineStr">
        <is>
          <t>Tömning underjordsbehållare 1,5 m³, glasförp ofärgat</t>
        </is>
      </c>
      <c r="I228" s="4" t="n"/>
      <c r="J228" s="4" t="n"/>
      <c r="K228" s="4" t="n">
        <v>0</v>
      </c>
      <c r="L228" s="19" t="n">
        <v>45292</v>
      </c>
      <c r="M228" s="4" t="n">
        <v>0</v>
      </c>
      <c r="N228" s="4" t="n"/>
      <c r="O228" s="4" t="inlineStr">
        <is>
          <t>-</t>
        </is>
      </c>
      <c r="P228" s="4" t="n">
        <v>1</v>
      </c>
      <c r="Q228" s="6" t="inlineStr">
        <is>
          <t>ANTL</t>
        </is>
      </c>
    </row>
    <row r="229">
      <c r="A229" s="5" t="n">
        <v>226</v>
      </c>
      <c r="B229" s="4" t="inlineStr">
        <is>
          <t>UJ1500ME</t>
        </is>
      </c>
      <c r="C229" s="4" t="inlineStr">
        <is>
          <t>Underjordsbehållare 1,5 m³, metallförpackningar. Tjänsttaxa</t>
        </is>
      </c>
      <c r="D229" s="4" t="inlineStr">
        <is>
          <t>RENH</t>
        </is>
      </c>
      <c r="E229" s="4" t="inlineStr">
        <is>
          <t>ÅVS</t>
        </is>
      </c>
      <c r="F229" s="4" t="n">
        <v>1</v>
      </c>
      <c r="G229" s="4" t="inlineStr">
        <is>
          <t>ÅRKV</t>
        </is>
      </c>
      <c r="H229" s="4" t="inlineStr">
        <is>
          <t>Underjordsbehållare 1,5 m³, metallförpackningar</t>
        </is>
      </c>
      <c r="I229" s="4" t="n"/>
      <c r="J229" s="4" t="n"/>
      <c r="K229" s="4" t="n">
        <v>0</v>
      </c>
      <c r="L229" s="19" t="n">
        <v>45292</v>
      </c>
      <c r="M229" s="4" t="n">
        <v>0</v>
      </c>
      <c r="N229" s="4" t="n"/>
      <c r="O229" s="4" t="inlineStr">
        <is>
          <t>-</t>
        </is>
      </c>
      <c r="P229" s="4" t="n">
        <v>1</v>
      </c>
      <c r="Q229" s="6" t="inlineStr">
        <is>
          <t>0</t>
        </is>
      </c>
    </row>
    <row r="230">
      <c r="A230" s="5" t="n">
        <v>232</v>
      </c>
      <c r="B230" s="4" t="inlineStr">
        <is>
          <t>UJ1500METÖM</t>
        </is>
      </c>
      <c r="C230" s="4" t="inlineStr">
        <is>
          <t>Tömning underjordsbehållare 1,5 m³, metallförpackningar</t>
        </is>
      </c>
      <c r="D230" s="4" t="inlineStr">
        <is>
          <t>RENH</t>
        </is>
      </c>
      <c r="E230" s="4" t="inlineStr">
        <is>
          <t>ÅVS</t>
        </is>
      </c>
      <c r="F230" s="4" t="n">
        <v>1</v>
      </c>
      <c r="G230" s="4" t="inlineStr">
        <is>
          <t>KVAN</t>
        </is>
      </c>
      <c r="H230" s="4" t="inlineStr">
        <is>
          <t>Tömning underjordsbehållare 1,5 m³, metallförpackningar</t>
        </is>
      </c>
      <c r="I230" s="4" t="n"/>
      <c r="J230" s="4" t="n"/>
      <c r="K230" s="4" t="n">
        <v>0</v>
      </c>
      <c r="L230" s="19" t="n">
        <v>45292</v>
      </c>
      <c r="M230" s="4" t="n">
        <v>0</v>
      </c>
      <c r="N230" s="4" t="n"/>
      <c r="O230" s="4" t="inlineStr">
        <is>
          <t>-</t>
        </is>
      </c>
      <c r="P230" s="4" t="n">
        <v>1</v>
      </c>
      <c r="Q230" s="6" t="inlineStr">
        <is>
          <t>ANTL</t>
        </is>
      </c>
    </row>
    <row r="231">
      <c r="A231" s="5" t="n">
        <v>227</v>
      </c>
      <c r="B231" s="4" t="inlineStr">
        <is>
          <t>UJ1500TI</t>
        </is>
      </c>
      <c r="C231" s="4" t="inlineStr">
        <is>
          <t>Underjordsbehållare 1,5 m³, tidningar. Tjänsttaxa</t>
        </is>
      </c>
      <c r="D231" s="4" t="inlineStr">
        <is>
          <t>RENH</t>
        </is>
      </c>
      <c r="E231" s="4" t="inlineStr">
        <is>
          <t>ÅVS</t>
        </is>
      </c>
      <c r="F231" s="4" t="n">
        <v>1</v>
      </c>
      <c r="G231" s="4" t="inlineStr">
        <is>
          <t>ÅRKV</t>
        </is>
      </c>
      <c r="H231" s="4" t="inlineStr">
        <is>
          <t>Underjordsbehållare 1,5 m³, tidningar</t>
        </is>
      </c>
      <c r="I231" s="4" t="n"/>
      <c r="J231" s="4" t="n"/>
      <c r="K231" s="4" t="n">
        <v>0</v>
      </c>
      <c r="L231" s="19" t="n">
        <v>45292</v>
      </c>
      <c r="M231" s="4" t="n">
        <v>0</v>
      </c>
      <c r="N231" s="4" t="n"/>
      <c r="O231" s="4" t="inlineStr">
        <is>
          <t>-</t>
        </is>
      </c>
      <c r="P231" s="4" t="n">
        <v>1</v>
      </c>
      <c r="Q231" s="6" t="inlineStr">
        <is>
          <t>0</t>
        </is>
      </c>
    </row>
    <row r="232">
      <c r="A232" s="5" t="n">
        <v>233</v>
      </c>
      <c r="B232" s="4" t="inlineStr">
        <is>
          <t>UJ1500TITÖM</t>
        </is>
      </c>
      <c r="C232" s="4" t="inlineStr">
        <is>
          <t>Tömning underjordsbehållare 1,5 m³, tidningar</t>
        </is>
      </c>
      <c r="D232" s="4" t="inlineStr">
        <is>
          <t>RENH</t>
        </is>
      </c>
      <c r="E232" s="4" t="inlineStr">
        <is>
          <t>ÅVS</t>
        </is>
      </c>
      <c r="F232" s="4" t="n">
        <v>1</v>
      </c>
      <c r="G232" s="4" t="inlineStr">
        <is>
          <t>KVAN</t>
        </is>
      </c>
      <c r="H232" s="4" t="inlineStr">
        <is>
          <t>Tömning underjordsbehållare 1,5 m³, tidningar</t>
        </is>
      </c>
      <c r="I232" s="4" t="n"/>
      <c r="J232" s="4" t="n"/>
      <c r="K232" s="4" t="n">
        <v>0</v>
      </c>
      <c r="L232" s="19" t="n">
        <v>45292</v>
      </c>
      <c r="M232" s="4" t="n">
        <v>0</v>
      </c>
      <c r="N232" s="4" t="n"/>
      <c r="O232" s="4" t="inlineStr">
        <is>
          <t>-</t>
        </is>
      </c>
      <c r="P232" s="4" t="n">
        <v>1</v>
      </c>
      <c r="Q232" s="6" t="inlineStr">
        <is>
          <t>ANTL</t>
        </is>
      </c>
    </row>
    <row r="233">
      <c r="A233" s="5" t="n">
        <v>224</v>
      </c>
      <c r="B233" s="4" t="inlineStr">
        <is>
          <t>UJ3200PL</t>
        </is>
      </c>
      <c r="C233" s="4" t="inlineStr">
        <is>
          <t>Underjordsbehållare 3,2 m³, plastförpackningar. Tjänsttaxa</t>
        </is>
      </c>
      <c r="D233" s="4" t="inlineStr">
        <is>
          <t>RENH</t>
        </is>
      </c>
      <c r="E233" s="4" t="inlineStr">
        <is>
          <t>ÅVS</t>
        </is>
      </c>
      <c r="F233" s="4" t="n">
        <v>1</v>
      </c>
      <c r="G233" s="4" t="inlineStr">
        <is>
          <t>ÅRKV</t>
        </is>
      </c>
      <c r="H233" s="4" t="inlineStr">
        <is>
          <t>Underjordsbehållare 3,2 m³, plastförpackningar</t>
        </is>
      </c>
      <c r="I233" s="4" t="n"/>
      <c r="J233" s="4" t="n"/>
      <c r="K233" s="4" t="n">
        <v>0</v>
      </c>
      <c r="L233" s="19" t="n">
        <v>45292</v>
      </c>
      <c r="M233" s="4" t="n">
        <v>0</v>
      </c>
      <c r="N233" s="4" t="n"/>
      <c r="O233" s="4" t="inlineStr">
        <is>
          <t>-</t>
        </is>
      </c>
      <c r="P233" s="4" t="n">
        <v>1</v>
      </c>
      <c r="Q233" s="6" t="inlineStr">
        <is>
          <t>0</t>
        </is>
      </c>
    </row>
    <row r="234">
      <c r="A234" s="5" t="n">
        <v>234</v>
      </c>
      <c r="B234" s="4" t="inlineStr">
        <is>
          <t>UJ3200PLTÖM</t>
        </is>
      </c>
      <c r="C234" s="4" t="inlineStr">
        <is>
          <t>Tömning underjordsbehållare 3,2 m³, plastförpackningar</t>
        </is>
      </c>
      <c r="D234" s="4" t="inlineStr">
        <is>
          <t>RENH</t>
        </is>
      </c>
      <c r="E234" s="4" t="inlineStr">
        <is>
          <t>ÅVS</t>
        </is>
      </c>
      <c r="F234" s="4" t="n">
        <v>1</v>
      </c>
      <c r="G234" s="4" t="inlineStr">
        <is>
          <t>KVAN</t>
        </is>
      </c>
      <c r="H234" s="4" t="inlineStr">
        <is>
          <t>Tömning underjordsbehållare 3,2 m³, plastförpackningar</t>
        </is>
      </c>
      <c r="I234" s="4" t="n"/>
      <c r="J234" s="4" t="n"/>
      <c r="K234" s="4" t="n">
        <v>0</v>
      </c>
      <c r="L234" s="19" t="n">
        <v>45292</v>
      </c>
      <c r="M234" s="4" t="n">
        <v>0</v>
      </c>
      <c r="N234" s="4" t="n"/>
      <c r="O234" s="4" t="inlineStr">
        <is>
          <t>-</t>
        </is>
      </c>
      <c r="P234" s="4" t="n">
        <v>1</v>
      </c>
      <c r="Q234" s="6" t="inlineStr">
        <is>
          <t>ANTL</t>
        </is>
      </c>
    </row>
    <row r="235">
      <c r="A235" s="5" t="n">
        <v>247</v>
      </c>
      <c r="B235" s="4" t="inlineStr">
        <is>
          <t>UJ3200RE</t>
        </is>
      </c>
      <c r="C235" s="4" t="inlineStr">
        <is>
          <t>Underjordsbehållare 3,2 m³, restavfall. Tjänsttaxa</t>
        </is>
      </c>
      <c r="D235" s="4" t="inlineStr">
        <is>
          <t>RENH</t>
        </is>
      </c>
      <c r="E235" s="4" t="inlineStr">
        <is>
          <t>ÅVS</t>
        </is>
      </c>
      <c r="F235" s="4" t="n">
        <v>1</v>
      </c>
      <c r="G235" s="4" t="inlineStr">
        <is>
          <t>ÅRKV</t>
        </is>
      </c>
      <c r="H235" s="4" t="inlineStr">
        <is>
          <t>Underjordsbehållare 3,2 m³, restavfall</t>
        </is>
      </c>
      <c r="I235" s="4" t="n"/>
      <c r="J235" s="4" t="n"/>
      <c r="K235" s="4" t="n">
        <v>0</v>
      </c>
      <c r="L235" s="19" t="n">
        <v>45292</v>
      </c>
      <c r="M235" s="4" t="n">
        <v>0</v>
      </c>
      <c r="N235" s="4" t="n"/>
      <c r="O235" s="4" t="inlineStr">
        <is>
          <t>-</t>
        </is>
      </c>
      <c r="P235" s="4" t="n">
        <v>1</v>
      </c>
      <c r="Q235" s="6" t="inlineStr">
        <is>
          <t>0</t>
        </is>
      </c>
    </row>
    <row r="236">
      <c r="A236" s="5" t="n">
        <v>249</v>
      </c>
      <c r="B236" s="4" t="inlineStr">
        <is>
          <t>UJ3200RETÖM</t>
        </is>
      </c>
      <c r="C236" s="4" t="inlineStr">
        <is>
          <t>Tömning underjordsbehållare 3,2 m³, restavfall</t>
        </is>
      </c>
      <c r="D236" s="4" t="inlineStr">
        <is>
          <t>RENH</t>
        </is>
      </c>
      <c r="E236" s="4" t="inlineStr">
        <is>
          <t>ÅVS</t>
        </is>
      </c>
      <c r="F236" s="4" t="n">
        <v>1</v>
      </c>
      <c r="G236" s="4" t="inlineStr">
        <is>
          <t>KVAN</t>
        </is>
      </c>
      <c r="H236" s="4" t="inlineStr">
        <is>
          <t>Tömning underjordsbehållare 3,2 m³, restavfall</t>
        </is>
      </c>
      <c r="I236" s="4" t="n"/>
      <c r="J236" s="4" t="n"/>
      <c r="K236" s="4" t="n">
        <v>0</v>
      </c>
      <c r="L236" s="19" t="n">
        <v>45292</v>
      </c>
      <c r="M236" s="4" t="n">
        <v>0</v>
      </c>
      <c r="N236" s="4" t="n"/>
      <c r="O236" s="4" t="inlineStr">
        <is>
          <t>-</t>
        </is>
      </c>
      <c r="P236" s="4" t="n">
        <v>1</v>
      </c>
      <c r="Q236" s="6" t="inlineStr">
        <is>
          <t>ANTL</t>
        </is>
      </c>
    </row>
    <row r="237">
      <c r="A237" s="5" t="n">
        <v>222</v>
      </c>
      <c r="B237" s="4" t="inlineStr">
        <is>
          <t>UJ5000PA</t>
        </is>
      </c>
      <c r="C237" s="4" t="inlineStr">
        <is>
          <t>Underjordsbehållare 5 m³, pappersförpackningar. Tjänsttaxa</t>
        </is>
      </c>
      <c r="D237" s="4" t="inlineStr">
        <is>
          <t>RENH</t>
        </is>
      </c>
      <c r="E237" s="4" t="inlineStr">
        <is>
          <t>ÅVS</t>
        </is>
      </c>
      <c r="F237" s="4" t="n">
        <v>1</v>
      </c>
      <c r="G237" s="4" t="inlineStr">
        <is>
          <t>ÅRKV</t>
        </is>
      </c>
      <c r="H237" s="4" t="inlineStr">
        <is>
          <t>Underjordsbehållare 5 m³, pappersförpackningar</t>
        </is>
      </c>
      <c r="I237" s="4" t="n"/>
      <c r="J237" s="4" t="n"/>
      <c r="K237" s="4" t="n">
        <v>0</v>
      </c>
      <c r="L237" s="19" t="n">
        <v>45292</v>
      </c>
      <c r="M237" s="4" t="n">
        <v>0</v>
      </c>
      <c r="N237" s="4" t="n"/>
      <c r="O237" s="4" t="inlineStr">
        <is>
          <t>-</t>
        </is>
      </c>
      <c r="P237" s="4" t="n">
        <v>1</v>
      </c>
      <c r="Q237" s="6" t="inlineStr">
        <is>
          <t>0</t>
        </is>
      </c>
    </row>
    <row r="238">
      <c r="A238" s="5" t="n">
        <v>236</v>
      </c>
      <c r="B238" s="4" t="inlineStr">
        <is>
          <t>UJ5000PATÖM</t>
        </is>
      </c>
      <c r="C238" s="4" t="inlineStr">
        <is>
          <t>Tömning underjordsbehållare 5 m³, pappersförpackningar</t>
        </is>
      </c>
      <c r="D238" s="4" t="inlineStr">
        <is>
          <t>RENH</t>
        </is>
      </c>
      <c r="E238" s="4" t="inlineStr">
        <is>
          <t>ÅVS</t>
        </is>
      </c>
      <c r="F238" s="4" t="n">
        <v>1</v>
      </c>
      <c r="G238" s="4" t="inlineStr">
        <is>
          <t>KVAN</t>
        </is>
      </c>
      <c r="H238" s="4" t="inlineStr">
        <is>
          <t>Tömning underjordsbehållare 5 m³, pappersförpackningar</t>
        </is>
      </c>
      <c r="I238" s="4" t="n"/>
      <c r="J238" s="4" t="n"/>
      <c r="K238" s="4" t="n">
        <v>0</v>
      </c>
      <c r="L238" s="19" t="n">
        <v>45292</v>
      </c>
      <c r="M238" s="4" t="n">
        <v>0</v>
      </c>
      <c r="N238" s="4" t="n"/>
      <c r="O238" s="4" t="inlineStr">
        <is>
          <t>-</t>
        </is>
      </c>
      <c r="P238" s="4" t="n">
        <v>1</v>
      </c>
      <c r="Q238" s="6" t="inlineStr">
        <is>
          <t>ANTL</t>
        </is>
      </c>
    </row>
    <row r="239">
      <c r="A239" s="5" t="n">
        <v>223</v>
      </c>
      <c r="B239" s="4" t="inlineStr">
        <is>
          <t>UJ5000PL</t>
        </is>
      </c>
      <c r="C239" s="4" t="inlineStr">
        <is>
          <t>Underjordsbehållare 5 m³, plastförpackningar. Tjänsttaxa</t>
        </is>
      </c>
      <c r="D239" s="4" t="inlineStr">
        <is>
          <t>RENH</t>
        </is>
      </c>
      <c r="E239" s="4" t="inlineStr">
        <is>
          <t>ÅVS</t>
        </is>
      </c>
      <c r="F239" s="4" t="n">
        <v>1</v>
      </c>
      <c r="G239" s="4" t="inlineStr">
        <is>
          <t>ÅRKV</t>
        </is>
      </c>
      <c r="H239" s="4" t="inlineStr">
        <is>
          <t>Underjordsbehållare 5 m³, plastförpackningar</t>
        </is>
      </c>
      <c r="I239" s="4" t="n"/>
      <c r="J239" s="4" t="n"/>
      <c r="K239" s="4" t="n">
        <v>0</v>
      </c>
      <c r="L239" s="19" t="n">
        <v>45292</v>
      </c>
      <c r="M239" s="4" t="n">
        <v>0</v>
      </c>
      <c r="N239" s="4" t="n"/>
      <c r="O239" s="4" t="inlineStr">
        <is>
          <t>-</t>
        </is>
      </c>
      <c r="P239" s="4" t="n">
        <v>1</v>
      </c>
      <c r="Q239" s="6" t="inlineStr">
        <is>
          <t>0</t>
        </is>
      </c>
    </row>
    <row r="240">
      <c r="A240" s="5" t="n">
        <v>235</v>
      </c>
      <c r="B240" s="4" t="inlineStr">
        <is>
          <t>UJ5000PLTÖM</t>
        </is>
      </c>
      <c r="C240" s="4" t="inlineStr">
        <is>
          <t>Tömning underjordsbehållare 5 m³, plastförpackningar</t>
        </is>
      </c>
      <c r="D240" s="4" t="inlineStr">
        <is>
          <t>RENH</t>
        </is>
      </c>
      <c r="E240" s="4" t="inlineStr">
        <is>
          <t>ÅVS</t>
        </is>
      </c>
      <c r="F240" s="4" t="n">
        <v>1</v>
      </c>
      <c r="G240" s="4" t="inlineStr">
        <is>
          <t>KVAN</t>
        </is>
      </c>
      <c r="H240" s="4" t="inlineStr">
        <is>
          <t>Tömning underjordsbehållare 5 m³, plastförpackningar</t>
        </is>
      </c>
      <c r="I240" s="4" t="n"/>
      <c r="J240" s="4" t="n"/>
      <c r="K240" s="4" t="n">
        <v>0</v>
      </c>
      <c r="L240" s="19" t="n">
        <v>45292</v>
      </c>
      <c r="M240" s="4" t="n">
        <v>0</v>
      </c>
      <c r="N240" s="4" t="n"/>
      <c r="O240" s="4" t="inlineStr">
        <is>
          <t>-</t>
        </is>
      </c>
      <c r="P240" s="4" t="n">
        <v>1</v>
      </c>
      <c r="Q240" s="6" t="inlineStr">
        <is>
          <t>ANTL</t>
        </is>
      </c>
    </row>
    <row r="241">
      <c r="A241" s="5" t="n">
        <v>248</v>
      </c>
      <c r="B241" s="4" t="inlineStr">
        <is>
          <t>UJ800MA</t>
        </is>
      </c>
      <c r="C241" s="4" t="inlineStr">
        <is>
          <t>Underjordsbehållare 0,8 m³, matavfall. Tjänsttaxa</t>
        </is>
      </c>
      <c r="D241" s="4" t="inlineStr">
        <is>
          <t>RENH</t>
        </is>
      </c>
      <c r="E241" s="4" t="inlineStr">
        <is>
          <t>ÅVS</t>
        </is>
      </c>
      <c r="F241" s="4" t="n">
        <v>1</v>
      </c>
      <c r="G241" s="4" t="inlineStr">
        <is>
          <t>ÅRKV</t>
        </is>
      </c>
      <c r="H241" s="4" t="inlineStr">
        <is>
          <t>Underjordsbehållare 0,8 m³, matavfall</t>
        </is>
      </c>
      <c r="I241" s="4" t="n"/>
      <c r="J241" s="4" t="n"/>
      <c r="K241" s="4" t="n">
        <v>0</v>
      </c>
      <c r="L241" s="19" t="n">
        <v>45292</v>
      </c>
      <c r="M241" s="4" t="n">
        <v>0</v>
      </c>
      <c r="N241" s="4" t="n"/>
      <c r="O241" s="4" t="inlineStr">
        <is>
          <t>-</t>
        </is>
      </c>
      <c r="P241" s="4" t="n">
        <v>1</v>
      </c>
      <c r="Q241" s="6" t="inlineStr">
        <is>
          <t>0</t>
        </is>
      </c>
    </row>
    <row r="242">
      <c r="A242" s="5" t="n">
        <v>250</v>
      </c>
      <c r="B242" s="4" t="inlineStr">
        <is>
          <t>UJ800MATÖM</t>
        </is>
      </c>
      <c r="C242" s="4" t="inlineStr">
        <is>
          <t>Tömning underjordsbehållare 0,8 m³, matavfall</t>
        </is>
      </c>
      <c r="D242" s="4" t="inlineStr">
        <is>
          <t>RENH</t>
        </is>
      </c>
      <c r="E242" s="4" t="inlineStr">
        <is>
          <t>ÅVS</t>
        </is>
      </c>
      <c r="F242" s="4" t="n">
        <v>1</v>
      </c>
      <c r="G242" s="4" t="inlineStr">
        <is>
          <t>KVAN</t>
        </is>
      </c>
      <c r="H242" s="4" t="inlineStr">
        <is>
          <t>Tömning underjordsbehållare 0,8 m³, matavfall</t>
        </is>
      </c>
      <c r="I242" s="4" t="n"/>
      <c r="J242" s="4" t="n"/>
      <c r="K242" s="4" t="n">
        <v>0</v>
      </c>
      <c r="L242" s="19" t="n">
        <v>45292</v>
      </c>
      <c r="M242" s="4" t="n">
        <v>0</v>
      </c>
      <c r="N242" s="4" t="n"/>
      <c r="O242" s="4" t="inlineStr">
        <is>
          <t>-</t>
        </is>
      </c>
      <c r="P242" s="4" t="n">
        <v>1</v>
      </c>
      <c r="Q242" s="6" t="inlineStr">
        <is>
          <t>ANTL</t>
        </is>
      </c>
    </row>
    <row r="243">
      <c r="A243" s="5" t="n">
        <v>269</v>
      </c>
      <c r="B243" s="4" t="inlineStr">
        <is>
          <t>UTEDASS</t>
        </is>
      </c>
      <c r="C243" s="4" t="inlineStr">
        <is>
          <t>Utedass</t>
        </is>
      </c>
      <c r="D243" s="4" t="inlineStr">
        <is>
          <t>RENH</t>
        </is>
      </c>
      <c r="E243" s="4" t="inlineStr">
        <is>
          <t>SLAM</t>
        </is>
      </c>
      <c r="F243" s="4" t="n">
        <v>1</v>
      </c>
      <c r="G243" s="4" t="inlineStr">
        <is>
          <t>ÅRKV</t>
        </is>
      </c>
      <c r="H243" s="4" t="inlineStr">
        <is>
          <t>Utedass</t>
        </is>
      </c>
      <c r="I243" s="4" t="n"/>
      <c r="J243" s="4" t="n"/>
      <c r="K243" s="4" t="n">
        <v>0</v>
      </c>
      <c r="L243" s="19" t="n">
        <v>45658</v>
      </c>
      <c r="M243" s="4" t="n">
        <v>0</v>
      </c>
      <c r="N243" s="4" t="n"/>
      <c r="O243" s="4" t="inlineStr">
        <is>
          <t>-</t>
        </is>
      </c>
      <c r="P243" s="4" t="n">
        <v>1</v>
      </c>
      <c r="Q243" s="6" t="inlineStr">
        <is>
          <t>ANTL</t>
        </is>
      </c>
    </row>
    <row r="244">
      <c r="A244" s="5" t="n">
        <v>70</v>
      </c>
      <c r="B244" s="4" t="inlineStr">
        <is>
          <t>V</t>
        </is>
      </c>
      <c r="C244" s="4" t="inlineStr">
        <is>
          <t>VATTEN BOSTADSHUS</t>
        </is>
      </c>
      <c r="D244" s="4" t="inlineStr">
        <is>
          <t>VA</t>
        </is>
      </c>
      <c r="E244" s="4" t="inlineStr">
        <is>
          <t>VATT</t>
        </is>
      </c>
      <c r="F244" s="4" t="n">
        <v>1</v>
      </c>
      <c r="G244" s="4" t="inlineStr">
        <is>
          <t>ÅRPR</t>
        </is>
      </c>
      <c r="H244" s="4" t="inlineStr">
        <is>
          <t>Vatten bostadshus</t>
        </is>
      </c>
      <c r="I244" s="4" t="n"/>
      <c r="J244" s="4" t="n"/>
      <c r="K244" s="4" t="n">
        <v>3969</v>
      </c>
      <c r="L244" s="19" t="n">
        <v>45658</v>
      </c>
      <c r="M244" s="4" t="n">
        <v>0</v>
      </c>
      <c r="N244" s="4" t="n"/>
      <c r="O244" s="4" t="inlineStr">
        <is>
          <t>-</t>
        </is>
      </c>
      <c r="P244" s="4" t="n">
        <v>1</v>
      </c>
      <c r="Q244" s="6" t="n"/>
    </row>
    <row r="245">
      <c r="A245" s="5" t="n">
        <v>71</v>
      </c>
      <c r="B245" s="4" t="inlineStr">
        <is>
          <t>VA</t>
        </is>
      </c>
      <c r="C245" s="4" t="inlineStr">
        <is>
          <t>VA-AVGIFTER</t>
        </is>
      </c>
      <c r="D245" s="4" t="inlineStr">
        <is>
          <t>VA</t>
        </is>
      </c>
      <c r="E245" s="4" t="inlineStr">
        <is>
          <t>VA</t>
        </is>
      </c>
      <c r="F245" s="4" t="n">
        <v>1</v>
      </c>
      <c r="G245" s="4" t="inlineStr">
        <is>
          <t>FÖRB</t>
        </is>
      </c>
      <c r="H245" s="4" t="inlineStr">
        <is>
          <t>Förbrukning</t>
        </is>
      </c>
      <c r="I245" s="4" t="n"/>
      <c r="J245" s="4" t="n"/>
      <c r="K245" s="4" t="n">
        <v>24.5</v>
      </c>
      <c r="L245" s="19" t="n">
        <v>45658</v>
      </c>
      <c r="M245" s="4" t="n">
        <v>0</v>
      </c>
      <c r="N245" s="4" t="n"/>
      <c r="O245" s="4" t="inlineStr">
        <is>
          <t>-</t>
        </is>
      </c>
      <c r="P245" s="4" t="n">
        <v>1</v>
      </c>
      <c r="Q245" s="6" t="n"/>
    </row>
    <row r="246">
      <c r="A246" s="5" t="n">
        <v>72</v>
      </c>
      <c r="B246" s="4" t="inlineStr">
        <is>
          <t>VA</t>
        </is>
      </c>
      <c r="C246" s="4" t="inlineStr">
        <is>
          <t>VA-AVGIFTER</t>
        </is>
      </c>
      <c r="D246" s="4" t="inlineStr">
        <is>
          <t>VA</t>
        </is>
      </c>
      <c r="E246" s="4" t="inlineStr">
        <is>
          <t>VA</t>
        </is>
      </c>
      <c r="F246" s="4" t="n">
        <v>2</v>
      </c>
      <c r="G246" s="4" t="inlineStr">
        <is>
          <t>ÅRPR</t>
        </is>
      </c>
      <c r="H246" s="4" t="inlineStr">
        <is>
          <t>Grund och mätaravgift</t>
        </is>
      </c>
      <c r="I246" s="4" t="n"/>
      <c r="J246" s="4" t="n"/>
      <c r="K246" s="4" t="n">
        <v>2999.5</v>
      </c>
      <c r="L246" s="19" t="n">
        <v>45658</v>
      </c>
      <c r="M246" s="4" t="n">
        <v>0</v>
      </c>
      <c r="N246" s="4" t="n"/>
      <c r="O246" s="4" t="inlineStr">
        <is>
          <t>-</t>
        </is>
      </c>
      <c r="P246" s="4" t="n">
        <v>1</v>
      </c>
      <c r="Q246" s="6" t="n"/>
    </row>
    <row r="247">
      <c r="A247" s="5" t="n">
        <v>73</v>
      </c>
      <c r="B247" s="4" t="inlineStr">
        <is>
          <t>VAF</t>
        </is>
      </c>
      <c r="C247" s="4" t="inlineStr">
        <is>
          <t>VA-ENDAST FÖRBRUKNING</t>
        </is>
      </c>
      <c r="D247" s="4" t="inlineStr">
        <is>
          <t>VA</t>
        </is>
      </c>
      <c r="E247" s="4" t="inlineStr">
        <is>
          <t>VA</t>
        </is>
      </c>
      <c r="F247" s="4" t="n">
        <v>1</v>
      </c>
      <c r="G247" s="4" t="inlineStr">
        <is>
          <t>FÖRB</t>
        </is>
      </c>
      <c r="H247" s="4" t="inlineStr">
        <is>
          <t>Förbrukning</t>
        </is>
      </c>
      <c r="I247" s="4" t="n"/>
      <c r="J247" s="4" t="n"/>
      <c r="K247" s="4" t="n">
        <v>24.5</v>
      </c>
      <c r="L247" s="19" t="n">
        <v>45658</v>
      </c>
      <c r="M247" s="4" t="n">
        <v>0</v>
      </c>
      <c r="N247" s="4" t="n"/>
      <c r="O247" s="4" t="inlineStr">
        <is>
          <t>-</t>
        </is>
      </c>
      <c r="P247" s="4" t="n">
        <v>1</v>
      </c>
      <c r="Q247" s="6" t="n"/>
    </row>
    <row r="248">
      <c r="A248" s="5" t="n">
        <v>74</v>
      </c>
      <c r="B248" s="4" t="inlineStr">
        <is>
          <t>VAFP</t>
        </is>
      </c>
      <c r="C248" s="4" t="inlineStr">
        <is>
          <t>VA FRITIDSHUS PARHUS</t>
        </is>
      </c>
      <c r="D248" s="4" t="inlineStr">
        <is>
          <t>VA</t>
        </is>
      </c>
      <c r="E248" s="4" t="inlineStr">
        <is>
          <t>VA</t>
        </is>
      </c>
      <c r="F248" s="4" t="n">
        <v>1</v>
      </c>
      <c r="G248" s="4" t="inlineStr">
        <is>
          <t>ÅRPR</t>
        </is>
      </c>
      <c r="H248" s="4" t="inlineStr">
        <is>
          <t>Vatten och avlopp</t>
        </is>
      </c>
      <c r="I248" s="4" t="n"/>
      <c r="J248" s="4" t="n"/>
      <c r="K248" s="4" t="n">
        <v>6032</v>
      </c>
      <c r="L248" s="19" t="n">
        <v>45658</v>
      </c>
      <c r="M248" s="4" t="n">
        <v>0</v>
      </c>
      <c r="N248" s="4" t="n"/>
      <c r="O248" s="4" t="inlineStr">
        <is>
          <t>-</t>
        </is>
      </c>
      <c r="P248" s="4" t="n">
        <v>1</v>
      </c>
      <c r="Q248" s="6" t="n"/>
    </row>
    <row r="249">
      <c r="A249" s="5" t="n">
        <v>75</v>
      </c>
      <c r="B249" s="4" t="inlineStr">
        <is>
          <t>VAK</t>
        </is>
      </c>
      <c r="C249" s="4" t="inlineStr">
        <is>
          <t>VA MAX 200 kvm</t>
        </is>
      </c>
      <c r="D249" s="4" t="inlineStr">
        <is>
          <t>VA</t>
        </is>
      </c>
      <c r="E249" s="4" t="inlineStr">
        <is>
          <t>VA</t>
        </is>
      </c>
      <c r="F249" s="4" t="n">
        <v>1</v>
      </c>
      <c r="G249" s="4" t="inlineStr">
        <is>
          <t>ÅRPR</t>
        </is>
      </c>
      <c r="H249" s="4" t="inlineStr">
        <is>
          <t>Vatten och avlopp</t>
        </is>
      </c>
      <c r="I249" s="4" t="n"/>
      <c r="J249" s="4" t="n"/>
      <c r="K249" s="4" t="n">
        <v>7746</v>
      </c>
      <c r="L249" s="19" t="n">
        <v>45658</v>
      </c>
      <c r="M249" s="4" t="n">
        <v>0</v>
      </c>
      <c r="N249" s="4" t="n"/>
      <c r="O249" s="4" t="inlineStr">
        <is>
          <t>-</t>
        </is>
      </c>
      <c r="P249" s="4" t="n">
        <v>1</v>
      </c>
      <c r="Q249" s="6" t="n"/>
    </row>
    <row r="250">
      <c r="A250" s="5" t="n">
        <v>76</v>
      </c>
      <c r="B250" s="4" t="inlineStr">
        <is>
          <t>VAK2</t>
        </is>
      </c>
      <c r="C250" s="4" t="inlineStr">
        <is>
          <t>VA MER ÄN 200 kvm</t>
        </is>
      </c>
      <c r="D250" s="4" t="inlineStr">
        <is>
          <t>VA</t>
        </is>
      </c>
      <c r="E250" s="4" t="inlineStr">
        <is>
          <t>VA</t>
        </is>
      </c>
      <c r="F250" s="4" t="n">
        <v>1</v>
      </c>
      <c r="G250" s="4" t="inlineStr">
        <is>
          <t>ÅRPR</t>
        </is>
      </c>
      <c r="H250" s="4" t="inlineStr">
        <is>
          <t>Vatten och avlopp</t>
        </is>
      </c>
      <c r="I250" s="4" t="n"/>
      <c r="J250" s="4" t="n"/>
      <c r="K250" s="4" t="n">
        <v>7746</v>
      </c>
      <c r="L250" s="19" t="n">
        <v>45658</v>
      </c>
      <c r="M250" s="4" t="n">
        <v>0</v>
      </c>
      <c r="N250" s="4" t="n"/>
      <c r="O250" s="4" t="inlineStr">
        <is>
          <t>-</t>
        </is>
      </c>
      <c r="P250" s="4" t="n">
        <v>1</v>
      </c>
      <c r="Q250" s="6" t="n"/>
    </row>
    <row r="251">
      <c r="A251" s="5" t="n">
        <v>77</v>
      </c>
      <c r="B251" s="4" t="inlineStr">
        <is>
          <t>VAK2</t>
        </is>
      </c>
      <c r="C251" s="4" t="inlineStr">
        <is>
          <t>VA MER ÄN 200 kvm</t>
        </is>
      </c>
      <c r="D251" s="4" t="inlineStr">
        <is>
          <t>VA</t>
        </is>
      </c>
      <c r="E251" s="4" t="inlineStr">
        <is>
          <t>VA</t>
        </is>
      </c>
      <c r="F251" s="4" t="n">
        <v>2</v>
      </c>
      <c r="G251" s="4" t="inlineStr">
        <is>
          <t>ÅRKV</t>
        </is>
      </c>
      <c r="H251" s="4" t="inlineStr">
        <is>
          <t>Extra avgift per 100kvm över 200kvm</t>
        </is>
      </c>
      <c r="I251" s="4" t="n"/>
      <c r="J251" s="4" t="n"/>
      <c r="K251" s="4" t="n">
        <v>1639</v>
      </c>
      <c r="L251" s="19" t="n">
        <v>45658</v>
      </c>
      <c r="M251" s="4" t="n">
        <v>0</v>
      </c>
      <c r="N251" s="4" t="n"/>
      <c r="O251" s="4" t="inlineStr">
        <is>
          <t>-</t>
        </is>
      </c>
      <c r="P251" s="4" t="n">
        <v>1</v>
      </c>
      <c r="Q251" s="6" t="inlineStr">
        <is>
          <t>KVM</t>
        </is>
      </c>
    </row>
    <row r="252">
      <c r="A252" s="5" t="n">
        <v>78</v>
      </c>
      <c r="B252" s="4" t="inlineStr">
        <is>
          <t>VAL2</t>
        </is>
      </c>
      <c r="C252" s="4" t="inlineStr">
        <is>
          <t>VA HÖGST 2 LÄGENHETER</t>
        </is>
      </c>
      <c r="D252" s="4" t="inlineStr">
        <is>
          <t>VA</t>
        </is>
      </c>
      <c r="E252" s="4" t="inlineStr">
        <is>
          <t>VA</t>
        </is>
      </c>
      <c r="F252" s="4" t="n">
        <v>1</v>
      </c>
      <c r="G252" s="4" t="inlineStr">
        <is>
          <t>ÅRPR</t>
        </is>
      </c>
      <c r="H252" s="4" t="inlineStr">
        <is>
          <t>Vatten och avlopp</t>
        </is>
      </c>
      <c r="I252" s="4" t="n"/>
      <c r="J252" s="4" t="n"/>
      <c r="K252" s="4" t="n">
        <v>9609</v>
      </c>
      <c r="L252" s="19" t="n">
        <v>45658</v>
      </c>
      <c r="M252" s="4" t="n">
        <v>0</v>
      </c>
      <c r="N252" s="4" t="n"/>
      <c r="O252" s="4" t="inlineStr">
        <is>
          <t>-</t>
        </is>
      </c>
      <c r="P252" s="4" t="n">
        <v>1</v>
      </c>
      <c r="Q252" s="6" t="n"/>
    </row>
    <row r="253">
      <c r="A253" s="5" t="n">
        <v>79</v>
      </c>
      <c r="B253" s="4" t="inlineStr">
        <is>
          <t>VAL3</t>
        </is>
      </c>
      <c r="C253" s="4" t="inlineStr">
        <is>
          <t>VA MER ÄN 2 LÄGENHETER</t>
        </is>
      </c>
      <c r="D253" s="4" t="inlineStr">
        <is>
          <t>VA</t>
        </is>
      </c>
      <c r="E253" s="4" t="inlineStr">
        <is>
          <t>VA</t>
        </is>
      </c>
      <c r="F253" s="4" t="n">
        <v>1</v>
      </c>
      <c r="G253" s="4" t="inlineStr">
        <is>
          <t>ÅRKV</t>
        </is>
      </c>
      <c r="H253" s="4" t="inlineStr">
        <is>
          <t>Vatten och avlopp mer än 2 lgh</t>
        </is>
      </c>
      <c r="I253" s="4" t="n"/>
      <c r="J253" s="4" t="n"/>
      <c r="K253" s="4" t="n">
        <v>2791</v>
      </c>
      <c r="L253" s="19" t="n">
        <v>45658</v>
      </c>
      <c r="M253" s="4" t="n">
        <v>0</v>
      </c>
      <c r="N253" s="4" t="n"/>
      <c r="O253" s="4" t="inlineStr">
        <is>
          <t>-</t>
        </is>
      </c>
      <c r="P253" s="4" t="n">
        <v>1</v>
      </c>
      <c r="Q253" s="6" t="inlineStr">
        <is>
          <t>KBMV</t>
        </is>
      </c>
    </row>
    <row r="254">
      <c r="A254" s="5" t="n">
        <v>80</v>
      </c>
      <c r="B254" s="4" t="inlineStr">
        <is>
          <t>VAOB</t>
        </is>
      </c>
      <c r="C254" s="4" t="inlineStr">
        <is>
          <t>PERMANENTHUS, OBEBOTT LÄNGRE ÄN 3 MÅN</t>
        </is>
      </c>
      <c r="D254" s="4" t="inlineStr">
        <is>
          <t>VA</t>
        </is>
      </c>
      <c r="E254" s="4" t="inlineStr">
        <is>
          <t>VA</t>
        </is>
      </c>
      <c r="F254" s="4" t="n">
        <v>1</v>
      </c>
      <c r="G254" s="4" t="inlineStr">
        <is>
          <t>ÅRPR</t>
        </is>
      </c>
      <c r="H254" s="4" t="inlineStr">
        <is>
          <t>Vatten avlopp obebott</t>
        </is>
      </c>
      <c r="I254" s="4" t="n"/>
      <c r="J254" s="4" t="n"/>
      <c r="K254" s="4" t="n">
        <v>4293</v>
      </c>
      <c r="L254" s="19" t="n">
        <v>45658</v>
      </c>
      <c r="M254" s="4" t="n">
        <v>0</v>
      </c>
      <c r="N254" s="4" t="n"/>
      <c r="O254" s="4" t="inlineStr">
        <is>
          <t>-</t>
        </is>
      </c>
      <c r="P254" s="4" t="n">
        <v>1</v>
      </c>
      <c r="Q254" s="6" t="n"/>
    </row>
    <row r="255">
      <c r="A255" s="5" t="n">
        <v>154</v>
      </c>
      <c r="B255" s="4" t="inlineStr">
        <is>
          <t>VAOBF</t>
        </is>
      </c>
      <c r="C255" s="4" t="inlineStr">
        <is>
          <t>VA, OBEBYGGD FASTIGHET INOM DETALJLAGT OMRÅDE</t>
        </is>
      </c>
      <c r="D255" s="4" t="inlineStr">
        <is>
          <t>VA</t>
        </is>
      </c>
      <c r="E255" s="4" t="inlineStr">
        <is>
          <t>VA</t>
        </is>
      </c>
      <c r="F255" s="4" t="n">
        <v>1</v>
      </c>
      <c r="G255" s="4" t="inlineStr">
        <is>
          <t>ÅRPR</t>
        </is>
      </c>
      <c r="H255" s="4" t="inlineStr">
        <is>
          <t>VA inom detaljplan obebyggd</t>
        </is>
      </c>
      <c r="I255" s="4" t="n"/>
      <c r="J255" s="4" t="n"/>
      <c r="K255" s="4" t="n">
        <v>4128</v>
      </c>
      <c r="L255" s="19" t="n">
        <v>45078</v>
      </c>
      <c r="M255" s="4" t="n">
        <v>0</v>
      </c>
      <c r="N255" s="4" t="n"/>
      <c r="O255" s="4" t="inlineStr">
        <is>
          <t>-</t>
        </is>
      </c>
      <c r="P255" s="4" t="n">
        <v>1</v>
      </c>
      <c r="Q255" s="6" t="n"/>
    </row>
    <row r="256">
      <c r="A256" s="5" t="n">
        <v>9</v>
      </c>
      <c r="B256" s="4" t="inlineStr">
        <is>
          <t>VATILLAV</t>
        </is>
      </c>
      <c r="C256" s="4" t="inlineStr">
        <is>
          <t>VA, tillägg-avdrag</t>
        </is>
      </c>
      <c r="D256" s="4" t="inlineStr">
        <is>
          <t>VA</t>
        </is>
      </c>
      <c r="E256" s="4" t="n"/>
      <c r="F256" s="4" t="n">
        <v>1</v>
      </c>
      <c r="G256" s="4" t="inlineStr">
        <is>
          <t>KVAN</t>
        </is>
      </c>
      <c r="H256" s="4" t="inlineStr">
        <is>
          <t>VA, tillägg-avdrag</t>
        </is>
      </c>
      <c r="I256" s="4" t="n"/>
      <c r="J256" s="4" t="n"/>
      <c r="K256" s="4" t="n">
        <v>0</v>
      </c>
      <c r="L256" s="19" t="n">
        <v>32874</v>
      </c>
      <c r="M256" s="4" t="n">
        <v>0</v>
      </c>
      <c r="N256" s="4" t="n"/>
      <c r="O256" s="4" t="inlineStr">
        <is>
          <t>-</t>
        </is>
      </c>
      <c r="P256" s="4" t="n">
        <v>1</v>
      </c>
      <c r="Q256" s="6" t="n"/>
    </row>
    <row r="257">
      <c r="A257" s="5" t="n">
        <v>81</v>
      </c>
      <c r="B257" s="4" t="inlineStr">
        <is>
          <t>VAUM</t>
        </is>
      </c>
      <c r="C257" s="4" t="inlineStr">
        <is>
          <t>VA Permanentboende</t>
        </is>
      </c>
      <c r="D257" s="4" t="inlineStr">
        <is>
          <t>VA</t>
        </is>
      </c>
      <c r="E257" s="4" t="inlineStr">
        <is>
          <t>VA</t>
        </is>
      </c>
      <c r="F257" s="4" t="n">
        <v>1</v>
      </c>
      <c r="G257" s="4" t="inlineStr">
        <is>
          <t>ÅRPR</t>
        </is>
      </c>
      <c r="H257" s="4" t="inlineStr">
        <is>
          <t>VA Fast avgift - permanentbo.</t>
        </is>
      </c>
      <c r="I257" s="4" t="n"/>
      <c r="J257" s="4" t="n"/>
      <c r="K257" s="4" t="n">
        <v>6365</v>
      </c>
      <c r="L257" s="19" t="n">
        <v>45658</v>
      </c>
      <c r="M257" s="4" t="n">
        <v>0</v>
      </c>
      <c r="N257" s="4" t="n"/>
      <c r="O257" s="4" t="inlineStr">
        <is>
          <t>-</t>
        </is>
      </c>
      <c r="P257" s="4" t="n">
        <v>1</v>
      </c>
      <c r="Q257" s="6" t="n"/>
    </row>
    <row r="258">
      <c r="A258" s="5" t="n">
        <v>82</v>
      </c>
      <c r="B258" s="4" t="inlineStr">
        <is>
          <t>VAUMC</t>
        </is>
      </c>
      <c r="C258" s="4" t="inlineStr">
        <is>
          <t>VA FRITIDSHUS CAMPING</t>
        </is>
      </c>
      <c r="D258" s="4" t="inlineStr">
        <is>
          <t>VA</t>
        </is>
      </c>
      <c r="E258" s="4" t="inlineStr">
        <is>
          <t>VA</t>
        </is>
      </c>
      <c r="F258" s="4" t="n">
        <v>1</v>
      </c>
      <c r="G258" s="4" t="inlineStr">
        <is>
          <t>ÅRPR</t>
        </is>
      </c>
      <c r="H258" s="4" t="inlineStr">
        <is>
          <t>Fast avgift camping</t>
        </is>
      </c>
      <c r="I258" s="4" t="n"/>
      <c r="J258" s="4" t="n"/>
      <c r="K258" s="4" t="n">
        <v>7746</v>
      </c>
      <c r="L258" s="19" t="n">
        <v>45658</v>
      </c>
      <c r="M258" s="4" t="n">
        <v>0</v>
      </c>
      <c r="N258" s="4" t="n"/>
      <c r="O258" s="4" t="inlineStr">
        <is>
          <t>-</t>
        </is>
      </c>
      <c r="P258" s="4" t="n">
        <v>1</v>
      </c>
      <c r="Q258" s="6" t="n"/>
    </row>
    <row r="259">
      <c r="A259" s="5" t="n">
        <v>83</v>
      </c>
      <c r="B259" s="4" t="inlineStr">
        <is>
          <t>VAUMC</t>
        </is>
      </c>
      <c r="C259" s="4" t="inlineStr">
        <is>
          <t>VA FRITIDSHUS CAMPING</t>
        </is>
      </c>
      <c r="D259" s="4" t="inlineStr">
        <is>
          <t>VA</t>
        </is>
      </c>
      <c r="E259" s="4" t="inlineStr">
        <is>
          <t>VA</t>
        </is>
      </c>
      <c r="F259" s="4" t="n">
        <v>2</v>
      </c>
      <c r="G259" s="4" t="inlineStr">
        <is>
          <t>ÅRKV</t>
        </is>
      </c>
      <c r="H259" s="4" t="inlineStr">
        <is>
          <t>Extra för varje stuga</t>
        </is>
      </c>
      <c r="I259" s="4" t="n"/>
      <c r="J259" s="4" t="n"/>
      <c r="K259" s="4" t="n">
        <v>1231</v>
      </c>
      <c r="L259" s="19" t="n">
        <v>45658</v>
      </c>
      <c r="M259" s="4" t="n">
        <v>0</v>
      </c>
      <c r="N259" s="4" t="n"/>
      <c r="O259" s="4" t="inlineStr">
        <is>
          <t>-</t>
        </is>
      </c>
      <c r="P259" s="4" t="n">
        <v>1</v>
      </c>
      <c r="Q259" s="6" t="inlineStr">
        <is>
          <t>STUG</t>
        </is>
      </c>
    </row>
    <row r="260">
      <c r="A260" s="5" t="n">
        <v>84</v>
      </c>
      <c r="B260" s="4" t="inlineStr">
        <is>
          <t>VAUMF</t>
        </is>
      </c>
      <c r="C260" s="4" t="inlineStr">
        <is>
          <t>VA FRITIDSHUS</t>
        </is>
      </c>
      <c r="D260" s="4" t="inlineStr">
        <is>
          <t>VA</t>
        </is>
      </c>
      <c r="E260" s="4" t="inlineStr">
        <is>
          <t>VA</t>
        </is>
      </c>
      <c r="F260" s="4" t="n">
        <v>1</v>
      </c>
      <c r="G260" s="4" t="inlineStr">
        <is>
          <t>ÅRPR</t>
        </is>
      </c>
      <c r="H260" s="4" t="inlineStr">
        <is>
          <t>Fast avgift va fritidshus</t>
        </is>
      </c>
      <c r="I260" s="4" t="n"/>
      <c r="J260" s="4" t="n"/>
      <c r="K260" s="4" t="n">
        <v>4410</v>
      </c>
      <c r="L260" s="19" t="n">
        <v>45658</v>
      </c>
      <c r="M260" s="4" t="n">
        <v>0</v>
      </c>
      <c r="N260" s="4" t="n"/>
      <c r="O260" s="4" t="inlineStr">
        <is>
          <t>-</t>
        </is>
      </c>
      <c r="P260" s="4" t="n">
        <v>1</v>
      </c>
      <c r="Q260" s="6" t="n"/>
    </row>
    <row r="261">
      <c r="A261" s="5" t="n">
        <v>85</v>
      </c>
      <c r="B261" s="4" t="inlineStr">
        <is>
          <t>VF</t>
        </is>
      </c>
      <c r="C261" s="4" t="inlineStr">
        <is>
          <t>VATTEN FRITIDSHUS</t>
        </is>
      </c>
      <c r="D261" s="4" t="inlineStr">
        <is>
          <t>VA</t>
        </is>
      </c>
      <c r="E261" s="4" t="inlineStr">
        <is>
          <t>VATT</t>
        </is>
      </c>
      <c r="F261" s="4" t="n">
        <v>1</v>
      </c>
      <c r="G261" s="4" t="inlineStr">
        <is>
          <t>ÅRPR</t>
        </is>
      </c>
      <c r="H261" s="4" t="inlineStr">
        <is>
          <t>Vatten fritidshus</t>
        </is>
      </c>
      <c r="I261" s="4" t="n"/>
      <c r="J261" s="4" t="n"/>
      <c r="K261" s="4" t="n">
        <v>2716</v>
      </c>
      <c r="L261" s="19" t="n">
        <v>45658</v>
      </c>
      <c r="M261" s="4" t="n">
        <v>0</v>
      </c>
      <c r="N261" s="4" t="n"/>
      <c r="O261" s="4" t="inlineStr">
        <is>
          <t>-</t>
        </is>
      </c>
      <c r="P261" s="4" t="n">
        <v>1</v>
      </c>
      <c r="Q261" s="6" t="n"/>
    </row>
    <row r="262">
      <c r="A262" s="5" t="n">
        <v>241</v>
      </c>
      <c r="B262" s="4" t="inlineStr">
        <is>
          <t>VIKTGF</t>
        </is>
      </c>
      <c r="C262" s="4" t="inlineStr">
        <is>
          <t>Vikt, glasförpackningar färgat</t>
        </is>
      </c>
      <c r="D262" s="4" t="inlineStr">
        <is>
          <t>RENH</t>
        </is>
      </c>
      <c r="E262" s="4" t="inlineStr">
        <is>
          <t>ÅVS</t>
        </is>
      </c>
      <c r="F262" s="4" t="n">
        <v>1</v>
      </c>
      <c r="G262" s="4" t="inlineStr">
        <is>
          <t>KVAN</t>
        </is>
      </c>
      <c r="H262" s="4" t="inlineStr">
        <is>
          <t>Vikt, glasförpackningar färgat</t>
        </is>
      </c>
      <c r="I262" s="4" t="n"/>
      <c r="J262" s="4" t="n"/>
      <c r="K262" s="4" t="n">
        <v>0</v>
      </c>
      <c r="L262" s="19" t="n">
        <v>45292</v>
      </c>
      <c r="M262" s="4" t="n">
        <v>0</v>
      </c>
      <c r="N262" s="4" t="n"/>
      <c r="O262" s="4" t="inlineStr">
        <is>
          <t>-</t>
        </is>
      </c>
      <c r="P262" s="4" t="n">
        <v>1</v>
      </c>
      <c r="Q262" s="6" t="inlineStr">
        <is>
          <t>VIKG</t>
        </is>
      </c>
    </row>
    <row r="263">
      <c r="A263" s="5" t="n">
        <v>242</v>
      </c>
      <c r="B263" s="4" t="inlineStr">
        <is>
          <t>VIKTGO</t>
        </is>
      </c>
      <c r="C263" s="4" t="inlineStr">
        <is>
          <t>Vikt, glasförpackningar ofärgat</t>
        </is>
      </c>
      <c r="D263" s="4" t="inlineStr">
        <is>
          <t>RENH</t>
        </is>
      </c>
      <c r="E263" s="4" t="inlineStr">
        <is>
          <t>ÅVS</t>
        </is>
      </c>
      <c r="F263" s="4" t="n">
        <v>1</v>
      </c>
      <c r="G263" s="4" t="inlineStr">
        <is>
          <t>KVAN</t>
        </is>
      </c>
      <c r="H263" s="4" t="inlineStr">
        <is>
          <t>Vikt, glasförpackningar ofärgat</t>
        </is>
      </c>
      <c r="I263" s="4" t="n"/>
      <c r="J263" s="4" t="n"/>
      <c r="K263" s="4" t="n">
        <v>0</v>
      </c>
      <c r="L263" s="19" t="n">
        <v>45292</v>
      </c>
      <c r="M263" s="4" t="n">
        <v>0</v>
      </c>
      <c r="N263" s="4" t="n"/>
      <c r="O263" s="4" t="inlineStr">
        <is>
          <t>-</t>
        </is>
      </c>
      <c r="P263" s="4" t="n">
        <v>1</v>
      </c>
      <c r="Q263" s="6" t="inlineStr">
        <is>
          <t>VIKG</t>
        </is>
      </c>
    </row>
    <row r="264">
      <c r="A264" s="5" t="n">
        <v>252</v>
      </c>
      <c r="B264" s="4" t="inlineStr">
        <is>
          <t>VIKTMA</t>
        </is>
      </c>
      <c r="C264" s="4" t="inlineStr">
        <is>
          <t>Vikt, matavfall</t>
        </is>
      </c>
      <c r="D264" s="4" t="inlineStr">
        <is>
          <t>RENH</t>
        </is>
      </c>
      <c r="E264" s="4" t="inlineStr">
        <is>
          <t>ÅVS</t>
        </is>
      </c>
      <c r="F264" s="4" t="n">
        <v>1</v>
      </c>
      <c r="G264" s="4" t="inlineStr">
        <is>
          <t>KVAN</t>
        </is>
      </c>
      <c r="H264" s="4" t="inlineStr">
        <is>
          <t>Vikt, matavfall</t>
        </is>
      </c>
      <c r="I264" s="4" t="n"/>
      <c r="J264" s="4" t="n"/>
      <c r="K264" s="4" t="n">
        <v>0</v>
      </c>
      <c r="L264" s="19" t="n">
        <v>45292</v>
      </c>
      <c r="M264" s="4" t="n">
        <v>0</v>
      </c>
      <c r="N264" s="4" t="n"/>
      <c r="O264" s="4" t="inlineStr">
        <is>
          <t>-</t>
        </is>
      </c>
      <c r="P264" s="4" t="n">
        <v>1</v>
      </c>
      <c r="Q264" s="6" t="inlineStr">
        <is>
          <t>VIKG</t>
        </is>
      </c>
    </row>
    <row r="265">
      <c r="A265" s="5" t="n">
        <v>288</v>
      </c>
      <c r="B265" s="4" t="inlineStr">
        <is>
          <t>VIKTMAREST</t>
        </is>
      </c>
      <c r="C265" s="4" t="inlineStr">
        <is>
          <t>Vikt hushållsavfall ma/rest</t>
        </is>
      </c>
      <c r="D265" s="4" t="inlineStr">
        <is>
          <t>RENH</t>
        </is>
      </c>
      <c r="E265" s="4" t="inlineStr">
        <is>
          <t>HUSH</t>
        </is>
      </c>
      <c r="F265" s="4" t="n">
        <v>1</v>
      </c>
      <c r="G265" s="4" t="inlineStr">
        <is>
          <t>KVAN</t>
        </is>
      </c>
      <c r="H265" s="4" t="inlineStr">
        <is>
          <t>Viktavgift hushållsavfall</t>
        </is>
      </c>
      <c r="I265" s="4" t="n"/>
      <c r="J265" s="4" t="n"/>
      <c r="K265" s="4" t="n">
        <v>2.24</v>
      </c>
      <c r="L265" s="19" t="n">
        <v>45658</v>
      </c>
      <c r="M265" s="4" t="n">
        <v>0</v>
      </c>
      <c r="N265" s="4" t="n"/>
      <c r="O265" s="4" t="inlineStr">
        <is>
          <t>-</t>
        </is>
      </c>
      <c r="P265" s="4" t="n">
        <v>1</v>
      </c>
      <c r="Q265" s="6" t="inlineStr">
        <is>
          <t>VIKG</t>
        </is>
      </c>
    </row>
    <row r="266">
      <c r="A266" s="5" t="n">
        <v>213</v>
      </c>
      <c r="B266" s="4" t="inlineStr">
        <is>
          <t>VIKTMAT</t>
        </is>
      </c>
      <c r="C266" s="4" t="inlineStr">
        <is>
          <t>Tvåfackskärl 240 liter viktavgift</t>
        </is>
      </c>
      <c r="D266" s="4" t="inlineStr">
        <is>
          <t>RENH</t>
        </is>
      </c>
      <c r="E266" s="4" t="inlineStr">
        <is>
          <t>HUSH</t>
        </is>
      </c>
      <c r="F266" s="4" t="n">
        <v>1</v>
      </c>
      <c r="G266" s="4" t="inlineStr">
        <is>
          <t>KVAN</t>
        </is>
      </c>
      <c r="H266" s="4" t="inlineStr">
        <is>
          <t>Viktavgift matavfall</t>
        </is>
      </c>
      <c r="I266" s="4" t="n"/>
      <c r="J266" s="4" t="n"/>
      <c r="K266" s="4" t="n">
        <v>2.24</v>
      </c>
      <c r="L266" s="19" t="n">
        <v>45658</v>
      </c>
      <c r="M266" s="4" t="n">
        <v>0</v>
      </c>
      <c r="N266" s="4" t="n"/>
      <c r="O266" s="4" t="inlineStr">
        <is>
          <t>-</t>
        </is>
      </c>
      <c r="P266" s="4" t="n">
        <v>1</v>
      </c>
      <c r="Q266" s="6" t="inlineStr">
        <is>
          <t>VIKG,MAX60</t>
        </is>
      </c>
    </row>
    <row r="267">
      <c r="A267" s="5" t="n">
        <v>214</v>
      </c>
      <c r="B267" s="4" t="inlineStr">
        <is>
          <t>VIKTMAT</t>
        </is>
      </c>
      <c r="C267" s="4" t="inlineStr">
        <is>
          <t>Tvåfackskärl 240 liter viktavgift</t>
        </is>
      </c>
      <c r="D267" s="4" t="inlineStr">
        <is>
          <t>RENH</t>
        </is>
      </c>
      <c r="E267" s="4" t="inlineStr">
        <is>
          <t>HUSH</t>
        </is>
      </c>
      <c r="F267" s="4" t="n">
        <v>2</v>
      </c>
      <c r="G267" s="4" t="inlineStr">
        <is>
          <t>KVAN</t>
        </is>
      </c>
      <c r="H267" s="4" t="inlineStr">
        <is>
          <t>Vikt över 60 kg, matavfall</t>
        </is>
      </c>
      <c r="I267" s="4" t="n"/>
      <c r="J267" s="4" t="n"/>
      <c r="K267" s="4" t="n">
        <v>4</v>
      </c>
      <c r="L267" s="19" t="n">
        <v>45658</v>
      </c>
      <c r="M267" s="4" t="n">
        <v>0</v>
      </c>
      <c r="N267" s="4" t="n"/>
      <c r="O267" s="4" t="inlineStr">
        <is>
          <t>-</t>
        </is>
      </c>
      <c r="P267" s="4" t="n">
        <v>1</v>
      </c>
      <c r="Q267" s="6" t="inlineStr">
        <is>
          <t>VIKG-60,MIN0</t>
        </is>
      </c>
    </row>
    <row r="268">
      <c r="A268" s="5" t="n">
        <v>239</v>
      </c>
      <c r="B268" s="4" t="inlineStr">
        <is>
          <t>VIKTME</t>
        </is>
      </c>
      <c r="C268" s="4" t="inlineStr">
        <is>
          <t>Vikt, metallförpackningar</t>
        </is>
      </c>
      <c r="D268" s="4" t="inlineStr">
        <is>
          <t>RENH</t>
        </is>
      </c>
      <c r="E268" s="4" t="inlineStr">
        <is>
          <t>ÅVS</t>
        </is>
      </c>
      <c r="F268" s="4" t="n">
        <v>1</v>
      </c>
      <c r="G268" s="4" t="inlineStr">
        <is>
          <t>KVAN</t>
        </is>
      </c>
      <c r="H268" s="4" t="inlineStr">
        <is>
          <t>Vikt, metallförpackningar</t>
        </is>
      </c>
      <c r="I268" s="4" t="n"/>
      <c r="J268" s="4" t="n"/>
      <c r="K268" s="4" t="n">
        <v>0</v>
      </c>
      <c r="L268" s="19" t="n">
        <v>45292</v>
      </c>
      <c r="M268" s="4" t="n">
        <v>0</v>
      </c>
      <c r="N268" s="4" t="n"/>
      <c r="O268" s="4" t="inlineStr">
        <is>
          <t>-</t>
        </is>
      </c>
      <c r="P268" s="4" t="n">
        <v>1</v>
      </c>
      <c r="Q268" s="6" t="inlineStr">
        <is>
          <t>VIKG</t>
        </is>
      </c>
    </row>
    <row r="269">
      <c r="A269" s="5" t="n">
        <v>237</v>
      </c>
      <c r="B269" s="4" t="inlineStr">
        <is>
          <t>VIKTPA</t>
        </is>
      </c>
      <c r="C269" s="4" t="inlineStr">
        <is>
          <t>Vikt, pappersförpackningar</t>
        </is>
      </c>
      <c r="D269" s="4" t="inlineStr">
        <is>
          <t>RENH</t>
        </is>
      </c>
      <c r="E269" s="4" t="inlineStr">
        <is>
          <t>ÅVS</t>
        </is>
      </c>
      <c r="F269" s="4" t="n">
        <v>1</v>
      </c>
      <c r="G269" s="4" t="inlineStr">
        <is>
          <t>KVAN</t>
        </is>
      </c>
      <c r="H269" s="4" t="inlineStr">
        <is>
          <t>Vikt, pappersförpackningar</t>
        </is>
      </c>
      <c r="I269" s="4" t="n"/>
      <c r="J269" s="4" t="n"/>
      <c r="K269" s="4" t="n">
        <v>0</v>
      </c>
      <c r="L269" s="19" t="n">
        <v>45292</v>
      </c>
      <c r="M269" s="4" t="n">
        <v>0</v>
      </c>
      <c r="N269" s="4" t="n"/>
      <c r="O269" s="4" t="inlineStr">
        <is>
          <t>-</t>
        </is>
      </c>
      <c r="P269" s="4" t="n">
        <v>1</v>
      </c>
      <c r="Q269" s="6" t="inlineStr">
        <is>
          <t>VIKG</t>
        </is>
      </c>
    </row>
    <row r="270">
      <c r="A270" s="5" t="n">
        <v>238</v>
      </c>
      <c r="B270" s="4" t="inlineStr">
        <is>
          <t>VIKTPL</t>
        </is>
      </c>
      <c r="C270" s="4" t="inlineStr">
        <is>
          <t>Vikt, plastförpackningar</t>
        </is>
      </c>
      <c r="D270" s="4" t="inlineStr">
        <is>
          <t>RENH</t>
        </is>
      </c>
      <c r="E270" s="4" t="inlineStr">
        <is>
          <t>ÅVS</t>
        </is>
      </c>
      <c r="F270" s="4" t="n">
        <v>1</v>
      </c>
      <c r="G270" s="4" t="inlineStr">
        <is>
          <t>KVAN</t>
        </is>
      </c>
      <c r="H270" s="4" t="inlineStr">
        <is>
          <t>Vikt, plastförpackningar</t>
        </is>
      </c>
      <c r="I270" s="4" t="n"/>
      <c r="J270" s="4" t="n"/>
      <c r="K270" s="4" t="n">
        <v>0</v>
      </c>
      <c r="L270" s="19" t="n">
        <v>45292</v>
      </c>
      <c r="M270" s="4" t="n">
        <v>0</v>
      </c>
      <c r="N270" s="4" t="n"/>
      <c r="O270" s="4" t="inlineStr">
        <is>
          <t>-</t>
        </is>
      </c>
      <c r="P270" s="4" t="n">
        <v>1</v>
      </c>
      <c r="Q270" s="6" t="inlineStr">
        <is>
          <t>VIKG</t>
        </is>
      </c>
    </row>
    <row r="271">
      <c r="A271" s="5" t="n">
        <v>251</v>
      </c>
      <c r="B271" s="4" t="inlineStr">
        <is>
          <t>VIKTRE</t>
        </is>
      </c>
      <c r="C271" s="4" t="inlineStr">
        <is>
          <t>Vikt, restavfall</t>
        </is>
      </c>
      <c r="D271" s="4" t="inlineStr">
        <is>
          <t>RENH</t>
        </is>
      </c>
      <c r="E271" s="4" t="inlineStr">
        <is>
          <t>ÅVS</t>
        </is>
      </c>
      <c r="F271" s="4" t="n">
        <v>1</v>
      </c>
      <c r="G271" s="4" t="inlineStr">
        <is>
          <t>KVAN</t>
        </is>
      </c>
      <c r="H271" s="4" t="inlineStr">
        <is>
          <t>Vikt, restavfall</t>
        </is>
      </c>
      <c r="I271" s="4" t="n"/>
      <c r="J271" s="4" t="n"/>
      <c r="K271" s="4" t="n">
        <v>0</v>
      </c>
      <c r="L271" s="19" t="n">
        <v>45292</v>
      </c>
      <c r="M271" s="4" t="n">
        <v>0</v>
      </c>
      <c r="N271" s="4" t="n"/>
      <c r="O271" s="4" t="inlineStr">
        <is>
          <t>-</t>
        </is>
      </c>
      <c r="P271" s="4" t="n">
        <v>1</v>
      </c>
      <c r="Q271" s="6" t="inlineStr">
        <is>
          <t>VIKG</t>
        </is>
      </c>
    </row>
    <row r="272">
      <c r="A272" s="5" t="n">
        <v>215</v>
      </c>
      <c r="B272" s="4" t="inlineStr">
        <is>
          <t>VIKTREST</t>
        </is>
      </c>
      <c r="C272" s="4" t="inlineStr">
        <is>
          <t>Tvåfackskärl, viktavgift rest</t>
        </is>
      </c>
      <c r="D272" s="4" t="inlineStr">
        <is>
          <t>RENH</t>
        </is>
      </c>
      <c r="E272" s="4" t="inlineStr">
        <is>
          <t>HUSH</t>
        </is>
      </c>
      <c r="F272" s="4" t="n">
        <v>1</v>
      </c>
      <c r="G272" s="4" t="inlineStr">
        <is>
          <t>KVAN</t>
        </is>
      </c>
      <c r="H272" s="4" t="inlineStr">
        <is>
          <t>Viktavgift restavfall</t>
        </is>
      </c>
      <c r="I272" s="4" t="n"/>
      <c r="J272" s="4" t="n"/>
      <c r="K272" s="4" t="n">
        <v>4.4</v>
      </c>
      <c r="L272" s="19" t="n">
        <v>45658</v>
      </c>
      <c r="M272" s="4" t="n">
        <v>0</v>
      </c>
      <c r="N272" s="4" t="n"/>
      <c r="O272" s="4" t="inlineStr">
        <is>
          <t>-</t>
        </is>
      </c>
      <c r="P272" s="4" t="n">
        <v>1</v>
      </c>
      <c r="Q272" s="6" t="inlineStr">
        <is>
          <t>VIKG,MAX60</t>
        </is>
      </c>
    </row>
    <row r="273">
      <c r="A273" s="5" t="n">
        <v>216</v>
      </c>
      <c r="B273" s="4" t="inlineStr">
        <is>
          <t>VIKTREST</t>
        </is>
      </c>
      <c r="C273" s="4" t="inlineStr">
        <is>
          <t>Tvåfackskärl, viktavgift rest</t>
        </is>
      </c>
      <c r="D273" s="4" t="inlineStr">
        <is>
          <t>RENH</t>
        </is>
      </c>
      <c r="E273" s="4" t="inlineStr">
        <is>
          <t>HUSH</t>
        </is>
      </c>
      <c r="F273" s="4" t="n">
        <v>2</v>
      </c>
      <c r="G273" s="4" t="inlineStr">
        <is>
          <t>KVAN</t>
        </is>
      </c>
      <c r="H273" s="4" t="inlineStr">
        <is>
          <t>Vikt över 60 kg, restavfall</t>
        </is>
      </c>
      <c r="I273" s="4" t="n"/>
      <c r="J273" s="4" t="n"/>
      <c r="K273" s="4" t="n">
        <v>8</v>
      </c>
      <c r="L273" s="19" t="n">
        <v>45658</v>
      </c>
      <c r="M273" s="4" t="n">
        <v>0</v>
      </c>
      <c r="N273" s="4" t="n"/>
      <c r="O273" s="4" t="inlineStr">
        <is>
          <t>-</t>
        </is>
      </c>
      <c r="P273" s="4" t="n">
        <v>1</v>
      </c>
      <c r="Q273" s="6" t="inlineStr">
        <is>
          <t>VIKG-60,MIN0</t>
        </is>
      </c>
    </row>
    <row r="274">
      <c r="A274" s="5" t="n">
        <v>240</v>
      </c>
      <c r="B274" s="4" t="inlineStr">
        <is>
          <t>VIKTTI</t>
        </is>
      </c>
      <c r="C274" s="4" t="inlineStr">
        <is>
          <t>Vikt, tidningar</t>
        </is>
      </c>
      <c r="D274" s="4" t="inlineStr">
        <is>
          <t>RENH</t>
        </is>
      </c>
      <c r="E274" s="4" t="inlineStr">
        <is>
          <t>ÅVS</t>
        </is>
      </c>
      <c r="F274" s="4" t="n">
        <v>1</v>
      </c>
      <c r="G274" s="4" t="inlineStr">
        <is>
          <t>KVAN</t>
        </is>
      </c>
      <c r="H274" s="4" t="inlineStr">
        <is>
          <t>Vikt, tidningar</t>
        </is>
      </c>
      <c r="I274" s="4" t="n"/>
      <c r="J274" s="4" t="n"/>
      <c r="K274" s="4" t="n">
        <v>0</v>
      </c>
      <c r="L274" s="19" t="n">
        <v>45292</v>
      </c>
      <c r="M274" s="4" t="n">
        <v>0</v>
      </c>
      <c r="N274" s="4" t="n"/>
      <c r="O274" s="4" t="inlineStr">
        <is>
          <t>-</t>
        </is>
      </c>
      <c r="P274" s="4" t="n">
        <v>1</v>
      </c>
      <c r="Q274" s="6" t="inlineStr">
        <is>
          <t>VIKG</t>
        </is>
      </c>
    </row>
    <row r="275">
      <c r="A275" s="5" t="n">
        <v>155</v>
      </c>
      <c r="B275" s="4" t="inlineStr">
        <is>
          <t>VOBF</t>
        </is>
      </c>
      <c r="C275" s="4" t="inlineStr">
        <is>
          <t>V, OBEBYGGD FASTIGHET</t>
        </is>
      </c>
      <c r="D275" s="4" t="inlineStr">
        <is>
          <t>VA</t>
        </is>
      </c>
      <c r="E275" s="4" t="inlineStr">
        <is>
          <t>VATT</t>
        </is>
      </c>
      <c r="F275" s="4" t="n">
        <v>1</v>
      </c>
      <c r="G275" s="4" t="inlineStr">
        <is>
          <t>ÅRPR</t>
        </is>
      </c>
      <c r="H275" s="4" t="inlineStr">
        <is>
          <t>Vatten obebygg. inom detaljp.</t>
        </is>
      </c>
      <c r="I275" s="4" t="n"/>
      <c r="J275" s="4" t="n"/>
      <c r="K275" s="4" t="n">
        <v>2200</v>
      </c>
      <c r="L275" s="19" t="n">
        <v>45078</v>
      </c>
      <c r="M275" s="4" t="n">
        <v>0</v>
      </c>
      <c r="N275" s="4" t="n"/>
      <c r="O275" s="4" t="inlineStr">
        <is>
          <t>-</t>
        </is>
      </c>
      <c r="P275" s="4" t="n">
        <v>1</v>
      </c>
      <c r="Q275" s="6" t="n"/>
    </row>
    <row r="276">
      <c r="A276" s="5" t="n">
        <v>204</v>
      </c>
      <c r="B276" s="4" t="inlineStr">
        <is>
          <t>VOLVOL60G</t>
        </is>
      </c>
      <c r="C276" s="4" t="inlineStr">
        <is>
          <t>Volvo L60G- externa tjänster</t>
        </is>
      </c>
      <c r="D276" s="4" t="inlineStr">
        <is>
          <t>RENH</t>
        </is>
      </c>
      <c r="E276" s="4" t="inlineStr">
        <is>
          <t>EXT</t>
        </is>
      </c>
      <c r="F276" s="4" t="n">
        <v>1</v>
      </c>
      <c r="G276" s="4" t="inlineStr">
        <is>
          <t>KVAN</t>
        </is>
      </c>
      <c r="H276" s="4" t="inlineStr">
        <is>
          <t>Volvo L60G</t>
        </is>
      </c>
      <c r="I276" s="4" t="n"/>
      <c r="J276" s="4" t="n"/>
      <c r="K276" s="4" t="n">
        <v>162.4</v>
      </c>
      <c r="L276" s="19" t="n">
        <v>44927</v>
      </c>
      <c r="M276" s="4" t="n">
        <v>0</v>
      </c>
      <c r="N276" s="4" t="n"/>
      <c r="O276" s="4" t="inlineStr">
        <is>
          <t>-</t>
        </is>
      </c>
      <c r="P276" s="4" t="n">
        <v>1</v>
      </c>
      <c r="Q276" s="6" t="inlineStr">
        <is>
          <t>TIMT</t>
        </is>
      </c>
    </row>
    <row r="277">
      <c r="A277" s="5" t="n">
        <v>264</v>
      </c>
      <c r="B277" s="4" t="inlineStr">
        <is>
          <t>ÄNDRING</t>
        </is>
      </c>
      <c r="C277" s="4" t="inlineStr">
        <is>
          <t>Ändring på kund</t>
        </is>
      </c>
      <c r="D277" s="4" t="inlineStr">
        <is>
          <t>RENH</t>
        </is>
      </c>
      <c r="E277" s="4" t="inlineStr">
        <is>
          <t>HUSH</t>
        </is>
      </c>
      <c r="F277" s="4" t="n">
        <v>1</v>
      </c>
      <c r="G277" s="4" t="inlineStr">
        <is>
          <t>KVAN</t>
        </is>
      </c>
      <c r="H277" s="4" t="inlineStr">
        <is>
          <t>Ändring på kund</t>
        </is>
      </c>
      <c r="I277" s="4" t="n"/>
      <c r="J277" s="4" t="n"/>
      <c r="K277" s="4" t="n"/>
      <c r="L277" s="19" t="n"/>
      <c r="M277" s="4" t="n">
        <v>0</v>
      </c>
      <c r="N277" s="4" t="n"/>
      <c r="O277" s="4" t="inlineStr">
        <is>
          <t>-</t>
        </is>
      </c>
      <c r="P277" s="4" t="n">
        <v>1</v>
      </c>
      <c r="Q277" s="6" t="inlineStr">
        <is>
          <t>ANTL</t>
        </is>
      </c>
    </row>
    <row r="278">
      <c r="A278" s="5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19" t="n"/>
      <c r="M278" s="4" t="n"/>
      <c r="N278" s="4" t="n"/>
      <c r="O278" s="4" t="n"/>
      <c r="P278" s="4" t="n"/>
      <c r="Q278" s="6" t="n"/>
    </row>
    <row r="279">
      <c r="A279" s="5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19" t="n"/>
      <c r="M279" s="4" t="n"/>
      <c r="N279" s="4" t="n"/>
      <c r="O279" s="4" t="n"/>
      <c r="P279" s="4" t="n"/>
      <c r="Q279" s="6" t="n"/>
    </row>
    <row r="280">
      <c r="A280" s="5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19" t="n"/>
      <c r="M280" s="4" t="n"/>
      <c r="N280" s="4" t="n"/>
      <c r="O280" s="4" t="n"/>
      <c r="P280" s="4" t="n"/>
      <c r="Q280" s="6" t="n"/>
    </row>
    <row r="281">
      <c r="A281" s="5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19" t="n"/>
      <c r="M281" s="4" t="n"/>
      <c r="N281" s="4" t="n"/>
      <c r="O281" s="4" t="n"/>
      <c r="P281" s="4" t="n"/>
      <c r="Q281" s="6" t="n"/>
    </row>
    <row r="282">
      <c r="A282" s="5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19" t="n"/>
      <c r="M282" s="4" t="n"/>
      <c r="N282" s="4" t="n"/>
      <c r="O282" s="4" t="n"/>
      <c r="P282" s="4" t="n"/>
      <c r="Q282" s="6" t="n"/>
    </row>
    <row r="283">
      <c r="A283" s="5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19" t="n"/>
      <c r="M283" s="4" t="n"/>
      <c r="N283" s="4" t="n"/>
      <c r="O283" s="4" t="n"/>
      <c r="P283" s="4" t="n"/>
      <c r="Q283" s="6" t="n"/>
    </row>
    <row r="284">
      <c r="A284" s="5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19" t="n"/>
      <c r="M284" s="4" t="n"/>
      <c r="N284" s="4" t="n"/>
      <c r="O284" s="4" t="n"/>
      <c r="P284" s="4" t="n"/>
      <c r="Q284" s="6" t="n"/>
    </row>
    <row r="285">
      <c r="A285" s="5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19" t="n"/>
      <c r="M285" s="4" t="n"/>
      <c r="N285" s="4" t="n"/>
      <c r="O285" s="4" t="n"/>
      <c r="P285" s="4" t="n"/>
      <c r="Q285" s="6" t="n"/>
    </row>
    <row r="286">
      <c r="A286" s="5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19" t="n"/>
      <c r="M286" s="4" t="n"/>
      <c r="N286" s="4" t="n"/>
      <c r="O286" s="4" t="n"/>
      <c r="P286" s="4" t="n"/>
      <c r="Q286" s="6" t="n"/>
    </row>
    <row r="287">
      <c r="A287" s="5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19" t="n"/>
      <c r="M287" s="4" t="n"/>
      <c r="N287" s="4" t="n"/>
      <c r="O287" s="4" t="n"/>
      <c r="P287" s="4" t="n"/>
      <c r="Q287" s="6" t="n"/>
    </row>
    <row r="288">
      <c r="A288" s="5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19" t="n"/>
      <c r="M288" s="4" t="n"/>
      <c r="N288" s="4" t="n"/>
      <c r="O288" s="4" t="n"/>
      <c r="P288" s="4" t="n"/>
      <c r="Q288" s="6" t="n"/>
    </row>
    <row r="289">
      <c r="A289" s="5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19" t="n"/>
      <c r="M289" s="4" t="n"/>
      <c r="N289" s="4" t="n"/>
      <c r="O289" s="4" t="n"/>
      <c r="P289" s="4" t="n"/>
      <c r="Q289" s="6" t="n"/>
    </row>
    <row r="290">
      <c r="A290" s="5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19" t="n"/>
      <c r="M290" s="4" t="n"/>
      <c r="N290" s="4" t="n"/>
      <c r="O290" s="4" t="n"/>
      <c r="P290" s="4" t="n"/>
      <c r="Q290" s="6" t="n"/>
    </row>
    <row r="291">
      <c r="A291" s="5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19" t="n"/>
      <c r="M291" s="4" t="n"/>
      <c r="N291" s="4" t="n"/>
      <c r="O291" s="4" t="n"/>
      <c r="P291" s="4" t="n"/>
      <c r="Q291" s="6" t="n"/>
    </row>
    <row r="292">
      <c r="A292" s="5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19" t="n"/>
      <c r="M292" s="4" t="n"/>
      <c r="N292" s="4" t="n"/>
      <c r="O292" s="4" t="n"/>
      <c r="P292" s="4" t="n"/>
      <c r="Q292" s="6" t="n"/>
    </row>
    <row r="293">
      <c r="A293" s="5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19" t="n"/>
      <c r="M293" s="4" t="n"/>
      <c r="N293" s="4" t="n"/>
      <c r="O293" s="4" t="n"/>
      <c r="P293" s="4" t="n"/>
      <c r="Q293" s="6" t="n"/>
    </row>
    <row r="294">
      <c r="A294" s="5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19" t="n"/>
      <c r="M294" s="4" t="n"/>
      <c r="N294" s="4" t="n"/>
      <c r="O294" s="4" t="n"/>
      <c r="P294" s="4" t="n"/>
      <c r="Q294" s="6" t="n"/>
    </row>
    <row r="295">
      <c r="A295" s="5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19" t="n"/>
      <c r="M295" s="4" t="n"/>
      <c r="N295" s="4" t="n"/>
      <c r="O295" s="4" t="n"/>
      <c r="P295" s="4" t="n"/>
      <c r="Q295" s="6" t="n"/>
    </row>
    <row r="296">
      <c r="A296" s="5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19" t="n"/>
      <c r="M296" s="4" t="n"/>
      <c r="N296" s="4" t="n"/>
      <c r="O296" s="4" t="n"/>
      <c r="P296" s="4" t="n"/>
      <c r="Q296" s="6" t="n"/>
    </row>
    <row r="297">
      <c r="A297" s="5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19" t="n"/>
      <c r="M297" s="4" t="n"/>
      <c r="N297" s="4" t="n"/>
      <c r="O297" s="4" t="n"/>
      <c r="P297" s="4" t="n"/>
      <c r="Q297" s="6" t="n"/>
    </row>
    <row r="298">
      <c r="A298" s="5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19" t="n"/>
      <c r="M298" s="4" t="n"/>
      <c r="N298" s="4" t="n"/>
      <c r="O298" s="4" t="n"/>
      <c r="P298" s="4" t="n"/>
      <c r="Q298" s="6" t="n"/>
    </row>
    <row r="299">
      <c r="A299" s="5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19" t="n"/>
      <c r="M299" s="4" t="n"/>
      <c r="N299" s="4" t="n"/>
      <c r="O299" s="4" t="n"/>
      <c r="P299" s="4" t="n"/>
      <c r="Q299" s="6" t="n"/>
    </row>
    <row r="300">
      <c r="A300" s="5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19" t="n"/>
      <c r="M300" s="4" t="n"/>
      <c r="N300" s="4" t="n"/>
      <c r="O300" s="4" t="n"/>
      <c r="P300" s="4" t="n"/>
      <c r="Q300" s="6" t="n"/>
    </row>
    <row r="301">
      <c r="A301" s="5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19" t="n"/>
      <c r="M301" s="4" t="n"/>
      <c r="N301" s="4" t="n"/>
      <c r="O301" s="4" t="n"/>
      <c r="P301" s="4" t="n"/>
      <c r="Q301" s="6" t="n"/>
    </row>
    <row r="302">
      <c r="A302" s="5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19" t="n"/>
      <c r="M302" s="4" t="n"/>
      <c r="N302" s="4" t="n"/>
      <c r="O302" s="4" t="n"/>
      <c r="P302" s="4" t="n"/>
      <c r="Q302" s="6" t="n"/>
    </row>
    <row r="303">
      <c r="A303" s="5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19" t="n"/>
      <c r="M303" s="4" t="n"/>
      <c r="N303" s="4" t="n"/>
      <c r="O303" s="4" t="n"/>
      <c r="P303" s="4" t="n"/>
      <c r="Q303" s="6" t="n"/>
    </row>
    <row r="304">
      <c r="A304" s="5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19" t="n"/>
      <c r="M304" s="4" t="n"/>
      <c r="N304" s="4" t="n"/>
      <c r="O304" s="4" t="n"/>
      <c r="P304" s="4" t="n"/>
      <c r="Q304" s="6" t="n"/>
    </row>
    <row r="305">
      <c r="A305" s="5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19" t="n"/>
      <c r="M305" s="4" t="n"/>
      <c r="N305" s="4" t="n"/>
      <c r="O305" s="4" t="n"/>
      <c r="P305" s="4" t="n"/>
      <c r="Q305" s="6" t="n"/>
    </row>
    <row r="306">
      <c r="A306" s="5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19" t="n"/>
      <c r="M306" s="4" t="n"/>
      <c r="N306" s="4" t="n"/>
      <c r="O306" s="4" t="n"/>
      <c r="P306" s="4" t="n"/>
      <c r="Q306" s="6" t="n"/>
    </row>
    <row r="307">
      <c r="A307" s="5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19" t="n"/>
      <c r="M307" s="4" t="n"/>
      <c r="N307" s="4" t="n"/>
      <c r="O307" s="4" t="n"/>
      <c r="P307" s="4" t="n"/>
      <c r="Q307" s="6" t="n"/>
    </row>
    <row r="308">
      <c r="A308" s="5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19" t="n"/>
      <c r="M308" s="4" t="n"/>
      <c r="N308" s="4" t="n"/>
      <c r="O308" s="4" t="n"/>
      <c r="P308" s="4" t="n"/>
      <c r="Q308" s="6" t="n"/>
    </row>
    <row r="309">
      <c r="A309" s="5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19" t="n"/>
      <c r="M309" s="4" t="n"/>
      <c r="N309" s="4" t="n"/>
      <c r="O309" s="4" t="n"/>
      <c r="P309" s="4" t="n"/>
      <c r="Q309" s="6" t="n"/>
    </row>
    <row r="310">
      <c r="A310" s="5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19" t="n"/>
      <c r="M310" s="4" t="n"/>
      <c r="N310" s="4" t="n"/>
      <c r="O310" s="4" t="n"/>
      <c r="P310" s="4" t="n"/>
      <c r="Q310" s="6" t="n"/>
    </row>
    <row r="311">
      <c r="A311" s="5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19" t="n"/>
      <c r="M311" s="4" t="n"/>
      <c r="N311" s="4" t="n"/>
      <c r="O311" s="4" t="n"/>
      <c r="P311" s="4" t="n"/>
      <c r="Q311" s="6" t="n"/>
    </row>
    <row r="312">
      <c r="A312" s="5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19" t="n"/>
      <c r="M312" s="4" t="n"/>
      <c r="N312" s="4" t="n"/>
      <c r="O312" s="4" t="n"/>
      <c r="P312" s="4" t="n"/>
      <c r="Q312" s="6" t="n"/>
    </row>
    <row r="313">
      <c r="A313" s="5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19" t="n"/>
      <c r="M313" s="4" t="n"/>
      <c r="N313" s="4" t="n"/>
      <c r="O313" s="4" t="n"/>
      <c r="P313" s="4" t="n"/>
      <c r="Q313" s="6" t="n"/>
    </row>
    <row r="314">
      <c r="A314" s="5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19" t="n"/>
      <c r="M314" s="4" t="n"/>
      <c r="N314" s="4" t="n"/>
      <c r="O314" s="4" t="n"/>
      <c r="P314" s="4" t="n"/>
      <c r="Q314" s="6" t="n"/>
    </row>
    <row r="315">
      <c r="A315" s="5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19" t="n"/>
      <c r="M315" s="4" t="n"/>
      <c r="N315" s="4" t="n"/>
      <c r="O315" s="4" t="n"/>
      <c r="P315" s="4" t="n"/>
      <c r="Q315" s="6" t="n"/>
    </row>
    <row r="316">
      <c r="A316" s="5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19" t="n"/>
      <c r="M316" s="4" t="n"/>
      <c r="N316" s="4" t="n"/>
      <c r="O316" s="4" t="n"/>
      <c r="P316" s="4" t="n"/>
      <c r="Q316" s="6" t="n"/>
    </row>
    <row r="317">
      <c r="A317" s="5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19" t="n"/>
      <c r="M317" s="4" t="n"/>
      <c r="N317" s="4" t="n"/>
      <c r="O317" s="4" t="n"/>
      <c r="P317" s="4" t="n"/>
      <c r="Q317" s="6" t="n"/>
    </row>
    <row r="318">
      <c r="A318" s="5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19" t="n"/>
      <c r="M318" s="4" t="n"/>
      <c r="N318" s="4" t="n"/>
      <c r="O318" s="4" t="n"/>
      <c r="P318" s="4" t="n"/>
      <c r="Q318" s="6" t="n"/>
    </row>
    <row r="319">
      <c r="A319" s="5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19" t="n"/>
      <c r="M319" s="4" t="n"/>
      <c r="N319" s="4" t="n"/>
      <c r="O319" s="4" t="n"/>
      <c r="P319" s="4" t="n"/>
      <c r="Q319" s="6" t="n"/>
    </row>
    <row r="320">
      <c r="A320" s="5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19" t="n"/>
      <c r="M320" s="4" t="n"/>
      <c r="N320" s="4" t="n"/>
      <c r="O320" s="4" t="n"/>
      <c r="P320" s="4" t="n"/>
      <c r="Q320" s="6" t="n"/>
    </row>
    <row r="321">
      <c r="A321" s="5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19" t="n"/>
      <c r="M321" s="4" t="n"/>
      <c r="N321" s="4" t="n"/>
      <c r="O321" s="4" t="n"/>
      <c r="P321" s="4" t="n"/>
      <c r="Q321" s="6" t="n"/>
    </row>
    <row r="322">
      <c r="A322" s="5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19" t="n"/>
      <c r="M322" s="4" t="n"/>
      <c r="N322" s="4" t="n"/>
      <c r="O322" s="4" t="n"/>
      <c r="P322" s="4" t="n"/>
      <c r="Q322" s="6" t="n"/>
    </row>
    <row r="323">
      <c r="A323" s="5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19" t="n"/>
      <c r="M323" s="4" t="n"/>
      <c r="N323" s="4" t="n"/>
      <c r="O323" s="4" t="n"/>
      <c r="P323" s="4" t="n"/>
      <c r="Q323" s="6" t="n"/>
    </row>
    <row r="324">
      <c r="A324" s="5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19" t="n"/>
      <c r="M324" s="4" t="n"/>
      <c r="N324" s="4" t="n"/>
      <c r="O324" s="4" t="n"/>
      <c r="P324" s="4" t="n"/>
      <c r="Q324" s="6" t="n"/>
    </row>
    <row r="325">
      <c r="A325" s="5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19" t="n"/>
      <c r="M325" s="4" t="n"/>
      <c r="N325" s="4" t="n"/>
      <c r="O325" s="4" t="n"/>
      <c r="P325" s="4" t="n"/>
      <c r="Q325" s="6" t="n"/>
    </row>
    <row r="326">
      <c r="A326" s="5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19" t="n"/>
      <c r="M326" s="4" t="n"/>
      <c r="N326" s="4" t="n"/>
      <c r="O326" s="4" t="n"/>
      <c r="P326" s="4" t="n"/>
      <c r="Q326" s="6" t="n"/>
    </row>
    <row r="327">
      <c r="A327" s="5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19" t="n"/>
      <c r="M327" s="4" t="n"/>
      <c r="N327" s="4" t="n"/>
      <c r="O327" s="4" t="n"/>
      <c r="P327" s="4" t="n"/>
      <c r="Q327" s="6" t="n"/>
    </row>
    <row r="328">
      <c r="A328" s="5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19" t="n"/>
      <c r="M328" s="4" t="n"/>
      <c r="N328" s="4" t="n"/>
      <c r="O328" s="4" t="n"/>
      <c r="P328" s="4" t="n"/>
      <c r="Q328" s="6" t="n"/>
    </row>
    <row r="329">
      <c r="A329" s="5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19" t="n"/>
      <c r="M329" s="4" t="n"/>
      <c r="N329" s="4" t="n"/>
      <c r="O329" s="4" t="n"/>
      <c r="P329" s="4" t="n"/>
      <c r="Q329" s="6" t="n"/>
    </row>
    <row r="330">
      <c r="A330" s="5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19" t="n"/>
      <c r="M330" s="4" t="n"/>
      <c r="N330" s="4" t="n"/>
      <c r="O330" s="4" t="n"/>
      <c r="P330" s="4" t="n"/>
      <c r="Q330" s="6" t="n"/>
    </row>
    <row r="331">
      <c r="A331" s="5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19" t="n"/>
      <c r="M331" s="4" t="n"/>
      <c r="N331" s="4" t="n"/>
      <c r="O331" s="4" t="n"/>
      <c r="P331" s="4" t="n"/>
      <c r="Q331" s="6" t="n"/>
    </row>
    <row r="332">
      <c r="A332" s="5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19" t="n"/>
      <c r="M332" s="4" t="n"/>
      <c r="N332" s="4" t="n"/>
      <c r="O332" s="4" t="n"/>
      <c r="P332" s="4" t="n"/>
      <c r="Q332" s="6" t="n"/>
    </row>
    <row r="333">
      <c r="A333" s="5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6" t="n"/>
    </row>
    <row r="334">
      <c r="A334" s="5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6" t="n"/>
    </row>
    <row r="335">
      <c r="A335" s="5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6" t="n"/>
    </row>
    <row r="336">
      <c r="A336" s="5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6" t="n"/>
    </row>
    <row r="337">
      <c r="A337" s="5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6" t="n"/>
    </row>
    <row r="338">
      <c r="A338" s="5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6" t="n"/>
    </row>
    <row r="339">
      <c r="A339" s="5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6" t="n"/>
    </row>
    <row r="340">
      <c r="A340" s="5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6" t="n"/>
    </row>
    <row r="341">
      <c r="A341" s="5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6" t="n"/>
    </row>
    <row r="342">
      <c r="A342" s="5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6" t="n"/>
    </row>
    <row r="343">
      <c r="A343" s="5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6" t="n"/>
    </row>
    <row r="344">
      <c r="A344" s="5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6" t="n"/>
    </row>
    <row r="345">
      <c r="A345" s="5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6" t="n"/>
    </row>
    <row r="346">
      <c r="A346" s="5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6" t="n"/>
    </row>
    <row r="347">
      <c r="A347" s="5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6" t="n"/>
    </row>
    <row r="348">
      <c r="A348" s="5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6" t="n"/>
    </row>
    <row r="349">
      <c r="A349" s="5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6" t="n"/>
    </row>
    <row r="350">
      <c r="A350" s="5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6" t="n"/>
    </row>
    <row r="351">
      <c r="A351" s="5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6" t="n"/>
    </row>
    <row r="352">
      <c r="A352" s="5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6" t="n"/>
    </row>
    <row r="353">
      <c r="A353" s="5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6" t="n"/>
    </row>
    <row r="354">
      <c r="A354" s="5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6" t="n"/>
    </row>
    <row r="355">
      <c r="A355" s="5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6" t="n"/>
    </row>
    <row r="356">
      <c r="A356" s="5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6" t="n"/>
    </row>
    <row r="357">
      <c r="A357" s="5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6" t="n"/>
    </row>
    <row r="358">
      <c r="A358" s="5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6" t="n"/>
    </row>
    <row r="359">
      <c r="A359" s="5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6" t="n"/>
    </row>
    <row r="360">
      <c r="A360" s="5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6" t="n"/>
    </row>
    <row r="361">
      <c r="A361" s="5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6" t="n"/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6" t="n"/>
    </row>
    <row r="363">
      <c r="A363" s="5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6" t="n"/>
    </row>
    <row r="364">
      <c r="A364" s="5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6" t="n"/>
    </row>
    <row r="365">
      <c r="A365" s="5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6" t="n"/>
    </row>
    <row r="366">
      <c r="A366" s="5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6" t="n"/>
    </row>
    <row r="367">
      <c r="A367" s="5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6" t="n"/>
    </row>
    <row r="368">
      <c r="A368" s="5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6" t="n"/>
    </row>
    <row r="369">
      <c r="A369" s="5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6" t="n"/>
    </row>
    <row r="370">
      <c r="A370" s="5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6" t="n"/>
    </row>
    <row r="37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 ht="45" customHeight="1">
      <c r="A1" s="20" t="inlineStr">
        <is>
          <t>intRecnum</t>
        </is>
      </c>
      <c r="B1" s="21" t="inlineStr">
        <is>
          <t>strTaxekod</t>
        </is>
      </c>
      <c r="C1" s="21" t="inlineStr">
        <is>
          <t>strTaxebenamning</t>
        </is>
      </c>
      <c r="D1" s="21" t="inlineStr">
        <is>
          <t>strProdukt</t>
        </is>
      </c>
      <c r="E1" s="21" t="inlineStr">
        <is>
          <t>strDelProdukt</t>
        </is>
      </c>
      <c r="F1" s="21" t="inlineStr">
        <is>
          <t>bytDelradnr</t>
        </is>
      </c>
      <c r="G1" s="21" t="inlineStr">
        <is>
          <t>strFaktor</t>
        </is>
      </c>
      <c r="H1" s="21" t="inlineStr">
        <is>
          <t>strTaxedelAvser</t>
        </is>
      </c>
      <c r="I1" s="21" t="inlineStr">
        <is>
          <t>strEntreprenorkod</t>
        </is>
      </c>
      <c r="J1" s="21" t="inlineStr">
        <is>
          <t>strRenhDistrKod</t>
        </is>
      </c>
      <c r="K1" s="21" t="inlineStr">
        <is>
          <t>curNuvarandePris</t>
        </is>
      </c>
      <c r="L1" s="21" t="inlineStr">
        <is>
          <t>datNuvarandePrisDatum</t>
        </is>
      </c>
      <c r="M1" s="21" t="inlineStr">
        <is>
          <t>bolPrisPerTomning</t>
        </is>
      </c>
      <c r="N1" s="21" t="inlineStr">
        <is>
          <t>strAvvikandeFormel</t>
        </is>
      </c>
      <c r="O1" s="21" t="inlineStr">
        <is>
          <t>bolPriserInklMoms</t>
        </is>
      </c>
      <c r="P1" s="21" t="inlineStr">
        <is>
          <t>bytMomskod</t>
        </is>
      </c>
      <c r="Q1" s="22" t="inlineStr">
        <is>
          <t>strFormel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23" t="inlineStr">
        <is>
          <t>Kontroll</t>
        </is>
      </c>
      <c r="B1" s="24" t="inlineStr">
        <is>
          <t>Status</t>
        </is>
      </c>
    </row>
    <row r="2">
      <c r="A2" s="5" t="inlineStr">
        <is>
          <t>Källfil Word</t>
        </is>
      </c>
      <c r="B2" s="6" t="inlineStr">
        <is>
          <t>Förslag till taxestruktur mall ASN 2026-03-13 v2(2).docx</t>
        </is>
      </c>
    </row>
    <row r="3">
      <c r="A3" s="5" t="inlineStr">
        <is>
          <t>Källfil Excel</t>
        </is>
      </c>
      <c r="B3" s="6" t="inlineStr">
        <is>
          <t>Avfallstaxa_redigerbar_korrigerad_tom_2_2_6(1).xlsx</t>
        </is>
      </c>
    </row>
    <row r="4">
      <c r="A4" s="5" t="inlineStr">
        <is>
          <t>Åtgärd</t>
        </is>
      </c>
      <c r="B4" s="6" t="inlineStr">
        <is>
          <t>Taxepunkter har byggts om så att varje prisfält i Word motsvarar en egen rad i Excel.</t>
        </is>
      </c>
    </row>
    <row r="5">
      <c r="A5" s="5" t="inlineStr">
        <is>
          <t>Antal rader i Taxepunkter efter korrigering</t>
        </is>
      </c>
      <c r="B5" s="6" t="n">
        <v>367</v>
      </c>
    </row>
    <row r="6">
      <c r="A6" s="5" t="n"/>
      <c r="B6" s="6" t="n"/>
    </row>
    <row r="7">
      <c r="A7" s="5" t="inlineStr">
        <is>
          <t>Tillagda/korrigerade huvudområden</t>
        </is>
      </c>
      <c r="B7" s="6" t="inlineStr">
        <is>
          <t>Kommentar</t>
        </is>
      </c>
    </row>
    <row r="8">
      <c r="A8" s="5" t="inlineStr">
        <is>
          <t>§2.2.6</t>
        </is>
      </c>
      <c r="B8" s="6" t="inlineStr">
        <is>
          <t>Saknad paragraf byggd med samtliga 15 prispunkter.</t>
        </is>
      </c>
    </row>
    <row r="9">
      <c r="A9" s="5" t="inlineStr">
        <is>
          <t>§2.2.7</t>
        </is>
      </c>
      <c r="B9" s="6" t="inlineStr">
        <is>
          <t>Saknad paragraf byggd med 3 prispunkter.</t>
        </is>
      </c>
    </row>
    <row r="10">
      <c r="A10" s="5" t="inlineStr">
        <is>
          <t>§2.2.1–§2.2.2</t>
        </is>
      </c>
      <c r="B10" s="6" t="inlineStr">
        <is>
          <t>Rader delade upp per hämtningsintervall enligt Word.</t>
        </is>
      </c>
    </row>
    <row r="11">
      <c r="A11" s="5" t="inlineStr">
        <is>
          <t>§2.4.1–§2.4.11</t>
        </is>
      </c>
      <c r="B11" s="6" t="inlineStr">
        <is>
          <t>Tidigare §2.6.* och separata 2.4/2.5 har byggts om enligt Word-numrering.</t>
        </is>
      </c>
    </row>
    <row r="12">
      <c r="A12" s="5" t="inlineStr">
        <is>
          <t>§2.5.1</t>
        </is>
      </c>
      <c r="B12" s="6" t="inlineStr">
        <is>
          <t>Budning för fastighetsnära hämtning flyttad från tidigare §2.7.4 till Word-strukturen.</t>
        </is>
      </c>
    </row>
    <row r="13">
      <c r="A13" s="5" t="inlineStr">
        <is>
          <t>§3–§5</t>
        </is>
      </c>
      <c r="B13" s="6" t="inlineStr">
        <is>
          <t>Saknade rader för tillägg per m3, extra tank/brunn, latrin, fosforfilter och fettavskiljare har lagts till enligt Word.</t>
        </is>
      </c>
    </row>
    <row r="14">
      <c r="A14" s="5" t="inlineStr">
        <is>
          <t>§6.1.1–§6.1.4</t>
        </is>
      </c>
      <c r="B14" s="6" t="inlineStr">
        <is>
          <t>ÅVC-struktur byggd enligt Word-numrering; befintliga §6- och tidigare §2.7-rader har bevarats under §6.</t>
        </is>
      </c>
    </row>
    <row r="15">
      <c r="A15" s="5" t="n"/>
      <c r="B15" s="6" t="n"/>
    </row>
    <row r="16">
      <c r="A16" s="16" t="inlineStr">
        <is>
          <t>Obs</t>
        </is>
      </c>
      <c r="B16" s="18" t="inlineStr">
        <is>
          <t>Taxakod/pris har bara bevarats där befintlig rad kunde matchas. Nya rader saknar taxakod/pris tills ni fyller i dessa.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00"/>
  <sheetViews>
    <sheetView topLeftCell="A42" workbookViewId="0">
      <selection activeCell="I36" sqref="I36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44" customWidth="1" min="4" max="4"/>
    <col width="36" customWidth="1" min="5" max="5"/>
    <col width="44" customWidth="1" min="6" max="6"/>
    <col width="22" customWidth="1" min="7" max="7"/>
    <col width="14" customWidth="1" min="8" max="8"/>
    <col width="50" customWidth="1" min="9" max="9"/>
    <col width="22" customWidth="1" min="10" max="10"/>
    <col width="44" customWidth="1" min="11" max="11"/>
    <col width="12" customWidth="1" min="12" max="12"/>
    <col width="14" customWidth="1" min="13" max="13"/>
    <col width="12" customWidth="1" min="14" max="14"/>
    <col width="14" customWidth="1" min="15" max="15"/>
    <col width="48" customWidth="1" min="16" max="16"/>
    <col width="14" customWidth="1" min="17" max="18"/>
    <col width="16" customWidth="1" min="19" max="20"/>
    <col width="14" customWidth="1" min="21" max="21"/>
    <col width="18" customWidth="1" min="22" max="22"/>
    <col width="14" customWidth="1" min="23" max="23"/>
    <col width="12" customWidth="1" min="24" max="24"/>
    <col width="18" customWidth="1" min="25" max="25"/>
  </cols>
  <sheetData>
    <row r="1" ht="30" customHeight="1">
      <c r="A1" s="64" t="inlineStr">
        <is>
          <t>Källparagraf</t>
        </is>
      </c>
      <c r="B1" s="65" t="inlineStr">
        <is>
          <t>Källpunkt</t>
        </is>
      </c>
      <c r="C1" s="65" t="inlineStr">
        <is>
          <t>Rad i Taxepunkter</t>
        </is>
      </c>
      <c r="D1" s="65" t="inlineStr">
        <is>
          <t>Wordtext</t>
        </is>
      </c>
      <c r="E1" s="65" t="inlineStr">
        <is>
          <t>Status</t>
        </is>
      </c>
      <c r="F1" s="65" t="inlineStr">
        <is>
          <t>Matchmetod</t>
        </is>
      </c>
      <c r="G1" s="65" t="inlineStr">
        <is>
          <t>FöreslagenTaxekod</t>
        </is>
      </c>
      <c r="H1" s="65" t="inlineStr">
        <is>
          <t>intRecnum</t>
        </is>
      </c>
      <c r="I1" s="65" t="inlineStr">
        <is>
          <t>Taxepunkt</t>
        </is>
      </c>
      <c r="J1" s="65" t="inlineStr">
        <is>
          <t>strTaxekod</t>
        </is>
      </c>
      <c r="K1" s="65" t="inlineStr">
        <is>
          <t>strTaxebenamning</t>
        </is>
      </c>
      <c r="L1" s="65" t="inlineStr">
        <is>
          <t>strProdukt</t>
        </is>
      </c>
      <c r="M1" s="65" t="inlineStr">
        <is>
          <t>strDelProdukt</t>
        </is>
      </c>
      <c r="N1" s="65" t="inlineStr">
        <is>
          <t>bytDelradnr</t>
        </is>
      </c>
      <c r="O1" s="65" t="inlineStr">
        <is>
          <t>strFaktor</t>
        </is>
      </c>
      <c r="P1" s="65" t="inlineStr">
        <is>
          <t>strTaxedelAvser</t>
        </is>
      </c>
      <c r="Q1" s="65" t="inlineStr">
        <is>
          <t>strEntreprenorkod</t>
        </is>
      </c>
      <c r="R1" s="65" t="inlineStr">
        <is>
          <t>strRenhDistrKod</t>
        </is>
      </c>
      <c r="S1" s="65" t="inlineStr">
        <is>
          <t>curNuvarandePris</t>
        </is>
      </c>
      <c r="T1" s="65" t="inlineStr">
        <is>
          <t>datNuvarandePrisDatum</t>
        </is>
      </c>
      <c r="U1" s="65" t="inlineStr">
        <is>
          <t>bolPrisPerTomning</t>
        </is>
      </c>
      <c r="V1" s="65" t="inlineStr">
        <is>
          <t>strAvvikandeFormel</t>
        </is>
      </c>
      <c r="W1" s="65" t="inlineStr">
        <is>
          <t>bolPriserInklMoms</t>
        </is>
      </c>
      <c r="X1" s="65" t="inlineStr">
        <is>
          <t>bytMomskod</t>
        </is>
      </c>
      <c r="Y1" s="66" t="inlineStr">
        <is>
          <t>strFormel</t>
        </is>
      </c>
    </row>
    <row r="2">
      <c r="A2" s="29" t="n"/>
      <c r="B2" s="25" t="n"/>
      <c r="C2" s="25" t="n"/>
      <c r="D2" s="25" t="n"/>
      <c r="E2" s="25" t="n"/>
      <c r="F2" s="25" t="n"/>
      <c r="G2" s="26" t="n"/>
      <c r="H2" s="25" t="n"/>
      <c r="I2" s="25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30" t="n"/>
    </row>
    <row r="3">
      <c r="A3" s="29" t="n"/>
      <c r="B3" s="25" t="n"/>
      <c r="C3" s="25" t="n"/>
      <c r="D3" s="25" t="n"/>
      <c r="E3" s="25" t="n"/>
      <c r="F3" s="25" t="n"/>
      <c r="G3" s="26" t="n"/>
      <c r="H3" s="25" t="n"/>
      <c r="I3" s="25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30" t="n"/>
    </row>
    <row r="4">
      <c r="A4" s="29" t="n"/>
      <c r="B4" s="25" t="n"/>
      <c r="C4" s="25" t="n"/>
      <c r="D4" s="25" t="n"/>
      <c r="E4" s="25" t="n"/>
      <c r="F4" s="25" t="n"/>
      <c r="G4" s="26" t="n"/>
      <c r="H4" s="25" t="n"/>
      <c r="I4" s="25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30" t="n"/>
    </row>
    <row r="5">
      <c r="A5" s="29" t="n"/>
      <c r="B5" s="25" t="n"/>
      <c r="C5" s="25" t="n"/>
      <c r="D5" s="25" t="n"/>
      <c r="E5" s="25" t="n"/>
      <c r="F5" s="25" t="n"/>
      <c r="G5" s="26" t="n"/>
      <c r="H5" s="25" t="n"/>
      <c r="I5" s="25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30" t="n"/>
    </row>
    <row r="6">
      <c r="A6" s="29" t="n"/>
      <c r="B6" s="25" t="n"/>
      <c r="C6" s="25" t="n"/>
      <c r="D6" s="25" t="n"/>
      <c r="E6" s="25" t="n"/>
      <c r="F6" s="25" t="n"/>
      <c r="G6" s="26" t="n"/>
      <c r="H6" s="25" t="n"/>
      <c r="I6" s="25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30" t="n"/>
    </row>
    <row r="7">
      <c r="A7" s="29" t="n"/>
      <c r="B7" s="25" t="n"/>
      <c r="C7" s="25" t="n"/>
      <c r="D7" s="25" t="n"/>
      <c r="E7" s="25" t="n"/>
      <c r="F7" s="25" t="n"/>
      <c r="G7" s="26" t="n"/>
      <c r="H7" s="25" t="n"/>
      <c r="I7" s="25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30" t="n"/>
    </row>
    <row r="8">
      <c r="A8" s="29" t="n"/>
      <c r="B8" s="25" t="n"/>
      <c r="C8" s="25" t="n"/>
      <c r="D8" s="25" t="n"/>
      <c r="E8" s="25" t="n"/>
      <c r="F8" s="25" t="n"/>
      <c r="G8" s="26" t="n"/>
      <c r="H8" s="25" t="n"/>
      <c r="I8" s="25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30" t="n"/>
    </row>
    <row r="9">
      <c r="A9" s="29" t="n"/>
      <c r="B9" s="25" t="n"/>
      <c r="C9" s="25" t="n"/>
      <c r="D9" s="25" t="n"/>
      <c r="E9" s="25" t="n"/>
      <c r="F9" s="25" t="n"/>
      <c r="G9" s="26" t="n"/>
      <c r="H9" s="25" t="n"/>
      <c r="I9" s="25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30" t="n"/>
    </row>
    <row r="10">
      <c r="A10" s="29" t="n"/>
      <c r="B10" s="25" t="n"/>
      <c r="C10" s="25" t="n"/>
      <c r="D10" s="25" t="n"/>
      <c r="E10" s="25" t="n"/>
      <c r="F10" s="25" t="n"/>
      <c r="G10" s="26" t="n"/>
      <c r="H10" s="25" t="n"/>
      <c r="I10" s="25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30" t="n"/>
    </row>
    <row r="11">
      <c r="A11" s="29" t="n"/>
      <c r="B11" s="25" t="n"/>
      <c r="C11" s="25" t="n"/>
      <c r="D11" s="25" t="n"/>
      <c r="E11" s="25" t="n"/>
      <c r="F11" s="25" t="n"/>
      <c r="G11" s="26" t="n"/>
      <c r="H11" s="25" t="n"/>
      <c r="I11" s="25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30" t="n"/>
    </row>
    <row r="12">
      <c r="A12" s="29" t="n"/>
      <c r="B12" s="25" t="n"/>
      <c r="C12" s="25" t="n"/>
      <c r="D12" s="25" t="n"/>
      <c r="E12" s="25" t="n"/>
      <c r="F12" s="25" t="n"/>
      <c r="G12" s="26" t="n"/>
      <c r="H12" s="25" t="n"/>
      <c r="I12" s="25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30" t="n"/>
    </row>
    <row r="13">
      <c r="A13" s="29" t="n"/>
      <c r="B13" s="25" t="n"/>
      <c r="C13" s="25" t="n"/>
      <c r="D13" s="25" t="n"/>
      <c r="E13" s="25" t="n"/>
      <c r="F13" s="25" t="n"/>
      <c r="G13" s="26" t="n"/>
      <c r="H13" s="25" t="n"/>
      <c r="I13" s="25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30" t="n"/>
    </row>
    <row r="14">
      <c r="A14" s="29" t="n"/>
      <c r="B14" s="25" t="n"/>
      <c r="C14" s="25" t="n"/>
      <c r="D14" s="25" t="n"/>
      <c r="E14" s="25" t="n"/>
      <c r="F14" s="25" t="n"/>
      <c r="G14" s="26" t="n"/>
      <c r="H14" s="25" t="n"/>
      <c r="I14" s="25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30" t="n"/>
    </row>
    <row r="15">
      <c r="A15" s="29" t="n"/>
      <c r="B15" s="25" t="n"/>
      <c r="C15" s="25" t="n"/>
      <c r="D15" s="25" t="n"/>
      <c r="E15" s="25" t="n"/>
      <c r="F15" s="25" t="n"/>
      <c r="G15" s="26" t="n"/>
      <c r="H15" s="25" t="n"/>
      <c r="I15" s="25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30" t="n"/>
    </row>
    <row r="16">
      <c r="A16" s="29" t="n"/>
      <c r="B16" s="25" t="n"/>
      <c r="C16" s="25" t="n"/>
      <c r="D16" s="25" t="n"/>
      <c r="E16" s="25" t="n"/>
      <c r="F16" s="25" t="n"/>
      <c r="G16" s="26" t="n"/>
      <c r="H16" s="25" t="n"/>
      <c r="I16" s="25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30" t="n"/>
    </row>
    <row r="17">
      <c r="A17" s="29" t="n"/>
      <c r="B17" s="25" t="n"/>
      <c r="C17" s="25" t="n"/>
      <c r="D17" s="25" t="n"/>
      <c r="E17" s="25" t="n"/>
      <c r="F17" s="25" t="n"/>
      <c r="G17" s="26" t="n"/>
      <c r="H17" s="25" t="n"/>
      <c r="I17" s="25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30" t="n"/>
    </row>
    <row r="18">
      <c r="A18" s="29" t="n"/>
      <c r="B18" s="25" t="n"/>
      <c r="C18" s="25" t="n"/>
      <c r="D18" s="25" t="n"/>
      <c r="E18" s="25" t="n"/>
      <c r="F18" s="25" t="n"/>
      <c r="G18" s="26" t="n"/>
      <c r="H18" s="25" t="n"/>
      <c r="I18" s="25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30" t="n"/>
    </row>
    <row r="19">
      <c r="A19" s="29" t="n"/>
      <c r="B19" s="25" t="n"/>
      <c r="C19" s="25" t="n"/>
      <c r="D19" s="25" t="n"/>
      <c r="E19" s="25" t="n"/>
      <c r="F19" s="25" t="n"/>
      <c r="G19" s="26" t="n"/>
      <c r="H19" s="25" t="n"/>
      <c r="I19" s="25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30" t="n"/>
    </row>
    <row r="20">
      <c r="A20" s="29" t="n"/>
      <c r="B20" s="25" t="n"/>
      <c r="C20" s="25" t="n"/>
      <c r="D20" s="25" t="n"/>
      <c r="E20" s="25" t="n"/>
      <c r="F20" s="25" t="n"/>
      <c r="G20" s="26" t="n"/>
      <c r="H20" s="25" t="n"/>
      <c r="I20" s="25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30" t="n"/>
    </row>
    <row r="21">
      <c r="A21" s="29" t="n"/>
      <c r="B21" s="25" t="n"/>
      <c r="C21" s="25" t="n"/>
      <c r="D21" s="25" t="n"/>
      <c r="E21" s="25" t="n"/>
      <c r="F21" s="25" t="n"/>
      <c r="G21" s="26" t="n"/>
      <c r="H21" s="25" t="n"/>
      <c r="I21" s="25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30" t="n"/>
    </row>
    <row r="22">
      <c r="A22" s="29" t="n"/>
      <c r="B22" s="25" t="n"/>
      <c r="C22" s="25" t="n"/>
      <c r="D22" s="25" t="n"/>
      <c r="E22" s="25" t="n"/>
      <c r="F22" s="25" t="n"/>
      <c r="G22" s="26" t="n"/>
      <c r="H22" s="25" t="n"/>
      <c r="I22" s="25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30" t="n"/>
    </row>
    <row r="23">
      <c r="A23" s="29" t="n"/>
      <c r="B23" s="25" t="n"/>
      <c r="C23" s="25" t="n"/>
      <c r="D23" s="25" t="n"/>
      <c r="E23" s="25" t="n"/>
      <c r="F23" s="25" t="n"/>
      <c r="G23" s="26" t="n"/>
      <c r="H23" s="25" t="n"/>
      <c r="I23" s="25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30" t="n"/>
    </row>
    <row r="24">
      <c r="A24" s="29" t="n"/>
      <c r="B24" s="25" t="n"/>
      <c r="C24" s="25" t="n"/>
      <c r="D24" s="25" t="n"/>
      <c r="E24" s="25" t="n"/>
      <c r="F24" s="25" t="n"/>
      <c r="G24" s="26" t="n"/>
      <c r="H24" s="25" t="n"/>
      <c r="I24" s="25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30" t="n"/>
    </row>
    <row r="25">
      <c r="A25" s="29" t="n"/>
      <c r="B25" s="25" t="n"/>
      <c r="C25" s="25" t="n"/>
      <c r="D25" s="25" t="n"/>
      <c r="E25" s="25" t="n"/>
      <c r="F25" s="25" t="n"/>
      <c r="G25" s="26" t="n"/>
      <c r="H25" s="25" t="n"/>
      <c r="I25" s="25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30" t="n"/>
    </row>
    <row r="26">
      <c r="A26" s="29" t="n"/>
      <c r="B26" s="25" t="n"/>
      <c r="C26" s="25" t="n"/>
      <c r="D26" s="25" t="n"/>
      <c r="E26" s="25" t="n"/>
      <c r="F26" s="25" t="n"/>
      <c r="G26" s="26" t="n"/>
      <c r="H26" s="25" t="n"/>
      <c r="I26" s="25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30" t="n"/>
    </row>
    <row r="27">
      <c r="A27" s="29" t="n"/>
      <c r="B27" s="25" t="n"/>
      <c r="C27" s="25" t="n"/>
      <c r="D27" s="25" t="n"/>
      <c r="E27" s="25" t="n"/>
      <c r="F27" s="25" t="n"/>
      <c r="G27" s="26" t="n"/>
      <c r="H27" s="25" t="n"/>
      <c r="I27" s="25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30" t="n"/>
    </row>
    <row r="28">
      <c r="A28" s="29" t="n"/>
      <c r="B28" s="25" t="n"/>
      <c r="C28" s="25" t="n"/>
      <c r="D28" s="25" t="n"/>
      <c r="E28" s="25" t="n"/>
      <c r="F28" s="25" t="n"/>
      <c r="G28" s="26" t="n"/>
      <c r="H28" s="25" t="n"/>
      <c r="I28" s="25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30" t="n"/>
    </row>
    <row r="29">
      <c r="A29" s="29" t="n"/>
      <c r="B29" s="25" t="n"/>
      <c r="C29" s="25" t="n"/>
      <c r="D29" s="25" t="n"/>
      <c r="E29" s="25" t="n"/>
      <c r="F29" s="25" t="n"/>
      <c r="G29" s="26" t="n"/>
      <c r="H29" s="25" t="n"/>
      <c r="I29" s="25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30" t="n"/>
    </row>
    <row r="30">
      <c r="A30" s="29" t="n"/>
      <c r="B30" s="25" t="n"/>
      <c r="C30" s="25" t="n"/>
      <c r="D30" s="25" t="n"/>
      <c r="E30" s="25" t="n"/>
      <c r="F30" s="25" t="n"/>
      <c r="G30" s="26" t="n"/>
      <c r="H30" s="25" t="n"/>
      <c r="I30" s="25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30" t="n"/>
    </row>
    <row r="31">
      <c r="A31" s="29" t="n"/>
      <c r="B31" s="25" t="n"/>
      <c r="C31" s="25" t="n"/>
      <c r="D31" s="25" t="n"/>
      <c r="E31" s="25" t="n"/>
      <c r="F31" s="25" t="n"/>
      <c r="G31" s="26" t="n"/>
      <c r="H31" s="25" t="n"/>
      <c r="I31" s="25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30" t="n"/>
    </row>
    <row r="32">
      <c r="A32" s="29" t="n"/>
      <c r="B32" s="25" t="n"/>
      <c r="C32" s="25" t="n"/>
      <c r="D32" s="25" t="n"/>
      <c r="E32" s="25" t="n"/>
      <c r="F32" s="25" t="n"/>
      <c r="G32" s="26" t="n"/>
      <c r="H32" s="25" t="n"/>
      <c r="I32" s="25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30" t="n"/>
    </row>
    <row r="33">
      <c r="A33" s="29" t="n"/>
      <c r="B33" s="25" t="n"/>
      <c r="C33" s="25" t="n"/>
      <c r="D33" s="25" t="n"/>
      <c r="E33" s="25" t="n"/>
      <c r="F33" s="25" t="n"/>
      <c r="G33" s="26" t="n"/>
      <c r="H33" s="25" t="n"/>
      <c r="I33" s="25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30" t="n"/>
    </row>
    <row r="34">
      <c r="A34" s="29" t="n"/>
      <c r="B34" s="25" t="n"/>
      <c r="C34" s="25" t="n"/>
      <c r="D34" s="25" t="n"/>
      <c r="E34" s="25" t="n"/>
      <c r="F34" s="25" t="n"/>
      <c r="G34" s="26" t="n"/>
      <c r="H34" s="25" t="n"/>
      <c r="I34" s="25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30" t="n"/>
    </row>
    <row r="35">
      <c r="A35" s="29" t="n"/>
      <c r="B35" s="25" t="n"/>
      <c r="C35" s="25" t="n"/>
      <c r="D35" s="25" t="n"/>
      <c r="E35" s="25" t="n"/>
      <c r="F35" s="25" t="n"/>
      <c r="G35" s="26" t="n"/>
      <c r="H35" s="25" t="n"/>
      <c r="I35" s="25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30" t="n"/>
    </row>
    <row r="36">
      <c r="A36" s="29" t="n"/>
      <c r="B36" s="25" t="n"/>
      <c r="C36" s="25" t="n"/>
      <c r="D36" s="25" t="n"/>
      <c r="E36" s="25" t="n"/>
      <c r="F36" s="25" t="n"/>
      <c r="G36" s="26" t="n"/>
      <c r="H36" s="25" t="n"/>
      <c r="I36" s="25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30" t="n"/>
    </row>
    <row r="37">
      <c r="A37" s="29" t="n"/>
      <c r="B37" s="25" t="n"/>
      <c r="C37" s="25" t="n"/>
      <c r="D37" s="25" t="n"/>
      <c r="E37" s="25" t="n"/>
      <c r="F37" s="25" t="n"/>
      <c r="G37" s="26" t="n"/>
      <c r="H37" s="25" t="n"/>
      <c r="I37" s="25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30" t="n"/>
    </row>
    <row r="38">
      <c r="A38" s="29" t="n"/>
      <c r="B38" s="25" t="n"/>
      <c r="C38" s="25" t="n"/>
      <c r="D38" s="25" t="n"/>
      <c r="E38" s="25" t="n"/>
      <c r="F38" s="25" t="n"/>
      <c r="G38" s="26" t="n"/>
      <c r="H38" s="25" t="n"/>
      <c r="I38" s="25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30" t="n"/>
    </row>
    <row r="39">
      <c r="A39" s="29" t="n"/>
      <c r="B39" s="25" t="n"/>
      <c r="C39" s="25" t="n"/>
      <c r="D39" s="25" t="n"/>
      <c r="E39" s="25" t="n"/>
      <c r="F39" s="25" t="n"/>
      <c r="G39" s="26" t="n"/>
      <c r="H39" s="25" t="n"/>
      <c r="I39" s="25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8" t="n"/>
      <c r="U39" s="27" t="n"/>
      <c r="V39" s="27" t="n"/>
      <c r="W39" s="27" t="n"/>
      <c r="X39" s="27" t="n"/>
      <c r="Y39" s="30" t="n"/>
    </row>
    <row r="40">
      <c r="A40" s="29" t="n"/>
      <c r="B40" s="25" t="n"/>
      <c r="C40" s="25" t="n"/>
      <c r="D40" s="25" t="n"/>
      <c r="E40" s="25" t="n"/>
      <c r="F40" s="25" t="n"/>
      <c r="G40" s="26" t="n"/>
      <c r="H40" s="25" t="n"/>
      <c r="I40" s="25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8" t="n"/>
      <c r="U40" s="27" t="n"/>
      <c r="V40" s="27" t="n"/>
      <c r="W40" s="27" t="n"/>
      <c r="X40" s="27" t="n"/>
      <c r="Y40" s="30" t="n"/>
    </row>
    <row r="41">
      <c r="A41" s="29" t="n"/>
      <c r="B41" s="25" t="n"/>
      <c r="C41" s="25" t="n"/>
      <c r="D41" s="25" t="n"/>
      <c r="E41" s="25" t="n"/>
      <c r="F41" s="25" t="n"/>
      <c r="G41" s="26" t="n"/>
      <c r="H41" s="25" t="n"/>
      <c r="I41" s="25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30" t="n"/>
    </row>
    <row r="42">
      <c r="A42" s="29" t="n"/>
      <c r="B42" s="25" t="n"/>
      <c r="C42" s="25" t="n"/>
      <c r="D42" s="25" t="n"/>
      <c r="E42" s="25" t="n"/>
      <c r="F42" s="25" t="n"/>
      <c r="G42" s="26" t="n"/>
      <c r="H42" s="25" t="n"/>
      <c r="I42" s="25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8" t="n"/>
      <c r="U42" s="27" t="n"/>
      <c r="V42" s="27" t="n"/>
      <c r="W42" s="27" t="n"/>
      <c r="X42" s="27" t="n"/>
      <c r="Y42" s="30" t="n"/>
    </row>
    <row r="43">
      <c r="A43" s="29" t="n"/>
      <c r="B43" s="25" t="n"/>
      <c r="C43" s="25" t="n"/>
      <c r="D43" s="25" t="n"/>
      <c r="E43" s="25" t="n"/>
      <c r="F43" s="25" t="n"/>
      <c r="G43" s="26" t="n"/>
      <c r="H43" s="25" t="n"/>
      <c r="I43" s="25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8" t="n"/>
      <c r="U43" s="27" t="n"/>
      <c r="V43" s="27" t="n"/>
      <c r="W43" s="27" t="n"/>
      <c r="X43" s="27" t="n"/>
      <c r="Y43" s="30" t="n"/>
    </row>
    <row r="44">
      <c r="A44" s="29" t="n"/>
      <c r="B44" s="25" t="n"/>
      <c r="C44" s="25" t="n"/>
      <c r="D44" s="25" t="n"/>
      <c r="E44" s="25" t="n"/>
      <c r="F44" s="25" t="n"/>
      <c r="G44" s="26" t="n"/>
      <c r="H44" s="25" t="n"/>
      <c r="I44" s="25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30" t="n"/>
    </row>
    <row r="45">
      <c r="A45" s="29" t="n"/>
      <c r="B45" s="25" t="n"/>
      <c r="C45" s="25" t="n"/>
      <c r="D45" s="25" t="n"/>
      <c r="E45" s="25" t="n"/>
      <c r="F45" s="25" t="n"/>
      <c r="G45" s="26" t="n"/>
      <c r="H45" s="25" t="n"/>
      <c r="I45" s="25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8" t="n"/>
      <c r="U45" s="27" t="n"/>
      <c r="V45" s="27" t="n"/>
      <c r="W45" s="27" t="n"/>
      <c r="X45" s="27" t="n"/>
      <c r="Y45" s="30" t="n"/>
    </row>
    <row r="46">
      <c r="A46" s="29" t="n"/>
      <c r="B46" s="25" t="n"/>
      <c r="C46" s="25" t="n"/>
      <c r="D46" s="25" t="n"/>
      <c r="E46" s="25" t="n"/>
      <c r="F46" s="25" t="n"/>
      <c r="G46" s="26" t="n"/>
      <c r="H46" s="25" t="n"/>
      <c r="I46" s="25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8" t="n"/>
      <c r="U46" s="27" t="n"/>
      <c r="V46" s="27" t="n"/>
      <c r="W46" s="27" t="n"/>
      <c r="X46" s="27" t="n"/>
      <c r="Y46" s="30" t="n"/>
    </row>
    <row r="47">
      <c r="A47" s="29" t="n"/>
      <c r="B47" s="25" t="n"/>
      <c r="C47" s="25" t="n"/>
      <c r="D47" s="25" t="n"/>
      <c r="E47" s="25" t="n"/>
      <c r="F47" s="25" t="n"/>
      <c r="G47" s="26" t="n"/>
      <c r="H47" s="25" t="n"/>
      <c r="I47" s="25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30" t="n"/>
    </row>
    <row r="48">
      <c r="A48" s="29" t="n"/>
      <c r="B48" s="25" t="n"/>
      <c r="C48" s="25" t="n"/>
      <c r="D48" s="25" t="n"/>
      <c r="E48" s="25" t="n"/>
      <c r="F48" s="25" t="n"/>
      <c r="G48" s="26" t="n"/>
      <c r="H48" s="25" t="n"/>
      <c r="I48" s="25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8" t="n"/>
      <c r="U48" s="27" t="n"/>
      <c r="V48" s="27" t="n"/>
      <c r="W48" s="27" t="n"/>
      <c r="X48" s="27" t="n"/>
      <c r="Y48" s="30" t="n"/>
    </row>
    <row r="49">
      <c r="A49" s="29" t="n"/>
      <c r="B49" s="25" t="n"/>
      <c r="C49" s="25" t="n"/>
      <c r="D49" s="25" t="n"/>
      <c r="E49" s="25" t="n"/>
      <c r="F49" s="25" t="n"/>
      <c r="G49" s="26" t="n"/>
      <c r="H49" s="25" t="n"/>
      <c r="I49" s="25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8" t="n"/>
      <c r="U49" s="27" t="n"/>
      <c r="V49" s="27" t="n"/>
      <c r="W49" s="27" t="n"/>
      <c r="X49" s="27" t="n"/>
      <c r="Y49" s="30" t="n"/>
    </row>
    <row r="50">
      <c r="A50" s="29" t="n"/>
      <c r="B50" s="25" t="n"/>
      <c r="C50" s="25" t="n"/>
      <c r="D50" s="25" t="n"/>
      <c r="E50" s="25" t="n"/>
      <c r="F50" s="25" t="n"/>
      <c r="G50" s="26" t="n"/>
      <c r="H50" s="25" t="n"/>
      <c r="I50" s="25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30" t="n"/>
    </row>
    <row r="51">
      <c r="A51" s="29" t="n"/>
      <c r="B51" s="25" t="n"/>
      <c r="C51" s="25" t="n"/>
      <c r="D51" s="25" t="n"/>
      <c r="E51" s="25" t="n"/>
      <c r="F51" s="25" t="n"/>
      <c r="G51" s="26" t="n"/>
      <c r="H51" s="25" t="n"/>
      <c r="I51" s="25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30" t="n"/>
    </row>
    <row r="52">
      <c r="A52" s="29" t="n"/>
      <c r="B52" s="25" t="n"/>
      <c r="C52" s="25" t="n"/>
      <c r="D52" s="25" t="n"/>
      <c r="E52" s="25" t="n"/>
      <c r="F52" s="25" t="n"/>
      <c r="G52" s="26" t="n"/>
      <c r="H52" s="25" t="n"/>
      <c r="I52" s="25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30" t="n"/>
    </row>
    <row r="53">
      <c r="A53" s="29" t="n"/>
      <c r="B53" s="25" t="n"/>
      <c r="C53" s="25" t="n"/>
      <c r="D53" s="25" t="n"/>
      <c r="E53" s="25" t="n"/>
      <c r="F53" s="25" t="n"/>
      <c r="G53" s="26" t="n"/>
      <c r="H53" s="25" t="n"/>
      <c r="I53" s="25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30" t="n"/>
    </row>
    <row r="54">
      <c r="A54" s="29" t="n"/>
      <c r="B54" s="25" t="n"/>
      <c r="C54" s="25" t="n"/>
      <c r="D54" s="25" t="n"/>
      <c r="E54" s="25" t="n"/>
      <c r="F54" s="25" t="n"/>
      <c r="G54" s="26" t="n"/>
      <c r="H54" s="25" t="n"/>
      <c r="I54" s="25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8" t="n"/>
      <c r="U54" s="27" t="n"/>
      <c r="V54" s="27" t="n"/>
      <c r="W54" s="27" t="n"/>
      <c r="X54" s="27" t="n"/>
      <c r="Y54" s="30" t="n"/>
    </row>
    <row r="55">
      <c r="A55" s="29" t="n"/>
      <c r="B55" s="25" t="n"/>
      <c r="C55" s="25" t="n"/>
      <c r="D55" s="25" t="n"/>
      <c r="E55" s="25" t="n"/>
      <c r="F55" s="25" t="n"/>
      <c r="G55" s="26" t="n"/>
      <c r="H55" s="25" t="n"/>
      <c r="I55" s="25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8" t="n"/>
      <c r="U55" s="27" t="n"/>
      <c r="V55" s="27" t="n"/>
      <c r="W55" s="27" t="n"/>
      <c r="X55" s="27" t="n"/>
      <c r="Y55" s="30" t="n"/>
    </row>
    <row r="56">
      <c r="A56" s="29" t="n"/>
      <c r="B56" s="25" t="n"/>
      <c r="C56" s="25" t="n"/>
      <c r="D56" s="25" t="n"/>
      <c r="E56" s="25" t="n"/>
      <c r="F56" s="25" t="n"/>
      <c r="G56" s="26" t="n"/>
      <c r="H56" s="25" t="n"/>
      <c r="I56" s="25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30" t="n"/>
    </row>
    <row r="57">
      <c r="A57" s="29" t="n"/>
      <c r="B57" s="25" t="n"/>
      <c r="C57" s="25" t="n"/>
      <c r="D57" s="25" t="n"/>
      <c r="E57" s="25" t="n"/>
      <c r="F57" s="25" t="n"/>
      <c r="G57" s="26" t="n"/>
      <c r="H57" s="25" t="n"/>
      <c r="I57" s="25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8" t="n"/>
      <c r="U57" s="27" t="n"/>
      <c r="V57" s="27" t="n"/>
      <c r="W57" s="27" t="n"/>
      <c r="X57" s="27" t="n"/>
      <c r="Y57" s="30" t="n"/>
    </row>
    <row r="58">
      <c r="A58" s="29" t="n"/>
      <c r="B58" s="25" t="n"/>
      <c r="C58" s="25" t="n"/>
      <c r="D58" s="25" t="n"/>
      <c r="E58" s="25" t="n"/>
      <c r="F58" s="25" t="n"/>
      <c r="G58" s="26" t="n"/>
      <c r="H58" s="25" t="n"/>
      <c r="I58" s="25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8" t="n"/>
      <c r="U58" s="27" t="n"/>
      <c r="V58" s="27" t="n"/>
      <c r="W58" s="27" t="n"/>
      <c r="X58" s="27" t="n"/>
      <c r="Y58" s="30" t="n"/>
    </row>
    <row r="59">
      <c r="A59" s="29" t="n"/>
      <c r="B59" s="25" t="n"/>
      <c r="C59" s="25" t="n"/>
      <c r="D59" s="25" t="n"/>
      <c r="E59" s="25" t="n"/>
      <c r="F59" s="25" t="n"/>
      <c r="G59" s="26" t="n"/>
      <c r="H59" s="25" t="n"/>
      <c r="I59" s="25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30" t="n"/>
    </row>
    <row r="60">
      <c r="A60" s="29" t="n"/>
      <c r="B60" s="25" t="n"/>
      <c r="C60" s="25" t="n"/>
      <c r="D60" s="25" t="n"/>
      <c r="E60" s="25" t="n"/>
      <c r="F60" s="25" t="n"/>
      <c r="G60" s="26" t="n"/>
      <c r="H60" s="25" t="n"/>
      <c r="I60" s="25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8" t="n"/>
      <c r="U60" s="27" t="n"/>
      <c r="V60" s="27" t="n"/>
      <c r="W60" s="27" t="n"/>
      <c r="X60" s="27" t="n"/>
      <c r="Y60" s="30" t="n"/>
    </row>
    <row r="61">
      <c r="A61" s="29" t="n"/>
      <c r="B61" s="25" t="n"/>
      <c r="C61" s="25" t="n"/>
      <c r="D61" s="25" t="n"/>
      <c r="E61" s="25" t="n"/>
      <c r="F61" s="25" t="n"/>
      <c r="G61" s="26" t="n"/>
      <c r="H61" s="25" t="n"/>
      <c r="I61" s="25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8" t="n"/>
      <c r="U61" s="27" t="n"/>
      <c r="V61" s="27" t="n"/>
      <c r="W61" s="27" t="n"/>
      <c r="X61" s="27" t="n"/>
      <c r="Y61" s="30" t="n"/>
    </row>
    <row r="62">
      <c r="A62" s="29" t="n"/>
      <c r="B62" s="25" t="n"/>
      <c r="C62" s="25" t="n"/>
      <c r="D62" s="25" t="n"/>
      <c r="E62" s="25" t="n"/>
      <c r="F62" s="25" t="n"/>
      <c r="G62" s="26" t="n"/>
      <c r="H62" s="25" t="n"/>
      <c r="I62" s="25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30" t="n"/>
    </row>
    <row r="63">
      <c r="A63" s="29" t="n"/>
      <c r="B63" s="25" t="n"/>
      <c r="C63" s="25" t="n"/>
      <c r="D63" s="25" t="n"/>
      <c r="E63" s="25" t="n"/>
      <c r="F63" s="25" t="n"/>
      <c r="G63" s="26" t="n"/>
      <c r="H63" s="25" t="n"/>
      <c r="I63" s="25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8" t="n"/>
      <c r="U63" s="27" t="n"/>
      <c r="V63" s="27" t="n"/>
      <c r="W63" s="27" t="n"/>
      <c r="X63" s="27" t="n"/>
      <c r="Y63" s="30" t="n"/>
    </row>
    <row r="64">
      <c r="A64" s="29" t="n"/>
      <c r="B64" s="25" t="n"/>
      <c r="C64" s="25" t="n"/>
      <c r="D64" s="25" t="n"/>
      <c r="E64" s="25" t="n"/>
      <c r="F64" s="25" t="n"/>
      <c r="G64" s="26" t="n"/>
      <c r="H64" s="25" t="n"/>
      <c r="I64" s="25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8" t="n"/>
      <c r="U64" s="27" t="n"/>
      <c r="V64" s="27" t="n"/>
      <c r="W64" s="27" t="n"/>
      <c r="X64" s="27" t="n"/>
      <c r="Y64" s="30" t="n"/>
    </row>
    <row r="65">
      <c r="A65" s="29" t="n"/>
      <c r="B65" s="25" t="n"/>
      <c r="C65" s="25" t="n"/>
      <c r="D65" s="25" t="n"/>
      <c r="E65" s="25" t="n"/>
      <c r="F65" s="25" t="n"/>
      <c r="G65" s="26" t="n"/>
      <c r="H65" s="25" t="n"/>
      <c r="I65" s="25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30" t="n"/>
    </row>
    <row r="66">
      <c r="A66" s="29" t="n"/>
      <c r="B66" s="25" t="n"/>
      <c r="C66" s="25" t="n"/>
      <c r="D66" s="25" t="n"/>
      <c r="E66" s="25" t="n"/>
      <c r="F66" s="25" t="n"/>
      <c r="G66" s="26" t="n"/>
      <c r="H66" s="25" t="n"/>
      <c r="I66" s="25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30" t="n"/>
    </row>
    <row r="67">
      <c r="A67" s="29" t="n"/>
      <c r="B67" s="25" t="n"/>
      <c r="C67" s="25" t="n"/>
      <c r="D67" s="25" t="n"/>
      <c r="E67" s="25" t="n"/>
      <c r="F67" s="25" t="n"/>
      <c r="G67" s="26" t="n"/>
      <c r="H67" s="25" t="n"/>
      <c r="I67" s="25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0" t="n"/>
    </row>
    <row r="68">
      <c r="A68" s="29" t="n"/>
      <c r="B68" s="25" t="n"/>
      <c r="C68" s="25" t="n"/>
      <c r="D68" s="25" t="n"/>
      <c r="E68" s="25" t="n"/>
      <c r="F68" s="25" t="n"/>
      <c r="G68" s="26" t="n"/>
      <c r="H68" s="25" t="n"/>
      <c r="I68" s="25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30" t="n"/>
    </row>
    <row r="69">
      <c r="A69" s="31" t="n"/>
      <c r="B69" s="8" t="n"/>
      <c r="C69" s="8" t="n"/>
      <c r="D69" s="8" t="n"/>
      <c r="E69" s="8" t="n"/>
      <c r="F69" s="8" t="n"/>
      <c r="G69" s="9" t="n"/>
      <c r="H69" s="8" t="n"/>
      <c r="I69" s="8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32" t="n"/>
    </row>
    <row r="70">
      <c r="A70" s="31" t="n"/>
      <c r="B70" s="8" t="n"/>
      <c r="C70" s="8" t="n"/>
      <c r="D70" s="8" t="n"/>
      <c r="E70" s="8" t="n"/>
      <c r="F70" s="8" t="n"/>
      <c r="G70" s="9" t="n"/>
      <c r="H70" s="8" t="n"/>
      <c r="I70" s="8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32" t="n"/>
    </row>
    <row r="71">
      <c r="A71" s="31" t="n"/>
      <c r="B71" s="8" t="n"/>
      <c r="C71" s="8" t="n"/>
      <c r="D71" s="8" t="n"/>
      <c r="E71" s="8" t="n"/>
      <c r="F71" s="8" t="n"/>
      <c r="G71" s="9" t="n"/>
      <c r="H71" s="8" t="n"/>
      <c r="I71" s="8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32" t="n"/>
    </row>
    <row r="72">
      <c r="A72" s="74" t="n"/>
      <c r="B72" s="75" t="n"/>
      <c r="C72" s="75" t="n"/>
      <c r="D72" s="75" t="n"/>
      <c r="E72" s="75" t="n"/>
      <c r="F72" s="75" t="n"/>
      <c r="G72" s="76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8" t="n"/>
    </row>
    <row r="73">
      <c r="A73" s="31" t="n"/>
      <c r="B73" s="8" t="n"/>
      <c r="C73" s="8" t="n"/>
      <c r="D73" s="8" t="n"/>
      <c r="E73" s="8" t="n"/>
      <c r="F73" s="8" t="n"/>
      <c r="G73" s="9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32" t="n"/>
    </row>
    <row r="74">
      <c r="A74" s="33" t="n"/>
      <c r="B74" s="34" t="n"/>
      <c r="C74" s="34" t="n"/>
      <c r="D74" s="34" t="n"/>
      <c r="E74" s="34" t="n"/>
      <c r="F74" s="34" t="n"/>
      <c r="G74" s="35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 t="n"/>
    </row>
    <row r="75">
      <c r="A75" s="31" t="n"/>
      <c r="B75" s="8" t="n"/>
      <c r="C75" s="8" t="n"/>
      <c r="D75" s="8" t="n"/>
      <c r="E75" s="8" t="n"/>
      <c r="F75" s="8" t="n"/>
      <c r="G75" s="9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32" t="n"/>
    </row>
    <row r="76">
      <c r="A76" s="31" t="n"/>
      <c r="B76" s="8" t="n"/>
      <c r="C76" s="8" t="n"/>
      <c r="D76" s="8" t="n"/>
      <c r="E76" s="8" t="n"/>
      <c r="F76" s="8" t="n"/>
      <c r="G76" s="9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32" t="n"/>
    </row>
    <row r="77">
      <c r="A77" s="31" t="n"/>
      <c r="B77" s="8" t="n"/>
      <c r="C77" s="8" t="n"/>
      <c r="D77" s="8" t="n"/>
      <c r="E77" s="8" t="n"/>
      <c r="F77" s="8" t="n"/>
      <c r="G77" s="9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32" t="n"/>
    </row>
    <row r="78">
      <c r="A78" s="31" t="n"/>
      <c r="B78" s="8" t="n"/>
      <c r="C78" s="8" t="n"/>
      <c r="D78" s="8" t="n"/>
      <c r="E78" s="8" t="n"/>
      <c r="F78" s="8" t="n"/>
      <c r="G78" s="9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32" t="n"/>
    </row>
    <row r="79">
      <c r="A79" s="31" t="n"/>
      <c r="B79" s="8" t="n"/>
      <c r="C79" s="8" t="n"/>
      <c r="D79" s="8" t="n"/>
      <c r="E79" s="8" t="n"/>
      <c r="F79" s="8" t="n"/>
      <c r="G79" s="9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32" t="n"/>
    </row>
    <row r="80">
      <c r="A80" s="31" t="n"/>
      <c r="B80" s="8" t="n"/>
      <c r="C80" s="8" t="n"/>
      <c r="D80" s="8" t="n"/>
      <c r="E80" s="8" t="n"/>
      <c r="F80" s="8" t="n"/>
      <c r="G80" s="9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32" t="n"/>
    </row>
    <row r="81">
      <c r="A81" s="31" t="n"/>
      <c r="B81" s="8" t="n"/>
      <c r="C81" s="8" t="n"/>
      <c r="D81" s="8" t="n"/>
      <c r="E81" s="8" t="n"/>
      <c r="F81" s="8" t="n"/>
      <c r="G81" s="9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32" t="n"/>
    </row>
    <row r="82">
      <c r="A82" s="31" t="n"/>
      <c r="B82" s="8" t="n"/>
      <c r="C82" s="8" t="n"/>
      <c r="D82" s="8" t="n"/>
      <c r="E82" s="8" t="n"/>
      <c r="F82" s="8" t="n"/>
      <c r="G82" s="9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32" t="n"/>
    </row>
    <row r="83">
      <c r="A83" s="31" t="n"/>
      <c r="B83" s="8" t="n"/>
      <c r="C83" s="8" t="n"/>
      <c r="D83" s="8" t="n"/>
      <c r="E83" s="8" t="n"/>
      <c r="F83" s="8" t="n"/>
      <c r="G83" s="9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32" t="n"/>
    </row>
    <row r="84">
      <c r="A84" s="31" t="n"/>
      <c r="B84" s="8" t="n"/>
      <c r="C84" s="8" t="n"/>
      <c r="D84" s="8" t="n"/>
      <c r="E84" s="8" t="n"/>
      <c r="F84" s="8" t="n"/>
      <c r="G84" s="9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32" t="n"/>
    </row>
    <row r="85">
      <c r="A85" s="31" t="n"/>
      <c r="B85" s="8" t="n"/>
      <c r="C85" s="8" t="n"/>
      <c r="D85" s="8" t="n"/>
      <c r="E85" s="8" t="n"/>
      <c r="F85" s="8" t="n"/>
      <c r="G85" s="9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32" t="n"/>
    </row>
    <row r="86">
      <c r="A86" s="31" t="n"/>
      <c r="B86" s="8" t="n"/>
      <c r="C86" s="8" t="n"/>
      <c r="D86" s="8" t="n"/>
      <c r="E86" s="8" t="n"/>
      <c r="F86" s="8" t="n"/>
      <c r="G86" s="9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32" t="n"/>
    </row>
    <row r="87">
      <c r="A87" s="31" t="n"/>
      <c r="B87" s="8" t="n"/>
      <c r="C87" s="8" t="n"/>
      <c r="D87" s="8" t="n"/>
      <c r="E87" s="8" t="n"/>
      <c r="F87" s="8" t="n"/>
      <c r="G87" s="9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32" t="n"/>
    </row>
    <row r="88">
      <c r="A88" s="31" t="n"/>
      <c r="B88" s="8" t="n"/>
      <c r="C88" s="8" t="n"/>
      <c r="D88" s="8" t="n"/>
      <c r="E88" s="8" t="n"/>
      <c r="F88" s="8" t="n"/>
      <c r="G88" s="9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32" t="n"/>
    </row>
    <row r="89">
      <c r="A89" s="31" t="n"/>
      <c r="B89" s="8" t="n"/>
      <c r="C89" s="8" t="n"/>
      <c r="D89" s="8" t="n"/>
      <c r="E89" s="8" t="n"/>
      <c r="F89" s="8" t="n"/>
      <c r="G89" s="9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32" t="n"/>
    </row>
    <row r="90">
      <c r="A90" s="31" t="n"/>
      <c r="B90" s="8" t="n"/>
      <c r="C90" s="8" t="n"/>
      <c r="D90" s="8" t="n"/>
      <c r="E90" s="8" t="n"/>
      <c r="F90" s="8" t="n"/>
      <c r="G90" s="9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32" t="n"/>
    </row>
    <row r="91">
      <c r="A91" s="31" t="n"/>
      <c r="B91" s="8" t="n"/>
      <c r="C91" s="8" t="n"/>
      <c r="D91" s="8" t="n"/>
      <c r="E91" s="8" t="n"/>
      <c r="F91" s="8" t="n"/>
      <c r="G91" s="9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32" t="n"/>
    </row>
    <row r="92">
      <c r="A92" s="31" t="n"/>
      <c r="B92" s="8" t="n"/>
      <c r="C92" s="8" t="n"/>
      <c r="D92" s="8" t="n"/>
      <c r="E92" s="8" t="n"/>
      <c r="F92" s="8" t="n"/>
      <c r="G92" s="9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32" t="n"/>
    </row>
    <row r="93">
      <c r="A93" s="31" t="n"/>
      <c r="B93" s="8" t="n"/>
      <c r="C93" s="8" t="n"/>
      <c r="D93" s="8" t="n"/>
      <c r="E93" s="8" t="n"/>
      <c r="F93" s="8" t="n"/>
      <c r="G93" s="9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32" t="n"/>
    </row>
    <row r="94">
      <c r="A94" s="31" t="n"/>
      <c r="B94" s="8" t="n"/>
      <c r="C94" s="8" t="n"/>
      <c r="D94" s="8" t="n"/>
      <c r="E94" s="8" t="n"/>
      <c r="F94" s="8" t="n"/>
      <c r="G94" s="9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32" t="n"/>
    </row>
    <row r="95">
      <c r="A95" s="31" t="n"/>
      <c r="B95" s="8" t="n"/>
      <c r="C95" s="8" t="n"/>
      <c r="D95" s="8" t="n"/>
      <c r="E95" s="8" t="n"/>
      <c r="F95" s="8" t="n"/>
      <c r="G95" s="9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32" t="n"/>
    </row>
    <row r="96">
      <c r="A96" s="31" t="n"/>
      <c r="B96" s="8" t="n"/>
      <c r="C96" s="8" t="n"/>
      <c r="D96" s="8" t="n"/>
      <c r="E96" s="8" t="n"/>
      <c r="F96" s="8" t="n"/>
      <c r="G96" s="9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32" t="n"/>
    </row>
    <row r="97">
      <c r="A97" s="31" t="n"/>
      <c r="B97" s="8" t="n"/>
      <c r="C97" s="8" t="n"/>
      <c r="D97" s="8" t="n"/>
      <c r="E97" s="8" t="n"/>
      <c r="F97" s="8" t="n"/>
      <c r="G97" s="9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32" t="n"/>
    </row>
    <row r="98">
      <c r="A98" s="31" t="n"/>
      <c r="B98" s="8" t="n"/>
      <c r="C98" s="8" t="n"/>
      <c r="D98" s="8" t="n"/>
      <c r="E98" s="8" t="n"/>
      <c r="F98" s="8" t="n"/>
      <c r="G98" s="9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32" t="n"/>
    </row>
    <row r="99">
      <c r="A99" s="31" t="n"/>
      <c r="B99" s="8" t="n"/>
      <c r="C99" s="8" t="n"/>
      <c r="D99" s="8" t="n"/>
      <c r="E99" s="8" t="n"/>
      <c r="F99" s="8" t="n"/>
      <c r="G99" s="9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32" t="n"/>
    </row>
    <row r="100">
      <c r="A100" s="31" t="n"/>
      <c r="B100" s="8" t="n"/>
      <c r="C100" s="8" t="n"/>
      <c r="D100" s="8" t="n"/>
      <c r="E100" s="8" t="n"/>
      <c r="F100" s="8" t="n"/>
      <c r="G100" s="9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32" t="n"/>
    </row>
    <row r="101">
      <c r="A101" s="31" t="n"/>
      <c r="B101" s="8" t="n"/>
      <c r="C101" s="8" t="n"/>
      <c r="D101" s="8" t="n"/>
      <c r="E101" s="8" t="n"/>
      <c r="F101" s="8" t="n"/>
      <c r="G101" s="9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32" t="n"/>
    </row>
    <row r="102">
      <c r="A102" s="31" t="n"/>
      <c r="B102" s="8" t="n"/>
      <c r="C102" s="8" t="n"/>
      <c r="D102" s="8" t="n"/>
      <c r="E102" s="8" t="n"/>
      <c r="F102" s="8" t="n"/>
      <c r="G102" s="9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32" t="n"/>
    </row>
    <row r="103">
      <c r="A103" s="31" t="n"/>
      <c r="B103" s="8" t="n"/>
      <c r="C103" s="8" t="n"/>
      <c r="D103" s="8" t="n"/>
      <c r="E103" s="8" t="n"/>
      <c r="F103" s="8" t="n"/>
      <c r="G103" s="9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32" t="n"/>
    </row>
    <row r="104">
      <c r="A104" s="31" t="n"/>
      <c r="B104" s="8" t="n"/>
      <c r="C104" s="8" t="n"/>
      <c r="D104" s="8" t="n"/>
      <c r="E104" s="8" t="n"/>
      <c r="F104" s="8" t="n"/>
      <c r="G104" s="9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32" t="n"/>
    </row>
    <row r="105">
      <c r="A105" s="31" t="n"/>
      <c r="B105" s="8" t="n"/>
      <c r="C105" s="8" t="n"/>
      <c r="D105" s="8" t="n"/>
      <c r="E105" s="8" t="n"/>
      <c r="F105" s="8" t="n"/>
      <c r="G105" s="9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32" t="n"/>
    </row>
    <row r="106">
      <c r="A106" s="31" t="n"/>
      <c r="B106" s="8" t="n"/>
      <c r="C106" s="8" t="n"/>
      <c r="D106" s="8" t="n"/>
      <c r="E106" s="8" t="n"/>
      <c r="F106" s="8" t="n"/>
      <c r="G106" s="9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32" t="n"/>
    </row>
    <row r="107">
      <c r="A107" s="31" t="n"/>
      <c r="B107" s="8" t="n"/>
      <c r="C107" s="8" t="n"/>
      <c r="D107" s="8" t="n"/>
      <c r="E107" s="8" t="n"/>
      <c r="F107" s="8" t="n"/>
      <c r="G107" s="9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32" t="n"/>
    </row>
    <row r="108">
      <c r="A108" s="31" t="n"/>
      <c r="B108" s="8" t="n"/>
      <c r="C108" s="8" t="n"/>
      <c r="D108" s="8" t="n"/>
      <c r="E108" s="8" t="n"/>
      <c r="F108" s="8" t="n"/>
      <c r="G108" s="9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32" t="n"/>
    </row>
    <row r="109">
      <c r="A109" s="31" t="n"/>
      <c r="B109" s="8" t="n"/>
      <c r="C109" s="8" t="n"/>
      <c r="D109" s="8" t="n"/>
      <c r="E109" s="8" t="n"/>
      <c r="F109" s="8" t="n"/>
      <c r="G109" s="9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32" t="n"/>
    </row>
    <row r="110">
      <c r="A110" s="31" t="n"/>
      <c r="B110" s="8" t="n"/>
      <c r="C110" s="8" t="n"/>
      <c r="D110" s="8" t="n"/>
      <c r="E110" s="8" t="n"/>
      <c r="F110" s="8" t="n"/>
      <c r="G110" s="9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32" t="n"/>
    </row>
    <row r="111">
      <c r="A111" s="31" t="n"/>
      <c r="B111" s="8" t="n"/>
      <c r="C111" s="8" t="n"/>
      <c r="D111" s="8" t="n"/>
      <c r="E111" s="8" t="n"/>
      <c r="F111" s="8" t="n"/>
      <c r="G111" s="9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32" t="n"/>
    </row>
    <row r="112">
      <c r="A112" s="31" t="n"/>
      <c r="B112" s="8" t="n"/>
      <c r="C112" s="8" t="n"/>
      <c r="D112" s="8" t="n"/>
      <c r="E112" s="8" t="n"/>
      <c r="F112" s="8" t="n"/>
      <c r="G112" s="9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32" t="n"/>
    </row>
    <row r="113">
      <c r="A113" s="31" t="n"/>
      <c r="B113" s="8" t="n"/>
      <c r="C113" s="8" t="n"/>
      <c r="D113" s="8" t="n"/>
      <c r="E113" s="8" t="n"/>
      <c r="F113" s="8" t="n"/>
      <c r="G113" s="9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32" t="n"/>
    </row>
    <row r="114">
      <c r="A114" s="31" t="n"/>
      <c r="B114" s="8" t="n"/>
      <c r="C114" s="8" t="n"/>
      <c r="D114" s="8" t="n"/>
      <c r="E114" s="8" t="n"/>
      <c r="F114" s="8" t="n"/>
      <c r="G114" s="9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32" t="n"/>
    </row>
    <row r="115">
      <c r="A115" s="31" t="n"/>
      <c r="B115" s="8" t="n"/>
      <c r="C115" s="8" t="n"/>
      <c r="D115" s="8" t="n"/>
      <c r="E115" s="8" t="n"/>
      <c r="F115" s="8" t="n"/>
      <c r="G115" s="9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32" t="n"/>
    </row>
    <row r="116">
      <c r="A116" s="31" t="n"/>
      <c r="B116" s="8" t="n"/>
      <c r="C116" s="8" t="n"/>
      <c r="D116" s="8" t="n"/>
      <c r="E116" s="8" t="n"/>
      <c r="F116" s="8" t="n"/>
      <c r="G116" s="9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32" t="n"/>
    </row>
    <row r="117">
      <c r="A117" s="31" t="n"/>
      <c r="B117" s="8" t="n"/>
      <c r="C117" s="8" t="n"/>
      <c r="D117" s="8" t="n"/>
      <c r="E117" s="8" t="n"/>
      <c r="F117" s="8" t="n"/>
      <c r="G117" s="9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32" t="n"/>
    </row>
    <row r="118">
      <c r="A118" s="31" t="n"/>
      <c r="B118" s="8" t="n"/>
      <c r="C118" s="8" t="n"/>
      <c r="D118" s="8" t="n"/>
      <c r="E118" s="8" t="n"/>
      <c r="F118" s="8" t="n"/>
      <c r="G118" s="9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32" t="n"/>
    </row>
    <row r="119">
      <c r="A119" s="31" t="n"/>
      <c r="B119" s="8" t="n"/>
      <c r="C119" s="8" t="n"/>
      <c r="D119" s="8" t="n"/>
      <c r="E119" s="8" t="n"/>
      <c r="F119" s="8" t="n"/>
      <c r="G119" s="9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32" t="n"/>
    </row>
    <row r="120">
      <c r="A120" s="31" t="n"/>
      <c r="B120" s="8" t="n"/>
      <c r="C120" s="8" t="n"/>
      <c r="D120" s="8" t="n"/>
      <c r="E120" s="8" t="n"/>
      <c r="F120" s="8" t="n"/>
      <c r="G120" s="9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32" t="n"/>
    </row>
    <row r="121">
      <c r="A121" s="31" t="n"/>
      <c r="B121" s="8" t="n"/>
      <c r="C121" s="8" t="n"/>
      <c r="D121" s="8" t="n"/>
      <c r="E121" s="8" t="n"/>
      <c r="F121" s="8" t="n"/>
      <c r="G121" s="9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32" t="n"/>
    </row>
    <row r="122">
      <c r="A122" s="31" t="n"/>
      <c r="B122" s="8" t="n"/>
      <c r="C122" s="8" t="n"/>
      <c r="D122" s="8" t="n"/>
      <c r="E122" s="8" t="n"/>
      <c r="F122" s="8" t="n"/>
      <c r="G122" s="9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32" t="n"/>
    </row>
    <row r="123">
      <c r="A123" s="31" t="n"/>
      <c r="B123" s="8" t="n"/>
      <c r="C123" s="8" t="n"/>
      <c r="D123" s="8" t="n"/>
      <c r="E123" s="8" t="n"/>
      <c r="F123" s="8" t="n"/>
      <c r="G123" s="9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32" t="n"/>
    </row>
    <row r="124">
      <c r="A124" s="31" t="n"/>
      <c r="B124" s="8" t="n"/>
      <c r="C124" s="8" t="n"/>
      <c r="D124" s="8" t="n"/>
      <c r="E124" s="8" t="n"/>
      <c r="F124" s="8" t="n"/>
      <c r="G124" s="9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32" t="n"/>
    </row>
    <row r="125">
      <c r="A125" s="31" t="n"/>
      <c r="B125" s="8" t="n"/>
      <c r="C125" s="8" t="n"/>
      <c r="D125" s="8" t="n"/>
      <c r="E125" s="8" t="n"/>
      <c r="F125" s="8" t="n"/>
      <c r="G125" s="9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32" t="n"/>
    </row>
    <row r="126">
      <c r="A126" s="31" t="n"/>
      <c r="B126" s="8" t="n"/>
      <c r="C126" s="8" t="n"/>
      <c r="D126" s="8" t="n"/>
      <c r="E126" s="8" t="n"/>
      <c r="F126" s="8" t="n"/>
      <c r="G126" s="9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32" t="n"/>
    </row>
    <row r="127">
      <c r="A127" s="31" t="n"/>
      <c r="B127" s="8" t="n"/>
      <c r="C127" s="8" t="n"/>
      <c r="D127" s="8" t="n"/>
      <c r="E127" s="8" t="n"/>
      <c r="F127" s="8" t="n"/>
      <c r="G127" s="9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32" t="n"/>
    </row>
    <row r="128">
      <c r="A128" s="31" t="n"/>
      <c r="B128" s="8" t="n"/>
      <c r="C128" s="8" t="n"/>
      <c r="D128" s="8" t="n"/>
      <c r="E128" s="8" t="n"/>
      <c r="F128" s="8" t="n"/>
      <c r="G128" s="9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32" t="n"/>
    </row>
    <row r="129">
      <c r="A129" s="31" t="n"/>
      <c r="B129" s="8" t="n"/>
      <c r="C129" s="8" t="n"/>
      <c r="D129" s="8" t="n"/>
      <c r="E129" s="8" t="n"/>
      <c r="F129" s="8" t="n"/>
      <c r="G129" s="9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32" t="n"/>
    </row>
    <row r="130">
      <c r="A130" s="31" t="n"/>
      <c r="B130" s="8" t="n"/>
      <c r="C130" s="8" t="n"/>
      <c r="D130" s="8" t="n"/>
      <c r="E130" s="8" t="n"/>
      <c r="F130" s="8" t="n"/>
      <c r="G130" s="9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32" t="n"/>
    </row>
    <row r="131">
      <c r="A131" s="31" t="n"/>
      <c r="B131" s="8" t="n"/>
      <c r="C131" s="8" t="n"/>
      <c r="D131" s="8" t="n"/>
      <c r="E131" s="8" t="n"/>
      <c r="F131" s="8" t="n"/>
      <c r="G131" s="9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32" t="n"/>
    </row>
    <row r="132">
      <c r="A132" s="31" t="n"/>
      <c r="B132" s="8" t="n"/>
      <c r="C132" s="8" t="n"/>
      <c r="D132" s="8" t="n"/>
      <c r="E132" s="8" t="n"/>
      <c r="F132" s="8" t="n"/>
      <c r="G132" s="9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32" t="n"/>
    </row>
    <row r="133">
      <c r="A133" s="31" t="n"/>
      <c r="B133" s="8" t="n"/>
      <c r="C133" s="8" t="n"/>
      <c r="D133" s="8" t="n"/>
      <c r="E133" s="8" t="n"/>
      <c r="F133" s="8" t="n"/>
      <c r="G133" s="9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32" t="n"/>
    </row>
    <row r="134">
      <c r="A134" s="31" t="n"/>
      <c r="B134" s="8" t="n"/>
      <c r="C134" s="8" t="n"/>
      <c r="D134" s="8" t="n"/>
      <c r="E134" s="8" t="n"/>
      <c r="F134" s="8" t="n"/>
      <c r="G134" s="9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32" t="n"/>
    </row>
    <row r="135">
      <c r="A135" s="31" t="n"/>
      <c r="B135" s="8" t="n"/>
      <c r="C135" s="8" t="n"/>
      <c r="D135" s="8" t="n"/>
      <c r="E135" s="8" t="n"/>
      <c r="F135" s="8" t="n"/>
      <c r="G135" s="9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32" t="n"/>
    </row>
    <row r="136">
      <c r="A136" s="31" t="n"/>
      <c r="B136" s="8" t="n"/>
      <c r="C136" s="8" t="n"/>
      <c r="D136" s="8" t="n"/>
      <c r="E136" s="8" t="n"/>
      <c r="F136" s="8" t="n"/>
      <c r="G136" s="9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32" t="n"/>
    </row>
    <row r="137">
      <c r="A137" s="31" t="n"/>
      <c r="B137" s="8" t="n"/>
      <c r="C137" s="8" t="n"/>
      <c r="D137" s="8" t="n"/>
      <c r="E137" s="8" t="n"/>
      <c r="F137" s="8" t="n"/>
      <c r="G137" s="9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32" t="n"/>
    </row>
    <row r="138">
      <c r="A138" s="31" t="n"/>
      <c r="B138" s="8" t="n"/>
      <c r="C138" s="8" t="n"/>
      <c r="D138" s="8" t="n"/>
      <c r="E138" s="8" t="n"/>
      <c r="F138" s="8" t="n"/>
      <c r="G138" s="9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32" t="n"/>
    </row>
    <row r="139">
      <c r="A139" s="31" t="n"/>
      <c r="B139" s="8" t="n"/>
      <c r="C139" s="8" t="n"/>
      <c r="D139" s="8" t="n"/>
      <c r="E139" s="8" t="n"/>
      <c r="F139" s="8" t="n"/>
      <c r="G139" s="9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32" t="n"/>
    </row>
    <row r="140">
      <c r="A140" s="31" t="n"/>
      <c r="B140" s="8" t="n"/>
      <c r="C140" s="8" t="n"/>
      <c r="D140" s="8" t="n"/>
      <c r="E140" s="8" t="n"/>
      <c r="F140" s="8" t="n"/>
      <c r="G140" s="9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32" t="n"/>
    </row>
    <row r="141">
      <c r="A141" s="31" t="n"/>
      <c r="B141" s="8" t="n"/>
      <c r="C141" s="8" t="n"/>
      <c r="D141" s="8" t="n"/>
      <c r="E141" s="8" t="n"/>
      <c r="F141" s="8" t="n"/>
      <c r="G141" s="9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32" t="n"/>
    </row>
    <row r="142">
      <c r="A142" s="31" t="n"/>
      <c r="B142" s="8" t="n"/>
      <c r="C142" s="8" t="n"/>
      <c r="D142" s="8" t="n"/>
      <c r="E142" s="8" t="n"/>
      <c r="F142" s="8" t="n"/>
      <c r="G142" s="9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32" t="n"/>
    </row>
    <row r="143">
      <c r="A143" s="31" t="n"/>
      <c r="B143" s="8" t="n"/>
      <c r="C143" s="8" t="n"/>
      <c r="D143" s="8" t="n"/>
      <c r="E143" s="8" t="n"/>
      <c r="F143" s="8" t="n"/>
      <c r="G143" s="9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32" t="n"/>
    </row>
    <row r="144">
      <c r="A144" s="31" t="n"/>
      <c r="B144" s="8" t="n"/>
      <c r="C144" s="8" t="n"/>
      <c r="D144" s="8" t="n"/>
      <c r="E144" s="8" t="n"/>
      <c r="F144" s="8" t="n"/>
      <c r="G144" s="9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32" t="n"/>
    </row>
    <row r="145">
      <c r="A145" s="31" t="n"/>
      <c r="B145" s="8" t="n"/>
      <c r="C145" s="8" t="n"/>
      <c r="D145" s="8" t="n"/>
      <c r="E145" s="8" t="n"/>
      <c r="F145" s="8" t="n"/>
      <c r="G145" s="9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32" t="n"/>
    </row>
    <row r="146">
      <c r="A146" s="31" t="n"/>
      <c r="B146" s="8" t="n"/>
      <c r="C146" s="8" t="n"/>
      <c r="D146" s="8" t="n"/>
      <c r="E146" s="8" t="n"/>
      <c r="F146" s="8" t="n"/>
      <c r="G146" s="9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32" t="n"/>
    </row>
    <row r="147">
      <c r="A147" s="31" t="n"/>
      <c r="B147" s="8" t="n"/>
      <c r="C147" s="8" t="n"/>
      <c r="D147" s="8" t="n"/>
      <c r="E147" s="8" t="n"/>
      <c r="F147" s="8" t="n"/>
      <c r="G147" s="9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32" t="n"/>
    </row>
    <row r="148">
      <c r="A148" s="31" t="n"/>
      <c r="B148" s="8" t="n"/>
      <c r="C148" s="8" t="n"/>
      <c r="D148" s="8" t="n"/>
      <c r="E148" s="8" t="n"/>
      <c r="F148" s="8" t="n"/>
      <c r="G148" s="9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32" t="n"/>
    </row>
    <row r="149">
      <c r="A149" s="31" t="n"/>
      <c r="B149" s="8" t="n"/>
      <c r="C149" s="8" t="n"/>
      <c r="D149" s="8" t="n"/>
      <c r="E149" s="8" t="n"/>
      <c r="F149" s="8" t="n"/>
      <c r="G149" s="9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32" t="n"/>
    </row>
    <row r="150">
      <c r="A150" s="31" t="n"/>
      <c r="B150" s="8" t="n"/>
      <c r="C150" s="8" t="n"/>
      <c r="D150" s="8" t="n"/>
      <c r="E150" s="8" t="n"/>
      <c r="F150" s="8" t="n"/>
      <c r="G150" s="9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32" t="n"/>
    </row>
    <row r="151">
      <c r="A151" s="31" t="n"/>
      <c r="B151" s="8" t="n"/>
      <c r="C151" s="8" t="n"/>
      <c r="D151" s="8" t="n"/>
      <c r="E151" s="8" t="n"/>
      <c r="F151" s="8" t="n"/>
      <c r="G151" s="9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32" t="n"/>
    </row>
    <row r="152">
      <c r="A152" s="31" t="n"/>
      <c r="B152" s="8" t="n"/>
      <c r="C152" s="8" t="n"/>
      <c r="D152" s="8" t="n"/>
      <c r="E152" s="8" t="n"/>
      <c r="F152" s="8" t="n"/>
      <c r="G152" s="9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32" t="n"/>
    </row>
    <row r="153">
      <c r="A153" s="31" t="n"/>
      <c r="B153" s="8" t="n"/>
      <c r="C153" s="8" t="n"/>
      <c r="D153" s="8" t="n"/>
      <c r="E153" s="8" t="n"/>
      <c r="F153" s="8" t="n"/>
      <c r="G153" s="9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32" t="n"/>
    </row>
    <row r="154">
      <c r="A154" s="31" t="n"/>
      <c r="B154" s="8" t="n"/>
      <c r="C154" s="8" t="n"/>
      <c r="D154" s="8" t="n"/>
      <c r="E154" s="8" t="n"/>
      <c r="F154" s="8" t="n"/>
      <c r="G154" s="9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32" t="n"/>
    </row>
    <row r="155">
      <c r="A155" s="31" t="n"/>
      <c r="B155" s="8" t="n"/>
      <c r="C155" s="8" t="n"/>
      <c r="D155" s="8" t="n"/>
      <c r="E155" s="8" t="n"/>
      <c r="F155" s="8" t="n"/>
      <c r="G155" s="9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32" t="n"/>
    </row>
    <row r="156">
      <c r="A156" s="31" t="n"/>
      <c r="B156" s="8" t="n"/>
      <c r="C156" s="8" t="n"/>
      <c r="D156" s="8" t="n"/>
      <c r="E156" s="8" t="n"/>
      <c r="F156" s="8" t="n"/>
      <c r="G156" s="9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32" t="n"/>
    </row>
    <row r="157">
      <c r="A157" s="31" t="n"/>
      <c r="B157" s="8" t="n"/>
      <c r="C157" s="8" t="n"/>
      <c r="D157" s="8" t="n"/>
      <c r="E157" s="8" t="n"/>
      <c r="F157" s="8" t="n"/>
      <c r="G157" s="9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32" t="n"/>
    </row>
    <row r="158">
      <c r="A158" s="31" t="n"/>
      <c r="B158" s="8" t="n"/>
      <c r="C158" s="8" t="n"/>
      <c r="D158" s="8" t="n"/>
      <c r="E158" s="8" t="n"/>
      <c r="F158" s="8" t="n"/>
      <c r="G158" s="9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32" t="n"/>
    </row>
    <row r="159">
      <c r="A159" s="31" t="n"/>
      <c r="B159" s="8" t="n"/>
      <c r="C159" s="8" t="n"/>
      <c r="D159" s="8" t="n"/>
      <c r="E159" s="8" t="n"/>
      <c r="F159" s="8" t="n"/>
      <c r="G159" s="9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32" t="n"/>
    </row>
    <row r="160">
      <c r="A160" s="31" t="n"/>
      <c r="B160" s="8" t="n"/>
      <c r="C160" s="8" t="n"/>
      <c r="D160" s="8" t="n"/>
      <c r="E160" s="8" t="n"/>
      <c r="F160" s="8" t="n"/>
      <c r="G160" s="9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32" t="n"/>
    </row>
    <row r="161">
      <c r="A161" s="31" t="n"/>
      <c r="B161" s="8" t="n"/>
      <c r="C161" s="8" t="n"/>
      <c r="D161" s="8" t="n"/>
      <c r="E161" s="8" t="n"/>
      <c r="F161" s="8" t="n"/>
      <c r="G161" s="9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32" t="n"/>
    </row>
    <row r="162">
      <c r="A162" s="31" t="n"/>
      <c r="B162" s="8" t="n"/>
      <c r="C162" s="8" t="n"/>
      <c r="D162" s="8" t="n"/>
      <c r="E162" s="8" t="n"/>
      <c r="F162" s="8" t="n"/>
      <c r="G162" s="9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32" t="n"/>
    </row>
    <row r="163">
      <c r="A163" s="31" t="n"/>
      <c r="B163" s="8" t="n"/>
      <c r="C163" s="8" t="n"/>
      <c r="D163" s="8" t="n"/>
      <c r="E163" s="8" t="n"/>
      <c r="F163" s="8" t="n"/>
      <c r="G163" s="9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32" t="n"/>
    </row>
    <row r="164">
      <c r="A164" s="31" t="n"/>
      <c r="B164" s="8" t="n"/>
      <c r="C164" s="8" t="n"/>
      <c r="D164" s="8" t="n"/>
      <c r="E164" s="8" t="n"/>
      <c r="F164" s="8" t="n"/>
      <c r="G164" s="9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32" t="n"/>
    </row>
    <row r="165">
      <c r="A165" s="31" t="n"/>
      <c r="B165" s="8" t="n"/>
      <c r="C165" s="8" t="n"/>
      <c r="D165" s="8" t="n"/>
      <c r="E165" s="8" t="n"/>
      <c r="F165" s="8" t="n"/>
      <c r="G165" s="9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32" t="n"/>
    </row>
    <row r="166">
      <c r="A166" s="31" t="n"/>
      <c r="B166" s="8" t="n"/>
      <c r="C166" s="8" t="n"/>
      <c r="D166" s="8" t="n"/>
      <c r="E166" s="8" t="n"/>
      <c r="F166" s="8" t="n"/>
      <c r="G166" s="9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32" t="n"/>
    </row>
    <row r="167">
      <c r="A167" s="31" t="n"/>
      <c r="B167" s="8" t="n"/>
      <c r="C167" s="8" t="n"/>
      <c r="D167" s="8" t="n"/>
      <c r="E167" s="8" t="n"/>
      <c r="F167" s="8" t="n"/>
      <c r="G167" s="9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32" t="n"/>
    </row>
    <row r="168">
      <c r="A168" s="31" t="n"/>
      <c r="B168" s="8" t="n"/>
      <c r="C168" s="8" t="n"/>
      <c r="D168" s="8" t="n"/>
      <c r="E168" s="8" t="n"/>
      <c r="F168" s="8" t="n"/>
      <c r="G168" s="9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32" t="n"/>
    </row>
    <row r="169">
      <c r="A169" s="31" t="n"/>
      <c r="B169" s="8" t="n"/>
      <c r="C169" s="8" t="n"/>
      <c r="D169" s="8" t="n"/>
      <c r="E169" s="8" t="n"/>
      <c r="F169" s="8" t="n"/>
      <c r="G169" s="9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32" t="n"/>
    </row>
    <row r="170">
      <c r="A170" s="31" t="n"/>
      <c r="B170" s="8" t="n"/>
      <c r="C170" s="8" t="n"/>
      <c r="D170" s="8" t="n"/>
      <c r="E170" s="8" t="n"/>
      <c r="F170" s="8" t="n"/>
      <c r="G170" s="9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32" t="n"/>
    </row>
    <row r="171">
      <c r="A171" s="31" t="n"/>
      <c r="B171" s="8" t="n"/>
      <c r="C171" s="8" t="n"/>
      <c r="D171" s="8" t="n"/>
      <c r="E171" s="8" t="n"/>
      <c r="F171" s="8" t="n"/>
      <c r="G171" s="9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32" t="n"/>
    </row>
    <row r="172">
      <c r="A172" s="31" t="n"/>
      <c r="B172" s="8" t="n"/>
      <c r="C172" s="8" t="n"/>
      <c r="D172" s="8" t="n"/>
      <c r="E172" s="8" t="n"/>
      <c r="F172" s="8" t="n"/>
      <c r="G172" s="9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32" t="n"/>
    </row>
    <row r="173">
      <c r="A173" s="31" t="n"/>
      <c r="B173" s="8" t="n"/>
      <c r="C173" s="8" t="n"/>
      <c r="D173" s="8" t="n"/>
      <c r="E173" s="8" t="n"/>
      <c r="F173" s="8" t="n"/>
      <c r="G173" s="9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32" t="n"/>
    </row>
    <row r="174">
      <c r="A174" s="31" t="n"/>
      <c r="B174" s="8" t="n"/>
      <c r="C174" s="8" t="n"/>
      <c r="D174" s="8" t="n"/>
      <c r="E174" s="8" t="n"/>
      <c r="F174" s="8" t="n"/>
      <c r="G174" s="9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32" t="n"/>
    </row>
    <row r="175">
      <c r="A175" s="31" t="n"/>
      <c r="B175" s="8" t="n"/>
      <c r="C175" s="8" t="n"/>
      <c r="D175" s="8" t="n"/>
      <c r="E175" s="8" t="n"/>
      <c r="F175" s="8" t="n"/>
      <c r="G175" s="9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32" t="n"/>
    </row>
    <row r="176">
      <c r="A176" s="31" t="n"/>
      <c r="B176" s="8" t="n"/>
      <c r="C176" s="8" t="n"/>
      <c r="D176" s="8" t="n"/>
      <c r="E176" s="8" t="n"/>
      <c r="F176" s="8" t="n"/>
      <c r="G176" s="9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32" t="n"/>
    </row>
    <row r="177">
      <c r="A177" s="31" t="n"/>
      <c r="B177" s="8" t="n"/>
      <c r="C177" s="8" t="n"/>
      <c r="D177" s="8" t="n"/>
      <c r="E177" s="8" t="n"/>
      <c r="F177" s="8" t="n"/>
      <c r="G177" s="9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32" t="n"/>
    </row>
    <row r="178">
      <c r="A178" s="31" t="n"/>
      <c r="B178" s="8" t="n"/>
      <c r="C178" s="8" t="n"/>
      <c r="D178" s="8" t="n"/>
      <c r="E178" s="8" t="n"/>
      <c r="F178" s="8" t="n"/>
      <c r="G178" s="9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32" t="n"/>
    </row>
    <row r="179">
      <c r="A179" s="31" t="n"/>
      <c r="B179" s="8" t="n"/>
      <c r="C179" s="8" t="n"/>
      <c r="D179" s="8" t="n"/>
      <c r="E179" s="8" t="n"/>
      <c r="F179" s="8" t="n"/>
      <c r="G179" s="9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32" t="n"/>
    </row>
    <row r="180">
      <c r="A180" s="31" t="n"/>
      <c r="B180" s="8" t="n"/>
      <c r="C180" s="8" t="n"/>
      <c r="D180" s="8" t="n"/>
      <c r="E180" s="8" t="n"/>
      <c r="F180" s="8" t="n"/>
      <c r="G180" s="9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32" t="n"/>
    </row>
    <row r="181">
      <c r="A181" s="31" t="n"/>
      <c r="B181" s="8" t="n"/>
      <c r="C181" s="8" t="n"/>
      <c r="D181" s="8" t="n"/>
      <c r="E181" s="8" t="n"/>
      <c r="F181" s="8" t="n"/>
      <c r="G181" s="9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32" t="n"/>
    </row>
    <row r="182">
      <c r="A182" s="31" t="n"/>
      <c r="B182" s="8" t="n"/>
      <c r="C182" s="8" t="n"/>
      <c r="D182" s="8" t="n"/>
      <c r="E182" s="8" t="n"/>
      <c r="F182" s="8" t="n"/>
      <c r="G182" s="9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32" t="n"/>
    </row>
    <row r="183">
      <c r="A183" s="31" t="n"/>
      <c r="B183" s="8" t="n"/>
      <c r="C183" s="8" t="n"/>
      <c r="D183" s="8" t="n"/>
      <c r="E183" s="8" t="n"/>
      <c r="F183" s="8" t="n"/>
      <c r="G183" s="9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32" t="n"/>
    </row>
    <row r="184">
      <c r="A184" s="31" t="n"/>
      <c r="B184" s="8" t="n"/>
      <c r="C184" s="8" t="n"/>
      <c r="D184" s="8" t="n"/>
      <c r="E184" s="8" t="n"/>
      <c r="F184" s="8" t="n"/>
      <c r="G184" s="9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32" t="n"/>
    </row>
    <row r="185">
      <c r="A185" s="31" t="n"/>
      <c r="B185" s="8" t="n"/>
      <c r="C185" s="8" t="n"/>
      <c r="D185" s="8" t="n"/>
      <c r="E185" s="8" t="n"/>
      <c r="F185" s="8" t="n"/>
      <c r="G185" s="9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32" t="n"/>
    </row>
    <row r="186">
      <c r="A186" s="31" t="n"/>
      <c r="B186" s="8" t="n"/>
      <c r="C186" s="8" t="n"/>
      <c r="D186" s="8" t="n"/>
      <c r="E186" s="8" t="n"/>
      <c r="F186" s="8" t="n"/>
      <c r="G186" s="9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32" t="n"/>
    </row>
    <row r="187">
      <c r="A187" s="31" t="n"/>
      <c r="B187" s="8" t="n"/>
      <c r="C187" s="8" t="n"/>
      <c r="D187" s="8" t="n"/>
      <c r="E187" s="8" t="n"/>
      <c r="F187" s="8" t="n"/>
      <c r="G187" s="9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32" t="n"/>
    </row>
    <row r="188">
      <c r="A188" s="31" t="n"/>
      <c r="B188" s="8" t="n"/>
      <c r="C188" s="8" t="n"/>
      <c r="D188" s="8" t="n"/>
      <c r="E188" s="8" t="n"/>
      <c r="F188" s="8" t="n"/>
      <c r="G188" s="9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32" t="n"/>
    </row>
    <row r="189">
      <c r="A189" s="31" t="n"/>
      <c r="B189" s="8" t="n"/>
      <c r="C189" s="8" t="n"/>
      <c r="D189" s="8" t="n"/>
      <c r="E189" s="8" t="n"/>
      <c r="F189" s="8" t="n"/>
      <c r="G189" s="9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32" t="n"/>
    </row>
    <row r="190">
      <c r="A190" s="31" t="n"/>
      <c r="B190" s="8" t="n"/>
      <c r="C190" s="8" t="n"/>
      <c r="D190" s="8" t="n"/>
      <c r="E190" s="8" t="n"/>
      <c r="F190" s="8" t="n"/>
      <c r="G190" s="9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32" t="n"/>
    </row>
    <row r="191">
      <c r="A191" s="31" t="n"/>
      <c r="B191" s="8" t="n"/>
      <c r="C191" s="8" t="n"/>
      <c r="D191" s="8" t="n"/>
      <c r="E191" s="8" t="n"/>
      <c r="F191" s="8" t="n"/>
      <c r="G191" s="9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32" t="n"/>
    </row>
    <row r="192">
      <c r="A192" s="31" t="n"/>
      <c r="B192" s="8" t="n"/>
      <c r="C192" s="8" t="n"/>
      <c r="D192" s="8" t="n"/>
      <c r="E192" s="8" t="n"/>
      <c r="F192" s="8" t="n"/>
      <c r="G192" s="9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32" t="n"/>
    </row>
    <row r="193">
      <c r="A193" s="31" t="n"/>
      <c r="B193" s="8" t="n"/>
      <c r="C193" s="8" t="n"/>
      <c r="D193" s="8" t="n"/>
      <c r="E193" s="8" t="n"/>
      <c r="F193" s="8" t="n"/>
      <c r="G193" s="9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32" t="n"/>
    </row>
    <row r="194">
      <c r="A194" s="31">
        <f>IF($C194="","",INDEX(Taxepunkter!$A:$A,$C194))</f>
        <v/>
      </c>
      <c r="B194" s="8" t="n"/>
      <c r="C194" s="8" t="n"/>
      <c r="D194" s="8">
        <f>IF($C194="","",_xludf.TEXTJOIN(" ",TRUE,INDEX(Taxepunkter!$C:$C,$C194),INDEX(Taxepunkter!$D:$D,$C194)))</f>
        <v/>
      </c>
      <c r="E194" s="8">
        <f>IF($C194="","","Saknas i EDP – föreslagen ny taxa")</f>
        <v/>
      </c>
      <c r="F194" s="8">
        <f>IF($C194="","","Automatiserad mall: fyll Rad i Taxepunkter och FöreslagenTaxekod")</f>
        <v/>
      </c>
      <c r="G194" s="9" t="n"/>
      <c r="H194" s="10">
        <f>IF($C194="","",$C194)</f>
        <v/>
      </c>
      <c r="I194" s="10">
        <f>IF($C194="","",INDEX(Taxepunkter!$B:$B,$C194)&amp;" / "&amp;INDEX(Taxepunkter!$C:$C,$C194))</f>
        <v/>
      </c>
      <c r="J194" s="10">
        <f>IF($G194="","",$G194)</f>
        <v/>
      </c>
      <c r="K194" s="10">
        <f>IF($C194="","",INDEX(Taxepunkter!$C:$C,$C194)&amp;IF(INDEX(Taxepunkter!$D:$D,$C194)="","",". "&amp;INDEX(Taxepunkter!$D:$D,$C194)))</f>
        <v/>
      </c>
      <c r="L194" s="10">
        <f>IF($C194="","","RENH")</f>
        <v/>
      </c>
      <c r="M194" s="10">
        <f>IF($C194="","","HUSH")</f>
        <v/>
      </c>
      <c r="N194" s="10">
        <f>IF($C194="","",1)</f>
        <v/>
      </c>
      <c r="O194" s="10">
        <f>IF($C194="","","ÅRKV")</f>
        <v/>
      </c>
      <c r="P194" s="10">
        <f>IF($C194="","",_xludf.TEXTJOIN(" ",TRUE,INDEX(Taxepunkter!$C:$C,$C194),INDEX(Taxepunkter!$D:$D,$C194)))</f>
        <v/>
      </c>
      <c r="Q194" s="10" t="n"/>
      <c r="R194" s="10" t="n"/>
      <c r="S194" s="10" t="n"/>
      <c r="T194" s="10" t="n"/>
      <c r="U194" s="10">
        <f>IF($C194="","",0)</f>
        <v/>
      </c>
      <c r="V194" s="10" t="n"/>
      <c r="W194" s="10">
        <f>IF($C194="","","-")</f>
        <v/>
      </c>
      <c r="X194" s="10">
        <f>IF($C194="","",1)</f>
        <v/>
      </c>
      <c r="Y194" s="32">
        <f>IF($C194="","","ANTB")</f>
        <v/>
      </c>
    </row>
    <row r="195">
      <c r="A195" s="31">
        <f>IF($C195="","",INDEX(Taxepunkter!$A:$A,$C195))</f>
        <v/>
      </c>
      <c r="B195" s="8" t="n"/>
      <c r="C195" s="8" t="n"/>
      <c r="D195" s="8">
        <f>IF($C195="","",_xludf.TEXTJOIN(" ",TRUE,INDEX(Taxepunkter!$C:$C,$C195),INDEX(Taxepunkter!$D:$D,$C195)))</f>
        <v/>
      </c>
      <c r="E195" s="8">
        <f>IF($C195="","","Saknas i EDP – föreslagen ny taxa")</f>
        <v/>
      </c>
      <c r="F195" s="8">
        <f>IF($C195="","","Automatiserad mall: fyll Rad i Taxepunkter och FöreslagenTaxekod")</f>
        <v/>
      </c>
      <c r="G195" s="9" t="n"/>
      <c r="H195" s="10">
        <f>IF($C195="","",$C195)</f>
        <v/>
      </c>
      <c r="I195" s="10">
        <f>IF($C195="","",INDEX(Taxepunkter!$B:$B,$C195)&amp;" / "&amp;INDEX(Taxepunkter!$C:$C,$C195))</f>
        <v/>
      </c>
      <c r="J195" s="10">
        <f>IF($G195="","",$G195)</f>
        <v/>
      </c>
      <c r="K195" s="10">
        <f>IF($C195="","",INDEX(Taxepunkter!$C:$C,$C195)&amp;IF(INDEX(Taxepunkter!$D:$D,$C195)="","",". "&amp;INDEX(Taxepunkter!$D:$D,$C195)))</f>
        <v/>
      </c>
      <c r="L195" s="10">
        <f>IF($C195="","","RENH")</f>
        <v/>
      </c>
      <c r="M195" s="10">
        <f>IF($C195="","","HUSH")</f>
        <v/>
      </c>
      <c r="N195" s="10">
        <f>IF($C195="","",1)</f>
        <v/>
      </c>
      <c r="O195" s="10">
        <f>IF($C195="","","ÅRKV")</f>
        <v/>
      </c>
      <c r="P195" s="10">
        <f>IF($C195="","",_xludf.TEXTJOIN(" ",TRUE,INDEX(Taxepunkter!$C:$C,$C195),INDEX(Taxepunkter!$D:$D,$C195)))</f>
        <v/>
      </c>
      <c r="Q195" s="10" t="n"/>
      <c r="R195" s="10" t="n"/>
      <c r="S195" s="10" t="n"/>
      <c r="T195" s="10" t="n"/>
      <c r="U195" s="10">
        <f>IF($C195="","",0)</f>
        <v/>
      </c>
      <c r="V195" s="10" t="n"/>
      <c r="W195" s="10">
        <f>IF($C195="","","-")</f>
        <v/>
      </c>
      <c r="X195" s="10">
        <f>IF($C195="","",1)</f>
        <v/>
      </c>
      <c r="Y195" s="32">
        <f>IF($C195="","","ANTB")</f>
        <v/>
      </c>
    </row>
    <row r="196">
      <c r="A196" s="31">
        <f>IF($C196="","",INDEX(Taxepunkter!$A:$A,$C196))</f>
        <v/>
      </c>
      <c r="B196" s="8" t="n"/>
      <c r="C196" s="8" t="n"/>
      <c r="D196" s="8">
        <f>IF($C196="","",_xludf.TEXTJOIN(" ",TRUE,INDEX(Taxepunkter!$C:$C,$C196),INDEX(Taxepunkter!$D:$D,$C196)))</f>
        <v/>
      </c>
      <c r="E196" s="8">
        <f>IF($C196="","","Saknas i EDP – föreslagen ny taxa")</f>
        <v/>
      </c>
      <c r="F196" s="8">
        <f>IF($C196="","","Automatiserad mall: fyll Rad i Taxepunkter och FöreslagenTaxekod")</f>
        <v/>
      </c>
      <c r="G196" s="9" t="n"/>
      <c r="H196" s="10">
        <f>IF($C196="","",$C196)</f>
        <v/>
      </c>
      <c r="I196" s="10">
        <f>IF($C196="","",INDEX(Taxepunkter!$B:$B,$C196)&amp;" / "&amp;INDEX(Taxepunkter!$C:$C,$C196))</f>
        <v/>
      </c>
      <c r="J196" s="10">
        <f>IF($G196="","",$G196)</f>
        <v/>
      </c>
      <c r="K196" s="10">
        <f>IF($C196="","",INDEX(Taxepunkter!$C:$C,$C196)&amp;IF(INDEX(Taxepunkter!$D:$D,$C196)="","",". "&amp;INDEX(Taxepunkter!$D:$D,$C196)))</f>
        <v/>
      </c>
      <c r="L196" s="10">
        <f>IF($C196="","","RENH")</f>
        <v/>
      </c>
      <c r="M196" s="10">
        <f>IF($C196="","","HUSH")</f>
        <v/>
      </c>
      <c r="N196" s="10">
        <f>IF($C196="","",1)</f>
        <v/>
      </c>
      <c r="O196" s="10">
        <f>IF($C196="","","ÅRKV")</f>
        <v/>
      </c>
      <c r="P196" s="10">
        <f>IF($C196="","",_xludf.TEXTJOIN(" ",TRUE,INDEX(Taxepunkter!$C:$C,$C196),INDEX(Taxepunkter!$D:$D,$C196)))</f>
        <v/>
      </c>
      <c r="Q196" s="10" t="n"/>
      <c r="R196" s="10" t="n"/>
      <c r="S196" s="10" t="n"/>
      <c r="T196" s="10" t="n"/>
      <c r="U196" s="10">
        <f>IF($C196="","",0)</f>
        <v/>
      </c>
      <c r="V196" s="10" t="n"/>
      <c r="W196" s="10">
        <f>IF($C196="","","-")</f>
        <v/>
      </c>
      <c r="X196" s="10">
        <f>IF($C196="","",1)</f>
        <v/>
      </c>
      <c r="Y196" s="32">
        <f>IF($C196="","","ANTB")</f>
        <v/>
      </c>
    </row>
    <row r="197">
      <c r="A197" s="31">
        <f>IF($C197="","",INDEX(Taxepunkter!$A:$A,$C197))</f>
        <v/>
      </c>
      <c r="B197" s="8" t="n"/>
      <c r="C197" s="8" t="n"/>
      <c r="D197" s="8">
        <f>IF($C197="","",_xludf.TEXTJOIN(" ",TRUE,INDEX(Taxepunkter!$C:$C,$C197),INDEX(Taxepunkter!$D:$D,$C197)))</f>
        <v/>
      </c>
      <c r="E197" s="8">
        <f>IF($C197="","","Saknas i EDP – föreslagen ny taxa")</f>
        <v/>
      </c>
      <c r="F197" s="8">
        <f>IF($C197="","","Automatiserad mall: fyll Rad i Taxepunkter och FöreslagenTaxekod")</f>
        <v/>
      </c>
      <c r="G197" s="9" t="n"/>
      <c r="H197" s="10">
        <f>IF($C197="","",$C197)</f>
        <v/>
      </c>
      <c r="I197" s="10">
        <f>IF($C197="","",INDEX(Taxepunkter!$B:$B,$C197)&amp;" / "&amp;INDEX(Taxepunkter!$C:$C,$C197))</f>
        <v/>
      </c>
      <c r="J197" s="10">
        <f>IF($G197="","",$G197)</f>
        <v/>
      </c>
      <c r="K197" s="10">
        <f>IF($C197="","",INDEX(Taxepunkter!$C:$C,$C197)&amp;IF(INDEX(Taxepunkter!$D:$D,$C197)="","",". "&amp;INDEX(Taxepunkter!$D:$D,$C197)))</f>
        <v/>
      </c>
      <c r="L197" s="10">
        <f>IF($C197="","","RENH")</f>
        <v/>
      </c>
      <c r="M197" s="10">
        <f>IF($C197="","","HUSH")</f>
        <v/>
      </c>
      <c r="N197" s="10">
        <f>IF($C197="","",1)</f>
        <v/>
      </c>
      <c r="O197" s="10">
        <f>IF($C197="","","ÅRKV")</f>
        <v/>
      </c>
      <c r="P197" s="10">
        <f>IF($C197="","",_xludf.TEXTJOIN(" ",TRUE,INDEX(Taxepunkter!$C:$C,$C197),INDEX(Taxepunkter!$D:$D,$C197)))</f>
        <v/>
      </c>
      <c r="Q197" s="10" t="n"/>
      <c r="R197" s="10" t="n"/>
      <c r="S197" s="10" t="n"/>
      <c r="T197" s="10" t="n"/>
      <c r="U197" s="10">
        <f>IF($C197="","",0)</f>
        <v/>
      </c>
      <c r="V197" s="10" t="n"/>
      <c r="W197" s="10">
        <f>IF($C197="","","-")</f>
        <v/>
      </c>
      <c r="X197" s="10">
        <f>IF($C197="","",1)</f>
        <v/>
      </c>
      <c r="Y197" s="32">
        <f>IF($C197="","","ANTB")</f>
        <v/>
      </c>
    </row>
    <row r="198">
      <c r="A198" s="31">
        <f>IF($C198="","",INDEX(Taxepunkter!$A:$A,$C198))</f>
        <v/>
      </c>
      <c r="B198" s="8" t="n"/>
      <c r="C198" s="8" t="n"/>
      <c r="D198" s="8">
        <f>IF($C198="","",_xludf.TEXTJOIN(" ",TRUE,INDEX(Taxepunkter!$C:$C,$C198),INDEX(Taxepunkter!$D:$D,$C198)))</f>
        <v/>
      </c>
      <c r="E198" s="8">
        <f>IF($C198="","","Saknas i EDP – föreslagen ny taxa")</f>
        <v/>
      </c>
      <c r="F198" s="8">
        <f>IF($C198="","","Automatiserad mall: fyll Rad i Taxepunkter och FöreslagenTaxekod")</f>
        <v/>
      </c>
      <c r="G198" s="9" t="n"/>
      <c r="H198" s="10">
        <f>IF($C198="","",$C198)</f>
        <v/>
      </c>
      <c r="I198" s="10">
        <f>IF($C198="","",INDEX(Taxepunkter!$B:$B,$C198)&amp;" / "&amp;INDEX(Taxepunkter!$C:$C,$C198))</f>
        <v/>
      </c>
      <c r="J198" s="10">
        <f>IF($G198="","",$G198)</f>
        <v/>
      </c>
      <c r="K198" s="10">
        <f>IF($C198="","",INDEX(Taxepunkter!$C:$C,$C198)&amp;IF(INDEX(Taxepunkter!$D:$D,$C198)="","",". "&amp;INDEX(Taxepunkter!$D:$D,$C198)))</f>
        <v/>
      </c>
      <c r="L198" s="10">
        <f>IF($C198="","","RENH")</f>
        <v/>
      </c>
      <c r="M198" s="10">
        <f>IF($C198="","","HUSH")</f>
        <v/>
      </c>
      <c r="N198" s="10">
        <f>IF($C198="","",1)</f>
        <v/>
      </c>
      <c r="O198" s="10">
        <f>IF($C198="","","ÅRKV")</f>
        <v/>
      </c>
      <c r="P198" s="10">
        <f>IF($C198="","",_xludf.TEXTJOIN(" ",TRUE,INDEX(Taxepunkter!$C:$C,$C198),INDEX(Taxepunkter!$D:$D,$C198)))</f>
        <v/>
      </c>
      <c r="Q198" s="10" t="n"/>
      <c r="R198" s="10" t="n"/>
      <c r="S198" s="10" t="n"/>
      <c r="T198" s="10" t="n"/>
      <c r="U198" s="10">
        <f>IF($C198="","",0)</f>
        <v/>
      </c>
      <c r="V198" s="10" t="n"/>
      <c r="W198" s="10">
        <f>IF($C198="","","-")</f>
        <v/>
      </c>
      <c r="X198" s="10">
        <f>IF($C198="","",1)</f>
        <v/>
      </c>
      <c r="Y198" s="32">
        <f>IF($C198="","","ANTB")</f>
        <v/>
      </c>
    </row>
    <row r="199">
      <c r="A199" s="31">
        <f>IF($C199="","",INDEX(Taxepunkter!$A:$A,$C199))</f>
        <v/>
      </c>
      <c r="B199" s="8" t="n"/>
      <c r="C199" s="8" t="n"/>
      <c r="D199" s="8">
        <f>IF($C199="","",_xludf.TEXTJOIN(" ",TRUE,INDEX(Taxepunkter!$C:$C,$C199),INDEX(Taxepunkter!$D:$D,$C199)))</f>
        <v/>
      </c>
      <c r="E199" s="8">
        <f>IF($C199="","","Saknas i EDP – föreslagen ny taxa")</f>
        <v/>
      </c>
      <c r="F199" s="8">
        <f>IF($C199="","","Automatiserad mall: fyll Rad i Taxepunkter och FöreslagenTaxekod")</f>
        <v/>
      </c>
      <c r="G199" s="9" t="n"/>
      <c r="H199" s="10">
        <f>IF($C199="","",$C199)</f>
        <v/>
      </c>
      <c r="I199" s="10">
        <f>IF($C199="","",INDEX(Taxepunkter!$B:$B,$C199)&amp;" / "&amp;INDEX(Taxepunkter!$C:$C,$C199))</f>
        <v/>
      </c>
      <c r="J199" s="10">
        <f>IF($G199="","",$G199)</f>
        <v/>
      </c>
      <c r="K199" s="10">
        <f>IF($C199="","",INDEX(Taxepunkter!$C:$C,$C199)&amp;IF(INDEX(Taxepunkter!$D:$D,$C199)="","",". "&amp;INDEX(Taxepunkter!$D:$D,$C199)))</f>
        <v/>
      </c>
      <c r="L199" s="10">
        <f>IF($C199="","","RENH")</f>
        <v/>
      </c>
      <c r="M199" s="10">
        <f>IF($C199="","","HUSH")</f>
        <v/>
      </c>
      <c r="N199" s="10">
        <f>IF($C199="","",1)</f>
        <v/>
      </c>
      <c r="O199" s="10">
        <f>IF($C199="","","ÅRKV")</f>
        <v/>
      </c>
      <c r="P199" s="10">
        <f>IF($C199="","",_xludf.TEXTJOIN(" ",TRUE,INDEX(Taxepunkter!$C:$C,$C199),INDEX(Taxepunkter!$D:$D,$C199)))</f>
        <v/>
      </c>
      <c r="Q199" s="10" t="n"/>
      <c r="R199" s="10" t="n"/>
      <c r="S199" s="10" t="n"/>
      <c r="T199" s="10" t="n"/>
      <c r="U199" s="10">
        <f>IF($C199="","",0)</f>
        <v/>
      </c>
      <c r="V199" s="10" t="n"/>
      <c r="W199" s="10">
        <f>IF($C199="","","-")</f>
        <v/>
      </c>
      <c r="X199" s="10">
        <f>IF($C199="","",1)</f>
        <v/>
      </c>
      <c r="Y199" s="32">
        <f>IF($C199="","","ANTB")</f>
        <v/>
      </c>
    </row>
    <row r="200">
      <c r="A200" s="33">
        <f>IF($C200="","",INDEX(Taxepunkter!$A:$A,$C200))</f>
        <v/>
      </c>
      <c r="B200" s="34" t="n"/>
      <c r="C200" s="34" t="n"/>
      <c r="D200" s="34">
        <f>IF($C200="","",_xludf.TEXTJOIN(" ",TRUE,INDEX(Taxepunkter!$C:$C,$C200),INDEX(Taxepunkter!$D:$D,$C200)))</f>
        <v/>
      </c>
      <c r="E200" s="34">
        <f>IF($C200="","","Saknas i EDP – föreslagen ny taxa")</f>
        <v/>
      </c>
      <c r="F200" s="34">
        <f>IF($C200="","","Automatiserad mall: fyll Rad i Taxepunkter och FöreslagenTaxekod")</f>
        <v/>
      </c>
      <c r="G200" s="35" t="n"/>
      <c r="H200" s="36">
        <f>IF($C200="","",$C200)</f>
        <v/>
      </c>
      <c r="I200" s="36">
        <f>IF($C200="","",INDEX(Taxepunkter!$B:$B,$C200)&amp;" / "&amp;INDEX(Taxepunkter!$C:$C,$C200))</f>
        <v/>
      </c>
      <c r="J200" s="36">
        <f>IF($G200="","",$G200)</f>
        <v/>
      </c>
      <c r="K200" s="36">
        <f>IF($C200="","",INDEX(Taxepunkter!$C:$C,$C200)&amp;IF(INDEX(Taxepunkter!$D:$D,$C200)="","",". "&amp;INDEX(Taxepunkter!$D:$D,$C200)))</f>
        <v/>
      </c>
      <c r="L200" s="36">
        <f>IF($C200="","","RENH")</f>
        <v/>
      </c>
      <c r="M200" s="36">
        <f>IF($C200="","","HUSH")</f>
        <v/>
      </c>
      <c r="N200" s="36">
        <f>IF($C200="","",1)</f>
        <v/>
      </c>
      <c r="O200" s="36">
        <f>IF($C200="","","ÅRKV")</f>
        <v/>
      </c>
      <c r="P200" s="36">
        <f>IF($C200="","",_xludf.TEXTJOIN(" ",TRUE,INDEX(Taxepunkter!$C:$C,$C200),INDEX(Taxepunkter!$D:$D,$C200)))</f>
        <v/>
      </c>
      <c r="Q200" s="36" t="n"/>
      <c r="R200" s="36" t="n"/>
      <c r="S200" s="36" t="n"/>
      <c r="T200" s="36" t="n"/>
      <c r="U200" s="36">
        <f>IF($C200="","",0)</f>
        <v/>
      </c>
      <c r="V200" s="36" t="n"/>
      <c r="W200" s="36">
        <f>IF($C200="","","-")</f>
        <v/>
      </c>
      <c r="X200" s="36">
        <f>IF($C200="","",1)</f>
        <v/>
      </c>
      <c r="Y200" s="37">
        <f>IF($C200="","","ANTB")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2" customWidth="1" min="4" max="4"/>
    <col width="42" customWidth="1" min="5" max="5"/>
    <col width="35" customWidth="1" min="6" max="6"/>
    <col width="18" customWidth="1" min="7" max="7"/>
    <col width="65" customWidth="1" min="8" max="8"/>
  </cols>
  <sheetData>
    <row r="1">
      <c r="A1" s="62" t="inlineStr">
        <is>
          <t>Koddel</t>
        </is>
      </c>
      <c r="B1" s="63" t="inlineStr">
        <is>
          <t>Typ</t>
        </is>
      </c>
      <c r="C1" s="63" t="inlineStr">
        <is>
          <t>Betydelse</t>
        </is>
      </c>
      <c r="D1" s="63" t="inlineStr">
        <is>
          <t>Exempel</t>
        </is>
      </c>
      <c r="E1" s="63" t="inlineStr">
        <is>
          <t>Första förekomst</t>
        </is>
      </c>
      <c r="F1" s="63" t="inlineStr">
        <is>
          <t>Källa</t>
        </is>
      </c>
      <c r="G1" s="63" t="inlineStr">
        <is>
          <t>Status</t>
        </is>
      </c>
      <c r="H1" s="67" t="inlineStr">
        <is>
          <t>Kommentar</t>
        </is>
      </c>
    </row>
    <row r="2">
      <c r="A2" s="43" t="inlineStr">
        <is>
          <t>KÄ</t>
        </is>
      </c>
      <c r="B2" s="10" t="inlineStr">
        <is>
          <t>Prefix</t>
        </is>
      </c>
      <c r="C2" s="10" t="inlineStr">
        <is>
          <t>Kärl</t>
        </is>
      </c>
      <c r="D2" s="10" t="inlineStr">
        <is>
          <t>KÄ240RM26</t>
        </is>
      </c>
      <c r="E2" s="10" t="inlineStr">
        <is>
          <t>Taxa_från_edp rad 234 / strTaxekod KÄ240RM26</t>
        </is>
      </c>
      <c r="F2" s="10" t="inlineStr">
        <is>
          <t>strTaxekod + strTaxebenamning</t>
        </is>
      </c>
      <c r="G2" s="10" t="inlineStr">
        <is>
          <t>Bekräftad</t>
        </is>
      </c>
      <c r="H2" s="32" t="n"/>
    </row>
    <row r="3">
      <c r="A3" s="43" t="inlineStr">
        <is>
          <t>MB</t>
        </is>
      </c>
      <c r="B3" s="10" t="inlineStr">
        <is>
          <t>Prefix</t>
        </is>
      </c>
      <c r="C3" s="10" t="inlineStr">
        <is>
          <t>Markbehållare eller underjordsbehållare</t>
        </is>
      </c>
      <c r="D3" s="10" t="inlineStr">
        <is>
          <t>MB3200RE26</t>
        </is>
      </c>
      <c r="E3" s="10" t="inlineStr">
        <is>
          <t>Taxa_från_edp rad 211 / 271</t>
        </is>
      </c>
      <c r="F3" s="10" t="inlineStr">
        <is>
          <t>strTaxebenamning + användarbekräftelse</t>
        </is>
      </c>
      <c r="G3" s="10" t="inlineStr">
        <is>
          <t>Bekräftad</t>
        </is>
      </c>
      <c r="H3" s="32" t="inlineStr">
        <is>
          <t>Kan omfatta både mark- och underjordsbehållare.</t>
        </is>
      </c>
    </row>
    <row r="4">
      <c r="A4" s="43" t="inlineStr">
        <is>
          <t>BTMR</t>
        </is>
      </c>
      <c r="B4" s="10" t="inlineStr">
        <is>
          <t>Kodstruktur</t>
        </is>
      </c>
      <c r="C4" s="10" t="inlineStr">
        <is>
          <t>Bottentömmande behållare, mat-/restavfall</t>
        </is>
      </c>
      <c r="D4" s="10" t="inlineStr">
        <is>
          <t>BTMRFV</t>
        </is>
      </c>
      <c r="E4" s="10" t="inlineStr">
        <is>
          <t>Taxa_Saknas / föreslagen struktur</t>
        </is>
      </c>
      <c r="F4" s="10" t="inlineStr">
        <is>
          <t>Användarbekräftelse</t>
        </is>
      </c>
      <c r="G4" s="10" t="inlineStr">
        <is>
          <t>Bekräftad</t>
        </is>
      </c>
      <c r="H4" s="32" t="inlineStr">
        <is>
          <t>Används för nya föreslagna taxor när EDP-träff saknas.</t>
        </is>
      </c>
    </row>
    <row r="5">
      <c r="A5" s="43" t="inlineStr">
        <is>
          <t>LVRE</t>
        </is>
      </c>
      <c r="B5" s="10" t="inlineStr">
        <is>
          <t>Kodstruktur</t>
        </is>
      </c>
      <c r="C5" s="10" t="inlineStr">
        <is>
          <t>Lastväxlarflak, restavfall</t>
        </is>
      </c>
      <c r="D5" s="10" t="inlineStr">
        <is>
          <t>LVREFV</t>
        </is>
      </c>
      <c r="E5" s="10" t="inlineStr">
        <is>
          <t>Taxa_Saknas / föreslagen struktur</t>
        </is>
      </c>
      <c r="F5" s="10" t="inlineStr">
        <is>
          <t>Användarbekräftelse</t>
        </is>
      </c>
      <c r="G5" s="10" t="inlineStr">
        <is>
          <t>Bekräftad</t>
        </is>
      </c>
      <c r="H5" s="32" t="inlineStr">
        <is>
          <t>Används för nya föreslagna taxor när EDP-träff saknas.</t>
        </is>
      </c>
    </row>
    <row r="6">
      <c r="A6" s="43" t="inlineStr">
        <is>
          <t>RM</t>
        </is>
      </c>
      <c r="B6" s="10" t="inlineStr">
        <is>
          <t>Avfallsslag</t>
        </is>
      </c>
      <c r="C6" s="10" t="inlineStr">
        <is>
          <t>Rest-/matavfall</t>
        </is>
      </c>
      <c r="D6" s="10" t="inlineStr">
        <is>
          <t>KÄ240RM26</t>
        </is>
      </c>
      <c r="E6" s="10" t="inlineStr">
        <is>
          <t>Taxa_från_edp rad 234 / strTaxekod KÄ240RM26</t>
        </is>
      </c>
      <c r="F6" s="10" t="inlineStr">
        <is>
          <t>strTaxebenamning: rest/matavfall</t>
        </is>
      </c>
      <c r="G6" s="10" t="inlineStr">
        <is>
          <t>Bekräftad</t>
        </is>
      </c>
      <c r="H6" s="32" t="n"/>
    </row>
    <row r="7">
      <c r="A7" s="43" t="inlineStr">
        <is>
          <t>RK</t>
        </is>
      </c>
      <c r="B7" s="10" t="inlineStr">
        <is>
          <t>Avfallsslag</t>
        </is>
      </c>
      <c r="C7" s="10" t="inlineStr">
        <is>
          <t>Restavfall/kompost</t>
        </is>
      </c>
      <c r="D7" s="10" t="inlineStr">
        <is>
          <t>KÄ240RK26</t>
        </is>
      </c>
      <c r="E7" s="10" t="inlineStr">
        <is>
          <t>Taxa_från_edp rad 232 / strTaxekod KÄ240RK26</t>
        </is>
      </c>
      <c r="F7" s="10" t="inlineStr">
        <is>
          <t>strTaxebenamning: restavfall/kompost</t>
        </is>
      </c>
      <c r="G7" s="10" t="inlineStr">
        <is>
          <t>Bekräftad</t>
        </is>
      </c>
      <c r="H7" s="32" t="n"/>
    </row>
    <row r="8">
      <c r="A8" s="43" t="inlineStr">
        <is>
          <t>RE</t>
        </is>
      </c>
      <c r="B8" s="10" t="inlineStr">
        <is>
          <t>Avfallsslag</t>
        </is>
      </c>
      <c r="C8" s="10" t="inlineStr">
        <is>
          <t>Restavfall</t>
        </is>
      </c>
      <c r="D8" s="10" t="inlineStr">
        <is>
          <t>KÄ370RE26FV</t>
        </is>
      </c>
      <c r="E8" s="10" t="inlineStr">
        <is>
          <t>Taxa_från_edp rad 242 / strTaxekod KÄ370RE26FV</t>
        </is>
      </c>
      <c r="F8" s="10" t="inlineStr">
        <is>
          <t>strTaxebenamning + strTaxedelAvser</t>
        </is>
      </c>
      <c r="G8" s="10" t="inlineStr">
        <is>
          <t>Bekräftad</t>
        </is>
      </c>
      <c r="H8" s="32" t="n"/>
    </row>
    <row r="9">
      <c r="A9" s="43" t="inlineStr">
        <is>
          <t>MA</t>
        </is>
      </c>
      <c r="B9" s="10" t="inlineStr">
        <is>
          <t>Avfallsslag</t>
        </is>
      </c>
      <c r="C9" s="10" t="inlineStr">
        <is>
          <t>Matavfall</t>
        </is>
      </c>
      <c r="D9" s="10" t="inlineStr">
        <is>
          <t>KÄ140MA52FV</t>
        </is>
      </c>
      <c r="E9" s="10" t="inlineStr">
        <is>
          <t>Taxa_från_edp rad 221 / strTaxekod KÄ140MA52FV</t>
        </is>
      </c>
      <c r="F9" s="10" t="inlineStr">
        <is>
          <t>strTaxebenamning + strTaxedelAvser</t>
        </is>
      </c>
      <c r="G9" s="10" t="inlineStr">
        <is>
          <t>Bekräftad</t>
        </is>
      </c>
      <c r="H9" s="32" t="n"/>
    </row>
    <row r="10">
      <c r="A10" s="43" t="inlineStr">
        <is>
          <t>TI</t>
        </is>
      </c>
      <c r="B10" s="10" t="inlineStr">
        <is>
          <t>Avfallsslag</t>
        </is>
      </c>
      <c r="C10" s="10" t="inlineStr">
        <is>
          <t>Tidningar/returpapper</t>
        </is>
      </c>
      <c r="D10" s="10" t="inlineStr">
        <is>
          <t>KÄ190TI26FV</t>
        </is>
      </c>
      <c r="E10" s="10" t="inlineStr">
        <is>
          <t>Taxa_Saknas / föreslagen struktur</t>
        </is>
      </c>
      <c r="F10" s="10" t="inlineStr">
        <is>
          <t>Användarbekräftelse</t>
        </is>
      </c>
      <c r="G10" s="10" t="inlineStr">
        <is>
          <t>Bekräftad</t>
        </is>
      </c>
      <c r="H10" s="32" t="inlineStr">
        <is>
          <t>Används där EDP-träff saknas för tidningar/returpapper.</t>
        </is>
      </c>
    </row>
    <row r="11">
      <c r="A11" s="43" t="inlineStr">
        <is>
          <t>FP</t>
        </is>
      </c>
      <c r="B11" s="10" t="inlineStr">
        <is>
          <t>Avfallsslag</t>
        </is>
      </c>
      <c r="C11" s="10" t="inlineStr">
        <is>
          <t>Förpackningar</t>
        </is>
      </c>
      <c r="D11" s="10" t="inlineStr">
        <is>
          <t>KÄ370FP26FV</t>
        </is>
      </c>
      <c r="E11" s="10" t="inlineStr">
        <is>
          <t>Taxa_Saknas / föreslagen struktur</t>
        </is>
      </c>
      <c r="F11" s="10" t="inlineStr">
        <is>
          <t>Användarbekräftelse</t>
        </is>
      </c>
      <c r="G11" s="10" t="inlineStr">
        <is>
          <t>Bekräftad</t>
        </is>
      </c>
      <c r="H11" s="32" t="inlineStr">
        <is>
          <t>Används där EDP-träff saknas för förpackningar.</t>
        </is>
      </c>
    </row>
    <row r="12">
      <c r="A12" s="43" t="inlineStr">
        <is>
          <t>XRM</t>
        </is>
      </c>
      <c r="B12" s="10" t="inlineStr">
        <is>
          <t>Avfallsslag/kärltyp</t>
        </is>
      </c>
      <c r="C12" s="10" t="inlineStr">
        <is>
          <t>Extrakärl rest-/matavfall</t>
        </is>
      </c>
      <c r="D12" s="10" t="inlineStr">
        <is>
          <t>KÄ190XRM26</t>
        </is>
      </c>
      <c r="E12" s="10" t="inlineStr">
        <is>
          <t>Taxa_från_edp rad 226 / strTaxekod KÄ190XRM26</t>
        </is>
      </c>
      <c r="F12" s="10" t="inlineStr">
        <is>
          <t>strTaxebenamning: extrakärl, rest/matavfall</t>
        </is>
      </c>
      <c r="G12" s="10" t="inlineStr">
        <is>
          <t>Bekräftad</t>
        </is>
      </c>
      <c r="H12" s="32" t="n"/>
    </row>
    <row r="13">
      <c r="A13" s="43" t="inlineStr">
        <is>
          <t>140</t>
        </is>
      </c>
      <c r="B13" s="10" t="inlineStr">
        <is>
          <t>Volym</t>
        </is>
      </c>
      <c r="C13" s="10" t="inlineStr">
        <is>
          <t>140 liter</t>
        </is>
      </c>
      <c r="D13" s="10" t="inlineStr">
        <is>
          <t>KÄ140MA26FV</t>
        </is>
      </c>
      <c r="E13" s="10" t="inlineStr">
        <is>
          <t>Taxa_från_edp rad 216 / strTaxekod KÄ140MA26FV</t>
        </is>
      </c>
      <c r="F13" s="10" t="inlineStr">
        <is>
          <t>strTaxebenamning</t>
        </is>
      </c>
      <c r="G13" s="10" t="inlineStr">
        <is>
          <t>Bekräftad</t>
        </is>
      </c>
      <c r="H13" s="32" t="n"/>
    </row>
    <row r="14">
      <c r="A14" s="43" t="inlineStr">
        <is>
          <t>190</t>
        </is>
      </c>
      <c r="B14" s="10" t="inlineStr">
        <is>
          <t>Volym</t>
        </is>
      </c>
      <c r="C14" s="10" t="inlineStr">
        <is>
          <t>190 liter / 120–190 liter för extrakärl</t>
        </is>
      </c>
      <c r="D14" s="10" t="inlineStr">
        <is>
          <t>KÄ190XRM26</t>
        </is>
      </c>
      <c r="E14" s="10" t="inlineStr">
        <is>
          <t>Taxa_från_edp rad 226 / strTaxekod KÄ190XRM26</t>
        </is>
      </c>
      <c r="F14" s="10" t="inlineStr">
        <is>
          <t>strTaxebenamning</t>
        </is>
      </c>
      <c r="G14" s="10" t="inlineStr">
        <is>
          <t>Bekräftad</t>
        </is>
      </c>
      <c r="H14" s="32" t="n"/>
    </row>
    <row r="15">
      <c r="A15" s="43" t="inlineStr">
        <is>
          <t>240</t>
        </is>
      </c>
      <c r="B15" s="10" t="inlineStr">
        <is>
          <t>Volym</t>
        </is>
      </c>
      <c r="C15" s="10" t="inlineStr">
        <is>
          <t>240 liter</t>
        </is>
      </c>
      <c r="D15" s="10" t="inlineStr">
        <is>
          <t>KÄ240RM26</t>
        </is>
      </c>
      <c r="E15" s="10" t="inlineStr">
        <is>
          <t>Taxa_från_edp rad 234 / strTaxekod KÄ240RM26</t>
        </is>
      </c>
      <c r="F15" s="10" t="inlineStr">
        <is>
          <t>strTaxebenamning</t>
        </is>
      </c>
      <c r="G15" s="10" t="inlineStr">
        <is>
          <t>Bekräftad</t>
        </is>
      </c>
      <c r="H15" s="32" t="n"/>
    </row>
    <row r="16">
      <c r="A16" s="43" t="inlineStr">
        <is>
          <t>370</t>
        </is>
      </c>
      <c r="B16" s="10" t="inlineStr">
        <is>
          <t>Volym</t>
        </is>
      </c>
      <c r="C16" s="10" t="inlineStr">
        <is>
          <t>370 liter</t>
        </is>
      </c>
      <c r="D16" s="10" t="inlineStr">
        <is>
          <t>KÄ370RE26FV</t>
        </is>
      </c>
      <c r="E16" s="10" t="inlineStr">
        <is>
          <t>Taxa_från_edp rad 242 / strTaxekod KÄ370RE26FV</t>
        </is>
      </c>
      <c r="F16" s="10" t="inlineStr">
        <is>
          <t>strTaxebenamning</t>
        </is>
      </c>
      <c r="G16" s="10" t="inlineStr">
        <is>
          <t>Bekräftad</t>
        </is>
      </c>
      <c r="H16" s="32" t="n"/>
    </row>
    <row r="17">
      <c r="A17" s="43" t="inlineStr">
        <is>
          <t>660</t>
        </is>
      </c>
      <c r="B17" s="10" t="inlineStr">
        <is>
          <t>Volym</t>
        </is>
      </c>
      <c r="C17" s="10" t="inlineStr">
        <is>
          <t>660 liter</t>
        </is>
      </c>
      <c r="D17" s="10" t="inlineStr">
        <is>
          <t>KÄ660RE26FV</t>
        </is>
      </c>
      <c r="E17" s="10" t="inlineStr">
        <is>
          <t>Taxa_från_edp rad 254 / strTaxekod KÄ660RE26FV</t>
        </is>
      </c>
      <c r="F17" s="10" t="inlineStr">
        <is>
          <t>strTaxebenamning</t>
        </is>
      </c>
      <c r="G17" s="10" t="inlineStr">
        <is>
          <t>Bekräftad</t>
        </is>
      </c>
      <c r="H17" s="32" t="n"/>
    </row>
    <row r="18">
      <c r="A18" s="43" t="inlineStr">
        <is>
          <t>26</t>
        </is>
      </c>
      <c r="B18" s="10" t="inlineStr">
        <is>
          <t>Frekvens</t>
        </is>
      </c>
      <c r="C18" s="10" t="inlineStr">
        <is>
          <t>Var 14:e dag / 26 tömningar per år</t>
        </is>
      </c>
      <c r="D18" s="10" t="inlineStr">
        <is>
          <t>KÄ240RM26</t>
        </is>
      </c>
      <c r="E18" s="10" t="inlineStr">
        <is>
          <t>Taxa_från_edp rad 234 / strTaxekod KÄ240RM26</t>
        </is>
      </c>
      <c r="F18" s="10" t="inlineStr">
        <is>
          <t>strTaxebenamning</t>
        </is>
      </c>
      <c r="G18" s="10" t="inlineStr">
        <is>
          <t>Bekräftad</t>
        </is>
      </c>
      <c r="H18" s="32" t="n"/>
    </row>
    <row r="19">
      <c r="A19" s="43" t="inlineStr">
        <is>
          <t>52</t>
        </is>
      </c>
      <c r="B19" s="10" t="inlineStr">
        <is>
          <t>Frekvens</t>
        </is>
      </c>
      <c r="C19" s="10" t="inlineStr">
        <is>
          <t>Varje vecka / 52 tömningar per år</t>
        </is>
      </c>
      <c r="D19" s="10" t="inlineStr">
        <is>
          <t>KÄ240RM52FV</t>
        </is>
      </c>
      <c r="E19" s="10" t="inlineStr">
        <is>
          <t>Taxa_från_edp rad 31 / strTaxekod KÄ240RM52FV</t>
        </is>
      </c>
      <c r="F19" s="10" t="inlineStr">
        <is>
          <t>strTaxebenamning</t>
        </is>
      </c>
      <c r="G19" s="10" t="inlineStr">
        <is>
          <t>Bekräftad</t>
        </is>
      </c>
      <c r="H19" s="32" t="n"/>
    </row>
    <row r="20">
      <c r="A20" s="43" t="inlineStr">
        <is>
          <t>12</t>
        </is>
      </c>
      <c r="B20" s="10" t="inlineStr">
        <is>
          <t>Frekvens</t>
        </is>
      </c>
      <c r="C20" s="10" t="inlineStr">
        <is>
          <t>Månadsvis / 12 tömningar per år</t>
        </is>
      </c>
      <c r="D20" s="10" t="inlineStr">
        <is>
          <t>KÄ240RM12FV</t>
        </is>
      </c>
      <c r="E20" s="10" t="inlineStr">
        <is>
          <t>Taxa_Saknas / föreslagen struktur</t>
        </is>
      </c>
      <c r="F20" s="10" t="inlineStr">
        <is>
          <t>Härledd från kodmönster och Word</t>
        </is>
      </c>
      <c r="G20" s="10" t="inlineStr">
        <is>
          <t>Härledd</t>
        </is>
      </c>
      <c r="H20" s="32" t="inlineStr">
        <is>
          <t>Finns inte som säker EDP-träff i genomgången hittills.</t>
        </is>
      </c>
    </row>
    <row r="21">
      <c r="A21" s="43" t="inlineStr">
        <is>
          <t>FRI</t>
        </is>
      </c>
      <c r="B21" s="10" t="inlineStr">
        <is>
          <t>Suffix</t>
        </is>
      </c>
      <c r="C21" s="10" t="inlineStr">
        <is>
          <t>Fritidshus</t>
        </is>
      </c>
      <c r="D21" s="10" t="inlineStr">
        <is>
          <t>KÄ240RM26FRI</t>
        </is>
      </c>
      <c r="E21" s="10" t="inlineStr">
        <is>
          <t>Taxa_från_edp rad 236 / strTaxekod KÄ240RM26FRI</t>
        </is>
      </c>
      <c r="F21" s="10" t="inlineStr">
        <is>
          <t>strTaxebenamning</t>
        </is>
      </c>
      <c r="G21" s="10" t="inlineStr">
        <is>
          <t>Bekräftad</t>
        </is>
      </c>
      <c r="H21" s="32" t="n"/>
    </row>
    <row r="22">
      <c r="A22" s="43" t="inlineStr">
        <is>
          <t>FV</t>
        </is>
      </c>
      <c r="B22" s="10" t="inlineStr">
        <is>
          <t>Suffix</t>
        </is>
      </c>
      <c r="C22" s="10" t="inlineStr">
        <is>
          <t>Flerbostadshus eller verksamhet</t>
        </is>
      </c>
      <c r="D22" s="10" t="inlineStr">
        <is>
          <t>KÄ660RE52FV</t>
        </is>
      </c>
      <c r="E22" s="10" t="inlineStr">
        <is>
          <t>Taxa_från_edp rad 259 / strTaxekod KÄ660RE52FV</t>
        </is>
      </c>
      <c r="F22" s="10" t="inlineStr">
        <is>
          <t>strTaxebenamning: FLB/VHT + användarbekräftelse</t>
        </is>
      </c>
      <c r="G22" s="10" t="inlineStr">
        <is>
          <t>Bekräftad</t>
        </is>
      </c>
      <c r="H22" s="32" t="inlineStr">
        <is>
          <t>Samma FV-taxekod kan användas både för flerbostadshus och verksamhet om övriga villkor stämmer.</t>
        </is>
      </c>
    </row>
    <row r="23">
      <c r="A23" s="43" t="inlineStr">
        <is>
          <t>FLB</t>
        </is>
      </c>
      <c r="B23" s="10" t="inlineStr">
        <is>
          <t>Förkortning i benämning</t>
        </is>
      </c>
      <c r="C23" s="10" t="inlineStr">
        <is>
          <t>Flerbostadshus</t>
        </is>
      </c>
      <c r="D23" s="10" t="inlineStr">
        <is>
          <t>FLB/VHT</t>
        </is>
      </c>
      <c r="E23" s="10" t="inlineStr">
        <is>
          <t>Taxa_från_edp, flera rader</t>
        </is>
      </c>
      <c r="F23" s="10" t="inlineStr">
        <is>
          <t>strTaxebenamning</t>
        </is>
      </c>
      <c r="G23" s="10" t="inlineStr">
        <is>
          <t>Bekräftad</t>
        </is>
      </c>
      <c r="H23" s="32" t="inlineStr">
        <is>
          <t>Förekommer i strTaxebenamning, inte nödvändigtvis som egen koddel.</t>
        </is>
      </c>
    </row>
    <row r="24">
      <c r="A24" s="43" t="inlineStr">
        <is>
          <t>VHT</t>
        </is>
      </c>
      <c r="B24" s="10" t="inlineStr">
        <is>
          <t>Förkortning i benämning</t>
        </is>
      </c>
      <c r="C24" s="10" t="inlineStr">
        <is>
          <t>Verksamhet</t>
        </is>
      </c>
      <c r="D24" s="10" t="inlineStr">
        <is>
          <t>FLB/VHT</t>
        </is>
      </c>
      <c r="E24" s="10" t="inlineStr">
        <is>
          <t>Taxa_från_edp, flera rader</t>
        </is>
      </c>
      <c r="F24" s="10" t="inlineStr">
        <is>
          <t>strTaxebenamning</t>
        </is>
      </c>
      <c r="G24" s="10" t="inlineStr">
        <is>
          <t>Bekräftad</t>
        </is>
      </c>
      <c r="H24" s="32" t="inlineStr">
        <is>
          <t>Förekommer i strTaxebenamning, inte nödvändigtvis som egen koddel.</t>
        </is>
      </c>
    </row>
    <row r="25">
      <c r="A25" s="43" t="inlineStr">
        <is>
          <t>SL</t>
        </is>
      </c>
      <c r="B25" s="10" t="inlineStr">
        <is>
          <t>Prefix/kategori</t>
        </is>
      </c>
      <c r="C25" s="10" t="inlineStr">
        <is>
          <t>Slam</t>
        </is>
      </c>
      <c r="D25" s="10" t="inlineStr">
        <is>
          <t>SLBUDFOS</t>
        </is>
      </c>
      <c r="E25" s="10" t="inlineStr">
        <is>
          <t>Taxa_från_edp rad 133 / strTaxekod SLBUDFOS</t>
        </is>
      </c>
      <c r="F25" s="10" t="inlineStr">
        <is>
          <t>strDelProdukt + strTaxebenamning</t>
        </is>
      </c>
      <c r="G25" s="10" t="inlineStr">
        <is>
          <t>Bekräftad</t>
        </is>
      </c>
      <c r="H25" s="32" t="n"/>
    </row>
    <row r="26">
      <c r="A26" s="43" t="inlineStr">
        <is>
          <t>ÅVC</t>
        </is>
      </c>
      <c r="B26" s="10" t="inlineStr">
        <is>
          <t>Kategori</t>
        </is>
      </c>
      <c r="C26" s="10" t="inlineStr">
        <is>
          <t>Återvinningscentral</t>
        </is>
      </c>
      <c r="D26" s="10" t="inlineStr">
        <is>
          <t>ASBEST</t>
        </is>
      </c>
      <c r="E26" s="10" t="inlineStr">
        <is>
          <t>Taxa_från_edp rad 66 / strDelProdukt ÅVC</t>
        </is>
      </c>
      <c r="F26" s="10" t="inlineStr">
        <is>
          <t>strDelProdukt</t>
        </is>
      </c>
      <c r="G26" s="10" t="inlineStr">
        <is>
          <t>Bekräftad</t>
        </is>
      </c>
      <c r="H26" s="32" t="n"/>
    </row>
    <row r="27">
      <c r="A27" s="43" t="inlineStr">
        <is>
          <t>TÖM</t>
        </is>
      </c>
      <c r="B27" s="10" t="inlineStr">
        <is>
          <t>Koddel</t>
        </is>
      </c>
      <c r="C27" s="10" t="inlineStr">
        <is>
          <t>Tömning</t>
        </is>
      </c>
      <c r="D27" s="10" t="inlineStr">
        <is>
          <t>MB3200TÖM</t>
        </is>
      </c>
      <c r="E27" s="10" t="inlineStr">
        <is>
          <t>Taxa_från_edp rad 211 / strTaxekod MB3200TÖM</t>
        </is>
      </c>
      <c r="F27" s="10" t="inlineStr">
        <is>
          <t>strTaxebenamning + strTaxedelAvser</t>
        </is>
      </c>
      <c r="G27" s="10" t="inlineStr">
        <is>
          <t>Bekräftad</t>
        </is>
      </c>
      <c r="H27" s="32" t="n"/>
    </row>
    <row r="28">
      <c r="A28" s="43" t="inlineStr">
        <is>
          <t>KVAN</t>
        </is>
      </c>
      <c r="B28" s="10" t="inlineStr">
        <is>
          <t>strFaktor</t>
        </is>
      </c>
      <c r="C28" s="10" t="inlineStr">
        <is>
          <t>Kvantitet</t>
        </is>
      </c>
      <c r="D28" s="10" t="inlineStr">
        <is>
          <t>KVAN</t>
        </is>
      </c>
      <c r="E28" s="10" t="inlineStr">
        <is>
          <t>Taxa_från_edp rad 2</t>
        </is>
      </c>
      <c r="F28" s="10" t="inlineStr">
        <is>
          <t>kvantitetskoder + strFaktor</t>
        </is>
      </c>
      <c r="G28" s="10" t="inlineStr">
        <is>
          <t>Bekräftad</t>
        </is>
      </c>
      <c r="H28" s="32" t="n"/>
    </row>
    <row r="29">
      <c r="A29" s="43" t="inlineStr">
        <is>
          <t>ÅRKV</t>
        </is>
      </c>
      <c r="B29" s="10" t="inlineStr">
        <is>
          <t>strFaktor</t>
        </is>
      </c>
      <c r="C29" s="10" t="inlineStr">
        <is>
          <t>Årskvantitet</t>
        </is>
      </c>
      <c r="D29" s="10" t="inlineStr">
        <is>
          <t>ÅRKV</t>
        </is>
      </c>
      <c r="E29" s="10" t="inlineStr">
        <is>
          <t>Taxa_från_edp rad 216</t>
        </is>
      </c>
      <c r="F29" s="10" t="inlineStr">
        <is>
          <t>kvantitetskoder + strFaktor</t>
        </is>
      </c>
      <c r="G29" s="10" t="inlineStr">
        <is>
          <t>Bekräftad</t>
        </is>
      </c>
      <c r="H29" s="32" t="n"/>
    </row>
    <row r="30">
      <c r="A30" s="43" t="inlineStr">
        <is>
          <t>ÅRPR</t>
        </is>
      </c>
      <c r="B30" s="10" t="inlineStr">
        <is>
          <t>strFaktor</t>
        </is>
      </c>
      <c r="C30" s="10" t="inlineStr">
        <is>
          <t>Årspris</t>
        </is>
      </c>
      <c r="D30" s="10" t="inlineStr">
        <is>
          <t>ÅRPR</t>
        </is>
      </c>
      <c r="E30" s="10" t="inlineStr">
        <is>
          <t>Taxa_från_edp VA-rader</t>
        </is>
      </c>
      <c r="F30" s="10" t="inlineStr">
        <is>
          <t>kvantitetskoder + strFaktor</t>
        </is>
      </c>
      <c r="G30" s="10" t="inlineStr">
        <is>
          <t>Bekräftad</t>
        </is>
      </c>
      <c r="H30" s="32" t="n"/>
    </row>
    <row r="31">
      <c r="A31" s="43" t="inlineStr">
        <is>
          <t>FÖRB</t>
        </is>
      </c>
      <c r="B31" s="10" t="inlineStr">
        <is>
          <t>strFaktor</t>
        </is>
      </c>
      <c r="C31" s="10" t="inlineStr">
        <is>
          <t>Förbrukning</t>
        </is>
      </c>
      <c r="D31" s="10" t="inlineStr">
        <is>
          <t>FÖRB</t>
        </is>
      </c>
      <c r="E31" s="10" t="inlineStr">
        <is>
          <t>Taxa_från_edp VA-rader</t>
        </is>
      </c>
      <c r="F31" s="10" t="inlineStr">
        <is>
          <t>kvantitetskoder + strFaktor</t>
        </is>
      </c>
      <c r="G31" s="10" t="inlineStr">
        <is>
          <t>Bekräftad</t>
        </is>
      </c>
      <c r="H31" s="32" t="n"/>
    </row>
    <row r="32">
      <c r="A32" s="43" t="inlineStr">
        <is>
          <t>UPFÖ</t>
        </is>
      </c>
      <c r="B32" s="10" t="inlineStr">
        <is>
          <t>strFaktor</t>
        </is>
      </c>
      <c r="C32" s="10" t="inlineStr">
        <is>
          <t>Uppskattad förbrukning</t>
        </is>
      </c>
      <c r="D32" s="10" t="inlineStr">
        <is>
          <t>UPFÖ</t>
        </is>
      </c>
      <c r="E32" s="10" t="inlineStr">
        <is>
          <t>Taxa_från_edp VA-rader</t>
        </is>
      </c>
      <c r="F32" s="10" t="inlineStr">
        <is>
          <t>kvantitetskoder + strFaktor</t>
        </is>
      </c>
      <c r="G32" s="10" t="inlineStr">
        <is>
          <t>Bekräftad</t>
        </is>
      </c>
      <c r="H32" s="32" t="n"/>
    </row>
    <row r="33">
      <c r="A33" s="43" t="inlineStr">
        <is>
          <t>ANTB</t>
        </is>
      </c>
      <c r="B33" s="10" t="inlineStr">
        <is>
          <t>strFormel</t>
        </is>
      </c>
      <c r="C33" s="10" t="inlineStr">
        <is>
          <t>Antal behållare</t>
        </is>
      </c>
      <c r="D33" s="10" t="inlineStr">
        <is>
          <t>ANTB</t>
        </is>
      </c>
      <c r="E33" s="10" t="inlineStr">
        <is>
          <t>Taxa_från_edp, kärlrader</t>
        </is>
      </c>
      <c r="F33" s="10" t="inlineStr">
        <is>
          <t>kvantitetskoder + strFormel</t>
        </is>
      </c>
      <c r="G33" s="10" t="inlineStr">
        <is>
          <t>Bekräftad</t>
        </is>
      </c>
      <c r="H33" s="32" t="n"/>
    </row>
    <row r="34">
      <c r="A34" s="43" t="inlineStr">
        <is>
          <t>ANTL</t>
        </is>
      </c>
      <c r="B34" s="10" t="inlineStr">
        <is>
          <t>strFormel</t>
        </is>
      </c>
      <c r="C34" s="10" t="inlineStr">
        <is>
          <t>Övriga antal / antal tillfällen</t>
        </is>
      </c>
      <c r="D34" s="10" t="inlineStr">
        <is>
          <t>ANTL</t>
        </is>
      </c>
      <c r="E34" s="10" t="inlineStr">
        <is>
          <t>Taxa_från_edp, t.ex. FELSORT</t>
        </is>
      </c>
      <c r="F34" s="10" t="inlineStr">
        <is>
          <t>kvantitetskoder + strFormel</t>
        </is>
      </c>
      <c r="G34" s="10" t="inlineStr">
        <is>
          <t>Bekräftad</t>
        </is>
      </c>
      <c r="H34" s="32" t="n"/>
    </row>
    <row r="35">
      <c r="A35" s="43" t="inlineStr">
        <is>
          <t>FAST</t>
        </is>
      </c>
      <c r="B35" s="10" t="inlineStr">
        <is>
          <t>strFormel</t>
        </is>
      </c>
      <c r="C35" s="10" t="inlineStr">
        <is>
          <t>Fast avgift</t>
        </is>
      </c>
      <c r="D35" s="10" t="inlineStr">
        <is>
          <t>FAST</t>
        </is>
      </c>
      <c r="E35" s="10" t="inlineStr">
        <is>
          <t>Taxa_från_edp rad 215 GEMUPPFRI</t>
        </is>
      </c>
      <c r="F35" s="10" t="inlineStr">
        <is>
          <t>kvantitetskoder + strFormel</t>
        </is>
      </c>
      <c r="G35" s="10" t="inlineStr">
        <is>
          <t>Bekräftad</t>
        </is>
      </c>
      <c r="H35" s="32" t="n"/>
    </row>
    <row r="36">
      <c r="A36" s="43" t="inlineStr">
        <is>
          <t>LÄGH</t>
        </is>
      </c>
      <c r="B36" s="10" t="inlineStr">
        <is>
          <t>strFormel</t>
        </is>
      </c>
      <c r="C36" s="10" t="inlineStr">
        <is>
          <t>Lägenheter</t>
        </is>
      </c>
      <c r="D36" s="10" t="inlineStr">
        <is>
          <t>LÄGH</t>
        </is>
      </c>
      <c r="E36" s="10" t="inlineStr">
        <is>
          <t>Taxa_från_edp VA-rader</t>
        </is>
      </c>
      <c r="F36" s="10" t="inlineStr">
        <is>
          <t>kvantitetskoder + strFormel</t>
        </is>
      </c>
      <c r="G36" s="10" t="inlineStr">
        <is>
          <t>Bekräftad</t>
        </is>
      </c>
      <c r="H36" s="32" t="n"/>
    </row>
    <row r="37">
      <c r="A37" s="43" t="inlineStr">
        <is>
          <t>VIKG</t>
        </is>
      </c>
      <c r="B37" s="10" t="inlineStr">
        <is>
          <t>strFormel</t>
        </is>
      </c>
      <c r="C37" s="10" t="inlineStr">
        <is>
          <t>Vikt i kilo</t>
        </is>
      </c>
      <c r="D37" s="10" t="inlineStr">
        <is>
          <t>VIKG</t>
        </is>
      </c>
      <c r="E37" s="10" t="inlineStr">
        <is>
          <t>Taxa_från_edp flera viktavgifter</t>
        </is>
      </c>
      <c r="F37" s="10" t="inlineStr">
        <is>
          <t>kvantitetskoder + strFormel</t>
        </is>
      </c>
      <c r="G37" s="10" t="inlineStr">
        <is>
          <t>Bekräftad</t>
        </is>
      </c>
      <c r="H37" s="32" t="n"/>
    </row>
    <row r="38">
      <c r="A38" s="43" t="inlineStr">
        <is>
          <t>DR10</t>
        </is>
      </c>
      <c r="B38" s="10" t="inlineStr">
        <is>
          <t>strFormel</t>
        </is>
      </c>
      <c r="C38" s="10" t="inlineStr">
        <is>
          <t>Dragväg 1,5–10 meter</t>
        </is>
      </c>
      <c r="D38" s="10" t="inlineStr">
        <is>
          <t>DR10</t>
        </is>
      </c>
      <c r="E38" s="10" t="inlineStr">
        <is>
          <t>Taxa_från_edp kärlrader</t>
        </is>
      </c>
      <c r="F38" s="10" t="inlineStr">
        <is>
          <t>strTaxedelAvser + strFormel</t>
        </is>
      </c>
      <c r="G38" s="10" t="inlineStr">
        <is>
          <t>Bekräftad</t>
        </is>
      </c>
      <c r="H38" s="32" t="n"/>
    </row>
    <row r="39">
      <c r="A39" s="43" t="inlineStr">
        <is>
          <t>DR20</t>
        </is>
      </c>
      <c r="B39" s="10" t="inlineStr">
        <is>
          <t>strFormel</t>
        </is>
      </c>
      <c r="C39" s="10" t="inlineStr">
        <is>
          <t>Dragväg 10,1–20 meter</t>
        </is>
      </c>
      <c r="D39" s="10" t="inlineStr">
        <is>
          <t>DR20</t>
        </is>
      </c>
      <c r="E39" s="10" t="inlineStr">
        <is>
          <t>Taxa_från_edp kärlrader</t>
        </is>
      </c>
      <c r="F39" s="10" t="inlineStr">
        <is>
          <t>strTaxedelAvser + strFormel</t>
        </is>
      </c>
      <c r="G39" s="10" t="inlineStr">
        <is>
          <t>Bekräftad</t>
        </is>
      </c>
      <c r="H39" s="32" t="n"/>
    </row>
    <row r="40">
      <c r="A40" s="43" t="inlineStr">
        <is>
          <t>KBMÖ</t>
        </is>
      </c>
      <c r="B40" s="10" t="inlineStr">
        <is>
          <t>strFormel</t>
        </is>
      </c>
      <c r="C40" s="10" t="inlineStr">
        <is>
          <t>Kubikmeter övrigt</t>
        </is>
      </c>
      <c r="D40" s="10" t="inlineStr">
        <is>
          <t>KBMÖ</t>
        </is>
      </c>
      <c r="E40" s="10" t="inlineStr">
        <is>
          <t>Taxa_från_edp ÅVC-rader</t>
        </is>
      </c>
      <c r="F40" s="10" t="inlineStr">
        <is>
          <t>kvantitetskoder + strFormel</t>
        </is>
      </c>
      <c r="G40" s="10" t="inlineStr">
        <is>
          <t>Bekräftad</t>
        </is>
      </c>
      <c r="H40" s="32" t="n"/>
    </row>
    <row r="41">
      <c r="A41" s="43" t="inlineStr">
        <is>
          <t>KBMS</t>
        </is>
      </c>
      <c r="B41" s="10" t="inlineStr">
        <is>
          <t>strFormel</t>
        </is>
      </c>
      <c r="C41" s="10" t="inlineStr">
        <is>
          <t>Kubikmeter slam</t>
        </is>
      </c>
      <c r="D41" s="10" t="inlineStr">
        <is>
          <t>KBMS</t>
        </is>
      </c>
      <c r="E41" s="10" t="inlineStr">
        <is>
          <t>Taxa_från_edp slamrader</t>
        </is>
      </c>
      <c r="F41" s="10" t="inlineStr">
        <is>
          <t>kvantitetskoder + strFormel</t>
        </is>
      </c>
      <c r="G41" s="10" t="inlineStr">
        <is>
          <t>Bekräftad</t>
        </is>
      </c>
      <c r="H41" s="32" t="n"/>
    </row>
    <row r="42">
      <c r="A42" s="43" t="n"/>
      <c r="B42" s="10" t="n"/>
      <c r="C42" s="10" t="n"/>
      <c r="D42" s="10" t="n"/>
      <c r="E42" s="10" t="n"/>
      <c r="F42" s="10" t="n"/>
      <c r="G42" s="10" t="n"/>
      <c r="H42" s="32" t="n"/>
    </row>
    <row r="43">
      <c r="A43" s="43" t="n"/>
      <c r="B43" s="10" t="n"/>
      <c r="C43" s="10" t="n"/>
      <c r="D43" s="10" t="n"/>
      <c r="E43" s="10" t="n"/>
      <c r="F43" s="10" t="n"/>
      <c r="G43" s="10" t="n"/>
      <c r="H43" s="32" t="n"/>
    </row>
    <row r="44">
      <c r="A44" s="43" t="n"/>
      <c r="B44" s="10" t="n"/>
      <c r="C44" s="10" t="n"/>
      <c r="D44" s="10" t="n"/>
      <c r="E44" s="10" t="n"/>
      <c r="F44" s="10" t="n"/>
      <c r="G44" s="10" t="n"/>
      <c r="H44" s="32" t="n"/>
    </row>
    <row r="45">
      <c r="A45" s="43" t="inlineStr">
        <is>
          <t>DH</t>
        </is>
      </c>
      <c r="B45" s="10" t="inlineStr">
        <is>
          <t>Suffix</t>
        </is>
      </c>
      <c r="C45" s="10" t="inlineStr">
        <is>
          <t>Detaljhandel med beviljad hantering av kommunalt avfall</t>
        </is>
      </c>
      <c r="D45" s="10" t="inlineStr">
        <is>
          <t>KÄ240RM26DH</t>
        </is>
      </c>
      <c r="E45" s="10" t="inlineStr">
        <is>
          <t>Taxa_Saknas / föreslagen struktur</t>
        </is>
      </c>
      <c r="F45" s="10" t="inlineStr">
        <is>
          <t>Användarbekräftelse</t>
        </is>
      </c>
      <c r="G45" s="10" t="inlineStr">
        <is>
          <t>Bekräftad</t>
        </is>
      </c>
      <c r="H45" s="32" t="inlineStr">
        <is>
          <t>Används för §2.2.6. Ska inte använda FV eftersom detaljhandel inte räknas som vanlig verksamhet/flerbostad i denna taxa.</t>
        </is>
      </c>
    </row>
    <row r="46">
      <c r="A46" s="43" t="n"/>
      <c r="B46" s="10" t="n"/>
      <c r="C46" s="10" t="n"/>
      <c r="D46" s="10" t="n"/>
      <c r="E46" s="10" t="n"/>
      <c r="F46" s="10" t="n"/>
      <c r="G46" s="10" t="n"/>
      <c r="H46" s="32" t="n"/>
    </row>
    <row r="47">
      <c r="A47" s="43" t="n"/>
      <c r="B47" s="10" t="n"/>
      <c r="C47" s="10" t="n"/>
      <c r="D47" s="10" t="n"/>
      <c r="E47" s="10" t="n"/>
      <c r="F47" s="10" t="n"/>
      <c r="G47" s="10" t="n"/>
      <c r="H47" s="32" t="n"/>
    </row>
    <row r="48">
      <c r="A48" s="43" t="n"/>
      <c r="B48" s="10" t="n"/>
      <c r="C48" s="10" t="n"/>
      <c r="D48" s="10" t="n"/>
      <c r="E48" s="10" t="n"/>
      <c r="F48" s="10" t="n"/>
      <c r="G48" s="10" t="n"/>
      <c r="H48" s="32" t="n"/>
    </row>
    <row r="49">
      <c r="A49" s="43" t="inlineStr">
        <is>
          <t>MBRMFPFV</t>
        </is>
      </c>
      <c r="B49" s="10" t="inlineStr">
        <is>
          <t>Föreslagen kodstruktur</t>
        </is>
      </c>
      <c r="C49" s="10" t="inlineStr">
        <is>
          <t>Bottentömmande/markbehållare för mat-/restavfall och förpackningar, flerbostad/verksamhet</t>
        </is>
      </c>
      <c r="D49" s="10" t="inlineStr">
        <is>
          <t>MBRMFPFV</t>
        </is>
      </c>
      <c r="E49" s="10" t="inlineStr">
        <is>
          <t>Taxa_Saknas §2.2.4</t>
        </is>
      </c>
      <c r="F49" s="10" t="inlineStr">
        <is>
          <t>Projektregel MB + Word</t>
        </is>
      </c>
      <c r="G49" s="10" t="inlineStr">
        <is>
          <t>Föreslagen</t>
        </is>
      </c>
      <c r="H49" s="32" t="inlineStr">
        <is>
          <t>Ersätter tidigare BTMR-struktur.</t>
        </is>
      </c>
    </row>
    <row r="50">
      <c r="A50" s="43" t="inlineStr">
        <is>
          <t>MBRMFP2VFV</t>
        </is>
      </c>
      <c r="B50" s="10" t="inlineStr">
        <is>
          <t>Föreslagen kodstruktur</t>
        </is>
      </c>
      <c r="C50" s="10" t="inlineStr">
        <is>
          <t>Tillägg för två tömningar per vecka för bottentömmande/markbehållare, flerbostad/verksamhet</t>
        </is>
      </c>
      <c r="D50" s="10" t="inlineStr">
        <is>
          <t>MBRMFP2VFV</t>
        </is>
      </c>
      <c r="E50" s="10" t="inlineStr">
        <is>
          <t>Taxa_Saknas §2.2.4</t>
        </is>
      </c>
      <c r="F50" s="10" t="inlineStr">
        <is>
          <t>Projektregel MB + Word</t>
        </is>
      </c>
      <c r="G50" s="10" t="inlineStr">
        <is>
          <t>Föreslagen</t>
        </is>
      </c>
      <c r="H50" s="32" t="n"/>
    </row>
    <row r="51">
      <c r="A51" s="43" t="inlineStr">
        <is>
          <t>GEMUPPMRFPFLB</t>
        </is>
      </c>
      <c r="B51" s="10" t="inlineStr">
        <is>
          <t>Föreslagen funktionskod</t>
        </is>
      </c>
      <c r="C51" s="10" t="inlineStr">
        <is>
          <t>Gemensam uppsamlingsplats för mat-/restavfall och förpackningar per lägenhet, flerbostadshus</t>
        </is>
      </c>
      <c r="D51" s="10" t="inlineStr">
        <is>
          <t>GEMUPPMRFPFLB</t>
        </is>
      </c>
      <c r="E51" s="10" t="inlineStr">
        <is>
          <t>Taxa_Saknas §2.2.4</t>
        </is>
      </c>
      <c r="F51" s="10" t="inlineStr">
        <is>
          <t>Word + jämförelse med GEMUPPFÖRPFLB</t>
        </is>
      </c>
      <c r="G51" s="10" t="inlineStr">
        <is>
          <t>Föreslagen</t>
        </is>
      </c>
      <c r="H51" s="32" t="inlineStr">
        <is>
          <t>Befintlig GEMUPPFÖRPFLB avser endast förpackning enligt EDP, därför används inte som bekräftad taxekod.</t>
        </is>
      </c>
    </row>
    <row r="52">
      <c r="A52" s="43" t="inlineStr">
        <is>
          <t>MBRMFV</t>
        </is>
      </c>
      <c r="B52" s="10" t="inlineStr">
        <is>
          <t>Föreslagen kodstruktur</t>
        </is>
      </c>
      <c r="C52" s="10" t="inlineStr">
        <is>
          <t>Bottentömmande/markbehållare för mat-/restavfall, flerbostad/verksamhet</t>
        </is>
      </c>
      <c r="D52" s="10" t="inlineStr">
        <is>
          <t>MBRMFV</t>
        </is>
      </c>
      <c r="E52" s="10" t="inlineStr">
        <is>
          <t>Taxa_Saknas §2.2.5</t>
        </is>
      </c>
      <c r="F52" s="10" t="inlineStr">
        <is>
          <t>Projektregel MB + Word</t>
        </is>
      </c>
      <c r="G52" s="10" t="inlineStr">
        <is>
          <t>Föreslagen</t>
        </is>
      </c>
      <c r="H52" s="32" t="inlineStr">
        <is>
          <t>Ersätter tidigare BTMR-struktur.</t>
        </is>
      </c>
    </row>
    <row r="53">
      <c r="A53" s="43" t="inlineStr">
        <is>
          <t>MBRM2VFV</t>
        </is>
      </c>
      <c r="B53" s="10" t="inlineStr">
        <is>
          <t>Föreslagen kodstruktur</t>
        </is>
      </c>
      <c r="C53" s="10" t="inlineStr">
        <is>
          <t>Tillägg för två tömningar per vecka för bottentömmande/markbehållare, flerbostad/verksamhet</t>
        </is>
      </c>
      <c r="D53" s="10" t="inlineStr">
        <is>
          <t>MBRM2VFV</t>
        </is>
      </c>
      <c r="E53" s="10" t="inlineStr">
        <is>
          <t>Taxa_Saknas §2.2.5</t>
        </is>
      </c>
      <c r="F53" s="10" t="inlineStr">
        <is>
          <t>Projektregel MB + Word</t>
        </is>
      </c>
      <c r="G53" s="10" t="inlineStr">
        <is>
          <t>Föreslagen</t>
        </is>
      </c>
      <c r="H53" s="32" t="n"/>
    </row>
    <row r="54">
      <c r="A54" s="43" t="inlineStr">
        <is>
          <t>LVREFV</t>
        </is>
      </c>
      <c r="B54" s="10" t="inlineStr">
        <is>
          <t>Föreslagen kodstruktur</t>
        </is>
      </c>
      <c r="C54" s="10" t="inlineStr">
        <is>
          <t>Lastväxlarflak restavfall, flerbostad/verksamhet</t>
        </is>
      </c>
      <c r="D54" s="10" t="inlineStr">
        <is>
          <t>LVREFV</t>
        </is>
      </c>
      <c r="E54" s="10" t="inlineStr">
        <is>
          <t>Taxa_Saknas §2.2.5</t>
        </is>
      </c>
      <c r="F54" s="10" t="inlineStr">
        <is>
          <t>Projektregel LV + Word</t>
        </is>
      </c>
      <c r="G54" s="10" t="inlineStr">
        <is>
          <t>Föreslagen</t>
        </is>
      </c>
      <c r="H54" s="32" t="n"/>
    </row>
    <row r="55">
      <c r="A55" s="43" t="inlineStr">
        <is>
          <t>DH</t>
        </is>
      </c>
      <c r="B55" s="10" t="inlineStr">
        <is>
          <t>Suffix</t>
        </is>
      </c>
      <c r="C55" s="10" t="inlineStr">
        <is>
          <t>Detaljhandel med beviljad hantering av kommunalt avfall</t>
        </is>
      </c>
      <c r="D55" s="10" t="inlineStr">
        <is>
          <t>KÄ240RM26DH</t>
        </is>
      </c>
      <c r="E55" s="10" t="inlineStr">
        <is>
          <t>Projektregel</t>
        </is>
      </c>
      <c r="F55" s="10" t="inlineStr">
        <is>
          <t>Användarbekräftelse</t>
        </is>
      </c>
      <c r="G55" s="10" t="inlineStr">
        <is>
          <t>Bekräftad</t>
        </is>
      </c>
      <c r="H55" s="32" t="inlineStr">
        <is>
          <t>Ska inte behandlas som FV.</t>
        </is>
      </c>
    </row>
    <row r="56">
      <c r="A56" s="43" t="inlineStr">
        <is>
          <t>MBRMDH</t>
        </is>
      </c>
      <c r="B56" s="10" t="inlineStr">
        <is>
          <t>Föreslagen kodstruktur</t>
        </is>
      </c>
      <c r="C56" s="10" t="inlineStr">
        <is>
          <t>Bottentömmande/markbehållare för mat-/restavfall, detaljhandel</t>
        </is>
      </c>
      <c r="D56" s="10" t="inlineStr">
        <is>
          <t>MBRMDH</t>
        </is>
      </c>
      <c r="E56" s="10" t="inlineStr">
        <is>
          <t>Taxa_Saknas §2.2.6</t>
        </is>
      </c>
      <c r="F56" s="10" t="inlineStr">
        <is>
          <t>Projektregel MB + DH</t>
        </is>
      </c>
      <c r="G56" s="10" t="inlineStr">
        <is>
          <t>Föreslagen</t>
        </is>
      </c>
      <c r="H56" s="32" t="inlineStr">
        <is>
          <t>Ersätter tidigare BTMRDH.</t>
        </is>
      </c>
    </row>
    <row r="57">
      <c r="A57" s="43" t="inlineStr">
        <is>
          <t>MBRM2VDH</t>
        </is>
      </c>
      <c r="B57" s="10" t="inlineStr">
        <is>
          <t>Föreslagen kodstruktur</t>
        </is>
      </c>
      <c r="C57" s="10" t="inlineStr">
        <is>
          <t>Tillägg två tömningar per vecka för bottentömmande/markbehållare, detaljhandel</t>
        </is>
      </c>
      <c r="D57" s="10" t="inlineStr">
        <is>
          <t>MBRM2VDH</t>
        </is>
      </c>
      <c r="E57" s="10" t="inlineStr">
        <is>
          <t>Taxa_Saknas §2.2.6</t>
        </is>
      </c>
      <c r="F57" s="10" t="inlineStr">
        <is>
          <t>Projektregel MB + DH</t>
        </is>
      </c>
      <c r="G57" s="10" t="inlineStr">
        <is>
          <t>Föreslagen</t>
        </is>
      </c>
      <c r="H57" s="32" t="inlineStr">
        <is>
          <t>Ersätter tidigare BTMR2VDH.</t>
        </is>
      </c>
    </row>
    <row r="58">
      <c r="A58" s="43" t="n"/>
      <c r="B58" s="10" t="n"/>
      <c r="C58" s="10" t="n"/>
      <c r="D58" s="10" t="n"/>
      <c r="E58" s="10" t="n"/>
      <c r="F58" s="10" t="n"/>
      <c r="G58" s="10" t="n"/>
      <c r="H58" s="32" t="n"/>
    </row>
    <row r="59">
      <c r="A59" s="43" t="inlineStr">
        <is>
          <t>KÄ140TI</t>
        </is>
      </c>
      <c r="B59" s="10" t="inlineStr">
        <is>
          <t>Föreslagen kodstruktur</t>
        </is>
      </c>
      <c r="C59" s="10" t="inlineStr">
        <is>
          <t>Kärl 140 l för kontors-/returpapper</t>
        </is>
      </c>
      <c r="D59" s="10" t="inlineStr">
        <is>
          <t>KÄ140TI</t>
        </is>
      </c>
      <c r="E59" s="10" t="inlineStr">
        <is>
          <t>Taxa_Saknas §2.2.7</t>
        </is>
      </c>
      <c r="F59" s="10" t="inlineStr">
        <is>
          <t>Word + TI-regel</t>
        </is>
      </c>
      <c r="G59" s="10" t="inlineStr">
        <is>
          <t>Föreslagen</t>
        </is>
      </c>
      <c r="H59" s="32" t="inlineStr">
        <is>
          <t>TI är sedan tidigare bekräftat för tidningar/returpapper.</t>
        </is>
      </c>
    </row>
    <row r="60">
      <c r="A60" s="43" t="inlineStr">
        <is>
          <t>EGENKONTRET</t>
        </is>
      </c>
      <c r="B60" s="10" t="inlineStr">
        <is>
          <t>Föreslagen funktionskod</t>
        </is>
      </c>
      <c r="C60" s="10" t="inlineStr">
        <is>
          <t>Egen överlämning av förbrukat kontors-/returpapper enligt anvisning</t>
        </is>
      </c>
      <c r="D60" s="10" t="inlineStr">
        <is>
          <t>EGENKONTRET</t>
        </is>
      </c>
      <c r="E60" s="10" t="inlineStr">
        <is>
          <t>Taxa_Saknas §2.2.7</t>
        </is>
      </c>
      <c r="F60" s="10" t="inlineStr">
        <is>
          <t>Word</t>
        </is>
      </c>
      <c r="G60" s="10" t="inlineStr">
        <is>
          <t>Föreslagen</t>
        </is>
      </c>
      <c r="H60" s="32" t="n"/>
    </row>
    <row r="61">
      <c r="A61" s="43" t="inlineStr">
        <is>
          <t>EGENMATFETT</t>
        </is>
      </c>
      <c r="B61" s="10" t="inlineStr">
        <is>
          <t>Föreslagen funktionskod</t>
        </is>
      </c>
      <c r="C61" s="10" t="inlineStr">
        <is>
          <t>Egen överlämning av förbrukat matfett enligt anvisning</t>
        </is>
      </c>
      <c r="D61" s="10" t="inlineStr">
        <is>
          <t>EGENMATFETT</t>
        </is>
      </c>
      <c r="E61" s="10" t="inlineStr">
        <is>
          <t>Taxa_Saknas §2.2.7</t>
        </is>
      </c>
      <c r="F61" s="10" t="inlineStr">
        <is>
          <t>Word</t>
        </is>
      </c>
      <c r="G61" s="10" t="inlineStr">
        <is>
          <t>Föreslagen</t>
        </is>
      </c>
      <c r="H61" s="32" t="n"/>
    </row>
    <row r="62">
      <c r="A62" s="43" t="inlineStr">
        <is>
          <t>KONTRET</t>
        </is>
      </c>
      <c r="B62" s="10" t="inlineStr">
        <is>
          <t>Avfallsslag/funktionsdel</t>
        </is>
      </c>
      <c r="C62" s="10" t="inlineStr">
        <is>
          <t>Kontors-/returpapper</t>
        </is>
      </c>
      <c r="D62" s="10" t="inlineStr">
        <is>
          <t>EGENKONTRET</t>
        </is>
      </c>
      <c r="E62" s="10" t="inlineStr">
        <is>
          <t>Taxa_Saknas §2.2.7</t>
        </is>
      </c>
      <c r="F62" s="10" t="inlineStr">
        <is>
          <t>Word</t>
        </is>
      </c>
      <c r="G62" s="10" t="inlineStr">
        <is>
          <t>Föreslagen</t>
        </is>
      </c>
      <c r="H62" s="32" t="n"/>
    </row>
    <row r="63">
      <c r="A63" s="43" t="n"/>
      <c r="B63" s="10" t="n"/>
      <c r="C63" s="10" t="n"/>
      <c r="D63" s="10" t="n"/>
      <c r="E63" s="10" t="n"/>
      <c r="F63" s="10" t="n"/>
      <c r="G63" s="10" t="n"/>
      <c r="H63" s="32" t="n"/>
    </row>
    <row r="64">
      <c r="A64" s="43" t="n"/>
      <c r="B64" s="10" t="n"/>
      <c r="C64" s="10" t="n"/>
      <c r="D64" s="10" t="n"/>
      <c r="E64" s="10" t="n"/>
      <c r="F64" s="10" t="n"/>
      <c r="G64" s="10" t="n"/>
      <c r="H64" s="32" t="n"/>
    </row>
    <row r="65">
      <c r="A65" s="43" t="n"/>
      <c r="B65" s="10" t="n"/>
      <c r="C65" s="10" t="n"/>
      <c r="D65" s="10" t="n"/>
      <c r="E65" s="10" t="n"/>
      <c r="F65" s="10" t="n"/>
      <c r="G65" s="10" t="n"/>
      <c r="H65" s="32" t="n"/>
    </row>
    <row r="66">
      <c r="A66" s="43" t="n"/>
      <c r="B66" s="10" t="n"/>
      <c r="C66" s="10" t="n"/>
      <c r="D66" s="10" t="n"/>
      <c r="E66" s="10" t="n"/>
      <c r="F66" s="10" t="n"/>
      <c r="G66" s="10" t="n"/>
      <c r="H66" s="32" t="n"/>
    </row>
    <row r="67">
      <c r="A67" s="43" t="n"/>
      <c r="B67" s="10" t="n"/>
      <c r="C67" s="10" t="n"/>
      <c r="D67" s="10" t="n"/>
      <c r="E67" s="10" t="n"/>
      <c r="F67" s="10" t="n"/>
      <c r="G67" s="10" t="n"/>
      <c r="H67" s="32" t="n"/>
    </row>
    <row r="68">
      <c r="A68" s="43" t="n"/>
      <c r="B68" s="10" t="n"/>
      <c r="C68" s="10" t="n"/>
      <c r="D68" s="10" t="n"/>
      <c r="E68" s="10" t="n"/>
      <c r="F68" s="10" t="n"/>
      <c r="G68" s="10" t="n"/>
      <c r="H68" s="32" t="n"/>
    </row>
    <row r="69">
      <c r="A69" s="43" t="n"/>
      <c r="B69" s="10" t="n"/>
      <c r="C69" s="10" t="n"/>
      <c r="D69" s="10" t="n"/>
      <c r="E69" s="10" t="n"/>
      <c r="F69" s="10" t="n"/>
      <c r="G69" s="10" t="n"/>
      <c r="H69" s="32" t="n"/>
    </row>
    <row r="70">
      <c r="A70" s="43" t="n"/>
      <c r="B70" s="10" t="n"/>
      <c r="C70" s="10" t="n"/>
      <c r="D70" s="10" t="n"/>
      <c r="E70" s="10" t="n"/>
      <c r="F70" s="10" t="n"/>
      <c r="G70" s="10" t="n"/>
      <c r="H70" s="32" t="n"/>
    </row>
    <row r="71">
      <c r="A71" s="43" t="n"/>
      <c r="B71" s="10" t="n"/>
      <c r="C71" s="10" t="n"/>
      <c r="D71" s="10" t="n"/>
      <c r="E71" s="10" t="n"/>
      <c r="F71" s="10" t="n"/>
      <c r="G71" s="10" t="n"/>
      <c r="H71" s="32" t="n"/>
    </row>
    <row r="72">
      <c r="A72" s="43" t="n"/>
      <c r="B72" s="10" t="n"/>
      <c r="C72" s="10" t="n"/>
      <c r="D72" s="10" t="n"/>
      <c r="E72" s="10" t="n"/>
      <c r="F72" s="10" t="n"/>
      <c r="G72" s="10" t="n"/>
      <c r="H72" s="32" t="n"/>
    </row>
    <row r="73">
      <c r="A73" s="43" t="n"/>
      <c r="B73" s="10" t="n"/>
      <c r="C73" s="10" t="n"/>
      <c r="D73" s="10" t="n"/>
      <c r="E73" s="10" t="n"/>
      <c r="F73" s="10" t="n"/>
      <c r="G73" s="10" t="n"/>
      <c r="H73" s="32" t="n"/>
    </row>
    <row r="74">
      <c r="A74" s="43" t="n"/>
      <c r="B74" s="10" t="n"/>
      <c r="C74" s="10" t="n"/>
      <c r="D74" s="10" t="n"/>
      <c r="E74" s="10" t="n"/>
      <c r="F74" s="10" t="n"/>
      <c r="G74" s="10" t="n"/>
      <c r="H74" s="32" t="n"/>
    </row>
    <row r="75">
      <c r="A75" s="43" t="n"/>
      <c r="B75" s="10" t="n"/>
      <c r="C75" s="10" t="n"/>
      <c r="D75" s="10" t="n"/>
      <c r="E75" s="10" t="n"/>
      <c r="F75" s="10" t="n"/>
      <c r="G75" s="10" t="n"/>
      <c r="H75" s="32" t="n"/>
    </row>
    <row r="76">
      <c r="A76" s="43" t="n"/>
      <c r="B76" s="10" t="n"/>
      <c r="C76" s="10" t="n"/>
      <c r="D76" s="10" t="n"/>
      <c r="E76" s="10" t="n"/>
      <c r="F76" s="10" t="n"/>
      <c r="G76" s="10" t="n"/>
      <c r="H76" s="32" t="n"/>
    </row>
    <row r="77">
      <c r="A77" s="43" t="n"/>
      <c r="B77" s="10" t="n"/>
      <c r="C77" s="10" t="n"/>
      <c r="D77" s="10" t="n"/>
      <c r="E77" s="10" t="n"/>
      <c r="F77" s="10" t="n"/>
      <c r="G77" s="10" t="n"/>
      <c r="H77" s="32" t="n"/>
    </row>
    <row r="78">
      <c r="A78" s="43" t="n"/>
      <c r="B78" s="10" t="n"/>
      <c r="C78" s="10" t="n"/>
      <c r="D78" s="10" t="n"/>
      <c r="E78" s="10" t="n"/>
      <c r="F78" s="10" t="n"/>
      <c r="G78" s="10" t="n"/>
      <c r="H78" s="32" t="n"/>
    </row>
    <row r="79">
      <c r="A79" s="43" t="n"/>
      <c r="B79" s="10" t="n"/>
      <c r="C79" s="10" t="n"/>
      <c r="D79" s="10" t="n"/>
      <c r="E79" s="10" t="n"/>
      <c r="F79" s="10" t="n"/>
      <c r="G79" s="10" t="n"/>
      <c r="H79" s="32" t="n"/>
    </row>
    <row r="80">
      <c r="A80" s="44" t="n"/>
      <c r="B80" s="36" t="n"/>
      <c r="C80" s="36" t="n"/>
      <c r="D80" s="36" t="n"/>
      <c r="E80" s="36" t="n"/>
      <c r="F80" s="36" t="n"/>
      <c r="G80" s="36" t="n"/>
      <c r="H80" s="3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3"/>
  </cols>
  <sheetData>
    <row r="1">
      <c r="A1" s="62" t="inlineStr">
        <is>
          <t>Prislista ASN – kärltömning och kärlhyra</t>
        </is>
      </c>
      <c r="B1" s="63" t="n"/>
      <c r="C1" s="67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Avser marknadstjänster och/eller kommunens andrahandsansvar. Tjänsten ska särredovisas och inte belasta avfallstaxan eller taxekollektivet.</t>
        </is>
      </c>
      <c r="B2" s="4" t="n"/>
      <c r="C2" s="6" t="n"/>
    </row>
    <row r="3">
      <c r="A3" s="5" t="n"/>
      <c r="B3" s="4" t="n"/>
      <c r="C3" s="6" t="n"/>
    </row>
    <row r="4">
      <c r="A4" s="5" t="inlineStr">
        <is>
          <t>Beräkningsgrund</t>
        </is>
      </c>
      <c r="B4" s="4" t="inlineStr">
        <is>
          <t>Full självkostnad med intern ersättning till taxekollektivet</t>
        </is>
      </c>
      <c r="C4" s="6" t="n"/>
    </row>
    <row r="5">
      <c r="A5" s="5" t="inlineStr">
        <is>
          <t>Moms</t>
        </is>
      </c>
      <c r="B5" s="45" t="n">
        <v>0.25</v>
      </c>
      <c r="C5" s="47" t="inlineStr">
        <is>
          <t>Ändra moms här</t>
        </is>
      </c>
    </row>
    <row r="6">
      <c r="A6" s="5" t="n"/>
      <c r="B6" s="45" t="n"/>
      <c r="C6" s="47" t="n"/>
    </row>
    <row r="7">
      <c r="A7" s="48" t="inlineStr">
        <is>
          <t>Post</t>
        </is>
      </c>
      <c r="B7" s="46" t="inlineStr">
        <is>
          <t>Exkl. moms</t>
        </is>
      </c>
      <c r="C7" s="49" t="inlineStr">
        <is>
          <t>Inkl. moms</t>
        </is>
      </c>
    </row>
    <row r="8">
      <c r="A8" s="5" t="inlineStr">
        <is>
          <t>Intern kalkyltimme sopbil inkl. chaufför och OH</t>
        </is>
      </c>
      <c r="B8" s="45" t="n">
        <v>1500</v>
      </c>
      <c r="C8" s="47" t="n">
        <v>1875</v>
      </c>
    </row>
    <row r="9">
      <c r="A9" s="5" t="inlineStr">
        <is>
          <t>Kärltömning 140–240 liter, ordinarie tur/intervall</t>
        </is>
      </c>
      <c r="B9" s="45" t="n">
        <v>125</v>
      </c>
      <c r="C9" s="47" t="n">
        <v>156.25</v>
      </c>
    </row>
    <row r="10">
      <c r="A10" s="5" t="inlineStr">
        <is>
          <t>Kärltömning 370 liter, ordinarie tur/intervall</t>
        </is>
      </c>
      <c r="B10" s="45" t="n">
        <v>145</v>
      </c>
      <c r="C10" s="47" t="n">
        <v>181.25</v>
      </c>
    </row>
    <row r="11">
      <c r="A11" s="5" t="inlineStr">
        <is>
          <t>Kärltömning 660 liter, ordinarie tur/intervall</t>
        </is>
      </c>
      <c r="B11" s="45" t="n">
        <v>165</v>
      </c>
      <c r="C11" s="47" t="n">
        <v>206.25</v>
      </c>
    </row>
    <row r="12">
      <c r="A12" s="5" t="inlineStr">
        <is>
          <t>Extra/avvikande tömning utanför planerad rutt</t>
        </is>
      </c>
      <c r="B12" s="45" t="n">
        <v>1500</v>
      </c>
      <c r="C12" s="47" t="n">
        <v>1875</v>
      </c>
    </row>
    <row r="13">
      <c r="A13" s="5" t="inlineStr">
        <is>
          <t>Kärlhyra 140 liter</t>
        </is>
      </c>
      <c r="B13" s="45" t="n">
        <v>25</v>
      </c>
      <c r="C13" s="47" t="n">
        <v>31.25</v>
      </c>
    </row>
    <row r="14">
      <c r="A14" s="5" t="inlineStr">
        <is>
          <t>Kärlhyra 190 liter</t>
        </is>
      </c>
      <c r="B14" s="45" t="n">
        <v>30</v>
      </c>
      <c r="C14" s="47" t="n">
        <v>37.5</v>
      </c>
    </row>
    <row r="15">
      <c r="A15" s="5" t="inlineStr">
        <is>
          <t>Kärlhyra 240 liter</t>
        </is>
      </c>
      <c r="B15" s="45" t="n">
        <v>35</v>
      </c>
      <c r="C15" s="47" t="n">
        <v>43.75</v>
      </c>
    </row>
    <row r="16">
      <c r="A16" s="5" t="inlineStr">
        <is>
          <t>Kärlhyra 370 liter</t>
        </is>
      </c>
      <c r="B16" s="45" t="n">
        <v>50</v>
      </c>
      <c r="C16" s="47" t="n">
        <v>62.5</v>
      </c>
    </row>
    <row r="17">
      <c r="A17" s="5" t="inlineStr">
        <is>
          <t>Kärlhyra 660 liter</t>
        </is>
      </c>
      <c r="B17" s="45" t="n">
        <v>85</v>
      </c>
      <c r="C17" s="47" t="n">
        <v>106.25</v>
      </c>
    </row>
    <row r="18">
      <c r="A18" s="5" t="inlineStr">
        <is>
          <t>Utkörning/utställning av kärl 140–240</t>
        </is>
      </c>
      <c r="B18" s="45" t="n">
        <v>300</v>
      </c>
      <c r="C18" s="47" t="n">
        <v>375</v>
      </c>
    </row>
    <row r="19">
      <c r="A19" s="5" t="inlineStr">
        <is>
          <t>Utkörning/utställning av kärl 370–660</t>
        </is>
      </c>
      <c r="B19" s="45" t="n">
        <v>450</v>
      </c>
      <c r="C19" s="47" t="n">
        <v>562.5</v>
      </c>
    </row>
    <row r="20">
      <c r="A20" s="5" t="inlineStr">
        <is>
          <t>Byte av kärlstorlek på kundens begäran</t>
        </is>
      </c>
      <c r="B20" s="45" t="n">
        <v>450</v>
      </c>
      <c r="C20" s="47" t="n">
        <v>562.5</v>
      </c>
    </row>
    <row r="21">
      <c r="A21" s="5" t="inlineStr">
        <is>
          <t>Hemtagning/avslut av kärl</t>
        </is>
      </c>
      <c r="B21" s="45" t="n">
        <v>300</v>
      </c>
      <c r="C21" s="47" t="n">
        <v>375</v>
      </c>
    </row>
    <row r="22">
      <c r="A22" s="5" t="inlineStr">
        <is>
          <t>Matavfall</t>
        </is>
      </c>
      <c r="B22" s="45" t="n">
        <v>3600</v>
      </c>
      <c r="C22" s="47" t="n">
        <v>4500</v>
      </c>
    </row>
    <row r="23">
      <c r="A23" s="5" t="inlineStr">
        <is>
          <t>Restavfall</t>
        </is>
      </c>
      <c r="B23" s="45" t="n">
        <v>4200</v>
      </c>
      <c r="C23" s="47" t="n">
        <v>5250</v>
      </c>
    </row>
    <row r="24">
      <c r="A24" s="5" t="inlineStr">
        <is>
          <t>ABP</t>
        </is>
      </c>
      <c r="B24" s="45" t="inlineStr">
        <is>
          <t>Debiteras separat enligt faktisk kostnad</t>
        </is>
      </c>
      <c r="C24" s="47" t="inlineStr">
        <is>
          <t>Debiteras separat enligt faktisk kostnad</t>
        </is>
      </c>
    </row>
    <row r="25">
      <c r="A25" s="5" t="n"/>
      <c r="B25" s="4" t="n"/>
      <c r="C25" s="6" t="n"/>
    </row>
    <row r="26">
      <c r="A26" s="5" t="n"/>
      <c r="B26" s="4" t="n"/>
      <c r="C26" s="6" t="n"/>
    </row>
    <row r="27">
      <c r="A27" s="5" t="inlineStr">
        <is>
          <t>Regel</t>
        </is>
      </c>
      <c r="B27" s="4" t="inlineStr">
        <is>
          <t>DH-priser är unika för detaljhandel och får inte användas i beräkningsmodeller för andra taxor.</t>
        </is>
      </c>
      <c r="C27" s="6" t="n"/>
    </row>
    <row r="28">
      <c r="A28" s="16" t="inlineStr">
        <is>
          <t>Källa</t>
        </is>
      </c>
      <c r="B28" s="17" t="inlineStr">
        <is>
          <t>Prislista DH.xlsx</t>
        </is>
      </c>
      <c r="C28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58" customWidth="1" min="3" max="3"/>
  </cols>
  <sheetData>
    <row r="1">
      <c r="A1" s="62" t="inlineStr">
        <is>
          <t>Kod</t>
        </is>
      </c>
      <c r="B1" s="63" t="inlineStr">
        <is>
          <t>Tolkning</t>
        </is>
      </c>
      <c r="C1" s="67" t="inlineStr">
        <is>
          <t>Källa/kommentar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KVAN</t>
        </is>
      </c>
      <c r="B2" s="4" t="inlineStr">
        <is>
          <t>Kvantitet</t>
        </is>
      </c>
      <c r="C2" s="6" t="inlineStr">
        <is>
          <t>Användarens fil/uppgift + Taxa_från_edp strFaktor</t>
        </is>
      </c>
    </row>
    <row r="3">
      <c r="A3" s="5" t="inlineStr">
        <is>
          <t>ÅRKV</t>
        </is>
      </c>
      <c r="B3" s="4" t="inlineStr">
        <is>
          <t>Årskvantitet</t>
        </is>
      </c>
      <c r="C3" s="6" t="inlineStr">
        <is>
          <t>Användarens fil/uppgift + Taxa_från_edp strFaktor</t>
        </is>
      </c>
    </row>
    <row r="4">
      <c r="A4" s="5" t="inlineStr">
        <is>
          <t>ÅRPR</t>
        </is>
      </c>
      <c r="B4" s="4" t="inlineStr">
        <is>
          <t>Årspris</t>
        </is>
      </c>
      <c r="C4" s="6" t="inlineStr">
        <is>
          <t>Kvantitetskoder + Taxa_från_edp strFaktor</t>
        </is>
      </c>
    </row>
    <row r="5">
      <c r="A5" s="5" t="inlineStr">
        <is>
          <t>FÖRB</t>
        </is>
      </c>
      <c r="B5" s="4" t="inlineStr">
        <is>
          <t>Förbrukning</t>
        </is>
      </c>
      <c r="C5" s="6" t="inlineStr">
        <is>
          <t>Användarens uppgift + Taxa_från_edp strFaktor</t>
        </is>
      </c>
    </row>
    <row r="6">
      <c r="A6" s="5" t="inlineStr">
        <is>
          <t>UPFÖ</t>
        </is>
      </c>
      <c r="B6" s="4" t="inlineStr">
        <is>
          <t>Uppskattad förbrukning</t>
        </is>
      </c>
      <c r="C6" s="6" t="inlineStr">
        <is>
          <t>Kvantitetskoder + Taxa_från_edp strFaktor</t>
        </is>
      </c>
    </row>
    <row r="7">
      <c r="A7" s="5" t="inlineStr">
        <is>
          <t>ANTB</t>
        </is>
      </c>
      <c r="B7" s="4" t="inlineStr">
        <is>
          <t>Antal behållare</t>
        </is>
      </c>
      <c r="C7" s="6" t="inlineStr">
        <is>
          <t>Taxa_från_edp strFormel</t>
        </is>
      </c>
    </row>
    <row r="8">
      <c r="A8" s="5" t="inlineStr">
        <is>
          <t>ANTL</t>
        </is>
      </c>
      <c r="B8" s="4" t="inlineStr">
        <is>
          <t>Övriga antal / antal tillfällen</t>
        </is>
      </c>
      <c r="C8" s="6" t="inlineStr">
        <is>
          <t>Taxa_från_edp strFormel</t>
        </is>
      </c>
    </row>
    <row r="9">
      <c r="A9" s="5" t="inlineStr">
        <is>
          <t>VIKG</t>
        </is>
      </c>
      <c r="B9" s="4" t="inlineStr">
        <is>
          <t>Vikt i kilo</t>
        </is>
      </c>
      <c r="C9" s="6" t="inlineStr">
        <is>
          <t>Taxa_från_edp strFormel</t>
        </is>
      </c>
    </row>
    <row r="10">
      <c r="A10" s="5" t="inlineStr">
        <is>
          <t>DR10</t>
        </is>
      </c>
      <c r="B10" s="4" t="inlineStr">
        <is>
          <t>Dragväg 1,5–10 meter</t>
        </is>
      </c>
      <c r="C10" s="6" t="inlineStr">
        <is>
          <t>Taxa_från_edp strFormel/strTaxedelAvser</t>
        </is>
      </c>
    </row>
    <row r="11">
      <c r="A11" s="5" t="inlineStr">
        <is>
          <t>DR20</t>
        </is>
      </c>
      <c r="B11" s="4" t="inlineStr">
        <is>
          <t>Dragväg 10,1–20 meter</t>
        </is>
      </c>
      <c r="C11" s="6" t="inlineStr">
        <is>
          <t>Taxa_från_edp strFormel/strTaxedelAvser</t>
        </is>
      </c>
    </row>
    <row r="12">
      <c r="A12" s="5" t="inlineStr">
        <is>
          <t>LÄGH</t>
        </is>
      </c>
      <c r="B12" s="4" t="inlineStr">
        <is>
          <t>Lägenheter</t>
        </is>
      </c>
      <c r="C12" s="6" t="inlineStr">
        <is>
          <t>Taxa_från_edp strFormel</t>
        </is>
      </c>
    </row>
    <row r="13">
      <c r="A13" s="5" t="inlineStr">
        <is>
          <t>FAST</t>
        </is>
      </c>
      <c r="B13" s="4" t="inlineStr">
        <is>
          <t>Fast avgift</t>
        </is>
      </c>
      <c r="C13" s="6" t="inlineStr">
        <is>
          <t>Taxa_från_edp strFormel</t>
        </is>
      </c>
    </row>
    <row r="14">
      <c r="A14" s="5" t="inlineStr">
        <is>
          <t>KBMÖ</t>
        </is>
      </c>
      <c r="B14" s="4" t="inlineStr">
        <is>
          <t>Kubikmeter övrigt</t>
        </is>
      </c>
      <c r="C14" s="6" t="inlineStr">
        <is>
          <t>Taxa_från_edp strFormel</t>
        </is>
      </c>
    </row>
    <row r="15">
      <c r="A15" s="16" t="inlineStr">
        <is>
          <t>KBMS</t>
        </is>
      </c>
      <c r="B15" s="17" t="inlineStr">
        <is>
          <t>Kubikmeter slam</t>
        </is>
      </c>
      <c r="C15" s="18" t="inlineStr">
        <is>
          <t>Taxa_från_edp strFormel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45" customHeight="1">
      <c r="A1" s="41" t="inlineStr">
        <is>
          <t>Avfallstaxa – självdokumenterande masterfil</t>
        </is>
      </c>
      <c r="B1" s="4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Syfte</t>
        </is>
      </c>
      <c r="B2" s="52" t="inlineStr">
        <is>
          <t>Bygga och kvalitetssäkra Taxepunkter från Word, EDP och kompletterande prislistor.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Fas 1</t>
        </is>
      </c>
      <c r="B3" s="52" t="inlineStr">
        <is>
          <t>Word → Excel: pågår. Word styr struktur, Taxepunkter byggs successivt, Taxa_Saknas byggs successivt.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Fas 2</t>
        </is>
      </c>
      <c r="B4" s="52" t="inlineStr">
        <is>
          <t>Excel → Word: ej påbörjad. Ska hanteras separat senare. Regler för Fas 1 får inte blandas med Fas 2.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Status</t>
        </is>
      </c>
      <c r="B5" s="52" t="inlineStr">
        <is>
          <t>Taxepunkter är under uppbyggnad. Arbetet är genomfört till och med §2.2.6 med kända justeringar.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3" t="inlineStr">
        <is>
          <t>Viktig princip</t>
        </is>
      </c>
      <c r="B6" s="54" t="inlineStr">
        <is>
          <t>Arbetsboken ska kunna återanvändas med ny Taxa_från_edp från annat verksamhetssystem genom att läsa regler, källdokument, lexikon och beslutslogg.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0" customWidth="1" min="3" max="3"/>
  </cols>
  <sheetData>
    <row r="1">
      <c r="A1" s="62" t="inlineStr">
        <is>
          <t>ID</t>
        </is>
      </c>
      <c r="B1" s="63" t="inlineStr">
        <is>
          <t>Regel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R001</t>
        </is>
      </c>
      <c r="B2" s="50" t="inlineStr">
        <is>
          <t>Fasindelning</t>
        </is>
      </c>
      <c r="C2" s="52" t="inlineStr">
        <is>
          <t>Projektet består av två separata faser: Fas 1 Word → Excel och Fas 2 Excel → Word. De får inte blandas.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R002</t>
        </is>
      </c>
      <c r="B3" s="50" t="inlineStr">
        <is>
          <t>Word styr struktur i Fas 1</t>
        </is>
      </c>
      <c r="C3" s="52" t="inlineStr">
        <is>
          <t>Alla taxepunkter, rader och kostnadsfria tjänster som finns i Word ska finnas i Taxepunkter.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R003</t>
        </is>
      </c>
      <c r="B4" s="50" t="inlineStr">
        <is>
          <t>Taxepunkter byggs successivt</t>
        </is>
      </c>
      <c r="C4" s="52" t="inlineStr">
        <is>
          <t>Taxepunkter är en arbetsflik under uppbyggnad och får inte ersättas med importdata.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R004</t>
        </is>
      </c>
      <c r="B5" s="50" t="inlineStr">
        <is>
          <t>Taxakod</t>
        </is>
      </c>
      <c r="C5" s="52" t="inlineStr">
        <is>
          <t>Kolumn Taxakod innehåller endast bekräftad exakt strTaxekod från Taxa_från_edp.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R005</t>
        </is>
      </c>
      <c r="B6" s="50" t="inlineStr">
        <is>
          <t>Ingen påhittad Taxakod</t>
        </is>
      </c>
      <c r="C6" s="52" t="inlineStr">
        <is>
          <t>Om match finns i Taxa_från_edp används exakt strTaxekod. Hitta inte på egen kod om EDP-kod finns.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R006</t>
        </is>
      </c>
      <c r="B7" s="50" t="inlineStr">
        <is>
          <t>Föreslagen Taxa</t>
        </is>
      </c>
      <c r="C7" s="52" t="inlineStr">
        <is>
          <t>Visar Taxakod om den är bekräftad, annars föreslagen taxa från Taxa_Saknas.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R007</t>
        </is>
      </c>
      <c r="B8" s="50" t="inlineStr">
        <is>
          <t>Aktuellt pris</t>
        </is>
      </c>
      <c r="C8" s="52" t="inlineStr">
        <is>
          <t>Aktuellt pris (exkl moms) hämtas alltid från Taxa_från_edp och får aldrig redigeras manuellt.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R008</t>
        </is>
      </c>
      <c r="B9" s="50" t="inlineStr">
        <is>
          <t>Föreslaget pris</t>
        </is>
      </c>
      <c r="C9" s="52" t="inlineStr">
        <is>
          <t>Får fyllas manuellt/beräknas som arbetspris när Aktuellt pris saknas. Detta är inte EDP-pris.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R009</t>
        </is>
      </c>
      <c r="B10" s="50" t="inlineStr">
        <is>
          <t>DH-priser</t>
        </is>
      </c>
      <c r="C10" s="52" t="inlineStr">
        <is>
          <t>Prislista DH används endast för detaljhandel och får aldrig användas för beräkningsmodeller för andra taxor.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R010</t>
        </is>
      </c>
      <c r="B11" s="50" t="inlineStr">
        <is>
          <t>Taxa_Saknas</t>
        </is>
      </c>
      <c r="C11" s="52" t="inlineStr">
        <is>
          <t>Innehåller saknade eller föreslagna taxor med samma EDP-kolumner som Taxa_från_edp samt arbetskolumner.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R011</t>
        </is>
      </c>
      <c r="B12" s="50" t="inlineStr">
        <is>
          <t>intRecnum i Taxa_Saknas</t>
        </is>
      </c>
      <c r="C12" s="52" t="inlineStr">
        <is>
          <t>intRecnum = radnummer i Taxepunkter för felsökning, inte EDP:s original-ID.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R012</t>
        </is>
      </c>
      <c r="B13" s="50" t="inlineStr">
        <is>
          <t>Taxepunkt i Taxa_Saknas</t>
        </is>
      </c>
      <c r="C13" s="52" t="inlineStr">
        <is>
          <t>Taxepunkt = Paragrafnamn / Taxapunkt.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R013</t>
        </is>
      </c>
      <c r="B14" s="50" t="inlineStr">
        <is>
          <t>Matchningsordning</t>
        </is>
      </c>
      <c r="C14" s="52" t="inlineStr">
        <is>
          <t>Sök först strTaxekod, sedan strTaxebenamning, strTaxedelAvser och strFaktor/strFormel.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R014</t>
        </is>
      </c>
      <c r="B15" s="50" t="inlineStr">
        <is>
          <t>FV</t>
        </is>
      </c>
      <c r="C15" s="52" t="inlineStr">
        <is>
          <t>FV betyder flerbostadshus eller verksamhet och kan återanvändas om övriga villkor stämmer.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R015</t>
        </is>
      </c>
      <c r="B16" s="50" t="inlineStr">
        <is>
          <t>DH</t>
        </is>
      </c>
      <c r="C16" s="52" t="inlineStr">
        <is>
          <t>DH betyder detaljhandel med beviljad hantering av kommunalt avfall. §2.2.6 använder DH, inte FV.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R016</t>
        </is>
      </c>
      <c r="B17" s="50" t="inlineStr">
        <is>
          <t>MB</t>
        </is>
      </c>
      <c r="C17" s="52" t="inlineStr">
        <is>
          <t>MB används för markbehållare eller underjordsbehållare och ska användas som prefix för bottentömmande behållare.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R017</t>
        </is>
      </c>
      <c r="B18" s="50" t="inlineStr">
        <is>
          <t>LV</t>
        </is>
      </c>
      <c r="C18" s="52" t="inlineStr">
        <is>
          <t>LV används för lastväxlarflak.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R018</t>
        </is>
      </c>
      <c r="B19" s="50" t="inlineStr">
        <is>
          <t>GEMUPP</t>
        </is>
      </c>
      <c r="C19" s="52" t="inlineStr">
        <is>
          <t>GEMUPP används för gemensam uppsamlingsplats.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R019</t>
        </is>
      </c>
      <c r="B20" s="50" t="inlineStr">
        <is>
          <t>FOB</t>
        </is>
      </c>
      <c r="C20" s="52" t="inlineStr">
        <is>
          <t>FOB används för fysisk nyckel/fob.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R020</t>
        </is>
      </c>
      <c r="B21" s="50" t="inlineStr">
        <is>
          <t>Kostnadsfria rader</t>
        </is>
      </c>
      <c r="C21" s="52" t="inlineStr">
        <is>
          <t>Kostnadsfri rad ska finnas i Taxepunkter, men pris ska fortfarande hämtas från Taxa_från_edp om bekräftad taxekod finns.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inlineStr">
        <is>
          <t>R021</t>
        </is>
      </c>
      <c r="B22" s="50" t="inlineStr">
        <is>
          <t>Kostnadsfria rader i Taxepunkter</t>
        </is>
      </c>
      <c r="C22" s="52" t="inlineStr">
        <is>
          <t>Rader som i Word anges som kostnadsfria ska finnas i Taxepunkter med Variant = Kostnadsfritt. Aktuellt pris får ändå inte fyllas manuellt.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R022</t>
        </is>
      </c>
      <c r="B23" s="50" t="inlineStr">
        <is>
          <t>Kostnadsfria rader i Taxa_Saknas</t>
        </is>
      </c>
      <c r="C23" s="52" t="inlineStr">
        <is>
          <t>Om kostnadsfri tjänst saknar bekräftad EDP-taxa ska den läggas i Taxa_Saknas med föreslagen taxekod och utan manuellt Aktuellt pris.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R023</t>
        </is>
      </c>
      <c r="B24" s="50" t="inlineStr">
        <is>
          <t>Underrubriker i Taxepunkter</t>
        </is>
      </c>
      <c r="C24" s="52" t="inlineStr">
        <is>
          <t>Rader där kolumn A innehåller paragraf + rubriktext och B:E är tomma ska behandlas som underrubriker. De ska vara sammanslagna över A:E och enfärgade.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inlineStr">
        <is>
          <t>R024</t>
        </is>
      </c>
      <c r="B25" s="50" t="inlineStr">
        <is>
          <t>Vanliga taxerader i Taxepunkter</t>
        </is>
      </c>
      <c r="C25" s="52" t="inlineStr">
        <is>
          <t>Rader där A:E innehåller uppdelad information, t.ex. Paragraf, Paragrafnamn, Taxapunkt, Variant och Enhet, ska inte vara sammanslagna och A:E ska ha vit bakgrund.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4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00" customWidth="1" min="3" max="3"/>
  </cols>
  <sheetData>
    <row r="1">
      <c r="A1" s="62" t="inlineStr">
        <is>
          <t>Steg</t>
        </is>
      </c>
      <c r="B1" s="63" t="inlineStr">
        <is>
          <t>Arbetsmoment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n">
        <v>1</v>
      </c>
      <c r="B2" s="50" t="inlineStr">
        <is>
          <t>Läs Projektöversikt</t>
        </is>
      </c>
      <c r="C2" s="52" t="inlineStr">
        <is>
          <t>Identifiera om arbetet gäller Fas 1 Word→Excel eller Fas 2 Excel→Word.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n">
        <v>2</v>
      </c>
      <c r="B3" s="50" t="inlineStr">
        <is>
          <t>Läs Projektregler</t>
        </is>
      </c>
      <c r="C3" s="52" t="inlineStr">
        <is>
          <t>Följ reglerna innan några ändringar görs.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n">
        <v>3</v>
      </c>
      <c r="B4" s="50" t="inlineStr">
        <is>
          <t>Läs Källdokument</t>
        </is>
      </c>
      <c r="C4" s="52" t="inlineStr">
        <is>
          <t>Kontrollera vilka importflikar och externa filer som krävs.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n">
        <v>4</v>
      </c>
      <c r="B5" s="50" t="inlineStr">
        <is>
          <t>Läs Taxekod_Tolkning</t>
        </is>
      </c>
      <c r="C5" s="52" t="inlineStr">
        <is>
          <t>Använd lexikonet för prefix, suffix, koddelar, strFaktor och strFormel.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n">
        <v>5</v>
      </c>
      <c r="B6" s="50" t="inlineStr">
        <is>
          <t>Importera/ersätt Taxa_från_edp</t>
        </is>
      </c>
      <c r="C6" s="52" t="inlineStr">
        <is>
          <t>Om ny EDP-export används ska endast importfliken bytas, inte arbetsflikarna.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n">
        <v>6</v>
      </c>
      <c r="B7" s="50" t="inlineStr">
        <is>
          <t>Kontrollera Word mot Taxepunkter</t>
        </is>
      </c>
      <c r="C7" s="52" t="inlineStr">
        <is>
          <t>Lägg till saknade rader från Word, inklusive kostnadsfria rader.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n">
        <v>7</v>
      </c>
      <c r="B8" s="50" t="inlineStr">
        <is>
          <t>Matcha mot Taxa_från_edp</t>
        </is>
      </c>
      <c r="C8" s="52" t="inlineStr">
        <is>
          <t>Använd matchningsordningen strTaxekod → strTaxebenamning → strTaxedelAvser → strFaktor.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>
        <v>8</v>
      </c>
      <c r="B9" s="50" t="inlineStr">
        <is>
          <t>Uppdatera Taxa_Saknas</t>
        </is>
      </c>
      <c r="C9" s="52" t="inlineStr">
        <is>
          <t>Alla saknade/osäkra taxor ska dokumenteras med intRecnum = Taxepunkter-rad.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>
        <v>9</v>
      </c>
      <c r="B10" s="50" t="inlineStr">
        <is>
          <t>Uppdatera Föreslagen Taxa</t>
        </is>
      </c>
      <c r="C10" s="52" t="inlineStr">
        <is>
          <t>Kolumnen hämtar bekräftad Taxakod eller förslag från Taxa_Saknas.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>
        <v>10</v>
      </c>
      <c r="B11" s="50" t="inlineStr">
        <is>
          <t>Fyll Föreslaget pris vid behov</t>
        </is>
      </c>
      <c r="C11" s="52" t="inlineStr">
        <is>
          <t>Aktuellt pris får aldrig ändras. Föreslaget pris används bara som arbetspris.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>
        <v>11</v>
      </c>
      <c r="B12" s="50" t="inlineStr">
        <is>
          <t>Dokumentera beslut</t>
        </is>
      </c>
      <c r="C12" s="52" t="inlineStr">
        <is>
          <t>Uppdatera Beslutslogg och Kontrollrapport.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>
        <v>12</v>
      </c>
      <c r="B13" s="50" t="inlineStr">
        <is>
          <t>Vänta med Excel→Word</t>
        </is>
      </c>
      <c r="C13" s="52" t="inlineStr">
        <is>
          <t>Prisöverföring till Word hanteras i senare separat fas.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50" customWidth="1" min="3" max="3"/>
    <col width="24" customWidth="1" min="4" max="4"/>
    <col width="70" customWidth="1" min="5" max="5"/>
  </cols>
  <sheetData>
    <row r="1" ht="30" customHeight="1">
      <c r="A1" s="62" t="inlineStr">
        <is>
          <t>Källa/flik</t>
        </is>
      </c>
      <c r="B1" s="63" t="inlineStr">
        <is>
          <t>Obligatorisk</t>
        </is>
      </c>
      <c r="C1" s="63" t="inlineStr">
        <is>
          <t>Funktion</t>
        </is>
      </c>
      <c r="D1" s="63" t="inlineStr">
        <is>
          <t>Får ersättas vid ny körning</t>
        </is>
      </c>
      <c r="E1" s="67" t="inlineStr">
        <is>
          <t>Kommentar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Word taxedokument (.docx)</t>
        </is>
      </c>
      <c r="B2" s="50" t="inlineStr">
        <is>
          <t>Ja</t>
        </is>
      </c>
      <c r="C2" s="50" t="inlineStr">
        <is>
          <t>Juridisk/strukturell källa för Taxepunkter</t>
        </is>
      </c>
      <c r="D2" s="50" t="inlineStr">
        <is>
          <t>Ja</t>
        </is>
      </c>
      <c r="E2" s="52" t="inlineStr">
        <is>
          <t>Ska importeras/läsas vid ny taxemall. Nuvarande Word ligger ej som komplett filflik i Excel.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Taxa_från_edp</t>
        </is>
      </c>
      <c r="B3" s="50" t="inlineStr">
        <is>
          <t>Ja</t>
        </is>
      </c>
      <c r="C3" s="50" t="inlineStr">
        <is>
          <t>Bekräftade taxekoder, benämningar, faktorer, formler och priser</t>
        </is>
      </c>
      <c r="D3" s="50" t="inlineStr">
        <is>
          <t>Ja</t>
        </is>
      </c>
      <c r="E3" s="52" t="inlineStr">
        <is>
          <t>Enda källa för Aktuellt pris. Får bytas mot ny export.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Källa_Prislista_DH</t>
        </is>
      </c>
      <c r="B4" s="50" t="inlineStr">
        <is>
          <t>Ja om DH finns</t>
        </is>
      </c>
      <c r="C4" s="50" t="inlineStr">
        <is>
          <t>Unik prislista för detaljhandel</t>
        </is>
      </c>
      <c r="D4" s="50" t="inlineStr">
        <is>
          <t>Ja</t>
        </is>
      </c>
      <c r="E4" s="52" t="inlineStr">
        <is>
          <t>Får endast användas för DH och aldrig för andra beräkningsmodeller.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Källa_Kvantitetskoder</t>
        </is>
      </c>
      <c r="B5" s="50" t="inlineStr">
        <is>
          <t>Ja</t>
        </is>
      </c>
      <c r="C5" s="50" t="inlineStr">
        <is>
          <t>Referens för strFaktor/strFormel</t>
        </is>
      </c>
      <c r="D5" s="50" t="inlineStr">
        <is>
          <t>Ja</t>
        </is>
      </c>
      <c r="E5" s="52" t="inlineStr">
        <is>
          <t>Används för tolkning, inte för pris.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Taxepunkter</t>
        </is>
      </c>
      <c r="B6" s="50" t="inlineStr">
        <is>
          <t>Ja</t>
        </is>
      </c>
      <c r="C6" s="50" t="inlineStr">
        <is>
          <t>Arbetsflik som byggs från Word + EDP</t>
        </is>
      </c>
      <c r="D6" s="50" t="inlineStr">
        <is>
          <t>Nej</t>
        </is>
      </c>
      <c r="E6" s="52" t="inlineStr">
        <is>
          <t>Under uppbyggnad och ska inte ersättas.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Taxa_Saknas</t>
        </is>
      </c>
      <c r="B7" s="50" t="inlineStr">
        <is>
          <t>Ja</t>
        </is>
      </c>
      <c r="C7" s="50" t="inlineStr">
        <is>
          <t>Saknade/föreslagna taxor</t>
        </is>
      </c>
      <c r="D7" s="50" t="inlineStr">
        <is>
          <t>Nej</t>
        </is>
      </c>
      <c r="E7" s="52" t="inlineStr">
        <is>
          <t>Under uppbyggnad och ska inte ersättas.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Taxekod_Tolkning</t>
        </is>
      </c>
      <c r="B8" s="50" t="inlineStr">
        <is>
          <t>Ja</t>
        </is>
      </c>
      <c r="C8" s="50" t="inlineStr">
        <is>
          <t>Lexikon över koddelar</t>
        </is>
      </c>
      <c r="D8" s="50" t="inlineStr">
        <is>
          <t>Nej</t>
        </is>
      </c>
      <c r="E8" s="52" t="inlineStr">
        <is>
          <t>Byggs successivt.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Projektregler/Arbetsflöde/Beslutslogg</t>
        </is>
      </c>
      <c r="B9" s="50" t="inlineStr">
        <is>
          <t>Ja</t>
        </is>
      </c>
      <c r="C9" s="50" t="inlineStr">
        <is>
          <t>Självdokumentation</t>
        </is>
      </c>
      <c r="D9" s="50" t="inlineStr">
        <is>
          <t>Nej</t>
        </is>
      </c>
      <c r="E9" s="52" t="inlineStr">
        <is>
          <t>Behövs för framtida promptning.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0" t="n"/>
      <c r="E10" s="5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0" t="n"/>
      <c r="D11" s="50" t="n"/>
      <c r="E11" s="5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0" t="n"/>
      <c r="E13" s="5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0" t="n"/>
      <c r="E14" s="5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5" t="n"/>
      <c r="D15" s="55" t="n"/>
      <c r="E15" s="54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Instruktion till ChatGPT för fortsatt arbete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1. Läs flikarna 01_Projektöversikt, 02_Projektregler, 03_Arbetsflöde, 04_Källdokument, Taxekod_Tolkning och Beslutslogg innan du ändrar något.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2. Arbetet är i Fas 1 Word → Excel tills annat uttryckligen anges. Regler för Excel → Word ska inte användas ännu.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7" t="inlineStr">
        <is>
          <t>3. Taxepunkter är en arbetsflik under uppbyggnad. Den ska byggas från Word och Taxa_från_edp, inte ersättas.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7" t="inlineStr">
        <is>
          <t>4. Alla rader i Word, även kostnadsfria rader, ska finnas i Taxepunkter.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7" t="inlineStr">
        <is>
          <t>5. Taxakod får endast innehålla bekräftad exakt strTaxekod från Taxa_från_edp.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7" t="inlineStr">
        <is>
          <t>6. Aktuellt pris får aldrig redigeras manuellt. Det hämtas från Taxa_från_edp.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7" t="inlineStr">
        <is>
          <t>7. Föreslagen Taxa visar Taxakod om bekräftad, annars förslag från Taxa_Saknas.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7" t="inlineStr">
        <is>
          <t>8. Föreslaget pris kan användas som arbetspris när Aktuellt pris saknas. DH-priser får bara användas för DH.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7" t="inlineStr">
        <is>
          <t>9. Matcha taxor via strTaxekod, strTaxebenamning, strTaxedelAvser, strFaktor och strFormel.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7" t="inlineStr">
        <is>
          <t>10. Om taxan saknas: lägg i Taxa_Saknas med intRecnum = radnumret i Taxepunkter.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7" t="inlineStr">
        <is>
          <t>11. Uppdatera Taxekod_Tolkning när nya koddelar identifieras.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7" t="inlineStr">
        <is>
          <t>12. Dokumentera nya beslut i Beslutslogg och resultat i Kontrollrapport.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7" t="inlineStr">
        <is>
          <t>13. Kostnadsfria rader i Word ska alltid finnas i Taxepunkter och vid saknad EDP-taxa även i Taxa_Saknas.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8" t="inlineStr">
        <is>
          <t>14. Sätt aldrig Aktuellt pris manuellt till 0. Pris hämtas bara från Taxa_från_edp; använd Föreslaget pris endast som arbetskolumn vid behov.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Excel → Word är inte påbörjad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Denna fas ska hanteras separat senare.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Preliminära principer: Word-text får inte ändras, endast prisfält/XX kr ska uppdateras från rätt rad i Taxepunkter.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8" t="inlineStr">
        <is>
          <t>Regler för Word → Excel får inte användas som regler för Excel → Word utan ny genomgång.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90" customWidth="1" min="3" max="3"/>
  </cols>
  <sheetData>
    <row r="1">
      <c r="A1" s="62" t="inlineStr">
        <is>
          <t>Delprojekt</t>
        </is>
      </c>
      <c r="B1" s="63" t="inlineStr">
        <is>
          <t>Status</t>
        </is>
      </c>
      <c r="C1" s="67" t="inlineStr">
        <is>
          <t>Progress/Kommentar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Taxepunkter</t>
        </is>
      </c>
      <c r="B2" s="50" t="inlineStr">
        <is>
          <t>Under uppbyggnad</t>
        </is>
      </c>
      <c r="C2" s="52" t="inlineStr">
        <is>
          <t>Kontrollerad till och med §2.2.6; fortsättning återstår.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Taxa_Saknas</t>
        </is>
      </c>
      <c r="B3" s="50" t="inlineStr">
        <is>
          <t>Under uppbyggnad</t>
        </is>
      </c>
      <c r="C3" s="52" t="inlineStr">
        <is>
          <t>Fylls löpande med saknade taxor och förslag.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Taxekod_Tolkning</t>
        </is>
      </c>
      <c r="B4" s="50" t="inlineStr">
        <is>
          <t>Under uppbyggnad</t>
        </is>
      </c>
      <c r="C4" s="52" t="inlineStr">
        <is>
          <t>Lexikon påbörjat och uppdateras löpande.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Word → Excel</t>
        </is>
      </c>
      <c r="B5" s="50" t="inlineStr">
        <is>
          <t>Pågår</t>
        </is>
      </c>
      <c r="C5" s="52" t="inlineStr">
        <is>
          <t>Fas 1.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Excel → Word</t>
        </is>
      </c>
      <c r="B6" s="50" t="inlineStr">
        <is>
          <t>Ej påbörjad</t>
        </is>
      </c>
      <c r="C6" s="52" t="inlineStr">
        <is>
          <t>Fas 2 hanteras separat senare.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DH-prislogik</t>
        </is>
      </c>
      <c r="B7" s="50" t="inlineStr">
        <is>
          <t>Fastställd</t>
        </is>
      </c>
      <c r="C7" s="52" t="inlineStr">
        <is>
          <t>DH-priser är fristående och får inte användas för andra modeller.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Kostnadsfria rader</t>
        </is>
      </c>
      <c r="B8" s="50" t="inlineStr">
        <is>
          <t>Åtgärdat</t>
        </is>
      </c>
      <c r="C8" s="52" t="inlineStr">
        <is>
          <t>Tre kostnadsfria rader från Word har lagts till i Taxepunkter och Taxa_Saknas.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/>
      <c r="B9" s="50" t="n"/>
      <c r="C9" s="5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4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42" customWidth="1" min="4" max="4"/>
    <col width="90" customWidth="1" min="5" max="5"/>
    <col width="18" customWidth="1" min="6" max="6"/>
  </cols>
  <sheetData>
    <row r="1" ht="30" customHeight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Formel/regel för en normalrad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Paragraf</t>
        </is>
      </c>
      <c r="C2" s="50" t="inlineStr">
        <is>
          <t>Manuell</t>
        </is>
      </c>
      <c r="D2" s="50" t="inlineStr">
        <is>
          <t>Word</t>
        </is>
      </c>
      <c r="E2" s="50" t="inlineStr">
        <is>
          <t>Anges utifrån paragraf i Word.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Paragrafnamn</t>
        </is>
      </c>
      <c r="C3" s="50" t="inlineStr">
        <is>
          <t>Manuell</t>
        </is>
      </c>
      <c r="D3" s="50" t="inlineStr">
        <is>
          <t>Word</t>
        </is>
      </c>
      <c r="E3" s="50" t="inlineStr">
        <is>
          <t>Anges utifrån rubrik i Word.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Taxapunkt</t>
        </is>
      </c>
      <c r="C4" s="50" t="inlineStr">
        <is>
          <t>Manuell</t>
        </is>
      </c>
      <c r="D4" s="50" t="inlineStr">
        <is>
          <t>Word</t>
        </is>
      </c>
      <c r="E4" s="50" t="inlineStr">
        <is>
          <t>Anges utifrån raden/tjänsten i Word.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Variant</t>
        </is>
      </c>
      <c r="C5" s="50" t="inlineStr">
        <is>
          <t>Manuell</t>
        </is>
      </c>
      <c r="D5" s="50" t="inlineStr">
        <is>
          <t>Word</t>
        </is>
      </c>
      <c r="E5" s="50" t="inlineStr">
        <is>
          <t>Anger t.ex. Hämtning varje vecka, Avgift per tömning, var 14:e dag.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Enhet</t>
        </is>
      </c>
      <c r="C6" s="50" t="inlineStr">
        <is>
          <t>Manuell</t>
        </is>
      </c>
      <c r="D6" s="50" t="inlineStr">
        <is>
          <t>Word/bedömning</t>
        </is>
      </c>
      <c r="E6" s="50" t="inlineStr">
        <is>
          <t>Anger debiteringsenhet, t.ex. st/år, st/tömning, kg.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Taxakod</t>
        </is>
      </c>
      <c r="C7" s="50" t="inlineStr">
        <is>
          <t>Manuell med dropdown</t>
        </is>
      </c>
      <c r="D7" s="50" t="inlineStr">
        <is>
          <t>Taxa_från_edp</t>
        </is>
      </c>
      <c r="E7" s="50" t="inlineStr">
        <is>
          <t>Endast bekräftad exakt strTaxekod från Taxa_från_edp.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 Taxa</t>
        </is>
      </c>
      <c r="C8" s="50" t="inlineStr">
        <is>
          <t>Automatisk</t>
        </is>
      </c>
      <c r="D8" s="50" t="inlineStr">
        <is>
          <t>Taxakod + Taxa_Saknas</t>
        </is>
      </c>
      <c r="E8" s="50">
        <f>IF($F7&lt;&gt;"",$F7,IFERROR(_xludf.XLOOKUP(ROW(),Taxa_Saknas!$H:$H,Taxa_Saknas!$G:$G),""))</f>
        <v/>
      </c>
      <c r="F8" s="52" t="inlineStr">
        <is>
          <t>Nej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Taxabeskrivning</t>
        </is>
      </c>
      <c r="C9" s="50" t="inlineStr">
        <is>
          <t>Automatisk</t>
        </is>
      </c>
      <c r="D9" s="50" t="inlineStr">
        <is>
          <t>Taxa_från_edp[strTaxebenamning]</t>
        </is>
      </c>
      <c r="E9" s="50" t="inlineStr">
        <is>
          <t>Slår upp Taxakod i Taxa_från_edp kolumn strTaxekod och returnerar strTaxebenamning.</t>
        </is>
      </c>
      <c r="F9" s="52" t="inlineStr">
        <is>
          <t>Nej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Faktor</t>
        </is>
      </c>
      <c r="C10" s="50" t="inlineStr">
        <is>
          <t>Automatisk</t>
        </is>
      </c>
      <c r="D10" s="50" t="inlineStr">
        <is>
          <t>Taxa_från_edp[strFaktor]</t>
        </is>
      </c>
      <c r="E10" s="50" t="inlineStr">
        <is>
          <t>Slår upp Taxakod och returnerar strFaktor.</t>
        </is>
      </c>
      <c r="F10" s="52" t="inlineStr">
        <is>
          <t>Nej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</t>
        </is>
      </c>
      <c r="B11" s="50" t="inlineStr">
        <is>
          <t>Aktuellt pris (exkl m)</t>
        </is>
      </c>
      <c r="C11" s="50" t="inlineStr">
        <is>
          <t>Automatisk</t>
        </is>
      </c>
      <c r="D11" s="50" t="inlineStr">
        <is>
          <t>Taxa_från_edp[curNuvarandePris]</t>
        </is>
      </c>
      <c r="E11" s="50" t="inlineStr">
        <is>
          <t>Slår upp Taxakod och returnerar aktuellt pris exkl. moms. Får aldrig redigeras manuellt.</t>
        </is>
      </c>
      <c r="F11" s="52" t="inlineStr">
        <is>
          <t>Nej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K</t>
        </is>
      </c>
      <c r="B12" s="50" t="inlineStr">
        <is>
          <t>Föreslaget pris</t>
        </is>
      </c>
      <c r="C12" s="50" t="inlineStr">
        <is>
          <t>Manuell/beräknad arbetskolumn</t>
        </is>
      </c>
      <c r="D12" s="50" t="inlineStr">
        <is>
          <t>Projektdata/DH-prislista/bedömning</t>
        </is>
      </c>
      <c r="E12" s="50" t="inlineStr">
        <is>
          <t>Används bara när Aktuellt pris saknas. DH-priser får endast användas för DH.</t>
        </is>
      </c>
      <c r="F12" s="52" t="inlineStr">
        <is>
          <t>Ja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L</t>
        </is>
      </c>
      <c r="B13" s="50" t="inlineStr">
        <is>
          <t>Antal</t>
        </is>
      </c>
      <c r="C13" s="50" t="inlineStr">
        <is>
          <t>Manuell</t>
        </is>
      </c>
      <c r="D13" s="50" t="inlineStr">
        <is>
          <t>Taxevolym/bedömning</t>
        </is>
      </c>
      <c r="E13" s="50" t="inlineStr">
        <is>
          <t>Anges vid behov för intäktsberäkning.</t>
        </is>
      </c>
      <c r="F13" s="52" t="inlineStr">
        <is>
          <t>Ja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M</t>
        </is>
      </c>
      <c r="B14" s="50" t="inlineStr">
        <is>
          <t>Pris kr (inkl.)</t>
        </is>
      </c>
      <c r="C14" s="50" t="inlineStr">
        <is>
          <t>Automatisk</t>
        </is>
      </c>
      <c r="D14" s="50" t="inlineStr">
        <is>
          <t>J eller K + moms</t>
        </is>
      </c>
      <c r="E14" s="50">
        <f>IFERROR(IF(J7&lt;&gt;"",J7*1.25,IF(K7&lt;&gt;"",K7*1.25,"")),"")</f>
        <v/>
      </c>
      <c r="F14" s="52" t="inlineStr">
        <is>
          <t>Nej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N</t>
        </is>
      </c>
      <c r="B15" s="50" t="inlineStr">
        <is>
          <t>Intäkt (kr) exkl</t>
        </is>
      </c>
      <c r="C15" s="50" t="inlineStr">
        <is>
          <t>Automatisk</t>
        </is>
      </c>
      <c r="D15" s="50" t="inlineStr">
        <is>
          <t>J/K och L</t>
        </is>
      </c>
      <c r="E15" s="50">
        <f>IFERROR(IF(J7&lt;&gt;"",L7*J7,IF(K7&lt;&gt;"",L7*K7,"")),"")</f>
        <v/>
      </c>
      <c r="F15" s="52" t="inlineStr">
        <is>
          <t>Nej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0" t="n"/>
      <c r="E16" s="50" t="n"/>
      <c r="F16" s="5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Beroende</t>
        </is>
      </c>
      <c r="B17" s="50" t="inlineStr">
        <is>
          <t>Beskrivning</t>
        </is>
      </c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F påverkar G/H/I/J</t>
        </is>
      </c>
      <c r="B18" s="50" t="inlineStr">
        <is>
          <t>Taxakod styr föreslagen taxa, taxabeskrivning, faktor och aktuellt pris.</t>
        </is>
      </c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G hämtar från Taxa_Saknas</t>
        </is>
      </c>
      <c r="B19" s="50" t="inlineStr">
        <is>
          <t>Om Taxakod saknas används intRecnum/radnummer för att hämta föreslagen taxa.</t>
        </is>
      </c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J är låst principmässigt</t>
        </is>
      </c>
      <c r="B20" s="50" t="inlineStr">
        <is>
          <t>Aktuellt pris är alltid EDP-pris och får inte ändras manuellt.</t>
        </is>
      </c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K är arbetspris</t>
        </is>
      </c>
      <c r="B21" s="50" t="inlineStr">
        <is>
          <t>Föreslaget pris används endast som arbetsunderlag när J saknas.</t>
        </is>
      </c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60" t="inlineStr">
        <is>
          <t>Radtyp</t>
        </is>
      </c>
      <c r="B22" s="59" t="inlineStr">
        <is>
          <t>Kännetecken</t>
        </is>
      </c>
      <c r="C22" s="59" t="inlineStr">
        <is>
          <t>Format</t>
        </is>
      </c>
      <c r="D22" s="59" t="inlineStr">
        <is>
          <t>Regel</t>
        </is>
      </c>
      <c r="E22" s="59" t="inlineStr">
        <is>
          <t>Exempel</t>
        </is>
      </c>
      <c r="F22" s="61" t="inlineStr">
        <is>
          <t>Får ändras manuellt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Underrubrik</t>
        </is>
      </c>
      <c r="B23" s="50" t="inlineStr">
        <is>
          <t>Endast kolumn A har text, B:E är tomma</t>
        </is>
      </c>
      <c r="C23" s="50" t="inlineStr">
        <is>
          <t>A:E sammanslaget, enfärgad ljusblå rad</t>
        </is>
      </c>
      <c r="D23" s="50" t="inlineStr">
        <is>
          <t>Används för avsnittsrubriker</t>
        </is>
      </c>
      <c r="E23" s="50" t="inlineStr">
        <is>
          <t>§2.1 Grundavgift</t>
        </is>
      </c>
      <c r="F23" s="52" t="inlineStr">
        <is>
          <t>Nej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Taxerad</t>
        </is>
      </c>
      <c r="B24" s="50" t="inlineStr">
        <is>
          <t>A:E innehåller uppdelade fält</t>
        </is>
      </c>
      <c r="C24" s="50" t="inlineStr">
        <is>
          <t>A:E ej sammanslaget, vit bakgrund</t>
        </is>
      </c>
      <c r="D24" s="50" t="inlineStr">
        <is>
          <t>Används för faktiska taxepunkter</t>
        </is>
      </c>
      <c r="E24" s="50" t="inlineStr">
        <is>
          <t>§2.1 | Grundavgift | En- och tvåbostadshus | st/år</t>
        </is>
      </c>
      <c r="F24" s="52" t="inlineStr">
        <is>
          <t>Ja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90" customWidth="1" min="3" max="3"/>
  </cols>
  <sheetData>
    <row r="1">
      <c r="A1" s="62" t="inlineStr">
        <is>
          <t>Datum</t>
        </is>
      </c>
      <c r="B1" s="63" t="inlineStr">
        <is>
          <t>Beslut</t>
        </is>
      </c>
      <c r="C1" s="67" t="inlineStr">
        <is>
          <t>Konsekvens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2026-07-02</t>
        </is>
      </c>
      <c r="B2" s="50" t="inlineStr">
        <is>
          <t>FV betyder flerbostadshus eller verksamhet</t>
        </is>
      </c>
      <c r="C2" s="52" t="inlineStr">
        <is>
          <t>FV-taxor kan återanvändas mellan §2.2.4 och §2.2.5 om övriga villkor matchar.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2026-07-02</t>
        </is>
      </c>
      <c r="B3" s="50" t="inlineStr">
        <is>
          <t>DH införs som suffix för detaljhandel</t>
        </is>
      </c>
      <c r="C3" s="52" t="inlineStr">
        <is>
          <t>§2.2.6 ska använda DH och inte FV.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2026-07-02</t>
        </is>
      </c>
      <c r="B4" s="50" t="inlineStr">
        <is>
          <t>MB används för bottentömmande behållare</t>
        </is>
      </c>
      <c r="C4" s="52" t="inlineStr">
        <is>
          <t>BTMR ska inte användas som framtida standardförslag.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2026-07-02</t>
        </is>
      </c>
      <c r="B5" s="50" t="inlineStr">
        <is>
          <t>Aktuellt pris hämtas bara från Taxa_från_edp</t>
        </is>
      </c>
      <c r="C5" s="52" t="inlineStr">
        <is>
          <t>Priskolumnen får inte redigeras manuellt.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2026-07-02</t>
        </is>
      </c>
      <c r="B6" s="50" t="inlineStr">
        <is>
          <t>Föreslaget pris får användas som arbetspris</t>
        </is>
      </c>
      <c r="C6" s="52" t="inlineStr">
        <is>
          <t>Ny kolumn efter Aktuellt pris.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2026-07-02</t>
        </is>
      </c>
      <c r="B7" s="50" t="inlineStr">
        <is>
          <t>DH-prislista är fristående</t>
        </is>
      </c>
      <c r="C7" s="52" t="inlineStr">
        <is>
          <t>DH-priser får inte användas som jämförelse för andra taxor.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2026-07-02</t>
        </is>
      </c>
      <c r="B8" s="50" t="inlineStr">
        <is>
          <t>Taxepunkter är under uppbyggnad</t>
        </is>
      </c>
      <c r="C8" s="52" t="inlineStr">
        <is>
          <t>Fliken är arbetsflik och får inte ersättas.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2026-07-02</t>
        </is>
      </c>
      <c r="B9" s="50" t="inlineStr">
        <is>
          <t>Fas 2 Excel→Word hanteras separat</t>
        </is>
      </c>
      <c r="C9" s="52" t="inlineStr">
        <is>
          <t>Nuvarande regler gäller Word→Excel.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t="inlineStr">
        <is>
          <t>2026-07-07</t>
        </is>
      </c>
      <c r="B301" t="inlineStr">
        <is>
          <t>v0.9.4 Taxepunkter facit</t>
        </is>
      </c>
      <c r="C301" t="inlineStr">
        <is>
          <t>Fyllde 52 befintliga Taxepunkter-rader med saknad Taxakod från Taxa_Saknas och lade till 9 saknade rader längst ned i Taxepunkter. Taxa_från_edp ändrades inte.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60" customWidth="1" min="3" max="4"/>
  </cols>
  <sheetData>
    <row r="1">
      <c r="A1" s="62" t="inlineStr">
        <is>
          <t>Färgtyp</t>
        </is>
      </c>
      <c r="B1" s="63" t="inlineStr">
        <is>
          <t>Hex</t>
        </is>
      </c>
      <c r="C1" s="63" t="inlineStr">
        <is>
          <t>Användning</t>
        </is>
      </c>
      <c r="D1" s="67" t="inlineStr">
        <is>
          <t>Exempel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Rubrik</t>
        </is>
      </c>
      <c r="B2" s="50" t="inlineStr">
        <is>
          <t>#1F4E78</t>
        </is>
      </c>
      <c r="C2" s="50" t="inlineStr">
        <is>
          <t>Tabellrubriker och huvudrubriker</t>
        </is>
      </c>
      <c r="D2" s="52" t="inlineStr">
        <is>
          <t>Rad 1/5 i arbets- och dokumentationsflikar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Manuell inmatning</t>
        </is>
      </c>
      <c r="B3" s="50" t="inlineStr">
        <is>
          <t>#FFF2CC</t>
        </is>
      </c>
      <c r="C3" s="50" t="inlineStr">
        <is>
          <t>Fält som får fyllas manuellt</t>
        </is>
      </c>
      <c r="D3" s="52" t="inlineStr">
        <is>
          <t>Taxepunkter A–F, L samt Taxa_Saknas arbetskolumner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Automatisk uppslagning</t>
        </is>
      </c>
      <c r="B4" s="50" t="inlineStr">
        <is>
          <t>#DDEBF7</t>
        </is>
      </c>
      <c r="C4" s="50" t="inlineStr">
        <is>
          <t>Formler och uppslag mot Taxa_från_edp</t>
        </is>
      </c>
      <c r="D4" s="52" t="inlineStr">
        <is>
          <t>Taxepunkter H–J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Förslag</t>
        </is>
      </c>
      <c r="B5" s="50" t="inlineStr">
        <is>
          <t>#FCE4D6</t>
        </is>
      </c>
      <c r="C5" s="50" t="inlineStr">
        <is>
          <t>Föreslagna taxekoder och arbetspris</t>
        </is>
      </c>
      <c r="D5" s="52" t="inlineStr">
        <is>
          <t>Taxepunkter G och K, Taxa_Saknas FöreslagenTaxekod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Beräkning</t>
        </is>
      </c>
      <c r="B6" s="50" t="inlineStr">
        <is>
          <t>#E2F0D9</t>
        </is>
      </c>
      <c r="C6" s="50" t="inlineStr">
        <is>
          <t>Beräknade värden</t>
        </is>
      </c>
      <c r="D6" s="52" t="inlineStr">
        <is>
          <t>Taxepunkter M–N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Kontroll krävs</t>
        </is>
      </c>
      <c r="B7" s="50" t="inlineStr">
        <is>
          <t>#F4CCCC</t>
        </is>
      </c>
      <c r="C7" s="50" t="inlineStr">
        <is>
          <t>Fel, saknad match eller manuellt beslut</t>
        </is>
      </c>
      <c r="D7" s="52" t="inlineStr">
        <is>
          <t>Kontrollrapport och statusrader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Dokumentation</t>
        </is>
      </c>
      <c r="B8" s="50" t="inlineStr">
        <is>
          <t>#E7E6E6</t>
        </is>
      </c>
      <c r="C8" s="50" t="inlineStr">
        <is>
          <t>Regel- och dokumentationsflikar</t>
        </is>
      </c>
      <c r="D8" s="52" t="inlineStr">
        <is>
          <t>Projektregler, Arbetsflöde, Dokumentation_*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Import/referens</t>
        </is>
      </c>
      <c r="B9" s="50" t="inlineStr">
        <is>
          <t>#D9EAD3</t>
        </is>
      </c>
      <c r="C9" s="50" t="inlineStr">
        <is>
          <t>Importerade eller externa källflikar</t>
        </is>
      </c>
      <c r="D9" s="52" t="inlineStr">
        <is>
          <t>Taxa_från_edp, Källa_Prislista_DH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1" t="inlineStr">
        <is>
          <t>Border-standard</t>
        </is>
      </c>
      <c r="B11" s="72" t="inlineStr">
        <is>
          <t>Värde</t>
        </is>
      </c>
      <c r="C11" s="72" t="inlineStr">
        <is>
          <t>Användning</t>
        </is>
      </c>
      <c r="D11" s="73" t="inlineStr">
        <is>
          <t>Kommentar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Rutnätslinjer</t>
        </is>
      </c>
      <c r="B12" s="50" t="inlineStr">
        <is>
          <t>#D9D9D9</t>
        </is>
      </c>
      <c r="C12" s="50" t="inlineStr">
        <is>
          <t>Alla celler i använda tabellområden</t>
        </is>
      </c>
      <c r="D12" s="52" t="inlineStr">
        <is>
          <t>Tunn ljusgrå kant runt varje cell, både inne i och runt tabellen.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Ytterkant</t>
        </is>
      </c>
      <c r="B13" s="50" t="inlineStr">
        <is>
          <t>#7F7F7F</t>
        </is>
      </c>
      <c r="C13" s="50" t="inlineStr">
        <is>
          <t>Runt hela tabellområden</t>
        </is>
      </c>
      <c r="D13" s="52" t="inlineStr">
        <is>
          <t>Tunn mörkare grå kant runt tabellens ytterkant.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Rubrikrad</t>
        </is>
      </c>
      <c r="B14" s="50" t="inlineStr">
        <is>
          <t>#7F7F7F</t>
        </is>
      </c>
      <c r="C14" s="50" t="inlineStr">
        <is>
          <t>Rubrikrader</t>
        </is>
      </c>
      <c r="D14" s="52" t="inlineStr">
        <is>
          <t>Rubrikrad får mörkblå fyllning och konsekvent rutnät.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inlineStr">
        <is>
          <t>Underrubrik i Taxepunkter</t>
        </is>
      </c>
      <c r="B15" s="55" t="inlineStr">
        <is>
          <t>#BDD7EE</t>
        </is>
      </c>
      <c r="C15" s="55" t="inlineStr">
        <is>
          <t>Rader där A har paragraf+text och B:E är tomma</t>
        </is>
      </c>
      <c r="D15" s="54" t="inlineStr">
        <is>
          <t>A:E sammanslaget, hela raden färgad och samma rutnät.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38" customWidth="1" min="4" max="4"/>
    <col width="80" customWidth="1" min="5" max="5"/>
    <col width="20" customWidth="1" min="6" max="6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Regel/användning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Källparagraf</t>
        </is>
      </c>
      <c r="C2" s="50" t="inlineStr">
        <is>
          <t>Arbetskolumn</t>
        </is>
      </c>
      <c r="D2" s="50" t="inlineStr">
        <is>
          <t>Word/Taxepunkter</t>
        </is>
      </c>
      <c r="E2" s="50" t="inlineStr">
        <is>
          <t>Paragraf där raden hör hemma.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Källpunkt</t>
        </is>
      </c>
      <c r="C3" s="50" t="inlineStr">
        <is>
          <t>Arbetskolumn</t>
        </is>
      </c>
      <c r="D3" s="50" t="inlineStr">
        <is>
          <t>Granskningslista</t>
        </is>
      </c>
      <c r="E3" s="50" t="inlineStr">
        <is>
          <t>Punktnummer i löpande Word-Excel-kontroll om tillgängligt.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Rad i Taxepunkter</t>
        </is>
      </c>
      <c r="C4" s="50" t="inlineStr">
        <is>
          <t>Arbetskolumn</t>
        </is>
      </c>
      <c r="D4" s="50" t="inlineStr">
        <is>
          <t>Taxepunkter</t>
        </is>
      </c>
      <c r="E4" s="50" t="inlineStr">
        <is>
          <t>Radnummer i Taxepunkter för felsökning.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Wordtext</t>
        </is>
      </c>
      <c r="C5" s="50" t="inlineStr">
        <is>
          <t>Arbetskolumn</t>
        </is>
      </c>
      <c r="D5" s="50" t="inlineStr">
        <is>
          <t>Word</t>
        </is>
      </c>
      <c r="E5" s="50" t="inlineStr">
        <is>
          <t>Kort beskrivning av texten/raden i Word.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Status</t>
        </is>
      </c>
      <c r="C6" s="50" t="inlineStr">
        <is>
          <t>Arbetskolumn</t>
        </is>
      </c>
      <c r="D6" s="50" t="inlineStr">
        <is>
          <t>Projektet</t>
        </is>
      </c>
      <c r="E6" s="50" t="inlineStr">
        <is>
          <t>Saknas i EDP, osäker, åtgärdad, etc.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Matchmetod</t>
        </is>
      </c>
      <c r="C7" s="50" t="inlineStr">
        <is>
          <t>Arbetskolumn</t>
        </is>
      </c>
      <c r="D7" s="50" t="inlineStr">
        <is>
          <t>Projektet</t>
        </is>
      </c>
      <c r="E7" s="50" t="inlineStr">
        <is>
          <t>Hur förslaget togs fram: strTaxebenamning, strTaxedelAvser, kodregel, etc.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FöreslagenTaxekod</t>
        </is>
      </c>
      <c r="C8" s="50" t="inlineStr">
        <is>
          <t>Förslag</t>
        </is>
      </c>
      <c r="D8" s="50" t="inlineStr">
        <is>
          <t>Taxekod_Tolkning/projektregler</t>
        </is>
      </c>
      <c r="E8" s="50" t="inlineStr">
        <is>
          <t>Taxekod som föreslås om ingen bekräftad EDP-kod finns.</t>
        </is>
      </c>
      <c r="F8" s="52" t="inlineStr">
        <is>
          <t>Ja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intRecnum</t>
        </is>
      </c>
      <c r="C9" s="50" t="inlineStr">
        <is>
          <t>Arbetsnyckel</t>
        </is>
      </c>
      <c r="D9" s="50" t="inlineStr">
        <is>
          <t>Taxepunkter</t>
        </is>
      </c>
      <c r="E9" s="50" t="inlineStr">
        <is>
          <t>Ska vara radnumret i Taxepunkter, inte EDP:s intRecnum.</t>
        </is>
      </c>
      <c r="F9" s="52" t="inlineStr">
        <is>
          <t>Ja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Taxepunkt</t>
        </is>
      </c>
      <c r="C10" s="50" t="inlineStr">
        <is>
          <t>Arbetskolumn</t>
        </is>
      </c>
      <c r="D10" s="50" t="inlineStr">
        <is>
          <t>Taxepunkter</t>
        </is>
      </c>
      <c r="E10" s="50" t="inlineStr">
        <is>
          <t>Paragrafnamn / Taxapunkt.</t>
        </is>
      </c>
      <c r="F10" s="52" t="inlineStr">
        <is>
          <t>Ja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J:Y</t>
        </is>
      </c>
      <c r="B11" s="50" t="inlineStr">
        <is>
          <t>EDP-kolumner</t>
        </is>
      </c>
      <c r="C11" s="50" t="inlineStr">
        <is>
          <t>Importstruktur</t>
        </is>
      </c>
      <c r="D11" s="50" t="inlineStr">
        <is>
          <t>Taxa_från_edp</t>
        </is>
      </c>
      <c r="E11" s="50" t="inlineStr">
        <is>
          <t>Samma struktur som Taxa_från_edp för att kunna skapa/importera nya taxor.</t>
        </is>
      </c>
      <c r="F11" s="52" t="inlineStr">
        <is>
          <t>Ja, men följ EDP-format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0" t="n"/>
      <c r="F12" s="5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9" t="inlineStr">
        <is>
          <t>Automationsmall</t>
        </is>
      </c>
      <c r="B13" s="38" t="inlineStr">
        <is>
          <t>Rad 72:200</t>
        </is>
      </c>
      <c r="C13" s="38" t="inlineStr">
        <is>
          <t>Typ</t>
        </is>
      </c>
      <c r="D13" s="38" t="inlineStr">
        <is>
          <t>Källa/beroende</t>
        </is>
      </c>
      <c r="E13" s="38" t="inlineStr">
        <is>
          <t>Regel/användning</t>
        </is>
      </c>
      <c r="F13" s="40" t="inlineStr">
        <is>
          <t>Får ändras manuellt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Input 1</t>
        </is>
      </c>
      <c r="B14" s="50" t="inlineStr">
        <is>
          <t>Rad i Taxepunkter</t>
        </is>
      </c>
      <c r="C14" s="50" t="inlineStr">
        <is>
          <t>Manuell</t>
        </is>
      </c>
      <c r="D14" s="50" t="inlineStr">
        <is>
          <t>Taxepunkter</t>
        </is>
      </c>
      <c r="E14" s="50" t="inlineStr">
        <is>
          <t>Fyll kolumn C med radnummer från Taxepunkter.</t>
        </is>
      </c>
      <c r="F14" s="52" t="inlineStr">
        <is>
          <t>Ja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Input 2</t>
        </is>
      </c>
      <c r="B15" s="50" t="inlineStr">
        <is>
          <t>FöreslagenTaxekod</t>
        </is>
      </c>
      <c r="C15" s="50" t="inlineStr">
        <is>
          <t>Manuell</t>
        </is>
      </c>
      <c r="D15" s="50" t="inlineStr">
        <is>
          <t>Kodregler</t>
        </is>
      </c>
      <c r="E15" s="50" t="inlineStr">
        <is>
          <t>Fyll kolumn G med föreslagen taxekod.</t>
        </is>
      </c>
      <c r="F15" s="52" t="inlineStr">
        <is>
          <t>Ja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Automatiskt</t>
        </is>
      </c>
      <c r="B16" s="50" t="inlineStr">
        <is>
          <t>Övriga fält</t>
        </is>
      </c>
      <c r="C16" s="50" t="inlineStr">
        <is>
          <t>Formler</t>
        </is>
      </c>
      <c r="D16" s="50" t="inlineStr">
        <is>
          <t>Taxepunkter + standardvärden</t>
        </is>
      </c>
      <c r="E16" s="50" t="inlineStr">
        <is>
          <t>Kolumner A, D:F, H:Y fylls automatiskt utifrån C och G.</t>
        </is>
      </c>
      <c r="F16" s="52" t="inlineStr">
        <is>
          <t>Nej/vid behov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n"/>
      <c r="B20" s="50" t="n"/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n"/>
      <c r="B21" s="50" t="n"/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n"/>
      <c r="B22" s="50" t="n"/>
      <c r="C22" s="50" t="n"/>
      <c r="D22" s="50" t="n"/>
      <c r="E22" s="50" t="n"/>
      <c r="F22" s="5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n"/>
      <c r="B23" s="50" t="n"/>
      <c r="C23" s="50" t="n"/>
      <c r="D23" s="50" t="n"/>
      <c r="E23" s="50" t="n"/>
      <c r="F23" s="5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n"/>
      <c r="B24" s="50" t="n"/>
      <c r="C24" s="50" t="n"/>
      <c r="D24" s="50" t="n"/>
      <c r="E24" s="50" t="n"/>
      <c r="F24" s="5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90" customWidth="1" min="4" max="4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Användning i projektet</t>
        </is>
      </c>
      <c r="D1" s="67" t="inlineStr">
        <is>
          <t>Regel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intRecnum</t>
        </is>
      </c>
      <c r="C2" s="50" t="inlineStr">
        <is>
          <t>EDP:s interna rad-ID</t>
        </is>
      </c>
      <c r="D2" s="52" t="inlineStr">
        <is>
          <t>Läses som källdata men används inte som nyckel i Taxa_Saknas.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strTaxekod</t>
        </is>
      </c>
      <c r="C3" s="50" t="inlineStr">
        <is>
          <t>Primär nyckel för bekräftade taxor</t>
        </is>
      </c>
      <c r="D3" s="52" t="inlineStr">
        <is>
          <t>Taxakod i Taxepunkter måste vara exakt värdet härifrån.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strTaxebenamning</t>
        </is>
      </c>
      <c r="C4" s="50" t="inlineStr">
        <is>
          <t>Matchning och dokumentation</t>
        </is>
      </c>
      <c r="D4" s="52" t="inlineStr">
        <is>
          <t>Kontrolleras alltid innan nya taxor föreslås.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strProdukt</t>
        </is>
      </c>
      <c r="C5" s="50" t="inlineStr">
        <is>
          <t>EDP-produkt</t>
        </is>
      </c>
      <c r="D5" s="52" t="inlineStr">
        <is>
          <t>Behålls vid förslag i Taxa_Saknas där möjligt.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strDelProdukt</t>
        </is>
      </c>
      <c r="C6" s="50" t="inlineStr">
        <is>
          <t>EDP-delprodukt</t>
        </is>
      </c>
      <c r="D6" s="52" t="inlineStr">
        <is>
          <t>Används för kategori, t.ex. HUSH, ÅVC, SLAM.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bytDelradnr</t>
        </is>
      </c>
      <c r="C7" s="50" t="inlineStr">
        <is>
          <t>Delrad i EDP-taxa</t>
        </is>
      </c>
      <c r="D7" s="52" t="inlineStr">
        <is>
          <t>Nya föreslagna taxor får ofta 1 om endast en grundrad skapas.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strFaktor</t>
        </is>
      </c>
      <c r="C8" s="50" t="inlineStr">
        <is>
          <t>Faktor/beräkningsgrund</t>
        </is>
      </c>
      <c r="D8" s="52" t="inlineStr">
        <is>
          <t>Tolkning hämtas från Källa_Kvantitetskoder och Taxekod_Tolkning.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strTaxedelAvser</t>
        </is>
      </c>
      <c r="C9" s="50" t="inlineStr">
        <is>
          <t>Viktig matchningskolumn</t>
        </is>
      </c>
      <c r="D9" s="52" t="inlineStr">
        <is>
          <t>Används före frågor ställs. Ofta tydligast för vad delraden avser.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K</t>
        </is>
      </c>
      <c r="B10" s="50" t="inlineStr">
        <is>
          <t>curNuvarandePris</t>
        </is>
      </c>
      <c r="C10" s="50" t="inlineStr">
        <is>
          <t>Aktuellt pris exkl. moms</t>
        </is>
      </c>
      <c r="D10" s="52" t="inlineStr">
        <is>
          <t>Enda källa till Aktuellt pris i Taxepunkter. Får inte ändras manuellt.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Q</t>
        </is>
      </c>
      <c r="B11" s="50" t="inlineStr">
        <is>
          <t>strFormel</t>
        </is>
      </c>
      <c r="C11" s="50" t="inlineStr">
        <is>
          <t>Beräkningsformel/faktor</t>
        </is>
      </c>
      <c r="D11" s="52" t="inlineStr">
        <is>
          <t>Används för att förstå enhet och beräkning, t.ex. ANTB, VIKG, DR10.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30" customWidth="1" min="1" max="2"/>
    <col width="90" customWidth="1" min="3" max="3"/>
    <col width="20" customWidth="1" min="4" max="4"/>
  </cols>
  <sheetData>
    <row r="1">
      <c r="A1" s="62" t="inlineStr">
        <is>
          <t>Kontrollpunkt</t>
        </is>
      </c>
      <c r="B1" s="63" t="inlineStr">
        <is>
          <t>Resultat</t>
        </is>
      </c>
      <c r="C1" s="63" t="inlineStr">
        <is>
          <t>Åtgärd/kommentar</t>
        </is>
      </c>
      <c r="D1" s="67" t="inlineStr">
        <is>
          <t>Status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Flikstruktur</t>
        </is>
      </c>
      <c r="B2" s="50" t="inlineStr">
        <is>
          <t>Inventerad</t>
        </is>
      </c>
      <c r="C2" s="50" t="inlineStr">
        <is>
          <t>Flikarna är klassade i dokumentationsflikar, importflikar, arbetsflikar och rapportflikar.</t>
        </is>
      </c>
      <c r="D2" s="52" t="inlineStr">
        <is>
          <t>OK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Formler</t>
        </is>
      </c>
      <c r="B3" s="50" t="inlineStr">
        <is>
          <t>Översiktligt kontrollerad</t>
        </is>
      </c>
      <c r="C3" s="50" t="inlineStr">
        <is>
          <t>Ingen #REF! hittad. #NAME? kan visas i artifact_tool pga XLOOKUP/evalueringsstöd men formler finns kvar.</t>
        </is>
      </c>
      <c r="D3" s="52" t="inlineStr">
        <is>
          <t>OK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Taxepunkter kolumnstruktur</t>
        </is>
      </c>
      <c r="B4" s="50" t="inlineStr">
        <is>
          <t>Kontrollerad</t>
        </is>
      </c>
      <c r="C4" s="50" t="inlineStr">
        <is>
          <t>A:N används med Taxakod, Föreslagen Taxa, Aktuellt pris och Föreslaget pris.</t>
        </is>
      </c>
      <c r="D4" s="52" t="inlineStr">
        <is>
          <t>OK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Taxa_Saknas struktur</t>
        </is>
      </c>
      <c r="B5" s="50" t="inlineStr">
        <is>
          <t>Kontrollerad</t>
        </is>
      </c>
      <c r="C5" s="50" t="inlineStr">
        <is>
          <t>Arbetskolumner + EDP-kolumner är dokumenterade.</t>
        </is>
      </c>
      <c r="D5" s="52" t="inlineStr">
        <is>
          <t>OK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Kostnadsfria rader</t>
        </is>
      </c>
      <c r="B6" s="50" t="inlineStr">
        <is>
          <t>Åtgärdad</t>
        </is>
      </c>
      <c r="C6" s="50" t="inlineStr">
        <is>
          <t>Tre saknade kostnadsfria rader är tillagda i Taxepunkter och Taxa_Saknas.</t>
        </is>
      </c>
      <c r="D6" s="52" t="inlineStr">
        <is>
          <t>OK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Aktuellt pris</t>
        </is>
      </c>
      <c r="B7" s="50" t="inlineStr">
        <is>
          <t>Regel dokumenterad</t>
        </is>
      </c>
      <c r="C7" s="50" t="inlineStr">
        <is>
          <t>Aktuellt pris hämtas endast från Taxa_från_edp.</t>
        </is>
      </c>
      <c r="D7" s="52" t="inlineStr">
        <is>
          <t>OK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DH-priser</t>
        </is>
      </c>
      <c r="B8" s="50" t="inlineStr">
        <is>
          <t>Regel dokumenterad</t>
        </is>
      </c>
      <c r="C8" s="50" t="inlineStr">
        <is>
          <t>Källa_Prislista_DH får bara användas för detaljhandel.</t>
        </is>
      </c>
      <c r="D8" s="52" t="inlineStr">
        <is>
          <t>OK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Färgstandard</t>
        </is>
      </c>
      <c r="B9" s="50" t="inlineStr">
        <is>
          <t>Skapad</t>
        </is>
      </c>
      <c r="C9" s="50" t="inlineStr">
        <is>
          <t>Färgstandard-flik finns och färger är tillämpade på centrala flikar.</t>
        </is>
      </c>
      <c r="D9" s="52" t="inlineStr">
        <is>
          <t>OK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Datavalidering</t>
        </is>
      </c>
      <c r="B10" s="50" t="inlineStr">
        <is>
          <t>Ej fullrevision</t>
        </is>
      </c>
      <c r="C10" s="50" t="inlineStr">
        <is>
          <t>Dropdown i Taxakod bör kontrolleras mer detaljerat i nästa revision.</t>
        </is>
      </c>
      <c r="D10" s="52" t="inlineStr">
        <is>
          <t>Nästa revision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Villkorsstyrd formatering</t>
        </is>
      </c>
      <c r="B11" s="50" t="inlineStr">
        <is>
          <t>Ej fullrevision</t>
        </is>
      </c>
      <c r="C11" s="50" t="inlineStr">
        <is>
          <t>Inventeras i nästa tekniska revision vid behov.</t>
        </is>
      </c>
      <c r="D11" s="52" t="inlineStr">
        <is>
          <t>Nästa revision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Underrubriker i Taxepunkter</t>
        </is>
      </c>
      <c r="B13" s="50" t="inlineStr">
        <is>
          <t>Åtgärdad</t>
        </is>
      </c>
      <c r="C13" s="50" t="inlineStr">
        <is>
          <t>Rader med endast text i kolumn A har formaterats som sammanslagna underrubriker A:E.</t>
        </is>
      </c>
      <c r="D13" s="52" t="inlineStr">
        <is>
          <t>OK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Taxerader A:E</t>
        </is>
      </c>
      <c r="B14" s="50" t="inlineStr">
        <is>
          <t>Åtgärdad</t>
        </is>
      </c>
      <c r="C14" s="50" t="inlineStr">
        <is>
          <t>Vanliga taxerader har vit bakgrund i A:E.</t>
        </is>
      </c>
      <c r="D14" s="52" t="inlineStr">
        <is>
          <t>OK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90" customWidth="1" min="4" max="4"/>
  </cols>
  <sheetData>
    <row r="1">
      <c r="A1" s="62" t="inlineStr">
        <is>
          <t>Område</t>
        </is>
      </c>
      <c r="B1" s="63" t="inlineStr">
        <is>
          <t>Kontroll</t>
        </is>
      </c>
      <c r="C1" s="63" t="inlineStr">
        <is>
          <t>Resultat</t>
        </is>
      </c>
      <c r="D1" s="67" t="inlineStr">
        <is>
          <t>Kommentar</t>
        </is>
      </c>
    </row>
    <row r="2">
      <c r="A2" s="5" t="inlineStr">
        <is>
          <t>Taxepunkter G</t>
        </is>
      </c>
      <c r="B2" s="4" t="inlineStr">
        <is>
          <t>Föreslagen Taxa</t>
        </is>
      </c>
      <c r="C2" s="4" t="inlineStr">
        <is>
          <t>OK</t>
        </is>
      </c>
      <c r="D2" s="6" t="inlineStr">
        <is>
          <t>Visar Taxakod om F finns, annars XLOOKUP mot Taxa_Saknas intRecnum/H och FöreslagenTaxekod/G.</t>
        </is>
      </c>
    </row>
    <row r="3">
      <c r="A3" s="5" t="inlineStr">
        <is>
          <t>Taxepunkter H</t>
        </is>
      </c>
      <c r="B3" s="4" t="inlineStr">
        <is>
          <t>Taxabeskrivning</t>
        </is>
      </c>
      <c r="C3" s="4" t="inlineStr">
        <is>
          <t>OK</t>
        </is>
      </c>
      <c r="D3" s="6" t="inlineStr">
        <is>
          <t>Hämtas från Taxa_från_edp strTaxebenamning via Taxakod.</t>
        </is>
      </c>
    </row>
    <row r="4">
      <c r="A4" s="5" t="inlineStr">
        <is>
          <t>Taxepunkter I</t>
        </is>
      </c>
      <c r="B4" s="4" t="inlineStr">
        <is>
          <t>Faktor</t>
        </is>
      </c>
      <c r="C4" s="4" t="inlineStr">
        <is>
          <t>OK</t>
        </is>
      </c>
      <c r="D4" s="6" t="inlineStr">
        <is>
          <t>Hämtas från Taxa_från_edp strFaktor via Taxakod.</t>
        </is>
      </c>
    </row>
    <row r="5">
      <c r="A5" s="5" t="inlineStr">
        <is>
          <t>Taxepunkter J</t>
        </is>
      </c>
      <c r="B5" s="4" t="inlineStr">
        <is>
          <t>Aktuellt pris</t>
        </is>
      </c>
      <c r="C5" s="4" t="inlineStr">
        <is>
          <t>OK</t>
        </is>
      </c>
      <c r="D5" s="6" t="inlineStr">
        <is>
          <t>Hämtas från Taxa_från_edp curNuvarandePris via Taxakod. Ska inte redigeras manuellt.</t>
        </is>
      </c>
    </row>
    <row r="6">
      <c r="A6" s="5" t="inlineStr">
        <is>
          <t>Taxepunkter M</t>
        </is>
      </c>
      <c r="B6" s="4" t="inlineStr">
        <is>
          <t>Pris inkl. moms</t>
        </is>
      </c>
      <c r="C6" s="4" t="inlineStr">
        <is>
          <t>OK</t>
        </is>
      </c>
      <c r="D6" s="6" t="inlineStr">
        <is>
          <t>Beräknar J*1,25 eller K*1,25 om J saknas.</t>
        </is>
      </c>
    </row>
    <row r="7">
      <c r="A7" s="5" t="inlineStr">
        <is>
          <t>Taxepunkter N</t>
        </is>
      </c>
      <c r="B7" s="4" t="inlineStr">
        <is>
          <t>Intäkt exkl. moms</t>
        </is>
      </c>
      <c r="C7" s="4" t="inlineStr">
        <is>
          <t>OK</t>
        </is>
      </c>
      <c r="D7" s="6" t="inlineStr">
        <is>
          <t>Beräknar L*J eller L*K om J saknas.</t>
        </is>
      </c>
    </row>
    <row r="8">
      <c r="A8" s="5" t="inlineStr">
        <is>
          <t>Taxepunkter F</t>
        </is>
      </c>
      <c r="B8" s="4" t="inlineStr">
        <is>
          <t>Datavalidering</t>
        </is>
      </c>
      <c r="C8" s="4" t="inlineStr">
        <is>
          <t>OK</t>
        </is>
      </c>
      <c r="D8" s="6" t="inlineStr">
        <is>
          <t>Dropdown mot Taxa_från_edp!$B$2:$B$371 tillagd på F7:F370.</t>
        </is>
      </c>
    </row>
    <row r="9">
      <c r="A9" s="5" t="inlineStr">
        <is>
          <t>Taxa_Saknas 72:200</t>
        </is>
      </c>
      <c r="B9" s="4" t="inlineStr">
        <is>
          <t>Automationsmall</t>
        </is>
      </c>
      <c r="C9" s="4" t="inlineStr">
        <is>
          <t>OK</t>
        </is>
      </c>
      <c r="D9" s="6" t="inlineStr">
        <is>
          <t>Fyll Rad i Taxepunkter i C och FöreslagenTaxekod i G. Övriga fält fylls med formler.</t>
        </is>
      </c>
    </row>
    <row r="10">
      <c r="A10" s="5" t="n"/>
      <c r="B10" s="4" t="n"/>
      <c r="C10" s="4" t="n"/>
      <c r="D10" s="6" t="n"/>
    </row>
    <row r="11">
      <c r="A11" s="5" t="n"/>
      <c r="B11" s="4" t="n"/>
      <c r="C11" s="4" t="n"/>
      <c r="D11" s="6" t="n"/>
    </row>
    <row r="12">
      <c r="A12" s="5" t="n"/>
      <c r="B12" s="4" t="n"/>
      <c r="C12" s="4" t="n"/>
      <c r="D12" s="6" t="n"/>
    </row>
    <row r="13">
      <c r="A13" s="5" t="n"/>
      <c r="B13" s="4" t="n"/>
      <c r="C13" s="4" t="n"/>
      <c r="D13" s="6" t="n"/>
    </row>
    <row r="14">
      <c r="A14" s="5" t="n"/>
      <c r="B14" s="4" t="n"/>
      <c r="C14" s="4" t="n"/>
      <c r="D14" s="6" t="n"/>
    </row>
    <row r="15">
      <c r="A15" s="5" t="n"/>
      <c r="B15" s="4" t="n"/>
      <c r="C15" s="4" t="n"/>
      <c r="D15" s="6" t="n"/>
    </row>
    <row r="16">
      <c r="A16" s="5" t="n"/>
      <c r="B16" s="4" t="n"/>
      <c r="C16" s="4" t="n"/>
      <c r="D16" s="6" t="n"/>
    </row>
    <row r="17">
      <c r="A17" s="5" t="n"/>
      <c r="B17" s="4" t="n"/>
      <c r="C17" s="4" t="n"/>
      <c r="D17" s="6" t="n"/>
    </row>
    <row r="18">
      <c r="A18" s="5" t="n"/>
      <c r="B18" s="4" t="n"/>
      <c r="C18" s="4" t="n"/>
      <c r="D18" s="6" t="n"/>
    </row>
    <row r="19">
      <c r="A19" s="5" t="n"/>
      <c r="B19" s="4" t="n"/>
      <c r="C19" s="4" t="n"/>
      <c r="D19" s="6" t="n"/>
    </row>
    <row r="20">
      <c r="A20" s="16" t="n"/>
      <c r="B20" s="17" t="n"/>
      <c r="C20" s="17" t="n"/>
      <c r="D20" s="18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81" t="inlineStr">
        <is>
          <t>Fält</t>
        </is>
      </c>
      <c r="B1" s="81" t="inlineStr">
        <is>
          <t>Värde</t>
        </is>
      </c>
    </row>
    <row r="2">
      <c r="A2" s="82" t="inlineStr">
        <is>
          <t>Masterversion</t>
        </is>
      </c>
      <c r="B2" s="1" t="inlineStr">
        <is>
          <t>v0.9.4_draft_sorsele_edp</t>
        </is>
      </c>
    </row>
    <row r="3">
      <c r="A3" s="82" t="inlineStr">
        <is>
          <t>Status</t>
        </is>
      </c>
      <c r="B3" s="1" t="inlineStr">
        <is>
          <t>Draft</t>
        </is>
      </c>
    </row>
    <row r="4">
      <c r="A4" s="82" t="inlineStr">
        <is>
          <t>Skapad</t>
        </is>
      </c>
      <c r="B4" s="1" t="inlineStr">
        <is>
          <t>2026-07-07</t>
        </is>
      </c>
    </row>
    <row r="5">
      <c r="A5" s="82" t="inlineStr">
        <is>
          <t>Baserad på</t>
        </is>
      </c>
      <c r="B5" s="1" t="inlineStr">
        <is>
          <t>ArbetsExcel_Reference_v0.9.4_taxepunkter_facit.xlsx</t>
        </is>
      </c>
    </row>
    <row r="6">
      <c r="A6" s="82" t="inlineStr">
        <is>
          <t>EDP-export inläst</t>
        </is>
      </c>
      <c r="B6" s="1" t="inlineStr">
        <is>
          <t>Sorsele taxor.xlsx</t>
        </is>
      </c>
    </row>
    <row r="7">
      <c r="A7" s="82" t="inlineStr">
        <is>
          <t>EDP-flik</t>
        </is>
      </c>
      <c r="B7" s="1" t="inlineStr">
        <is>
          <t>Taxa_från_edp</t>
        </is>
      </c>
    </row>
    <row r="8">
      <c r="A8" s="82" t="inlineStr">
        <is>
          <t>EDP-rader inklusive header</t>
        </is>
      </c>
      <c r="B8" s="1" t="n">
        <v>277</v>
      </c>
    </row>
    <row r="9">
      <c r="A9" s="82" t="inlineStr">
        <is>
          <t>EDP-datarader</t>
        </is>
      </c>
      <c r="B9" s="1" t="n">
        <v>276</v>
      </c>
    </row>
    <row r="10">
      <c r="A10" s="82" t="inlineStr">
        <is>
          <t>Ändring</t>
        </is>
      </c>
      <c r="B10" s="1" t="inlineStr">
        <is>
          <t>Taxa_från_edp har ersatts med Sorseles EDP-export. Taxepunkter behålls från facitversionen.</t>
        </is>
      </c>
    </row>
    <row r="11">
      <c r="A11" s="82" t="inlineStr">
        <is>
          <t>Viktig regel</t>
        </is>
      </c>
      <c r="B11" s="1" t="inlineStr">
        <is>
          <t>Taxa_från_edp är facit och får aldrig ändras automatiskt.</t>
        </is>
      </c>
    </row>
    <row r="12">
      <c r="A12" s="82" t="inlineStr">
        <is>
          <t>Viktig regel</t>
        </is>
      </c>
      <c r="B12" s="1" t="inlineStr">
        <is>
          <t>Standardtaxor används endast som beslutsstöd.</t>
        </is>
      </c>
    </row>
    <row r="13">
      <c r="A13" s="82" t="inlineStr">
        <is>
          <t>Viktig regel</t>
        </is>
      </c>
      <c r="B13" s="1" t="inlineStr">
        <is>
          <t>Denna fil är draft och inte låst v1.0.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L29" sqref="L29"/>
    </sheetView>
  </sheetViews>
  <sheetFormatPr baseColWidth="8" defaultRowHeight="15"/>
  <cols>
    <col width="28" customWidth="1" min="1" max="1"/>
    <col width="70" customWidth="1" min="2" max="2"/>
  </cols>
  <sheetData>
    <row r="1">
      <c r="A1" s="81" t="inlineStr">
        <is>
          <t>Kontroll</t>
        </is>
      </c>
      <c r="B1" s="81" t="inlineStr">
        <is>
          <t>Värde</t>
        </is>
      </c>
    </row>
    <row r="2">
      <c r="A2" s="1" t="inlineStr">
        <is>
          <t>Importerad fil</t>
        </is>
      </c>
      <c r="B2" s="1" t="inlineStr">
        <is>
          <t>Sorsele taxor.xlsx</t>
        </is>
      </c>
    </row>
    <row r="3">
      <c r="A3" s="1" t="inlineStr">
        <is>
          <t>Källa</t>
        </is>
      </c>
      <c r="B3" s="1" t="inlineStr">
        <is>
          <t>Blad1!A2:Q278</t>
        </is>
      </c>
    </row>
    <row r="4">
      <c r="A4" s="1" t="inlineStr">
        <is>
          <t>Målflik</t>
        </is>
      </c>
      <c r="B4" s="1" t="inlineStr">
        <is>
          <t>Taxa_från_edp</t>
        </is>
      </c>
    </row>
    <row r="5">
      <c r="A5" s="1" t="inlineStr">
        <is>
          <t>Header</t>
        </is>
      </c>
      <c r="B5" s="1" t="inlineStr">
        <is>
          <t>Rad 2 i Sorsele-exporten har lagts på rad 1 i Taxa_från_edp</t>
        </is>
      </c>
    </row>
    <row r="6">
      <c r="A6" s="1" t="inlineStr">
        <is>
          <t>Datarader</t>
        </is>
      </c>
      <c r="B6" s="1" t="n">
        <v>276</v>
      </c>
    </row>
    <row r="7">
      <c r="A7" s="1" t="inlineStr">
        <is>
          <t>Första taxekod</t>
        </is>
      </c>
      <c r="B7" s="1" t="inlineStr">
        <is>
          <t>A</t>
        </is>
      </c>
    </row>
    <row r="8">
      <c r="A8" s="1" t="inlineStr">
        <is>
          <t>Sista taxekod</t>
        </is>
      </c>
      <c r="B8" s="1" t="inlineStr">
        <is>
          <t>ÄNDRING</t>
        </is>
      </c>
    </row>
    <row r="9">
      <c r="A9" s="1" t="inlineStr">
        <is>
          <t>Taxepunkter</t>
        </is>
      </c>
      <c r="B9" s="1" t="inlineStr">
        <is>
          <t>Behållna från facitversionen</t>
        </is>
      </c>
    </row>
    <row r="10">
      <c r="A10" s="1" t="inlineStr">
        <is>
          <t>Taxa_från_edp</t>
        </is>
      </c>
      <c r="B10" s="1" t="inlineStr">
        <is>
          <t>Ersatt med Sorsele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5" customWidth="1" min="3" max="3"/>
    <col width="32" customWidth="1" min="4" max="4"/>
    <col width="16" customWidth="1" min="5" max="5"/>
    <col width="18" customWidth="1" min="6" max="6"/>
    <col width="18" customWidth="1" min="7" max="7"/>
    <col width="22" customWidth="1" min="8" max="8"/>
    <col width="35" customWidth="1" min="9" max="9"/>
    <col width="24" customWidth="1" min="10" max="10"/>
  </cols>
  <sheetData>
    <row r="1">
      <c r="A1" s="158" t="inlineStr">
        <is>
          <t>Paragraf</t>
        </is>
      </c>
      <c r="B1" s="158" t="inlineStr">
        <is>
          <t>Paragrafnamn</t>
        </is>
      </c>
      <c r="C1" s="158" t="inlineStr">
        <is>
          <t>Taxapunkt</t>
        </is>
      </c>
      <c r="D1" s="158" t="inlineStr">
        <is>
          <t>Variant</t>
        </is>
      </c>
      <c r="E1" s="158" t="inlineStr">
        <is>
          <t>Enhet</t>
        </is>
      </c>
      <c r="F1" s="158" t="inlineStr">
        <is>
          <t>Pris från Word</t>
        </is>
      </c>
      <c r="G1" s="158" t="inlineStr">
        <is>
          <t>EDP taxekod</t>
        </is>
      </c>
      <c r="H1" s="158" t="inlineStr">
        <is>
          <t>EDP koppling status</t>
        </is>
      </c>
      <c r="I1" s="158" t="inlineStr">
        <is>
          <t>Kommentar</t>
        </is>
      </c>
      <c r="J1" s="158" t="inlineStr">
        <is>
          <t>Källa</t>
        </is>
      </c>
    </row>
    <row r="2">
      <c r="A2" t="inlineStr">
        <is>
          <t>2.1</t>
        </is>
      </c>
      <c r="C2" t="inlineStr">
        <is>
          <t>En- och tvåbostadshus</t>
        </is>
      </c>
      <c r="F2" t="inlineStr">
        <is>
          <t>1 650,00 kr</t>
        </is>
      </c>
      <c r="H2" t="inlineStr">
        <is>
          <t>Ej kopplad</t>
        </is>
      </c>
      <c r="J2" t="inlineStr">
        <is>
          <t>parser3_result.json</t>
        </is>
      </c>
    </row>
    <row r="3">
      <c r="A3" t="inlineStr">
        <is>
          <t>2.1</t>
        </is>
      </c>
      <c r="C3" t="inlineStr">
        <is>
          <t>Fritidshus</t>
        </is>
      </c>
      <c r="F3" t="inlineStr">
        <is>
          <t>XX kr</t>
        </is>
      </c>
      <c r="H3" t="inlineStr">
        <is>
          <t>Ej kopplad</t>
        </is>
      </c>
      <c r="J3" t="inlineStr">
        <is>
          <t>parser3_result.json</t>
        </is>
      </c>
    </row>
    <row r="4">
      <c r="A4" t="inlineStr">
        <is>
          <t>2.1</t>
        </is>
      </c>
      <c r="C4" t="inlineStr">
        <is>
          <t>Verksamhet</t>
        </is>
      </c>
      <c r="F4" t="inlineStr">
        <is>
          <t>XX kr</t>
        </is>
      </c>
      <c r="H4" t="inlineStr">
        <is>
          <t>Ej kopplad</t>
        </is>
      </c>
      <c r="J4" t="inlineStr">
        <is>
          <t>parser3_result.json</t>
        </is>
      </c>
    </row>
    <row r="5">
      <c r="A5" t="inlineStr">
        <is>
          <t>2.1</t>
        </is>
      </c>
      <c r="C5" t="inlineStr">
        <is>
          <t>Lägenhet i flerbostadshus</t>
        </is>
      </c>
      <c r="E5" t="inlineStr">
        <is>
          <t>lägenhet</t>
        </is>
      </c>
      <c r="F5" t="inlineStr">
        <is>
          <t>XX kr</t>
        </is>
      </c>
      <c r="H5" t="inlineStr">
        <is>
          <t>Ej kopplad</t>
        </is>
      </c>
      <c r="J5" t="inlineStr">
        <is>
          <t>parser3_result.json</t>
        </is>
      </c>
    </row>
    <row r="6">
      <c r="A6" t="inlineStr">
        <is>
          <t>2.1</t>
        </is>
      </c>
      <c r="C6" t="inlineStr">
        <is>
          <t>Lägenhet för specialändamål</t>
        </is>
      </c>
      <c r="E6" t="inlineStr">
        <is>
          <t>lägenhet</t>
        </is>
      </c>
      <c r="F6" t="inlineStr">
        <is>
          <t>XX kr</t>
        </is>
      </c>
      <c r="H6" t="inlineStr">
        <is>
          <t>Ej kopplad</t>
        </is>
      </c>
      <c r="J6" t="inlineStr">
        <is>
          <t>parser3_result.json</t>
        </is>
      </c>
    </row>
    <row r="7">
      <c r="A7" t="inlineStr">
        <is>
          <t>2.1</t>
        </is>
      </c>
      <c r="C7" t="inlineStr">
        <is>
          <t>Anläggning</t>
        </is>
      </c>
      <c r="F7" t="inlineStr">
        <is>
          <t>XX kr</t>
        </is>
      </c>
      <c r="H7" t="inlineStr">
        <is>
          <t>Ej kopplad</t>
        </is>
      </c>
      <c r="J7" t="inlineStr">
        <is>
          <t>parser3_result.json</t>
        </is>
      </c>
    </row>
    <row r="8">
      <c r="A8" t="inlineStr">
        <is>
          <t>2.1</t>
        </is>
      </c>
      <c r="C8" t="inlineStr">
        <is>
          <t>Säsongsbaserad uppställningsplats</t>
        </is>
      </c>
      <c r="F8" t="inlineStr">
        <is>
          <t>XX kr</t>
        </is>
      </c>
      <c r="H8" t="inlineStr">
        <is>
          <t>Ej kopplad</t>
        </is>
      </c>
      <c r="J8" t="inlineStr">
        <is>
          <t>parser3_result.json</t>
        </is>
      </c>
    </row>
    <row r="9">
      <c r="A9" t="inlineStr">
        <is>
          <t>2.1</t>
        </is>
      </c>
      <c r="C9" t="inlineStr">
        <is>
          <t>Campingstuga/-lägenhet</t>
        </is>
      </c>
      <c r="E9" t="inlineStr">
        <is>
          <t>lägenhet</t>
        </is>
      </c>
      <c r="F9" t="inlineStr">
        <is>
          <t>XX kr</t>
        </is>
      </c>
      <c r="H9" t="inlineStr">
        <is>
          <t>Ej kopplad</t>
        </is>
      </c>
      <c r="J9" t="inlineStr">
        <is>
          <t>parser3_result.json</t>
        </is>
      </c>
    </row>
    <row r="10">
      <c r="A10" t="inlineStr">
        <is>
          <t>2.2.1</t>
        </is>
      </c>
      <c r="C10" t="inlineStr">
        <is>
          <t>Kärl 240 l (mat-/restavfall)</t>
        </is>
      </c>
      <c r="E10" t="inlineStr">
        <is>
          <t>kärl</t>
        </is>
      </c>
      <c r="F10" t="inlineStr">
        <is>
          <t>XX kr</t>
        </is>
      </c>
      <c r="H10" t="inlineStr">
        <is>
          <t>Ej kopplad</t>
        </is>
      </c>
      <c r="J10" t="inlineStr">
        <is>
          <t>parser3_result.json</t>
        </is>
      </c>
    </row>
    <row r="11">
      <c r="A11" t="inlineStr">
        <is>
          <t>2.2.1</t>
        </is>
      </c>
      <c r="C11" t="inlineStr">
        <is>
          <t>Extrakärl 190 l (restavfall)</t>
        </is>
      </c>
      <c r="F11" t="inlineStr">
        <is>
          <t>XX kr</t>
        </is>
      </c>
      <c r="H11" t="inlineStr">
        <is>
          <t>Ej kopplad</t>
        </is>
      </c>
      <c r="J11" t="inlineStr">
        <is>
          <t>parser3_result.json</t>
        </is>
      </c>
    </row>
    <row r="12">
      <c r="A12" t="inlineStr">
        <is>
          <t>2.2.2</t>
        </is>
      </c>
      <c r="C12" t="inlineStr">
        <is>
          <t>Kärl 240 l (mat-/restavfall)</t>
        </is>
      </c>
      <c r="E12" t="inlineStr">
        <is>
          <t>kärl</t>
        </is>
      </c>
      <c r="F12" t="inlineStr">
        <is>
          <t>XX kr</t>
        </is>
      </c>
      <c r="H12" t="inlineStr">
        <is>
          <t>Ej kopplad</t>
        </is>
      </c>
      <c r="J12" t="inlineStr">
        <is>
          <t>parser3_result.json</t>
        </is>
      </c>
    </row>
    <row r="13">
      <c r="A13" t="inlineStr">
        <is>
          <t>2.2.2</t>
        </is>
      </c>
      <c r="C13" t="inlineStr">
        <is>
          <t>Extrakärl 190 l (restavfall)</t>
        </is>
      </c>
      <c r="F13" t="inlineStr">
        <is>
          <t>XX kr</t>
        </is>
      </c>
      <c r="H13" t="inlineStr">
        <is>
          <t>Ej kopplad</t>
        </is>
      </c>
      <c r="J13" t="inlineStr">
        <is>
          <t>parser3_result.json</t>
        </is>
      </c>
    </row>
    <row r="14">
      <c r="A14" t="inlineStr">
        <is>
          <t>2.2.3</t>
        </is>
      </c>
      <c r="C14" t="inlineStr">
        <is>
          <t>Gemensam uppsamlingsplats för mat-/restavfall</t>
        </is>
      </c>
      <c r="F14" t="inlineStr">
        <is>
          <t>XX kr</t>
        </is>
      </c>
      <c r="H14" t="inlineStr">
        <is>
          <t>Ej kopplad</t>
        </is>
      </c>
      <c r="J14" t="inlineStr">
        <is>
          <t>parser3_result.json</t>
        </is>
      </c>
    </row>
    <row r="15">
      <c r="A15" t="inlineStr">
        <is>
          <t>2.2.3</t>
        </is>
      </c>
      <c r="C15" t="inlineStr">
        <is>
          <t>Extra digital licens (årskostnad)</t>
        </is>
      </c>
      <c r="F15" t="inlineStr">
        <is>
          <t>XX kr</t>
        </is>
      </c>
      <c r="H15" t="inlineStr">
        <is>
          <t>Ej kopplad</t>
        </is>
      </c>
      <c r="J15" t="inlineStr">
        <is>
          <t>parser3_result.json</t>
        </is>
      </c>
    </row>
    <row r="16">
      <c r="A16" t="inlineStr">
        <is>
          <t>2.2.3</t>
        </is>
      </c>
      <c r="C16" t="inlineStr">
        <is>
          <t>Fysisk nyckel, kallad fob (engångskostnad)</t>
        </is>
      </c>
      <c r="F16" t="inlineStr">
        <is>
          <t>XX kr</t>
        </is>
      </c>
      <c r="H16" t="inlineStr">
        <is>
          <t>Ej kopplad</t>
        </is>
      </c>
      <c r="J16" t="inlineStr">
        <is>
          <t>parser3_result.json</t>
        </is>
      </c>
    </row>
    <row r="17">
      <c r="A17" t="inlineStr">
        <is>
          <t>2.2.3</t>
        </is>
      </c>
      <c r="C17" t="inlineStr">
        <is>
          <t>Byte av telefonnummer kopplat till licens</t>
        </is>
      </c>
      <c r="F17" t="inlineStr">
        <is>
          <t>XX kr</t>
        </is>
      </c>
      <c r="H17" t="inlineStr">
        <is>
          <t>Ej kopplad</t>
        </is>
      </c>
      <c r="J17" t="inlineStr">
        <is>
          <t>parser3_result.json</t>
        </is>
      </c>
    </row>
    <row r="18">
      <c r="A18" t="inlineStr">
        <is>
          <t>2.2.3</t>
        </is>
      </c>
      <c r="C18" t="inlineStr">
        <is>
          <t>Kostnad för öppning av behållare</t>
        </is>
      </c>
      <c r="F18" t="inlineStr">
        <is>
          <t>XX kr</t>
        </is>
      </c>
      <c r="H18" t="inlineStr">
        <is>
          <t>Ej kopplad</t>
        </is>
      </c>
      <c r="J18" t="inlineStr">
        <is>
          <t>parser3_result.json</t>
        </is>
      </c>
    </row>
    <row r="19">
      <c r="A19" t="inlineStr">
        <is>
          <t>2.2.4</t>
        </is>
      </c>
      <c r="C19" t="inlineStr">
        <is>
          <t>Kärl 240 l (mat-/restavfall)</t>
        </is>
      </c>
      <c r="E19" t="inlineStr">
        <is>
          <t>kärl</t>
        </is>
      </c>
      <c r="F19" t="inlineStr">
        <is>
          <t>XX kr</t>
        </is>
      </c>
      <c r="H19" t="inlineStr">
        <is>
          <t>Ej kopplad</t>
        </is>
      </c>
      <c r="J19" t="inlineStr">
        <is>
          <t>parser3_result.json</t>
        </is>
      </c>
    </row>
    <row r="20">
      <c r="A20" t="inlineStr">
        <is>
          <t>2.2.4</t>
        </is>
      </c>
      <c r="C20" t="inlineStr">
        <is>
          <t>Kärl 370 l (restavfall)</t>
        </is>
      </c>
      <c r="E20" t="inlineStr">
        <is>
          <t>kärl</t>
        </is>
      </c>
      <c r="F20" t="inlineStr">
        <is>
          <t>XX kr</t>
        </is>
      </c>
      <c r="H20" t="inlineStr">
        <is>
          <t>Ej kopplad</t>
        </is>
      </c>
      <c r="J20" t="inlineStr">
        <is>
          <t>parser3_result.json</t>
        </is>
      </c>
    </row>
    <row r="21">
      <c r="A21" t="inlineStr">
        <is>
          <t>2.2.4</t>
        </is>
      </c>
      <c r="C21" t="inlineStr">
        <is>
          <t>Kärl 660 l (restavfall)</t>
        </is>
      </c>
      <c r="E21" t="inlineStr">
        <is>
          <t>kärl</t>
        </is>
      </c>
      <c r="F21" t="inlineStr">
        <is>
          <t>XX kr</t>
        </is>
      </c>
      <c r="H21" t="inlineStr">
        <is>
          <t>Ej kopplad</t>
        </is>
      </c>
      <c r="J21" t="inlineStr">
        <is>
          <t>parser3_result.json</t>
        </is>
      </c>
    </row>
    <row r="22">
      <c r="A22" t="inlineStr">
        <is>
          <t>2.2.4</t>
        </is>
      </c>
      <c r="C22" t="inlineStr">
        <is>
          <t>Kärl 140 l (matavfall)</t>
        </is>
      </c>
      <c r="E22" t="inlineStr">
        <is>
          <t>kärl</t>
        </is>
      </c>
      <c r="F22" t="inlineStr">
        <is>
          <t>XX kr</t>
        </is>
      </c>
      <c r="H22" t="inlineStr">
        <is>
          <t>Ej kopplad</t>
        </is>
      </c>
      <c r="J22" t="inlineStr">
        <is>
          <t>parser3_result.json</t>
        </is>
      </c>
    </row>
    <row r="23">
      <c r="A23" t="inlineStr">
        <is>
          <t>2.2.4</t>
        </is>
      </c>
      <c r="C23" t="inlineStr">
        <is>
          <t>Kärl 190 l (förpackningar)</t>
        </is>
      </c>
      <c r="E23" t="inlineStr">
        <is>
          <t>kärl</t>
        </is>
      </c>
      <c r="F23" t="inlineStr">
        <is>
          <t>XX kr</t>
        </is>
      </c>
      <c r="H23" t="inlineStr">
        <is>
          <t>Ej kopplad</t>
        </is>
      </c>
      <c r="J23" t="inlineStr">
        <is>
          <t>parser3_result.json</t>
        </is>
      </c>
    </row>
    <row r="24">
      <c r="A24" t="inlineStr">
        <is>
          <t>2.2.4</t>
        </is>
      </c>
      <c r="C24" t="inlineStr">
        <is>
          <t>Kärl 370 l (förpackningar)</t>
        </is>
      </c>
      <c r="E24" t="inlineStr">
        <is>
          <t>kärl</t>
        </is>
      </c>
      <c r="F24" t="inlineStr">
        <is>
          <t>XX kr</t>
        </is>
      </c>
      <c r="H24" t="inlineStr">
        <is>
          <t>Ej kopplad</t>
        </is>
      </c>
      <c r="J24" t="inlineStr">
        <is>
          <t>parser3_result.json</t>
        </is>
      </c>
    </row>
    <row r="25">
      <c r="A25" t="inlineStr">
        <is>
          <t>2.2.4</t>
        </is>
      </c>
      <c r="C25" t="inlineStr">
        <is>
          <t>Kärl 660 l (förpackningar)</t>
        </is>
      </c>
      <c r="E25" t="inlineStr">
        <is>
          <t>kärl</t>
        </is>
      </c>
      <c r="F25" t="inlineStr">
        <is>
          <t>XX kr</t>
        </is>
      </c>
      <c r="H25" t="inlineStr">
        <is>
          <t>Ej kopplad</t>
        </is>
      </c>
      <c r="J25" t="inlineStr">
        <is>
          <t>parser3_result.json</t>
        </is>
      </c>
    </row>
    <row r="26">
      <c r="A26" t="inlineStr">
        <is>
          <t>2.2.4</t>
        </is>
      </c>
      <c r="C26" t="inlineStr">
        <is>
          <t>Kärl 190 l (tidningar och returpapper)</t>
        </is>
      </c>
      <c r="E26" t="inlineStr">
        <is>
          <t>kärl</t>
        </is>
      </c>
      <c r="F26" t="inlineStr">
        <is>
          <t>XX kr</t>
        </is>
      </c>
      <c r="H26" t="inlineStr">
        <is>
          <t>Ej kopplad</t>
        </is>
      </c>
      <c r="J26" t="inlineStr">
        <is>
          <t>parser3_result.json</t>
        </is>
      </c>
    </row>
    <row r="27">
      <c r="A27" t="inlineStr">
        <is>
          <t>2.2.4</t>
        </is>
      </c>
      <c r="C27" t="inlineStr">
        <is>
          <t>Kärl 370 l (tidningar och returpapper)</t>
        </is>
      </c>
      <c r="E27" t="inlineStr">
        <is>
          <t>kärl</t>
        </is>
      </c>
      <c r="F27" t="inlineStr">
        <is>
          <t>XX kr</t>
        </is>
      </c>
      <c r="H27" t="inlineStr">
        <is>
          <t>Ej kopplad</t>
        </is>
      </c>
      <c r="J27" t="inlineStr">
        <is>
          <t>parser3_result.json</t>
        </is>
      </c>
    </row>
    <row r="28">
      <c r="A28" t="inlineStr">
        <is>
          <t>2.2.4</t>
        </is>
      </c>
      <c r="C28" t="inlineStr">
        <is>
          <t>(mat-/restavfall, förpackningar)</t>
        </is>
      </c>
      <c r="F28" t="inlineStr">
        <is>
          <t>XX kr</t>
        </is>
      </c>
      <c r="H28" t="inlineStr">
        <is>
          <t>Ej kopplad</t>
        </is>
      </c>
      <c r="J28" t="inlineStr">
        <is>
          <t>parser3_result.json</t>
        </is>
      </c>
    </row>
    <row r="29">
      <c r="A29" t="inlineStr">
        <is>
          <t>2.2.5</t>
        </is>
      </c>
      <c r="C29" t="inlineStr">
        <is>
          <t>Kärl 240 l (mat-/restavfall)</t>
        </is>
      </c>
      <c r="E29" t="inlineStr">
        <is>
          <t>kärl</t>
        </is>
      </c>
      <c r="F29" t="inlineStr">
        <is>
          <t>XX kr</t>
        </is>
      </c>
      <c r="H29" t="inlineStr">
        <is>
          <t>Ej kopplad</t>
        </is>
      </c>
      <c r="J29" t="inlineStr">
        <is>
          <t>parser3_result.json</t>
        </is>
      </c>
    </row>
    <row r="30">
      <c r="A30" t="inlineStr">
        <is>
          <t>2.2.5</t>
        </is>
      </c>
      <c r="C30" t="inlineStr">
        <is>
          <t>Kärl 370 l (restavfall)</t>
        </is>
      </c>
      <c r="E30" t="inlineStr">
        <is>
          <t>kärl</t>
        </is>
      </c>
      <c r="F30" t="inlineStr">
        <is>
          <t>XX kr</t>
        </is>
      </c>
      <c r="H30" t="inlineStr">
        <is>
          <t>Ej kopplad</t>
        </is>
      </c>
      <c r="J30" t="inlineStr">
        <is>
          <t>parser3_result.json</t>
        </is>
      </c>
    </row>
    <row r="31">
      <c r="A31" t="inlineStr">
        <is>
          <t>2.2.5</t>
        </is>
      </c>
      <c r="C31" t="inlineStr">
        <is>
          <t>Kärl 660 l (restavfall)</t>
        </is>
      </c>
      <c r="E31" t="inlineStr">
        <is>
          <t>kärl</t>
        </is>
      </c>
      <c r="F31" t="inlineStr">
        <is>
          <t>XX kr</t>
        </is>
      </c>
      <c r="H31" t="inlineStr">
        <is>
          <t>Ej kopplad</t>
        </is>
      </c>
      <c r="J31" t="inlineStr">
        <is>
          <t>parser3_result.json</t>
        </is>
      </c>
    </row>
    <row r="32">
      <c r="A32" t="inlineStr">
        <is>
          <t>2.2.5</t>
        </is>
      </c>
      <c r="C32" t="inlineStr">
        <is>
          <t>Kärl 140 l (matavfall)</t>
        </is>
      </c>
      <c r="E32" t="inlineStr">
        <is>
          <t>kärl</t>
        </is>
      </c>
      <c r="F32" t="inlineStr">
        <is>
          <t>XX kr</t>
        </is>
      </c>
      <c r="H32" t="inlineStr">
        <is>
          <t>Ej kopplad</t>
        </is>
      </c>
      <c r="J32" t="inlineStr">
        <is>
          <t>parser3_result.json</t>
        </is>
      </c>
    </row>
    <row r="33">
      <c r="A33" t="inlineStr">
        <is>
          <t>2.2.5</t>
        </is>
      </c>
      <c r="C33" t="inlineStr">
        <is>
          <t>Bottentömmande behållare (mat-/restavfall)</t>
        </is>
      </c>
      <c r="F33" t="inlineStr">
        <is>
          <t>XX kr</t>
        </is>
      </c>
      <c r="H33" t="inlineStr">
        <is>
          <t>Ej kopplad</t>
        </is>
      </c>
      <c r="J33" t="inlineStr">
        <is>
          <t>parser3_result.json</t>
        </is>
      </c>
    </row>
    <row r="34">
      <c r="A34" t="inlineStr">
        <is>
          <t>2.2.5</t>
        </is>
      </c>
      <c r="C34" t="inlineStr">
        <is>
          <t>Lastväxlarflak (restavfall)</t>
        </is>
      </c>
      <c r="F34" t="inlineStr">
        <is>
          <t>XX kr</t>
        </is>
      </c>
      <c r="H34" t="inlineStr">
        <is>
          <t>Ej kopplad</t>
        </is>
      </c>
      <c r="J34" t="inlineStr">
        <is>
          <t>parser3_result.json</t>
        </is>
      </c>
    </row>
    <row r="35">
      <c r="A35" t="inlineStr">
        <is>
          <t>2.2.6</t>
        </is>
      </c>
      <c r="C35" t="inlineStr">
        <is>
          <t>Kärl 240 l (mat-/restavfall)</t>
        </is>
      </c>
      <c r="E35" t="inlineStr">
        <is>
          <t>kärl</t>
        </is>
      </c>
      <c r="F35" t="inlineStr">
        <is>
          <t>XX kr</t>
        </is>
      </c>
      <c r="H35" t="inlineStr">
        <is>
          <t>Ej kopplad</t>
        </is>
      </c>
      <c r="J35" t="inlineStr">
        <is>
          <t>parser3_result.json</t>
        </is>
      </c>
    </row>
    <row r="36">
      <c r="A36" t="inlineStr">
        <is>
          <t>2.2.6</t>
        </is>
      </c>
      <c r="C36" t="inlineStr">
        <is>
          <t>Kärl 370 l (restavfall)</t>
        </is>
      </c>
      <c r="E36" t="inlineStr">
        <is>
          <t>kärl</t>
        </is>
      </c>
      <c r="F36" t="inlineStr">
        <is>
          <t>XX kr</t>
        </is>
      </c>
      <c r="H36" t="inlineStr">
        <is>
          <t>Ej kopplad</t>
        </is>
      </c>
      <c r="J36" t="inlineStr">
        <is>
          <t>parser3_result.json</t>
        </is>
      </c>
    </row>
    <row r="37">
      <c r="A37" t="inlineStr">
        <is>
          <t>2.2.6</t>
        </is>
      </c>
      <c r="C37" t="inlineStr">
        <is>
          <t>Kärl 660 l (restavfall)</t>
        </is>
      </c>
      <c r="E37" t="inlineStr">
        <is>
          <t>kärl</t>
        </is>
      </c>
      <c r="F37" t="inlineStr">
        <is>
          <t>XX kr</t>
        </is>
      </c>
      <c r="H37" t="inlineStr">
        <is>
          <t>Ej kopplad</t>
        </is>
      </c>
      <c r="J37" t="inlineStr">
        <is>
          <t>parser3_result.json</t>
        </is>
      </c>
    </row>
    <row r="38">
      <c r="A38" t="inlineStr">
        <is>
          <t>2.2.6</t>
        </is>
      </c>
      <c r="C38" t="inlineStr">
        <is>
          <t>Kärl 140 l (matavfall)</t>
        </is>
      </c>
      <c r="E38" t="inlineStr">
        <is>
          <t>kärl</t>
        </is>
      </c>
      <c r="F38" t="inlineStr">
        <is>
          <t>XX kr</t>
        </is>
      </c>
      <c r="H38" t="inlineStr">
        <is>
          <t>Ej kopplad</t>
        </is>
      </c>
      <c r="J38" t="inlineStr">
        <is>
          <t>parser3_result.json</t>
        </is>
      </c>
    </row>
    <row r="39">
      <c r="A39" t="inlineStr">
        <is>
          <t>2.2.6</t>
        </is>
      </c>
      <c r="C39" t="inlineStr">
        <is>
          <t>Bottentömmande behållare (mat-/restavfall)</t>
        </is>
      </c>
      <c r="F39" t="inlineStr">
        <is>
          <t>XX kr</t>
        </is>
      </c>
      <c r="H39" t="inlineStr">
        <is>
          <t>Ej kopplad</t>
        </is>
      </c>
      <c r="J39" t="inlineStr">
        <is>
          <t>parser3_result.json</t>
        </is>
      </c>
    </row>
    <row r="40">
      <c r="A40" t="inlineStr">
        <is>
          <t>2.2.6</t>
        </is>
      </c>
      <c r="C40" t="inlineStr">
        <is>
          <t>Lastväxlarflak (restavfall)</t>
        </is>
      </c>
      <c r="F40" t="inlineStr">
        <is>
          <t>XX kr</t>
        </is>
      </c>
      <c r="H40" t="inlineStr">
        <is>
          <t>Ej kopplad</t>
        </is>
      </c>
      <c r="J40" t="inlineStr">
        <is>
          <t>parser3_result.json</t>
        </is>
      </c>
    </row>
    <row r="41">
      <c r="A41" t="inlineStr">
        <is>
          <t>2.2.7</t>
        </is>
      </c>
      <c r="C41" t="inlineStr">
        <is>
          <t>Kärl 140 l (kontors-/returpapper)</t>
        </is>
      </c>
      <c r="E41" t="inlineStr">
        <is>
          <t>kärl</t>
        </is>
      </c>
      <c r="F41" t="inlineStr">
        <is>
          <t>XX kr</t>
        </is>
      </c>
      <c r="H41" t="inlineStr">
        <is>
          <t>Ej kopplad</t>
        </is>
      </c>
      <c r="J41" t="inlineStr">
        <is>
          <t>parser3_result.json</t>
        </is>
      </c>
    </row>
    <row r="42">
      <c r="A42" t="inlineStr">
        <is>
          <t>2.2.7</t>
        </is>
      </c>
      <c r="C42" t="inlineStr">
        <is>
          <t>Egen överlämning av förbrukat kontors-/returpapper enligt anvisning</t>
        </is>
      </c>
      <c r="F42" t="inlineStr">
        <is>
          <t>XX kr</t>
        </is>
      </c>
      <c r="H42" t="inlineStr">
        <is>
          <t>Ej kopplad</t>
        </is>
      </c>
      <c r="J42" t="inlineStr">
        <is>
          <t>parser3_result.json</t>
        </is>
      </c>
    </row>
    <row r="43">
      <c r="A43" t="inlineStr">
        <is>
          <t>2.2.7</t>
        </is>
      </c>
      <c r="C43" t="inlineStr">
        <is>
          <t>Egen överlämning av förbrukat matfett enligt anvisning</t>
        </is>
      </c>
      <c r="F43" t="inlineStr">
        <is>
          <t>XX kr</t>
        </is>
      </c>
      <c r="H43" t="inlineStr">
        <is>
          <t>Ej kopplad</t>
        </is>
      </c>
      <c r="J43" t="inlineStr">
        <is>
          <t>parser3_result.json</t>
        </is>
      </c>
    </row>
    <row r="44">
      <c r="A44" t="inlineStr">
        <is>
          <t>2.3</t>
        </is>
      </c>
      <c r="C44" t="inlineStr">
        <is>
          <t>Viktavgift matavfall</t>
        </is>
      </c>
      <c r="F44" t="inlineStr">
        <is>
          <t>XX kr</t>
        </is>
      </c>
      <c r="H44" t="inlineStr">
        <is>
          <t>Ej kopplad</t>
        </is>
      </c>
      <c r="J44" t="inlineStr">
        <is>
          <t>parser3_result.json</t>
        </is>
      </c>
    </row>
    <row r="45">
      <c r="A45" t="inlineStr">
        <is>
          <t>2.3</t>
        </is>
      </c>
      <c r="C45" t="inlineStr">
        <is>
          <t>Viktavgift restavfall</t>
        </is>
      </c>
      <c r="F45" t="inlineStr">
        <is>
          <t>XX kr</t>
        </is>
      </c>
      <c r="H45" t="inlineStr">
        <is>
          <t>Ej kopplad</t>
        </is>
      </c>
      <c r="J45" t="inlineStr">
        <is>
          <t>parser3_result.json</t>
        </is>
      </c>
    </row>
    <row r="46">
      <c r="A46" t="inlineStr">
        <is>
          <t>2.3</t>
        </is>
      </c>
      <c r="C46" t="inlineStr">
        <is>
          <t>Lyftavgift kärl</t>
        </is>
      </c>
      <c r="E46" t="inlineStr">
        <is>
          <t>kärl</t>
        </is>
      </c>
      <c r="F46" t="inlineStr">
        <is>
          <t>XX kr</t>
        </is>
      </c>
      <c r="H46" t="inlineStr">
        <is>
          <t>Ej kopplad</t>
        </is>
      </c>
      <c r="J46" t="inlineStr">
        <is>
          <t>parser3_result.json</t>
        </is>
      </c>
    </row>
    <row r="47">
      <c r="A47" t="inlineStr">
        <is>
          <t>2.4.1</t>
        </is>
      </c>
      <c r="C47" t="inlineStr">
        <is>
          <t>Fakturavgift</t>
        </is>
      </c>
      <c r="F47" t="inlineStr">
        <is>
          <t>XX kr</t>
        </is>
      </c>
      <c r="H47" t="inlineStr">
        <is>
          <t>Ej kopplad</t>
        </is>
      </c>
      <c r="J47" t="inlineStr">
        <is>
          <t>parser3_result.json</t>
        </is>
      </c>
    </row>
    <row r="48">
      <c r="A48" t="inlineStr">
        <is>
          <t>2.4.2</t>
        </is>
      </c>
      <c r="C48" t="inlineStr">
        <is>
          <t>Delat kärl 240 l matavfall 40 kg</t>
        </is>
      </c>
      <c r="E48" t="inlineStr">
        <is>
          <t>kilogram</t>
        </is>
      </c>
      <c r="F48" t="inlineStr">
        <is>
          <t>XX kr</t>
        </is>
      </c>
      <c r="H48" t="inlineStr">
        <is>
          <t>Ej kopplad</t>
        </is>
      </c>
      <c r="J48" t="inlineStr">
        <is>
          <t>parser3_result.json</t>
        </is>
      </c>
    </row>
    <row r="49">
      <c r="A49" t="inlineStr">
        <is>
          <t>2.4.2</t>
        </is>
      </c>
      <c r="C49" t="inlineStr">
        <is>
          <t>Delat kärl 240 l restavfall 40 kg</t>
        </is>
      </c>
      <c r="E49" t="inlineStr">
        <is>
          <t>kilogram</t>
        </is>
      </c>
      <c r="F49" t="inlineStr">
        <is>
          <t>XX kr</t>
        </is>
      </c>
      <c r="H49" t="inlineStr">
        <is>
          <t>Ej kopplad</t>
        </is>
      </c>
      <c r="J49" t="inlineStr">
        <is>
          <t>parser3_result.json</t>
        </is>
      </c>
    </row>
    <row r="50">
      <c r="A50" t="inlineStr">
        <is>
          <t>2.4.2</t>
        </is>
      </c>
      <c r="C50" t="inlineStr">
        <is>
          <t>Extra kärl 140 l matavfall 60 kg</t>
        </is>
      </c>
      <c r="E50" t="inlineStr">
        <is>
          <t>kilogram</t>
        </is>
      </c>
      <c r="F50" t="inlineStr">
        <is>
          <t>XX kr</t>
        </is>
      </c>
      <c r="H50" t="inlineStr">
        <is>
          <t>Ej kopplad</t>
        </is>
      </c>
      <c r="J50" t="inlineStr">
        <is>
          <t>parser3_result.json</t>
        </is>
      </c>
    </row>
    <row r="51">
      <c r="A51" t="inlineStr">
        <is>
          <t>2.4.2</t>
        </is>
      </c>
      <c r="C51" t="inlineStr">
        <is>
          <t>Extra kärl 140-190 l restavfall 60 kg</t>
        </is>
      </c>
      <c r="E51" t="inlineStr">
        <is>
          <t>kilogram</t>
        </is>
      </c>
      <c r="F51" t="inlineStr">
        <is>
          <t>XX kr</t>
        </is>
      </c>
      <c r="H51" t="inlineStr">
        <is>
          <t>Ej kopplad</t>
        </is>
      </c>
      <c r="J51" t="inlineStr">
        <is>
          <t>parser3_result.json</t>
        </is>
      </c>
    </row>
    <row r="52">
      <c r="A52" t="inlineStr">
        <is>
          <t>2.4.2</t>
        </is>
      </c>
      <c r="C52" t="inlineStr">
        <is>
          <t>Kärl 370 l restavfall 60 kg</t>
        </is>
      </c>
      <c r="E52" t="inlineStr">
        <is>
          <t>kilogram</t>
        </is>
      </c>
      <c r="F52" t="inlineStr">
        <is>
          <t>XX kr</t>
        </is>
      </c>
      <c r="H52" t="inlineStr">
        <is>
          <t>Ej kopplad</t>
        </is>
      </c>
      <c r="J52" t="inlineStr">
        <is>
          <t>parser3_result.json</t>
        </is>
      </c>
    </row>
    <row r="53">
      <c r="A53" t="inlineStr">
        <is>
          <t>2.4.2</t>
        </is>
      </c>
      <c r="C53" t="inlineStr">
        <is>
          <t>Kärl 660 l restavfall 100 kg</t>
        </is>
      </c>
      <c r="E53" t="inlineStr">
        <is>
          <t>kilogram</t>
        </is>
      </c>
      <c r="F53" t="inlineStr">
        <is>
          <t>XX kr</t>
        </is>
      </c>
      <c r="H53" t="inlineStr">
        <is>
          <t>Ej kopplad</t>
        </is>
      </c>
      <c r="J53" t="inlineStr">
        <is>
          <t>parser3_result.json</t>
        </is>
      </c>
    </row>
    <row r="54">
      <c r="A54" t="inlineStr">
        <is>
          <t>2.4.3</t>
        </is>
      </c>
      <c r="C54" t="inlineStr">
        <is>
          <t>Överfullt kärl</t>
        </is>
      </c>
      <c r="E54" t="inlineStr">
        <is>
          <t>kärl</t>
        </is>
      </c>
      <c r="F54" t="inlineStr">
        <is>
          <t>XX kr</t>
        </is>
      </c>
      <c r="H54" t="inlineStr">
        <is>
          <t>Ej kopplad</t>
        </is>
      </c>
      <c r="J54" t="inlineStr">
        <is>
          <t>parser3_result.json</t>
        </is>
      </c>
    </row>
    <row r="55">
      <c r="A55" t="inlineStr">
        <is>
          <t>2.4.3</t>
        </is>
      </c>
      <c r="C55" t="inlineStr">
        <is>
          <t>Överfull bottentömmande behållare</t>
        </is>
      </c>
      <c r="F55" t="inlineStr">
        <is>
          <t>XX kr</t>
        </is>
      </c>
      <c r="H55" t="inlineStr">
        <is>
          <t>Ej kopplad</t>
        </is>
      </c>
      <c r="J55" t="inlineStr">
        <is>
          <t>parser3_result.json</t>
        </is>
      </c>
    </row>
    <row r="56">
      <c r="A56" t="inlineStr">
        <is>
          <t>2.4.4</t>
        </is>
      </c>
      <c r="C56" t="inlineStr">
        <is>
          <t>Byte av trasigt kärl vid oaktsamhet</t>
        </is>
      </c>
      <c r="E56" t="inlineStr">
        <is>
          <t>kärl</t>
        </is>
      </c>
      <c r="F56" t="inlineStr">
        <is>
          <t>XX kr</t>
        </is>
      </c>
      <c r="H56" t="inlineStr">
        <is>
          <t>Ej kopplad</t>
        </is>
      </c>
      <c r="J56" t="inlineStr">
        <is>
          <t>parser3_result.json</t>
        </is>
      </c>
    </row>
    <row r="57">
      <c r="A57" t="inlineStr">
        <is>
          <t>2.4.5</t>
        </is>
      </c>
      <c r="C57" t="inlineStr">
        <is>
          <t>Byte/återtag av kärl en (1) ggr/år 140–240 liter</t>
        </is>
      </c>
      <c r="E57" t="inlineStr">
        <is>
          <t>liter</t>
        </is>
      </c>
      <c r="F57" t="inlineStr">
        <is>
          <t>XX kr</t>
        </is>
      </c>
      <c r="H57" t="inlineStr">
        <is>
          <t>Ej kopplad</t>
        </is>
      </c>
      <c r="J57" t="inlineStr">
        <is>
          <t>parser3_result.json</t>
        </is>
      </c>
    </row>
    <row r="58">
      <c r="A58" t="inlineStr">
        <is>
          <t>2.4.5</t>
        </is>
      </c>
      <c r="C58" t="inlineStr">
        <is>
          <t>Byte/återtag av kärl en (1) ggr/år 370–660 liter</t>
        </is>
      </c>
      <c r="E58" t="inlineStr">
        <is>
          <t>liter</t>
        </is>
      </c>
      <c r="F58" t="inlineStr">
        <is>
          <t>XX kr</t>
        </is>
      </c>
      <c r="H58" t="inlineStr">
        <is>
          <t>Ej kopplad</t>
        </is>
      </c>
      <c r="J58" t="inlineStr">
        <is>
          <t>parser3_result.json</t>
        </is>
      </c>
    </row>
    <row r="59">
      <c r="A59" t="inlineStr">
        <is>
          <t>2.4.5</t>
        </is>
      </c>
      <c r="C59" t="inlineStr">
        <is>
          <t>Ytterligare byte av kärl under kalenderåret</t>
        </is>
      </c>
      <c r="E59" t="inlineStr">
        <is>
          <t>kärl</t>
        </is>
      </c>
      <c r="F59" t="inlineStr">
        <is>
          <t>XX kr</t>
        </is>
      </c>
      <c r="H59" t="inlineStr">
        <is>
          <t>Ej kopplad</t>
        </is>
      </c>
      <c r="J59" t="inlineStr">
        <is>
          <t>parser3_result.json</t>
        </is>
      </c>
    </row>
    <row r="60">
      <c r="A60" t="inlineStr">
        <is>
          <t>2.4.6</t>
        </is>
      </c>
      <c r="C60" t="inlineStr">
        <is>
          <t>Kärl</t>
        </is>
      </c>
      <c r="E60" t="inlineStr">
        <is>
          <t>kärl</t>
        </is>
      </c>
      <c r="F60" t="inlineStr">
        <is>
          <t>XX kr</t>
        </is>
      </c>
      <c r="H60" t="inlineStr">
        <is>
          <t>Ej kopplad</t>
        </is>
      </c>
      <c r="J60" t="inlineStr">
        <is>
          <t>parser3_result.json</t>
        </is>
      </c>
    </row>
    <row r="61">
      <c r="A61" t="inlineStr">
        <is>
          <t>2.4.6</t>
        </is>
      </c>
      <c r="C61" t="inlineStr">
        <is>
          <t>Bottentömmande behållare</t>
        </is>
      </c>
      <c r="F61" t="inlineStr">
        <is>
          <t>XX kr</t>
        </is>
      </c>
      <c r="H61" t="inlineStr">
        <is>
          <t>Ej kopplad</t>
        </is>
      </c>
      <c r="J61" t="inlineStr">
        <is>
          <t>parser3_result.json</t>
        </is>
      </c>
    </row>
    <row r="62">
      <c r="A62" t="inlineStr">
        <is>
          <t>2.4.7</t>
        </is>
      </c>
      <c r="C62" t="inlineStr">
        <is>
          <t>Kärl 140-660 L 1,5-10</t>
        </is>
      </c>
      <c r="E62" t="inlineStr">
        <is>
          <t>kärl</t>
        </is>
      </c>
      <c r="F62" t="inlineStr">
        <is>
          <t>XX kr</t>
        </is>
      </c>
      <c r="H62" t="inlineStr">
        <is>
          <t>Ej kopplad</t>
        </is>
      </c>
      <c r="J62" t="inlineStr">
        <is>
          <t>parser3_result.json</t>
        </is>
      </c>
    </row>
    <row r="63">
      <c r="A63" t="inlineStr">
        <is>
          <t>2.4.7</t>
        </is>
      </c>
      <c r="C63" t="inlineStr">
        <is>
          <t>Kärl 140-660 L 10-20</t>
        </is>
      </c>
      <c r="E63" t="inlineStr">
        <is>
          <t>kärl</t>
        </is>
      </c>
      <c r="F63" t="inlineStr">
        <is>
          <t>XX kr</t>
        </is>
      </c>
      <c r="H63" t="inlineStr">
        <is>
          <t>Ej kopplad</t>
        </is>
      </c>
      <c r="J63" t="inlineStr">
        <is>
          <t>parser3_result.json</t>
        </is>
      </c>
    </row>
    <row r="64">
      <c r="A64" t="inlineStr">
        <is>
          <t>2.4.7</t>
        </is>
      </c>
      <c r="C64" t="inlineStr">
        <is>
          <t>Kärl 140-660 L 20-30</t>
        </is>
      </c>
      <c r="E64" t="inlineStr">
        <is>
          <t>kärl</t>
        </is>
      </c>
      <c r="F64" t="inlineStr">
        <is>
          <t>XX kr</t>
        </is>
      </c>
      <c r="H64" t="inlineStr">
        <is>
          <t>Ej kopplad</t>
        </is>
      </c>
      <c r="J64" t="inlineStr">
        <is>
          <t>parser3_result.json</t>
        </is>
      </c>
    </row>
    <row r="65">
      <c r="A65" t="inlineStr">
        <is>
          <t>2.4.7</t>
        </is>
      </c>
      <c r="C65" t="inlineStr">
        <is>
          <t>Avfallsport/dörr</t>
        </is>
      </c>
      <c r="F65" t="inlineStr">
        <is>
          <t>XX kr</t>
        </is>
      </c>
      <c r="H65" t="inlineStr">
        <is>
          <t>Ej kopplad</t>
        </is>
      </c>
      <c r="J65" t="inlineStr">
        <is>
          <t>parser3_result.json</t>
        </is>
      </c>
    </row>
    <row r="66">
      <c r="A66" t="inlineStr">
        <is>
          <t>2.4.7</t>
        </is>
      </c>
      <c r="C66" t="inlineStr">
        <is>
          <t>Låst dörr, med kod</t>
        </is>
      </c>
      <c r="F66" t="inlineStr">
        <is>
          <t>XX kr</t>
        </is>
      </c>
      <c r="H66" t="inlineStr">
        <is>
          <t>Ej kopplad</t>
        </is>
      </c>
      <c r="J66" t="inlineStr">
        <is>
          <t>parser3_result.json</t>
        </is>
      </c>
    </row>
    <row r="67">
      <c r="A67" t="inlineStr">
        <is>
          <t>2.4.8</t>
        </is>
      </c>
      <c r="C67" t="inlineStr">
        <is>
          <t>Kärl 140 l matavfall</t>
        </is>
      </c>
      <c r="E67" t="inlineStr">
        <is>
          <t>kärl</t>
        </is>
      </c>
      <c r="F67" t="inlineStr">
        <is>
          <t>XX kr</t>
        </is>
      </c>
      <c r="H67" t="inlineStr">
        <is>
          <t>Ej kopplad</t>
        </is>
      </c>
      <c r="J67" t="inlineStr">
        <is>
          <t>parser3_result.json</t>
        </is>
      </c>
    </row>
    <row r="68">
      <c r="A68" t="inlineStr">
        <is>
          <t>2.4.8</t>
        </is>
      </c>
      <c r="C68" t="inlineStr">
        <is>
          <t>Kärl 190 l restavfall</t>
        </is>
      </c>
      <c r="E68" t="inlineStr">
        <is>
          <t>kärl</t>
        </is>
      </c>
      <c r="F68" t="inlineStr">
        <is>
          <t>XX kr</t>
        </is>
      </c>
      <c r="H68" t="inlineStr">
        <is>
          <t>Ej kopplad</t>
        </is>
      </c>
      <c r="J68" t="inlineStr">
        <is>
          <t>parser3_result.json</t>
        </is>
      </c>
    </row>
    <row r="69">
      <c r="A69" t="inlineStr">
        <is>
          <t>2.4.8</t>
        </is>
      </c>
      <c r="C69" t="inlineStr">
        <is>
          <t>Kärl 370 l restavfall</t>
        </is>
      </c>
      <c r="E69" t="inlineStr">
        <is>
          <t>kärl</t>
        </is>
      </c>
      <c r="F69" t="inlineStr">
        <is>
          <t>XX kr</t>
        </is>
      </c>
      <c r="H69" t="inlineStr">
        <is>
          <t>Ej kopplad</t>
        </is>
      </c>
      <c r="J69" t="inlineStr">
        <is>
          <t>parser3_result.json</t>
        </is>
      </c>
    </row>
    <row r="70">
      <c r="A70" t="inlineStr">
        <is>
          <t>2.4.8</t>
        </is>
      </c>
      <c r="C70" t="inlineStr">
        <is>
          <t>Kärl 660 l restavfall</t>
        </is>
      </c>
      <c r="E70" t="inlineStr">
        <is>
          <t>kärl</t>
        </is>
      </c>
      <c r="F70" t="inlineStr">
        <is>
          <t>XX kr</t>
        </is>
      </c>
      <c r="H70" t="inlineStr">
        <is>
          <t>Ej kopplad</t>
        </is>
      </c>
      <c r="J70" t="inlineStr">
        <is>
          <t>parser3_result.json</t>
        </is>
      </c>
    </row>
    <row r="71">
      <c r="A71" t="inlineStr">
        <is>
          <t>2.4.8</t>
        </is>
      </c>
      <c r="C71" t="inlineStr">
        <is>
          <t>Bottentömmande behållare</t>
        </is>
      </c>
      <c r="F71" t="inlineStr">
        <is>
          <t>XX kr</t>
        </is>
      </c>
      <c r="H71" t="inlineStr">
        <is>
          <t>Ej kopplad</t>
        </is>
      </c>
      <c r="J71" t="inlineStr">
        <is>
          <t>parser3_result.json</t>
        </is>
      </c>
    </row>
    <row r="72">
      <c r="A72" t="inlineStr">
        <is>
          <t>2.4.9</t>
        </is>
      </c>
      <c r="C72" t="inlineStr">
        <is>
          <t>Sidlastande fordon</t>
        </is>
      </c>
      <c r="F72" t="inlineStr">
        <is>
          <t>XX kr</t>
        </is>
      </c>
      <c r="H72" t="inlineStr">
        <is>
          <t>Ej kopplad</t>
        </is>
      </c>
      <c r="J72" t="inlineStr">
        <is>
          <t>parser3_result.json</t>
        </is>
      </c>
    </row>
    <row r="73">
      <c r="A73" t="inlineStr">
        <is>
          <t>2.4.9</t>
        </is>
      </c>
      <c r="C73" t="inlineStr">
        <is>
          <t>Bottentömmande fordon</t>
        </is>
      </c>
      <c r="F73" t="inlineStr">
        <is>
          <t>XX kr</t>
        </is>
      </c>
      <c r="H73" t="inlineStr">
        <is>
          <t>Ej kopplad</t>
        </is>
      </c>
      <c r="J73" t="inlineStr">
        <is>
          <t>parser3_result.json</t>
        </is>
      </c>
    </row>
    <row r="74">
      <c r="A74" t="inlineStr">
        <is>
          <t>2.4.9</t>
        </is>
      </c>
      <c r="C74" t="inlineStr">
        <is>
          <t>Tömningsavgift per behållare</t>
        </is>
      </c>
      <c r="F74" t="inlineStr">
        <is>
          <t>XX kr</t>
        </is>
      </c>
      <c r="H74" t="inlineStr">
        <is>
          <t>Ej kopplad</t>
        </is>
      </c>
      <c r="J74" t="inlineStr">
        <is>
          <t>parser3_result.json</t>
        </is>
      </c>
    </row>
    <row r="75">
      <c r="A75" t="inlineStr">
        <is>
          <t>2.4.10</t>
        </is>
      </c>
      <c r="C75" t="inlineStr">
        <is>
          <t>Betalsäck</t>
        </is>
      </c>
      <c r="F75" t="inlineStr">
        <is>
          <t>XX kr</t>
        </is>
      </c>
      <c r="H75" t="inlineStr">
        <is>
          <t>Ej kopplad</t>
        </is>
      </c>
      <c r="J75" t="inlineStr">
        <is>
          <t>parser3_result.json</t>
        </is>
      </c>
    </row>
    <row r="76">
      <c r="A76" t="inlineStr">
        <is>
          <t>2.4.10</t>
        </is>
      </c>
      <c r="C76" t="inlineStr">
        <is>
          <t>Akutsäck</t>
        </is>
      </c>
      <c r="F76" t="inlineStr">
        <is>
          <t>XX kr</t>
        </is>
      </c>
      <c r="H76" t="inlineStr">
        <is>
          <t>Ej kopplad</t>
        </is>
      </c>
      <c r="J76" t="inlineStr">
        <is>
          <t>parser3_result.json</t>
        </is>
      </c>
    </row>
    <row r="77">
      <c r="A77" t="inlineStr">
        <is>
          <t>2.4.11</t>
        </is>
      </c>
      <c r="C77" t="inlineStr">
        <is>
          <t>Matavfallspåsar 9 L</t>
        </is>
      </c>
      <c r="F77" t="inlineStr">
        <is>
          <t>XX kr</t>
        </is>
      </c>
      <c r="H77" t="inlineStr">
        <is>
          <t>Ej kopplad</t>
        </is>
      </c>
      <c r="J77" t="inlineStr">
        <is>
          <t>parser3_result.json</t>
        </is>
      </c>
    </row>
    <row r="78">
      <c r="A78" t="inlineStr">
        <is>
          <t>2.4.11</t>
        </is>
      </c>
      <c r="C78" t="inlineStr">
        <is>
          <t>Matavfallspåsar 22 L</t>
        </is>
      </c>
      <c r="F78" t="inlineStr">
        <is>
          <t>XX kr</t>
        </is>
      </c>
      <c r="H78" t="inlineStr">
        <is>
          <t>Ej kopplad</t>
        </is>
      </c>
      <c r="J78" t="inlineStr">
        <is>
          <t>parser3_result.json</t>
        </is>
      </c>
    </row>
    <row r="79">
      <c r="A79" t="inlineStr">
        <is>
          <t>2.4.11</t>
        </is>
      </c>
      <c r="C79" t="inlineStr">
        <is>
          <t>Gravitationslås till kärl</t>
        </is>
      </c>
      <c r="E79" t="inlineStr">
        <is>
          <t>kärl</t>
        </is>
      </c>
      <c r="F79" t="inlineStr">
        <is>
          <t>XX kr</t>
        </is>
      </c>
      <c r="H79" t="inlineStr">
        <is>
          <t>Ej kopplad</t>
        </is>
      </c>
      <c r="J79" t="inlineStr">
        <is>
          <t>parser3_result.json</t>
        </is>
      </c>
    </row>
    <row r="80">
      <c r="A80" t="inlineStr">
        <is>
          <t>2.4.11</t>
        </is>
      </c>
      <c r="C80" t="inlineStr">
        <is>
          <t>Extra nyckel till gravitationslås</t>
        </is>
      </c>
      <c r="F80" t="inlineStr">
        <is>
          <t>XX kr</t>
        </is>
      </c>
      <c r="H80" t="inlineStr">
        <is>
          <t>Ej kopplad</t>
        </is>
      </c>
      <c r="J80" t="inlineStr">
        <is>
          <t>parser3_result.json</t>
        </is>
      </c>
    </row>
    <row r="81">
      <c r="A81" t="inlineStr">
        <is>
          <t>2.5.1</t>
        </is>
      </c>
      <c r="C81" t="inlineStr">
        <is>
          <t>Kommunalt avfall</t>
        </is>
      </c>
      <c r="F81" t="inlineStr">
        <is>
          <t>XX kr</t>
        </is>
      </c>
      <c r="H81" t="inlineStr">
        <is>
          <t>Ej kopplad</t>
        </is>
      </c>
      <c r="J81" t="inlineStr">
        <is>
          <t>parser3_result.json</t>
        </is>
      </c>
    </row>
    <row r="82">
      <c r="A82" t="inlineStr">
        <is>
          <t>2.5.1</t>
        </is>
      </c>
      <c r="C82" t="inlineStr">
        <is>
          <t>Farligt avfall (ej uppmärkt)</t>
        </is>
      </c>
      <c r="F82" t="inlineStr">
        <is>
          <t>XX kr</t>
        </is>
      </c>
      <c r="H82" t="inlineStr">
        <is>
          <t>Ej kopplad</t>
        </is>
      </c>
      <c r="J82" t="inlineStr">
        <is>
          <t>parser3_result.json</t>
        </is>
      </c>
    </row>
    <row r="83">
      <c r="A83" t="inlineStr">
        <is>
          <t>2.5.1</t>
        </is>
      </c>
      <c r="C83" t="inlineStr">
        <is>
          <t>Farligt avfall (uppmärkt)</t>
        </is>
      </c>
      <c r="F83" t="inlineStr">
        <is>
          <t>XX kr</t>
        </is>
      </c>
      <c r="H83" t="inlineStr">
        <is>
          <t>Ej kopplad</t>
        </is>
      </c>
      <c r="J83" t="inlineStr">
        <is>
          <t>parser3_result.json</t>
        </is>
      </c>
    </row>
    <row r="84">
      <c r="A84" t="inlineStr">
        <is>
          <t>2.5.1</t>
        </is>
      </c>
      <c r="C84" t="inlineStr">
        <is>
          <t>Avisering av ankomst</t>
        </is>
      </c>
      <c r="F84" t="inlineStr">
        <is>
          <t>XX kr</t>
        </is>
      </c>
      <c r="H84" t="inlineStr">
        <is>
          <t>Ej kopplad</t>
        </is>
      </c>
      <c r="J84" t="inlineStr">
        <is>
          <t>parser3_result.json</t>
        </is>
      </c>
    </row>
    <row r="85">
      <c r="A85" t="inlineStr">
        <is>
          <t>3.1</t>
        </is>
      </c>
      <c r="C85" t="inlineStr">
        <is>
          <t>Upp till 3 m3</t>
        </is>
      </c>
      <c r="E85" t="inlineStr">
        <is>
          <t>m³</t>
        </is>
      </c>
      <c r="F85" t="inlineStr">
        <is>
          <t>XX kr</t>
        </is>
      </c>
      <c r="H85" t="inlineStr">
        <is>
          <t>Ej kopplad</t>
        </is>
      </c>
      <c r="J85" t="inlineStr">
        <is>
          <t>parser3_result.json</t>
        </is>
      </c>
    </row>
    <row r="86">
      <c r="A86" t="inlineStr">
        <is>
          <t>3.1</t>
        </is>
      </c>
      <c r="C86" t="inlineStr">
        <is>
          <t>Mellan 3 m3 och 6 m3</t>
        </is>
      </c>
      <c r="E86" t="inlineStr">
        <is>
          <t>m³</t>
        </is>
      </c>
      <c r="F86" t="inlineStr">
        <is>
          <t>XX kr</t>
        </is>
      </c>
      <c r="H86" t="inlineStr">
        <is>
          <t>Ej kopplad</t>
        </is>
      </c>
      <c r="J86" t="inlineStr">
        <is>
          <t>parser3_result.json</t>
        </is>
      </c>
    </row>
    <row r="87">
      <c r="A87" t="inlineStr">
        <is>
          <t>3.1</t>
        </is>
      </c>
      <c r="C87" t="inlineStr">
        <is>
          <t>Mellan 6 m3 och 9 m3</t>
        </is>
      </c>
      <c r="E87" t="inlineStr">
        <is>
          <t>m³</t>
        </is>
      </c>
      <c r="F87" t="inlineStr">
        <is>
          <t>XX kr</t>
        </is>
      </c>
      <c r="H87" t="inlineStr">
        <is>
          <t>Ej kopplad</t>
        </is>
      </c>
      <c r="J87" t="inlineStr">
        <is>
          <t>parser3_result.json</t>
        </is>
      </c>
    </row>
    <row r="88">
      <c r="A88" t="inlineStr">
        <is>
          <t>3.1</t>
        </is>
      </c>
      <c r="C88" t="inlineStr">
        <is>
          <t>Tillägg per m3 över 9 m3</t>
        </is>
      </c>
      <c r="E88" t="inlineStr">
        <is>
          <t>m³</t>
        </is>
      </c>
      <c r="F88" t="inlineStr">
        <is>
          <t>XX kr</t>
        </is>
      </c>
      <c r="H88" t="inlineStr">
        <is>
          <t>Ej kopplad</t>
        </is>
      </c>
      <c r="J88" t="inlineStr">
        <is>
          <t>parser3_result.json</t>
        </is>
      </c>
    </row>
    <row r="89">
      <c r="A89" t="inlineStr">
        <is>
          <t>3.1</t>
        </is>
      </c>
      <c r="C89" t="inlineStr">
        <is>
          <t>Bad-, disk- och tvättbrunn upp till 3 m3</t>
        </is>
      </c>
      <c r="E89" t="inlineStr">
        <is>
          <t>m³</t>
        </is>
      </c>
      <c r="F89" t="inlineStr">
        <is>
          <t>XX kr</t>
        </is>
      </c>
      <c r="H89" t="inlineStr">
        <is>
          <t>Ej kopplad</t>
        </is>
      </c>
      <c r="J89" t="inlineStr">
        <is>
          <t>parser3_result.json</t>
        </is>
      </c>
    </row>
    <row r="90">
      <c r="A90" t="inlineStr">
        <is>
          <t>3.1</t>
        </is>
      </c>
      <c r="C90" t="inlineStr">
        <is>
          <t>Tillägg per m3 över 3 m3</t>
        </is>
      </c>
      <c r="E90" t="inlineStr">
        <is>
          <t>m³</t>
        </is>
      </c>
      <c r="F90" t="inlineStr">
        <is>
          <t>XX kr</t>
        </is>
      </c>
      <c r="H90" t="inlineStr">
        <is>
          <t>Ej kopplad</t>
        </is>
      </c>
      <c r="J90" t="inlineStr">
        <is>
          <t>parser3_result.json</t>
        </is>
      </c>
    </row>
    <row r="91">
      <c r="A91" t="inlineStr">
        <is>
          <t>3.2</t>
        </is>
      </c>
      <c r="C91" t="inlineStr">
        <is>
          <t>Dragning av extra slang vid 5-25 m</t>
        </is>
      </c>
      <c r="F91" t="inlineStr">
        <is>
          <t>XX kr</t>
        </is>
      </c>
      <c r="H91" t="inlineStr">
        <is>
          <t>Ej kopplad</t>
        </is>
      </c>
      <c r="J91" t="inlineStr">
        <is>
          <t>parser3_result.json</t>
        </is>
      </c>
    </row>
    <row r="92">
      <c r="A92" t="inlineStr">
        <is>
          <t>3.2</t>
        </is>
      </c>
      <c r="C92" t="inlineStr">
        <is>
          <t>Dragning av extra slang vid 25-35 m</t>
        </is>
      </c>
      <c r="F92" t="inlineStr">
        <is>
          <t>XX kr</t>
        </is>
      </c>
      <c r="H92" t="inlineStr">
        <is>
          <t>Ej kopplad</t>
        </is>
      </c>
      <c r="J92" t="inlineStr">
        <is>
          <t>parser3_result.json</t>
        </is>
      </c>
    </row>
    <row r="93">
      <c r="A93" t="inlineStr">
        <is>
          <t>3.2</t>
        </is>
      </c>
      <c r="C93" t="inlineStr">
        <is>
          <t>Dragning av extra slang vid 36-45 m</t>
        </is>
      </c>
      <c r="F93" t="inlineStr">
        <is>
          <t>XX kr</t>
        </is>
      </c>
      <c r="H93" t="inlineStr">
        <is>
          <t>Ej kopplad</t>
        </is>
      </c>
      <c r="J93" t="inlineStr">
        <is>
          <t>parser3_result.json</t>
        </is>
      </c>
    </row>
    <row r="94">
      <c r="A94" t="inlineStr">
        <is>
          <t>3.2</t>
        </is>
      </c>
      <c r="C94" t="inlineStr">
        <is>
          <t>Dragning av extra slang vid 46-55 m</t>
        </is>
      </c>
      <c r="F94" t="inlineStr">
        <is>
          <t>XX kr</t>
        </is>
      </c>
      <c r="H94" t="inlineStr">
        <is>
          <t>Ej kopplad</t>
        </is>
      </c>
      <c r="J94" t="inlineStr">
        <is>
          <t>parser3_result.json</t>
        </is>
      </c>
    </row>
    <row r="95">
      <c r="A95" t="inlineStr">
        <is>
          <t>3.2</t>
        </is>
      </c>
      <c r="C95" t="inlineStr">
        <is>
          <t>Hantering av brunnslock som väger 15-25 kg</t>
        </is>
      </c>
      <c r="E95" t="inlineStr">
        <is>
          <t>kilogram</t>
        </is>
      </c>
      <c r="F95" t="inlineStr">
        <is>
          <t>XX kr</t>
        </is>
      </c>
      <c r="H95" t="inlineStr">
        <is>
          <t>Ej kopplad</t>
        </is>
      </c>
      <c r="J95" t="inlineStr">
        <is>
          <t>parser3_result.json</t>
        </is>
      </c>
    </row>
    <row r="96">
      <c r="A96" t="inlineStr">
        <is>
          <t>3.2</t>
        </is>
      </c>
      <c r="C96" t="inlineStr">
        <is>
          <t>Krav på information om tömningstid</t>
        </is>
      </c>
      <c r="F96" t="inlineStr">
        <is>
          <t>XX kr</t>
        </is>
      </c>
      <c r="H96" t="inlineStr">
        <is>
          <t>Ej kopplad</t>
        </is>
      </c>
      <c r="J96" t="inlineStr">
        <is>
          <t>parser3_result.json</t>
        </is>
      </c>
    </row>
    <row r="97">
      <c r="A97" t="inlineStr">
        <is>
          <t>3.2</t>
        </is>
      </c>
      <c r="C97" t="inlineStr">
        <is>
          <t>Krav på närvaro vid specificerad tömningstid</t>
        </is>
      </c>
      <c r="F97" t="inlineStr">
        <is>
          <t>XX kr</t>
        </is>
      </c>
      <c r="H97" t="inlineStr">
        <is>
          <t>Ej kopplad</t>
        </is>
      </c>
      <c r="J97" t="inlineStr">
        <is>
          <t>parser3_result.json</t>
        </is>
      </c>
    </row>
    <row r="98">
      <c r="A98" t="inlineStr">
        <is>
          <t>3.2</t>
        </is>
      </c>
      <c r="C98" t="inlineStr">
        <is>
          <t>Hantering av kod för kodlås vid slamtömning</t>
        </is>
      </c>
      <c r="F98" t="inlineStr">
        <is>
          <t>XX kr</t>
        </is>
      </c>
      <c r="H98" t="inlineStr">
        <is>
          <t>Ej kopplad</t>
        </is>
      </c>
      <c r="J98" t="inlineStr">
        <is>
          <t>parser3_result.json</t>
        </is>
      </c>
    </row>
    <row r="99">
      <c r="A99" t="inlineStr">
        <is>
          <t>3.2</t>
        </is>
      </c>
      <c r="C99" t="inlineStr">
        <is>
          <t>Hetvattentvätt med spolbil, timersättning</t>
        </is>
      </c>
      <c r="F99" t="inlineStr">
        <is>
          <t>XX kr</t>
        </is>
      </c>
      <c r="H99" t="inlineStr">
        <is>
          <t>Ej kopplad</t>
        </is>
      </c>
      <c r="J99" t="inlineStr">
        <is>
          <t>parser3_result.json</t>
        </is>
      </c>
    </row>
    <row r="100">
      <c r="A100" t="inlineStr">
        <is>
          <t>3.2</t>
        </is>
      </c>
      <c r="C100" t="inlineStr">
        <is>
          <t>Tömning av extra tank/brunn i samband med ordinarie/budad tömning upp till 5 m3</t>
        </is>
      </c>
      <c r="E100" t="inlineStr">
        <is>
          <t>m³</t>
        </is>
      </c>
      <c r="F100" t="inlineStr">
        <is>
          <t>XX kr</t>
        </is>
      </c>
      <c r="H100" t="inlineStr">
        <is>
          <t>Ej kopplad</t>
        </is>
      </c>
      <c r="J100" t="inlineStr">
        <is>
          <t>parser3_result.json</t>
        </is>
      </c>
    </row>
    <row r="101">
      <c r="A101" t="inlineStr">
        <is>
          <t>3.3</t>
        </is>
      </c>
      <c r="C101" t="inlineStr">
        <is>
          <t>Budning inom ordinarie tömningsperiod (1 maj- 31 oktober)</t>
        </is>
      </c>
      <c r="F101" t="inlineStr">
        <is>
          <t>XX kr</t>
        </is>
      </c>
      <c r="H101" t="inlineStr">
        <is>
          <t>Ej kopplad</t>
        </is>
      </c>
      <c r="J101" t="inlineStr">
        <is>
          <t>parser3_result.json</t>
        </is>
      </c>
    </row>
    <row r="102">
      <c r="A102" t="inlineStr">
        <is>
          <t>3.3</t>
        </is>
      </c>
      <c r="C102" t="inlineStr">
        <is>
          <t>Budning utanför ordinarie tömningsperiod (1 nov – 30 april)</t>
        </is>
      </c>
      <c r="F102" t="inlineStr">
        <is>
          <t>XX kr</t>
        </is>
      </c>
      <c r="H102" t="inlineStr">
        <is>
          <t>Ej kopplad</t>
        </is>
      </c>
      <c r="J102" t="inlineStr">
        <is>
          <t>parser3_result.json</t>
        </is>
      </c>
    </row>
    <row r="103">
      <c r="A103" t="inlineStr">
        <is>
          <t>3.3</t>
        </is>
      </c>
      <c r="C103" t="inlineStr">
        <is>
          <t>Tömning av toalettvagnar eller liknande /styck</t>
        </is>
      </c>
      <c r="E103" t="inlineStr">
        <is>
          <t>styck</t>
        </is>
      </c>
      <c r="F103" t="inlineStr">
        <is>
          <t>XX kr</t>
        </is>
      </c>
      <c r="H103" t="inlineStr">
        <is>
          <t>Ej kopplad</t>
        </is>
      </c>
      <c r="J103" t="inlineStr">
        <is>
          <t>parser3_result.json</t>
        </is>
      </c>
    </row>
    <row r="104">
      <c r="A104" t="inlineStr">
        <is>
          <t>3.4</t>
        </is>
      </c>
      <c r="C104" t="inlineStr">
        <is>
          <t>Latrinbehållare 37 liter inkl. mottagning och behandling</t>
        </is>
      </c>
      <c r="E104" t="inlineStr">
        <is>
          <t>liter</t>
        </is>
      </c>
      <c r="F104" t="inlineStr">
        <is>
          <t>XX kr</t>
        </is>
      </c>
      <c r="H104" t="inlineStr">
        <is>
          <t>Ej kopplad</t>
        </is>
      </c>
      <c r="J104" t="inlineStr">
        <is>
          <t>parser3_result.json</t>
        </is>
      </c>
    </row>
    <row r="105">
      <c r="A105" t="inlineStr">
        <is>
          <t>4.1</t>
        </is>
      </c>
      <c r="C105" t="inlineStr">
        <is>
          <t>Filtermassor upp till 500 kg</t>
        </is>
      </c>
      <c r="E105" t="inlineStr">
        <is>
          <t>kilogram</t>
        </is>
      </c>
      <c r="F105" t="inlineStr">
        <is>
          <t>XX kr</t>
        </is>
      </c>
      <c r="H105" t="inlineStr">
        <is>
          <t>Ej kopplad</t>
        </is>
      </c>
      <c r="J105" t="inlineStr">
        <is>
          <t>parser3_result.json</t>
        </is>
      </c>
    </row>
    <row r="106">
      <c r="A106" t="inlineStr">
        <is>
          <t>4.1</t>
        </is>
      </c>
      <c r="C106" t="inlineStr">
        <is>
          <t>Filtermassor 500-1000 kg</t>
        </is>
      </c>
      <c r="E106" t="inlineStr">
        <is>
          <t>kilogram</t>
        </is>
      </c>
      <c r="F106" t="inlineStr">
        <is>
          <t>XX kr</t>
        </is>
      </c>
      <c r="H106" t="inlineStr">
        <is>
          <t>Ej kopplad</t>
        </is>
      </c>
      <c r="J106" t="inlineStr">
        <is>
          <t>parser3_result.json</t>
        </is>
      </c>
    </row>
    <row r="107">
      <c r="A107" t="inlineStr">
        <is>
          <t>4.2</t>
        </is>
      </c>
      <c r="C107" t="inlineStr">
        <is>
          <t>Krav på information om hämtningstid</t>
        </is>
      </c>
      <c r="F107" t="inlineStr">
        <is>
          <t>XX kr</t>
        </is>
      </c>
      <c r="H107" t="inlineStr">
        <is>
          <t>Ej kopplad</t>
        </is>
      </c>
      <c r="J107" t="inlineStr">
        <is>
          <t>parser3_result.json</t>
        </is>
      </c>
    </row>
    <row r="108">
      <c r="A108" t="inlineStr">
        <is>
          <t>4.2</t>
        </is>
      </c>
      <c r="C108" t="inlineStr">
        <is>
          <t>Krav på närvaro vid specificerad hämtningstid</t>
        </is>
      </c>
      <c r="F108" t="inlineStr">
        <is>
          <t>XX kr</t>
        </is>
      </c>
      <c r="H108" t="inlineStr">
        <is>
          <t>Ej kopplad</t>
        </is>
      </c>
      <c r="J108" t="inlineStr">
        <is>
          <t>parser3_result.json</t>
        </is>
      </c>
    </row>
    <row r="109">
      <c r="A109" t="inlineStr">
        <is>
          <t>4.2</t>
        </is>
      </c>
      <c r="C109" t="inlineStr">
        <is>
          <t>Hantering av kod för kodlås</t>
        </is>
      </c>
      <c r="F109" t="inlineStr">
        <is>
          <t>XX kr</t>
        </is>
      </c>
      <c r="H109" t="inlineStr">
        <is>
          <t>Ej kopplad</t>
        </is>
      </c>
      <c r="J109" t="inlineStr">
        <is>
          <t>parser3_result.json</t>
        </is>
      </c>
    </row>
    <row r="110">
      <c r="A110" t="inlineStr">
        <is>
          <t>5.1</t>
        </is>
      </c>
      <c r="C110" t="inlineStr">
        <is>
          <t>Upp till 3 m3</t>
        </is>
      </c>
      <c r="E110" t="inlineStr">
        <is>
          <t>m³</t>
        </is>
      </c>
      <c r="F110" t="inlineStr">
        <is>
          <t>XX kr</t>
        </is>
      </c>
      <c r="H110" t="inlineStr">
        <is>
          <t>Ej kopplad</t>
        </is>
      </c>
      <c r="J110" t="inlineStr">
        <is>
          <t>parser3_result.json</t>
        </is>
      </c>
    </row>
    <row r="111">
      <c r="A111" t="inlineStr">
        <is>
          <t>5.1</t>
        </is>
      </c>
      <c r="C111" t="inlineStr">
        <is>
          <t>Mellan 3 m3 och 6 m3</t>
        </is>
      </c>
      <c r="E111" t="inlineStr">
        <is>
          <t>m³</t>
        </is>
      </c>
      <c r="F111" t="inlineStr">
        <is>
          <t>XX kr</t>
        </is>
      </c>
      <c r="H111" t="inlineStr">
        <is>
          <t>Ej kopplad</t>
        </is>
      </c>
      <c r="J111" t="inlineStr">
        <is>
          <t>parser3_result.json</t>
        </is>
      </c>
    </row>
    <row r="112">
      <c r="A112" t="inlineStr">
        <is>
          <t>5.1</t>
        </is>
      </c>
      <c r="C112" t="inlineStr">
        <is>
          <t>Över 6 m3</t>
        </is>
      </c>
      <c r="E112" t="inlineStr">
        <is>
          <t>m³</t>
        </is>
      </c>
      <c r="F112" t="inlineStr">
        <is>
          <t>XX kr</t>
        </is>
      </c>
      <c r="H112" t="inlineStr">
        <is>
          <t>Ej kopplad</t>
        </is>
      </c>
      <c r="J112" t="inlineStr">
        <is>
          <t>parser3_result.json</t>
        </is>
      </c>
    </row>
    <row r="113">
      <c r="A113" t="inlineStr">
        <is>
          <t>5.2</t>
        </is>
      </c>
      <c r="C113" t="inlineStr">
        <is>
          <t>Dragning av extra slang vid 5-25 m</t>
        </is>
      </c>
      <c r="F113" t="inlineStr">
        <is>
          <t>XX kr</t>
        </is>
      </c>
      <c r="H113" t="inlineStr">
        <is>
          <t>Ej kopplad</t>
        </is>
      </c>
      <c r="J113" t="inlineStr">
        <is>
          <t>parser3_result.json</t>
        </is>
      </c>
    </row>
    <row r="114">
      <c r="A114" t="inlineStr">
        <is>
          <t>5.2</t>
        </is>
      </c>
      <c r="C114" t="inlineStr">
        <is>
          <t>Dragning av extra slang vid 25-35 m</t>
        </is>
      </c>
      <c r="F114" t="inlineStr">
        <is>
          <t>XX kr</t>
        </is>
      </c>
      <c r="H114" t="inlineStr">
        <is>
          <t>Ej kopplad</t>
        </is>
      </c>
      <c r="J114" t="inlineStr">
        <is>
          <t>parser3_result.json</t>
        </is>
      </c>
    </row>
    <row r="115">
      <c r="A115" t="inlineStr">
        <is>
          <t>5.2</t>
        </is>
      </c>
      <c r="C115" t="inlineStr">
        <is>
          <t>Dragning av extra slang vid 36-45 m</t>
        </is>
      </c>
      <c r="F115" t="inlineStr">
        <is>
          <t>XX kr</t>
        </is>
      </c>
      <c r="H115" t="inlineStr">
        <is>
          <t>Ej kopplad</t>
        </is>
      </c>
      <c r="J115" t="inlineStr">
        <is>
          <t>parser3_result.json</t>
        </is>
      </c>
    </row>
    <row r="116">
      <c r="A116" t="inlineStr">
        <is>
          <t>5.2</t>
        </is>
      </c>
      <c r="C116" t="inlineStr">
        <is>
          <t>Dragning av extra slang vid 46-55 m</t>
        </is>
      </c>
      <c r="F116" t="inlineStr">
        <is>
          <t>XX kr</t>
        </is>
      </c>
      <c r="H116" t="inlineStr">
        <is>
          <t>Ej kopplad</t>
        </is>
      </c>
      <c r="J116" t="inlineStr">
        <is>
          <t>parser3_result.json</t>
        </is>
      </c>
    </row>
    <row r="117">
      <c r="A117" t="inlineStr">
        <is>
          <t>5.2</t>
        </is>
      </c>
      <c r="C117" t="inlineStr">
        <is>
          <t>Hantering av brunnslock som väger 15-25 kg</t>
        </is>
      </c>
      <c r="E117" t="inlineStr">
        <is>
          <t>kilogram</t>
        </is>
      </c>
      <c r="F117" t="inlineStr">
        <is>
          <t>XX kr</t>
        </is>
      </c>
      <c r="H117" t="inlineStr">
        <is>
          <t>Ej kopplad</t>
        </is>
      </c>
      <c r="J117" t="inlineStr">
        <is>
          <t>parser3_result.json</t>
        </is>
      </c>
    </row>
    <row r="118">
      <c r="A118" t="inlineStr">
        <is>
          <t>5.2</t>
        </is>
      </c>
      <c r="C118" t="inlineStr">
        <is>
          <t>Krav på information om tömningstid</t>
        </is>
      </c>
      <c r="F118" t="inlineStr">
        <is>
          <t>XX kr</t>
        </is>
      </c>
      <c r="H118" t="inlineStr">
        <is>
          <t>Ej kopplad</t>
        </is>
      </c>
      <c r="J118" t="inlineStr">
        <is>
          <t>parser3_result.json</t>
        </is>
      </c>
    </row>
    <row r="119">
      <c r="A119" t="inlineStr">
        <is>
          <t>5.2</t>
        </is>
      </c>
      <c r="C119" t="inlineStr">
        <is>
          <t>Krav på närvaro vid specificerad tömningstid</t>
        </is>
      </c>
      <c r="F119" t="inlineStr">
        <is>
          <t>XX kr</t>
        </is>
      </c>
      <c r="H119" t="inlineStr">
        <is>
          <t>Ej kopplad</t>
        </is>
      </c>
      <c r="J119" t="inlineStr">
        <is>
          <t>parser3_result.json</t>
        </is>
      </c>
    </row>
    <row r="120">
      <c r="A120" t="inlineStr">
        <is>
          <t>5.2</t>
        </is>
      </c>
      <c r="C120" t="inlineStr">
        <is>
          <t>Hantering av kod för kodlås vid tömning</t>
        </is>
      </c>
      <c r="E120" t="inlineStr">
        <is>
          <t>tömning</t>
        </is>
      </c>
      <c r="F120" t="inlineStr">
        <is>
          <t>XX kr</t>
        </is>
      </c>
      <c r="H120" t="inlineStr">
        <is>
          <t>Ej kopplad</t>
        </is>
      </c>
      <c r="J120" t="inlineStr">
        <is>
          <t>parser3_result.json</t>
        </is>
      </c>
    </row>
    <row r="121">
      <c r="A121" t="inlineStr">
        <is>
          <t>5.2</t>
        </is>
      </c>
      <c r="C121" t="inlineStr">
        <is>
          <t>Hetvattentvätt med spolbil, timersättning</t>
        </is>
      </c>
      <c r="F121" t="inlineStr">
        <is>
          <t>XX kr</t>
        </is>
      </c>
      <c r="H121" t="inlineStr">
        <is>
          <t>Ej kopplad</t>
        </is>
      </c>
      <c r="J121" t="inlineStr">
        <is>
          <t>parser3_result.json</t>
        </is>
      </c>
    </row>
    <row r="122">
      <c r="A122" t="inlineStr">
        <is>
          <t>5.2</t>
        </is>
      </c>
      <c r="C122" t="inlineStr">
        <is>
          <t>Silikontätning per lock</t>
        </is>
      </c>
      <c r="F122" t="inlineStr">
        <is>
          <t>XX kr</t>
        </is>
      </c>
      <c r="H122" t="inlineStr">
        <is>
          <t>Ej kopplad</t>
        </is>
      </c>
      <c r="J122" t="inlineStr">
        <is>
          <t>parser3_result.json</t>
        </is>
      </c>
    </row>
    <row r="123">
      <c r="A123" t="inlineStr">
        <is>
          <t>5.2</t>
        </is>
      </c>
      <c r="C123" t="inlineStr">
        <is>
          <t>Tömning av extra tank i samband med ordinarie/budad tömning upp till 5 m3</t>
        </is>
      </c>
      <c r="E123" t="inlineStr">
        <is>
          <t>m³</t>
        </is>
      </c>
      <c r="F123" t="inlineStr">
        <is>
          <t>XX kr</t>
        </is>
      </c>
      <c r="H123" t="inlineStr">
        <is>
          <t>Ej kopplad</t>
        </is>
      </c>
      <c r="J123" t="inlineStr">
        <is>
          <t>parser3_result.json</t>
        </is>
      </c>
    </row>
    <row r="124">
      <c r="A124" t="inlineStr">
        <is>
          <t>5.3</t>
        </is>
      </c>
      <c r="C124" t="inlineStr">
        <is>
          <t>Budning inom ordinarie tömningsperiod (1 maj- 31 oktober)</t>
        </is>
      </c>
      <c r="F124" t="inlineStr">
        <is>
          <t>XX kr</t>
        </is>
      </c>
      <c r="H124" t="inlineStr">
        <is>
          <t>Ej kopplad</t>
        </is>
      </c>
      <c r="J124" t="inlineStr">
        <is>
          <t>parser3_result.json</t>
        </is>
      </c>
    </row>
    <row r="125">
      <c r="A125" t="inlineStr">
        <is>
          <t>5.3</t>
        </is>
      </c>
      <c r="C125" t="inlineStr">
        <is>
          <t>Budning utanför ordinarie tömningsperiod</t>
        </is>
      </c>
      <c r="F125" t="inlineStr">
        <is>
          <t>XX kr</t>
        </is>
      </c>
      <c r="H125" t="inlineStr">
        <is>
          <t>Ej kopplad</t>
        </is>
      </c>
      <c r="J125" t="inlineStr">
        <is>
          <t>parser3_result.json</t>
        </is>
      </c>
    </row>
    <row r="126">
      <c r="A126" t="inlineStr">
        <is>
          <t>6.1.1</t>
        </is>
      </c>
      <c r="C126" t="inlineStr">
        <is>
          <t>Verksamheter</t>
        </is>
      </c>
      <c r="F126" t="inlineStr">
        <is>
          <t>XX kr</t>
        </is>
      </c>
      <c r="H126" t="inlineStr">
        <is>
          <t>Ej kopplad</t>
        </is>
      </c>
      <c r="J126" t="inlineStr">
        <is>
          <t>parser3_result.json</t>
        </is>
      </c>
    </row>
    <row r="127">
      <c r="A127" t="inlineStr">
        <is>
          <t>6.1.1</t>
        </is>
      </c>
      <c r="C127" t="inlineStr">
        <is>
          <t>Övriga abonnemangstyper</t>
        </is>
      </c>
      <c r="F127" t="inlineStr">
        <is>
          <t>XX kr</t>
        </is>
      </c>
      <c r="H127" t="inlineStr">
        <is>
          <t>Ej kopplad</t>
        </is>
      </c>
      <c r="J127" t="inlineStr">
        <is>
          <t>parser3_result.json</t>
        </is>
      </c>
    </row>
    <row r="128">
      <c r="A128" t="inlineStr">
        <is>
          <t>6.1.1</t>
        </is>
      </c>
      <c r="C128" t="inlineStr">
        <is>
          <t>Vågkort</t>
        </is>
      </c>
      <c r="F128" t="inlineStr">
        <is>
          <t>XX kr</t>
        </is>
      </c>
      <c r="H128" t="inlineStr">
        <is>
          <t>Ej kopplad</t>
        </is>
      </c>
      <c r="J128" t="inlineStr">
        <is>
          <t>parser3_result.json</t>
        </is>
      </c>
    </row>
    <row r="129">
      <c r="A129" t="inlineStr">
        <is>
          <t>6.1.1</t>
        </is>
      </c>
      <c r="C129" t="inlineStr">
        <is>
          <t>Borttappat vågkort</t>
        </is>
      </c>
      <c r="F129" t="inlineStr">
        <is>
          <t>XX kr</t>
        </is>
      </c>
      <c r="H129" t="inlineStr">
        <is>
          <t>Ej kopplad</t>
        </is>
      </c>
      <c r="J129" t="inlineStr">
        <is>
          <t>parser3_result.json</t>
        </is>
      </c>
    </row>
    <row r="130">
      <c r="A130" t="inlineStr">
        <is>
          <t>6.1.1</t>
        </is>
      </c>
      <c r="C130" t="inlineStr">
        <is>
          <t>Ej redovisad ankomst till ÅVC (för företagare och privatpersoner som lämnar verksamhetsavfall utan att anmäla sin ankomst)</t>
        </is>
      </c>
      <c r="E130" t="inlineStr">
        <is>
          <t>besök</t>
        </is>
      </c>
      <c r="F130" t="inlineStr">
        <is>
          <t>XX kr</t>
        </is>
      </c>
      <c r="H130" t="inlineStr">
        <is>
          <t>Ej kopplad</t>
        </is>
      </c>
      <c r="J130" t="inlineStr">
        <is>
          <t>parser3_result.json</t>
        </is>
      </c>
    </row>
    <row r="131">
      <c r="A131" t="inlineStr">
        <is>
          <t>6.1.1</t>
        </is>
      </c>
      <c r="C131" t="inlineStr">
        <is>
          <t>Ej redovisad eller fel redovisad fraktion av avfall</t>
        </is>
      </c>
      <c r="E131" t="inlineStr">
        <is>
          <t>fraktion</t>
        </is>
      </c>
      <c r="F131" t="inlineStr">
        <is>
          <t>XXXX kr</t>
        </is>
      </c>
      <c r="H131" t="inlineStr">
        <is>
          <t>Ej kopplad</t>
        </is>
      </c>
      <c r="J131" t="inlineStr">
        <is>
          <t>parser3_result.json</t>
        </is>
      </c>
    </row>
    <row r="132">
      <c r="A132" t="inlineStr">
        <is>
          <t>6.1.2</t>
        </is>
      </c>
      <c r="C132" t="inlineStr">
        <is>
          <t>Avfall till energiåtervinning (240 L sopsäck)</t>
        </is>
      </c>
      <c r="E132" t="inlineStr">
        <is>
          <t>styck</t>
        </is>
      </c>
      <c r="H132" t="inlineStr">
        <is>
          <t>Ej kopplad</t>
        </is>
      </c>
      <c r="J132" t="inlineStr">
        <is>
          <t>parser3_result.json</t>
        </is>
      </c>
    </row>
    <row r="133">
      <c r="A133" t="inlineStr">
        <is>
          <t>6.1.2</t>
        </is>
      </c>
      <c r="C133" t="inlineStr">
        <is>
          <t>Avfall till energiåtervinning</t>
        </is>
      </c>
      <c r="E133" t="inlineStr">
        <is>
          <t>kilogram</t>
        </is>
      </c>
      <c r="H133" t="inlineStr">
        <is>
          <t>Ej kopplad</t>
        </is>
      </c>
      <c r="J133" t="inlineStr">
        <is>
          <t>parser3_result.json</t>
        </is>
      </c>
    </row>
    <row r="134">
      <c r="A134" t="inlineStr">
        <is>
          <t>6.1.2</t>
        </is>
      </c>
      <c r="C134" t="inlineStr">
        <is>
          <t>Skrymmande avfall till energiåtervinning större än 20×20×80</t>
        </is>
      </c>
      <c r="E134" t="inlineStr">
        <is>
          <t>kilogram</t>
        </is>
      </c>
      <c r="H134" t="inlineStr">
        <is>
          <t>Ej kopplad</t>
        </is>
      </c>
      <c r="J134" t="inlineStr">
        <is>
          <t>parser3_result.json</t>
        </is>
      </c>
    </row>
    <row r="135">
      <c r="A135" t="inlineStr">
        <is>
          <t>6.1.2</t>
        </is>
      </c>
      <c r="C135" t="inlineStr">
        <is>
          <t>Träavfall – obehandlat, utan tapet, plastmatta, tjärpapp</t>
        </is>
      </c>
      <c r="E135" t="inlineStr">
        <is>
          <t>kilogram</t>
        </is>
      </c>
      <c r="H135" t="inlineStr">
        <is>
          <t>Ej kopplad</t>
        </is>
      </c>
      <c r="J135" t="inlineStr">
        <is>
          <t>parser3_result.json</t>
        </is>
      </c>
    </row>
    <row r="136">
      <c r="A136" t="inlineStr">
        <is>
          <t>6.1.2</t>
        </is>
      </c>
      <c r="C136" t="inlineStr">
        <is>
          <t>Träavfall – behandlat, utan tapet, plastmatta, tjärpapp</t>
        </is>
      </c>
      <c r="E136" t="inlineStr">
        <is>
          <t>kilogram</t>
        </is>
      </c>
      <c r="H136" t="inlineStr">
        <is>
          <t>Ej kopplad</t>
        </is>
      </c>
      <c r="J136" t="inlineStr">
        <is>
          <t>parser3_result.json</t>
        </is>
      </c>
    </row>
    <row r="137">
      <c r="A137" t="inlineStr">
        <is>
          <t>6.1.2</t>
        </is>
      </c>
      <c r="C137" t="inlineStr">
        <is>
          <t>Tryckimpregnerat virke, pall</t>
        </is>
      </c>
      <c r="E137" t="inlineStr">
        <is>
          <t>kilogram</t>
        </is>
      </c>
      <c r="H137" t="inlineStr">
        <is>
          <t>Ej kopplad</t>
        </is>
      </c>
      <c r="J137" t="inlineStr">
        <is>
          <t>parser3_result.json</t>
        </is>
      </c>
    </row>
    <row r="138">
      <c r="A138" t="inlineStr">
        <is>
          <t>6.1.2</t>
        </is>
      </c>
      <c r="C138" t="inlineStr">
        <is>
          <t>Betong, lättbetong</t>
        </is>
      </c>
      <c r="E138" t="inlineStr">
        <is>
          <t>kilogram</t>
        </is>
      </c>
      <c r="H138" t="inlineStr">
        <is>
          <t>Ej kopplad</t>
        </is>
      </c>
      <c r="J138" t="inlineStr">
        <is>
          <t>parser3_result.json</t>
        </is>
      </c>
    </row>
    <row r="139">
      <c r="A139" t="inlineStr">
        <is>
          <t>6.1.2</t>
        </is>
      </c>
      <c r="C139" t="inlineStr">
        <is>
          <t>Gips, gipsskivor</t>
        </is>
      </c>
      <c r="E139" t="inlineStr">
        <is>
          <t>kilogram</t>
        </is>
      </c>
      <c r="H139" t="inlineStr">
        <is>
          <t>Ej kopplad</t>
        </is>
      </c>
      <c r="J139" t="inlineStr">
        <is>
          <t>parser3_result.json</t>
        </is>
      </c>
    </row>
    <row r="140">
      <c r="A140" t="inlineStr">
        <is>
          <t>6.1.2</t>
        </is>
      </c>
      <c r="C140" t="inlineStr">
        <is>
          <t>Tegel</t>
        </is>
      </c>
      <c r="E140" t="inlineStr">
        <is>
          <t>kilogram</t>
        </is>
      </c>
      <c r="H140" t="inlineStr">
        <is>
          <t>Ej kopplad</t>
        </is>
      </c>
      <c r="J140" t="inlineStr">
        <is>
          <t>parser3_result.json</t>
        </is>
      </c>
    </row>
    <row r="141">
      <c r="A141" t="inlineStr">
        <is>
          <t>6.1.2</t>
        </is>
      </c>
      <c r="C141" t="inlineStr">
        <is>
          <t>Fönster- och planglas utan karm</t>
        </is>
      </c>
      <c r="E141" t="inlineStr">
        <is>
          <t>kilogram</t>
        </is>
      </c>
      <c r="H141" t="inlineStr">
        <is>
          <t>Ej kopplad</t>
        </is>
      </c>
      <c r="J141" t="inlineStr">
        <is>
          <t>parser3_result.json</t>
        </is>
      </c>
    </row>
    <row r="142">
      <c r="A142" t="inlineStr">
        <is>
          <t>6.1.2</t>
        </is>
      </c>
      <c r="C142" t="inlineStr">
        <is>
          <t>Fönster med karm</t>
        </is>
      </c>
      <c r="H142" t="inlineStr">
        <is>
          <t>Ej kopplad</t>
        </is>
      </c>
      <c r="J142" t="inlineStr">
        <is>
          <t>parser3_result.json</t>
        </is>
      </c>
    </row>
    <row r="143">
      <c r="A143" t="inlineStr">
        <is>
          <t>6.1.2</t>
        </is>
      </c>
      <c r="C143" t="inlineStr">
        <is>
          <t>Plast</t>
        </is>
      </c>
      <c r="E143" t="inlineStr">
        <is>
          <t>kilogram</t>
        </is>
      </c>
      <c r="H143" t="inlineStr">
        <is>
          <t>Ej kopplad</t>
        </is>
      </c>
      <c r="J143" t="inlineStr">
        <is>
          <t>parser3_result.json</t>
        </is>
      </c>
    </row>
    <row r="144">
      <c r="A144" t="inlineStr">
        <is>
          <t>6.1.2</t>
        </is>
      </c>
      <c r="C144" t="inlineStr">
        <is>
          <t>Isolering utan innehåll av asbest</t>
        </is>
      </c>
      <c r="E144" t="inlineStr">
        <is>
          <t>m³</t>
        </is>
      </c>
      <c r="H144" t="inlineStr">
        <is>
          <t>Ej kopplad</t>
        </is>
      </c>
      <c r="J144" t="inlineStr">
        <is>
          <t>parser3_result.json</t>
        </is>
      </c>
    </row>
    <row r="145">
      <c r="A145" t="inlineStr">
        <is>
          <t>6.1.2</t>
        </is>
      </c>
      <c r="C145" t="inlineStr">
        <is>
          <t>Klinker, keramik, porslin</t>
        </is>
      </c>
      <c r="E145" t="inlineStr">
        <is>
          <t>kilogram</t>
        </is>
      </c>
      <c r="H145" t="inlineStr">
        <is>
          <t>Ej kopplad</t>
        </is>
      </c>
      <c r="J145" t="inlineStr">
        <is>
          <t>parser3_result.json</t>
        </is>
      </c>
    </row>
    <row r="146">
      <c r="A146" t="inlineStr">
        <is>
          <t>6.1.2</t>
        </is>
      </c>
      <c r="C146" t="inlineStr">
        <is>
          <t>Handfat</t>
        </is>
      </c>
      <c r="E146" t="inlineStr">
        <is>
          <t>styck</t>
        </is>
      </c>
      <c r="H146" t="inlineStr">
        <is>
          <t>Ej kopplad</t>
        </is>
      </c>
      <c r="J146" t="inlineStr">
        <is>
          <t>parser3_result.json</t>
        </is>
      </c>
    </row>
    <row r="147">
      <c r="A147" t="inlineStr">
        <is>
          <t>6.1.2</t>
        </is>
      </c>
      <c r="C147" t="inlineStr">
        <is>
          <t>WC-stol</t>
        </is>
      </c>
      <c r="E147" t="inlineStr">
        <is>
          <t>styck</t>
        </is>
      </c>
      <c r="H147" t="inlineStr">
        <is>
          <t>Ej kopplad</t>
        </is>
      </c>
      <c r="J147" t="inlineStr">
        <is>
          <t>parser3_result.json</t>
        </is>
      </c>
    </row>
    <row r="148">
      <c r="A148" t="inlineStr">
        <is>
          <t>6.1.2</t>
        </is>
      </c>
      <c r="C148" t="inlineStr">
        <is>
          <t>Metall</t>
        </is>
      </c>
      <c r="E148" t="inlineStr">
        <is>
          <t>kilogram</t>
        </is>
      </c>
      <c r="H148" t="inlineStr">
        <is>
          <t>Ej kopplad</t>
        </is>
      </c>
      <c r="J148" t="inlineStr">
        <is>
          <t>parser3_result.json</t>
        </is>
      </c>
    </row>
    <row r="149">
      <c r="A149" t="inlineStr">
        <is>
          <t>6.1.2</t>
        </is>
      </c>
      <c r="C149" t="inlineStr">
        <is>
          <t>Textilier</t>
        </is>
      </c>
      <c r="E149" t="inlineStr">
        <is>
          <t>kilogram</t>
        </is>
      </c>
      <c r="H149" t="inlineStr">
        <is>
          <t>Ej kopplad</t>
        </is>
      </c>
      <c r="J149" t="inlineStr">
        <is>
          <t>parser3_result.json</t>
        </is>
      </c>
    </row>
    <row r="150">
      <c r="A150" t="inlineStr">
        <is>
          <t>6.1.2</t>
        </is>
      </c>
      <c r="C150" t="inlineStr">
        <is>
          <t>Fiskeredskap</t>
        </is>
      </c>
      <c r="E150" t="inlineStr">
        <is>
          <t>kilogram</t>
        </is>
      </c>
      <c r="H150" t="inlineStr">
        <is>
          <t>Ej kopplad</t>
        </is>
      </c>
      <c r="J150" t="inlineStr">
        <is>
          <t>parser3_result.json</t>
        </is>
      </c>
    </row>
    <row r="151">
      <c r="A151" t="inlineStr">
        <is>
          <t>6.1.2</t>
        </is>
      </c>
      <c r="C151" t="inlineStr">
        <is>
          <t>Ätbart fett/frityrolja</t>
        </is>
      </c>
      <c r="E151" t="inlineStr">
        <is>
          <t>liter</t>
        </is>
      </c>
      <c r="H151" t="inlineStr">
        <is>
          <t>Ej kopplad</t>
        </is>
      </c>
      <c r="J151" t="inlineStr">
        <is>
          <t>parser3_result.json</t>
        </is>
      </c>
    </row>
    <row r="152">
      <c r="A152" t="inlineStr">
        <is>
          <t>6.1.2</t>
        </is>
      </c>
      <c r="C152" t="inlineStr">
        <is>
          <t>Kvistar och grenar</t>
        </is>
      </c>
      <c r="E152" t="inlineStr">
        <is>
          <t>m³</t>
        </is>
      </c>
      <c r="H152" t="inlineStr">
        <is>
          <t>Ej kopplad</t>
        </is>
      </c>
      <c r="J152" t="inlineStr">
        <is>
          <t>parser3_result.json</t>
        </is>
      </c>
    </row>
    <row r="153">
      <c r="A153" t="inlineStr">
        <is>
          <t>6.1.2</t>
        </is>
      </c>
      <c r="C153" t="inlineStr">
        <is>
          <t>Jord</t>
        </is>
      </c>
      <c r="H153" t="inlineStr">
        <is>
          <t>Ej kopplad</t>
        </is>
      </c>
      <c r="J153" t="inlineStr">
        <is>
          <t>parser3_result.json</t>
        </is>
      </c>
    </row>
    <row r="154">
      <c r="A154" t="inlineStr">
        <is>
          <t>6.1.2</t>
        </is>
      </c>
      <c r="C154" t="inlineStr">
        <is>
          <t>Sten</t>
        </is>
      </c>
      <c r="H154" t="inlineStr">
        <is>
          <t>Ej kopplad</t>
        </is>
      </c>
      <c r="J154" t="inlineStr">
        <is>
          <t>parser3_result.json</t>
        </is>
      </c>
    </row>
    <row r="155">
      <c r="A155" t="inlineStr">
        <is>
          <t>6.1.2</t>
        </is>
      </c>
      <c r="C155" t="inlineStr">
        <is>
          <t>Stubbar/rötter för krossning</t>
        </is>
      </c>
      <c r="H155" t="inlineStr">
        <is>
          <t>Ej kopplad</t>
        </is>
      </c>
      <c r="J155" t="inlineStr">
        <is>
          <t>parser3_result.json</t>
        </is>
      </c>
    </row>
    <row r="156">
      <c r="A156" t="inlineStr">
        <is>
          <t>6.1.2</t>
        </is>
      </c>
      <c r="C156" t="inlineStr">
        <is>
          <t>Flera fraktioner för egen sortering på ramp (max 2 m³)</t>
        </is>
      </c>
      <c r="E156" t="inlineStr">
        <is>
          <t>m³</t>
        </is>
      </c>
      <c r="H156" t="inlineStr">
        <is>
          <t>Ej kopplad</t>
        </is>
      </c>
      <c r="J156" t="inlineStr">
        <is>
          <t>parser3_result.json</t>
        </is>
      </c>
    </row>
    <row r="157">
      <c r="A157" t="inlineStr">
        <is>
          <t>6.1.2</t>
        </is>
      </c>
      <c r="C157" t="inlineStr">
        <is>
          <t>Osorterat avfall till sortering (ej innehåll av farligt avfall och elavfall)</t>
        </is>
      </c>
      <c r="H157" t="inlineStr">
        <is>
          <t>Ej kopplad</t>
        </is>
      </c>
      <c r="J157" t="inlineStr">
        <is>
          <t>parser3_result.json</t>
        </is>
      </c>
    </row>
    <row r="158">
      <c r="A158" t="inlineStr">
        <is>
          <t>6.1.2</t>
        </is>
      </c>
      <c r="C158" t="inlineStr">
        <is>
          <t>Tonerkassetter, utan elektronik/chip</t>
        </is>
      </c>
      <c r="E158" t="inlineStr">
        <is>
          <t>kilogram</t>
        </is>
      </c>
      <c r="F158" t="inlineStr">
        <is>
          <t>31,88</t>
        </is>
      </c>
      <c r="H158" t="inlineStr">
        <is>
          <t>Ej kopplad</t>
        </is>
      </c>
      <c r="J158" t="inlineStr">
        <is>
          <t>parser3_result.json</t>
        </is>
      </c>
    </row>
    <row r="159">
      <c r="A159" t="inlineStr">
        <is>
          <t>6.1.2</t>
        </is>
      </c>
      <c r="C159" t="inlineStr">
        <is>
          <t>Oljeemulsion, emballerat</t>
        </is>
      </c>
      <c r="E159" t="inlineStr">
        <is>
          <t>kilogram</t>
        </is>
      </c>
      <c r="F159" t="inlineStr">
        <is>
          <t>20,81</t>
        </is>
      </c>
      <c r="H159" t="inlineStr">
        <is>
          <t>Ej kopplad</t>
        </is>
      </c>
      <c r="J159" t="inlineStr">
        <is>
          <t>parser3_result.json</t>
        </is>
      </c>
    </row>
    <row r="160">
      <c r="A160" t="inlineStr">
        <is>
          <t>6.1.2</t>
        </is>
      </c>
      <c r="C160" t="inlineStr">
        <is>
          <t>Förorenad olja innehållande PCB</t>
        </is>
      </c>
      <c r="E160" t="inlineStr">
        <is>
          <t>kilogram</t>
        </is>
      </c>
      <c r="F160" t="inlineStr">
        <is>
          <t>38,25</t>
        </is>
      </c>
      <c r="H160" t="inlineStr">
        <is>
          <t>Ej kopplad</t>
        </is>
      </c>
      <c r="J160" t="inlineStr">
        <is>
          <t>parser3_result.json</t>
        </is>
      </c>
    </row>
    <row r="161">
      <c r="A161" t="inlineStr">
        <is>
          <t>6.1.2</t>
        </is>
      </c>
      <c r="C161" t="inlineStr">
        <is>
          <t>Oljeavskiljarslam</t>
        </is>
      </c>
      <c r="E161" t="inlineStr">
        <is>
          <t>kilogram</t>
        </is>
      </c>
      <c r="F161" t="inlineStr">
        <is>
          <t>6,56</t>
        </is>
      </c>
      <c r="H161" t="inlineStr">
        <is>
          <t>Ej kopplad</t>
        </is>
      </c>
      <c r="J161" t="inlineStr">
        <is>
          <t>parser3_result.json</t>
        </is>
      </c>
    </row>
    <row r="162">
      <c r="A162" t="inlineStr">
        <is>
          <t>6.1.2</t>
        </is>
      </c>
      <c r="C162" t="inlineStr">
        <is>
          <t>Diesel</t>
        </is>
      </c>
      <c r="E162" t="inlineStr">
        <is>
          <t>kilogram</t>
        </is>
      </c>
      <c r="F162" t="inlineStr">
        <is>
          <t>21,94</t>
        </is>
      </c>
      <c r="H162" t="inlineStr">
        <is>
          <t>Ej kopplad</t>
        </is>
      </c>
      <c r="J162" t="inlineStr">
        <is>
          <t>parser3_result.json</t>
        </is>
      </c>
    </row>
    <row r="163">
      <c r="A163" t="inlineStr">
        <is>
          <t>6.1.2</t>
        </is>
      </c>
      <c r="C163" t="inlineStr">
        <is>
          <t>Bensinrester</t>
        </is>
      </c>
      <c r="E163" t="inlineStr">
        <is>
          <t>kilogram</t>
        </is>
      </c>
      <c r="F163" t="inlineStr">
        <is>
          <t>21,94</t>
        </is>
      </c>
      <c r="H163" t="inlineStr">
        <is>
          <t>Ej kopplad</t>
        </is>
      </c>
      <c r="J163" t="inlineStr">
        <is>
          <t>parser3_result.json</t>
        </is>
      </c>
    </row>
    <row r="164">
      <c r="A164" t="inlineStr">
        <is>
          <t>6.1.2</t>
        </is>
      </c>
      <c r="C164" t="inlineStr">
        <is>
          <t>Hydralslang, med/utan koppling</t>
        </is>
      </c>
      <c r="E164" t="inlineStr">
        <is>
          <t>kilogram</t>
        </is>
      </c>
      <c r="F164" t="inlineStr">
        <is>
          <t>33,94</t>
        </is>
      </c>
      <c r="H164" t="inlineStr">
        <is>
          <t>Ej kopplad</t>
        </is>
      </c>
      <c r="J164" t="inlineStr">
        <is>
          <t>parser3_result.json</t>
        </is>
      </c>
    </row>
    <row r="165">
      <c r="A165" t="inlineStr">
        <is>
          <t>6.1.2</t>
        </is>
      </c>
      <c r="C165" t="inlineStr">
        <is>
          <t>Förpackningar, tömde ej rengjorda</t>
        </is>
      </c>
      <c r="E165" t="inlineStr">
        <is>
          <t>kilogram</t>
        </is>
      </c>
      <c r="F165" t="inlineStr">
        <is>
          <t>25,50</t>
        </is>
      </c>
      <c r="H165" t="inlineStr">
        <is>
          <t>Ej kopplad</t>
        </is>
      </c>
      <c r="J165" t="inlineStr">
        <is>
          <t>parser3_result.json</t>
        </is>
      </c>
    </row>
    <row r="166">
      <c r="A166" t="inlineStr">
        <is>
          <t>6.1.2</t>
        </is>
      </c>
      <c r="C166" t="inlineStr">
        <is>
          <t>Oljeavfall, fast osorterat emba</t>
        </is>
      </c>
      <c r="E166" t="inlineStr">
        <is>
          <t>kilogram</t>
        </is>
      </c>
      <c r="F166" t="inlineStr">
        <is>
          <t>23,44</t>
        </is>
      </c>
      <c r="H166" t="inlineStr">
        <is>
          <t>Ej kopplad</t>
        </is>
      </c>
      <c r="J166" t="inlineStr">
        <is>
          <t>parser3_result.json</t>
        </is>
      </c>
    </row>
    <row r="167">
      <c r="A167" t="inlineStr">
        <is>
          <t>6.1.2</t>
        </is>
      </c>
      <c r="C167" t="inlineStr">
        <is>
          <t>Absorbermedel, filtermaterial</t>
        </is>
      </c>
      <c r="E167" t="inlineStr">
        <is>
          <t>kilogram</t>
        </is>
      </c>
      <c r="F167" t="inlineStr">
        <is>
          <t>15,38</t>
        </is>
      </c>
      <c r="H167" t="inlineStr">
        <is>
          <t>Ej kopplad</t>
        </is>
      </c>
      <c r="J167" t="inlineStr">
        <is>
          <t>parser3_result.json</t>
        </is>
      </c>
    </row>
    <row r="168">
      <c r="A168" t="inlineStr">
        <is>
          <t>6.1.2</t>
        </is>
      </c>
      <c r="C168" t="inlineStr">
        <is>
          <t>Oljefilter</t>
        </is>
      </c>
      <c r="E168" t="inlineStr">
        <is>
          <t>kilogram</t>
        </is>
      </c>
      <c r="F168" t="inlineStr">
        <is>
          <t>15,38</t>
        </is>
      </c>
      <c r="H168" t="inlineStr">
        <is>
          <t>Ej kopplad</t>
        </is>
      </c>
      <c r="J168" t="inlineStr">
        <is>
          <t>parser3_result.json</t>
        </is>
      </c>
    </row>
    <row r="169">
      <c r="A169" t="inlineStr">
        <is>
          <t>6.1.2</t>
        </is>
      </c>
      <c r="C169" t="inlineStr">
        <is>
          <t>Bromsvätska</t>
        </is>
      </c>
      <c r="E169" t="inlineStr">
        <is>
          <t>kilogram</t>
        </is>
      </c>
      <c r="F169" t="inlineStr">
        <is>
          <t>11,44</t>
        </is>
      </c>
      <c r="H169" t="inlineStr">
        <is>
          <t>Ej kopplad</t>
        </is>
      </c>
      <c r="J169" t="inlineStr">
        <is>
          <t>parser3_result.json</t>
        </is>
      </c>
    </row>
    <row r="170">
      <c r="A170" t="inlineStr">
        <is>
          <t>6.1.2</t>
        </is>
      </c>
      <c r="C170" t="inlineStr">
        <is>
          <t>Transformator, kondensator med PCB</t>
        </is>
      </c>
      <c r="E170" t="inlineStr">
        <is>
          <t>kilogram</t>
        </is>
      </c>
      <c r="F170" t="inlineStr">
        <is>
          <t>84,94</t>
        </is>
      </c>
      <c r="H170" t="inlineStr">
        <is>
          <t>Ej kopplad</t>
        </is>
      </c>
      <c r="J170" t="inlineStr">
        <is>
          <t>parser3_result.json</t>
        </is>
      </c>
    </row>
    <row r="171">
      <c r="A171" t="inlineStr">
        <is>
          <t>6.1.2</t>
        </is>
      </c>
      <c r="C171" t="inlineStr">
        <is>
          <t>Fogskum</t>
        </is>
      </c>
      <c r="E171" t="inlineStr">
        <is>
          <t>kilogram</t>
        </is>
      </c>
      <c r="F171" t="inlineStr">
        <is>
          <t>90,00</t>
        </is>
      </c>
      <c r="H171" t="inlineStr">
        <is>
          <t>Ej kopplad</t>
        </is>
      </c>
      <c r="J171" t="inlineStr">
        <is>
          <t>parser3_result.json</t>
        </is>
      </c>
    </row>
    <row r="172">
      <c r="A172" t="inlineStr">
        <is>
          <t>6.1.2</t>
        </is>
      </c>
      <c r="C172" t="inlineStr">
        <is>
          <t>Halon</t>
        </is>
      </c>
      <c r="E172" t="inlineStr">
        <is>
          <t>kilogram</t>
        </is>
      </c>
      <c r="F172" t="inlineStr">
        <is>
          <t>127,50</t>
        </is>
      </c>
      <c r="H172" t="inlineStr">
        <is>
          <t>Ej kopplad</t>
        </is>
      </c>
      <c r="J172" t="inlineStr">
        <is>
          <t>parser3_result.json</t>
        </is>
      </c>
    </row>
    <row r="173">
      <c r="A173" t="inlineStr">
        <is>
          <t>6.1.2</t>
        </is>
      </c>
      <c r="C173" t="inlineStr">
        <is>
          <t>Koldioxid</t>
        </is>
      </c>
      <c r="E173" t="inlineStr">
        <is>
          <t>kilogram</t>
        </is>
      </c>
      <c r="F173" t="inlineStr">
        <is>
          <t>112,13</t>
        </is>
      </c>
      <c r="H173" t="inlineStr">
        <is>
          <t>Ej kopplad</t>
        </is>
      </c>
      <c r="J173" t="inlineStr">
        <is>
          <t>parser3_result.json</t>
        </is>
      </c>
    </row>
    <row r="174">
      <c r="A174" t="inlineStr">
        <is>
          <t>6.1.2</t>
        </is>
      </c>
      <c r="C174" t="inlineStr">
        <is>
          <t>Brandsläckare</t>
        </is>
      </c>
      <c r="E174" t="inlineStr">
        <is>
          <t>kilogram</t>
        </is>
      </c>
      <c r="F174" t="inlineStr">
        <is>
          <t>91,69</t>
        </is>
      </c>
      <c r="H174" t="inlineStr">
        <is>
          <t>Ej kopplad</t>
        </is>
      </c>
      <c r="J174" t="inlineStr">
        <is>
          <t>parser3_result.json</t>
        </is>
      </c>
    </row>
    <row r="175">
      <c r="A175" t="inlineStr">
        <is>
          <t>6.1.2</t>
        </is>
      </c>
      <c r="C175" t="inlineStr">
        <is>
          <t>Helium</t>
        </is>
      </c>
      <c r="E175" t="inlineStr">
        <is>
          <t>kilogram</t>
        </is>
      </c>
      <c r="F175" t="inlineStr">
        <is>
          <t>117,19</t>
        </is>
      </c>
      <c r="H175" t="inlineStr">
        <is>
          <t>Ej kopplad</t>
        </is>
      </c>
      <c r="J175" t="inlineStr">
        <is>
          <t>parser3_result.json</t>
        </is>
      </c>
    </row>
    <row r="176">
      <c r="A176" t="inlineStr">
        <is>
          <t>6.1.2</t>
        </is>
      </c>
      <c r="C176" t="inlineStr">
        <is>
          <t>Tändare</t>
        </is>
      </c>
      <c r="E176" t="inlineStr">
        <is>
          <t>kilogram</t>
        </is>
      </c>
      <c r="F176" t="inlineStr">
        <is>
          <t>127,50</t>
        </is>
      </c>
      <c r="H176" t="inlineStr">
        <is>
          <t>Ej kopplad</t>
        </is>
      </c>
      <c r="J176" t="inlineStr">
        <is>
          <t>parser3_result.json</t>
        </is>
      </c>
    </row>
    <row r="177">
      <c r="A177" t="inlineStr">
        <is>
          <t>6.1.2</t>
        </is>
      </c>
      <c r="C177" t="inlineStr">
        <is>
          <t>Syrgas</t>
        </is>
      </c>
      <c r="E177" t="inlineStr">
        <is>
          <t>kilogram</t>
        </is>
      </c>
      <c r="F177" t="inlineStr">
        <is>
          <t>117,19</t>
        </is>
      </c>
      <c r="H177" t="inlineStr">
        <is>
          <t>Ej kopplad</t>
        </is>
      </c>
      <c r="J177" t="inlineStr">
        <is>
          <t>parser3_result.json</t>
        </is>
      </c>
    </row>
    <row r="178">
      <c r="A178" t="inlineStr">
        <is>
          <t>6.1.2</t>
        </is>
      </c>
      <c r="C178" t="inlineStr">
        <is>
          <t>Oxiderande fast ämne/vätska</t>
        </is>
      </c>
      <c r="E178" t="inlineStr">
        <is>
          <t>kilogram</t>
        </is>
      </c>
      <c r="F178" t="inlineStr">
        <is>
          <t>103,31</t>
        </is>
      </c>
      <c r="H178" t="inlineStr">
        <is>
          <t>Ej kopplad</t>
        </is>
      </c>
      <c r="J178" t="inlineStr">
        <is>
          <t>parser3_result.json</t>
        </is>
      </c>
    </row>
    <row r="179">
      <c r="A179" t="inlineStr">
        <is>
          <t>6.1.2</t>
        </is>
      </c>
      <c r="C179" t="inlineStr">
        <is>
          <t>Klorex</t>
        </is>
      </c>
      <c r="E179" t="inlineStr">
        <is>
          <t>kilogram</t>
        </is>
      </c>
      <c r="F179" t="inlineStr">
        <is>
          <t>103,31</t>
        </is>
      </c>
      <c r="H179" t="inlineStr">
        <is>
          <t>Ej kopplad</t>
        </is>
      </c>
      <c r="J179" t="inlineStr">
        <is>
          <t>parser3_result.json</t>
        </is>
      </c>
    </row>
    <row r="180">
      <c r="A180" t="inlineStr">
        <is>
          <t>6.1.2</t>
        </is>
      </c>
      <c r="C180" t="inlineStr">
        <is>
          <t>Aerosoler isocyanat, bekämpning</t>
        </is>
      </c>
      <c r="E180" t="inlineStr">
        <is>
          <t>kilogram</t>
        </is>
      </c>
      <c r="F180" t="inlineStr">
        <is>
          <t>101,06</t>
        </is>
      </c>
      <c r="H180" t="inlineStr">
        <is>
          <t>Ej kopplad</t>
        </is>
      </c>
      <c r="J180" t="inlineStr">
        <is>
          <t>parser3_result.json</t>
        </is>
      </c>
    </row>
    <row r="181">
      <c r="A181" t="inlineStr">
        <is>
          <t>6.1.2</t>
        </is>
      </c>
      <c r="C181" t="inlineStr">
        <is>
          <t>Gasol inkl tub</t>
        </is>
      </c>
      <c r="E181" t="inlineStr">
        <is>
          <t>kilogram</t>
        </is>
      </c>
      <c r="F181" t="inlineStr">
        <is>
          <t>102,00</t>
        </is>
      </c>
      <c r="H181" t="inlineStr">
        <is>
          <t>Ej kopplad</t>
        </is>
      </c>
      <c r="J181" t="inlineStr">
        <is>
          <t>parser3_result.json</t>
        </is>
      </c>
    </row>
    <row r="182">
      <c r="A182" t="inlineStr">
        <is>
          <t>6.1.2</t>
        </is>
      </c>
      <c r="C182" t="inlineStr">
        <is>
          <t>Gasol, blå programmet</t>
        </is>
      </c>
      <c r="E182" t="inlineStr">
        <is>
          <t>kilogram</t>
        </is>
      </c>
      <c r="F182" t="inlineStr">
        <is>
          <t>169,88</t>
        </is>
      </c>
      <c r="H182" t="inlineStr">
        <is>
          <t>Ej kopplad</t>
        </is>
      </c>
      <c r="J182" t="inlineStr">
        <is>
          <t>parser3_result.json</t>
        </is>
      </c>
    </row>
    <row r="183">
      <c r="A183" t="inlineStr">
        <is>
          <t>6.1.2</t>
        </is>
      </c>
      <c r="C183" t="inlineStr">
        <is>
          <t>Giftig organisk vätska</t>
        </is>
      </c>
      <c r="E183" t="inlineStr">
        <is>
          <t>kilogram</t>
        </is>
      </c>
      <c r="F183" t="inlineStr">
        <is>
          <t>103,31</t>
        </is>
      </c>
      <c r="H183" t="inlineStr">
        <is>
          <t>Ej kopplad</t>
        </is>
      </c>
      <c r="J183" t="inlineStr">
        <is>
          <t>parser3_result.json</t>
        </is>
      </c>
    </row>
    <row r="184">
      <c r="A184" t="inlineStr">
        <is>
          <t>6.1.2</t>
        </is>
      </c>
      <c r="C184" t="inlineStr">
        <is>
          <t>Småkemikalier, ej Hg-haltiga</t>
        </is>
      </c>
      <c r="E184" t="inlineStr">
        <is>
          <t>kilogram</t>
        </is>
      </c>
      <c r="F184" t="inlineStr">
        <is>
          <t>103,31</t>
        </is>
      </c>
      <c r="H184" t="inlineStr">
        <is>
          <t>Ej kopplad</t>
        </is>
      </c>
      <c r="J184" t="inlineStr">
        <is>
          <t>parser3_result.json</t>
        </is>
      </c>
    </row>
    <row r="185">
      <c r="A185" t="inlineStr">
        <is>
          <t>6.1.2</t>
        </is>
      </c>
      <c r="C185" t="inlineStr">
        <is>
          <t>Giftig oorganisk vätska</t>
        </is>
      </c>
      <c r="E185" t="inlineStr">
        <is>
          <t>kilogram</t>
        </is>
      </c>
      <c r="F185" t="inlineStr">
        <is>
          <t>103,31</t>
        </is>
      </c>
      <c r="H185" t="inlineStr">
        <is>
          <t>Ej kopplad</t>
        </is>
      </c>
      <c r="J185" t="inlineStr">
        <is>
          <t>parser3_result.json</t>
        </is>
      </c>
    </row>
    <row r="186">
      <c r="A186" t="inlineStr">
        <is>
          <t>6.1.2</t>
        </is>
      </c>
      <c r="C186" t="inlineStr">
        <is>
          <t>Oxidationsmedel, flytande</t>
        </is>
      </c>
      <c r="E186" t="inlineStr">
        <is>
          <t>kilogram</t>
        </is>
      </c>
      <c r="F186" t="inlineStr">
        <is>
          <t>103,31</t>
        </is>
      </c>
      <c r="H186" t="inlineStr">
        <is>
          <t>Ej kopplad</t>
        </is>
      </c>
      <c r="J186" t="inlineStr">
        <is>
          <t>parser3_result.json</t>
        </is>
      </c>
    </row>
    <row r="187">
      <c r="A187" t="inlineStr">
        <is>
          <t>6.1.2</t>
        </is>
      </c>
      <c r="C187" t="inlineStr">
        <is>
          <t>Asbest, emballerat</t>
        </is>
      </c>
      <c r="E187" t="inlineStr">
        <is>
          <t>kilogram</t>
        </is>
      </c>
      <c r="F187" t="inlineStr">
        <is>
          <t>22,88</t>
        </is>
      </c>
      <c r="H187" t="inlineStr">
        <is>
          <t>Ej kopplad</t>
        </is>
      </c>
      <c r="J187" t="inlineStr">
        <is>
          <t>parser3_result.json</t>
        </is>
      </c>
    </row>
    <row r="188">
      <c r="A188" t="inlineStr">
        <is>
          <t>6.1.2</t>
        </is>
      </c>
      <c r="C188" t="inlineStr">
        <is>
          <t>Smittförande avfall</t>
        </is>
      </c>
      <c r="E188" t="inlineStr">
        <is>
          <t>kilogram</t>
        </is>
      </c>
      <c r="F188" t="inlineStr">
        <is>
          <t>40,31</t>
        </is>
      </c>
      <c r="H188" t="inlineStr">
        <is>
          <t>Ej kopplad</t>
        </is>
      </c>
      <c r="J188" t="inlineStr">
        <is>
          <t>parser3_result.json</t>
        </is>
      </c>
    </row>
    <row r="189">
      <c r="A189" t="inlineStr">
        <is>
          <t>6.1.2</t>
        </is>
      </c>
      <c r="C189" t="inlineStr">
        <is>
          <t>Lösningsmedel</t>
        </is>
      </c>
      <c r="E189" t="inlineStr">
        <is>
          <t>kilogram</t>
        </is>
      </c>
      <c r="F189" t="inlineStr">
        <is>
          <t>20,63</t>
        </is>
      </c>
      <c r="H189" t="inlineStr">
        <is>
          <t>Ej kopplad</t>
        </is>
      </c>
      <c r="J189" t="inlineStr">
        <is>
          <t>parser3_result.json</t>
        </is>
      </c>
    </row>
    <row r="190">
      <c r="A190" t="inlineStr">
        <is>
          <t>6.1.2</t>
        </is>
      </c>
      <c r="C190" t="inlineStr">
        <is>
          <t>Väteperoxid</t>
        </is>
      </c>
      <c r="E190" t="inlineStr">
        <is>
          <t>kilogram</t>
        </is>
      </c>
      <c r="F190" t="inlineStr">
        <is>
          <t>103,31</t>
        </is>
      </c>
      <c r="H190" t="inlineStr">
        <is>
          <t>Ej kopplad</t>
        </is>
      </c>
      <c r="J190" t="inlineStr">
        <is>
          <t>parser3_result.json</t>
        </is>
      </c>
    </row>
    <row r="191">
      <c r="A191" t="inlineStr">
        <is>
          <t>6.1.2</t>
        </is>
      </c>
      <c r="C191" t="inlineStr">
        <is>
          <t>Flourvätesyra</t>
        </is>
      </c>
      <c r="E191" t="inlineStr">
        <is>
          <t>kilogram</t>
        </is>
      </c>
      <c r="F191" t="inlineStr">
        <is>
          <t>81,38</t>
        </is>
      </c>
      <c r="H191" t="inlineStr">
        <is>
          <t>Ej kopplad</t>
        </is>
      </c>
      <c r="J191" t="inlineStr">
        <is>
          <t>parser3_result.json</t>
        </is>
      </c>
    </row>
    <row r="192">
      <c r="A192" t="inlineStr">
        <is>
          <t>6.1.2</t>
        </is>
      </c>
      <c r="C192" t="inlineStr">
        <is>
          <t>Svavelsyra</t>
        </is>
      </c>
      <c r="E192" t="inlineStr">
        <is>
          <t>kilogram</t>
        </is>
      </c>
      <c r="F192" t="inlineStr">
        <is>
          <t>81,38</t>
        </is>
      </c>
      <c r="H192" t="inlineStr">
        <is>
          <t>Ej kopplad</t>
        </is>
      </c>
      <c r="J192" t="inlineStr">
        <is>
          <t>parser3_result.json</t>
        </is>
      </c>
    </row>
    <row r="193">
      <c r="A193" t="inlineStr">
        <is>
          <t>6.1.2</t>
        </is>
      </c>
      <c r="C193" t="inlineStr">
        <is>
          <t>Salpetersyra</t>
        </is>
      </c>
      <c r="E193" t="inlineStr">
        <is>
          <t>kilogram</t>
        </is>
      </c>
      <c r="F193" t="inlineStr">
        <is>
          <t>81,38</t>
        </is>
      </c>
      <c r="H193" t="inlineStr">
        <is>
          <t>Ej kopplad</t>
        </is>
      </c>
      <c r="J193" t="inlineStr">
        <is>
          <t>parser3_result.json</t>
        </is>
      </c>
    </row>
    <row r="194">
      <c r="A194" t="inlineStr">
        <is>
          <t>6.1.2</t>
        </is>
      </c>
      <c r="C194" t="inlineStr">
        <is>
          <t>Surt oorganisk fast ämne</t>
        </is>
      </c>
      <c r="E194" t="inlineStr">
        <is>
          <t>kilogram</t>
        </is>
      </c>
      <c r="F194" t="inlineStr">
        <is>
          <t>103,31</t>
        </is>
      </c>
      <c r="H194" t="inlineStr">
        <is>
          <t>Ej kopplad</t>
        </is>
      </c>
      <c r="J194" t="inlineStr">
        <is>
          <t>parser3_result.json</t>
        </is>
      </c>
    </row>
    <row r="195">
      <c r="A195" t="inlineStr">
        <is>
          <t>6.1.2</t>
        </is>
      </c>
      <c r="C195" t="inlineStr">
        <is>
          <t>Surt organisk fast ämne</t>
        </is>
      </c>
      <c r="E195" t="inlineStr">
        <is>
          <t>kilogram</t>
        </is>
      </c>
      <c r="F195" t="inlineStr">
        <is>
          <t>127,50</t>
        </is>
      </c>
      <c r="H195" t="inlineStr">
        <is>
          <t>Ej kopplad</t>
        </is>
      </c>
      <c r="J195" t="inlineStr">
        <is>
          <t>parser3_result.json</t>
        </is>
      </c>
    </row>
    <row r="196">
      <c r="A196" t="inlineStr">
        <is>
          <t>6.1.2</t>
        </is>
      </c>
      <c r="C196" t="inlineStr">
        <is>
          <t>Surt oorganisk vätska</t>
        </is>
      </c>
      <c r="E196" t="inlineStr">
        <is>
          <t>kilogram</t>
        </is>
      </c>
      <c r="F196" t="inlineStr">
        <is>
          <t>127,50</t>
        </is>
      </c>
      <c r="H196" t="inlineStr">
        <is>
          <t>Ej kopplad</t>
        </is>
      </c>
      <c r="J196" t="inlineStr">
        <is>
          <t>parser3_result.json</t>
        </is>
      </c>
    </row>
    <row r="197">
      <c r="A197" t="inlineStr">
        <is>
          <t>6.1.2</t>
        </is>
      </c>
      <c r="C197" t="inlineStr">
        <is>
          <t>Surt organisk vätska</t>
        </is>
      </c>
      <c r="E197" t="inlineStr">
        <is>
          <t>kilogram</t>
        </is>
      </c>
      <c r="F197" t="inlineStr">
        <is>
          <t>127,50</t>
        </is>
      </c>
      <c r="H197" t="inlineStr">
        <is>
          <t>Ej kopplad</t>
        </is>
      </c>
      <c r="J197" t="inlineStr">
        <is>
          <t>parser3_result.json</t>
        </is>
      </c>
    </row>
    <row r="198">
      <c r="A198" t="inlineStr">
        <is>
          <t>6.1.2</t>
        </is>
      </c>
      <c r="C198" t="inlineStr">
        <is>
          <t>Ammoniaklösning</t>
        </is>
      </c>
      <c r="E198" t="inlineStr">
        <is>
          <t>kilogram</t>
        </is>
      </c>
      <c r="F198" t="inlineStr">
        <is>
          <t>63,38</t>
        </is>
      </c>
      <c r="H198" t="inlineStr">
        <is>
          <t>Ej kopplad</t>
        </is>
      </c>
      <c r="J198" t="inlineStr">
        <is>
          <t>parser3_result.json</t>
        </is>
      </c>
    </row>
    <row r="199">
      <c r="A199" t="inlineStr">
        <is>
          <t>6.1.2</t>
        </is>
      </c>
      <c r="C199" t="inlineStr">
        <is>
          <t>Alkaliskt avfall fast</t>
        </is>
      </c>
      <c r="E199" t="inlineStr">
        <is>
          <t>kilogram</t>
        </is>
      </c>
      <c r="F199" t="inlineStr">
        <is>
          <t>27,75</t>
        </is>
      </c>
      <c r="H199" t="inlineStr">
        <is>
          <t>Ej kopplad</t>
        </is>
      </c>
      <c r="J199" t="inlineStr">
        <is>
          <t>parser3_result.json</t>
        </is>
      </c>
    </row>
    <row r="200">
      <c r="A200" t="inlineStr">
        <is>
          <t>6.1.2</t>
        </is>
      </c>
      <c r="C200" t="inlineStr">
        <is>
          <t>Basiskt organiskt fast/flytande</t>
        </is>
      </c>
      <c r="E200" t="inlineStr">
        <is>
          <t>kilogram</t>
        </is>
      </c>
      <c r="F200" t="inlineStr">
        <is>
          <t>46,50</t>
        </is>
      </c>
      <c r="H200" t="inlineStr">
        <is>
          <t>Ej kopplad</t>
        </is>
      </c>
      <c r="J200" t="inlineStr">
        <is>
          <t>parser3_result.json</t>
        </is>
      </c>
    </row>
    <row r="201">
      <c r="A201" t="inlineStr">
        <is>
          <t>6.1.2</t>
        </is>
      </c>
      <c r="C201" t="inlineStr">
        <is>
          <t>Fotokemikalier</t>
        </is>
      </c>
      <c r="E201" t="inlineStr">
        <is>
          <t>kilogram</t>
        </is>
      </c>
      <c r="F201" t="inlineStr">
        <is>
          <t>38,25</t>
        </is>
      </c>
      <c r="H201" t="inlineStr">
        <is>
          <t>Ej kopplad</t>
        </is>
      </c>
      <c r="J201" t="inlineStr">
        <is>
          <t>parser3_result.json</t>
        </is>
      </c>
    </row>
    <row r="202">
      <c r="A202" t="inlineStr">
        <is>
          <t>6.1.2</t>
        </is>
      </c>
      <c r="C202" t="inlineStr">
        <is>
          <t>Bekämpningsmedel aerosoler</t>
        </is>
      </c>
      <c r="E202" t="inlineStr">
        <is>
          <t>kilogram</t>
        </is>
      </c>
      <c r="F202" t="inlineStr">
        <is>
          <t>73,69</t>
        </is>
      </c>
      <c r="H202" t="inlineStr">
        <is>
          <t>Ej kopplad</t>
        </is>
      </c>
      <c r="J202" t="inlineStr">
        <is>
          <t>parser3_result.json</t>
        </is>
      </c>
    </row>
    <row r="203">
      <c r="A203" t="inlineStr">
        <is>
          <t>6.1.2</t>
        </is>
      </c>
      <c r="C203" t="inlineStr">
        <is>
          <t>Bekämpningsmedel fast</t>
        </is>
      </c>
      <c r="E203" t="inlineStr">
        <is>
          <t>kilogram</t>
        </is>
      </c>
      <c r="F203" t="inlineStr">
        <is>
          <t>85,88</t>
        </is>
      </c>
      <c r="H203" t="inlineStr">
        <is>
          <t>Ej kopplad</t>
        </is>
      </c>
      <c r="J203" t="inlineStr">
        <is>
          <t>parser3_result.json</t>
        </is>
      </c>
    </row>
    <row r="204">
      <c r="A204" t="inlineStr">
        <is>
          <t>6.1.2</t>
        </is>
      </c>
      <c r="C204" t="inlineStr">
        <is>
          <t>Bekämpningsmedel flytande</t>
        </is>
      </c>
      <c r="E204" t="inlineStr">
        <is>
          <t>kilogram</t>
        </is>
      </c>
      <c r="F204" t="inlineStr">
        <is>
          <t>61,69</t>
        </is>
      </c>
      <c r="H204" t="inlineStr">
        <is>
          <t>Ej kopplad</t>
        </is>
      </c>
      <c r="J204" t="inlineStr">
        <is>
          <t>parser3_result.json</t>
        </is>
      </c>
    </row>
    <row r="205">
      <c r="A205" t="inlineStr">
        <is>
          <t>6.1.2</t>
        </is>
      </c>
      <c r="C205" t="inlineStr">
        <is>
          <t>Kvicksilverhaltigt avfall</t>
        </is>
      </c>
      <c r="E205" t="inlineStr">
        <is>
          <t>kilogram</t>
        </is>
      </c>
      <c r="F205" t="inlineStr">
        <is>
          <t>1 034,81</t>
        </is>
      </c>
      <c r="H205" t="inlineStr">
        <is>
          <t>Ej kopplad</t>
        </is>
      </c>
      <c r="J205" t="inlineStr">
        <is>
          <t>parser3_result.json</t>
        </is>
      </c>
    </row>
    <row r="206">
      <c r="A206" t="inlineStr">
        <is>
          <t>6.1.2</t>
        </is>
      </c>
      <c r="C206" t="inlineStr">
        <is>
          <t>Kvicksilver i föremål</t>
        </is>
      </c>
      <c r="E206" t="inlineStr">
        <is>
          <t>kilogram</t>
        </is>
      </c>
      <c r="F206" t="inlineStr">
        <is>
          <t>1 034,81</t>
        </is>
      </c>
      <c r="H206" t="inlineStr">
        <is>
          <t>Ej kopplad</t>
        </is>
      </c>
      <c r="J206" t="inlineStr">
        <is>
          <t>parser3_result.json</t>
        </is>
      </c>
    </row>
    <row r="207">
      <c r="A207" t="inlineStr">
        <is>
          <t>6.1.2</t>
        </is>
      </c>
      <c r="C207" t="inlineStr">
        <is>
          <t>Oljehaltigt avfall (ej PCB)</t>
        </is>
      </c>
      <c r="E207" t="inlineStr">
        <is>
          <t>liter</t>
        </is>
      </c>
      <c r="F207" t="inlineStr">
        <is>
          <t>15,94</t>
        </is>
      </c>
      <c r="H207" t="inlineStr">
        <is>
          <t>Ej kopplad</t>
        </is>
      </c>
      <c r="J207" t="inlineStr">
        <is>
          <t>parser3_result.json</t>
        </is>
      </c>
    </row>
    <row r="208">
      <c r="A208" t="inlineStr">
        <is>
          <t>6.1.2</t>
        </is>
      </c>
      <c r="C208" t="inlineStr">
        <is>
          <t>Olja förorenad (ej PCB)</t>
        </is>
      </c>
      <c r="E208" t="inlineStr">
        <is>
          <t>liter</t>
        </is>
      </c>
      <c r="F208" t="inlineStr">
        <is>
          <t>23,44</t>
        </is>
      </c>
      <c r="H208" t="inlineStr">
        <is>
          <t>Ej kopplad</t>
        </is>
      </c>
      <c r="J208" t="inlineStr">
        <is>
          <t>parser3_result.json</t>
        </is>
      </c>
    </row>
    <row r="209">
      <c r="A209" t="inlineStr">
        <is>
          <t>6.1.2</t>
        </is>
      </c>
      <c r="C209" t="inlineStr">
        <is>
          <t>Färg-, lack-, limburkar lösning</t>
        </is>
      </c>
      <c r="E209" t="inlineStr">
        <is>
          <t>kilogram</t>
        </is>
      </c>
      <c r="F209" t="inlineStr">
        <is>
          <t>19,88</t>
        </is>
      </c>
      <c r="H209" t="inlineStr">
        <is>
          <t>Ej kopplad</t>
        </is>
      </c>
      <c r="J209" t="inlineStr">
        <is>
          <t>parser3_result.json</t>
        </is>
      </c>
    </row>
    <row r="210">
      <c r="A210" t="inlineStr">
        <is>
          <t>6.1.2</t>
        </is>
      </c>
      <c r="C210" t="inlineStr">
        <is>
          <t>Färg-, lack-, limburkar lösning aerosoler</t>
        </is>
      </c>
      <c r="E210" t="inlineStr">
        <is>
          <t>kilogram</t>
        </is>
      </c>
      <c r="F210" t="inlineStr">
        <is>
          <t>43,31</t>
        </is>
      </c>
      <c r="H210" t="inlineStr">
        <is>
          <t>Ej kopplad</t>
        </is>
      </c>
      <c r="J210" t="inlineStr">
        <is>
          <t>parser3_result.json</t>
        </is>
      </c>
    </row>
    <row r="211">
      <c r="A211" t="inlineStr">
        <is>
          <t>6.1.2</t>
        </is>
      </c>
      <c r="C211" t="inlineStr">
        <is>
          <t>Isocyanater</t>
        </is>
      </c>
      <c r="E211" t="inlineStr">
        <is>
          <t>kilogram</t>
        </is>
      </c>
      <c r="F211" t="inlineStr">
        <is>
          <t>103,88</t>
        </is>
      </c>
      <c r="H211" t="inlineStr">
        <is>
          <t>Ej kopplad</t>
        </is>
      </c>
      <c r="J211" t="inlineStr">
        <is>
          <t>parser3_result.json</t>
        </is>
      </c>
    </row>
    <row r="212">
      <c r="A212" t="inlineStr">
        <is>
          <t>6.1.2</t>
        </is>
      </c>
      <c r="C212" t="inlineStr">
        <is>
          <t>Härdare metyl- etylketonperoxid</t>
        </is>
      </c>
      <c r="E212" t="inlineStr">
        <is>
          <t>kilogram</t>
        </is>
      </c>
      <c r="F212" t="inlineStr">
        <is>
          <t>109,88</t>
        </is>
      </c>
      <c r="H212" t="inlineStr">
        <is>
          <t>Ej kopplad</t>
        </is>
      </c>
      <c r="J212" t="inlineStr">
        <is>
          <t>parser3_result.json</t>
        </is>
      </c>
    </row>
    <row r="213">
      <c r="A213" t="inlineStr">
        <is>
          <t>6.1.2</t>
        </is>
      </c>
      <c r="C213" t="inlineStr">
        <is>
          <t>Härdare dibenzoylperoxid</t>
        </is>
      </c>
      <c r="E213" t="inlineStr">
        <is>
          <t>kilogram</t>
        </is>
      </c>
      <c r="F213" t="inlineStr">
        <is>
          <t>114,38</t>
        </is>
      </c>
      <c r="H213" t="inlineStr">
        <is>
          <t>Ej kopplad</t>
        </is>
      </c>
      <c r="J213" t="inlineStr">
        <is>
          <t>parser3_result.json</t>
        </is>
      </c>
    </row>
    <row r="214">
      <c r="A214" t="inlineStr">
        <is>
          <t>6.1.2</t>
        </is>
      </c>
      <c r="C214" t="inlineStr">
        <is>
          <t>Färg-,lack-, limburkar vattenbaserade</t>
        </is>
      </c>
      <c r="E214" t="inlineStr">
        <is>
          <t>kilogram</t>
        </is>
      </c>
      <c r="F214" t="inlineStr">
        <is>
          <t>15,38</t>
        </is>
      </c>
      <c r="H214" t="inlineStr">
        <is>
          <t>Ej kopplad</t>
        </is>
      </c>
      <c r="J214" t="inlineStr">
        <is>
          <t>parser3_result.json</t>
        </is>
      </c>
    </row>
    <row r="215">
      <c r="A215" t="inlineStr">
        <is>
          <t>6.1.2</t>
        </is>
      </c>
      <c r="C215" t="inlineStr">
        <is>
          <t>Tensida alkaliska flytande avfall</t>
        </is>
      </c>
      <c r="E215" t="inlineStr">
        <is>
          <t>kilogram</t>
        </is>
      </c>
      <c r="F215" t="inlineStr">
        <is>
          <t>25,50</t>
        </is>
      </c>
      <c r="H215" t="inlineStr">
        <is>
          <t>Ej kopplad</t>
        </is>
      </c>
      <c r="J215" t="inlineStr">
        <is>
          <t>parser3_result.json</t>
        </is>
      </c>
    </row>
    <row r="216">
      <c r="A216" t="inlineStr">
        <is>
          <t>6.1.2</t>
        </is>
      </c>
      <c r="C216" t="inlineStr">
        <is>
          <t>Rengöring/vaskmedel fast</t>
        </is>
      </c>
      <c r="E216" t="inlineStr">
        <is>
          <t>kilogram</t>
        </is>
      </c>
      <c r="F216" t="inlineStr">
        <is>
          <t>27,19</t>
        </is>
      </c>
      <c r="H216" t="inlineStr">
        <is>
          <t>Ej kopplad</t>
        </is>
      </c>
      <c r="J216" t="inlineStr">
        <is>
          <t>parser3_result.json</t>
        </is>
      </c>
    </row>
    <row r="217">
      <c r="A217" t="inlineStr">
        <is>
          <t>6.1.2</t>
        </is>
      </c>
      <c r="C217" t="inlineStr">
        <is>
          <t>Alkaliska flytande avfall</t>
        </is>
      </c>
      <c r="E217" t="inlineStr">
        <is>
          <t>kilogram</t>
        </is>
      </c>
      <c r="F217" t="inlineStr">
        <is>
          <t>27,75</t>
        </is>
      </c>
      <c r="H217" t="inlineStr">
        <is>
          <t>Ej kopplad</t>
        </is>
      </c>
      <c r="J217" t="inlineStr">
        <is>
          <t>parser3_result.json</t>
        </is>
      </c>
    </row>
    <row r="218">
      <c r="A218" t="inlineStr">
        <is>
          <t>6.1.2</t>
        </is>
      </c>
      <c r="C218" t="inlineStr">
        <is>
          <t>Cytotoxiska läkemedel, cytostat</t>
        </is>
      </c>
      <c r="E218" t="inlineStr">
        <is>
          <t>kilogram</t>
        </is>
      </c>
      <c r="F218" t="inlineStr">
        <is>
          <t>64,88</t>
        </is>
      </c>
      <c r="H218" t="inlineStr">
        <is>
          <t>Ej kopplad</t>
        </is>
      </c>
      <c r="J218" t="inlineStr">
        <is>
          <t>parser3_result.json</t>
        </is>
      </c>
    </row>
    <row r="219">
      <c r="A219" t="inlineStr">
        <is>
          <t>6.1.2</t>
        </is>
      </c>
      <c r="C219" t="inlineStr">
        <is>
          <t>Rökdetektor med andra isotoper</t>
        </is>
      </c>
      <c r="E219" t="inlineStr">
        <is>
          <t>kilogram</t>
        </is>
      </c>
      <c r="F219" t="inlineStr">
        <is>
          <t>1 911,75</t>
        </is>
      </c>
      <c r="H219" t="inlineStr">
        <is>
          <t>Ej kopplad</t>
        </is>
      </c>
      <c r="J219" t="inlineStr">
        <is>
          <t>parser3_result.json</t>
        </is>
      </c>
    </row>
    <row r="220">
      <c r="A220" t="inlineStr">
        <is>
          <t>6.1.2</t>
        </is>
      </c>
      <c r="C220" t="inlineStr">
        <is>
          <t>Rökdetektor med Am 241</t>
        </is>
      </c>
      <c r="E220" t="inlineStr">
        <is>
          <t>kilogram</t>
        </is>
      </c>
      <c r="F220" t="inlineStr">
        <is>
          <t>1 911,75</t>
        </is>
      </c>
      <c r="H220" t="inlineStr">
        <is>
          <t>Ej kopplad</t>
        </is>
      </c>
      <c r="J220" t="inlineStr">
        <is>
          <t>parser3_result.json</t>
        </is>
      </c>
    </row>
    <row r="221">
      <c r="A221" t="inlineStr">
        <is>
          <t>6.1.2</t>
        </is>
      </c>
      <c r="C221" t="inlineStr">
        <is>
          <t>Batterier stav, pencell</t>
        </is>
      </c>
      <c r="E221" t="inlineStr">
        <is>
          <t>kilogram</t>
        </is>
      </c>
      <c r="F221" t="inlineStr">
        <is>
          <t>0,00</t>
        </is>
      </c>
      <c r="H221" t="inlineStr">
        <is>
          <t>Ej kopplad</t>
        </is>
      </c>
      <c r="J221" t="inlineStr">
        <is>
          <t>parser3_result.json</t>
        </is>
      </c>
    </row>
    <row r="222">
      <c r="A222" t="inlineStr">
        <is>
          <t>6.1.2</t>
        </is>
      </c>
      <c r="C222" t="inlineStr">
        <is>
          <t>Batterier lithium</t>
        </is>
      </c>
      <c r="E222" t="inlineStr">
        <is>
          <t>kilogram</t>
        </is>
      </c>
      <c r="F222" t="inlineStr">
        <is>
          <t>0,00</t>
        </is>
      </c>
      <c r="H222" t="inlineStr">
        <is>
          <t>Ej kopplad</t>
        </is>
      </c>
      <c r="J222" t="inlineStr">
        <is>
          <t>parser3_result.json</t>
        </is>
      </c>
    </row>
    <row r="223">
      <c r="A223" t="inlineStr">
        <is>
          <t>6.1.2</t>
        </is>
      </c>
      <c r="C223" t="inlineStr">
        <is>
          <t>Bil-, mcbatteri med bly</t>
        </is>
      </c>
      <c r="E223" t="inlineStr">
        <is>
          <t>styck</t>
        </is>
      </c>
      <c r="F223" t="inlineStr">
        <is>
          <t>0,00</t>
        </is>
      </c>
      <c r="H223" t="inlineStr">
        <is>
          <t>Ej kopplad</t>
        </is>
      </c>
      <c r="J223" t="inlineStr">
        <is>
          <t>parser3_result.json</t>
        </is>
      </c>
    </row>
    <row r="224">
      <c r="A224" t="inlineStr">
        <is>
          <t>6.1.2</t>
        </is>
      </c>
      <c r="C224" t="inlineStr">
        <is>
          <t>Glödlampor</t>
        </is>
      </c>
      <c r="E224" t="inlineStr">
        <is>
          <t>kilogram</t>
        </is>
      </c>
      <c r="F224" t="inlineStr">
        <is>
          <t>0,00</t>
        </is>
      </c>
      <c r="H224" t="inlineStr">
        <is>
          <t>Ej kopplad</t>
        </is>
      </c>
      <c r="J224" t="inlineStr">
        <is>
          <t>parser3_result.json</t>
        </is>
      </c>
    </row>
    <row r="225">
      <c r="A225" t="inlineStr">
        <is>
          <t>6.1.2</t>
        </is>
      </c>
      <c r="C225" t="inlineStr">
        <is>
          <t>Lysrör</t>
        </is>
      </c>
      <c r="E225" t="inlineStr">
        <is>
          <t>kilogram</t>
        </is>
      </c>
      <c r="F225" t="inlineStr">
        <is>
          <t>0,00</t>
        </is>
      </c>
      <c r="H225" t="inlineStr">
        <is>
          <t>Ej kopplad</t>
        </is>
      </c>
      <c r="J225" t="inlineStr">
        <is>
          <t>parser3_result.json</t>
        </is>
      </c>
    </row>
    <row r="226">
      <c r="A226" t="inlineStr">
        <is>
          <t>6.1.2</t>
        </is>
      </c>
      <c r="C226" t="inlineStr">
        <is>
          <t>Elavfall, små elektronik</t>
        </is>
      </c>
      <c r="E226" t="inlineStr">
        <is>
          <t>kilogram</t>
        </is>
      </c>
      <c r="F226" t="inlineStr">
        <is>
          <t>0,00</t>
        </is>
      </c>
      <c r="H226" t="inlineStr">
        <is>
          <t>Ej kopplad</t>
        </is>
      </c>
      <c r="J226" t="inlineStr">
        <is>
          <t>parser3_result.json</t>
        </is>
      </c>
    </row>
    <row r="227">
      <c r="A227" t="inlineStr">
        <is>
          <t>6.1.2</t>
        </is>
      </c>
      <c r="C227" t="inlineStr">
        <is>
          <t>El-avfall fast installation</t>
        </is>
      </c>
      <c r="E227" t="inlineStr">
        <is>
          <t>kilogram</t>
        </is>
      </c>
      <c r="F227" t="inlineStr">
        <is>
          <t>37,60</t>
        </is>
      </c>
      <c r="H227" t="inlineStr">
        <is>
          <t>Ej kopplad</t>
        </is>
      </c>
      <c r="J227" t="inlineStr">
        <is>
          <t>parser3_result.json</t>
        </is>
      </c>
    </row>
    <row r="228">
      <c r="A228" t="inlineStr">
        <is>
          <t>6.1.2</t>
        </is>
      </c>
      <c r="C228" t="inlineStr">
        <is>
          <t>El-avfall kabel</t>
        </is>
      </c>
      <c r="E228" t="inlineStr">
        <is>
          <t>kilogram</t>
        </is>
      </c>
      <c r="F228" t="inlineStr">
        <is>
          <t>0,00</t>
        </is>
      </c>
      <c r="H228" t="inlineStr">
        <is>
          <t>Ej kopplad</t>
        </is>
      </c>
      <c r="J228" t="inlineStr">
        <is>
          <t>parser3_result.json</t>
        </is>
      </c>
    </row>
    <row r="229">
      <c r="A229" t="inlineStr">
        <is>
          <t>6.1.2</t>
        </is>
      </c>
      <c r="C229" t="inlineStr">
        <is>
          <t>Toner, färgpatron med elektronik</t>
        </is>
      </c>
      <c r="E229" t="inlineStr">
        <is>
          <t>kilogram</t>
        </is>
      </c>
      <c r="F229" t="inlineStr">
        <is>
          <t>37,60</t>
        </is>
      </c>
      <c r="H229" t="inlineStr">
        <is>
          <t>Ej kopplad</t>
        </is>
      </c>
      <c r="J229" t="inlineStr">
        <is>
          <t>parser3_result.json</t>
        </is>
      </c>
    </row>
    <row r="230">
      <c r="A230" t="inlineStr">
        <is>
          <t>6.1.2</t>
        </is>
      </c>
      <c r="C230" t="inlineStr">
        <is>
          <t>Tv, radio, skärm, skrivare utan färgpatron</t>
        </is>
      </c>
      <c r="E230" t="inlineStr">
        <is>
          <t>kilogram</t>
        </is>
      </c>
      <c r="F230" t="inlineStr">
        <is>
          <t>0,00</t>
        </is>
      </c>
      <c r="H230" t="inlineStr">
        <is>
          <t>Ej kopplad</t>
        </is>
      </c>
      <c r="J230" t="inlineStr">
        <is>
          <t>parser3_result.json</t>
        </is>
      </c>
    </row>
    <row r="231">
      <c r="A231" t="inlineStr">
        <is>
          <t>6.1.2</t>
        </is>
      </c>
      <c r="C231" t="inlineStr">
        <is>
          <t>Kyl-, frysskåp, -box</t>
        </is>
      </c>
      <c r="E231" t="inlineStr">
        <is>
          <t>styck</t>
        </is>
      </c>
      <c r="F231" t="inlineStr">
        <is>
          <t>0,00</t>
        </is>
      </c>
      <c r="H231" t="inlineStr">
        <is>
          <t>Ej kopplad</t>
        </is>
      </c>
      <c r="J231" t="inlineStr">
        <is>
          <t>parser3_result.json</t>
        </is>
      </c>
    </row>
    <row r="232">
      <c r="A232" t="inlineStr">
        <is>
          <t>6.1.2</t>
        </is>
      </c>
      <c r="C232" t="inlineStr">
        <is>
          <t>Kyl-, frysskåp, -box från verksamhet</t>
        </is>
      </c>
      <c r="E232" t="inlineStr">
        <is>
          <t>kilogram</t>
        </is>
      </c>
      <c r="F232" t="inlineStr">
        <is>
          <t>37,60</t>
        </is>
      </c>
      <c r="H232" t="inlineStr">
        <is>
          <t>Ej kopplad</t>
        </is>
      </c>
      <c r="J232" t="inlineStr">
        <is>
          <t>parser3_result.json</t>
        </is>
      </c>
    </row>
    <row r="233">
      <c r="A233" t="inlineStr">
        <is>
          <t>6.1.2</t>
        </is>
      </c>
      <c r="C233" t="inlineStr">
        <is>
          <t>Spis, tvätt-, diskmaskin</t>
        </is>
      </c>
      <c r="E233" t="inlineStr">
        <is>
          <t>styck</t>
        </is>
      </c>
      <c r="F233" t="inlineStr">
        <is>
          <t>0,00</t>
        </is>
      </c>
      <c r="H233" t="inlineStr">
        <is>
          <t>Ej kopplad</t>
        </is>
      </c>
      <c r="J233" t="inlineStr">
        <is>
          <t>parser3_result.json</t>
        </is>
      </c>
    </row>
    <row r="234">
      <c r="A234" t="inlineStr">
        <is>
          <t>6.1.2</t>
        </is>
      </c>
      <c r="C234" t="inlineStr">
        <is>
          <t>Spis, tvätt-, diskmaskin från verksamhet</t>
        </is>
      </c>
      <c r="E234" t="inlineStr">
        <is>
          <t>kilogram</t>
        </is>
      </c>
      <c r="F234" t="inlineStr">
        <is>
          <t>37,60</t>
        </is>
      </c>
      <c r="H234" t="inlineStr">
        <is>
          <t>Ej kopplad</t>
        </is>
      </c>
      <c r="J234" t="inlineStr">
        <is>
          <t>parser3_result.json</t>
        </is>
      </c>
    </row>
    <row r="235">
      <c r="A235" t="inlineStr">
        <is>
          <t>6.1.3</t>
        </is>
      </c>
      <c r="C235" t="inlineStr">
        <is>
          <t>Container X m3</t>
        </is>
      </c>
      <c r="E235" t="inlineStr">
        <is>
          <t>m³</t>
        </is>
      </c>
      <c r="F235" t="inlineStr">
        <is>
          <t>XX kr</t>
        </is>
      </c>
      <c r="H235" t="inlineStr">
        <is>
          <t>Ej kopplad</t>
        </is>
      </c>
      <c r="J235" t="inlineStr">
        <is>
          <t>parser3_result.json</t>
        </is>
      </c>
    </row>
    <row r="236">
      <c r="A236" t="inlineStr">
        <is>
          <t>6.1.3</t>
        </is>
      </c>
      <c r="C236" t="inlineStr">
        <is>
          <t>Container X m3</t>
        </is>
      </c>
      <c r="E236" t="inlineStr">
        <is>
          <t>m³</t>
        </is>
      </c>
      <c r="F236" t="inlineStr">
        <is>
          <t>XX kr</t>
        </is>
      </c>
      <c r="H236" t="inlineStr">
        <is>
          <t>Ej kopplad</t>
        </is>
      </c>
      <c r="J236" t="inlineStr">
        <is>
          <t>parser3_result.json</t>
        </is>
      </c>
    </row>
    <row r="237">
      <c r="A237" t="inlineStr">
        <is>
          <t>6.1.3</t>
        </is>
      </c>
      <c r="C237" t="inlineStr">
        <is>
          <t>Container X m3</t>
        </is>
      </c>
      <c r="E237" t="inlineStr">
        <is>
          <t>m³</t>
        </is>
      </c>
      <c r="F237" t="inlineStr">
        <is>
          <t>XX kr</t>
        </is>
      </c>
      <c r="H237" t="inlineStr">
        <is>
          <t>Ej kopplad</t>
        </is>
      </c>
      <c r="J237" t="inlineStr">
        <is>
          <t>parser3_result.json</t>
        </is>
      </c>
    </row>
    <row r="238">
      <c r="A238" t="inlineStr">
        <is>
          <t>6.1.3</t>
        </is>
      </c>
      <c r="C238" t="inlineStr">
        <is>
          <t>Omklassning av felsorterad container</t>
        </is>
      </c>
      <c r="E238" t="inlineStr">
        <is>
          <t>container</t>
        </is>
      </c>
      <c r="F238" t="inlineStr">
        <is>
          <t>XX kr</t>
        </is>
      </c>
      <c r="H238" t="inlineStr">
        <is>
          <t>Ej kopplad</t>
        </is>
      </c>
      <c r="J238" t="inlineStr">
        <is>
          <t>parser3_result.json</t>
        </is>
      </c>
    </row>
    <row r="239">
      <c r="A239" t="inlineStr">
        <is>
          <t>6.1.4</t>
        </is>
      </c>
      <c r="C239" t="inlineStr">
        <is>
          <t>Okänt farligt avfall (säkerhetsdatablad saknas)</t>
        </is>
      </c>
      <c r="E239" t="inlineStr">
        <is>
          <t>fraktion</t>
        </is>
      </c>
      <c r="F239" t="inlineStr">
        <is>
          <t>XXX kr</t>
        </is>
      </c>
      <c r="H239" t="inlineStr">
        <is>
          <t>Ej kopplad</t>
        </is>
      </c>
      <c r="J239" t="inlineStr">
        <is>
          <t>parser3_result.json</t>
        </is>
      </c>
    </row>
    <row r="240">
      <c r="A240" t="inlineStr">
        <is>
          <t>6.1.4</t>
        </is>
      </c>
      <c r="C240" t="inlineStr">
        <is>
          <t>Ombud för rapportering av farligt avfall i Avfallsregistret</t>
        </is>
      </c>
      <c r="E240" t="inlineStr">
        <is>
          <t>tillfälle</t>
        </is>
      </c>
      <c r="F240" t="inlineStr">
        <is>
          <t>XXX kr</t>
        </is>
      </c>
      <c r="H240" t="inlineStr">
        <is>
          <t>Ej kopplad</t>
        </is>
      </c>
      <c r="J240" t="inlineStr">
        <is>
          <t>parser3_result.json</t>
        </is>
      </c>
    </row>
    <row r="241">
      <c r="A241" t="inlineStr">
        <is>
          <t>6.1.4</t>
        </is>
      </c>
      <c r="C241" t="inlineStr">
        <is>
          <t>Administrativ rapporteringsavgift till Avfallsregistret</t>
        </is>
      </c>
      <c r="E241" t="inlineStr">
        <is>
          <t>tillfälle</t>
        </is>
      </c>
      <c r="F241" t="inlineStr">
        <is>
          <t>XXX kr</t>
        </is>
      </c>
      <c r="H241" t="inlineStr">
        <is>
          <t>Ej kopplad</t>
        </is>
      </c>
      <c r="J241" t="inlineStr">
        <is>
          <t>parser3_result.json</t>
        </is>
      </c>
    </row>
    <row r="242">
      <c r="A242" t="inlineStr">
        <is>
          <t>6.1.4</t>
        </is>
      </c>
      <c r="C242" t="inlineStr">
        <is>
          <t>Ombud för registrering av El-kretsen avlämnarintyg i Hämtplatsportalen</t>
        </is>
      </c>
      <c r="E242" t="inlineStr">
        <is>
          <t>tillfälle</t>
        </is>
      </c>
      <c r="F242" t="inlineStr">
        <is>
          <t>XXX kr</t>
        </is>
      </c>
      <c r="H242" t="inlineStr">
        <is>
          <t>Ej kopplad</t>
        </is>
      </c>
      <c r="J242" t="inlineStr">
        <is>
          <t>parser3_result.json</t>
        </is>
      </c>
    </row>
  </sheetData>
  <autoFilter ref="A1:J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159" t="inlineStr">
        <is>
          <t>Mått</t>
        </is>
      </c>
      <c r="B1" s="159" t="inlineStr">
        <is>
          <t>Värde</t>
        </is>
      </c>
    </row>
    <row r="2">
      <c r="A2" t="inlineStr">
        <is>
          <t>Antal rader från parser</t>
        </is>
      </c>
      <c r="B2" t="n">
        <v>241</v>
      </c>
    </row>
    <row r="3">
      <c r="A3" t="inlineStr">
        <is>
          <t>Varningar</t>
        </is>
      </c>
      <c r="B3" t="n">
        <v>0</v>
      </c>
    </row>
    <row r="4">
      <c r="A4" t="inlineStr">
        <is>
          <t>Status</t>
        </is>
      </c>
      <c r="B4" t="inlineStr">
        <is>
          <t>Arbets-Excel skapad som kopia av immutable master</t>
        </is>
      </c>
    </row>
    <row r="5">
      <c r="A5" t="inlineStr">
        <is>
          <t>Master</t>
        </is>
      </c>
      <c r="B5" t="inlineStr">
        <is>
          <t>data\master_templates\ArbetsExcel_Template_v1.0.xlsx</t>
        </is>
      </c>
    </row>
    <row r="6">
      <c r="A6" t="inlineStr">
        <is>
          <t>Skydd</t>
        </is>
      </c>
      <c r="B6" t="inlineStr">
        <is>
          <t>Taxepunkter A:E och Taxa_från_edp skrivs inte automatiskt</t>
        </is>
      </c>
    </row>
    <row r="7">
      <c r="A7" t="inlineStr">
        <is>
          <t>Genererad data</t>
        </is>
      </c>
      <c r="B7" t="inlineStr">
        <is>
          <t>Builder_Output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Excel Builder</t>
        </is>
      </c>
    </row>
    <row r="3">
      <c r="A3" t="inlineStr">
        <is>
          <t>Denna fil är en arbetskopia skapad från immutable Excel-master.</t>
        </is>
      </c>
    </row>
    <row r="4">
      <c r="A4" t="inlineStr">
        <is>
          <t>Masterfilen får aldrig ändras eller skrivas över.</t>
        </is>
      </c>
    </row>
    <row r="5">
      <c r="A5" t="inlineStr">
        <is>
          <t>Taxepunkter kolumn A:E är mallkolumner och lämnas orörda.</t>
        </is>
      </c>
    </row>
    <row r="6">
      <c r="A6" t="inlineStr">
        <is>
          <t>Taxa_från_edp är facit och lämnas helt orörd.</t>
        </is>
      </c>
    </row>
    <row r="8">
      <c r="A8" t="inlineStr">
        <is>
          <t>Genererade parserrader skrivs till Builder_Output.</t>
        </is>
      </c>
    </row>
    <row r="9">
      <c r="A9" t="inlineStr">
        <is>
          <t>Om master behöver ändras ska en ny versionsfil skapas och godkännas.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28" customWidth="1" min="4" max="4"/>
    <col width="14" customWidth="1" min="5" max="5"/>
    <col width="22" customWidth="1" min="6" max="6"/>
    <col width="44" customWidth="1" min="7" max="7"/>
    <col width="42" customWidth="1" min="8" max="8"/>
    <col width="12" customWidth="1" min="9" max="9"/>
    <col width="18" customWidth="1" min="10" max="10"/>
    <col width="50" customWidth="1" min="11" max="11"/>
  </cols>
  <sheetData>
    <row r="1">
      <c r="A1" s="160" t="inlineStr">
        <is>
          <t>Taxa_Förslag</t>
        </is>
      </c>
    </row>
    <row r="2">
      <c r="A2" s="161" t="inlineStr">
        <is>
          <t>Syfte</t>
        </is>
      </c>
      <c r="B2" s="1" t="inlineStr">
        <is>
          <t>Förslag på saknade taxekoder. Förslag ska granskas innan import till EDP.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Variant</t>
        </is>
      </c>
      <c r="E6" s="158" t="inlineStr">
        <is>
          <t>Enhet</t>
        </is>
      </c>
      <c r="F6" s="158" t="inlineStr">
        <is>
          <t>Föreslagen taxekod</t>
        </is>
      </c>
      <c r="G6" s="158" t="inlineStr">
        <is>
          <t>Föreslagen benämning</t>
        </is>
      </c>
      <c r="H6" s="158" t="inlineStr">
        <is>
          <t>Källa</t>
        </is>
      </c>
      <c r="I6" s="158" t="inlineStr">
        <is>
          <t>Säkerhet</t>
        </is>
      </c>
      <c r="J6" s="158" t="inlineStr">
        <is>
          <t>Status</t>
        </is>
      </c>
      <c r="K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E7" t="inlineStr">
        <is>
          <t>kärl</t>
        </is>
      </c>
      <c r="F7" t="inlineStr">
        <is>
          <t>KÄ370RE156</t>
        </is>
      </c>
      <c r="G7" t="inlineStr">
        <is>
          <t>Kärl 370 L, restavfall. 3ggr/ vecka</t>
        </is>
      </c>
      <c r="H7" t="inlineStr">
        <is>
          <t>Standardtaxor: Standard Avfall rad 55</t>
        </is>
      </c>
      <c r="I7" t="inlineStr">
        <is>
          <t>0.658</t>
        </is>
      </c>
      <c r="J7" t="inlineStr">
        <is>
          <t>Ej granskad</t>
        </is>
      </c>
      <c r="K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E8" t="inlineStr">
        <is>
          <t>kärl</t>
        </is>
      </c>
      <c r="F8" t="inlineStr">
        <is>
          <t>KÄ660RE156</t>
        </is>
      </c>
      <c r="G8" t="inlineStr">
        <is>
          <t>Kärl 660 L, restavfall. 3ggr/ vecka</t>
        </is>
      </c>
      <c r="H8" t="inlineStr">
        <is>
          <t>Standardtaxor: Standard Avfall rad 65</t>
        </is>
      </c>
      <c r="I8" t="inlineStr">
        <is>
          <t>0.658</t>
        </is>
      </c>
      <c r="J8" t="inlineStr">
        <is>
          <t>Ej granskad</t>
        </is>
      </c>
      <c r="K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E9" t="inlineStr">
        <is>
          <t>kärl</t>
        </is>
      </c>
      <c r="F9" t="inlineStr">
        <is>
          <t>KÄ140MA156</t>
        </is>
      </c>
      <c r="G9" t="inlineStr">
        <is>
          <t>Kärl 140 L, matavfall. 3ggr/ vecka</t>
        </is>
      </c>
      <c r="H9" t="inlineStr">
        <is>
          <t>Standardtaxor: Standard Avfall rad 77</t>
        </is>
      </c>
      <c r="I9" t="inlineStr">
        <is>
          <t>0.655</t>
        </is>
      </c>
      <c r="J9" t="inlineStr">
        <is>
          <t>Ej granskad</t>
        </is>
      </c>
      <c r="K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E10" t="inlineStr">
        <is>
          <t>kärl</t>
        </is>
      </c>
      <c r="F10" t="inlineStr">
        <is>
          <t>KÄ190PLBUD</t>
        </is>
      </c>
      <c r="G10" t="inlineStr">
        <is>
          <t>Kärl 190 L, plastförpackningar. Budning</t>
        </is>
      </c>
      <c r="H10" t="inlineStr">
        <is>
          <t>Standardtaxor: Standard Avfall rad 353</t>
        </is>
      </c>
      <c r="I10" t="inlineStr">
        <is>
          <t>0.658</t>
        </is>
      </c>
      <c r="J10" t="inlineStr">
        <is>
          <t>Ej granskad</t>
        </is>
      </c>
      <c r="K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E11" t="inlineStr">
        <is>
          <t>kärl</t>
        </is>
      </c>
      <c r="F11" t="inlineStr">
        <is>
          <t>KÄ370PLBUD</t>
        </is>
      </c>
      <c r="G11" t="inlineStr">
        <is>
          <t>Kärl 370 L, plastförpackningar. Budning</t>
        </is>
      </c>
      <c r="H11" t="inlineStr">
        <is>
          <t>Standardtaxor: Standard Avfall rad 383</t>
        </is>
      </c>
      <c r="I11" t="inlineStr">
        <is>
          <t>0.658</t>
        </is>
      </c>
      <c r="J11" t="inlineStr">
        <is>
          <t>Ej granskad</t>
        </is>
      </c>
      <c r="K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E12" t="inlineStr">
        <is>
          <t>kärl</t>
        </is>
      </c>
      <c r="F12" t="inlineStr">
        <is>
          <t>KÄ660PLBUD</t>
        </is>
      </c>
      <c r="G12" t="inlineStr">
        <is>
          <t>Kärl 660 L, plastförpackningar. Budning</t>
        </is>
      </c>
      <c r="H12" t="inlineStr">
        <is>
          <t>Standardtaxor: Standard Avfall rad 413</t>
        </is>
      </c>
      <c r="I12" t="inlineStr">
        <is>
          <t>0.658</t>
        </is>
      </c>
      <c r="J12" t="inlineStr">
        <is>
          <t>Ej granskad</t>
        </is>
      </c>
      <c r="K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E13" t="inlineStr">
        <is>
          <t>kärl</t>
        </is>
      </c>
      <c r="F13" t="inlineStr">
        <is>
          <t>KÄ370RE156</t>
        </is>
      </c>
      <c r="G13" t="inlineStr">
        <is>
          <t>Kärl 370 L, restavfall. 3ggr/ vecka</t>
        </is>
      </c>
      <c r="H13" t="inlineStr">
        <is>
          <t>Standardtaxor: Standard Avfall rad 55</t>
        </is>
      </c>
      <c r="I13" t="inlineStr">
        <is>
          <t>0.658</t>
        </is>
      </c>
      <c r="J13" t="inlineStr">
        <is>
          <t>Ej granskad</t>
        </is>
      </c>
      <c r="K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E14" t="inlineStr">
        <is>
          <t>kärl</t>
        </is>
      </c>
      <c r="F14" t="inlineStr">
        <is>
          <t>KÄ660RE156</t>
        </is>
      </c>
      <c r="G14" t="inlineStr">
        <is>
          <t>Kärl 660 L, restavfall. 3ggr/ vecka</t>
        </is>
      </c>
      <c r="H14" t="inlineStr">
        <is>
          <t>Standardtaxor: Standard Avfall rad 65</t>
        </is>
      </c>
      <c r="I14" t="inlineStr">
        <is>
          <t>0.658</t>
        </is>
      </c>
      <c r="J14" t="inlineStr">
        <is>
          <t>Ej granskad</t>
        </is>
      </c>
      <c r="K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E15" t="inlineStr">
        <is>
          <t>kärl</t>
        </is>
      </c>
      <c r="F15" t="inlineStr">
        <is>
          <t>KÄ140MA156</t>
        </is>
      </c>
      <c r="G15" t="inlineStr">
        <is>
          <t>Kärl 140 L, matavfall. 3ggr/ vecka</t>
        </is>
      </c>
      <c r="H15" t="inlineStr">
        <is>
          <t>Standardtaxor: Standard Avfall rad 77</t>
        </is>
      </c>
      <c r="I15" t="inlineStr">
        <is>
          <t>0.655</t>
        </is>
      </c>
      <c r="J15" t="inlineStr">
        <is>
          <t>Ej granskad</t>
        </is>
      </c>
      <c r="K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E16" t="inlineStr">
        <is>
          <t>kärl</t>
        </is>
      </c>
      <c r="F16" t="inlineStr">
        <is>
          <t>KÄ370RE156</t>
        </is>
      </c>
      <c r="G16" t="inlineStr">
        <is>
          <t>Kärl 370 L, restavfall. 3ggr/ vecka</t>
        </is>
      </c>
      <c r="H16" t="inlineStr">
        <is>
          <t>Standardtaxor: Standard Avfall rad 55</t>
        </is>
      </c>
      <c r="I16" t="inlineStr">
        <is>
          <t>0.658</t>
        </is>
      </c>
      <c r="J16" t="inlineStr">
        <is>
          <t>Ej granskad</t>
        </is>
      </c>
      <c r="K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E17" t="inlineStr">
        <is>
          <t>kärl</t>
        </is>
      </c>
      <c r="F17" t="inlineStr">
        <is>
          <t>KÄ660RE156</t>
        </is>
      </c>
      <c r="G17" t="inlineStr">
        <is>
          <t>Kärl 660 L, restavfall. 3ggr/ vecka</t>
        </is>
      </c>
      <c r="H17" t="inlineStr">
        <is>
          <t>Standardtaxor: Standard Avfall rad 65</t>
        </is>
      </c>
      <c r="I17" t="inlineStr">
        <is>
          <t>0.658</t>
        </is>
      </c>
      <c r="J17" t="inlineStr">
        <is>
          <t>Ej granskad</t>
        </is>
      </c>
      <c r="K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E18" t="inlineStr">
        <is>
          <t>kärl</t>
        </is>
      </c>
      <c r="F18" t="inlineStr">
        <is>
          <t>KÄ140MA156</t>
        </is>
      </c>
      <c r="G18" t="inlineStr">
        <is>
          <t>Kärl 140 L, matavfall. 3ggr/ vecka</t>
        </is>
      </c>
      <c r="H18" t="inlineStr">
        <is>
          <t>Standardtaxor: Standard Avfall rad 77</t>
        </is>
      </c>
      <c r="I18" t="inlineStr">
        <is>
          <t>0.655</t>
        </is>
      </c>
      <c r="J18" t="inlineStr">
        <is>
          <t>Ej granskad</t>
        </is>
      </c>
      <c r="K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E19" t="inlineStr">
        <is>
          <t>kilogram</t>
        </is>
      </c>
      <c r="F19" t="inlineStr">
        <is>
          <t>KÄ370RE52</t>
        </is>
      </c>
      <c r="G19" t="inlineStr">
        <is>
          <t>Kärl 370 L, restavfall. Varje vecka</t>
        </is>
      </c>
      <c r="H19" t="inlineStr">
        <is>
          <t>Standardtaxor: Standard Avfall rad 57</t>
        </is>
      </c>
      <c r="I19" t="inlineStr">
        <is>
          <t>0.604</t>
        </is>
      </c>
      <c r="J19" t="inlineStr">
        <is>
          <t>Ej granskad</t>
        </is>
      </c>
      <c r="K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E20" t="inlineStr">
        <is>
          <t>kilogram</t>
        </is>
      </c>
      <c r="F20" t="inlineStr">
        <is>
          <t>KÄ660RE026</t>
        </is>
      </c>
      <c r="G20" t="inlineStr">
        <is>
          <t>Kärl 660 L, restavfall. Var 14:e dag</t>
        </is>
      </c>
      <c r="H20" t="inlineStr">
        <is>
          <t>Standardtaxor: Standard Avfall rad 68</t>
        </is>
      </c>
      <c r="I20" t="inlineStr">
        <is>
          <t>0.607</t>
        </is>
      </c>
      <c r="J20" t="inlineStr">
        <is>
          <t>Ej granskad</t>
        </is>
      </c>
      <c r="K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E21" t="inlineStr">
        <is>
          <t>kärl</t>
        </is>
      </c>
      <c r="F21" t="inlineStr">
        <is>
          <t>KÄ140MA156</t>
        </is>
      </c>
      <c r="G21" t="inlineStr">
        <is>
          <t>Kärl 140 L, matavfall. 3ggr/ vecka</t>
        </is>
      </c>
      <c r="H21" t="inlineStr">
        <is>
          <t>Standardtaxor: Standard Avfall rad 77</t>
        </is>
      </c>
      <c r="I21" t="inlineStr">
        <is>
          <t>0.664</t>
        </is>
      </c>
      <c r="J21" t="inlineStr">
        <is>
          <t>Ej granskad</t>
        </is>
      </c>
      <c r="K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E22" t="inlineStr">
        <is>
          <t>kärl</t>
        </is>
      </c>
      <c r="F22" t="inlineStr">
        <is>
          <t>KÄ190RE156</t>
        </is>
      </c>
      <c r="G22" t="inlineStr">
        <is>
          <t>Kärl 190 L, restavfall. 3ggr/ vecka</t>
        </is>
      </c>
      <c r="H22" t="inlineStr">
        <is>
          <t>Standardtaxor: Standard Avfall rad 35</t>
        </is>
      </c>
      <c r="I22" t="inlineStr">
        <is>
          <t>0.667</t>
        </is>
      </c>
      <c r="J22" t="inlineStr">
        <is>
          <t>Ej granskad</t>
        </is>
      </c>
      <c r="K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E23" t="inlineStr">
        <is>
          <t>kärl</t>
        </is>
      </c>
      <c r="F23" t="inlineStr">
        <is>
          <t>KÄ370RE156</t>
        </is>
      </c>
      <c r="G23" t="inlineStr">
        <is>
          <t>Kärl 370 L, restavfall. 3ggr/ vecka</t>
        </is>
      </c>
      <c r="H23" t="inlineStr">
        <is>
          <t>Standardtaxor: Standard Avfall rad 55</t>
        </is>
      </c>
      <c r="I23" t="inlineStr">
        <is>
          <t>0.667</t>
        </is>
      </c>
      <c r="J23" t="inlineStr">
        <is>
          <t>Ej granskad</t>
        </is>
      </c>
      <c r="K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E24" t="inlineStr">
        <is>
          <t>kärl</t>
        </is>
      </c>
      <c r="F24" t="inlineStr">
        <is>
          <t>KÄ660RE156</t>
        </is>
      </c>
      <c r="G24" t="inlineStr">
        <is>
          <t>Kärl 660 L, restavfall. 3ggr/ vecka</t>
        </is>
      </c>
      <c r="H24" t="inlineStr">
        <is>
          <t>Standardtaxor: Standard Avfall rad 65</t>
        </is>
      </c>
      <c r="I24" t="inlineStr">
        <is>
          <t>0.667</t>
        </is>
      </c>
      <c r="J24" t="inlineStr">
        <is>
          <t>Ej granskad</t>
        </is>
      </c>
      <c r="K24" t="inlineStr">
        <is>
          <t>Möjlig kunskapsbaserad standardträff. namn=0.76*0.35 | nyckelord=1.00*0.20 | avfallstyp=1.00*0.15 | faktor=0.00*0.15 | kategori=0.50*0.10 | enhet=0.00*0.05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18" customWidth="1" min="4" max="4"/>
    <col width="42" customWidth="1" min="5" max="5"/>
    <col width="22" customWidth="1" min="6" max="6"/>
    <col width="44" customWidth="1" min="7" max="7"/>
    <col width="18" customWidth="1" min="8" max="8"/>
    <col width="42" customWidth="1" min="9" max="9"/>
    <col width="46" customWidth="1" min="10" max="10"/>
    <col width="54" customWidth="1" min="11" max="11"/>
    <col width="18" customWidth="1" min="12" max="12"/>
  </cols>
  <sheetData>
    <row r="1">
      <c r="A1" s="160" t="inlineStr">
        <is>
          <t>EDP Export avviker från standardtaxa</t>
        </is>
      </c>
    </row>
    <row r="2">
      <c r="A2" s="161" t="inlineStr">
        <is>
          <t>Syfte</t>
        </is>
      </c>
      <c r="B2" s="1" t="inlineStr">
        <is>
          <t>Visar avvikelser mot standardtaxor. Befintlig Taxa_från_edp är fast och ändras aldrig automatiskt.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EDP taxekod</t>
        </is>
      </c>
      <c r="C6" s="158" t="inlineStr">
        <is>
          <t>EDP benämning</t>
        </is>
      </c>
      <c r="D6" s="158" t="inlineStr">
        <is>
          <t>EDP faktor</t>
        </is>
      </c>
      <c r="E6" s="158" t="inlineStr">
        <is>
          <t>EDP taxedel</t>
        </is>
      </c>
      <c r="F6" s="158" t="inlineStr">
        <is>
          <t>Standard taxekod</t>
        </is>
      </c>
      <c r="G6" s="158" t="inlineStr">
        <is>
          <t>Standard benämning</t>
        </is>
      </c>
      <c r="H6" s="158" t="inlineStr">
        <is>
          <t>Standard faktor</t>
        </is>
      </c>
      <c r="I6" s="158" t="inlineStr">
        <is>
          <t>Standard taxedel</t>
        </is>
      </c>
      <c r="J6" s="158" t="inlineStr">
        <is>
          <t>Avvikelse</t>
        </is>
      </c>
      <c r="K6" s="158" t="inlineStr">
        <is>
          <t>Rekommendation</t>
        </is>
      </c>
      <c r="L6" s="158" t="inlineStr">
        <is>
          <t>Status</t>
        </is>
      </c>
    </row>
    <row r="7">
      <c r="A7" s="162" t="inlineStr"/>
      <c r="B7" s="162" t="inlineStr"/>
      <c r="C7" s="162" t="inlineStr"/>
      <c r="D7" s="162" t="inlineStr"/>
      <c r="E7" s="162" t="inlineStr"/>
      <c r="F7" s="162" t="inlineStr"/>
      <c r="G7" s="162" t="inlineStr"/>
      <c r="H7" s="162" t="inlineStr"/>
      <c r="I7" s="162" t="inlineStr"/>
      <c r="J7" s="162" t="inlineStr"/>
      <c r="K7" s="162" t="inlineStr">
        <is>
          <t>Granska manuellt. Ändra inte befintlig EDP automatiskt.</t>
        </is>
      </c>
      <c r="L7" s="162" t="inlineStr">
        <is>
          <t>Ej granskad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18" customWidth="1" min="4" max="4"/>
    <col width="28" customWidth="1" min="5" max="5"/>
    <col width="24" customWidth="1" min="6" max="6"/>
    <col width="70" customWidth="1" min="7" max="7"/>
    <col width="30" customWidth="1" min="8" max="8"/>
    <col width="18" customWidth="1" min="9" max="9"/>
    <col width="50" customWidth="1" min="10" max="10"/>
  </cols>
  <sheetData>
    <row r="1">
      <c r="A1" s="160" t="inlineStr">
        <is>
          <t>Regelspårning</t>
        </is>
      </c>
    </row>
    <row r="2">
      <c r="A2" s="161" t="inlineStr">
        <is>
          <t>Syfte</t>
        </is>
      </c>
      <c r="B2" s="1" t="inlineStr">
        <is>
          <t>Spårar hur varje rad/fält byggdes: Word, EDP, standardtaxor eller manuell granskning.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Fält</t>
        </is>
      </c>
      <c r="E6" s="158" t="inlineStr">
        <is>
          <t>Värde</t>
        </is>
      </c>
      <c r="F6" s="158" t="inlineStr">
        <is>
          <t>Ursprung</t>
        </is>
      </c>
      <c r="G6" s="158" t="inlineStr">
        <is>
          <t>Regel</t>
        </is>
      </c>
      <c r="H6" s="158" t="inlineStr">
        <is>
          <t>Källa</t>
        </is>
      </c>
      <c r="I6" s="158" t="inlineStr">
        <is>
          <t>Status</t>
        </is>
      </c>
      <c r="J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D7" t="inlineStr">
        <is>
          <t>Taxakod</t>
        </is>
      </c>
      <c r="E7" t="inlineStr">
        <is>
          <t>KÄ370RE156</t>
        </is>
      </c>
      <c r="F7" t="inlineStr">
        <is>
          <t>Standardtaxa-förslag</t>
        </is>
      </c>
      <c r="G7" t="inlineStr">
        <is>
          <t>Standardtaxa får endast föreslås. Befintlig Taxa_från_edp ändras inte automatiskt.</t>
        </is>
      </c>
      <c r="H7" t="inlineStr">
        <is>
          <t>Standard Avfall rad 55</t>
        </is>
      </c>
      <c r="I7" t="inlineStr">
        <is>
          <t>REVIEW</t>
        </is>
      </c>
      <c r="J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D8" t="inlineStr">
        <is>
          <t>Taxakod</t>
        </is>
      </c>
      <c r="E8" t="inlineStr">
        <is>
          <t>KÄ660RE156</t>
        </is>
      </c>
      <c r="F8" t="inlineStr">
        <is>
          <t>Standardtaxa-förslag</t>
        </is>
      </c>
      <c r="G8" t="inlineStr">
        <is>
          <t>Standardtaxa får endast föreslås. Befintlig Taxa_från_edp ändras inte automatiskt.</t>
        </is>
      </c>
      <c r="H8" t="inlineStr">
        <is>
          <t>Standard Avfall rad 65</t>
        </is>
      </c>
      <c r="I8" t="inlineStr">
        <is>
          <t>REVIEW</t>
        </is>
      </c>
      <c r="J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D9" t="inlineStr">
        <is>
          <t>Taxakod</t>
        </is>
      </c>
      <c r="E9" t="inlineStr">
        <is>
          <t>KÄ140MA156</t>
        </is>
      </c>
      <c r="F9" t="inlineStr">
        <is>
          <t>Standardtaxa-förslag</t>
        </is>
      </c>
      <c r="G9" t="inlineStr">
        <is>
          <t>Standardtaxa får endast föreslås. Befintlig Taxa_från_edp ändras inte automatiskt.</t>
        </is>
      </c>
      <c r="H9" t="inlineStr">
        <is>
          <t>Standard Avfall rad 77</t>
        </is>
      </c>
      <c r="I9" t="inlineStr">
        <is>
          <t>REVIEW</t>
        </is>
      </c>
      <c r="J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D10" t="inlineStr">
        <is>
          <t>Taxakod</t>
        </is>
      </c>
      <c r="E10" t="inlineStr">
        <is>
          <t>KÄ190PLBUD</t>
        </is>
      </c>
      <c r="F10" t="inlineStr">
        <is>
          <t>Standardtaxa-förslag</t>
        </is>
      </c>
      <c r="G10" t="inlineStr">
        <is>
          <t>Standardtaxa får endast föreslås. Befintlig Taxa_från_edp ändras inte automatiskt.</t>
        </is>
      </c>
      <c r="H10" t="inlineStr">
        <is>
          <t>Standard Avfall rad 353</t>
        </is>
      </c>
      <c r="I10" t="inlineStr">
        <is>
          <t>REVIEW</t>
        </is>
      </c>
      <c r="J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D11" t="inlineStr">
        <is>
          <t>Taxakod</t>
        </is>
      </c>
      <c r="E11" t="inlineStr">
        <is>
          <t>KÄ370PLBUD</t>
        </is>
      </c>
      <c r="F11" t="inlineStr">
        <is>
          <t>Standardtaxa-förslag</t>
        </is>
      </c>
      <c r="G11" t="inlineStr">
        <is>
          <t>Standardtaxa får endast föreslås. Befintlig Taxa_från_edp ändras inte automatiskt.</t>
        </is>
      </c>
      <c r="H11" t="inlineStr">
        <is>
          <t>Standard Avfall rad 383</t>
        </is>
      </c>
      <c r="I11" t="inlineStr">
        <is>
          <t>REVIEW</t>
        </is>
      </c>
      <c r="J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D12" t="inlineStr">
        <is>
          <t>Taxakod</t>
        </is>
      </c>
      <c r="E12" t="inlineStr">
        <is>
          <t>KÄ660PLBUD</t>
        </is>
      </c>
      <c r="F12" t="inlineStr">
        <is>
          <t>Standardtaxa-förslag</t>
        </is>
      </c>
      <c r="G12" t="inlineStr">
        <is>
          <t>Standardtaxa får endast föreslås. Befintlig Taxa_från_edp ändras inte automatiskt.</t>
        </is>
      </c>
      <c r="H12" t="inlineStr">
        <is>
          <t>Standard Avfall rad 413</t>
        </is>
      </c>
      <c r="I12" t="inlineStr">
        <is>
          <t>REVIEW</t>
        </is>
      </c>
      <c r="J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D13" t="inlineStr">
        <is>
          <t>Taxakod</t>
        </is>
      </c>
      <c r="E13" t="inlineStr">
        <is>
          <t>KÄ370RE156</t>
        </is>
      </c>
      <c r="F13" t="inlineStr">
        <is>
          <t>Standardtaxa-förslag</t>
        </is>
      </c>
      <c r="G13" t="inlineStr">
        <is>
          <t>Standardtaxa får endast föreslås. Befintlig Taxa_från_edp ändras inte automatiskt.</t>
        </is>
      </c>
      <c r="H13" t="inlineStr">
        <is>
          <t>Standard Avfall rad 55</t>
        </is>
      </c>
      <c r="I13" t="inlineStr">
        <is>
          <t>REVIEW</t>
        </is>
      </c>
      <c r="J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D14" t="inlineStr">
        <is>
          <t>Taxakod</t>
        </is>
      </c>
      <c r="E14" t="inlineStr">
        <is>
          <t>KÄ660RE156</t>
        </is>
      </c>
      <c r="F14" t="inlineStr">
        <is>
          <t>Standardtaxa-förslag</t>
        </is>
      </c>
      <c r="G14" t="inlineStr">
        <is>
          <t>Standardtaxa får endast föreslås. Befintlig Taxa_från_edp ändras inte automatiskt.</t>
        </is>
      </c>
      <c r="H14" t="inlineStr">
        <is>
          <t>Standard Avfall rad 65</t>
        </is>
      </c>
      <c r="I14" t="inlineStr">
        <is>
          <t>REVIEW</t>
        </is>
      </c>
      <c r="J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D15" t="inlineStr">
        <is>
          <t>Taxakod</t>
        </is>
      </c>
      <c r="E15" t="inlineStr">
        <is>
          <t>KÄ140MA156</t>
        </is>
      </c>
      <c r="F15" t="inlineStr">
        <is>
          <t>Standardtaxa-förslag</t>
        </is>
      </c>
      <c r="G15" t="inlineStr">
        <is>
          <t>Standardtaxa får endast föreslås. Befintlig Taxa_från_edp ändras inte automatiskt.</t>
        </is>
      </c>
      <c r="H15" t="inlineStr">
        <is>
          <t>Standard Avfall rad 77</t>
        </is>
      </c>
      <c r="I15" t="inlineStr">
        <is>
          <t>REVIEW</t>
        </is>
      </c>
      <c r="J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D16" t="inlineStr">
        <is>
          <t>Taxakod</t>
        </is>
      </c>
      <c r="E16" t="inlineStr">
        <is>
          <t>KÄ370RE156</t>
        </is>
      </c>
      <c r="F16" t="inlineStr">
        <is>
          <t>Standardtaxa-förslag</t>
        </is>
      </c>
      <c r="G16" t="inlineStr">
        <is>
          <t>Standardtaxa får endast föreslås. Befintlig Taxa_från_edp ändras inte automatiskt.</t>
        </is>
      </c>
      <c r="H16" t="inlineStr">
        <is>
          <t>Standard Avfall rad 55</t>
        </is>
      </c>
      <c r="I16" t="inlineStr">
        <is>
          <t>REVIEW</t>
        </is>
      </c>
      <c r="J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D17" t="inlineStr">
        <is>
          <t>Taxakod</t>
        </is>
      </c>
      <c r="E17" t="inlineStr">
        <is>
          <t>KÄ660RE156</t>
        </is>
      </c>
      <c r="F17" t="inlineStr">
        <is>
          <t>Standardtaxa-förslag</t>
        </is>
      </c>
      <c r="G17" t="inlineStr">
        <is>
          <t>Standardtaxa får endast föreslås. Befintlig Taxa_från_edp ändras inte automatiskt.</t>
        </is>
      </c>
      <c r="H17" t="inlineStr">
        <is>
          <t>Standard Avfall rad 65</t>
        </is>
      </c>
      <c r="I17" t="inlineStr">
        <is>
          <t>REVIEW</t>
        </is>
      </c>
      <c r="J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D18" t="inlineStr">
        <is>
          <t>Taxakod</t>
        </is>
      </c>
      <c r="E18" t="inlineStr">
        <is>
          <t>KÄ140MA156</t>
        </is>
      </c>
      <c r="F18" t="inlineStr">
        <is>
          <t>Standardtaxa-förslag</t>
        </is>
      </c>
      <c r="G18" t="inlineStr">
        <is>
          <t>Standardtaxa får endast föreslås. Befintlig Taxa_från_edp ändras inte automatiskt.</t>
        </is>
      </c>
      <c r="H18" t="inlineStr">
        <is>
          <t>Standard Avfall rad 77</t>
        </is>
      </c>
      <c r="I18" t="inlineStr">
        <is>
          <t>REVIEW</t>
        </is>
      </c>
      <c r="J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D19" t="inlineStr">
        <is>
          <t>Taxakod</t>
        </is>
      </c>
      <c r="E19" t="inlineStr">
        <is>
          <t>KÄ370RE52</t>
        </is>
      </c>
      <c r="F19" t="inlineStr">
        <is>
          <t>Standardtaxa-förslag</t>
        </is>
      </c>
      <c r="G19" t="inlineStr">
        <is>
          <t>Standardtaxa får endast föreslås. Befintlig Taxa_från_edp ändras inte automatiskt.</t>
        </is>
      </c>
      <c r="H19" t="inlineStr">
        <is>
          <t>Standard Avfall rad 57</t>
        </is>
      </c>
      <c r="I19" t="inlineStr">
        <is>
          <t>REVIEW</t>
        </is>
      </c>
      <c r="J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D20" t="inlineStr">
        <is>
          <t>Taxakod</t>
        </is>
      </c>
      <c r="E20" t="inlineStr">
        <is>
          <t>KÄ660RE026</t>
        </is>
      </c>
      <c r="F20" t="inlineStr">
        <is>
          <t>Standardtaxa-förslag</t>
        </is>
      </c>
      <c r="G20" t="inlineStr">
        <is>
          <t>Standardtaxa får endast föreslås. Befintlig Taxa_från_edp ändras inte automatiskt.</t>
        </is>
      </c>
      <c r="H20" t="inlineStr">
        <is>
          <t>Standard Avfall rad 68</t>
        </is>
      </c>
      <c r="I20" t="inlineStr">
        <is>
          <t>REVIEW</t>
        </is>
      </c>
      <c r="J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D21" t="inlineStr">
        <is>
          <t>Taxakod</t>
        </is>
      </c>
      <c r="E21" t="inlineStr">
        <is>
          <t>KÄ140MA156</t>
        </is>
      </c>
      <c r="F21" t="inlineStr">
        <is>
          <t>Standardtaxa-förslag</t>
        </is>
      </c>
      <c r="G21" t="inlineStr">
        <is>
          <t>Standardtaxa får endast föreslås. Befintlig Taxa_från_edp ändras inte automatiskt.</t>
        </is>
      </c>
      <c r="H21" t="inlineStr">
        <is>
          <t>Standard Avfall rad 77</t>
        </is>
      </c>
      <c r="I21" t="inlineStr">
        <is>
          <t>REVIEW</t>
        </is>
      </c>
      <c r="J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D22" t="inlineStr">
        <is>
          <t>Taxakod</t>
        </is>
      </c>
      <c r="E22" t="inlineStr">
        <is>
          <t>KÄ190RE156</t>
        </is>
      </c>
      <c r="F22" t="inlineStr">
        <is>
          <t>Standardtaxa-förslag</t>
        </is>
      </c>
      <c r="G22" t="inlineStr">
        <is>
          <t>Standardtaxa får endast föreslås. Befintlig Taxa_från_edp ändras inte automatiskt.</t>
        </is>
      </c>
      <c r="H22" t="inlineStr">
        <is>
          <t>Standard Avfall rad 35</t>
        </is>
      </c>
      <c r="I22" t="inlineStr">
        <is>
          <t>REVIEW</t>
        </is>
      </c>
      <c r="J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D23" t="inlineStr">
        <is>
          <t>Taxakod</t>
        </is>
      </c>
      <c r="E23" t="inlineStr">
        <is>
          <t>KÄ370RE156</t>
        </is>
      </c>
      <c r="F23" t="inlineStr">
        <is>
          <t>Standardtaxa-förslag</t>
        </is>
      </c>
      <c r="G23" t="inlineStr">
        <is>
          <t>Standardtaxa får endast föreslås. Befintlig Taxa_från_edp ändras inte automatiskt.</t>
        </is>
      </c>
      <c r="H23" t="inlineStr">
        <is>
          <t>Standard Avfall rad 55</t>
        </is>
      </c>
      <c r="I23" t="inlineStr">
        <is>
          <t>REVIEW</t>
        </is>
      </c>
      <c r="J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D24" t="inlineStr">
        <is>
          <t>Taxakod</t>
        </is>
      </c>
      <c r="E24" t="inlineStr">
        <is>
          <t>KÄ660RE156</t>
        </is>
      </c>
      <c r="F24" t="inlineStr">
        <is>
          <t>Standardtaxa-förslag</t>
        </is>
      </c>
      <c r="G24" t="inlineStr">
        <is>
          <t>Standardtaxa får endast föreslås. Befintlig Taxa_från_edp ändras inte automatiskt.</t>
        </is>
      </c>
      <c r="H24" t="inlineStr">
        <is>
          <t>Standard Avfall rad 65</t>
        </is>
      </c>
      <c r="I24" t="inlineStr">
        <is>
          <t>REVIEW</t>
        </is>
      </c>
      <c r="J24" t="inlineStr">
        <is>
          <t>Möjlig kunskapsbaserad standardträff. namn=0.76*0.35 | nyckelord=1.00*0.20 | avfallstyp=1.00*0.15 | faktor=0.00*0.15 | kategori=0.50*0.10 | enhet=0.00*0.05</t>
        </is>
      </c>
    </row>
    <row r="25">
      <c r="B25" t="inlineStr">
        <is>
          <t>2.1</t>
        </is>
      </c>
      <c r="C25" t="inlineStr">
        <is>
          <t>En- och tvåbostadshus</t>
        </is>
      </c>
      <c r="D25" t="inlineStr">
        <is>
          <t>Beslut</t>
        </is>
      </c>
      <c r="E25" t="inlineStr">
        <is>
          <t>EDP_MATCH</t>
        </is>
      </c>
      <c r="F25" t="inlineStr">
        <is>
          <t>Taxepunkter/Taxa_från_edp</t>
        </is>
      </c>
      <c r="G25" t="inlineStr">
        <is>
          <t>Befintlig Taxakod i Taxepunkter behålls via paragraf+taxapunkt</t>
        </is>
      </c>
      <c r="H25" t="inlineStr">
        <is>
          <t>TaxDecisionEngine</t>
        </is>
      </c>
      <c r="I25" t="inlineStr">
        <is>
          <t>EDP_MATCH</t>
        </is>
      </c>
      <c r="J25" t="inlineStr">
        <is>
          <t>Variant/enhet skiljer eller saknas men kommun-EDP behålls.</t>
        </is>
      </c>
    </row>
    <row r="26">
      <c r="B26" t="inlineStr">
        <is>
          <t>2.1</t>
        </is>
      </c>
      <c r="C26" t="inlineStr">
        <is>
          <t>Fritidshus</t>
        </is>
      </c>
      <c r="D26" t="inlineStr">
        <is>
          <t>Beslut</t>
        </is>
      </c>
      <c r="E26" t="inlineStr">
        <is>
          <t>EDP_MATCH</t>
        </is>
      </c>
      <c r="F26" t="inlineStr">
        <is>
          <t>Taxepunkter/Taxa_från_edp</t>
        </is>
      </c>
      <c r="G26" t="inlineStr">
        <is>
          <t>Befintlig Taxakod i Taxepunkter behålls via paragraf+taxapunkt</t>
        </is>
      </c>
      <c r="H26" t="inlineStr">
        <is>
          <t>TaxDecisionEngine</t>
        </is>
      </c>
      <c r="I26" t="inlineStr">
        <is>
          <t>EDP_MATCH</t>
        </is>
      </c>
      <c r="J26" t="inlineStr">
        <is>
          <t>Variant/enhet skiljer eller saknas men kommun-EDP behålls.</t>
        </is>
      </c>
    </row>
    <row r="27">
      <c r="B27" t="inlineStr">
        <is>
          <t>2.1</t>
        </is>
      </c>
      <c r="C27" t="inlineStr">
        <is>
          <t>Verksamhet</t>
        </is>
      </c>
      <c r="D27" t="inlineStr">
        <is>
          <t>Beslut</t>
        </is>
      </c>
      <c r="E27" t="inlineStr">
        <is>
          <t>EDP_MATCH</t>
        </is>
      </c>
      <c r="F27" t="inlineStr">
        <is>
          <t>Taxepunkter/Taxa_från_edp</t>
        </is>
      </c>
      <c r="G27" t="inlineStr">
        <is>
          <t>Befintlig Taxakod i Taxepunkter behålls via paragraf+taxapunkt</t>
        </is>
      </c>
      <c r="H27" t="inlineStr">
        <is>
          <t>TaxDecisionEngine</t>
        </is>
      </c>
      <c r="I27" t="inlineStr">
        <is>
          <t>EDP_MATCH</t>
        </is>
      </c>
      <c r="J27" t="inlineStr">
        <is>
          <t>Variant/enhet skiljer eller saknas men kommun-EDP behålls.</t>
        </is>
      </c>
    </row>
    <row r="28">
      <c r="B28" t="inlineStr">
        <is>
          <t>2.1</t>
        </is>
      </c>
      <c r="C28" t="inlineStr">
        <is>
          <t>Lägenhet i flerbostadshus</t>
        </is>
      </c>
      <c r="D28" t="inlineStr">
        <is>
          <t>Beslut</t>
        </is>
      </c>
      <c r="E28" t="inlineStr">
        <is>
          <t>EDP_MATCH</t>
        </is>
      </c>
      <c r="F28" t="inlineStr">
        <is>
          <t>Taxepunkter/Taxa_från_edp</t>
        </is>
      </c>
      <c r="G28" t="inlineStr">
        <is>
          <t>Befintlig Taxakod i Taxepunkter behålls via paragraf+taxapunkt</t>
        </is>
      </c>
      <c r="H28" t="inlineStr">
        <is>
          <t>TaxDecisionEngine</t>
        </is>
      </c>
      <c r="I28" t="inlineStr">
        <is>
          <t>EDP_MATCH</t>
        </is>
      </c>
      <c r="J28" t="inlineStr">
        <is>
          <t>Variant/enhet skiljer eller saknas men kommun-EDP behålls.</t>
        </is>
      </c>
    </row>
    <row r="29">
      <c r="B29" t="inlineStr">
        <is>
          <t>2.1</t>
        </is>
      </c>
      <c r="C29" t="inlineStr">
        <is>
          <t>Lägenhet för specialändamål</t>
        </is>
      </c>
      <c r="D29" t="inlineStr">
        <is>
          <t>Beslut</t>
        </is>
      </c>
      <c r="E29" t="inlineStr">
        <is>
          <t>REVIEW_REQUIRED</t>
        </is>
      </c>
      <c r="F29" t="inlineStr">
        <is>
          <t>Taxepunkter</t>
        </is>
      </c>
      <c r="G29" t="inlineStr">
        <is>
          <t>Rad finns men saknar Taxakod</t>
        </is>
      </c>
      <c r="H29" t="inlineStr">
        <is>
          <t>TaxDecisionEngine</t>
        </is>
      </c>
      <c r="I29" t="inlineStr">
        <is>
          <t>REVIEW_REQUIRED</t>
        </is>
      </c>
      <c r="J29" t="inlineStr">
        <is>
          <t>Taxa finns som rad. EDP-koppling saknas.</t>
        </is>
      </c>
    </row>
    <row r="30">
      <c r="B30" t="inlineStr">
        <is>
          <t>2.1</t>
        </is>
      </c>
      <c r="C30" t="inlineStr">
        <is>
          <t>Anläggning</t>
        </is>
      </c>
      <c r="D30" t="inlineStr">
        <is>
          <t>Beslut</t>
        </is>
      </c>
      <c r="E30" t="inlineStr">
        <is>
          <t>REVIEW_REQUIRED</t>
        </is>
      </c>
      <c r="F30" t="inlineStr">
        <is>
          <t>Taxepunkter</t>
        </is>
      </c>
      <c r="G30" t="inlineStr">
        <is>
          <t>Rad finns men saknar Taxakod</t>
        </is>
      </c>
      <c r="H30" t="inlineStr">
        <is>
          <t>TaxDecisionEngine</t>
        </is>
      </c>
      <c r="I30" t="inlineStr">
        <is>
          <t>REVIEW_REQUIRED</t>
        </is>
      </c>
      <c r="J30" t="inlineStr">
        <is>
          <t>Taxa finns som rad. EDP-koppling saknas.</t>
        </is>
      </c>
    </row>
    <row r="31">
      <c r="B31" t="inlineStr">
        <is>
          <t>2.1</t>
        </is>
      </c>
      <c r="C31" t="inlineStr">
        <is>
          <t>Säsongsbaserad uppställningsplats</t>
        </is>
      </c>
      <c r="D31" t="inlineStr">
        <is>
          <t>Beslut</t>
        </is>
      </c>
      <c r="E31" t="inlineStr">
        <is>
          <t>REVIEW_REQUIRED</t>
        </is>
      </c>
      <c r="F31" t="inlineStr">
        <is>
          <t>Taxepunkter</t>
        </is>
      </c>
      <c r="G31" t="inlineStr">
        <is>
          <t>Rad finns men saknar Taxakod</t>
        </is>
      </c>
      <c r="H31" t="inlineStr">
        <is>
          <t>TaxDecisionEngine</t>
        </is>
      </c>
      <c r="I31" t="inlineStr">
        <is>
          <t>REVIEW_REQUIRED</t>
        </is>
      </c>
      <c r="J31" t="inlineStr">
        <is>
          <t>Taxa finns som rad. EDP-koppling saknas.</t>
        </is>
      </c>
    </row>
    <row r="32">
      <c r="B32" t="inlineStr">
        <is>
          <t>2.1</t>
        </is>
      </c>
      <c r="C32" t="inlineStr">
        <is>
          <t>Campingstuga/-lägenhet</t>
        </is>
      </c>
      <c r="D32" t="inlineStr">
        <is>
          <t>Beslut</t>
        </is>
      </c>
      <c r="E32" t="inlineStr">
        <is>
          <t>REVIEW_REQUIRED</t>
        </is>
      </c>
      <c r="F32" t="inlineStr">
        <is>
          <t>Taxepunkter</t>
        </is>
      </c>
      <c r="G32" t="inlineStr">
        <is>
          <t>Rad finns men saknar Taxakod</t>
        </is>
      </c>
      <c r="H32" t="inlineStr">
        <is>
          <t>TaxDecisionEngine</t>
        </is>
      </c>
      <c r="I32" t="inlineStr">
        <is>
          <t>REVIEW_REQUIRED</t>
        </is>
      </c>
      <c r="J32" t="inlineStr">
        <is>
          <t>Taxa finns som rad. EDP-koppling saknas.</t>
        </is>
      </c>
    </row>
    <row r="33">
      <c r="B33" t="inlineStr">
        <is>
          <t>2.2.1</t>
        </is>
      </c>
      <c r="C33" t="inlineStr">
        <is>
          <t>Kärl 240 l (mat-/restavfall)</t>
        </is>
      </c>
      <c r="D33" t="inlineStr">
        <is>
          <t>Beslut</t>
        </is>
      </c>
      <c r="E33" t="inlineStr">
        <is>
          <t>NEW_TAXA</t>
        </is>
      </c>
      <c r="F33" t="inlineStr">
        <is>
          <t>Word</t>
        </is>
      </c>
      <c r="G33" t="inlineStr">
        <is>
          <t>Word-taxa saknar EDP-match och standardförslag</t>
        </is>
      </c>
      <c r="H33" t="inlineStr">
        <is>
          <t>TaxDecisionEngine</t>
        </is>
      </c>
      <c r="I33" t="inlineStr">
        <is>
          <t>NEW_TAXA</t>
        </is>
      </c>
      <c r="J33" t="inlineStr">
        <is>
          <t>Skapa/hantera som ny taxa eller manuell granskning.</t>
        </is>
      </c>
    </row>
    <row r="34">
      <c r="B34" t="inlineStr">
        <is>
          <t>2.2.1</t>
        </is>
      </c>
      <c r="C34" t="inlineStr">
        <is>
          <t>Extrakärl 190 l (restavfall)</t>
        </is>
      </c>
      <c r="D34" t="inlineStr">
        <is>
          <t>Beslut</t>
        </is>
      </c>
      <c r="E34" t="inlineStr">
        <is>
          <t>NEW_TAXA</t>
        </is>
      </c>
      <c r="F34" t="inlineStr">
        <is>
          <t>Word</t>
        </is>
      </c>
      <c r="G34" t="inlineStr">
        <is>
          <t>Word-taxa saknar EDP-match och standardförslag</t>
        </is>
      </c>
      <c r="H34" t="inlineStr">
        <is>
          <t>TaxDecisionEngine</t>
        </is>
      </c>
      <c r="I34" t="inlineStr">
        <is>
          <t>NEW_TAXA</t>
        </is>
      </c>
      <c r="J34" t="inlineStr">
        <is>
          <t>Skapa/hantera som ny taxa eller manuell granskning.</t>
        </is>
      </c>
    </row>
    <row r="35">
      <c r="B35" t="inlineStr">
        <is>
          <t>2.2.2</t>
        </is>
      </c>
      <c r="C35" t="inlineStr">
        <is>
          <t>Kärl 240 l (mat-/restavfall)</t>
        </is>
      </c>
      <c r="D35" t="inlineStr">
        <is>
          <t>Beslut</t>
        </is>
      </c>
      <c r="E35" t="inlineStr">
        <is>
          <t>NEW_TAXA</t>
        </is>
      </c>
      <c r="F35" t="inlineStr">
        <is>
          <t>Word</t>
        </is>
      </c>
      <c r="G35" t="inlineStr">
        <is>
          <t>Word-taxa saknar EDP-match och standardförslag</t>
        </is>
      </c>
      <c r="H35" t="inlineStr">
        <is>
          <t>TaxDecisionEngine</t>
        </is>
      </c>
      <c r="I35" t="inlineStr">
        <is>
          <t>NEW_TAXA</t>
        </is>
      </c>
      <c r="J35" t="inlineStr">
        <is>
          <t>Skapa/hantera som ny taxa eller manuell granskning.</t>
        </is>
      </c>
    </row>
    <row r="36">
      <c r="B36" t="inlineStr">
        <is>
          <t>2.2.2</t>
        </is>
      </c>
      <c r="C36" t="inlineStr">
        <is>
          <t>Extrakärl 190 l (restavfall)</t>
        </is>
      </c>
      <c r="D36" t="inlineStr">
        <is>
          <t>Beslut</t>
        </is>
      </c>
      <c r="E36" t="inlineStr">
        <is>
          <t>EDP_MATCH</t>
        </is>
      </c>
      <c r="F36" t="inlineStr">
        <is>
          <t>Taxepunkter/Taxa_från_edp</t>
        </is>
      </c>
      <c r="G36" t="inlineStr">
        <is>
          <t>Befintlig Taxakod i Taxepunkter behålls via paragraf+taxapunkt</t>
        </is>
      </c>
      <c r="H36" t="inlineStr">
        <is>
          <t>TaxDecisionEngine</t>
        </is>
      </c>
      <c r="I36" t="inlineStr">
        <is>
          <t>EDP_MATCH</t>
        </is>
      </c>
      <c r="J36" t="inlineStr">
        <is>
          <t>Variant/enhet skiljer eller saknas men kommun-EDP behålls.</t>
        </is>
      </c>
    </row>
    <row r="37">
      <c r="B37" t="inlineStr">
        <is>
          <t>2.2.3</t>
        </is>
      </c>
      <c r="C37" t="inlineStr">
        <is>
          <t>Gemensam uppsamlingsplats för mat-/restavfall</t>
        </is>
      </c>
      <c r="D37" t="inlineStr">
        <is>
          <t>Beslut</t>
        </is>
      </c>
      <c r="E37" t="inlineStr">
        <is>
          <t>EDP_MATCH</t>
        </is>
      </c>
      <c r="F37" t="inlineStr">
        <is>
          <t>Taxepunkter/Taxa_från_edp</t>
        </is>
      </c>
      <c r="G37" t="inlineStr">
        <is>
          <t>Befintlig Taxakod i Taxepunkter behålls via paragraf+taxapunkt</t>
        </is>
      </c>
      <c r="H37" t="inlineStr">
        <is>
          <t>TaxDecisionEngine</t>
        </is>
      </c>
      <c r="I37" t="inlineStr">
        <is>
          <t>EDP_MATCH</t>
        </is>
      </c>
      <c r="J37" t="inlineStr">
        <is>
          <t>Variant/enhet skiljer eller saknas men kommun-EDP behålls.</t>
        </is>
      </c>
    </row>
    <row r="38">
      <c r="B38" t="inlineStr">
        <is>
          <t>2.2.3</t>
        </is>
      </c>
      <c r="C38" t="inlineStr">
        <is>
          <t>Extra digital licens (årskostnad)</t>
        </is>
      </c>
      <c r="D38" t="inlineStr">
        <is>
          <t>Beslut</t>
        </is>
      </c>
      <c r="E38" t="inlineStr">
        <is>
          <t>REVIEW_REQUIRED</t>
        </is>
      </c>
      <c r="F38" t="inlineStr">
        <is>
          <t>Taxepunkter</t>
        </is>
      </c>
      <c r="G38" t="inlineStr">
        <is>
          <t>Rad finns men saknar Taxakod</t>
        </is>
      </c>
      <c r="H38" t="inlineStr">
        <is>
          <t>TaxDecisionEngine</t>
        </is>
      </c>
      <c r="I38" t="inlineStr">
        <is>
          <t>REVIEW_REQUIRED</t>
        </is>
      </c>
      <c r="J38" t="inlineStr">
        <is>
          <t>Taxa finns som rad. EDP-koppling saknas.</t>
        </is>
      </c>
    </row>
    <row r="39">
      <c r="B39" t="inlineStr">
        <is>
          <t>2.2.3</t>
        </is>
      </c>
      <c r="C39" t="inlineStr">
        <is>
          <t>Fysisk nyckel, kallad fob (engångskostnad)</t>
        </is>
      </c>
      <c r="D39" t="inlineStr">
        <is>
          <t>Beslut</t>
        </is>
      </c>
      <c r="E39" t="inlineStr">
        <is>
          <t>REVIEW_REQUIRED</t>
        </is>
      </c>
      <c r="F39" t="inlineStr">
        <is>
          <t>Taxepunkter</t>
        </is>
      </c>
      <c r="G39" t="inlineStr">
        <is>
          <t>Rad finns men saknar Taxakod</t>
        </is>
      </c>
      <c r="H39" t="inlineStr">
        <is>
          <t>TaxDecisionEngine</t>
        </is>
      </c>
      <c r="I39" t="inlineStr">
        <is>
          <t>REVIEW_REQUIRED</t>
        </is>
      </c>
      <c r="J39" t="inlineStr">
        <is>
          <t>Taxa finns som rad. EDP-koppling saknas.</t>
        </is>
      </c>
    </row>
    <row r="40">
      <c r="B40" t="inlineStr">
        <is>
          <t>2.2.3</t>
        </is>
      </c>
      <c r="C40" t="inlineStr">
        <is>
          <t>Byte av telefonnummer kopplat till licens</t>
        </is>
      </c>
      <c r="D40" t="inlineStr">
        <is>
          <t>Beslut</t>
        </is>
      </c>
      <c r="E40" t="inlineStr">
        <is>
          <t>REVIEW_REQUIRED</t>
        </is>
      </c>
      <c r="F40" t="inlineStr">
        <is>
          <t>Taxepunkter</t>
        </is>
      </c>
      <c r="G40" t="inlineStr">
        <is>
          <t>Rad finns men saknar Taxakod</t>
        </is>
      </c>
      <c r="H40" t="inlineStr">
        <is>
          <t>TaxDecisionEngine</t>
        </is>
      </c>
      <c r="I40" t="inlineStr">
        <is>
          <t>REVIEW_REQUIRED</t>
        </is>
      </c>
      <c r="J40" t="inlineStr">
        <is>
          <t>Taxa finns som rad. EDP-koppling saknas.</t>
        </is>
      </c>
    </row>
    <row r="41">
      <c r="B41" t="inlineStr">
        <is>
          <t>2.2.3</t>
        </is>
      </c>
      <c r="C41" t="inlineStr">
        <is>
          <t>Kostnad för öppning av behållare</t>
        </is>
      </c>
      <c r="D41" t="inlineStr">
        <is>
          <t>Beslut</t>
        </is>
      </c>
      <c r="E41" t="inlineStr">
        <is>
          <t>REVIEW_REQUIRED</t>
        </is>
      </c>
      <c r="F41" t="inlineStr">
        <is>
          <t>Taxepunkter</t>
        </is>
      </c>
      <c r="G41" t="inlineStr">
        <is>
          <t>Rad finns men saknar Taxakod</t>
        </is>
      </c>
      <c r="H41" t="inlineStr">
        <is>
          <t>TaxDecisionEngine</t>
        </is>
      </c>
      <c r="I41" t="inlineStr">
        <is>
          <t>REVIEW_REQUIRED</t>
        </is>
      </c>
      <c r="J41" t="inlineStr">
        <is>
          <t>Taxa finns som rad. EDP-koppling saknas.</t>
        </is>
      </c>
    </row>
    <row r="42">
      <c r="B42" t="inlineStr">
        <is>
          <t>2.2.4</t>
        </is>
      </c>
      <c r="C42" t="inlineStr">
        <is>
          <t>Kärl 240 l (mat-/restavfall)</t>
        </is>
      </c>
      <c r="D42" t="inlineStr">
        <is>
          <t>Beslut</t>
        </is>
      </c>
      <c r="E42" t="inlineStr">
        <is>
          <t>NEW_TAXA</t>
        </is>
      </c>
      <c r="F42" t="inlineStr">
        <is>
          <t>Word</t>
        </is>
      </c>
      <c r="G42" t="inlineStr">
        <is>
          <t>Word-taxa saknar EDP-match och standardförslag</t>
        </is>
      </c>
      <c r="H42" t="inlineStr">
        <is>
          <t>TaxDecisionEngine</t>
        </is>
      </c>
      <c r="I42" t="inlineStr">
        <is>
          <t>NEW_TAXA</t>
        </is>
      </c>
      <c r="J42" t="inlineStr">
        <is>
          <t>Skapa/hantera som ny taxa eller manuell granskning.</t>
        </is>
      </c>
    </row>
    <row r="43">
      <c r="B43" t="inlineStr">
        <is>
          <t>2.2.4</t>
        </is>
      </c>
      <c r="C43" t="inlineStr">
        <is>
          <t>Kärl 370 l (restavfall)</t>
        </is>
      </c>
      <c r="D43" t="inlineStr">
        <is>
          <t>Beslut</t>
        </is>
      </c>
      <c r="E43" t="inlineStr">
        <is>
          <t>REVIEW_REQUIRED</t>
        </is>
      </c>
      <c r="F43" t="inlineStr">
        <is>
          <t>Standardtaxor</t>
        </is>
      </c>
      <c r="G43" t="inlineStr">
        <is>
          <t>Standardtaxa används endast som förslag</t>
        </is>
      </c>
      <c r="H43" t="inlineStr">
        <is>
          <t>TaxDecisionEngine</t>
        </is>
      </c>
      <c r="I43" t="inlineStr">
        <is>
          <t>REVIEW_REQUIRED</t>
        </is>
      </c>
      <c r="J43" t="inlineStr">
        <is>
          <t>Standardtaxa får inte skriva över befintlig kommun-EDP.</t>
        </is>
      </c>
    </row>
    <row r="44">
      <c r="B44" t="inlineStr">
        <is>
          <t>2.2.4</t>
        </is>
      </c>
      <c r="C44" t="inlineStr">
        <is>
          <t>Kärl 660 l (restavfall)</t>
        </is>
      </c>
      <c r="D44" t="inlineStr">
        <is>
          <t>Beslut</t>
        </is>
      </c>
      <c r="E44" t="inlineStr">
        <is>
          <t>REVIEW_REQUIRED</t>
        </is>
      </c>
      <c r="F44" t="inlineStr">
        <is>
          <t>Standardtaxor</t>
        </is>
      </c>
      <c r="G44" t="inlineStr">
        <is>
          <t>Standardtaxa används endast som förslag</t>
        </is>
      </c>
      <c r="H44" t="inlineStr">
        <is>
          <t>TaxDecisionEngine</t>
        </is>
      </c>
      <c r="I44" t="inlineStr">
        <is>
          <t>REVIEW_REQUIRED</t>
        </is>
      </c>
      <c r="J44" t="inlineStr">
        <is>
          <t>Standardtaxa får inte skriva över befintlig kommun-EDP.</t>
        </is>
      </c>
    </row>
    <row r="45">
      <c r="B45" t="inlineStr">
        <is>
          <t>2.2.4</t>
        </is>
      </c>
      <c r="C45" t="inlineStr">
        <is>
          <t>Kärl 140 l (matavfall)</t>
        </is>
      </c>
      <c r="D45" t="inlineStr">
        <is>
          <t>Beslut</t>
        </is>
      </c>
      <c r="E45" t="inlineStr">
        <is>
          <t>REVIEW_REQUIRED</t>
        </is>
      </c>
      <c r="F45" t="inlineStr">
        <is>
          <t>Standardtaxor</t>
        </is>
      </c>
      <c r="G45" t="inlineStr">
        <is>
          <t>Standardtaxa används endast som förslag</t>
        </is>
      </c>
      <c r="H45" t="inlineStr">
        <is>
          <t>TaxDecisionEngine</t>
        </is>
      </c>
      <c r="I45" t="inlineStr">
        <is>
          <t>REVIEW_REQUIRED</t>
        </is>
      </c>
      <c r="J45" t="inlineStr">
        <is>
          <t>Standardtaxa får inte skriva över befintlig kommun-EDP.</t>
        </is>
      </c>
    </row>
    <row r="46">
      <c r="B46" t="inlineStr">
        <is>
          <t>2.2.4</t>
        </is>
      </c>
      <c r="C46" t="inlineStr">
        <is>
          <t>Kärl 190 l (förpackningar)</t>
        </is>
      </c>
      <c r="D46" t="inlineStr">
        <is>
          <t>Beslut</t>
        </is>
      </c>
      <c r="E46" t="inlineStr">
        <is>
          <t>REVIEW_REQUIRED</t>
        </is>
      </c>
      <c r="F46" t="inlineStr">
        <is>
          <t>Standardtaxor</t>
        </is>
      </c>
      <c r="G46" t="inlineStr">
        <is>
          <t>Standardtaxa används endast som förslag</t>
        </is>
      </c>
      <c r="H46" t="inlineStr">
        <is>
          <t>TaxDecisionEngine</t>
        </is>
      </c>
      <c r="I46" t="inlineStr">
        <is>
          <t>REVIEW_REQUIRED</t>
        </is>
      </c>
      <c r="J46" t="inlineStr">
        <is>
          <t>Standardtaxa får inte skriva över befintlig kommun-EDP.</t>
        </is>
      </c>
    </row>
    <row r="47">
      <c r="B47" t="inlineStr">
        <is>
          <t>2.2.4</t>
        </is>
      </c>
      <c r="C47" t="inlineStr">
        <is>
          <t>Kärl 370 l (förpackningar)</t>
        </is>
      </c>
      <c r="D47" t="inlineStr">
        <is>
          <t>Beslut</t>
        </is>
      </c>
      <c r="E47" t="inlineStr">
        <is>
          <t>REVIEW_REQUIRED</t>
        </is>
      </c>
      <c r="F47" t="inlineStr">
        <is>
          <t>Standardtaxor</t>
        </is>
      </c>
      <c r="G47" t="inlineStr">
        <is>
          <t>Standardtaxa används endast som förslag</t>
        </is>
      </c>
      <c r="H47" t="inlineStr">
        <is>
          <t>TaxDecisionEngine</t>
        </is>
      </c>
      <c r="I47" t="inlineStr">
        <is>
          <t>REVIEW_REQUIRED</t>
        </is>
      </c>
      <c r="J47" t="inlineStr">
        <is>
          <t>Standardtaxa får inte skriva över befintlig kommun-EDP.</t>
        </is>
      </c>
    </row>
    <row r="48">
      <c r="B48" t="inlineStr">
        <is>
          <t>2.2.4</t>
        </is>
      </c>
      <c r="C48" t="inlineStr">
        <is>
          <t>Kärl 660 l (förpackningar)</t>
        </is>
      </c>
      <c r="D48" t="inlineStr">
        <is>
          <t>Beslut</t>
        </is>
      </c>
      <c r="E48" t="inlineStr">
        <is>
          <t>REVIEW_REQUIRED</t>
        </is>
      </c>
      <c r="F48" t="inlineStr">
        <is>
          <t>Standardtaxor</t>
        </is>
      </c>
      <c r="G48" t="inlineStr">
        <is>
          <t>Standardtaxa används endast som förslag</t>
        </is>
      </c>
      <c r="H48" t="inlineStr">
        <is>
          <t>TaxDecisionEngine</t>
        </is>
      </c>
      <c r="I48" t="inlineStr">
        <is>
          <t>REVIEW_REQUIRED</t>
        </is>
      </c>
      <c r="J48" t="inlineStr">
        <is>
          <t>Standardtaxa får inte skriva över befintlig kommun-EDP.</t>
        </is>
      </c>
    </row>
    <row r="49">
      <c r="B49" t="inlineStr">
        <is>
          <t>2.2.4</t>
        </is>
      </c>
      <c r="C49" t="inlineStr">
        <is>
          <t>Kärl 190 l (tidningar och returpapper)</t>
        </is>
      </c>
      <c r="D49" t="inlineStr">
        <is>
          <t>Beslut</t>
        </is>
      </c>
      <c r="E49" t="inlineStr">
        <is>
          <t>NEW_TAXA</t>
        </is>
      </c>
      <c r="F49" t="inlineStr">
        <is>
          <t>Word</t>
        </is>
      </c>
      <c r="G49" t="inlineStr">
        <is>
          <t>Word-taxa saknar EDP-match och standardförslag</t>
        </is>
      </c>
      <c r="H49" t="inlineStr">
        <is>
          <t>TaxDecisionEngine</t>
        </is>
      </c>
      <c r="I49" t="inlineStr">
        <is>
          <t>NEW_TAXA</t>
        </is>
      </c>
      <c r="J49" t="inlineStr">
        <is>
          <t>Skapa/hantera som ny taxa eller manuell granskning.</t>
        </is>
      </c>
    </row>
    <row r="50">
      <c r="B50" t="inlineStr">
        <is>
          <t>2.2.4</t>
        </is>
      </c>
      <c r="C50" t="inlineStr">
        <is>
          <t>Kärl 370 l (tidningar och returpapper)</t>
        </is>
      </c>
      <c r="D50" t="inlineStr">
        <is>
          <t>Beslut</t>
        </is>
      </c>
      <c r="E50" t="inlineStr">
        <is>
          <t>NEW_TAXA</t>
        </is>
      </c>
      <c r="F50" t="inlineStr">
        <is>
          <t>Word</t>
        </is>
      </c>
      <c r="G50" t="inlineStr">
        <is>
          <t>Word-taxa saknar EDP-match och standardförslag</t>
        </is>
      </c>
      <c r="H50" t="inlineStr">
        <is>
          <t>TaxDecisionEngine</t>
        </is>
      </c>
      <c r="I50" t="inlineStr">
        <is>
          <t>NEW_TAXA</t>
        </is>
      </c>
      <c r="J50" t="inlineStr">
        <is>
          <t>Skapa/hantera som ny taxa eller manuell granskning.</t>
        </is>
      </c>
    </row>
    <row r="51">
      <c r="B51" t="inlineStr">
        <is>
          <t>2.2.4</t>
        </is>
      </c>
      <c r="C51" t="inlineStr">
        <is>
          <t>(mat-/restavfall, förpackningar)</t>
        </is>
      </c>
      <c r="D51" t="inlineStr">
        <is>
          <t>Beslut</t>
        </is>
      </c>
      <c r="E51" t="inlineStr">
        <is>
          <t>NEW_TAXA</t>
        </is>
      </c>
      <c r="F51" t="inlineStr">
        <is>
          <t>Word</t>
        </is>
      </c>
      <c r="G51" t="inlineStr">
        <is>
          <t>Word-taxa saknar EDP-match och standardförslag</t>
        </is>
      </c>
      <c r="H51" t="inlineStr">
        <is>
          <t>TaxDecisionEngine</t>
        </is>
      </c>
      <c r="I51" t="inlineStr">
        <is>
          <t>NEW_TAXA</t>
        </is>
      </c>
      <c r="J51" t="inlineStr">
        <is>
          <t>Skapa/hantera som ny taxa eller manuell granskning.</t>
        </is>
      </c>
    </row>
    <row r="52">
      <c r="B52" t="inlineStr">
        <is>
          <t>2.2.5</t>
        </is>
      </c>
      <c r="C52" t="inlineStr">
        <is>
          <t>Kärl 240 l (mat-/restavfall)</t>
        </is>
      </c>
      <c r="D52" t="inlineStr">
        <is>
          <t>Beslut</t>
        </is>
      </c>
      <c r="E52" t="inlineStr">
        <is>
          <t>NEW_TAXA</t>
        </is>
      </c>
      <c r="F52" t="inlineStr">
        <is>
          <t>Word</t>
        </is>
      </c>
      <c r="G52" t="inlineStr">
        <is>
          <t>Word-taxa saknar EDP-match och standardförslag</t>
        </is>
      </c>
      <c r="H52" t="inlineStr">
        <is>
          <t>TaxDecisionEngine</t>
        </is>
      </c>
      <c r="I52" t="inlineStr">
        <is>
          <t>NEW_TAXA</t>
        </is>
      </c>
      <c r="J52" t="inlineStr">
        <is>
          <t>Skapa/hantera som ny taxa eller manuell granskning.</t>
        </is>
      </c>
    </row>
    <row r="53">
      <c r="B53" t="inlineStr">
        <is>
          <t>2.2.5</t>
        </is>
      </c>
      <c r="C53" t="inlineStr">
        <is>
          <t>Kärl 370 l (restavfall)</t>
        </is>
      </c>
      <c r="D53" t="inlineStr">
        <is>
          <t>Beslut</t>
        </is>
      </c>
      <c r="E53" t="inlineStr">
        <is>
          <t>REVIEW_REQUIRED</t>
        </is>
      </c>
      <c r="F53" t="inlineStr">
        <is>
          <t>Standardtaxor</t>
        </is>
      </c>
      <c r="G53" t="inlineStr">
        <is>
          <t>Standardtaxa används endast som förslag</t>
        </is>
      </c>
      <c r="H53" t="inlineStr">
        <is>
          <t>TaxDecisionEngine</t>
        </is>
      </c>
      <c r="I53" t="inlineStr">
        <is>
          <t>REVIEW_REQUIRED</t>
        </is>
      </c>
      <c r="J53" t="inlineStr">
        <is>
          <t>Standardtaxa får inte skriva över befintlig kommun-EDP.</t>
        </is>
      </c>
    </row>
    <row r="54">
      <c r="B54" t="inlineStr">
        <is>
          <t>2.2.5</t>
        </is>
      </c>
      <c r="C54" t="inlineStr">
        <is>
          <t>Kärl 660 l (restavfall)</t>
        </is>
      </c>
      <c r="D54" t="inlineStr">
        <is>
          <t>Beslut</t>
        </is>
      </c>
      <c r="E54" t="inlineStr">
        <is>
          <t>REVIEW_REQUIRED</t>
        </is>
      </c>
      <c r="F54" t="inlineStr">
        <is>
          <t>Standardtaxor</t>
        </is>
      </c>
      <c r="G54" t="inlineStr">
        <is>
          <t>Standardtaxa används endast som förslag</t>
        </is>
      </c>
      <c r="H54" t="inlineStr">
        <is>
          <t>TaxDecisionEngine</t>
        </is>
      </c>
      <c r="I54" t="inlineStr">
        <is>
          <t>REVIEW_REQUIRED</t>
        </is>
      </c>
      <c r="J54" t="inlineStr">
        <is>
          <t>Standardtaxa får inte skriva över befintlig kommun-EDP.</t>
        </is>
      </c>
    </row>
    <row r="55">
      <c r="B55" t="inlineStr">
        <is>
          <t>2.2.5</t>
        </is>
      </c>
      <c r="C55" t="inlineStr">
        <is>
          <t>Kärl 140 l (matavfall)</t>
        </is>
      </c>
      <c r="D55" t="inlineStr">
        <is>
          <t>Beslut</t>
        </is>
      </c>
      <c r="E55" t="inlineStr">
        <is>
          <t>REVIEW_REQUIRED</t>
        </is>
      </c>
      <c r="F55" t="inlineStr">
        <is>
          <t>Standardtaxor</t>
        </is>
      </c>
      <c r="G55" t="inlineStr">
        <is>
          <t>Standardtaxa används endast som förslag</t>
        </is>
      </c>
      <c r="H55" t="inlineStr">
        <is>
          <t>TaxDecisionEngine</t>
        </is>
      </c>
      <c r="I55" t="inlineStr">
        <is>
          <t>REVIEW_REQUIRED</t>
        </is>
      </c>
      <c r="J55" t="inlineStr">
        <is>
          <t>Standardtaxa får inte skriva över befintlig kommun-EDP.</t>
        </is>
      </c>
    </row>
    <row r="56">
      <c r="B56" t="inlineStr">
        <is>
          <t>2.2.5</t>
        </is>
      </c>
      <c r="C56" t="inlineStr">
        <is>
          <t>Bottentömmande behållare (mat-/restavfall)</t>
        </is>
      </c>
      <c r="D56" t="inlineStr">
        <is>
          <t>Beslut</t>
        </is>
      </c>
      <c r="E56" t="inlineStr">
        <is>
          <t>NEW_TAXA</t>
        </is>
      </c>
      <c r="F56" t="inlineStr">
        <is>
          <t>Word</t>
        </is>
      </c>
      <c r="G56" t="inlineStr">
        <is>
          <t>Word-taxa saknar EDP-match och standardförslag</t>
        </is>
      </c>
      <c r="H56" t="inlineStr">
        <is>
          <t>TaxDecisionEngine</t>
        </is>
      </c>
      <c r="I56" t="inlineStr">
        <is>
          <t>NEW_TAXA</t>
        </is>
      </c>
      <c r="J56" t="inlineStr">
        <is>
          <t>Skapa/hantera som ny taxa eller manuell granskning.</t>
        </is>
      </c>
    </row>
    <row r="57">
      <c r="B57" t="inlineStr">
        <is>
          <t>2.2.5</t>
        </is>
      </c>
      <c r="C57" t="inlineStr">
        <is>
          <t>Lastväxlarflak (restavfall)</t>
        </is>
      </c>
      <c r="D57" t="inlineStr">
        <is>
          <t>Beslut</t>
        </is>
      </c>
      <c r="E57" t="inlineStr">
        <is>
          <t>REVIEW_REQUIRED</t>
        </is>
      </c>
      <c r="F57" t="inlineStr">
        <is>
          <t>Taxepunkter</t>
        </is>
      </c>
      <c r="G57" t="inlineStr">
        <is>
          <t>Rad finns men saknar Taxakod</t>
        </is>
      </c>
      <c r="H57" t="inlineStr">
        <is>
          <t>TaxDecisionEngine</t>
        </is>
      </c>
      <c r="I57" t="inlineStr">
        <is>
          <t>REVIEW_REQUIRED</t>
        </is>
      </c>
      <c r="J57" t="inlineStr">
        <is>
          <t>Taxa finns som rad. EDP-koppling saknas.</t>
        </is>
      </c>
    </row>
    <row r="58">
      <c r="B58" t="inlineStr">
        <is>
          <t>2.2.6</t>
        </is>
      </c>
      <c r="C58" t="inlineStr">
        <is>
          <t>Kärl 240 l (mat-/restavfall)</t>
        </is>
      </c>
      <c r="D58" t="inlineStr">
        <is>
          <t>Beslut</t>
        </is>
      </c>
      <c r="E58" t="inlineStr">
        <is>
          <t>NEW_TAXA</t>
        </is>
      </c>
      <c r="F58" t="inlineStr">
        <is>
          <t>Word</t>
        </is>
      </c>
      <c r="G58" t="inlineStr">
        <is>
          <t>Word-taxa saknar EDP-match och standardförslag</t>
        </is>
      </c>
      <c r="H58" t="inlineStr">
        <is>
          <t>TaxDecisionEngine</t>
        </is>
      </c>
      <c r="I58" t="inlineStr">
        <is>
          <t>NEW_TAXA</t>
        </is>
      </c>
      <c r="J58" t="inlineStr">
        <is>
          <t>Skapa/hantera som ny taxa eller manuell granskning.</t>
        </is>
      </c>
    </row>
    <row r="59">
      <c r="B59" t="inlineStr">
        <is>
          <t>2.2.6</t>
        </is>
      </c>
      <c r="C59" t="inlineStr">
        <is>
          <t>Kärl 370 l (restavfall)</t>
        </is>
      </c>
      <c r="D59" t="inlineStr">
        <is>
          <t>Beslut</t>
        </is>
      </c>
      <c r="E59" t="inlineStr">
        <is>
          <t>REVIEW_REQUIRED</t>
        </is>
      </c>
      <c r="F59" t="inlineStr">
        <is>
          <t>Standardtaxor</t>
        </is>
      </c>
      <c r="G59" t="inlineStr">
        <is>
          <t>Standardtaxa används endast som förslag</t>
        </is>
      </c>
      <c r="H59" t="inlineStr">
        <is>
          <t>TaxDecisionEngine</t>
        </is>
      </c>
      <c r="I59" t="inlineStr">
        <is>
          <t>REVIEW_REQUIRED</t>
        </is>
      </c>
      <c r="J59" t="inlineStr">
        <is>
          <t>Standardtaxa får inte skriva över befintlig kommun-EDP.</t>
        </is>
      </c>
    </row>
    <row r="60">
      <c r="B60" t="inlineStr">
        <is>
          <t>2.2.6</t>
        </is>
      </c>
      <c r="C60" t="inlineStr">
        <is>
          <t>Kärl 660 l (restavfall)</t>
        </is>
      </c>
      <c r="D60" t="inlineStr">
        <is>
          <t>Beslut</t>
        </is>
      </c>
      <c r="E60" t="inlineStr">
        <is>
          <t>REVIEW_REQUIRED</t>
        </is>
      </c>
      <c r="F60" t="inlineStr">
        <is>
          <t>Standardtaxor</t>
        </is>
      </c>
      <c r="G60" t="inlineStr">
        <is>
          <t>Standardtaxa används endast som förslag</t>
        </is>
      </c>
      <c r="H60" t="inlineStr">
        <is>
          <t>TaxDecisionEngine</t>
        </is>
      </c>
      <c r="I60" t="inlineStr">
        <is>
          <t>REVIEW_REQUIRED</t>
        </is>
      </c>
      <c r="J60" t="inlineStr">
        <is>
          <t>Standardtaxa får inte skriva över befintlig kommun-EDP.</t>
        </is>
      </c>
    </row>
    <row r="61">
      <c r="B61" t="inlineStr">
        <is>
          <t>2.2.6</t>
        </is>
      </c>
      <c r="C61" t="inlineStr">
        <is>
          <t>Kärl 140 l (matavfall)</t>
        </is>
      </c>
      <c r="D61" t="inlineStr">
        <is>
          <t>Beslut</t>
        </is>
      </c>
      <c r="E61" t="inlineStr">
        <is>
          <t>REVIEW_REQUIRED</t>
        </is>
      </c>
      <c r="F61" t="inlineStr">
        <is>
          <t>Standardtaxor</t>
        </is>
      </c>
      <c r="G61" t="inlineStr">
        <is>
          <t>Standardtaxa används endast som förslag</t>
        </is>
      </c>
      <c r="H61" t="inlineStr">
        <is>
          <t>TaxDecisionEngine</t>
        </is>
      </c>
      <c r="I61" t="inlineStr">
        <is>
          <t>REVIEW_REQUIRED</t>
        </is>
      </c>
      <c r="J61" t="inlineStr">
        <is>
          <t>Standardtaxa får inte skriva över befintlig kommun-EDP.</t>
        </is>
      </c>
    </row>
    <row r="62">
      <c r="B62" t="inlineStr">
        <is>
          <t>2.2.6</t>
        </is>
      </c>
      <c r="C62" t="inlineStr">
        <is>
          <t>Bottentömmande behållare (mat-/restavfall)</t>
        </is>
      </c>
      <c r="D62" t="inlineStr">
        <is>
          <t>Beslut</t>
        </is>
      </c>
      <c r="E62" t="inlineStr">
        <is>
          <t>NEW_TAXA</t>
        </is>
      </c>
      <c r="F62" t="inlineStr">
        <is>
          <t>Word</t>
        </is>
      </c>
      <c r="G62" t="inlineStr">
        <is>
          <t>Word-taxa saknar EDP-match och standardförslag</t>
        </is>
      </c>
      <c r="H62" t="inlineStr">
        <is>
          <t>TaxDecisionEngine</t>
        </is>
      </c>
      <c r="I62" t="inlineStr">
        <is>
          <t>NEW_TAXA</t>
        </is>
      </c>
      <c r="J62" t="inlineStr">
        <is>
          <t>Skapa/hantera som ny taxa eller manuell granskning.</t>
        </is>
      </c>
    </row>
    <row r="63">
      <c r="B63" t="inlineStr">
        <is>
          <t>2.2.6</t>
        </is>
      </c>
      <c r="C63" t="inlineStr">
        <is>
          <t>Lastväxlarflak (restavfall)</t>
        </is>
      </c>
      <c r="D63" t="inlineStr">
        <is>
          <t>Beslut</t>
        </is>
      </c>
      <c r="E63" t="inlineStr">
        <is>
          <t>REVIEW_REQUIRED</t>
        </is>
      </c>
      <c r="F63" t="inlineStr">
        <is>
          <t>Taxepunkter</t>
        </is>
      </c>
      <c r="G63" t="inlineStr">
        <is>
          <t>Rad finns men saknar Taxakod</t>
        </is>
      </c>
      <c r="H63" t="inlineStr">
        <is>
          <t>TaxDecisionEngine</t>
        </is>
      </c>
      <c r="I63" t="inlineStr">
        <is>
          <t>REVIEW_REQUIRED</t>
        </is>
      </c>
      <c r="J63" t="inlineStr">
        <is>
          <t>Taxa finns som rad. EDP-koppling saknas.</t>
        </is>
      </c>
    </row>
    <row r="64">
      <c r="B64" t="inlineStr">
        <is>
          <t>2.2.7</t>
        </is>
      </c>
      <c r="C64" t="inlineStr">
        <is>
          <t>Kärl 140 l (kontors-/returpapper)</t>
        </is>
      </c>
      <c r="D64" t="inlineStr">
        <is>
          <t>Beslut</t>
        </is>
      </c>
      <c r="E64" t="inlineStr">
        <is>
          <t>REVIEW_REQUIRED</t>
        </is>
      </c>
      <c r="F64" t="inlineStr">
        <is>
          <t>Taxepunkter</t>
        </is>
      </c>
      <c r="G64" t="inlineStr">
        <is>
          <t>Rad finns men saknar Taxakod</t>
        </is>
      </c>
      <c r="H64" t="inlineStr">
        <is>
          <t>TaxDecisionEngine</t>
        </is>
      </c>
      <c r="I64" t="inlineStr">
        <is>
          <t>REVIEW_REQUIRED</t>
        </is>
      </c>
      <c r="J64" t="inlineStr">
        <is>
          <t>Taxa finns som rad. EDP-koppling saknas.</t>
        </is>
      </c>
    </row>
    <row r="65">
      <c r="B65" t="inlineStr">
        <is>
          <t>2.2.7</t>
        </is>
      </c>
      <c r="C65" t="inlineStr">
        <is>
          <t>Egen överlämning av förbrukat kontors-/returpapper enligt anvisning</t>
        </is>
      </c>
      <c r="D65" t="inlineStr">
        <is>
          <t>Beslut</t>
        </is>
      </c>
      <c r="E65" t="inlineStr">
        <is>
          <t>REVIEW_REQUIRED</t>
        </is>
      </c>
      <c r="F65" t="inlineStr">
        <is>
          <t>Taxepunkter</t>
        </is>
      </c>
      <c r="G65" t="inlineStr">
        <is>
          <t>Rad finns men saknar Taxakod</t>
        </is>
      </c>
      <c r="H65" t="inlineStr">
        <is>
          <t>TaxDecisionEngine</t>
        </is>
      </c>
      <c r="I65" t="inlineStr">
        <is>
          <t>REVIEW_REQUIRED</t>
        </is>
      </c>
      <c r="J65" t="inlineStr">
        <is>
          <t>Taxa finns som rad. EDP-koppling saknas.</t>
        </is>
      </c>
    </row>
    <row r="66">
      <c r="B66" t="inlineStr">
        <is>
          <t>2.2.7</t>
        </is>
      </c>
      <c r="C66" t="inlineStr">
        <is>
          <t>Egen överlämning av förbrukat matfett enligt anvisning</t>
        </is>
      </c>
      <c r="D66" t="inlineStr">
        <is>
          <t>Beslut</t>
        </is>
      </c>
      <c r="E66" t="inlineStr">
        <is>
          <t>REVIEW_REQUIRED</t>
        </is>
      </c>
      <c r="F66" t="inlineStr">
        <is>
          <t>Taxepunkter</t>
        </is>
      </c>
      <c r="G66" t="inlineStr">
        <is>
          <t>Rad finns men saknar Taxakod</t>
        </is>
      </c>
      <c r="H66" t="inlineStr">
        <is>
          <t>TaxDecisionEngine</t>
        </is>
      </c>
      <c r="I66" t="inlineStr">
        <is>
          <t>REVIEW_REQUIRED</t>
        </is>
      </c>
      <c r="J66" t="inlineStr">
        <is>
          <t>Taxa finns som rad. EDP-koppling saknas.</t>
        </is>
      </c>
    </row>
    <row r="67">
      <c r="B67" t="inlineStr">
        <is>
          <t>2.3</t>
        </is>
      </c>
      <c r="C67" t="inlineStr">
        <is>
          <t>Viktavgift matavfall</t>
        </is>
      </c>
      <c r="D67" t="inlineStr">
        <is>
          <t>Beslut</t>
        </is>
      </c>
      <c r="E67" t="inlineStr">
        <is>
          <t>NEW_TAXA</t>
        </is>
      </c>
      <c r="F67" t="inlineStr">
        <is>
          <t>Word</t>
        </is>
      </c>
      <c r="G67" t="inlineStr">
        <is>
          <t>Word-taxa saknar EDP-match och standardförslag</t>
        </is>
      </c>
      <c r="H67" t="inlineStr">
        <is>
          <t>TaxDecisionEngine</t>
        </is>
      </c>
      <c r="I67" t="inlineStr">
        <is>
          <t>NEW_TAXA</t>
        </is>
      </c>
      <c r="J67" t="inlineStr">
        <is>
          <t>Skapa/hantera som ny taxa eller manuell granskning.</t>
        </is>
      </c>
    </row>
    <row r="68">
      <c r="B68" t="inlineStr">
        <is>
          <t>2.3</t>
        </is>
      </c>
      <c r="C68" t="inlineStr">
        <is>
          <t>Viktavgift restavfall</t>
        </is>
      </c>
      <c r="D68" t="inlineStr">
        <is>
          <t>Beslut</t>
        </is>
      </c>
      <c r="E68" t="inlineStr">
        <is>
          <t>NEW_TAXA</t>
        </is>
      </c>
      <c r="F68" t="inlineStr">
        <is>
          <t>Word</t>
        </is>
      </c>
      <c r="G68" t="inlineStr">
        <is>
          <t>Word-taxa saknar EDP-match och standardförslag</t>
        </is>
      </c>
      <c r="H68" t="inlineStr">
        <is>
          <t>TaxDecisionEngine</t>
        </is>
      </c>
      <c r="I68" t="inlineStr">
        <is>
          <t>NEW_TAXA</t>
        </is>
      </c>
      <c r="J68" t="inlineStr">
        <is>
          <t>Skapa/hantera som ny taxa eller manuell granskning.</t>
        </is>
      </c>
    </row>
    <row r="69">
      <c r="B69" t="inlineStr">
        <is>
          <t>2.3</t>
        </is>
      </c>
      <c r="C69" t="inlineStr">
        <is>
          <t>Lyftavgift kärl</t>
        </is>
      </c>
      <c r="D69" t="inlineStr">
        <is>
          <t>Beslut</t>
        </is>
      </c>
      <c r="E69" t="inlineStr">
        <is>
          <t>NEW_TAXA</t>
        </is>
      </c>
      <c r="F69" t="inlineStr">
        <is>
          <t>Word</t>
        </is>
      </c>
      <c r="G69" t="inlineStr">
        <is>
          <t>Word-taxa saknar EDP-match och standardförslag</t>
        </is>
      </c>
      <c r="H69" t="inlineStr">
        <is>
          <t>TaxDecisionEngine</t>
        </is>
      </c>
      <c r="I69" t="inlineStr">
        <is>
          <t>NEW_TAXA</t>
        </is>
      </c>
      <c r="J69" t="inlineStr">
        <is>
          <t>Skapa/hantera som ny taxa eller manuell granskning.</t>
        </is>
      </c>
    </row>
    <row r="70">
      <c r="B70" t="inlineStr">
        <is>
          <t>2.4.1</t>
        </is>
      </c>
      <c r="C70" t="inlineStr">
        <is>
          <t>Fakturavgift</t>
        </is>
      </c>
      <c r="D70" t="inlineStr">
        <is>
          <t>Beslut</t>
        </is>
      </c>
      <c r="E70" t="inlineStr">
        <is>
          <t>NEW_TAXA</t>
        </is>
      </c>
      <c r="F70" t="inlineStr">
        <is>
          <t>Word</t>
        </is>
      </c>
      <c r="G70" t="inlineStr">
        <is>
          <t>Word-taxa saknar EDP-match och standardförslag</t>
        </is>
      </c>
      <c r="H70" t="inlineStr">
        <is>
          <t>TaxDecisionEngine</t>
        </is>
      </c>
      <c r="I70" t="inlineStr">
        <is>
          <t>NEW_TAXA</t>
        </is>
      </c>
      <c r="J70" t="inlineStr">
        <is>
          <t>Skapa/hantera som ny taxa eller manuell granskning.</t>
        </is>
      </c>
    </row>
    <row r="71">
      <c r="B71" t="inlineStr">
        <is>
          <t>2.4.2</t>
        </is>
      </c>
      <c r="C71" t="inlineStr">
        <is>
          <t>Delat kärl 240 l matavfall 40 kg</t>
        </is>
      </c>
      <c r="D71" t="inlineStr">
        <is>
          <t>Beslut</t>
        </is>
      </c>
      <c r="E71" t="inlineStr">
        <is>
          <t>NEW_TAXA</t>
        </is>
      </c>
      <c r="F71" t="inlineStr">
        <is>
          <t>Word</t>
        </is>
      </c>
      <c r="G71" t="inlineStr">
        <is>
          <t>Word-taxa saknar EDP-match och standardförslag</t>
        </is>
      </c>
      <c r="H71" t="inlineStr">
        <is>
          <t>TaxDecisionEngine</t>
        </is>
      </c>
      <c r="I71" t="inlineStr">
        <is>
          <t>NEW_TAXA</t>
        </is>
      </c>
      <c r="J71" t="inlineStr">
        <is>
          <t>Skapa/hantera som ny taxa eller manuell granskning.</t>
        </is>
      </c>
    </row>
    <row r="72">
      <c r="B72" t="inlineStr">
        <is>
          <t>2.4.2</t>
        </is>
      </c>
      <c r="C72" t="inlineStr">
        <is>
          <t>Delat kärl 240 l restavfall 40 kg</t>
        </is>
      </c>
      <c r="D72" t="inlineStr">
        <is>
          <t>Beslut</t>
        </is>
      </c>
      <c r="E72" t="inlineStr">
        <is>
          <t>NEW_TAXA</t>
        </is>
      </c>
      <c r="F72" t="inlineStr">
        <is>
          <t>Word</t>
        </is>
      </c>
      <c r="G72" t="inlineStr">
        <is>
          <t>Word-taxa saknar EDP-match och standardförslag</t>
        </is>
      </c>
      <c r="H72" t="inlineStr">
        <is>
          <t>TaxDecisionEngine</t>
        </is>
      </c>
      <c r="I72" t="inlineStr">
        <is>
          <t>NEW_TAXA</t>
        </is>
      </c>
      <c r="J72" t="inlineStr">
        <is>
          <t>Skapa/hantera som ny taxa eller manuell granskning.</t>
        </is>
      </c>
    </row>
    <row r="73">
      <c r="B73" t="inlineStr">
        <is>
          <t>2.4.2</t>
        </is>
      </c>
      <c r="C73" t="inlineStr">
        <is>
          <t>Extra kärl 140 l matavfall 60 kg</t>
        </is>
      </c>
      <c r="D73" t="inlineStr">
        <is>
          <t>Beslut</t>
        </is>
      </c>
      <c r="E73" t="inlineStr">
        <is>
          <t>NEW_TAXA</t>
        </is>
      </c>
      <c r="F73" t="inlineStr">
        <is>
          <t>Word</t>
        </is>
      </c>
      <c r="G73" t="inlineStr">
        <is>
          <t>Word-taxa saknar EDP-match och standardförslag</t>
        </is>
      </c>
      <c r="H73" t="inlineStr">
        <is>
          <t>TaxDecisionEngine</t>
        </is>
      </c>
      <c r="I73" t="inlineStr">
        <is>
          <t>NEW_TAXA</t>
        </is>
      </c>
      <c r="J73" t="inlineStr">
        <is>
          <t>Skapa/hantera som ny taxa eller manuell granskning.</t>
        </is>
      </c>
    </row>
    <row r="74">
      <c r="B74" t="inlineStr">
        <is>
          <t>2.4.2</t>
        </is>
      </c>
      <c r="C74" t="inlineStr">
        <is>
          <t>Extra kärl 140-190 l restavfall 60 kg</t>
        </is>
      </c>
      <c r="D74" t="inlineStr">
        <is>
          <t>Beslut</t>
        </is>
      </c>
      <c r="E74" t="inlineStr">
        <is>
          <t>NEW_TAXA</t>
        </is>
      </c>
      <c r="F74" t="inlineStr">
        <is>
          <t>Word</t>
        </is>
      </c>
      <c r="G74" t="inlineStr">
        <is>
          <t>Word-taxa saknar EDP-match och standardförslag</t>
        </is>
      </c>
      <c r="H74" t="inlineStr">
        <is>
          <t>TaxDecisionEngine</t>
        </is>
      </c>
      <c r="I74" t="inlineStr">
        <is>
          <t>NEW_TAXA</t>
        </is>
      </c>
      <c r="J74" t="inlineStr">
        <is>
          <t>Skapa/hantera som ny taxa eller manuell granskning.</t>
        </is>
      </c>
    </row>
    <row r="75">
      <c r="B75" t="inlineStr">
        <is>
          <t>2.4.2</t>
        </is>
      </c>
      <c r="C75" t="inlineStr">
        <is>
          <t>Kärl 370 l restavfall 60 kg</t>
        </is>
      </c>
      <c r="D75" t="inlineStr">
        <is>
          <t>Beslut</t>
        </is>
      </c>
      <c r="E75" t="inlineStr">
        <is>
          <t>REVIEW_REQUIRED</t>
        </is>
      </c>
      <c r="F75" t="inlineStr">
        <is>
          <t>Standardtaxor</t>
        </is>
      </c>
      <c r="G75" t="inlineStr">
        <is>
          <t>Standardtaxa används endast som förslag</t>
        </is>
      </c>
      <c r="H75" t="inlineStr">
        <is>
          <t>TaxDecisionEngine</t>
        </is>
      </c>
      <c r="I75" t="inlineStr">
        <is>
          <t>REVIEW_REQUIRED</t>
        </is>
      </c>
      <c r="J75" t="inlineStr">
        <is>
          <t>Standardtaxa får inte skriva över befintlig kommun-EDP.</t>
        </is>
      </c>
    </row>
    <row r="76">
      <c r="B76" t="inlineStr">
        <is>
          <t>2.4.2</t>
        </is>
      </c>
      <c r="C76" t="inlineStr">
        <is>
          <t>Kärl 660 l restavfall 100 kg</t>
        </is>
      </c>
      <c r="D76" t="inlineStr">
        <is>
          <t>Beslut</t>
        </is>
      </c>
      <c r="E76" t="inlineStr">
        <is>
          <t>REVIEW_REQUIRED</t>
        </is>
      </c>
      <c r="F76" t="inlineStr">
        <is>
          <t>Standardtaxor</t>
        </is>
      </c>
      <c r="G76" t="inlineStr">
        <is>
          <t>Standardtaxa används endast som förslag</t>
        </is>
      </c>
      <c r="H76" t="inlineStr">
        <is>
          <t>TaxDecisionEngine</t>
        </is>
      </c>
      <c r="I76" t="inlineStr">
        <is>
          <t>REVIEW_REQUIRED</t>
        </is>
      </c>
      <c r="J76" t="inlineStr">
        <is>
          <t>Standardtaxa får inte skriva över befintlig kommun-EDP.</t>
        </is>
      </c>
    </row>
    <row r="77">
      <c r="B77" t="inlineStr">
        <is>
          <t>2.4.3</t>
        </is>
      </c>
      <c r="C77" t="inlineStr">
        <is>
          <t>Överfullt kärl</t>
        </is>
      </c>
      <c r="D77" t="inlineStr">
        <is>
          <t>Beslut</t>
        </is>
      </c>
      <c r="E77" t="inlineStr">
        <is>
          <t>REVIEW_REQUIRED</t>
        </is>
      </c>
      <c r="F77" t="inlineStr">
        <is>
          <t>Taxepunkter</t>
        </is>
      </c>
      <c r="G77" t="inlineStr">
        <is>
          <t>Rad finns men saknar Taxakod</t>
        </is>
      </c>
      <c r="H77" t="inlineStr">
        <is>
          <t>TaxDecisionEngine</t>
        </is>
      </c>
      <c r="I77" t="inlineStr">
        <is>
          <t>REVIEW_REQUIRED</t>
        </is>
      </c>
      <c r="J77" t="inlineStr">
        <is>
          <t>Taxa finns som rad. EDP-koppling saknas.</t>
        </is>
      </c>
    </row>
    <row r="78">
      <c r="B78" t="inlineStr">
        <is>
          <t>2.4.3</t>
        </is>
      </c>
      <c r="C78" t="inlineStr">
        <is>
          <t>Överfull bottentömmande behållare</t>
        </is>
      </c>
      <c r="D78" t="inlineStr">
        <is>
          <t>Beslut</t>
        </is>
      </c>
      <c r="E78" t="inlineStr">
        <is>
          <t>REVIEW_REQUIRED</t>
        </is>
      </c>
      <c r="F78" t="inlineStr">
        <is>
          <t>Taxepunkter</t>
        </is>
      </c>
      <c r="G78" t="inlineStr">
        <is>
          <t>Rad finns men saknar Taxakod</t>
        </is>
      </c>
      <c r="H78" t="inlineStr">
        <is>
          <t>TaxDecisionEngine</t>
        </is>
      </c>
      <c r="I78" t="inlineStr">
        <is>
          <t>REVIEW_REQUIRED</t>
        </is>
      </c>
      <c r="J78" t="inlineStr">
        <is>
          <t>Taxa finns som rad. EDP-koppling saknas.</t>
        </is>
      </c>
    </row>
    <row r="79">
      <c r="B79" t="inlineStr">
        <is>
          <t>2.4.4</t>
        </is>
      </c>
      <c r="C79" t="inlineStr">
        <is>
          <t>Byte av trasigt kärl vid oaktsamhet</t>
        </is>
      </c>
      <c r="D79" t="inlineStr">
        <is>
          <t>Beslut</t>
        </is>
      </c>
      <c r="E79" t="inlineStr">
        <is>
          <t>REVIEW_REQUIRED</t>
        </is>
      </c>
      <c r="F79" t="inlineStr">
        <is>
          <t>Taxepunkter</t>
        </is>
      </c>
      <c r="G79" t="inlineStr">
        <is>
          <t>Rad finns men saknar Taxakod</t>
        </is>
      </c>
      <c r="H79" t="inlineStr">
        <is>
          <t>TaxDecisionEngine</t>
        </is>
      </c>
      <c r="I79" t="inlineStr">
        <is>
          <t>REVIEW_REQUIRED</t>
        </is>
      </c>
      <c r="J79" t="inlineStr">
        <is>
          <t>Taxa finns som rad. EDP-koppling saknas.</t>
        </is>
      </c>
    </row>
    <row r="80">
      <c r="B80" t="inlineStr">
        <is>
          <t>2.4.5</t>
        </is>
      </c>
      <c r="C80" t="inlineStr">
        <is>
          <t>Byte/återtag av kärl en (1) ggr/år 140–240 liter</t>
        </is>
      </c>
      <c r="D80" t="inlineStr">
        <is>
          <t>Beslut</t>
        </is>
      </c>
      <c r="E80" t="inlineStr">
        <is>
          <t>NEW_TAXA</t>
        </is>
      </c>
      <c r="F80" t="inlineStr">
        <is>
          <t>Word</t>
        </is>
      </c>
      <c r="G80" t="inlineStr">
        <is>
          <t>Word-taxa saknar EDP-match och standardförslag</t>
        </is>
      </c>
      <c r="H80" t="inlineStr">
        <is>
          <t>TaxDecisionEngine</t>
        </is>
      </c>
      <c r="I80" t="inlineStr">
        <is>
          <t>NEW_TAXA</t>
        </is>
      </c>
      <c r="J80" t="inlineStr">
        <is>
          <t>Skapa/hantera som ny taxa eller manuell granskning.</t>
        </is>
      </c>
    </row>
    <row r="81">
      <c r="B81" t="inlineStr">
        <is>
          <t>2.4.5</t>
        </is>
      </c>
      <c r="C81" t="inlineStr">
        <is>
          <t>Byte/återtag av kärl en (1) ggr/år 370–660 liter</t>
        </is>
      </c>
      <c r="D81" t="inlineStr">
        <is>
          <t>Beslut</t>
        </is>
      </c>
      <c r="E81" t="inlineStr">
        <is>
          <t>NEW_TAXA</t>
        </is>
      </c>
      <c r="F81" t="inlineStr">
        <is>
          <t>Word</t>
        </is>
      </c>
      <c r="G81" t="inlineStr">
        <is>
          <t>Word-taxa saknar EDP-match och standardförslag</t>
        </is>
      </c>
      <c r="H81" t="inlineStr">
        <is>
          <t>TaxDecisionEngine</t>
        </is>
      </c>
      <c r="I81" t="inlineStr">
        <is>
          <t>NEW_TAXA</t>
        </is>
      </c>
      <c r="J81" t="inlineStr">
        <is>
          <t>Skapa/hantera som ny taxa eller manuell granskning.</t>
        </is>
      </c>
    </row>
    <row r="82">
      <c r="B82" t="inlineStr">
        <is>
          <t>2.4.5</t>
        </is>
      </c>
      <c r="C82" t="inlineStr">
        <is>
          <t>Ytterligare byte av kärl under kalenderåret</t>
        </is>
      </c>
      <c r="D82" t="inlineStr">
        <is>
          <t>Beslut</t>
        </is>
      </c>
      <c r="E82" t="inlineStr">
        <is>
          <t>REVIEW_REQUIRED</t>
        </is>
      </c>
      <c r="F82" t="inlineStr">
        <is>
          <t>Taxepunkter</t>
        </is>
      </c>
      <c r="G82" t="inlineStr">
        <is>
          <t>Rad finns men saknar Taxakod</t>
        </is>
      </c>
      <c r="H82" t="inlineStr">
        <is>
          <t>TaxDecisionEngine</t>
        </is>
      </c>
      <c r="I82" t="inlineStr">
        <is>
          <t>REVIEW_REQUIRED</t>
        </is>
      </c>
      <c r="J82" t="inlineStr">
        <is>
          <t>Taxa finns som rad. EDP-koppling saknas.</t>
        </is>
      </c>
    </row>
    <row r="83">
      <c r="B83" t="inlineStr">
        <is>
          <t>2.4.6</t>
        </is>
      </c>
      <c r="C83" t="inlineStr">
        <is>
          <t>Kärl</t>
        </is>
      </c>
      <c r="D83" t="inlineStr">
        <is>
          <t>Beslut</t>
        </is>
      </c>
      <c r="E83" t="inlineStr">
        <is>
          <t>EDP_MATCH</t>
        </is>
      </c>
      <c r="F83" t="inlineStr">
        <is>
          <t>Taxepunkter/Taxa_från_edp</t>
        </is>
      </c>
      <c r="G83" t="inlineStr">
        <is>
          <t>Befintlig Taxakod i Taxepunkter behålls via paragraf+taxapunkt</t>
        </is>
      </c>
      <c r="H83" t="inlineStr">
        <is>
          <t>TaxDecisionEngine</t>
        </is>
      </c>
      <c r="I83" t="inlineStr">
        <is>
          <t>EDP_MATCH</t>
        </is>
      </c>
      <c r="J83" t="inlineStr">
        <is>
          <t>Variant/enhet skiljer eller saknas men kommun-EDP behålls.</t>
        </is>
      </c>
    </row>
    <row r="84">
      <c r="B84" t="inlineStr">
        <is>
          <t>2.4.6</t>
        </is>
      </c>
      <c r="C84" t="inlineStr">
        <is>
          <t>Bottentömmande behållare</t>
        </is>
      </c>
      <c r="D84" t="inlineStr">
        <is>
          <t>Beslut</t>
        </is>
      </c>
      <c r="E84" t="inlineStr">
        <is>
          <t>EDP_MATCH</t>
        </is>
      </c>
      <c r="F84" t="inlineStr">
        <is>
          <t>Taxepunkter/Taxa_från_edp</t>
        </is>
      </c>
      <c r="G84" t="inlineStr">
        <is>
          <t>Befintlig Taxakod i Taxepunkter behålls via paragraf+taxapunkt</t>
        </is>
      </c>
      <c r="H84" t="inlineStr">
        <is>
          <t>TaxDecisionEngine</t>
        </is>
      </c>
      <c r="I84" t="inlineStr">
        <is>
          <t>EDP_MATCH</t>
        </is>
      </c>
      <c r="J84" t="inlineStr">
        <is>
          <t>Variant/enhet skiljer eller saknas men kommun-EDP behålls.</t>
        </is>
      </c>
    </row>
    <row r="85">
      <c r="B85" t="inlineStr">
        <is>
          <t>2.4.7</t>
        </is>
      </c>
      <c r="C85" t="inlineStr">
        <is>
          <t>Kärl 140-660 L 1,5-10</t>
        </is>
      </c>
      <c r="D85" t="inlineStr">
        <is>
          <t>Beslut</t>
        </is>
      </c>
      <c r="E85" t="inlineStr">
        <is>
          <t>NEW_TAXA</t>
        </is>
      </c>
      <c r="F85" t="inlineStr">
        <is>
          <t>Word</t>
        </is>
      </c>
      <c r="G85" t="inlineStr">
        <is>
          <t>Word-taxa saknar EDP-match och standardförslag</t>
        </is>
      </c>
      <c r="H85" t="inlineStr">
        <is>
          <t>TaxDecisionEngine</t>
        </is>
      </c>
      <c r="I85" t="inlineStr">
        <is>
          <t>NEW_TAXA</t>
        </is>
      </c>
      <c r="J85" t="inlineStr">
        <is>
          <t>Skapa/hantera som ny taxa eller manuell granskning.</t>
        </is>
      </c>
    </row>
    <row r="86">
      <c r="B86" t="inlineStr">
        <is>
          <t>2.4.7</t>
        </is>
      </c>
      <c r="C86" t="inlineStr">
        <is>
          <t>Kärl 140-660 L 10-20</t>
        </is>
      </c>
      <c r="D86" t="inlineStr">
        <is>
          <t>Beslut</t>
        </is>
      </c>
      <c r="E86" t="inlineStr">
        <is>
          <t>NEW_TAXA</t>
        </is>
      </c>
      <c r="F86" t="inlineStr">
        <is>
          <t>Word</t>
        </is>
      </c>
      <c r="G86" t="inlineStr">
        <is>
          <t>Word-taxa saknar EDP-match och standardförslag</t>
        </is>
      </c>
      <c r="H86" t="inlineStr">
        <is>
          <t>TaxDecisionEngine</t>
        </is>
      </c>
      <c r="I86" t="inlineStr">
        <is>
          <t>NEW_TAXA</t>
        </is>
      </c>
      <c r="J86" t="inlineStr">
        <is>
          <t>Skapa/hantera som ny taxa eller manuell granskning.</t>
        </is>
      </c>
    </row>
    <row r="87">
      <c r="B87" t="inlineStr">
        <is>
          <t>2.4.7</t>
        </is>
      </c>
      <c r="C87" t="inlineStr">
        <is>
          <t>Kärl 140-660 L 20-30</t>
        </is>
      </c>
      <c r="D87" t="inlineStr">
        <is>
          <t>Beslut</t>
        </is>
      </c>
      <c r="E87" t="inlineStr">
        <is>
          <t>NEW_TAXA</t>
        </is>
      </c>
      <c r="F87" t="inlineStr">
        <is>
          <t>Word</t>
        </is>
      </c>
      <c r="G87" t="inlineStr">
        <is>
          <t>Word-taxa saknar EDP-match och standardförslag</t>
        </is>
      </c>
      <c r="H87" t="inlineStr">
        <is>
          <t>TaxDecisionEngine</t>
        </is>
      </c>
      <c r="I87" t="inlineStr">
        <is>
          <t>NEW_TAXA</t>
        </is>
      </c>
      <c r="J87" t="inlineStr">
        <is>
          <t>Skapa/hantera som ny taxa eller manuell granskning.</t>
        </is>
      </c>
    </row>
    <row r="88">
      <c r="B88" t="inlineStr">
        <is>
          <t>2.4.7</t>
        </is>
      </c>
      <c r="C88" t="inlineStr">
        <is>
          <t>Avfallsport/dörr</t>
        </is>
      </c>
      <c r="D88" t="inlineStr">
        <is>
          <t>Beslut</t>
        </is>
      </c>
      <c r="E88" t="inlineStr">
        <is>
          <t>NEW_TAXA</t>
        </is>
      </c>
      <c r="F88" t="inlineStr">
        <is>
          <t>Word</t>
        </is>
      </c>
      <c r="G88" t="inlineStr">
        <is>
          <t>Word-taxa saknar EDP-match och standardförslag</t>
        </is>
      </c>
      <c r="H88" t="inlineStr">
        <is>
          <t>TaxDecisionEngine</t>
        </is>
      </c>
      <c r="I88" t="inlineStr">
        <is>
          <t>NEW_TAXA</t>
        </is>
      </c>
      <c r="J88" t="inlineStr">
        <is>
          <t>Skapa/hantera som ny taxa eller manuell granskning.</t>
        </is>
      </c>
    </row>
    <row r="89">
      <c r="B89" t="inlineStr">
        <is>
          <t>2.4.7</t>
        </is>
      </c>
      <c r="C89" t="inlineStr">
        <is>
          <t>Låst dörr, med kod</t>
        </is>
      </c>
      <c r="D89" t="inlineStr">
        <is>
          <t>Beslut</t>
        </is>
      </c>
      <c r="E89" t="inlineStr">
        <is>
          <t>REVIEW_REQUIRED</t>
        </is>
      </c>
      <c r="F89" t="inlineStr">
        <is>
          <t>Taxepunkter</t>
        </is>
      </c>
      <c r="G89" t="inlineStr">
        <is>
          <t>Rad finns men saknar Taxakod</t>
        </is>
      </c>
      <c r="H89" t="inlineStr">
        <is>
          <t>TaxDecisionEngine</t>
        </is>
      </c>
      <c r="I89" t="inlineStr">
        <is>
          <t>REVIEW_REQUIRED</t>
        </is>
      </c>
      <c r="J89" t="inlineStr">
        <is>
          <t>Taxa finns som rad. EDP-koppling saknas.</t>
        </is>
      </c>
    </row>
    <row r="90">
      <c r="B90" t="inlineStr">
        <is>
          <t>2.4.8</t>
        </is>
      </c>
      <c r="C90" t="inlineStr">
        <is>
          <t>Kärl 140 l matavfall</t>
        </is>
      </c>
      <c r="D90" t="inlineStr">
        <is>
          <t>Beslut</t>
        </is>
      </c>
      <c r="E90" t="inlineStr">
        <is>
          <t>REVIEW_REQUIRED</t>
        </is>
      </c>
      <c r="F90" t="inlineStr">
        <is>
          <t>Taxepunkter</t>
        </is>
      </c>
      <c r="G90" t="inlineStr">
        <is>
          <t>Rad finns men saknar Taxakod</t>
        </is>
      </c>
      <c r="H90" t="inlineStr">
        <is>
          <t>TaxDecisionEngine</t>
        </is>
      </c>
      <c r="I90" t="inlineStr">
        <is>
          <t>REVIEW_REQUIRED</t>
        </is>
      </c>
      <c r="J90" t="inlineStr">
        <is>
          <t>Taxa finns som rad. EDP-koppling saknas.</t>
        </is>
      </c>
    </row>
    <row r="91">
      <c r="B91" t="inlineStr">
        <is>
          <t>2.4.8</t>
        </is>
      </c>
      <c r="C91" t="inlineStr">
        <is>
          <t>Kärl 190 l restavfall</t>
        </is>
      </c>
      <c r="D91" t="inlineStr">
        <is>
          <t>Beslut</t>
        </is>
      </c>
      <c r="E91" t="inlineStr">
        <is>
          <t>REVIEW_REQUIRED</t>
        </is>
      </c>
      <c r="F91" t="inlineStr">
        <is>
          <t>Taxepunkter</t>
        </is>
      </c>
      <c r="G91" t="inlineStr">
        <is>
          <t>Rad finns men saknar Taxakod</t>
        </is>
      </c>
      <c r="H91" t="inlineStr">
        <is>
          <t>TaxDecisionEngine</t>
        </is>
      </c>
      <c r="I91" t="inlineStr">
        <is>
          <t>REVIEW_REQUIRED</t>
        </is>
      </c>
      <c r="J91" t="inlineStr">
        <is>
          <t>Taxa finns som rad. EDP-koppling saknas.</t>
        </is>
      </c>
    </row>
    <row r="92">
      <c r="B92" t="inlineStr">
        <is>
          <t>2.4.8</t>
        </is>
      </c>
      <c r="C92" t="inlineStr">
        <is>
          <t>Kärl 370 l restavfall</t>
        </is>
      </c>
      <c r="D92" t="inlineStr">
        <is>
          <t>Beslut</t>
        </is>
      </c>
      <c r="E92" t="inlineStr">
        <is>
          <t>REVIEW_REQUIRED</t>
        </is>
      </c>
      <c r="F92" t="inlineStr">
        <is>
          <t>Taxepunkter</t>
        </is>
      </c>
      <c r="G92" t="inlineStr">
        <is>
          <t>Rad finns men saknar Taxakod</t>
        </is>
      </c>
      <c r="H92" t="inlineStr">
        <is>
          <t>TaxDecisionEngine</t>
        </is>
      </c>
      <c r="I92" t="inlineStr">
        <is>
          <t>REVIEW_REQUIRED</t>
        </is>
      </c>
      <c r="J92" t="inlineStr">
        <is>
          <t>Taxa finns som rad. EDP-koppling saknas.</t>
        </is>
      </c>
    </row>
    <row r="93">
      <c r="B93" t="inlineStr">
        <is>
          <t>2.4.8</t>
        </is>
      </c>
      <c r="C93" t="inlineStr">
        <is>
          <t>Kärl 660 l restavfall</t>
        </is>
      </c>
      <c r="D93" t="inlineStr">
        <is>
          <t>Beslut</t>
        </is>
      </c>
      <c r="E93" t="inlineStr">
        <is>
          <t>REVIEW_REQUIRED</t>
        </is>
      </c>
      <c r="F93" t="inlineStr">
        <is>
          <t>Taxepunkter</t>
        </is>
      </c>
      <c r="G93" t="inlineStr">
        <is>
          <t>Rad finns men saknar Taxakod</t>
        </is>
      </c>
      <c r="H93" t="inlineStr">
        <is>
          <t>TaxDecisionEngine</t>
        </is>
      </c>
      <c r="I93" t="inlineStr">
        <is>
          <t>REVIEW_REQUIRED</t>
        </is>
      </c>
      <c r="J93" t="inlineStr">
        <is>
          <t>Taxa finns som rad. EDP-koppling saknas.</t>
        </is>
      </c>
    </row>
    <row r="94">
      <c r="B94" t="inlineStr">
        <is>
          <t>2.4.8</t>
        </is>
      </c>
      <c r="C94" t="inlineStr">
        <is>
          <t>Bottentömmande behållare</t>
        </is>
      </c>
      <c r="D94" t="inlineStr">
        <is>
          <t>Beslut</t>
        </is>
      </c>
      <c r="E94" t="inlineStr">
        <is>
          <t>NEW_TAXA</t>
        </is>
      </c>
      <c r="F94" t="inlineStr">
        <is>
          <t>Word</t>
        </is>
      </c>
      <c r="G94" t="inlineStr">
        <is>
          <t>Word-taxa saknar EDP-match och standardförslag</t>
        </is>
      </c>
      <c r="H94" t="inlineStr">
        <is>
          <t>TaxDecisionEngine</t>
        </is>
      </c>
      <c r="I94" t="inlineStr">
        <is>
          <t>NEW_TAXA</t>
        </is>
      </c>
      <c r="J94" t="inlineStr">
        <is>
          <t>Skapa/hantera som ny taxa eller manuell granskning.</t>
        </is>
      </c>
    </row>
    <row r="95">
      <c r="B95" t="inlineStr">
        <is>
          <t>2.4.9</t>
        </is>
      </c>
      <c r="C95" t="inlineStr">
        <is>
          <t>Sidlastande fordon</t>
        </is>
      </c>
      <c r="D95" t="inlineStr">
        <is>
          <t>Beslut</t>
        </is>
      </c>
      <c r="E95" t="inlineStr">
        <is>
          <t>REVIEW_REQUIRED</t>
        </is>
      </c>
      <c r="F95" t="inlineStr">
        <is>
          <t>Taxepunkter</t>
        </is>
      </c>
      <c r="G95" t="inlineStr">
        <is>
          <t>Rad finns men saknar Taxakod</t>
        </is>
      </c>
      <c r="H95" t="inlineStr">
        <is>
          <t>TaxDecisionEngine</t>
        </is>
      </c>
      <c r="I95" t="inlineStr">
        <is>
          <t>REVIEW_REQUIRED</t>
        </is>
      </c>
      <c r="J95" t="inlineStr">
        <is>
          <t>Taxa finns som rad. EDP-koppling saknas.</t>
        </is>
      </c>
    </row>
    <row r="96">
      <c r="B96" t="inlineStr">
        <is>
          <t>2.4.9</t>
        </is>
      </c>
      <c r="C96" t="inlineStr">
        <is>
          <t>Bottentömmande fordon</t>
        </is>
      </c>
      <c r="D96" t="inlineStr">
        <is>
          <t>Beslut</t>
        </is>
      </c>
      <c r="E96" t="inlineStr">
        <is>
          <t>REVIEW_REQUIRED</t>
        </is>
      </c>
      <c r="F96" t="inlineStr">
        <is>
          <t>Taxepunkter</t>
        </is>
      </c>
      <c r="G96" t="inlineStr">
        <is>
          <t>Rad finns men saknar Taxakod</t>
        </is>
      </c>
      <c r="H96" t="inlineStr">
        <is>
          <t>TaxDecisionEngine</t>
        </is>
      </c>
      <c r="I96" t="inlineStr">
        <is>
          <t>REVIEW_REQUIRED</t>
        </is>
      </c>
      <c r="J96" t="inlineStr">
        <is>
          <t>Taxa finns som rad. EDP-koppling saknas.</t>
        </is>
      </c>
    </row>
    <row r="97">
      <c r="B97" t="inlineStr">
        <is>
          <t>2.4.9</t>
        </is>
      </c>
      <c r="C97" t="inlineStr">
        <is>
          <t>Tömningsavgift per behållare</t>
        </is>
      </c>
      <c r="D97" t="inlineStr">
        <is>
          <t>Beslut</t>
        </is>
      </c>
      <c r="E97" t="inlineStr">
        <is>
          <t>REVIEW_REQUIRED</t>
        </is>
      </c>
      <c r="F97" t="inlineStr">
        <is>
          <t>Taxepunkter</t>
        </is>
      </c>
      <c r="G97" t="inlineStr">
        <is>
          <t>Rad finns men saknar Taxakod</t>
        </is>
      </c>
      <c r="H97" t="inlineStr">
        <is>
          <t>TaxDecisionEngine</t>
        </is>
      </c>
      <c r="I97" t="inlineStr">
        <is>
          <t>REVIEW_REQUIRED</t>
        </is>
      </c>
      <c r="J97" t="inlineStr">
        <is>
          <t>Taxa finns som rad. EDP-koppling saknas.</t>
        </is>
      </c>
    </row>
    <row r="98">
      <c r="B98" t="inlineStr">
        <is>
          <t>2.4.10</t>
        </is>
      </c>
      <c r="C98" t="inlineStr">
        <is>
          <t>Betalsäck</t>
        </is>
      </c>
      <c r="D98" t="inlineStr">
        <is>
          <t>Beslut</t>
        </is>
      </c>
      <c r="E98" t="inlineStr">
        <is>
          <t>EDP_MATCH</t>
        </is>
      </c>
      <c r="F98" t="inlineStr">
        <is>
          <t>Taxepunkter/Taxa_från_edp</t>
        </is>
      </c>
      <c r="G98" t="inlineStr">
        <is>
          <t>Befintlig Taxakod i Taxepunkter behålls via paragraf+taxapunkt</t>
        </is>
      </c>
      <c r="H98" t="inlineStr">
        <is>
          <t>TaxDecisionEngine</t>
        </is>
      </c>
      <c r="I98" t="inlineStr">
        <is>
          <t>EDP_MATCH</t>
        </is>
      </c>
      <c r="J98" t="inlineStr">
        <is>
          <t>Variant/enhet skiljer eller saknas men kommun-EDP behålls.</t>
        </is>
      </c>
    </row>
    <row r="99">
      <c r="B99" t="inlineStr">
        <is>
          <t>2.4.10</t>
        </is>
      </c>
      <c r="C99" t="inlineStr">
        <is>
          <t>Akutsäck</t>
        </is>
      </c>
      <c r="D99" t="inlineStr">
        <is>
          <t>Beslut</t>
        </is>
      </c>
      <c r="E99" t="inlineStr">
        <is>
          <t>EDP_MATCH</t>
        </is>
      </c>
      <c r="F99" t="inlineStr">
        <is>
          <t>Taxepunkter/Taxa_från_edp</t>
        </is>
      </c>
      <c r="G99" t="inlineStr">
        <is>
          <t>Befintlig Taxakod i Taxepunkter behålls via paragraf+taxapunkt</t>
        </is>
      </c>
      <c r="H99" t="inlineStr">
        <is>
          <t>TaxDecisionEngine</t>
        </is>
      </c>
      <c r="I99" t="inlineStr">
        <is>
          <t>EDP_MATCH</t>
        </is>
      </c>
      <c r="J99" t="inlineStr">
        <is>
          <t>Variant/enhet skiljer eller saknas men kommun-EDP behålls.</t>
        </is>
      </c>
    </row>
    <row r="100">
      <c r="B100" t="inlineStr">
        <is>
          <t>2.4.11</t>
        </is>
      </c>
      <c r="C100" t="inlineStr">
        <is>
          <t>Matavfallspåsar 9 L</t>
        </is>
      </c>
      <c r="D100" t="inlineStr">
        <is>
          <t>Beslut</t>
        </is>
      </c>
      <c r="E100" t="inlineStr">
        <is>
          <t>REVIEW_REQUIRED</t>
        </is>
      </c>
      <c r="F100" t="inlineStr">
        <is>
          <t>Taxepunkter</t>
        </is>
      </c>
      <c r="G100" t="inlineStr">
        <is>
          <t>Rad finns men saknar Taxakod</t>
        </is>
      </c>
      <c r="H100" t="inlineStr">
        <is>
          <t>TaxDecisionEngine</t>
        </is>
      </c>
      <c r="I100" t="inlineStr">
        <is>
          <t>REVIEW_REQUIRED</t>
        </is>
      </c>
      <c r="J100" t="inlineStr">
        <is>
          <t>Taxa finns som rad. EDP-koppling saknas.</t>
        </is>
      </c>
    </row>
    <row r="101">
      <c r="B101" t="inlineStr">
        <is>
          <t>2.4.11</t>
        </is>
      </c>
      <c r="C101" t="inlineStr">
        <is>
          <t>Matavfallspåsar 22 L</t>
        </is>
      </c>
      <c r="D101" t="inlineStr">
        <is>
          <t>Beslut</t>
        </is>
      </c>
      <c r="E101" t="inlineStr">
        <is>
          <t>REVIEW_REQUIRED</t>
        </is>
      </c>
      <c r="F101" t="inlineStr">
        <is>
          <t>Taxepunkter</t>
        </is>
      </c>
      <c r="G101" t="inlineStr">
        <is>
          <t>Rad finns men saknar Taxakod</t>
        </is>
      </c>
      <c r="H101" t="inlineStr">
        <is>
          <t>TaxDecisionEngine</t>
        </is>
      </c>
      <c r="I101" t="inlineStr">
        <is>
          <t>REVIEW_REQUIRED</t>
        </is>
      </c>
      <c r="J101" t="inlineStr">
        <is>
          <t>Taxa finns som rad. EDP-koppling saknas.</t>
        </is>
      </c>
    </row>
    <row r="102">
      <c r="B102" t="inlineStr">
        <is>
          <t>2.4.11</t>
        </is>
      </c>
      <c r="C102" t="inlineStr">
        <is>
          <t>Gravitationslås till kärl</t>
        </is>
      </c>
      <c r="D102" t="inlineStr">
        <is>
          <t>Beslut</t>
        </is>
      </c>
      <c r="E102" t="inlineStr">
        <is>
          <t>REVIEW_REQUIRED</t>
        </is>
      </c>
      <c r="F102" t="inlineStr">
        <is>
          <t>Taxepunkter</t>
        </is>
      </c>
      <c r="G102" t="inlineStr">
        <is>
          <t>Rad finns men saknar Taxakod</t>
        </is>
      </c>
      <c r="H102" t="inlineStr">
        <is>
          <t>TaxDecisionEngine</t>
        </is>
      </c>
      <c r="I102" t="inlineStr">
        <is>
          <t>REVIEW_REQUIRED</t>
        </is>
      </c>
      <c r="J102" t="inlineStr">
        <is>
          <t>Taxa finns som rad. EDP-koppling saknas.</t>
        </is>
      </c>
    </row>
    <row r="103">
      <c r="B103" t="inlineStr">
        <is>
          <t>2.4.11</t>
        </is>
      </c>
      <c r="C103" t="inlineStr">
        <is>
          <t>Extra nyckel till gravitationslås</t>
        </is>
      </c>
      <c r="D103" t="inlineStr">
        <is>
          <t>Beslut</t>
        </is>
      </c>
      <c r="E103" t="inlineStr">
        <is>
          <t>REVIEW_REQUIRED</t>
        </is>
      </c>
      <c r="F103" t="inlineStr">
        <is>
          <t>Taxepunkter</t>
        </is>
      </c>
      <c r="G103" t="inlineStr">
        <is>
          <t>Rad finns men saknar Taxakod</t>
        </is>
      </c>
      <c r="H103" t="inlineStr">
        <is>
          <t>TaxDecisionEngine</t>
        </is>
      </c>
      <c r="I103" t="inlineStr">
        <is>
          <t>REVIEW_REQUIRED</t>
        </is>
      </c>
      <c r="J103" t="inlineStr">
        <is>
          <t>Taxa finns som rad. EDP-koppling saknas.</t>
        </is>
      </c>
    </row>
    <row r="104">
      <c r="B104" t="inlineStr">
        <is>
          <t>2.5.1</t>
        </is>
      </c>
      <c r="C104" t="inlineStr">
        <is>
          <t>Kommunalt avfall</t>
        </is>
      </c>
      <c r="D104" t="inlineStr">
        <is>
          <t>Beslut</t>
        </is>
      </c>
      <c r="E104" t="inlineStr">
        <is>
          <t>REVIEW_REQUIRED</t>
        </is>
      </c>
      <c r="F104" t="inlineStr">
        <is>
          <t>Taxepunkter</t>
        </is>
      </c>
      <c r="G104" t="inlineStr">
        <is>
          <t>Rad finns men saknar Taxakod</t>
        </is>
      </c>
      <c r="H104" t="inlineStr">
        <is>
          <t>TaxDecisionEngine</t>
        </is>
      </c>
      <c r="I104" t="inlineStr">
        <is>
          <t>REVIEW_REQUIRED</t>
        </is>
      </c>
      <c r="J104" t="inlineStr">
        <is>
          <t>Taxa finns som rad. EDP-koppling saknas.</t>
        </is>
      </c>
    </row>
    <row r="105">
      <c r="B105" t="inlineStr">
        <is>
          <t>2.5.1</t>
        </is>
      </c>
      <c r="C105" t="inlineStr">
        <is>
          <t>Farligt avfall (ej uppmärkt)</t>
        </is>
      </c>
      <c r="D105" t="inlineStr">
        <is>
          <t>Beslut</t>
        </is>
      </c>
      <c r="E105" t="inlineStr">
        <is>
          <t>REVIEW_REQUIRED</t>
        </is>
      </c>
      <c r="F105" t="inlineStr">
        <is>
          <t>Taxepunkter</t>
        </is>
      </c>
      <c r="G105" t="inlineStr">
        <is>
          <t>Rad finns men saknar Taxakod</t>
        </is>
      </c>
      <c r="H105" t="inlineStr">
        <is>
          <t>TaxDecisionEngine</t>
        </is>
      </c>
      <c r="I105" t="inlineStr">
        <is>
          <t>REVIEW_REQUIRED</t>
        </is>
      </c>
      <c r="J105" t="inlineStr">
        <is>
          <t>Taxa finns som rad. EDP-koppling saknas.</t>
        </is>
      </c>
    </row>
    <row r="106">
      <c r="B106" t="inlineStr">
        <is>
          <t>2.5.1</t>
        </is>
      </c>
      <c r="C106" t="inlineStr">
        <is>
          <t>Farligt avfall (uppmärkt)</t>
        </is>
      </c>
      <c r="D106" t="inlineStr">
        <is>
          <t>Beslut</t>
        </is>
      </c>
      <c r="E106" t="inlineStr">
        <is>
          <t>NEW_TAXA</t>
        </is>
      </c>
      <c r="F106" t="inlineStr">
        <is>
          <t>Word</t>
        </is>
      </c>
      <c r="G106" t="inlineStr">
        <is>
          <t>Word-taxa saknar EDP-match och standardförslag</t>
        </is>
      </c>
      <c r="H106" t="inlineStr">
        <is>
          <t>TaxDecisionEngine</t>
        </is>
      </c>
      <c r="I106" t="inlineStr">
        <is>
          <t>NEW_TAXA</t>
        </is>
      </c>
      <c r="J106" t="inlineStr">
        <is>
          <t>Skapa/hantera som ny taxa eller manuell granskning.</t>
        </is>
      </c>
    </row>
    <row r="107">
      <c r="B107" t="inlineStr">
        <is>
          <t>2.5.1</t>
        </is>
      </c>
      <c r="C107" t="inlineStr">
        <is>
          <t>Avisering av ankomst</t>
        </is>
      </c>
      <c r="D107" t="inlineStr">
        <is>
          <t>Beslut</t>
        </is>
      </c>
      <c r="E107" t="inlineStr">
        <is>
          <t>NEW_TAXA</t>
        </is>
      </c>
      <c r="F107" t="inlineStr">
        <is>
          <t>Word</t>
        </is>
      </c>
      <c r="G107" t="inlineStr">
        <is>
          <t>Word-taxa saknar EDP-match och standardförslag</t>
        </is>
      </c>
      <c r="H107" t="inlineStr">
        <is>
          <t>TaxDecisionEngine</t>
        </is>
      </c>
      <c r="I107" t="inlineStr">
        <is>
          <t>NEW_TAXA</t>
        </is>
      </c>
      <c r="J107" t="inlineStr">
        <is>
          <t>Skapa/hantera som ny taxa eller manuell granskning.</t>
        </is>
      </c>
    </row>
    <row r="108">
      <c r="B108" t="inlineStr">
        <is>
          <t>3.1</t>
        </is>
      </c>
      <c r="C108" t="inlineStr">
        <is>
          <t>Upp till 3 m3</t>
        </is>
      </c>
      <c r="D108" t="inlineStr">
        <is>
          <t>Beslut</t>
        </is>
      </c>
      <c r="E108" t="inlineStr">
        <is>
          <t>NEW_TAXA</t>
        </is>
      </c>
      <c r="F108" t="inlineStr">
        <is>
          <t>Word</t>
        </is>
      </c>
      <c r="G108" t="inlineStr">
        <is>
          <t>Word-taxa saknar EDP-match och standardförslag</t>
        </is>
      </c>
      <c r="H108" t="inlineStr">
        <is>
          <t>TaxDecisionEngine</t>
        </is>
      </c>
      <c r="I108" t="inlineStr">
        <is>
          <t>NEW_TAXA</t>
        </is>
      </c>
      <c r="J108" t="inlineStr">
        <is>
          <t>Skapa/hantera som ny taxa eller manuell granskning.</t>
        </is>
      </c>
    </row>
    <row r="109">
      <c r="B109" t="inlineStr">
        <is>
          <t>3.1</t>
        </is>
      </c>
      <c r="C109" t="inlineStr">
        <is>
          <t>Mellan 3 m3 och 6 m3</t>
        </is>
      </c>
      <c r="D109" t="inlineStr">
        <is>
          <t>Beslut</t>
        </is>
      </c>
      <c r="E109" t="inlineStr">
        <is>
          <t>NEW_TAXA</t>
        </is>
      </c>
      <c r="F109" t="inlineStr">
        <is>
          <t>Word</t>
        </is>
      </c>
      <c r="G109" t="inlineStr">
        <is>
          <t>Word-taxa saknar EDP-match och standardförslag</t>
        </is>
      </c>
      <c r="H109" t="inlineStr">
        <is>
          <t>TaxDecisionEngine</t>
        </is>
      </c>
      <c r="I109" t="inlineStr">
        <is>
          <t>NEW_TAXA</t>
        </is>
      </c>
      <c r="J109" t="inlineStr">
        <is>
          <t>Skapa/hantera som ny taxa eller manuell granskning.</t>
        </is>
      </c>
    </row>
    <row r="110">
      <c r="B110" t="inlineStr">
        <is>
          <t>3.1</t>
        </is>
      </c>
      <c r="C110" t="inlineStr">
        <is>
          <t>Mellan 6 m3 och 9 m3</t>
        </is>
      </c>
      <c r="D110" t="inlineStr">
        <is>
          <t>Beslut</t>
        </is>
      </c>
      <c r="E110" t="inlineStr">
        <is>
          <t>NEW_TAXA</t>
        </is>
      </c>
      <c r="F110" t="inlineStr">
        <is>
          <t>Word</t>
        </is>
      </c>
      <c r="G110" t="inlineStr">
        <is>
          <t>Word-taxa saknar EDP-match och standardförslag</t>
        </is>
      </c>
      <c r="H110" t="inlineStr">
        <is>
          <t>TaxDecisionEngine</t>
        </is>
      </c>
      <c r="I110" t="inlineStr">
        <is>
          <t>NEW_TAXA</t>
        </is>
      </c>
      <c r="J110" t="inlineStr">
        <is>
          <t>Skapa/hantera som ny taxa eller manuell granskning.</t>
        </is>
      </c>
    </row>
    <row r="111">
      <c r="B111" t="inlineStr">
        <is>
          <t>3.1</t>
        </is>
      </c>
      <c r="C111" t="inlineStr">
        <is>
          <t>Tillägg per m3 över 9 m3</t>
        </is>
      </c>
      <c r="D111" t="inlineStr">
        <is>
          <t>Beslut</t>
        </is>
      </c>
      <c r="E111" t="inlineStr">
        <is>
          <t>NEW_TAXA</t>
        </is>
      </c>
      <c r="F111" t="inlineStr">
        <is>
          <t>Word</t>
        </is>
      </c>
      <c r="G111" t="inlineStr">
        <is>
          <t>Word-taxa saknar EDP-match och standardförslag</t>
        </is>
      </c>
      <c r="H111" t="inlineStr">
        <is>
          <t>TaxDecisionEngine</t>
        </is>
      </c>
      <c r="I111" t="inlineStr">
        <is>
          <t>NEW_TAXA</t>
        </is>
      </c>
      <c r="J111" t="inlineStr">
        <is>
          <t>Skapa/hantera som ny taxa eller manuell granskning.</t>
        </is>
      </c>
    </row>
    <row r="112">
      <c r="B112" t="inlineStr">
        <is>
          <t>3.1</t>
        </is>
      </c>
      <c r="C112" t="inlineStr">
        <is>
          <t>Bad-, disk- och tvättbrunn upp till 3 m3</t>
        </is>
      </c>
      <c r="D112" t="inlineStr">
        <is>
          <t>Beslut</t>
        </is>
      </c>
      <c r="E112" t="inlineStr">
        <is>
          <t>NEW_TAXA</t>
        </is>
      </c>
      <c r="F112" t="inlineStr">
        <is>
          <t>Word</t>
        </is>
      </c>
      <c r="G112" t="inlineStr">
        <is>
          <t>Word-taxa saknar EDP-match och standardförslag</t>
        </is>
      </c>
      <c r="H112" t="inlineStr">
        <is>
          <t>TaxDecisionEngine</t>
        </is>
      </c>
      <c r="I112" t="inlineStr">
        <is>
          <t>NEW_TAXA</t>
        </is>
      </c>
      <c r="J112" t="inlineStr">
        <is>
          <t>Skapa/hantera som ny taxa eller manuell granskning.</t>
        </is>
      </c>
    </row>
    <row r="113">
      <c r="B113" t="inlineStr">
        <is>
          <t>3.1</t>
        </is>
      </c>
      <c r="C113" t="inlineStr">
        <is>
          <t>Tillägg per m3 över 3 m3</t>
        </is>
      </c>
      <c r="D113" t="inlineStr">
        <is>
          <t>Beslut</t>
        </is>
      </c>
      <c r="E113" t="inlineStr">
        <is>
          <t>NEW_TAXA</t>
        </is>
      </c>
      <c r="F113" t="inlineStr">
        <is>
          <t>Word</t>
        </is>
      </c>
      <c r="G113" t="inlineStr">
        <is>
          <t>Word-taxa saknar EDP-match och standardförslag</t>
        </is>
      </c>
      <c r="H113" t="inlineStr">
        <is>
          <t>TaxDecisionEngine</t>
        </is>
      </c>
      <c r="I113" t="inlineStr">
        <is>
          <t>NEW_TAXA</t>
        </is>
      </c>
      <c r="J113" t="inlineStr">
        <is>
          <t>Skapa/hantera som ny taxa eller manuell granskning.</t>
        </is>
      </c>
    </row>
    <row r="114">
      <c r="B114" t="inlineStr">
        <is>
          <t>3.2</t>
        </is>
      </c>
      <c r="C114" t="inlineStr">
        <is>
          <t>Dragning av extra slang vid 5-25 m</t>
        </is>
      </c>
      <c r="D114" t="inlineStr">
        <is>
          <t>Beslut</t>
        </is>
      </c>
      <c r="E114" t="inlineStr">
        <is>
          <t>NEW_TAXA</t>
        </is>
      </c>
      <c r="F114" t="inlineStr">
        <is>
          <t>Word</t>
        </is>
      </c>
      <c r="G114" t="inlineStr">
        <is>
          <t>Word-taxa saknar EDP-match och standardförslag</t>
        </is>
      </c>
      <c r="H114" t="inlineStr">
        <is>
          <t>TaxDecisionEngine</t>
        </is>
      </c>
      <c r="I114" t="inlineStr">
        <is>
          <t>NEW_TAXA</t>
        </is>
      </c>
      <c r="J114" t="inlineStr">
        <is>
          <t>Skapa/hantera som ny taxa eller manuell granskning.</t>
        </is>
      </c>
    </row>
    <row r="115">
      <c r="B115" t="inlineStr">
        <is>
          <t>3.2</t>
        </is>
      </c>
      <c r="C115" t="inlineStr">
        <is>
          <t>Dragning av extra slang vid 25-35 m</t>
        </is>
      </c>
      <c r="D115" t="inlineStr">
        <is>
          <t>Beslut</t>
        </is>
      </c>
      <c r="E115" t="inlineStr">
        <is>
          <t>NEW_TAXA</t>
        </is>
      </c>
      <c r="F115" t="inlineStr">
        <is>
          <t>Word</t>
        </is>
      </c>
      <c r="G115" t="inlineStr">
        <is>
          <t>Word-taxa saknar EDP-match och standardförslag</t>
        </is>
      </c>
      <c r="H115" t="inlineStr">
        <is>
          <t>TaxDecisionEngine</t>
        </is>
      </c>
      <c r="I115" t="inlineStr">
        <is>
          <t>NEW_TAXA</t>
        </is>
      </c>
      <c r="J115" t="inlineStr">
        <is>
          <t>Skapa/hantera som ny taxa eller manuell granskning.</t>
        </is>
      </c>
    </row>
    <row r="116">
      <c r="B116" t="inlineStr">
        <is>
          <t>3.2</t>
        </is>
      </c>
      <c r="C116" t="inlineStr">
        <is>
          <t>Dragning av extra slang vid 36-45 m</t>
        </is>
      </c>
      <c r="D116" t="inlineStr">
        <is>
          <t>Beslut</t>
        </is>
      </c>
      <c r="E116" t="inlineStr">
        <is>
          <t>NEW_TAXA</t>
        </is>
      </c>
      <c r="F116" t="inlineStr">
        <is>
          <t>Word</t>
        </is>
      </c>
      <c r="G116" t="inlineStr">
        <is>
          <t>Word-taxa saknar EDP-match och standardförslag</t>
        </is>
      </c>
      <c r="H116" t="inlineStr">
        <is>
          <t>TaxDecisionEngine</t>
        </is>
      </c>
      <c r="I116" t="inlineStr">
        <is>
          <t>NEW_TAXA</t>
        </is>
      </c>
      <c r="J116" t="inlineStr">
        <is>
          <t>Skapa/hantera som ny taxa eller manuell granskning.</t>
        </is>
      </c>
    </row>
    <row r="117">
      <c r="B117" t="inlineStr">
        <is>
          <t>3.2</t>
        </is>
      </c>
      <c r="C117" t="inlineStr">
        <is>
          <t>Dragning av extra slang vid 46-55 m</t>
        </is>
      </c>
      <c r="D117" t="inlineStr">
        <is>
          <t>Beslut</t>
        </is>
      </c>
      <c r="E117" t="inlineStr">
        <is>
          <t>NEW_TAXA</t>
        </is>
      </c>
      <c r="F117" t="inlineStr">
        <is>
          <t>Word</t>
        </is>
      </c>
      <c r="G117" t="inlineStr">
        <is>
          <t>Word-taxa saknar EDP-match och standardförslag</t>
        </is>
      </c>
      <c r="H117" t="inlineStr">
        <is>
          <t>TaxDecisionEngine</t>
        </is>
      </c>
      <c r="I117" t="inlineStr">
        <is>
          <t>NEW_TAXA</t>
        </is>
      </c>
      <c r="J117" t="inlineStr">
        <is>
          <t>Skapa/hantera som ny taxa eller manuell granskning.</t>
        </is>
      </c>
    </row>
    <row r="118">
      <c r="B118" t="inlineStr">
        <is>
          <t>3.2</t>
        </is>
      </c>
      <c r="C118" t="inlineStr">
        <is>
          <t>Hantering av brunnslock som väger 15-25 kg</t>
        </is>
      </c>
      <c r="D118" t="inlineStr">
        <is>
          <t>Beslut</t>
        </is>
      </c>
      <c r="E118" t="inlineStr">
        <is>
          <t>NEW_TAXA</t>
        </is>
      </c>
      <c r="F118" t="inlineStr">
        <is>
          <t>Word</t>
        </is>
      </c>
      <c r="G118" t="inlineStr">
        <is>
          <t>Word-taxa saknar EDP-match och standardförslag</t>
        </is>
      </c>
      <c r="H118" t="inlineStr">
        <is>
          <t>TaxDecisionEngine</t>
        </is>
      </c>
      <c r="I118" t="inlineStr">
        <is>
          <t>NEW_TAXA</t>
        </is>
      </c>
      <c r="J118" t="inlineStr">
        <is>
          <t>Skapa/hantera som ny taxa eller manuell granskning.</t>
        </is>
      </c>
    </row>
    <row r="119">
      <c r="B119" t="inlineStr">
        <is>
          <t>3.2</t>
        </is>
      </c>
      <c r="C119" t="inlineStr">
        <is>
          <t>Krav på information om tömningstid</t>
        </is>
      </c>
      <c r="D119" t="inlineStr">
        <is>
          <t>Beslut</t>
        </is>
      </c>
      <c r="E119" t="inlineStr">
        <is>
          <t>NEW_TAXA</t>
        </is>
      </c>
      <c r="F119" t="inlineStr">
        <is>
          <t>Word</t>
        </is>
      </c>
      <c r="G119" t="inlineStr">
        <is>
          <t>Word-taxa saknar EDP-match och standardförslag</t>
        </is>
      </c>
      <c r="H119" t="inlineStr">
        <is>
          <t>TaxDecisionEngine</t>
        </is>
      </c>
      <c r="I119" t="inlineStr">
        <is>
          <t>NEW_TAXA</t>
        </is>
      </c>
      <c r="J119" t="inlineStr">
        <is>
          <t>Skapa/hantera som ny taxa eller manuell granskning.</t>
        </is>
      </c>
    </row>
    <row r="120">
      <c r="B120" t="inlineStr">
        <is>
          <t>3.2</t>
        </is>
      </c>
      <c r="C120" t="inlineStr">
        <is>
          <t>Krav på närvaro vid specificerad tömningstid</t>
        </is>
      </c>
      <c r="D120" t="inlineStr">
        <is>
          <t>Beslut</t>
        </is>
      </c>
      <c r="E120" t="inlineStr">
        <is>
          <t>NEW_TAXA</t>
        </is>
      </c>
      <c r="F120" t="inlineStr">
        <is>
          <t>Word</t>
        </is>
      </c>
      <c r="G120" t="inlineStr">
        <is>
          <t>Word-taxa saknar EDP-match och standardförslag</t>
        </is>
      </c>
      <c r="H120" t="inlineStr">
        <is>
          <t>TaxDecisionEngine</t>
        </is>
      </c>
      <c r="I120" t="inlineStr">
        <is>
          <t>NEW_TAXA</t>
        </is>
      </c>
      <c r="J120" t="inlineStr">
        <is>
          <t>Skapa/hantera som ny taxa eller manuell granskning.</t>
        </is>
      </c>
    </row>
    <row r="121">
      <c r="B121" t="inlineStr">
        <is>
          <t>3.2</t>
        </is>
      </c>
      <c r="C121" t="inlineStr">
        <is>
          <t>Hantering av kod för kodlås vid slamtömning</t>
        </is>
      </c>
      <c r="D121" t="inlineStr">
        <is>
          <t>Beslut</t>
        </is>
      </c>
      <c r="E121" t="inlineStr">
        <is>
          <t>NEW_TAXA</t>
        </is>
      </c>
      <c r="F121" t="inlineStr">
        <is>
          <t>Word</t>
        </is>
      </c>
      <c r="G121" t="inlineStr">
        <is>
          <t>Word-taxa saknar EDP-match och standardförslag</t>
        </is>
      </c>
      <c r="H121" t="inlineStr">
        <is>
          <t>TaxDecisionEngine</t>
        </is>
      </c>
      <c r="I121" t="inlineStr">
        <is>
          <t>NEW_TAXA</t>
        </is>
      </c>
      <c r="J121" t="inlineStr">
        <is>
          <t>Skapa/hantera som ny taxa eller manuell granskning.</t>
        </is>
      </c>
    </row>
    <row r="122">
      <c r="B122" t="inlineStr">
        <is>
          <t>3.2</t>
        </is>
      </c>
      <c r="C122" t="inlineStr">
        <is>
          <t>Hetvattentvätt med spolbil, timersättning</t>
        </is>
      </c>
      <c r="D122" t="inlineStr">
        <is>
          <t>Beslut</t>
        </is>
      </c>
      <c r="E122" t="inlineStr">
        <is>
          <t>NEW_TAXA</t>
        </is>
      </c>
      <c r="F122" t="inlineStr">
        <is>
          <t>Word</t>
        </is>
      </c>
      <c r="G122" t="inlineStr">
        <is>
          <t>Word-taxa saknar EDP-match och standardförslag</t>
        </is>
      </c>
      <c r="H122" t="inlineStr">
        <is>
          <t>TaxDecisionEngine</t>
        </is>
      </c>
      <c r="I122" t="inlineStr">
        <is>
          <t>NEW_TAXA</t>
        </is>
      </c>
      <c r="J122" t="inlineStr">
        <is>
          <t>Skapa/hantera som ny taxa eller manuell granskning.</t>
        </is>
      </c>
    </row>
    <row r="123">
      <c r="B123" t="inlineStr">
        <is>
          <t>3.2</t>
        </is>
      </c>
      <c r="C123" t="inlineStr">
        <is>
          <t>Tömning av extra tank/brunn i samband med ordinarie/budad tömning upp till 5 m3</t>
        </is>
      </c>
      <c r="D123" t="inlineStr">
        <is>
          <t>Beslut</t>
        </is>
      </c>
      <c r="E123" t="inlineStr">
        <is>
          <t>NEW_TAXA</t>
        </is>
      </c>
      <c r="F123" t="inlineStr">
        <is>
          <t>Word</t>
        </is>
      </c>
      <c r="G123" t="inlineStr">
        <is>
          <t>Word-taxa saknar EDP-match och standardförslag</t>
        </is>
      </c>
      <c r="H123" t="inlineStr">
        <is>
          <t>TaxDecisionEngine</t>
        </is>
      </c>
      <c r="I123" t="inlineStr">
        <is>
          <t>NEW_TAXA</t>
        </is>
      </c>
      <c r="J123" t="inlineStr">
        <is>
          <t>Skapa/hantera som ny taxa eller manuell granskning.</t>
        </is>
      </c>
    </row>
    <row r="124">
      <c r="B124" t="inlineStr">
        <is>
          <t>3.3</t>
        </is>
      </c>
      <c r="C124" t="inlineStr">
        <is>
          <t>Budning inom ordinarie tömningsperiod (1 maj- 31 oktober)</t>
        </is>
      </c>
      <c r="D124" t="inlineStr">
        <is>
          <t>Beslut</t>
        </is>
      </c>
      <c r="E124" t="inlineStr">
        <is>
          <t>NEW_TAXA</t>
        </is>
      </c>
      <c r="F124" t="inlineStr">
        <is>
          <t>Word</t>
        </is>
      </c>
      <c r="G124" t="inlineStr">
        <is>
          <t>Word-taxa saknar EDP-match och standardförslag</t>
        </is>
      </c>
      <c r="H124" t="inlineStr">
        <is>
          <t>TaxDecisionEngine</t>
        </is>
      </c>
      <c r="I124" t="inlineStr">
        <is>
          <t>NEW_TAXA</t>
        </is>
      </c>
      <c r="J124" t="inlineStr">
        <is>
          <t>Skapa/hantera som ny taxa eller manuell granskning.</t>
        </is>
      </c>
    </row>
    <row r="125">
      <c r="B125" t="inlineStr">
        <is>
          <t>3.3</t>
        </is>
      </c>
      <c r="C125" t="inlineStr">
        <is>
          <t>Budning utanför ordinarie tömningsperiod (1 nov – 30 april)</t>
        </is>
      </c>
      <c r="D125" t="inlineStr">
        <is>
          <t>Beslut</t>
        </is>
      </c>
      <c r="E125" t="inlineStr">
        <is>
          <t>NEW_TAXA</t>
        </is>
      </c>
      <c r="F125" t="inlineStr">
        <is>
          <t>Word</t>
        </is>
      </c>
      <c r="G125" t="inlineStr">
        <is>
          <t>Word-taxa saknar EDP-match och standardförslag</t>
        </is>
      </c>
      <c r="H125" t="inlineStr">
        <is>
          <t>TaxDecisionEngine</t>
        </is>
      </c>
      <c r="I125" t="inlineStr">
        <is>
          <t>NEW_TAXA</t>
        </is>
      </c>
      <c r="J125" t="inlineStr">
        <is>
          <t>Skapa/hantera som ny taxa eller manuell granskning.</t>
        </is>
      </c>
    </row>
    <row r="126">
      <c r="B126" t="inlineStr">
        <is>
          <t>3.3</t>
        </is>
      </c>
      <c r="C126" t="inlineStr">
        <is>
          <t>Tömning av toalettvagnar eller liknande /styck</t>
        </is>
      </c>
      <c r="D126" t="inlineStr">
        <is>
          <t>Beslut</t>
        </is>
      </c>
      <c r="E126" t="inlineStr">
        <is>
          <t>NEW_TAXA</t>
        </is>
      </c>
      <c r="F126" t="inlineStr">
        <is>
          <t>Word</t>
        </is>
      </c>
      <c r="G126" t="inlineStr">
        <is>
          <t>Word-taxa saknar EDP-match och standardförslag</t>
        </is>
      </c>
      <c r="H126" t="inlineStr">
        <is>
          <t>TaxDecisionEngine</t>
        </is>
      </c>
      <c r="I126" t="inlineStr">
        <is>
          <t>NEW_TAXA</t>
        </is>
      </c>
      <c r="J126" t="inlineStr">
        <is>
          <t>Skapa/hantera som ny taxa eller manuell granskning.</t>
        </is>
      </c>
    </row>
    <row r="127">
      <c r="B127" t="inlineStr">
        <is>
          <t>3.4</t>
        </is>
      </c>
      <c r="C127" t="inlineStr">
        <is>
          <t>Latrinbehållare 37 liter inkl. mottagning och behandling</t>
        </is>
      </c>
      <c r="D127" t="inlineStr">
        <is>
          <t>Beslut</t>
        </is>
      </c>
      <c r="E127" t="inlineStr">
        <is>
          <t>NEW_TAXA</t>
        </is>
      </c>
      <c r="F127" t="inlineStr">
        <is>
          <t>Word</t>
        </is>
      </c>
      <c r="G127" t="inlineStr">
        <is>
          <t>Word-taxa saknar EDP-match och standardförslag</t>
        </is>
      </c>
      <c r="H127" t="inlineStr">
        <is>
          <t>TaxDecisionEngine</t>
        </is>
      </c>
      <c r="I127" t="inlineStr">
        <is>
          <t>NEW_TAXA</t>
        </is>
      </c>
      <c r="J127" t="inlineStr">
        <is>
          <t>Skapa/hantera som ny taxa eller manuell granskning.</t>
        </is>
      </c>
    </row>
    <row r="128">
      <c r="B128" t="inlineStr">
        <is>
          <t>4.1</t>
        </is>
      </c>
      <c r="C128" t="inlineStr">
        <is>
          <t>Filtermassor upp till 500 kg</t>
        </is>
      </c>
      <c r="D128" t="inlineStr">
        <is>
          <t>Beslut</t>
        </is>
      </c>
      <c r="E128" t="inlineStr">
        <is>
          <t>NEW_TAXA</t>
        </is>
      </c>
      <c r="F128" t="inlineStr">
        <is>
          <t>Word</t>
        </is>
      </c>
      <c r="G128" t="inlineStr">
        <is>
          <t>Word-taxa saknar EDP-match och standardförslag</t>
        </is>
      </c>
      <c r="H128" t="inlineStr">
        <is>
          <t>TaxDecisionEngine</t>
        </is>
      </c>
      <c r="I128" t="inlineStr">
        <is>
          <t>NEW_TAXA</t>
        </is>
      </c>
      <c r="J128" t="inlineStr">
        <is>
          <t>Skapa/hantera som ny taxa eller manuell granskning.</t>
        </is>
      </c>
    </row>
    <row r="129">
      <c r="B129" t="inlineStr">
        <is>
          <t>4.1</t>
        </is>
      </c>
      <c r="C129" t="inlineStr">
        <is>
          <t>Filtermassor 500-1000 kg</t>
        </is>
      </c>
      <c r="D129" t="inlineStr">
        <is>
          <t>Beslut</t>
        </is>
      </c>
      <c r="E129" t="inlineStr">
        <is>
          <t>NEW_TAXA</t>
        </is>
      </c>
      <c r="F129" t="inlineStr">
        <is>
          <t>Word</t>
        </is>
      </c>
      <c r="G129" t="inlineStr">
        <is>
          <t>Word-taxa saknar EDP-match och standardförslag</t>
        </is>
      </c>
      <c r="H129" t="inlineStr">
        <is>
          <t>TaxDecisionEngine</t>
        </is>
      </c>
      <c r="I129" t="inlineStr">
        <is>
          <t>NEW_TAXA</t>
        </is>
      </c>
      <c r="J129" t="inlineStr">
        <is>
          <t>Skapa/hantera som ny taxa eller manuell granskning.</t>
        </is>
      </c>
    </row>
    <row r="130">
      <c r="B130" t="inlineStr">
        <is>
          <t>4.2</t>
        </is>
      </c>
      <c r="C130" t="inlineStr">
        <is>
          <t>Krav på information om hämtningstid</t>
        </is>
      </c>
      <c r="D130" t="inlineStr">
        <is>
          <t>Beslut</t>
        </is>
      </c>
      <c r="E130" t="inlineStr">
        <is>
          <t>NEW_TAXA</t>
        </is>
      </c>
      <c r="F130" t="inlineStr">
        <is>
          <t>Word</t>
        </is>
      </c>
      <c r="G130" t="inlineStr">
        <is>
          <t>Word-taxa saknar EDP-match och standardförslag</t>
        </is>
      </c>
      <c r="H130" t="inlineStr">
        <is>
          <t>TaxDecisionEngine</t>
        </is>
      </c>
      <c r="I130" t="inlineStr">
        <is>
          <t>NEW_TAXA</t>
        </is>
      </c>
      <c r="J130" t="inlineStr">
        <is>
          <t>Skapa/hantera som ny taxa eller manuell granskning.</t>
        </is>
      </c>
    </row>
    <row r="131">
      <c r="B131" t="inlineStr">
        <is>
          <t>4.2</t>
        </is>
      </c>
      <c r="C131" t="inlineStr">
        <is>
          <t>Krav på närvaro vid specificerad hämtningstid</t>
        </is>
      </c>
      <c r="D131" t="inlineStr">
        <is>
          <t>Beslut</t>
        </is>
      </c>
      <c r="E131" t="inlineStr">
        <is>
          <t>NEW_TAXA</t>
        </is>
      </c>
      <c r="F131" t="inlineStr">
        <is>
          <t>Word</t>
        </is>
      </c>
      <c r="G131" t="inlineStr">
        <is>
          <t>Word-taxa saknar EDP-match och standardförslag</t>
        </is>
      </c>
      <c r="H131" t="inlineStr">
        <is>
          <t>TaxDecisionEngine</t>
        </is>
      </c>
      <c r="I131" t="inlineStr">
        <is>
          <t>NEW_TAXA</t>
        </is>
      </c>
      <c r="J131" t="inlineStr">
        <is>
          <t>Skapa/hantera som ny taxa eller manuell granskning.</t>
        </is>
      </c>
    </row>
    <row r="132">
      <c r="B132" t="inlineStr">
        <is>
          <t>4.2</t>
        </is>
      </c>
      <c r="C132" t="inlineStr">
        <is>
          <t>Hantering av kod för kodlås</t>
        </is>
      </c>
      <c r="D132" t="inlineStr">
        <is>
          <t>Beslut</t>
        </is>
      </c>
      <c r="E132" t="inlineStr">
        <is>
          <t>NEW_TAXA</t>
        </is>
      </c>
      <c r="F132" t="inlineStr">
        <is>
          <t>Word</t>
        </is>
      </c>
      <c r="G132" t="inlineStr">
        <is>
          <t>Word-taxa saknar EDP-match och standardförslag</t>
        </is>
      </c>
      <c r="H132" t="inlineStr">
        <is>
          <t>TaxDecisionEngine</t>
        </is>
      </c>
      <c r="I132" t="inlineStr">
        <is>
          <t>NEW_TAXA</t>
        </is>
      </c>
      <c r="J132" t="inlineStr">
        <is>
          <t>Skapa/hantera som ny taxa eller manuell granskning.</t>
        </is>
      </c>
    </row>
    <row r="133">
      <c r="B133" t="inlineStr">
        <is>
          <t>5.1</t>
        </is>
      </c>
      <c r="C133" t="inlineStr">
        <is>
          <t>Upp till 3 m3</t>
        </is>
      </c>
      <c r="D133" t="inlineStr">
        <is>
          <t>Beslut</t>
        </is>
      </c>
      <c r="E133" t="inlineStr">
        <is>
          <t>NEW_TAXA</t>
        </is>
      </c>
      <c r="F133" t="inlineStr">
        <is>
          <t>Word</t>
        </is>
      </c>
      <c r="G133" t="inlineStr">
        <is>
          <t>Word-taxa saknar EDP-match och standardförslag</t>
        </is>
      </c>
      <c r="H133" t="inlineStr">
        <is>
          <t>TaxDecisionEngine</t>
        </is>
      </c>
      <c r="I133" t="inlineStr">
        <is>
          <t>NEW_TAXA</t>
        </is>
      </c>
      <c r="J133" t="inlineStr">
        <is>
          <t>Skapa/hantera som ny taxa eller manuell granskning.</t>
        </is>
      </c>
    </row>
    <row r="134">
      <c r="B134" t="inlineStr">
        <is>
          <t>5.1</t>
        </is>
      </c>
      <c r="C134" t="inlineStr">
        <is>
          <t>Mellan 3 m3 och 6 m3</t>
        </is>
      </c>
      <c r="D134" t="inlineStr">
        <is>
          <t>Beslut</t>
        </is>
      </c>
      <c r="E134" t="inlineStr">
        <is>
          <t>NEW_TAXA</t>
        </is>
      </c>
      <c r="F134" t="inlineStr">
        <is>
          <t>Word</t>
        </is>
      </c>
      <c r="G134" t="inlineStr">
        <is>
          <t>Word-taxa saknar EDP-match och standardförslag</t>
        </is>
      </c>
      <c r="H134" t="inlineStr">
        <is>
          <t>TaxDecisionEngine</t>
        </is>
      </c>
      <c r="I134" t="inlineStr">
        <is>
          <t>NEW_TAXA</t>
        </is>
      </c>
      <c r="J134" t="inlineStr">
        <is>
          <t>Skapa/hantera som ny taxa eller manuell granskning.</t>
        </is>
      </c>
    </row>
    <row r="135">
      <c r="B135" t="inlineStr">
        <is>
          <t>5.1</t>
        </is>
      </c>
      <c r="C135" t="inlineStr">
        <is>
          <t>Över 6 m3</t>
        </is>
      </c>
      <c r="D135" t="inlineStr">
        <is>
          <t>Beslut</t>
        </is>
      </c>
      <c r="E135" t="inlineStr">
        <is>
          <t>NEW_TAXA</t>
        </is>
      </c>
      <c r="F135" t="inlineStr">
        <is>
          <t>Word</t>
        </is>
      </c>
      <c r="G135" t="inlineStr">
        <is>
          <t>Word-taxa saknar EDP-match och standardförslag</t>
        </is>
      </c>
      <c r="H135" t="inlineStr">
        <is>
          <t>TaxDecisionEngine</t>
        </is>
      </c>
      <c r="I135" t="inlineStr">
        <is>
          <t>NEW_TAXA</t>
        </is>
      </c>
      <c r="J135" t="inlineStr">
        <is>
          <t>Skapa/hantera som ny taxa eller manuell granskning.</t>
        </is>
      </c>
    </row>
    <row r="136">
      <c r="B136" t="inlineStr">
        <is>
          <t>5.2</t>
        </is>
      </c>
      <c r="C136" t="inlineStr">
        <is>
          <t>Dragning av extra slang vid 5-25 m</t>
        </is>
      </c>
      <c r="D136" t="inlineStr">
        <is>
          <t>Beslut</t>
        </is>
      </c>
      <c r="E136" t="inlineStr">
        <is>
          <t>NEW_TAXA</t>
        </is>
      </c>
      <c r="F136" t="inlineStr">
        <is>
          <t>Word</t>
        </is>
      </c>
      <c r="G136" t="inlineStr">
        <is>
          <t>Word-taxa saknar EDP-match och standardförslag</t>
        </is>
      </c>
      <c r="H136" t="inlineStr">
        <is>
          <t>TaxDecisionEngine</t>
        </is>
      </c>
      <c r="I136" t="inlineStr">
        <is>
          <t>NEW_TAXA</t>
        </is>
      </c>
      <c r="J136" t="inlineStr">
        <is>
          <t>Skapa/hantera som ny taxa eller manuell granskning.</t>
        </is>
      </c>
    </row>
    <row r="137">
      <c r="B137" t="inlineStr">
        <is>
          <t>5.2</t>
        </is>
      </c>
      <c r="C137" t="inlineStr">
        <is>
          <t>Dragning av extra slang vid 25-35 m</t>
        </is>
      </c>
      <c r="D137" t="inlineStr">
        <is>
          <t>Beslut</t>
        </is>
      </c>
      <c r="E137" t="inlineStr">
        <is>
          <t>NEW_TAXA</t>
        </is>
      </c>
      <c r="F137" t="inlineStr">
        <is>
          <t>Word</t>
        </is>
      </c>
      <c r="G137" t="inlineStr">
        <is>
          <t>Word-taxa saknar EDP-match och standardförslag</t>
        </is>
      </c>
      <c r="H137" t="inlineStr">
        <is>
          <t>TaxDecisionEngine</t>
        </is>
      </c>
      <c r="I137" t="inlineStr">
        <is>
          <t>NEW_TAXA</t>
        </is>
      </c>
      <c r="J137" t="inlineStr">
        <is>
          <t>Skapa/hantera som ny taxa eller manuell granskning.</t>
        </is>
      </c>
    </row>
    <row r="138">
      <c r="B138" t="inlineStr">
        <is>
          <t>5.2</t>
        </is>
      </c>
      <c r="C138" t="inlineStr">
        <is>
          <t>Dragning av extra slang vid 36-45 m</t>
        </is>
      </c>
      <c r="D138" t="inlineStr">
        <is>
          <t>Beslut</t>
        </is>
      </c>
      <c r="E138" t="inlineStr">
        <is>
          <t>NEW_TAXA</t>
        </is>
      </c>
      <c r="F138" t="inlineStr">
        <is>
          <t>Word</t>
        </is>
      </c>
      <c r="G138" t="inlineStr">
        <is>
          <t>Word-taxa saknar EDP-match och standardförslag</t>
        </is>
      </c>
      <c r="H138" t="inlineStr">
        <is>
          <t>TaxDecisionEngine</t>
        </is>
      </c>
      <c r="I138" t="inlineStr">
        <is>
          <t>NEW_TAXA</t>
        </is>
      </c>
      <c r="J138" t="inlineStr">
        <is>
          <t>Skapa/hantera som ny taxa eller manuell granskning.</t>
        </is>
      </c>
    </row>
    <row r="139">
      <c r="B139" t="inlineStr">
        <is>
          <t>5.2</t>
        </is>
      </c>
      <c r="C139" t="inlineStr">
        <is>
          <t>Dragning av extra slang vid 46-55 m</t>
        </is>
      </c>
      <c r="D139" t="inlineStr">
        <is>
          <t>Beslut</t>
        </is>
      </c>
      <c r="E139" t="inlineStr">
        <is>
          <t>NEW_TAXA</t>
        </is>
      </c>
      <c r="F139" t="inlineStr">
        <is>
          <t>Word</t>
        </is>
      </c>
      <c r="G139" t="inlineStr">
        <is>
          <t>Word-taxa saknar EDP-match och standardförslag</t>
        </is>
      </c>
      <c r="H139" t="inlineStr">
        <is>
          <t>TaxDecisionEngine</t>
        </is>
      </c>
      <c r="I139" t="inlineStr">
        <is>
          <t>NEW_TAXA</t>
        </is>
      </c>
      <c r="J139" t="inlineStr">
        <is>
          <t>Skapa/hantera som ny taxa eller manuell granskning.</t>
        </is>
      </c>
    </row>
    <row r="140">
      <c r="B140" t="inlineStr">
        <is>
          <t>5.2</t>
        </is>
      </c>
      <c r="C140" t="inlineStr">
        <is>
          <t>Hantering av brunnslock som väger 15-25 kg</t>
        </is>
      </c>
      <c r="D140" t="inlineStr">
        <is>
          <t>Beslut</t>
        </is>
      </c>
      <c r="E140" t="inlineStr">
        <is>
          <t>NEW_TAXA</t>
        </is>
      </c>
      <c r="F140" t="inlineStr">
        <is>
          <t>Word</t>
        </is>
      </c>
      <c r="G140" t="inlineStr">
        <is>
          <t>Word-taxa saknar EDP-match och standardförslag</t>
        </is>
      </c>
      <c r="H140" t="inlineStr">
        <is>
          <t>TaxDecisionEngine</t>
        </is>
      </c>
      <c r="I140" t="inlineStr">
        <is>
          <t>NEW_TAXA</t>
        </is>
      </c>
      <c r="J140" t="inlineStr">
        <is>
          <t>Skapa/hantera som ny taxa eller manuell granskning.</t>
        </is>
      </c>
    </row>
    <row r="141">
      <c r="B141" t="inlineStr">
        <is>
          <t>5.2</t>
        </is>
      </c>
      <c r="C141" t="inlineStr">
        <is>
          <t>Krav på information om tömningstid</t>
        </is>
      </c>
      <c r="D141" t="inlineStr">
        <is>
          <t>Beslut</t>
        </is>
      </c>
      <c r="E141" t="inlineStr">
        <is>
          <t>NEW_TAXA</t>
        </is>
      </c>
      <c r="F141" t="inlineStr">
        <is>
          <t>Word</t>
        </is>
      </c>
      <c r="G141" t="inlineStr">
        <is>
          <t>Word-taxa saknar EDP-match och standardförslag</t>
        </is>
      </c>
      <c r="H141" t="inlineStr">
        <is>
          <t>TaxDecisionEngine</t>
        </is>
      </c>
      <c r="I141" t="inlineStr">
        <is>
          <t>NEW_TAXA</t>
        </is>
      </c>
      <c r="J141" t="inlineStr">
        <is>
          <t>Skapa/hantera som ny taxa eller manuell granskning.</t>
        </is>
      </c>
    </row>
    <row r="142">
      <c r="B142" t="inlineStr">
        <is>
          <t>5.2</t>
        </is>
      </c>
      <c r="C142" t="inlineStr">
        <is>
          <t>Krav på närvaro vid specificerad tömningstid</t>
        </is>
      </c>
      <c r="D142" t="inlineStr">
        <is>
          <t>Beslut</t>
        </is>
      </c>
      <c r="E142" t="inlineStr">
        <is>
          <t>NEW_TAXA</t>
        </is>
      </c>
      <c r="F142" t="inlineStr">
        <is>
          <t>Word</t>
        </is>
      </c>
      <c r="G142" t="inlineStr">
        <is>
          <t>Word-taxa saknar EDP-match och standardförslag</t>
        </is>
      </c>
      <c r="H142" t="inlineStr">
        <is>
          <t>TaxDecisionEngine</t>
        </is>
      </c>
      <c r="I142" t="inlineStr">
        <is>
          <t>NEW_TAXA</t>
        </is>
      </c>
      <c r="J142" t="inlineStr">
        <is>
          <t>Skapa/hantera som ny taxa eller manuell granskning.</t>
        </is>
      </c>
    </row>
    <row r="143">
      <c r="B143" t="inlineStr">
        <is>
          <t>5.2</t>
        </is>
      </c>
      <c r="C143" t="inlineStr">
        <is>
          <t>Hantering av kod för kodlås vid tömning</t>
        </is>
      </c>
      <c r="D143" t="inlineStr">
        <is>
          <t>Beslut</t>
        </is>
      </c>
      <c r="E143" t="inlineStr">
        <is>
          <t>NEW_TAXA</t>
        </is>
      </c>
      <c r="F143" t="inlineStr">
        <is>
          <t>Word</t>
        </is>
      </c>
      <c r="G143" t="inlineStr">
        <is>
          <t>Word-taxa saknar EDP-match och standardförslag</t>
        </is>
      </c>
      <c r="H143" t="inlineStr">
        <is>
          <t>TaxDecisionEngine</t>
        </is>
      </c>
      <c r="I143" t="inlineStr">
        <is>
          <t>NEW_TAXA</t>
        </is>
      </c>
      <c r="J143" t="inlineStr">
        <is>
          <t>Skapa/hantera som ny taxa eller manuell granskning.</t>
        </is>
      </c>
    </row>
    <row r="144">
      <c r="B144" t="inlineStr">
        <is>
          <t>5.2</t>
        </is>
      </c>
      <c r="C144" t="inlineStr">
        <is>
          <t>Hetvattentvätt med spolbil, timersättning</t>
        </is>
      </c>
      <c r="D144" t="inlineStr">
        <is>
          <t>Beslut</t>
        </is>
      </c>
      <c r="E144" t="inlineStr">
        <is>
          <t>NEW_TAXA</t>
        </is>
      </c>
      <c r="F144" t="inlineStr">
        <is>
          <t>Word</t>
        </is>
      </c>
      <c r="G144" t="inlineStr">
        <is>
          <t>Word-taxa saknar EDP-match och standardförslag</t>
        </is>
      </c>
      <c r="H144" t="inlineStr">
        <is>
          <t>TaxDecisionEngine</t>
        </is>
      </c>
      <c r="I144" t="inlineStr">
        <is>
          <t>NEW_TAXA</t>
        </is>
      </c>
      <c r="J144" t="inlineStr">
        <is>
          <t>Skapa/hantera som ny taxa eller manuell granskning.</t>
        </is>
      </c>
    </row>
    <row r="145">
      <c r="B145" t="inlineStr">
        <is>
          <t>5.2</t>
        </is>
      </c>
      <c r="C145" t="inlineStr">
        <is>
          <t>Silikontätning per lock</t>
        </is>
      </c>
      <c r="D145" t="inlineStr">
        <is>
          <t>Beslut</t>
        </is>
      </c>
      <c r="E145" t="inlineStr">
        <is>
          <t>NEW_TAXA</t>
        </is>
      </c>
      <c r="F145" t="inlineStr">
        <is>
          <t>Word</t>
        </is>
      </c>
      <c r="G145" t="inlineStr">
        <is>
          <t>Word-taxa saknar EDP-match och standardförslag</t>
        </is>
      </c>
      <c r="H145" t="inlineStr">
        <is>
          <t>TaxDecisionEngine</t>
        </is>
      </c>
      <c r="I145" t="inlineStr">
        <is>
          <t>NEW_TAXA</t>
        </is>
      </c>
      <c r="J145" t="inlineStr">
        <is>
          <t>Skapa/hantera som ny taxa eller manuell granskning.</t>
        </is>
      </c>
    </row>
    <row r="146">
      <c r="B146" t="inlineStr">
        <is>
          <t>5.2</t>
        </is>
      </c>
      <c r="C146" t="inlineStr">
        <is>
          <t>Tömning av extra tank i samband med ordinarie/budad tömning upp till 5 m3</t>
        </is>
      </c>
      <c r="D146" t="inlineStr">
        <is>
          <t>Beslut</t>
        </is>
      </c>
      <c r="E146" t="inlineStr">
        <is>
          <t>NEW_TAXA</t>
        </is>
      </c>
      <c r="F146" t="inlineStr">
        <is>
          <t>Word</t>
        </is>
      </c>
      <c r="G146" t="inlineStr">
        <is>
          <t>Word-taxa saknar EDP-match och standardförslag</t>
        </is>
      </c>
      <c r="H146" t="inlineStr">
        <is>
          <t>TaxDecisionEngine</t>
        </is>
      </c>
      <c r="I146" t="inlineStr">
        <is>
          <t>NEW_TAXA</t>
        </is>
      </c>
      <c r="J146" t="inlineStr">
        <is>
          <t>Skapa/hantera som ny taxa eller manuell granskning.</t>
        </is>
      </c>
    </row>
    <row r="147">
      <c r="B147" t="inlineStr">
        <is>
          <t>5.3</t>
        </is>
      </c>
      <c r="C147" t="inlineStr">
        <is>
          <t>Budning inom ordinarie tömningsperiod (1 maj- 31 oktober)</t>
        </is>
      </c>
      <c r="D147" t="inlineStr">
        <is>
          <t>Beslut</t>
        </is>
      </c>
      <c r="E147" t="inlineStr">
        <is>
          <t>NEW_TAXA</t>
        </is>
      </c>
      <c r="F147" t="inlineStr">
        <is>
          <t>Word</t>
        </is>
      </c>
      <c r="G147" t="inlineStr">
        <is>
          <t>Word-taxa saknar EDP-match och standardförslag</t>
        </is>
      </c>
      <c r="H147" t="inlineStr">
        <is>
          <t>TaxDecisionEngine</t>
        </is>
      </c>
      <c r="I147" t="inlineStr">
        <is>
          <t>NEW_TAXA</t>
        </is>
      </c>
      <c r="J147" t="inlineStr">
        <is>
          <t>Skapa/hantera som ny taxa eller manuell granskning.</t>
        </is>
      </c>
    </row>
    <row r="148">
      <c r="B148" t="inlineStr">
        <is>
          <t>5.3</t>
        </is>
      </c>
      <c r="C148" t="inlineStr">
        <is>
          <t>Budning utanför ordinarie tömningsperiod</t>
        </is>
      </c>
      <c r="D148" t="inlineStr">
        <is>
          <t>Beslut</t>
        </is>
      </c>
      <c r="E148" t="inlineStr">
        <is>
          <t>NEW_TAXA</t>
        </is>
      </c>
      <c r="F148" t="inlineStr">
        <is>
          <t>Word</t>
        </is>
      </c>
      <c r="G148" t="inlineStr">
        <is>
          <t>Word-taxa saknar EDP-match och standardförslag</t>
        </is>
      </c>
      <c r="H148" t="inlineStr">
        <is>
          <t>TaxDecisionEngine</t>
        </is>
      </c>
      <c r="I148" t="inlineStr">
        <is>
          <t>NEW_TAXA</t>
        </is>
      </c>
      <c r="J148" t="inlineStr">
        <is>
          <t>Skapa/hantera som ny taxa eller manuell granskning.</t>
        </is>
      </c>
    </row>
    <row r="149">
      <c r="B149" t="inlineStr">
        <is>
          <t>6.1.1</t>
        </is>
      </c>
      <c r="C149" t="inlineStr">
        <is>
          <t>Verksamheter</t>
        </is>
      </c>
      <c r="D149" t="inlineStr">
        <is>
          <t>Beslut</t>
        </is>
      </c>
      <c r="E149" t="inlineStr">
        <is>
          <t>REVIEW_REQUIRED</t>
        </is>
      </c>
      <c r="F149" t="inlineStr">
        <is>
          <t>Taxepunkter</t>
        </is>
      </c>
      <c r="G149" t="inlineStr">
        <is>
          <t>Rad finns men saknar Taxakod</t>
        </is>
      </c>
      <c r="H149" t="inlineStr">
        <is>
          <t>TaxDecisionEngine</t>
        </is>
      </c>
      <c r="I149" t="inlineStr">
        <is>
          <t>REVIEW_REQUIRED</t>
        </is>
      </c>
      <c r="J149" t="inlineStr">
        <is>
          <t>Taxa finns som rad. EDP-koppling saknas.</t>
        </is>
      </c>
    </row>
    <row r="150">
      <c r="B150" t="inlineStr">
        <is>
          <t>6.1.1</t>
        </is>
      </c>
      <c r="C150" t="inlineStr">
        <is>
          <t>Övriga abonnemangstyper</t>
        </is>
      </c>
      <c r="D150" t="inlineStr">
        <is>
          <t>Beslut</t>
        </is>
      </c>
      <c r="E150" t="inlineStr">
        <is>
          <t>REVIEW_REQUIRED</t>
        </is>
      </c>
      <c r="F150" t="inlineStr">
        <is>
          <t>Taxepunkter</t>
        </is>
      </c>
      <c r="G150" t="inlineStr">
        <is>
          <t>Rad finns men saknar Taxakod</t>
        </is>
      </c>
      <c r="H150" t="inlineStr">
        <is>
          <t>TaxDecisionEngine</t>
        </is>
      </c>
      <c r="I150" t="inlineStr">
        <is>
          <t>REVIEW_REQUIRED</t>
        </is>
      </c>
      <c r="J150" t="inlineStr">
        <is>
          <t>Taxa finns som rad. EDP-koppling saknas.</t>
        </is>
      </c>
    </row>
    <row r="151">
      <c r="B151" t="inlineStr">
        <is>
          <t>6.1.1</t>
        </is>
      </c>
      <c r="C151" t="inlineStr">
        <is>
          <t>Vågkort</t>
        </is>
      </c>
      <c r="D151" t="inlineStr">
        <is>
          <t>Beslut</t>
        </is>
      </c>
      <c r="E151" t="inlineStr">
        <is>
          <t>REVIEW_REQUIRED</t>
        </is>
      </c>
      <c r="F151" t="inlineStr">
        <is>
          <t>Taxepunkter</t>
        </is>
      </c>
      <c r="G151" t="inlineStr">
        <is>
          <t>Rad finns men saknar Taxakod</t>
        </is>
      </c>
      <c r="H151" t="inlineStr">
        <is>
          <t>TaxDecisionEngine</t>
        </is>
      </c>
      <c r="I151" t="inlineStr">
        <is>
          <t>REVIEW_REQUIRED</t>
        </is>
      </c>
      <c r="J151" t="inlineStr">
        <is>
          <t>Taxa finns som rad. EDP-koppling saknas.</t>
        </is>
      </c>
    </row>
    <row r="152">
      <c r="B152" t="inlineStr">
        <is>
          <t>6.1.1</t>
        </is>
      </c>
      <c r="C152" t="inlineStr">
        <is>
          <t>Borttappat vågkort</t>
        </is>
      </c>
      <c r="D152" t="inlineStr">
        <is>
          <t>Beslut</t>
        </is>
      </c>
      <c r="E152" t="inlineStr">
        <is>
          <t>REVIEW_REQUIRED</t>
        </is>
      </c>
      <c r="F152" t="inlineStr">
        <is>
          <t>Taxepunkter</t>
        </is>
      </c>
      <c r="G152" t="inlineStr">
        <is>
          <t>Rad finns men saknar Taxakod</t>
        </is>
      </c>
      <c r="H152" t="inlineStr">
        <is>
          <t>TaxDecisionEngine</t>
        </is>
      </c>
      <c r="I152" t="inlineStr">
        <is>
          <t>REVIEW_REQUIRED</t>
        </is>
      </c>
      <c r="J152" t="inlineStr">
        <is>
          <t>Taxa finns som rad. EDP-koppling saknas.</t>
        </is>
      </c>
    </row>
    <row r="153">
      <c r="B153" t="inlineStr">
        <is>
          <t>6.1.1</t>
        </is>
      </c>
      <c r="C153" t="inlineStr">
        <is>
          <t>Ej redovisad ankomst till ÅVC (för företagare och privatpersoner som lämnar verksamhetsavfall utan att anmäla sin ankomst)</t>
        </is>
      </c>
      <c r="D153" t="inlineStr">
        <is>
          <t>Beslut</t>
        </is>
      </c>
      <c r="E153" t="inlineStr">
        <is>
          <t>NEW_TAXA</t>
        </is>
      </c>
      <c r="F153" t="inlineStr">
        <is>
          <t>Word</t>
        </is>
      </c>
      <c r="G153" t="inlineStr">
        <is>
          <t>Word-taxa saknar EDP-match och standardförslag</t>
        </is>
      </c>
      <c r="H153" t="inlineStr">
        <is>
          <t>TaxDecisionEngine</t>
        </is>
      </c>
      <c r="I153" t="inlineStr">
        <is>
          <t>NEW_TAXA</t>
        </is>
      </c>
      <c r="J153" t="inlineStr">
        <is>
          <t>Skapa/hantera som ny taxa eller manuell granskning.</t>
        </is>
      </c>
    </row>
    <row r="154">
      <c r="B154" t="inlineStr">
        <is>
          <t>6.1.1</t>
        </is>
      </c>
      <c r="C154" t="inlineStr">
        <is>
          <t>Ej redovisad eller fel redovisad fraktion av avfall</t>
        </is>
      </c>
      <c r="D154" t="inlineStr">
        <is>
          <t>Beslut</t>
        </is>
      </c>
      <c r="E154" t="inlineStr">
        <is>
          <t>REVIEW_REQUIRED</t>
        </is>
      </c>
      <c r="F154" t="inlineStr">
        <is>
          <t>Taxepunkter</t>
        </is>
      </c>
      <c r="G154" t="inlineStr">
        <is>
          <t>Rad finns men saknar Taxakod</t>
        </is>
      </c>
      <c r="H154" t="inlineStr">
        <is>
          <t>TaxDecisionEngine</t>
        </is>
      </c>
      <c r="I154" t="inlineStr">
        <is>
          <t>REVIEW_REQUIRED</t>
        </is>
      </c>
      <c r="J154" t="inlineStr">
        <is>
          <t>Taxa finns som rad. EDP-koppling saknas.</t>
        </is>
      </c>
    </row>
    <row r="155">
      <c r="B155" t="inlineStr">
        <is>
          <t>6.1.2</t>
        </is>
      </c>
      <c r="C155" t="inlineStr">
        <is>
          <t>Avfall till energiåtervinning (240 L sopsäck)</t>
        </is>
      </c>
      <c r="D155" t="inlineStr">
        <is>
          <t>Beslut</t>
        </is>
      </c>
      <c r="E155" t="inlineStr">
        <is>
          <t>REVIEW_REQUIRED</t>
        </is>
      </c>
      <c r="F155" t="inlineStr">
        <is>
          <t>Taxepunkter</t>
        </is>
      </c>
      <c r="G155" t="inlineStr">
        <is>
          <t>Rad finns men saknar Taxakod</t>
        </is>
      </c>
      <c r="H155" t="inlineStr">
        <is>
          <t>TaxDecisionEngine</t>
        </is>
      </c>
      <c r="I155" t="inlineStr">
        <is>
          <t>REVIEW_REQUIRED</t>
        </is>
      </c>
      <c r="J155" t="inlineStr">
        <is>
          <t>Taxa finns som rad. EDP-koppling saknas.</t>
        </is>
      </c>
    </row>
    <row r="156">
      <c r="B156" t="inlineStr">
        <is>
          <t>6.1.2</t>
        </is>
      </c>
      <c r="C156" t="inlineStr">
        <is>
          <t>Avfall till energiåtervinning</t>
        </is>
      </c>
      <c r="D156" t="inlineStr">
        <is>
          <t>Beslut</t>
        </is>
      </c>
      <c r="E156" t="inlineStr">
        <is>
          <t>REVIEW_REQUIRED</t>
        </is>
      </c>
      <c r="F156" t="inlineStr">
        <is>
          <t>Taxepunkter</t>
        </is>
      </c>
      <c r="G156" t="inlineStr">
        <is>
          <t>Rad finns men saknar Taxakod</t>
        </is>
      </c>
      <c r="H156" t="inlineStr">
        <is>
          <t>TaxDecisionEngine</t>
        </is>
      </c>
      <c r="I156" t="inlineStr">
        <is>
          <t>REVIEW_REQUIRED</t>
        </is>
      </c>
      <c r="J156" t="inlineStr">
        <is>
          <t>Taxa finns som rad. EDP-koppling saknas.</t>
        </is>
      </c>
    </row>
    <row r="157">
      <c r="B157" t="inlineStr">
        <is>
          <t>6.1.2</t>
        </is>
      </c>
      <c r="C157" t="inlineStr">
        <is>
          <t>Skrymmande avfall till energiåtervinning större än 20×20×80</t>
        </is>
      </c>
      <c r="D157" t="inlineStr">
        <is>
          <t>Beslut</t>
        </is>
      </c>
      <c r="E157" t="inlineStr">
        <is>
          <t>REVIEW_REQUIRED</t>
        </is>
      </c>
      <c r="F157" t="inlineStr">
        <is>
          <t>Taxepunkter</t>
        </is>
      </c>
      <c r="G157" t="inlineStr">
        <is>
          <t>Rad finns men saknar Taxakod</t>
        </is>
      </c>
      <c r="H157" t="inlineStr">
        <is>
          <t>TaxDecisionEngine</t>
        </is>
      </c>
      <c r="I157" t="inlineStr">
        <is>
          <t>REVIEW_REQUIRED</t>
        </is>
      </c>
      <c r="J157" t="inlineStr">
        <is>
          <t>Taxa finns som rad. EDP-koppling saknas.</t>
        </is>
      </c>
    </row>
    <row r="158">
      <c r="B158" t="inlineStr">
        <is>
          <t>6.1.2</t>
        </is>
      </c>
      <c r="C158" t="inlineStr">
        <is>
          <t>Träavfall – obehandlat, utan tapet, plastmatta, tjärpapp</t>
        </is>
      </c>
      <c r="D158" t="inlineStr">
        <is>
          <t>Beslut</t>
        </is>
      </c>
      <c r="E158" t="inlineStr">
        <is>
          <t>REVIEW_REQUIRED</t>
        </is>
      </c>
      <c r="F158" t="inlineStr">
        <is>
          <t>Taxepunkter</t>
        </is>
      </c>
      <c r="G158" t="inlineStr">
        <is>
          <t>Rad finns men saknar Taxakod</t>
        </is>
      </c>
      <c r="H158" t="inlineStr">
        <is>
          <t>TaxDecisionEngine</t>
        </is>
      </c>
      <c r="I158" t="inlineStr">
        <is>
          <t>REVIEW_REQUIRED</t>
        </is>
      </c>
      <c r="J158" t="inlineStr">
        <is>
          <t>Taxa finns som rad. EDP-koppling saknas.</t>
        </is>
      </c>
    </row>
    <row r="159">
      <c r="B159" t="inlineStr">
        <is>
          <t>6.1.2</t>
        </is>
      </c>
      <c r="C159" t="inlineStr">
        <is>
          <t>Träavfall – behandlat, utan tapet, plastmatta, tjärpapp</t>
        </is>
      </c>
      <c r="D159" t="inlineStr">
        <is>
          <t>Beslut</t>
        </is>
      </c>
      <c r="E159" t="inlineStr">
        <is>
          <t>REVIEW_REQUIRED</t>
        </is>
      </c>
      <c r="F159" t="inlineStr">
        <is>
          <t>Taxepunkter</t>
        </is>
      </c>
      <c r="G159" t="inlineStr">
        <is>
          <t>Rad finns men saknar Taxakod</t>
        </is>
      </c>
      <c r="H159" t="inlineStr">
        <is>
          <t>TaxDecisionEngine</t>
        </is>
      </c>
      <c r="I159" t="inlineStr">
        <is>
          <t>REVIEW_REQUIRED</t>
        </is>
      </c>
      <c r="J159" t="inlineStr">
        <is>
          <t>Taxa finns som rad. EDP-koppling saknas.</t>
        </is>
      </c>
    </row>
    <row r="160">
      <c r="B160" t="inlineStr">
        <is>
          <t>6.1.2</t>
        </is>
      </c>
      <c r="C160" t="inlineStr">
        <is>
          <t>Tryckimpregnerat virke, pall</t>
        </is>
      </c>
      <c r="D160" t="inlineStr">
        <is>
          <t>Beslut</t>
        </is>
      </c>
      <c r="E160" t="inlineStr">
        <is>
          <t>NEW_TAXA</t>
        </is>
      </c>
      <c r="F160" t="inlineStr">
        <is>
          <t>Word</t>
        </is>
      </c>
      <c r="G160" t="inlineStr">
        <is>
          <t>Word-taxa saknar EDP-match och standardförslag</t>
        </is>
      </c>
      <c r="H160" t="inlineStr">
        <is>
          <t>TaxDecisionEngine</t>
        </is>
      </c>
      <c r="I160" t="inlineStr">
        <is>
          <t>NEW_TAXA</t>
        </is>
      </c>
      <c r="J160" t="inlineStr">
        <is>
          <t>Skapa/hantera som ny taxa eller manuell granskning.</t>
        </is>
      </c>
    </row>
    <row r="161">
      <c r="B161" t="inlineStr">
        <is>
          <t>6.1.2</t>
        </is>
      </c>
      <c r="C161" t="inlineStr">
        <is>
          <t>Betong, lättbetong</t>
        </is>
      </c>
      <c r="D161" t="inlineStr">
        <is>
          <t>Beslut</t>
        </is>
      </c>
      <c r="E161" t="inlineStr">
        <is>
          <t>REVIEW_REQUIRED</t>
        </is>
      </c>
      <c r="F161" t="inlineStr">
        <is>
          <t>Taxepunkter</t>
        </is>
      </c>
      <c r="G161" t="inlineStr">
        <is>
          <t>Rad finns men saknar Taxakod</t>
        </is>
      </c>
      <c r="H161" t="inlineStr">
        <is>
          <t>TaxDecisionEngine</t>
        </is>
      </c>
      <c r="I161" t="inlineStr">
        <is>
          <t>REVIEW_REQUIRED</t>
        </is>
      </c>
      <c r="J161" t="inlineStr">
        <is>
          <t>Taxa finns som rad. EDP-koppling saknas.</t>
        </is>
      </c>
    </row>
    <row r="162">
      <c r="B162" t="inlineStr">
        <is>
          <t>6.1.2</t>
        </is>
      </c>
      <c r="C162" t="inlineStr">
        <is>
          <t>Gips, gipsskivor</t>
        </is>
      </c>
      <c r="D162" t="inlineStr">
        <is>
          <t>Beslut</t>
        </is>
      </c>
      <c r="E162" t="inlineStr">
        <is>
          <t>REVIEW_REQUIRED</t>
        </is>
      </c>
      <c r="F162" t="inlineStr">
        <is>
          <t>Taxepunkter</t>
        </is>
      </c>
      <c r="G162" t="inlineStr">
        <is>
          <t>Rad finns men saknar Taxakod</t>
        </is>
      </c>
      <c r="H162" t="inlineStr">
        <is>
          <t>TaxDecisionEngine</t>
        </is>
      </c>
      <c r="I162" t="inlineStr">
        <is>
          <t>REVIEW_REQUIRED</t>
        </is>
      </c>
      <c r="J162" t="inlineStr">
        <is>
          <t>Taxa finns som rad. EDP-koppling saknas.</t>
        </is>
      </c>
    </row>
    <row r="163">
      <c r="B163" t="inlineStr">
        <is>
          <t>6.1.2</t>
        </is>
      </c>
      <c r="C163" t="inlineStr">
        <is>
          <t>Tegel</t>
        </is>
      </c>
      <c r="D163" t="inlineStr">
        <is>
          <t>Beslut</t>
        </is>
      </c>
      <c r="E163" t="inlineStr">
        <is>
          <t>REVIEW_REQUIRED</t>
        </is>
      </c>
      <c r="F163" t="inlineStr">
        <is>
          <t>Taxepunkter</t>
        </is>
      </c>
      <c r="G163" t="inlineStr">
        <is>
          <t>Rad finns men saknar Taxakod</t>
        </is>
      </c>
      <c r="H163" t="inlineStr">
        <is>
          <t>TaxDecisionEngine</t>
        </is>
      </c>
      <c r="I163" t="inlineStr">
        <is>
          <t>REVIEW_REQUIRED</t>
        </is>
      </c>
      <c r="J163" t="inlineStr">
        <is>
          <t>Taxa finns som rad. EDP-koppling saknas.</t>
        </is>
      </c>
    </row>
    <row r="164">
      <c r="B164" t="inlineStr">
        <is>
          <t>6.1.2</t>
        </is>
      </c>
      <c r="C164" t="inlineStr">
        <is>
          <t>Fönster- och planglas utan karm</t>
        </is>
      </c>
      <c r="D164" t="inlineStr">
        <is>
          <t>Beslut</t>
        </is>
      </c>
      <c r="E164" t="inlineStr">
        <is>
          <t>REVIEW_REQUIRED</t>
        </is>
      </c>
      <c r="F164" t="inlineStr">
        <is>
          <t>Taxepunkter</t>
        </is>
      </c>
      <c r="G164" t="inlineStr">
        <is>
          <t>Rad finns men saknar Taxakod</t>
        </is>
      </c>
      <c r="H164" t="inlineStr">
        <is>
          <t>TaxDecisionEngine</t>
        </is>
      </c>
      <c r="I164" t="inlineStr">
        <is>
          <t>REVIEW_REQUIRED</t>
        </is>
      </c>
      <c r="J164" t="inlineStr">
        <is>
          <t>Taxa finns som rad. EDP-koppling saknas.</t>
        </is>
      </c>
    </row>
    <row r="165">
      <c r="B165" t="inlineStr">
        <is>
          <t>6.1.2</t>
        </is>
      </c>
      <c r="C165" t="inlineStr">
        <is>
          <t>Fönster med karm</t>
        </is>
      </c>
      <c r="D165" t="inlineStr">
        <is>
          <t>Beslut</t>
        </is>
      </c>
      <c r="E165" t="inlineStr">
        <is>
          <t>REVIEW_REQUIRED</t>
        </is>
      </c>
      <c r="F165" t="inlineStr">
        <is>
          <t>Taxepunkter</t>
        </is>
      </c>
      <c r="G165" t="inlineStr">
        <is>
          <t>Rad finns men saknar Taxakod</t>
        </is>
      </c>
      <c r="H165" t="inlineStr">
        <is>
          <t>TaxDecisionEngine</t>
        </is>
      </c>
      <c r="I165" t="inlineStr">
        <is>
          <t>REVIEW_REQUIRED</t>
        </is>
      </c>
      <c r="J165" t="inlineStr">
        <is>
          <t>Taxa finns som rad. EDP-koppling saknas.</t>
        </is>
      </c>
    </row>
    <row r="166">
      <c r="B166" t="inlineStr">
        <is>
          <t>6.1.2</t>
        </is>
      </c>
      <c r="C166" t="inlineStr">
        <is>
          <t>Plast</t>
        </is>
      </c>
      <c r="D166" t="inlineStr">
        <is>
          <t>Beslut</t>
        </is>
      </c>
      <c r="E166" t="inlineStr">
        <is>
          <t>REVIEW_REQUIRED</t>
        </is>
      </c>
      <c r="F166" t="inlineStr">
        <is>
          <t>Taxepunkter</t>
        </is>
      </c>
      <c r="G166" t="inlineStr">
        <is>
          <t>Rad finns men saknar Taxakod</t>
        </is>
      </c>
      <c r="H166" t="inlineStr">
        <is>
          <t>TaxDecisionEngine</t>
        </is>
      </c>
      <c r="I166" t="inlineStr">
        <is>
          <t>REVIEW_REQUIRED</t>
        </is>
      </c>
      <c r="J166" t="inlineStr">
        <is>
          <t>Taxa finns som rad. EDP-koppling saknas.</t>
        </is>
      </c>
    </row>
    <row r="167">
      <c r="B167" t="inlineStr">
        <is>
          <t>6.1.2</t>
        </is>
      </c>
      <c r="C167" t="inlineStr">
        <is>
          <t>Isolering utan innehåll av asbest</t>
        </is>
      </c>
      <c r="D167" t="inlineStr">
        <is>
          <t>Beslut</t>
        </is>
      </c>
      <c r="E167" t="inlineStr">
        <is>
          <t>REVIEW_REQUIRED</t>
        </is>
      </c>
      <c r="F167" t="inlineStr">
        <is>
          <t>Taxepunkter</t>
        </is>
      </c>
      <c r="G167" t="inlineStr">
        <is>
          <t>Rad finns men saknar Taxakod</t>
        </is>
      </c>
      <c r="H167" t="inlineStr">
        <is>
          <t>TaxDecisionEngine</t>
        </is>
      </c>
      <c r="I167" t="inlineStr">
        <is>
          <t>REVIEW_REQUIRED</t>
        </is>
      </c>
      <c r="J167" t="inlineStr">
        <is>
          <t>Taxa finns som rad. EDP-koppling saknas.</t>
        </is>
      </c>
    </row>
    <row r="168">
      <c r="B168" t="inlineStr">
        <is>
          <t>6.1.2</t>
        </is>
      </c>
      <c r="C168" t="inlineStr">
        <is>
          <t>Klinker, keramik, porslin</t>
        </is>
      </c>
      <c r="D168" t="inlineStr">
        <is>
          <t>Beslut</t>
        </is>
      </c>
      <c r="E168" t="inlineStr">
        <is>
          <t>REVIEW_REQUIRED</t>
        </is>
      </c>
      <c r="F168" t="inlineStr">
        <is>
          <t>Taxepunkter</t>
        </is>
      </c>
      <c r="G168" t="inlineStr">
        <is>
          <t>Rad finns men saknar Taxakod</t>
        </is>
      </c>
      <c r="H168" t="inlineStr">
        <is>
          <t>TaxDecisionEngine</t>
        </is>
      </c>
      <c r="I168" t="inlineStr">
        <is>
          <t>REVIEW_REQUIRED</t>
        </is>
      </c>
      <c r="J168" t="inlineStr">
        <is>
          <t>Taxa finns som rad. EDP-koppling saknas.</t>
        </is>
      </c>
    </row>
    <row r="169">
      <c r="B169" t="inlineStr">
        <is>
          <t>6.1.2</t>
        </is>
      </c>
      <c r="C169" t="inlineStr">
        <is>
          <t>Handfat</t>
        </is>
      </c>
      <c r="D169" t="inlineStr">
        <is>
          <t>Beslut</t>
        </is>
      </c>
      <c r="E169" t="inlineStr">
        <is>
          <t>REVIEW_REQUIRED</t>
        </is>
      </c>
      <c r="F169" t="inlineStr">
        <is>
          <t>Taxepunkter</t>
        </is>
      </c>
      <c r="G169" t="inlineStr">
        <is>
          <t>Rad finns men saknar Taxakod</t>
        </is>
      </c>
      <c r="H169" t="inlineStr">
        <is>
          <t>TaxDecisionEngine</t>
        </is>
      </c>
      <c r="I169" t="inlineStr">
        <is>
          <t>REVIEW_REQUIRED</t>
        </is>
      </c>
      <c r="J169" t="inlineStr">
        <is>
          <t>Taxa finns som rad. EDP-koppling saknas.</t>
        </is>
      </c>
    </row>
    <row r="170">
      <c r="B170" t="inlineStr">
        <is>
          <t>6.1.2</t>
        </is>
      </c>
      <c r="C170" t="inlineStr">
        <is>
          <t>WC-stol</t>
        </is>
      </c>
      <c r="D170" t="inlineStr">
        <is>
          <t>Beslut</t>
        </is>
      </c>
      <c r="E170" t="inlineStr">
        <is>
          <t>NEW_TAXA</t>
        </is>
      </c>
      <c r="F170" t="inlineStr">
        <is>
          <t>Word</t>
        </is>
      </c>
      <c r="G170" t="inlineStr">
        <is>
          <t>Word-taxa saknar EDP-match och standardförslag</t>
        </is>
      </c>
      <c r="H170" t="inlineStr">
        <is>
          <t>TaxDecisionEngine</t>
        </is>
      </c>
      <c r="I170" t="inlineStr">
        <is>
          <t>NEW_TAXA</t>
        </is>
      </c>
      <c r="J170" t="inlineStr">
        <is>
          <t>Skapa/hantera som ny taxa eller manuell granskning.</t>
        </is>
      </c>
    </row>
    <row r="171">
      <c r="B171" t="inlineStr">
        <is>
          <t>6.1.2</t>
        </is>
      </c>
      <c r="C171" t="inlineStr">
        <is>
          <t>Metall</t>
        </is>
      </c>
      <c r="D171" t="inlineStr">
        <is>
          <t>Beslut</t>
        </is>
      </c>
      <c r="E171" t="inlineStr">
        <is>
          <t>REVIEW_REQUIRED</t>
        </is>
      </c>
      <c r="F171" t="inlineStr">
        <is>
          <t>Taxepunkter</t>
        </is>
      </c>
      <c r="G171" t="inlineStr">
        <is>
          <t>Rad finns men saknar Taxakod</t>
        </is>
      </c>
      <c r="H171" t="inlineStr">
        <is>
          <t>TaxDecisionEngine</t>
        </is>
      </c>
      <c r="I171" t="inlineStr">
        <is>
          <t>REVIEW_REQUIRED</t>
        </is>
      </c>
      <c r="J171" t="inlineStr">
        <is>
          <t>Taxa finns som rad. EDP-koppling saknas.</t>
        </is>
      </c>
    </row>
    <row r="172">
      <c r="B172" t="inlineStr">
        <is>
          <t>6.1.2</t>
        </is>
      </c>
      <c r="C172" t="inlineStr">
        <is>
          <t>Textilier</t>
        </is>
      </c>
      <c r="D172" t="inlineStr">
        <is>
          <t>Beslut</t>
        </is>
      </c>
      <c r="E172" t="inlineStr">
        <is>
          <t>REVIEW_REQUIRED</t>
        </is>
      </c>
      <c r="F172" t="inlineStr">
        <is>
          <t>Taxepunkter</t>
        </is>
      </c>
      <c r="G172" t="inlineStr">
        <is>
          <t>Rad finns men saknar Taxakod</t>
        </is>
      </c>
      <c r="H172" t="inlineStr">
        <is>
          <t>TaxDecisionEngine</t>
        </is>
      </c>
      <c r="I172" t="inlineStr">
        <is>
          <t>REVIEW_REQUIRED</t>
        </is>
      </c>
      <c r="J172" t="inlineStr">
        <is>
          <t>Taxa finns som rad. EDP-koppling saknas.</t>
        </is>
      </c>
    </row>
    <row r="173">
      <c r="B173" t="inlineStr">
        <is>
          <t>6.1.2</t>
        </is>
      </c>
      <c r="C173" t="inlineStr">
        <is>
          <t>Fiskeredskap</t>
        </is>
      </c>
      <c r="D173" t="inlineStr">
        <is>
          <t>Beslut</t>
        </is>
      </c>
      <c r="E173" t="inlineStr">
        <is>
          <t>REVIEW_REQUIRED</t>
        </is>
      </c>
      <c r="F173" t="inlineStr">
        <is>
          <t>Taxepunkter</t>
        </is>
      </c>
      <c r="G173" t="inlineStr">
        <is>
          <t>Rad finns men saknar Taxakod</t>
        </is>
      </c>
      <c r="H173" t="inlineStr">
        <is>
          <t>TaxDecisionEngine</t>
        </is>
      </c>
      <c r="I173" t="inlineStr">
        <is>
          <t>REVIEW_REQUIRED</t>
        </is>
      </c>
      <c r="J173" t="inlineStr">
        <is>
          <t>Taxa finns som rad. EDP-koppling saknas.</t>
        </is>
      </c>
    </row>
    <row r="174">
      <c r="B174" t="inlineStr">
        <is>
          <t>6.1.2</t>
        </is>
      </c>
      <c r="C174" t="inlineStr">
        <is>
          <t>Ätbart fett/frityrolja</t>
        </is>
      </c>
      <c r="D174" t="inlineStr">
        <is>
          <t>Beslut</t>
        </is>
      </c>
      <c r="E174" t="inlineStr">
        <is>
          <t>REVIEW_REQUIRED</t>
        </is>
      </c>
      <c r="F174" t="inlineStr">
        <is>
          <t>Taxepunkter</t>
        </is>
      </c>
      <c r="G174" t="inlineStr">
        <is>
          <t>Rad finns men saknar Taxakod</t>
        </is>
      </c>
      <c r="H174" t="inlineStr">
        <is>
          <t>TaxDecisionEngine</t>
        </is>
      </c>
      <c r="I174" t="inlineStr">
        <is>
          <t>REVIEW_REQUIRED</t>
        </is>
      </c>
      <c r="J174" t="inlineStr">
        <is>
          <t>Taxa finns som rad. EDP-koppling saknas.</t>
        </is>
      </c>
    </row>
    <row r="175">
      <c r="B175" t="inlineStr">
        <is>
          <t>6.1.2</t>
        </is>
      </c>
      <c r="C175" t="inlineStr">
        <is>
          <t>Kvistar och grenar</t>
        </is>
      </c>
      <c r="D175" t="inlineStr">
        <is>
          <t>Beslut</t>
        </is>
      </c>
      <c r="E175" t="inlineStr">
        <is>
          <t>REVIEW_REQUIRED</t>
        </is>
      </c>
      <c r="F175" t="inlineStr">
        <is>
          <t>Taxepunkter</t>
        </is>
      </c>
      <c r="G175" t="inlineStr">
        <is>
          <t>Rad finns men saknar Taxakod</t>
        </is>
      </c>
      <c r="H175" t="inlineStr">
        <is>
          <t>TaxDecisionEngine</t>
        </is>
      </c>
      <c r="I175" t="inlineStr">
        <is>
          <t>REVIEW_REQUIRED</t>
        </is>
      </c>
      <c r="J175" t="inlineStr">
        <is>
          <t>Taxa finns som rad. EDP-koppling saknas.</t>
        </is>
      </c>
    </row>
    <row r="176">
      <c r="B176" t="inlineStr">
        <is>
          <t>6.1.2</t>
        </is>
      </c>
      <c r="C176" t="inlineStr">
        <is>
          <t>Jord</t>
        </is>
      </c>
      <c r="D176" t="inlineStr">
        <is>
          <t>Beslut</t>
        </is>
      </c>
      <c r="E176" t="inlineStr">
        <is>
          <t>REVIEW_REQUIRED</t>
        </is>
      </c>
      <c r="F176" t="inlineStr">
        <is>
          <t>Taxepunkter</t>
        </is>
      </c>
      <c r="G176" t="inlineStr">
        <is>
          <t>Rad finns men saknar Taxakod</t>
        </is>
      </c>
      <c r="H176" t="inlineStr">
        <is>
          <t>TaxDecisionEngine</t>
        </is>
      </c>
      <c r="I176" t="inlineStr">
        <is>
          <t>REVIEW_REQUIRED</t>
        </is>
      </c>
      <c r="J176" t="inlineStr">
        <is>
          <t>Taxa finns som rad. EDP-koppling saknas.</t>
        </is>
      </c>
    </row>
    <row r="177">
      <c r="B177" t="inlineStr">
        <is>
          <t>6.1.2</t>
        </is>
      </c>
      <c r="C177" t="inlineStr">
        <is>
          <t>Sten</t>
        </is>
      </c>
      <c r="D177" t="inlineStr">
        <is>
          <t>Beslut</t>
        </is>
      </c>
      <c r="E177" t="inlineStr">
        <is>
          <t>REVIEW_REQUIRED</t>
        </is>
      </c>
      <c r="F177" t="inlineStr">
        <is>
          <t>Taxepunkter</t>
        </is>
      </c>
      <c r="G177" t="inlineStr">
        <is>
          <t>Rad finns men saknar Taxakod</t>
        </is>
      </c>
      <c r="H177" t="inlineStr">
        <is>
          <t>TaxDecisionEngine</t>
        </is>
      </c>
      <c r="I177" t="inlineStr">
        <is>
          <t>REVIEW_REQUIRED</t>
        </is>
      </c>
      <c r="J177" t="inlineStr">
        <is>
          <t>Taxa finns som rad. EDP-koppling saknas.</t>
        </is>
      </c>
    </row>
    <row r="178">
      <c r="B178" t="inlineStr">
        <is>
          <t>6.1.2</t>
        </is>
      </c>
      <c r="C178" t="inlineStr">
        <is>
          <t>Stubbar/rötter för krossning</t>
        </is>
      </c>
      <c r="D178" t="inlineStr">
        <is>
          <t>Beslut</t>
        </is>
      </c>
      <c r="E178" t="inlineStr">
        <is>
          <t>NEW_TAXA</t>
        </is>
      </c>
      <c r="F178" t="inlineStr">
        <is>
          <t>Word</t>
        </is>
      </c>
      <c r="G178" t="inlineStr">
        <is>
          <t>Word-taxa saknar EDP-match och standardförslag</t>
        </is>
      </c>
      <c r="H178" t="inlineStr">
        <is>
          <t>TaxDecisionEngine</t>
        </is>
      </c>
      <c r="I178" t="inlineStr">
        <is>
          <t>NEW_TAXA</t>
        </is>
      </c>
      <c r="J178" t="inlineStr">
        <is>
          <t>Skapa/hantera som ny taxa eller manuell granskning.</t>
        </is>
      </c>
    </row>
    <row r="179">
      <c r="B179" t="inlineStr">
        <is>
          <t>6.1.2</t>
        </is>
      </c>
      <c r="C179" t="inlineStr">
        <is>
          <t>Flera fraktioner för egen sortering på ramp (max 2 m³)</t>
        </is>
      </c>
      <c r="D179" t="inlineStr">
        <is>
          <t>Beslut</t>
        </is>
      </c>
      <c r="E179" t="inlineStr">
        <is>
          <t>NEW_TAXA</t>
        </is>
      </c>
      <c r="F179" t="inlineStr">
        <is>
          <t>Word</t>
        </is>
      </c>
      <c r="G179" t="inlineStr">
        <is>
          <t>Word-taxa saknar EDP-match och standardförslag</t>
        </is>
      </c>
      <c r="H179" t="inlineStr">
        <is>
          <t>TaxDecisionEngine</t>
        </is>
      </c>
      <c r="I179" t="inlineStr">
        <is>
          <t>NEW_TAXA</t>
        </is>
      </c>
      <c r="J179" t="inlineStr">
        <is>
          <t>Skapa/hantera som ny taxa eller manuell granskning.</t>
        </is>
      </c>
    </row>
    <row r="180">
      <c r="B180" t="inlineStr">
        <is>
          <t>6.1.2</t>
        </is>
      </c>
      <c r="C180" t="inlineStr">
        <is>
          <t>Osorterat avfall till sortering (ej innehåll av farligt avfall och elavfall)</t>
        </is>
      </c>
      <c r="D180" t="inlineStr">
        <is>
          <t>Beslut</t>
        </is>
      </c>
      <c r="E180" t="inlineStr">
        <is>
          <t>NEW_TAXA</t>
        </is>
      </c>
      <c r="F180" t="inlineStr">
        <is>
          <t>Word</t>
        </is>
      </c>
      <c r="G180" t="inlineStr">
        <is>
          <t>Word-taxa saknar EDP-match och standardförslag</t>
        </is>
      </c>
      <c r="H180" t="inlineStr">
        <is>
          <t>TaxDecisionEngine</t>
        </is>
      </c>
      <c r="I180" t="inlineStr">
        <is>
          <t>NEW_TAXA</t>
        </is>
      </c>
      <c r="J180" t="inlineStr">
        <is>
          <t>Skapa/hantera som ny taxa eller manuell granskning.</t>
        </is>
      </c>
    </row>
    <row r="181">
      <c r="B181" t="inlineStr">
        <is>
          <t>6.1.2</t>
        </is>
      </c>
      <c r="C181" t="inlineStr">
        <is>
          <t>Tonerkassetter, utan elektronik/chip</t>
        </is>
      </c>
      <c r="D181" t="inlineStr">
        <is>
          <t>Beslut</t>
        </is>
      </c>
      <c r="E181" t="inlineStr">
        <is>
          <t>NEW_TAXA</t>
        </is>
      </c>
      <c r="F181" t="inlineStr">
        <is>
          <t>Word</t>
        </is>
      </c>
      <c r="G181" t="inlineStr">
        <is>
          <t>Word-taxa saknar EDP-match och standardförslag</t>
        </is>
      </c>
      <c r="H181" t="inlineStr">
        <is>
          <t>TaxDecisionEngine</t>
        </is>
      </c>
      <c r="I181" t="inlineStr">
        <is>
          <t>NEW_TAXA</t>
        </is>
      </c>
      <c r="J181" t="inlineStr">
        <is>
          <t>Skapa/hantera som ny taxa eller manuell granskning.</t>
        </is>
      </c>
    </row>
    <row r="182">
      <c r="B182" t="inlineStr">
        <is>
          <t>6.1.2</t>
        </is>
      </c>
      <c r="C182" t="inlineStr">
        <is>
          <t>Oljeemulsion, emballerat</t>
        </is>
      </c>
      <c r="D182" t="inlineStr">
        <is>
          <t>Beslut</t>
        </is>
      </c>
      <c r="E182" t="inlineStr">
        <is>
          <t>NEW_TAXA</t>
        </is>
      </c>
      <c r="F182" t="inlineStr">
        <is>
          <t>Word</t>
        </is>
      </c>
      <c r="G182" t="inlineStr">
        <is>
          <t>Word-taxa saknar EDP-match och standardförslag</t>
        </is>
      </c>
      <c r="H182" t="inlineStr">
        <is>
          <t>TaxDecisionEngine</t>
        </is>
      </c>
      <c r="I182" t="inlineStr">
        <is>
          <t>NEW_TAXA</t>
        </is>
      </c>
      <c r="J182" t="inlineStr">
        <is>
          <t>Skapa/hantera som ny taxa eller manuell granskning.</t>
        </is>
      </c>
    </row>
    <row r="183">
      <c r="B183" t="inlineStr">
        <is>
          <t>6.1.2</t>
        </is>
      </c>
      <c r="C183" t="inlineStr">
        <is>
          <t>Förorenad olja innehållande PCB</t>
        </is>
      </c>
      <c r="D183" t="inlineStr">
        <is>
          <t>Beslut</t>
        </is>
      </c>
      <c r="E183" t="inlineStr">
        <is>
          <t>NEW_TAXA</t>
        </is>
      </c>
      <c r="F183" t="inlineStr">
        <is>
          <t>Word</t>
        </is>
      </c>
      <c r="G183" t="inlineStr">
        <is>
          <t>Word-taxa saknar EDP-match och standardförslag</t>
        </is>
      </c>
      <c r="H183" t="inlineStr">
        <is>
          <t>TaxDecisionEngine</t>
        </is>
      </c>
      <c r="I183" t="inlineStr">
        <is>
          <t>NEW_TAXA</t>
        </is>
      </c>
      <c r="J183" t="inlineStr">
        <is>
          <t>Skapa/hantera som ny taxa eller manuell granskning.</t>
        </is>
      </c>
    </row>
    <row r="184">
      <c r="B184" t="inlineStr">
        <is>
          <t>6.1.2</t>
        </is>
      </c>
      <c r="C184" t="inlineStr">
        <is>
          <t>Oljeavskiljarslam</t>
        </is>
      </c>
      <c r="D184" t="inlineStr">
        <is>
          <t>Beslut</t>
        </is>
      </c>
      <c r="E184" t="inlineStr">
        <is>
          <t>NEW_TAXA</t>
        </is>
      </c>
      <c r="F184" t="inlineStr">
        <is>
          <t>Word</t>
        </is>
      </c>
      <c r="G184" t="inlineStr">
        <is>
          <t>Word-taxa saknar EDP-match och standardförslag</t>
        </is>
      </c>
      <c r="H184" t="inlineStr">
        <is>
          <t>TaxDecisionEngine</t>
        </is>
      </c>
      <c r="I184" t="inlineStr">
        <is>
          <t>NEW_TAXA</t>
        </is>
      </c>
      <c r="J184" t="inlineStr">
        <is>
          <t>Skapa/hantera som ny taxa eller manuell granskning.</t>
        </is>
      </c>
    </row>
    <row r="185">
      <c r="B185" t="inlineStr">
        <is>
          <t>6.1.2</t>
        </is>
      </c>
      <c r="C185" t="inlineStr">
        <is>
          <t>Diesel</t>
        </is>
      </c>
      <c r="D185" t="inlineStr">
        <is>
          <t>Beslut</t>
        </is>
      </c>
      <c r="E185" t="inlineStr">
        <is>
          <t>NEW_TAXA</t>
        </is>
      </c>
      <c r="F185" t="inlineStr">
        <is>
          <t>Word</t>
        </is>
      </c>
      <c r="G185" t="inlineStr">
        <is>
          <t>Word-taxa saknar EDP-match och standardförslag</t>
        </is>
      </c>
      <c r="H185" t="inlineStr">
        <is>
          <t>TaxDecisionEngine</t>
        </is>
      </c>
      <c r="I185" t="inlineStr">
        <is>
          <t>NEW_TAXA</t>
        </is>
      </c>
      <c r="J185" t="inlineStr">
        <is>
          <t>Skapa/hantera som ny taxa eller manuell granskning.</t>
        </is>
      </c>
    </row>
    <row r="186">
      <c r="B186" t="inlineStr">
        <is>
          <t>6.1.2</t>
        </is>
      </c>
      <c r="C186" t="inlineStr">
        <is>
          <t>Bensinrester</t>
        </is>
      </c>
      <c r="D186" t="inlineStr">
        <is>
          <t>Beslut</t>
        </is>
      </c>
      <c r="E186" t="inlineStr">
        <is>
          <t>NEW_TAXA</t>
        </is>
      </c>
      <c r="F186" t="inlineStr">
        <is>
          <t>Word</t>
        </is>
      </c>
      <c r="G186" t="inlineStr">
        <is>
          <t>Word-taxa saknar EDP-match och standardförslag</t>
        </is>
      </c>
      <c r="H186" t="inlineStr">
        <is>
          <t>TaxDecisionEngine</t>
        </is>
      </c>
      <c r="I186" t="inlineStr">
        <is>
          <t>NEW_TAXA</t>
        </is>
      </c>
      <c r="J186" t="inlineStr">
        <is>
          <t>Skapa/hantera som ny taxa eller manuell granskning.</t>
        </is>
      </c>
    </row>
    <row r="187">
      <c r="B187" t="inlineStr">
        <is>
          <t>6.1.2</t>
        </is>
      </c>
      <c r="C187" t="inlineStr">
        <is>
          <t>Hydralslang, med/utan koppling</t>
        </is>
      </c>
      <c r="D187" t="inlineStr">
        <is>
          <t>Beslut</t>
        </is>
      </c>
      <c r="E187" t="inlineStr">
        <is>
          <t>NEW_TAXA</t>
        </is>
      </c>
      <c r="F187" t="inlineStr">
        <is>
          <t>Word</t>
        </is>
      </c>
      <c r="G187" t="inlineStr">
        <is>
          <t>Word-taxa saknar EDP-match och standardförslag</t>
        </is>
      </c>
      <c r="H187" t="inlineStr">
        <is>
          <t>TaxDecisionEngine</t>
        </is>
      </c>
      <c r="I187" t="inlineStr">
        <is>
          <t>NEW_TAXA</t>
        </is>
      </c>
      <c r="J187" t="inlineStr">
        <is>
          <t>Skapa/hantera som ny taxa eller manuell granskning.</t>
        </is>
      </c>
    </row>
    <row r="188">
      <c r="B188" t="inlineStr">
        <is>
          <t>6.1.2</t>
        </is>
      </c>
      <c r="C188" t="inlineStr">
        <is>
          <t>Förpackningar, tömde ej rengjorda</t>
        </is>
      </c>
      <c r="D188" t="inlineStr">
        <is>
          <t>Beslut</t>
        </is>
      </c>
      <c r="E188" t="inlineStr">
        <is>
          <t>NEW_TAXA</t>
        </is>
      </c>
      <c r="F188" t="inlineStr">
        <is>
          <t>Word</t>
        </is>
      </c>
      <c r="G188" t="inlineStr">
        <is>
          <t>Word-taxa saknar EDP-match och standardförslag</t>
        </is>
      </c>
      <c r="H188" t="inlineStr">
        <is>
          <t>TaxDecisionEngine</t>
        </is>
      </c>
      <c r="I188" t="inlineStr">
        <is>
          <t>NEW_TAXA</t>
        </is>
      </c>
      <c r="J188" t="inlineStr">
        <is>
          <t>Skapa/hantera som ny taxa eller manuell granskning.</t>
        </is>
      </c>
    </row>
    <row r="189">
      <c r="B189" t="inlineStr">
        <is>
          <t>6.1.2</t>
        </is>
      </c>
      <c r="C189" t="inlineStr">
        <is>
          <t>Oljeavfall, fast osorterat emba</t>
        </is>
      </c>
      <c r="D189" t="inlineStr">
        <is>
          <t>Beslut</t>
        </is>
      </c>
      <c r="E189" t="inlineStr">
        <is>
          <t>NEW_TAXA</t>
        </is>
      </c>
      <c r="F189" t="inlineStr">
        <is>
          <t>Word</t>
        </is>
      </c>
      <c r="G189" t="inlineStr">
        <is>
          <t>Word-taxa saknar EDP-match och standardförslag</t>
        </is>
      </c>
      <c r="H189" t="inlineStr">
        <is>
          <t>TaxDecisionEngine</t>
        </is>
      </c>
      <c r="I189" t="inlineStr">
        <is>
          <t>NEW_TAXA</t>
        </is>
      </c>
      <c r="J189" t="inlineStr">
        <is>
          <t>Skapa/hantera som ny taxa eller manuell granskning.</t>
        </is>
      </c>
    </row>
    <row r="190">
      <c r="B190" t="inlineStr">
        <is>
          <t>6.1.2</t>
        </is>
      </c>
      <c r="C190" t="inlineStr">
        <is>
          <t>Absorbermedel, filtermaterial</t>
        </is>
      </c>
      <c r="D190" t="inlineStr">
        <is>
          <t>Beslut</t>
        </is>
      </c>
      <c r="E190" t="inlineStr">
        <is>
          <t>NEW_TAXA</t>
        </is>
      </c>
      <c r="F190" t="inlineStr">
        <is>
          <t>Word</t>
        </is>
      </c>
      <c r="G190" t="inlineStr">
        <is>
          <t>Word-taxa saknar EDP-match och standardförslag</t>
        </is>
      </c>
      <c r="H190" t="inlineStr">
        <is>
          <t>TaxDecisionEngine</t>
        </is>
      </c>
      <c r="I190" t="inlineStr">
        <is>
          <t>NEW_TAXA</t>
        </is>
      </c>
      <c r="J190" t="inlineStr">
        <is>
          <t>Skapa/hantera som ny taxa eller manuell granskning.</t>
        </is>
      </c>
    </row>
    <row r="191">
      <c r="B191" t="inlineStr">
        <is>
          <t>6.1.2</t>
        </is>
      </c>
      <c r="C191" t="inlineStr">
        <is>
          <t>Oljefilter</t>
        </is>
      </c>
      <c r="D191" t="inlineStr">
        <is>
          <t>Beslut</t>
        </is>
      </c>
      <c r="E191" t="inlineStr">
        <is>
          <t>NEW_TAXA</t>
        </is>
      </c>
      <c r="F191" t="inlineStr">
        <is>
          <t>Word</t>
        </is>
      </c>
      <c r="G191" t="inlineStr">
        <is>
          <t>Word-taxa saknar EDP-match och standardförslag</t>
        </is>
      </c>
      <c r="H191" t="inlineStr">
        <is>
          <t>TaxDecisionEngine</t>
        </is>
      </c>
      <c r="I191" t="inlineStr">
        <is>
          <t>NEW_TAXA</t>
        </is>
      </c>
      <c r="J191" t="inlineStr">
        <is>
          <t>Skapa/hantera som ny taxa eller manuell granskning.</t>
        </is>
      </c>
    </row>
    <row r="192">
      <c r="B192" t="inlineStr">
        <is>
          <t>6.1.2</t>
        </is>
      </c>
      <c r="C192" t="inlineStr">
        <is>
          <t>Bromsvätska</t>
        </is>
      </c>
      <c r="D192" t="inlineStr">
        <is>
          <t>Beslut</t>
        </is>
      </c>
      <c r="E192" t="inlineStr">
        <is>
          <t>NEW_TAXA</t>
        </is>
      </c>
      <c r="F192" t="inlineStr">
        <is>
          <t>Word</t>
        </is>
      </c>
      <c r="G192" t="inlineStr">
        <is>
          <t>Word-taxa saknar EDP-match och standardförslag</t>
        </is>
      </c>
      <c r="H192" t="inlineStr">
        <is>
          <t>TaxDecisionEngine</t>
        </is>
      </c>
      <c r="I192" t="inlineStr">
        <is>
          <t>NEW_TAXA</t>
        </is>
      </c>
      <c r="J192" t="inlineStr">
        <is>
          <t>Skapa/hantera som ny taxa eller manuell granskning.</t>
        </is>
      </c>
    </row>
    <row r="193">
      <c r="B193" t="inlineStr">
        <is>
          <t>6.1.2</t>
        </is>
      </c>
      <c r="C193" t="inlineStr">
        <is>
          <t>Transformator, kondensator med PCB</t>
        </is>
      </c>
      <c r="D193" t="inlineStr">
        <is>
          <t>Beslut</t>
        </is>
      </c>
      <c r="E193" t="inlineStr">
        <is>
          <t>NEW_TAXA</t>
        </is>
      </c>
      <c r="F193" t="inlineStr">
        <is>
          <t>Word</t>
        </is>
      </c>
      <c r="G193" t="inlineStr">
        <is>
          <t>Word-taxa saknar EDP-match och standardförslag</t>
        </is>
      </c>
      <c r="H193" t="inlineStr">
        <is>
          <t>TaxDecisionEngine</t>
        </is>
      </c>
      <c r="I193" t="inlineStr">
        <is>
          <t>NEW_TAXA</t>
        </is>
      </c>
      <c r="J193" t="inlineStr">
        <is>
          <t>Skapa/hantera som ny taxa eller manuell granskning.</t>
        </is>
      </c>
    </row>
    <row r="194">
      <c r="B194" t="inlineStr">
        <is>
          <t>6.1.2</t>
        </is>
      </c>
      <c r="C194" t="inlineStr">
        <is>
          <t>Fogskum</t>
        </is>
      </c>
      <c r="D194" t="inlineStr">
        <is>
          <t>Beslut</t>
        </is>
      </c>
      <c r="E194" t="inlineStr">
        <is>
          <t>NEW_TAXA</t>
        </is>
      </c>
      <c r="F194" t="inlineStr">
        <is>
          <t>Word</t>
        </is>
      </c>
      <c r="G194" t="inlineStr">
        <is>
          <t>Word-taxa saknar EDP-match och standardförslag</t>
        </is>
      </c>
      <c r="H194" t="inlineStr">
        <is>
          <t>TaxDecisionEngine</t>
        </is>
      </c>
      <c r="I194" t="inlineStr">
        <is>
          <t>NEW_TAXA</t>
        </is>
      </c>
      <c r="J194" t="inlineStr">
        <is>
          <t>Skapa/hantera som ny taxa eller manuell granskning.</t>
        </is>
      </c>
    </row>
    <row r="195">
      <c r="B195" t="inlineStr">
        <is>
          <t>6.1.2</t>
        </is>
      </c>
      <c r="C195" t="inlineStr">
        <is>
          <t>Halon</t>
        </is>
      </c>
      <c r="D195" t="inlineStr">
        <is>
          <t>Beslut</t>
        </is>
      </c>
      <c r="E195" t="inlineStr">
        <is>
          <t>NEW_TAXA</t>
        </is>
      </c>
      <c r="F195" t="inlineStr">
        <is>
          <t>Word</t>
        </is>
      </c>
      <c r="G195" t="inlineStr">
        <is>
          <t>Word-taxa saknar EDP-match och standardförslag</t>
        </is>
      </c>
      <c r="H195" t="inlineStr">
        <is>
          <t>TaxDecisionEngine</t>
        </is>
      </c>
      <c r="I195" t="inlineStr">
        <is>
          <t>NEW_TAXA</t>
        </is>
      </c>
      <c r="J195" t="inlineStr">
        <is>
          <t>Skapa/hantera som ny taxa eller manuell granskning.</t>
        </is>
      </c>
    </row>
    <row r="196">
      <c r="B196" t="inlineStr">
        <is>
          <t>6.1.2</t>
        </is>
      </c>
      <c r="C196" t="inlineStr">
        <is>
          <t>Koldioxid</t>
        </is>
      </c>
      <c r="D196" t="inlineStr">
        <is>
          <t>Beslut</t>
        </is>
      </c>
      <c r="E196" t="inlineStr">
        <is>
          <t>NEW_TAXA</t>
        </is>
      </c>
      <c r="F196" t="inlineStr">
        <is>
          <t>Word</t>
        </is>
      </c>
      <c r="G196" t="inlineStr">
        <is>
          <t>Word-taxa saknar EDP-match och standardförslag</t>
        </is>
      </c>
      <c r="H196" t="inlineStr">
        <is>
          <t>TaxDecisionEngine</t>
        </is>
      </c>
      <c r="I196" t="inlineStr">
        <is>
          <t>NEW_TAXA</t>
        </is>
      </c>
      <c r="J196" t="inlineStr">
        <is>
          <t>Skapa/hantera som ny taxa eller manuell granskning.</t>
        </is>
      </c>
    </row>
    <row r="197">
      <c r="B197" t="inlineStr">
        <is>
          <t>6.1.2</t>
        </is>
      </c>
      <c r="C197" t="inlineStr">
        <is>
          <t>Brandsläckare</t>
        </is>
      </c>
      <c r="D197" t="inlineStr">
        <is>
          <t>Beslut</t>
        </is>
      </c>
      <c r="E197" t="inlineStr">
        <is>
          <t>NEW_TAXA</t>
        </is>
      </c>
      <c r="F197" t="inlineStr">
        <is>
          <t>Word</t>
        </is>
      </c>
      <c r="G197" t="inlineStr">
        <is>
          <t>Word-taxa saknar EDP-match och standardförslag</t>
        </is>
      </c>
      <c r="H197" t="inlineStr">
        <is>
          <t>TaxDecisionEngine</t>
        </is>
      </c>
      <c r="I197" t="inlineStr">
        <is>
          <t>NEW_TAXA</t>
        </is>
      </c>
      <c r="J197" t="inlineStr">
        <is>
          <t>Skapa/hantera som ny taxa eller manuell granskning.</t>
        </is>
      </c>
    </row>
    <row r="198">
      <c r="B198" t="inlineStr">
        <is>
          <t>6.1.2</t>
        </is>
      </c>
      <c r="C198" t="inlineStr">
        <is>
          <t>Helium</t>
        </is>
      </c>
      <c r="D198" t="inlineStr">
        <is>
          <t>Beslut</t>
        </is>
      </c>
      <c r="E198" t="inlineStr">
        <is>
          <t>NEW_TAXA</t>
        </is>
      </c>
      <c r="F198" t="inlineStr">
        <is>
          <t>Word</t>
        </is>
      </c>
      <c r="G198" t="inlineStr">
        <is>
          <t>Word-taxa saknar EDP-match och standardförslag</t>
        </is>
      </c>
      <c r="H198" t="inlineStr">
        <is>
          <t>TaxDecisionEngine</t>
        </is>
      </c>
      <c r="I198" t="inlineStr">
        <is>
          <t>NEW_TAXA</t>
        </is>
      </c>
      <c r="J198" t="inlineStr">
        <is>
          <t>Skapa/hantera som ny taxa eller manuell granskning.</t>
        </is>
      </c>
    </row>
    <row r="199">
      <c r="B199" t="inlineStr">
        <is>
          <t>6.1.2</t>
        </is>
      </c>
      <c r="C199" t="inlineStr">
        <is>
          <t>Tändare</t>
        </is>
      </c>
      <c r="D199" t="inlineStr">
        <is>
          <t>Beslut</t>
        </is>
      </c>
      <c r="E199" t="inlineStr">
        <is>
          <t>NEW_TAXA</t>
        </is>
      </c>
      <c r="F199" t="inlineStr">
        <is>
          <t>Word</t>
        </is>
      </c>
      <c r="G199" t="inlineStr">
        <is>
          <t>Word-taxa saknar EDP-match och standardförslag</t>
        </is>
      </c>
      <c r="H199" t="inlineStr">
        <is>
          <t>TaxDecisionEngine</t>
        </is>
      </c>
      <c r="I199" t="inlineStr">
        <is>
          <t>NEW_TAXA</t>
        </is>
      </c>
      <c r="J199" t="inlineStr">
        <is>
          <t>Skapa/hantera som ny taxa eller manuell granskning.</t>
        </is>
      </c>
    </row>
    <row r="200">
      <c r="B200" t="inlineStr">
        <is>
          <t>6.1.2</t>
        </is>
      </c>
      <c r="C200" t="inlineStr">
        <is>
          <t>Syrgas</t>
        </is>
      </c>
      <c r="D200" t="inlineStr">
        <is>
          <t>Beslut</t>
        </is>
      </c>
      <c r="E200" t="inlineStr">
        <is>
          <t>NEW_TAXA</t>
        </is>
      </c>
      <c r="F200" t="inlineStr">
        <is>
          <t>Word</t>
        </is>
      </c>
      <c r="G200" t="inlineStr">
        <is>
          <t>Word-taxa saknar EDP-match och standardförslag</t>
        </is>
      </c>
      <c r="H200" t="inlineStr">
        <is>
          <t>TaxDecisionEngine</t>
        </is>
      </c>
      <c r="I200" t="inlineStr">
        <is>
          <t>NEW_TAXA</t>
        </is>
      </c>
      <c r="J200" t="inlineStr">
        <is>
          <t>Skapa/hantera som ny taxa eller manuell granskning.</t>
        </is>
      </c>
    </row>
    <row r="201">
      <c r="B201" t="inlineStr">
        <is>
          <t>6.1.2</t>
        </is>
      </c>
      <c r="C201" t="inlineStr">
        <is>
          <t>Oxiderande fast ämne/vätska</t>
        </is>
      </c>
      <c r="D201" t="inlineStr">
        <is>
          <t>Beslut</t>
        </is>
      </c>
      <c r="E201" t="inlineStr">
        <is>
          <t>NEW_TAXA</t>
        </is>
      </c>
      <c r="F201" t="inlineStr">
        <is>
          <t>Word</t>
        </is>
      </c>
      <c r="G201" t="inlineStr">
        <is>
          <t>Word-taxa saknar EDP-match och standardförslag</t>
        </is>
      </c>
      <c r="H201" t="inlineStr">
        <is>
          <t>TaxDecisionEngine</t>
        </is>
      </c>
      <c r="I201" t="inlineStr">
        <is>
          <t>NEW_TAXA</t>
        </is>
      </c>
      <c r="J201" t="inlineStr">
        <is>
          <t>Skapa/hantera som ny taxa eller manuell granskning.</t>
        </is>
      </c>
    </row>
    <row r="202">
      <c r="B202" t="inlineStr">
        <is>
          <t>6.1.2</t>
        </is>
      </c>
      <c r="C202" t="inlineStr">
        <is>
          <t>Klorex</t>
        </is>
      </c>
      <c r="D202" t="inlineStr">
        <is>
          <t>Beslut</t>
        </is>
      </c>
      <c r="E202" t="inlineStr">
        <is>
          <t>NEW_TAXA</t>
        </is>
      </c>
      <c r="F202" t="inlineStr">
        <is>
          <t>Word</t>
        </is>
      </c>
      <c r="G202" t="inlineStr">
        <is>
          <t>Word-taxa saknar EDP-match och standardförslag</t>
        </is>
      </c>
      <c r="H202" t="inlineStr">
        <is>
          <t>TaxDecisionEngine</t>
        </is>
      </c>
      <c r="I202" t="inlineStr">
        <is>
          <t>NEW_TAXA</t>
        </is>
      </c>
      <c r="J202" t="inlineStr">
        <is>
          <t>Skapa/hantera som ny taxa eller manuell granskning.</t>
        </is>
      </c>
    </row>
    <row r="203">
      <c r="B203" t="inlineStr">
        <is>
          <t>6.1.2</t>
        </is>
      </c>
      <c r="C203" t="inlineStr">
        <is>
          <t>Aerosoler isocyanat, bekämpning</t>
        </is>
      </c>
      <c r="D203" t="inlineStr">
        <is>
          <t>Beslut</t>
        </is>
      </c>
      <c r="E203" t="inlineStr">
        <is>
          <t>NEW_TAXA</t>
        </is>
      </c>
      <c r="F203" t="inlineStr">
        <is>
          <t>Word</t>
        </is>
      </c>
      <c r="G203" t="inlineStr">
        <is>
          <t>Word-taxa saknar EDP-match och standardförslag</t>
        </is>
      </c>
      <c r="H203" t="inlineStr">
        <is>
          <t>TaxDecisionEngine</t>
        </is>
      </c>
      <c r="I203" t="inlineStr">
        <is>
          <t>NEW_TAXA</t>
        </is>
      </c>
      <c r="J203" t="inlineStr">
        <is>
          <t>Skapa/hantera som ny taxa eller manuell granskning.</t>
        </is>
      </c>
    </row>
    <row r="204">
      <c r="B204" t="inlineStr">
        <is>
          <t>6.1.2</t>
        </is>
      </c>
      <c r="C204" t="inlineStr">
        <is>
          <t>Gasol inkl tub</t>
        </is>
      </c>
      <c r="D204" t="inlineStr">
        <is>
          <t>Beslut</t>
        </is>
      </c>
      <c r="E204" t="inlineStr">
        <is>
          <t>NEW_TAXA</t>
        </is>
      </c>
      <c r="F204" t="inlineStr">
        <is>
          <t>Word</t>
        </is>
      </c>
      <c r="G204" t="inlineStr">
        <is>
          <t>Word-taxa saknar EDP-match och standardförslag</t>
        </is>
      </c>
      <c r="H204" t="inlineStr">
        <is>
          <t>TaxDecisionEngine</t>
        </is>
      </c>
      <c r="I204" t="inlineStr">
        <is>
          <t>NEW_TAXA</t>
        </is>
      </c>
      <c r="J204" t="inlineStr">
        <is>
          <t>Skapa/hantera som ny taxa eller manuell granskning.</t>
        </is>
      </c>
    </row>
    <row r="205">
      <c r="B205" t="inlineStr">
        <is>
          <t>6.1.2</t>
        </is>
      </c>
      <c r="C205" t="inlineStr">
        <is>
          <t>Gasol, blå programmet</t>
        </is>
      </c>
      <c r="D205" t="inlineStr">
        <is>
          <t>Beslut</t>
        </is>
      </c>
      <c r="E205" t="inlineStr">
        <is>
          <t>NEW_TAXA</t>
        </is>
      </c>
      <c r="F205" t="inlineStr">
        <is>
          <t>Word</t>
        </is>
      </c>
      <c r="G205" t="inlineStr">
        <is>
          <t>Word-taxa saknar EDP-match och standardförslag</t>
        </is>
      </c>
      <c r="H205" t="inlineStr">
        <is>
          <t>TaxDecisionEngine</t>
        </is>
      </c>
      <c r="I205" t="inlineStr">
        <is>
          <t>NEW_TAXA</t>
        </is>
      </c>
      <c r="J205" t="inlineStr">
        <is>
          <t>Skapa/hantera som ny taxa eller manuell granskning.</t>
        </is>
      </c>
    </row>
    <row r="206">
      <c r="B206" t="inlineStr">
        <is>
          <t>6.1.2</t>
        </is>
      </c>
      <c r="C206" t="inlineStr">
        <is>
          <t>Giftig organisk vätska</t>
        </is>
      </c>
      <c r="D206" t="inlineStr">
        <is>
          <t>Beslut</t>
        </is>
      </c>
      <c r="E206" t="inlineStr">
        <is>
          <t>NEW_TAXA</t>
        </is>
      </c>
      <c r="F206" t="inlineStr">
        <is>
          <t>Word</t>
        </is>
      </c>
      <c r="G206" t="inlineStr">
        <is>
          <t>Word-taxa saknar EDP-match och standardförslag</t>
        </is>
      </c>
      <c r="H206" t="inlineStr">
        <is>
          <t>TaxDecisionEngine</t>
        </is>
      </c>
      <c r="I206" t="inlineStr">
        <is>
          <t>NEW_TAXA</t>
        </is>
      </c>
      <c r="J206" t="inlineStr">
        <is>
          <t>Skapa/hantera som ny taxa eller manuell granskning.</t>
        </is>
      </c>
    </row>
    <row r="207">
      <c r="B207" t="inlineStr">
        <is>
          <t>6.1.2</t>
        </is>
      </c>
      <c r="C207" t="inlineStr">
        <is>
          <t>Småkemikalier, ej Hg-haltiga</t>
        </is>
      </c>
      <c r="D207" t="inlineStr">
        <is>
          <t>Beslut</t>
        </is>
      </c>
      <c r="E207" t="inlineStr">
        <is>
          <t>NEW_TAXA</t>
        </is>
      </c>
      <c r="F207" t="inlineStr">
        <is>
          <t>Word</t>
        </is>
      </c>
      <c r="G207" t="inlineStr">
        <is>
          <t>Word-taxa saknar EDP-match och standardförslag</t>
        </is>
      </c>
      <c r="H207" t="inlineStr">
        <is>
          <t>TaxDecisionEngine</t>
        </is>
      </c>
      <c r="I207" t="inlineStr">
        <is>
          <t>NEW_TAXA</t>
        </is>
      </c>
      <c r="J207" t="inlineStr">
        <is>
          <t>Skapa/hantera som ny taxa eller manuell granskning.</t>
        </is>
      </c>
    </row>
    <row r="208">
      <c r="B208" t="inlineStr">
        <is>
          <t>6.1.2</t>
        </is>
      </c>
      <c r="C208" t="inlineStr">
        <is>
          <t>Giftig oorganisk vätska</t>
        </is>
      </c>
      <c r="D208" t="inlineStr">
        <is>
          <t>Beslut</t>
        </is>
      </c>
      <c r="E208" t="inlineStr">
        <is>
          <t>NEW_TAXA</t>
        </is>
      </c>
      <c r="F208" t="inlineStr">
        <is>
          <t>Word</t>
        </is>
      </c>
      <c r="G208" t="inlineStr">
        <is>
          <t>Word-taxa saknar EDP-match och standardförslag</t>
        </is>
      </c>
      <c r="H208" t="inlineStr">
        <is>
          <t>TaxDecisionEngine</t>
        </is>
      </c>
      <c r="I208" t="inlineStr">
        <is>
          <t>NEW_TAXA</t>
        </is>
      </c>
      <c r="J208" t="inlineStr">
        <is>
          <t>Skapa/hantera som ny taxa eller manuell granskning.</t>
        </is>
      </c>
    </row>
    <row r="209">
      <c r="B209" t="inlineStr">
        <is>
          <t>6.1.2</t>
        </is>
      </c>
      <c r="C209" t="inlineStr">
        <is>
          <t>Oxidationsmedel, flytande</t>
        </is>
      </c>
      <c r="D209" t="inlineStr">
        <is>
          <t>Beslut</t>
        </is>
      </c>
      <c r="E209" t="inlineStr">
        <is>
          <t>NEW_TAXA</t>
        </is>
      </c>
      <c r="F209" t="inlineStr">
        <is>
          <t>Word</t>
        </is>
      </c>
      <c r="G209" t="inlineStr">
        <is>
          <t>Word-taxa saknar EDP-match och standardförslag</t>
        </is>
      </c>
      <c r="H209" t="inlineStr">
        <is>
          <t>TaxDecisionEngine</t>
        </is>
      </c>
      <c r="I209" t="inlineStr">
        <is>
          <t>NEW_TAXA</t>
        </is>
      </c>
      <c r="J209" t="inlineStr">
        <is>
          <t>Skapa/hantera som ny taxa eller manuell granskning.</t>
        </is>
      </c>
    </row>
    <row r="210">
      <c r="B210" t="inlineStr">
        <is>
          <t>6.1.2</t>
        </is>
      </c>
      <c r="C210" t="inlineStr">
        <is>
          <t>Asbest, emballerat</t>
        </is>
      </c>
      <c r="D210" t="inlineStr">
        <is>
          <t>Beslut</t>
        </is>
      </c>
      <c r="E210" t="inlineStr">
        <is>
          <t>NEW_TAXA</t>
        </is>
      </c>
      <c r="F210" t="inlineStr">
        <is>
          <t>Word</t>
        </is>
      </c>
      <c r="G210" t="inlineStr">
        <is>
          <t>Word-taxa saknar EDP-match och standardförslag</t>
        </is>
      </c>
      <c r="H210" t="inlineStr">
        <is>
          <t>TaxDecisionEngine</t>
        </is>
      </c>
      <c r="I210" t="inlineStr">
        <is>
          <t>NEW_TAXA</t>
        </is>
      </c>
      <c r="J210" t="inlineStr">
        <is>
          <t>Skapa/hantera som ny taxa eller manuell granskning.</t>
        </is>
      </c>
    </row>
    <row r="211">
      <c r="B211" t="inlineStr">
        <is>
          <t>6.1.2</t>
        </is>
      </c>
      <c r="C211" t="inlineStr">
        <is>
          <t>Smittförande avfall</t>
        </is>
      </c>
      <c r="D211" t="inlineStr">
        <is>
          <t>Beslut</t>
        </is>
      </c>
      <c r="E211" t="inlineStr">
        <is>
          <t>NEW_TAXA</t>
        </is>
      </c>
      <c r="F211" t="inlineStr">
        <is>
          <t>Word</t>
        </is>
      </c>
      <c r="G211" t="inlineStr">
        <is>
          <t>Word-taxa saknar EDP-match och standardförslag</t>
        </is>
      </c>
      <c r="H211" t="inlineStr">
        <is>
          <t>TaxDecisionEngine</t>
        </is>
      </c>
      <c r="I211" t="inlineStr">
        <is>
          <t>NEW_TAXA</t>
        </is>
      </c>
      <c r="J211" t="inlineStr">
        <is>
          <t>Skapa/hantera som ny taxa eller manuell granskning.</t>
        </is>
      </c>
    </row>
    <row r="212">
      <c r="B212" t="inlineStr">
        <is>
          <t>6.1.2</t>
        </is>
      </c>
      <c r="C212" t="inlineStr">
        <is>
          <t>Lösningsmedel</t>
        </is>
      </c>
      <c r="D212" t="inlineStr">
        <is>
          <t>Beslut</t>
        </is>
      </c>
      <c r="E212" t="inlineStr">
        <is>
          <t>NEW_TAXA</t>
        </is>
      </c>
      <c r="F212" t="inlineStr">
        <is>
          <t>Word</t>
        </is>
      </c>
      <c r="G212" t="inlineStr">
        <is>
          <t>Word-taxa saknar EDP-match och standardförslag</t>
        </is>
      </c>
      <c r="H212" t="inlineStr">
        <is>
          <t>TaxDecisionEngine</t>
        </is>
      </c>
      <c r="I212" t="inlineStr">
        <is>
          <t>NEW_TAXA</t>
        </is>
      </c>
      <c r="J212" t="inlineStr">
        <is>
          <t>Skapa/hantera som ny taxa eller manuell granskning.</t>
        </is>
      </c>
    </row>
    <row r="213">
      <c r="B213" t="inlineStr">
        <is>
          <t>6.1.2</t>
        </is>
      </c>
      <c r="C213" t="inlineStr">
        <is>
          <t>Väteperoxid</t>
        </is>
      </c>
      <c r="D213" t="inlineStr">
        <is>
          <t>Beslut</t>
        </is>
      </c>
      <c r="E213" t="inlineStr">
        <is>
          <t>NEW_TAXA</t>
        </is>
      </c>
      <c r="F213" t="inlineStr">
        <is>
          <t>Word</t>
        </is>
      </c>
      <c r="G213" t="inlineStr">
        <is>
          <t>Word-taxa saknar EDP-match och standardförslag</t>
        </is>
      </c>
      <c r="H213" t="inlineStr">
        <is>
          <t>TaxDecisionEngine</t>
        </is>
      </c>
      <c r="I213" t="inlineStr">
        <is>
          <t>NEW_TAXA</t>
        </is>
      </c>
      <c r="J213" t="inlineStr">
        <is>
          <t>Skapa/hantera som ny taxa eller manuell granskning.</t>
        </is>
      </c>
    </row>
    <row r="214">
      <c r="B214" t="inlineStr">
        <is>
          <t>6.1.2</t>
        </is>
      </c>
      <c r="C214" t="inlineStr">
        <is>
          <t>Flourvätesyra</t>
        </is>
      </c>
      <c r="D214" t="inlineStr">
        <is>
          <t>Beslut</t>
        </is>
      </c>
      <c r="E214" t="inlineStr">
        <is>
          <t>NEW_TAXA</t>
        </is>
      </c>
      <c r="F214" t="inlineStr">
        <is>
          <t>Word</t>
        </is>
      </c>
      <c r="G214" t="inlineStr">
        <is>
          <t>Word-taxa saknar EDP-match och standardförslag</t>
        </is>
      </c>
      <c r="H214" t="inlineStr">
        <is>
          <t>TaxDecisionEngine</t>
        </is>
      </c>
      <c r="I214" t="inlineStr">
        <is>
          <t>NEW_TAXA</t>
        </is>
      </c>
      <c r="J214" t="inlineStr">
        <is>
          <t>Skapa/hantera som ny taxa eller manuell granskning.</t>
        </is>
      </c>
    </row>
    <row r="215">
      <c r="B215" t="inlineStr">
        <is>
          <t>6.1.2</t>
        </is>
      </c>
      <c r="C215" t="inlineStr">
        <is>
          <t>Svavelsyra</t>
        </is>
      </c>
      <c r="D215" t="inlineStr">
        <is>
          <t>Beslut</t>
        </is>
      </c>
      <c r="E215" t="inlineStr">
        <is>
          <t>NEW_TAXA</t>
        </is>
      </c>
      <c r="F215" t="inlineStr">
        <is>
          <t>Word</t>
        </is>
      </c>
      <c r="G215" t="inlineStr">
        <is>
          <t>Word-taxa saknar EDP-match och standardförslag</t>
        </is>
      </c>
      <c r="H215" t="inlineStr">
        <is>
          <t>TaxDecisionEngine</t>
        </is>
      </c>
      <c r="I215" t="inlineStr">
        <is>
          <t>NEW_TAXA</t>
        </is>
      </c>
      <c r="J215" t="inlineStr">
        <is>
          <t>Skapa/hantera som ny taxa eller manuell granskning.</t>
        </is>
      </c>
    </row>
    <row r="216">
      <c r="B216" t="inlineStr">
        <is>
          <t>6.1.2</t>
        </is>
      </c>
      <c r="C216" t="inlineStr">
        <is>
          <t>Salpetersyra</t>
        </is>
      </c>
      <c r="D216" t="inlineStr">
        <is>
          <t>Beslut</t>
        </is>
      </c>
      <c r="E216" t="inlineStr">
        <is>
          <t>NEW_TAXA</t>
        </is>
      </c>
      <c r="F216" t="inlineStr">
        <is>
          <t>Word</t>
        </is>
      </c>
      <c r="G216" t="inlineStr">
        <is>
          <t>Word-taxa saknar EDP-match och standardförslag</t>
        </is>
      </c>
      <c r="H216" t="inlineStr">
        <is>
          <t>TaxDecisionEngine</t>
        </is>
      </c>
      <c r="I216" t="inlineStr">
        <is>
          <t>NEW_TAXA</t>
        </is>
      </c>
      <c r="J216" t="inlineStr">
        <is>
          <t>Skapa/hantera som ny taxa eller manuell granskning.</t>
        </is>
      </c>
    </row>
    <row r="217">
      <c r="B217" t="inlineStr">
        <is>
          <t>6.1.2</t>
        </is>
      </c>
      <c r="C217" t="inlineStr">
        <is>
          <t>Surt oorganisk fast ämne</t>
        </is>
      </c>
      <c r="D217" t="inlineStr">
        <is>
          <t>Beslut</t>
        </is>
      </c>
      <c r="E217" t="inlineStr">
        <is>
          <t>NEW_TAXA</t>
        </is>
      </c>
      <c r="F217" t="inlineStr">
        <is>
          <t>Word</t>
        </is>
      </c>
      <c r="G217" t="inlineStr">
        <is>
          <t>Word-taxa saknar EDP-match och standardförslag</t>
        </is>
      </c>
      <c r="H217" t="inlineStr">
        <is>
          <t>TaxDecisionEngine</t>
        </is>
      </c>
      <c r="I217" t="inlineStr">
        <is>
          <t>NEW_TAXA</t>
        </is>
      </c>
      <c r="J217" t="inlineStr">
        <is>
          <t>Skapa/hantera som ny taxa eller manuell granskning.</t>
        </is>
      </c>
    </row>
    <row r="218">
      <c r="B218" t="inlineStr">
        <is>
          <t>6.1.2</t>
        </is>
      </c>
      <c r="C218" t="inlineStr">
        <is>
          <t>Surt organisk fast ämne</t>
        </is>
      </c>
      <c r="D218" t="inlineStr">
        <is>
          <t>Beslut</t>
        </is>
      </c>
      <c r="E218" t="inlineStr">
        <is>
          <t>NEW_TAXA</t>
        </is>
      </c>
      <c r="F218" t="inlineStr">
        <is>
          <t>Word</t>
        </is>
      </c>
      <c r="G218" t="inlineStr">
        <is>
          <t>Word-taxa saknar EDP-match och standardförslag</t>
        </is>
      </c>
      <c r="H218" t="inlineStr">
        <is>
          <t>TaxDecisionEngine</t>
        </is>
      </c>
      <c r="I218" t="inlineStr">
        <is>
          <t>NEW_TAXA</t>
        </is>
      </c>
      <c r="J218" t="inlineStr">
        <is>
          <t>Skapa/hantera som ny taxa eller manuell granskning.</t>
        </is>
      </c>
    </row>
    <row r="219">
      <c r="B219" t="inlineStr">
        <is>
          <t>6.1.2</t>
        </is>
      </c>
      <c r="C219" t="inlineStr">
        <is>
          <t>Surt oorganisk vätska</t>
        </is>
      </c>
      <c r="D219" t="inlineStr">
        <is>
          <t>Beslut</t>
        </is>
      </c>
      <c r="E219" t="inlineStr">
        <is>
          <t>NEW_TAXA</t>
        </is>
      </c>
      <c r="F219" t="inlineStr">
        <is>
          <t>Word</t>
        </is>
      </c>
      <c r="G219" t="inlineStr">
        <is>
          <t>Word-taxa saknar EDP-match och standardförslag</t>
        </is>
      </c>
      <c r="H219" t="inlineStr">
        <is>
          <t>TaxDecisionEngine</t>
        </is>
      </c>
      <c r="I219" t="inlineStr">
        <is>
          <t>NEW_TAXA</t>
        </is>
      </c>
      <c r="J219" t="inlineStr">
        <is>
          <t>Skapa/hantera som ny taxa eller manuell granskning.</t>
        </is>
      </c>
    </row>
    <row r="220">
      <c r="B220" t="inlineStr">
        <is>
          <t>6.1.2</t>
        </is>
      </c>
      <c r="C220" t="inlineStr">
        <is>
          <t>Surt organisk vätska</t>
        </is>
      </c>
      <c r="D220" t="inlineStr">
        <is>
          <t>Beslut</t>
        </is>
      </c>
      <c r="E220" t="inlineStr">
        <is>
          <t>NEW_TAXA</t>
        </is>
      </c>
      <c r="F220" t="inlineStr">
        <is>
          <t>Word</t>
        </is>
      </c>
      <c r="G220" t="inlineStr">
        <is>
          <t>Word-taxa saknar EDP-match och standardförslag</t>
        </is>
      </c>
      <c r="H220" t="inlineStr">
        <is>
          <t>TaxDecisionEngine</t>
        </is>
      </c>
      <c r="I220" t="inlineStr">
        <is>
          <t>NEW_TAXA</t>
        </is>
      </c>
      <c r="J220" t="inlineStr">
        <is>
          <t>Skapa/hantera som ny taxa eller manuell granskning.</t>
        </is>
      </c>
    </row>
    <row r="221">
      <c r="B221" t="inlineStr">
        <is>
          <t>6.1.2</t>
        </is>
      </c>
      <c r="C221" t="inlineStr">
        <is>
          <t>Ammoniaklösning</t>
        </is>
      </c>
      <c r="D221" t="inlineStr">
        <is>
          <t>Beslut</t>
        </is>
      </c>
      <c r="E221" t="inlineStr">
        <is>
          <t>NEW_TAXA</t>
        </is>
      </c>
      <c r="F221" t="inlineStr">
        <is>
          <t>Word</t>
        </is>
      </c>
      <c r="G221" t="inlineStr">
        <is>
          <t>Word-taxa saknar EDP-match och standardförslag</t>
        </is>
      </c>
      <c r="H221" t="inlineStr">
        <is>
          <t>TaxDecisionEngine</t>
        </is>
      </c>
      <c r="I221" t="inlineStr">
        <is>
          <t>NEW_TAXA</t>
        </is>
      </c>
      <c r="J221" t="inlineStr">
        <is>
          <t>Skapa/hantera som ny taxa eller manuell granskning.</t>
        </is>
      </c>
    </row>
    <row r="222">
      <c r="B222" t="inlineStr">
        <is>
          <t>6.1.2</t>
        </is>
      </c>
      <c r="C222" t="inlineStr">
        <is>
          <t>Alkaliskt avfall fast</t>
        </is>
      </c>
      <c r="D222" t="inlineStr">
        <is>
          <t>Beslut</t>
        </is>
      </c>
      <c r="E222" t="inlineStr">
        <is>
          <t>NEW_TAXA</t>
        </is>
      </c>
      <c r="F222" t="inlineStr">
        <is>
          <t>Word</t>
        </is>
      </c>
      <c r="G222" t="inlineStr">
        <is>
          <t>Word-taxa saknar EDP-match och standardförslag</t>
        </is>
      </c>
      <c r="H222" t="inlineStr">
        <is>
          <t>TaxDecisionEngine</t>
        </is>
      </c>
      <c r="I222" t="inlineStr">
        <is>
          <t>NEW_TAXA</t>
        </is>
      </c>
      <c r="J222" t="inlineStr">
        <is>
          <t>Skapa/hantera som ny taxa eller manuell granskning.</t>
        </is>
      </c>
    </row>
    <row r="223">
      <c r="B223" t="inlineStr">
        <is>
          <t>6.1.2</t>
        </is>
      </c>
      <c r="C223" t="inlineStr">
        <is>
          <t>Basiskt organiskt fast/flytande</t>
        </is>
      </c>
      <c r="D223" t="inlineStr">
        <is>
          <t>Beslut</t>
        </is>
      </c>
      <c r="E223" t="inlineStr">
        <is>
          <t>NEW_TAXA</t>
        </is>
      </c>
      <c r="F223" t="inlineStr">
        <is>
          <t>Word</t>
        </is>
      </c>
      <c r="G223" t="inlineStr">
        <is>
          <t>Word-taxa saknar EDP-match och standardförslag</t>
        </is>
      </c>
      <c r="H223" t="inlineStr">
        <is>
          <t>TaxDecisionEngine</t>
        </is>
      </c>
      <c r="I223" t="inlineStr">
        <is>
          <t>NEW_TAXA</t>
        </is>
      </c>
      <c r="J223" t="inlineStr">
        <is>
          <t>Skapa/hantera som ny taxa eller manuell granskning.</t>
        </is>
      </c>
    </row>
    <row r="224">
      <c r="B224" t="inlineStr">
        <is>
          <t>6.1.2</t>
        </is>
      </c>
      <c r="C224" t="inlineStr">
        <is>
          <t>Fotokemikalier</t>
        </is>
      </c>
      <c r="D224" t="inlineStr">
        <is>
          <t>Beslut</t>
        </is>
      </c>
      <c r="E224" t="inlineStr">
        <is>
          <t>NEW_TAXA</t>
        </is>
      </c>
      <c r="F224" t="inlineStr">
        <is>
          <t>Word</t>
        </is>
      </c>
      <c r="G224" t="inlineStr">
        <is>
          <t>Word-taxa saknar EDP-match och standardförslag</t>
        </is>
      </c>
      <c r="H224" t="inlineStr">
        <is>
          <t>TaxDecisionEngine</t>
        </is>
      </c>
      <c r="I224" t="inlineStr">
        <is>
          <t>NEW_TAXA</t>
        </is>
      </c>
      <c r="J224" t="inlineStr">
        <is>
          <t>Skapa/hantera som ny taxa eller manuell granskning.</t>
        </is>
      </c>
    </row>
    <row r="225">
      <c r="B225" t="inlineStr">
        <is>
          <t>6.1.2</t>
        </is>
      </c>
      <c r="C225" t="inlineStr">
        <is>
          <t>Bekämpningsmedel aerosoler</t>
        </is>
      </c>
      <c r="D225" t="inlineStr">
        <is>
          <t>Beslut</t>
        </is>
      </c>
      <c r="E225" t="inlineStr">
        <is>
          <t>NEW_TAXA</t>
        </is>
      </c>
      <c r="F225" t="inlineStr">
        <is>
          <t>Word</t>
        </is>
      </c>
      <c r="G225" t="inlineStr">
        <is>
          <t>Word-taxa saknar EDP-match och standardförslag</t>
        </is>
      </c>
      <c r="H225" t="inlineStr">
        <is>
          <t>TaxDecisionEngine</t>
        </is>
      </c>
      <c r="I225" t="inlineStr">
        <is>
          <t>NEW_TAXA</t>
        </is>
      </c>
      <c r="J225" t="inlineStr">
        <is>
          <t>Skapa/hantera som ny taxa eller manuell granskning.</t>
        </is>
      </c>
    </row>
    <row r="226">
      <c r="B226" t="inlineStr">
        <is>
          <t>6.1.2</t>
        </is>
      </c>
      <c r="C226" t="inlineStr">
        <is>
          <t>Bekämpningsmedel fast</t>
        </is>
      </c>
      <c r="D226" t="inlineStr">
        <is>
          <t>Beslut</t>
        </is>
      </c>
      <c r="E226" t="inlineStr">
        <is>
          <t>NEW_TAXA</t>
        </is>
      </c>
      <c r="F226" t="inlineStr">
        <is>
          <t>Word</t>
        </is>
      </c>
      <c r="G226" t="inlineStr">
        <is>
          <t>Word-taxa saknar EDP-match och standardförslag</t>
        </is>
      </c>
      <c r="H226" t="inlineStr">
        <is>
          <t>TaxDecisionEngine</t>
        </is>
      </c>
      <c r="I226" t="inlineStr">
        <is>
          <t>NEW_TAXA</t>
        </is>
      </c>
      <c r="J226" t="inlineStr">
        <is>
          <t>Skapa/hantera som ny taxa eller manuell granskning.</t>
        </is>
      </c>
    </row>
    <row r="227">
      <c r="B227" t="inlineStr">
        <is>
          <t>6.1.2</t>
        </is>
      </c>
      <c r="C227" t="inlineStr">
        <is>
          <t>Bekämpningsmedel flytande</t>
        </is>
      </c>
      <c r="D227" t="inlineStr">
        <is>
          <t>Beslut</t>
        </is>
      </c>
      <c r="E227" t="inlineStr">
        <is>
          <t>NEW_TAXA</t>
        </is>
      </c>
      <c r="F227" t="inlineStr">
        <is>
          <t>Word</t>
        </is>
      </c>
      <c r="G227" t="inlineStr">
        <is>
          <t>Word-taxa saknar EDP-match och standardförslag</t>
        </is>
      </c>
      <c r="H227" t="inlineStr">
        <is>
          <t>TaxDecisionEngine</t>
        </is>
      </c>
      <c r="I227" t="inlineStr">
        <is>
          <t>NEW_TAXA</t>
        </is>
      </c>
      <c r="J227" t="inlineStr">
        <is>
          <t>Skapa/hantera som ny taxa eller manuell granskning.</t>
        </is>
      </c>
    </row>
    <row r="228">
      <c r="B228" t="inlineStr">
        <is>
          <t>6.1.2</t>
        </is>
      </c>
      <c r="C228" t="inlineStr">
        <is>
          <t>Kvicksilverhaltigt avfall</t>
        </is>
      </c>
      <c r="D228" t="inlineStr">
        <is>
          <t>Beslut</t>
        </is>
      </c>
      <c r="E228" t="inlineStr">
        <is>
          <t>NEW_TAXA</t>
        </is>
      </c>
      <c r="F228" t="inlineStr">
        <is>
          <t>Word</t>
        </is>
      </c>
      <c r="G228" t="inlineStr">
        <is>
          <t>Word-taxa saknar EDP-match och standardförslag</t>
        </is>
      </c>
      <c r="H228" t="inlineStr">
        <is>
          <t>TaxDecisionEngine</t>
        </is>
      </c>
      <c r="I228" t="inlineStr">
        <is>
          <t>NEW_TAXA</t>
        </is>
      </c>
      <c r="J228" t="inlineStr">
        <is>
          <t>Skapa/hantera som ny taxa eller manuell granskning.</t>
        </is>
      </c>
    </row>
    <row r="229">
      <c r="B229" t="inlineStr">
        <is>
          <t>6.1.2</t>
        </is>
      </c>
      <c r="C229" t="inlineStr">
        <is>
          <t>Kvicksilver i föremål</t>
        </is>
      </c>
      <c r="D229" t="inlineStr">
        <is>
          <t>Beslut</t>
        </is>
      </c>
      <c r="E229" t="inlineStr">
        <is>
          <t>NEW_TAXA</t>
        </is>
      </c>
      <c r="F229" t="inlineStr">
        <is>
          <t>Word</t>
        </is>
      </c>
      <c r="G229" t="inlineStr">
        <is>
          <t>Word-taxa saknar EDP-match och standardförslag</t>
        </is>
      </c>
      <c r="H229" t="inlineStr">
        <is>
          <t>TaxDecisionEngine</t>
        </is>
      </c>
      <c r="I229" t="inlineStr">
        <is>
          <t>NEW_TAXA</t>
        </is>
      </c>
      <c r="J229" t="inlineStr">
        <is>
          <t>Skapa/hantera som ny taxa eller manuell granskning.</t>
        </is>
      </c>
    </row>
    <row r="230">
      <c r="B230" t="inlineStr">
        <is>
          <t>6.1.2</t>
        </is>
      </c>
      <c r="C230" t="inlineStr">
        <is>
          <t>Oljehaltigt avfall (ej PCB)</t>
        </is>
      </c>
      <c r="D230" t="inlineStr">
        <is>
          <t>Beslut</t>
        </is>
      </c>
      <c r="E230" t="inlineStr">
        <is>
          <t>NEW_TAXA</t>
        </is>
      </c>
      <c r="F230" t="inlineStr">
        <is>
          <t>Word</t>
        </is>
      </c>
      <c r="G230" t="inlineStr">
        <is>
          <t>Word-taxa saknar EDP-match och standardförslag</t>
        </is>
      </c>
      <c r="H230" t="inlineStr">
        <is>
          <t>TaxDecisionEngine</t>
        </is>
      </c>
      <c r="I230" t="inlineStr">
        <is>
          <t>NEW_TAXA</t>
        </is>
      </c>
      <c r="J230" t="inlineStr">
        <is>
          <t>Skapa/hantera som ny taxa eller manuell granskning.</t>
        </is>
      </c>
    </row>
    <row r="231">
      <c r="B231" t="inlineStr">
        <is>
          <t>6.1.2</t>
        </is>
      </c>
      <c r="C231" t="inlineStr">
        <is>
          <t>Olja förorenad (ej PCB)</t>
        </is>
      </c>
      <c r="D231" t="inlineStr">
        <is>
          <t>Beslut</t>
        </is>
      </c>
      <c r="E231" t="inlineStr">
        <is>
          <t>NEW_TAXA</t>
        </is>
      </c>
      <c r="F231" t="inlineStr">
        <is>
          <t>Word</t>
        </is>
      </c>
      <c r="G231" t="inlineStr">
        <is>
          <t>Word-taxa saknar EDP-match och standardförslag</t>
        </is>
      </c>
      <c r="H231" t="inlineStr">
        <is>
          <t>TaxDecisionEngine</t>
        </is>
      </c>
      <c r="I231" t="inlineStr">
        <is>
          <t>NEW_TAXA</t>
        </is>
      </c>
      <c r="J231" t="inlineStr">
        <is>
          <t>Skapa/hantera som ny taxa eller manuell granskning.</t>
        </is>
      </c>
    </row>
    <row r="232">
      <c r="B232" t="inlineStr">
        <is>
          <t>6.1.2</t>
        </is>
      </c>
      <c r="C232" t="inlineStr">
        <is>
          <t>Färg-, lack-, limburkar lösning</t>
        </is>
      </c>
      <c r="D232" t="inlineStr">
        <is>
          <t>Beslut</t>
        </is>
      </c>
      <c r="E232" t="inlineStr">
        <is>
          <t>NEW_TAXA</t>
        </is>
      </c>
      <c r="F232" t="inlineStr">
        <is>
          <t>Word</t>
        </is>
      </c>
      <c r="G232" t="inlineStr">
        <is>
          <t>Word-taxa saknar EDP-match och standardförslag</t>
        </is>
      </c>
      <c r="H232" t="inlineStr">
        <is>
          <t>TaxDecisionEngine</t>
        </is>
      </c>
      <c r="I232" t="inlineStr">
        <is>
          <t>NEW_TAXA</t>
        </is>
      </c>
      <c r="J232" t="inlineStr">
        <is>
          <t>Skapa/hantera som ny taxa eller manuell granskning.</t>
        </is>
      </c>
    </row>
    <row r="233">
      <c r="B233" t="inlineStr">
        <is>
          <t>6.1.2</t>
        </is>
      </c>
      <c r="C233" t="inlineStr">
        <is>
          <t>Färg-, lack-, limburkar lösning aerosoler</t>
        </is>
      </c>
      <c r="D233" t="inlineStr">
        <is>
          <t>Beslut</t>
        </is>
      </c>
      <c r="E233" t="inlineStr">
        <is>
          <t>NEW_TAXA</t>
        </is>
      </c>
      <c r="F233" t="inlineStr">
        <is>
          <t>Word</t>
        </is>
      </c>
      <c r="G233" t="inlineStr">
        <is>
          <t>Word-taxa saknar EDP-match och standardförslag</t>
        </is>
      </c>
      <c r="H233" t="inlineStr">
        <is>
          <t>TaxDecisionEngine</t>
        </is>
      </c>
      <c r="I233" t="inlineStr">
        <is>
          <t>NEW_TAXA</t>
        </is>
      </c>
      <c r="J233" t="inlineStr">
        <is>
          <t>Skapa/hantera som ny taxa eller manuell granskning.</t>
        </is>
      </c>
    </row>
    <row r="234">
      <c r="B234" t="inlineStr">
        <is>
          <t>6.1.2</t>
        </is>
      </c>
      <c r="C234" t="inlineStr">
        <is>
          <t>Isocyanater</t>
        </is>
      </c>
      <c r="D234" t="inlineStr">
        <is>
          <t>Beslut</t>
        </is>
      </c>
      <c r="E234" t="inlineStr">
        <is>
          <t>NEW_TAXA</t>
        </is>
      </c>
      <c r="F234" t="inlineStr">
        <is>
          <t>Word</t>
        </is>
      </c>
      <c r="G234" t="inlineStr">
        <is>
          <t>Word-taxa saknar EDP-match och standardförslag</t>
        </is>
      </c>
      <c r="H234" t="inlineStr">
        <is>
          <t>TaxDecisionEngine</t>
        </is>
      </c>
      <c r="I234" t="inlineStr">
        <is>
          <t>NEW_TAXA</t>
        </is>
      </c>
      <c r="J234" t="inlineStr">
        <is>
          <t>Skapa/hantera som ny taxa eller manuell granskning.</t>
        </is>
      </c>
    </row>
    <row r="235">
      <c r="B235" t="inlineStr">
        <is>
          <t>6.1.2</t>
        </is>
      </c>
      <c r="C235" t="inlineStr">
        <is>
          <t>Härdare metyl- etylketonperoxid</t>
        </is>
      </c>
      <c r="D235" t="inlineStr">
        <is>
          <t>Beslut</t>
        </is>
      </c>
      <c r="E235" t="inlineStr">
        <is>
          <t>NEW_TAXA</t>
        </is>
      </c>
      <c r="F235" t="inlineStr">
        <is>
          <t>Word</t>
        </is>
      </c>
      <c r="G235" t="inlineStr">
        <is>
          <t>Word-taxa saknar EDP-match och standardförslag</t>
        </is>
      </c>
      <c r="H235" t="inlineStr">
        <is>
          <t>TaxDecisionEngine</t>
        </is>
      </c>
      <c r="I235" t="inlineStr">
        <is>
          <t>NEW_TAXA</t>
        </is>
      </c>
      <c r="J235" t="inlineStr">
        <is>
          <t>Skapa/hantera som ny taxa eller manuell granskning.</t>
        </is>
      </c>
    </row>
    <row r="236">
      <c r="B236" t="inlineStr">
        <is>
          <t>6.1.2</t>
        </is>
      </c>
      <c r="C236" t="inlineStr">
        <is>
          <t>Härdare dibenzoylperoxid</t>
        </is>
      </c>
      <c r="D236" t="inlineStr">
        <is>
          <t>Beslut</t>
        </is>
      </c>
      <c r="E236" t="inlineStr">
        <is>
          <t>NEW_TAXA</t>
        </is>
      </c>
      <c r="F236" t="inlineStr">
        <is>
          <t>Word</t>
        </is>
      </c>
      <c r="G236" t="inlineStr">
        <is>
          <t>Word-taxa saknar EDP-match och standardförslag</t>
        </is>
      </c>
      <c r="H236" t="inlineStr">
        <is>
          <t>TaxDecisionEngine</t>
        </is>
      </c>
      <c r="I236" t="inlineStr">
        <is>
          <t>NEW_TAXA</t>
        </is>
      </c>
      <c r="J236" t="inlineStr">
        <is>
          <t>Skapa/hantera som ny taxa eller manuell granskning.</t>
        </is>
      </c>
    </row>
    <row r="237">
      <c r="B237" t="inlineStr">
        <is>
          <t>6.1.2</t>
        </is>
      </c>
      <c r="C237" t="inlineStr">
        <is>
          <t>Färg-,lack-, limburkar vattenbaserade</t>
        </is>
      </c>
      <c r="D237" t="inlineStr">
        <is>
          <t>Beslut</t>
        </is>
      </c>
      <c r="E237" t="inlineStr">
        <is>
          <t>NEW_TAXA</t>
        </is>
      </c>
      <c r="F237" t="inlineStr">
        <is>
          <t>Word</t>
        </is>
      </c>
      <c r="G237" t="inlineStr">
        <is>
          <t>Word-taxa saknar EDP-match och standardförslag</t>
        </is>
      </c>
      <c r="H237" t="inlineStr">
        <is>
          <t>TaxDecisionEngine</t>
        </is>
      </c>
      <c r="I237" t="inlineStr">
        <is>
          <t>NEW_TAXA</t>
        </is>
      </c>
      <c r="J237" t="inlineStr">
        <is>
          <t>Skapa/hantera som ny taxa eller manuell granskning.</t>
        </is>
      </c>
    </row>
    <row r="238">
      <c r="B238" t="inlineStr">
        <is>
          <t>6.1.2</t>
        </is>
      </c>
      <c r="C238" t="inlineStr">
        <is>
          <t>Tensida alkaliska flytande avfall</t>
        </is>
      </c>
      <c r="D238" t="inlineStr">
        <is>
          <t>Beslut</t>
        </is>
      </c>
      <c r="E238" t="inlineStr">
        <is>
          <t>NEW_TAXA</t>
        </is>
      </c>
      <c r="F238" t="inlineStr">
        <is>
          <t>Word</t>
        </is>
      </c>
      <c r="G238" t="inlineStr">
        <is>
          <t>Word-taxa saknar EDP-match och standardförslag</t>
        </is>
      </c>
      <c r="H238" t="inlineStr">
        <is>
          <t>TaxDecisionEngine</t>
        </is>
      </c>
      <c r="I238" t="inlineStr">
        <is>
          <t>NEW_TAXA</t>
        </is>
      </c>
      <c r="J238" t="inlineStr">
        <is>
          <t>Skapa/hantera som ny taxa eller manuell granskning.</t>
        </is>
      </c>
    </row>
    <row r="239">
      <c r="B239" t="inlineStr">
        <is>
          <t>6.1.2</t>
        </is>
      </c>
      <c r="C239" t="inlineStr">
        <is>
          <t>Rengöring/vaskmedel fast</t>
        </is>
      </c>
      <c r="D239" t="inlineStr">
        <is>
          <t>Beslut</t>
        </is>
      </c>
      <c r="E239" t="inlineStr">
        <is>
          <t>NEW_TAXA</t>
        </is>
      </c>
      <c r="F239" t="inlineStr">
        <is>
          <t>Word</t>
        </is>
      </c>
      <c r="G239" t="inlineStr">
        <is>
          <t>Word-taxa saknar EDP-match och standardförslag</t>
        </is>
      </c>
      <c r="H239" t="inlineStr">
        <is>
          <t>TaxDecisionEngine</t>
        </is>
      </c>
      <c r="I239" t="inlineStr">
        <is>
          <t>NEW_TAXA</t>
        </is>
      </c>
      <c r="J239" t="inlineStr">
        <is>
          <t>Skapa/hantera som ny taxa eller manuell granskning.</t>
        </is>
      </c>
    </row>
    <row r="240">
      <c r="B240" t="inlineStr">
        <is>
          <t>6.1.2</t>
        </is>
      </c>
      <c r="C240" t="inlineStr">
        <is>
          <t>Alkaliska flytande avfall</t>
        </is>
      </c>
      <c r="D240" t="inlineStr">
        <is>
          <t>Beslut</t>
        </is>
      </c>
      <c r="E240" t="inlineStr">
        <is>
          <t>NEW_TAXA</t>
        </is>
      </c>
      <c r="F240" t="inlineStr">
        <is>
          <t>Word</t>
        </is>
      </c>
      <c r="G240" t="inlineStr">
        <is>
          <t>Word-taxa saknar EDP-match och standardförslag</t>
        </is>
      </c>
      <c r="H240" t="inlineStr">
        <is>
          <t>TaxDecisionEngine</t>
        </is>
      </c>
      <c r="I240" t="inlineStr">
        <is>
          <t>NEW_TAXA</t>
        </is>
      </c>
      <c r="J240" t="inlineStr">
        <is>
          <t>Skapa/hantera som ny taxa eller manuell granskning.</t>
        </is>
      </c>
    </row>
    <row r="241">
      <c r="B241" t="inlineStr">
        <is>
          <t>6.1.2</t>
        </is>
      </c>
      <c r="C241" t="inlineStr">
        <is>
          <t>Cytotoxiska läkemedel, cytostat</t>
        </is>
      </c>
      <c r="D241" t="inlineStr">
        <is>
          <t>Beslut</t>
        </is>
      </c>
      <c r="E241" t="inlineStr">
        <is>
          <t>NEW_TAXA</t>
        </is>
      </c>
      <c r="F241" t="inlineStr">
        <is>
          <t>Word</t>
        </is>
      </c>
      <c r="G241" t="inlineStr">
        <is>
          <t>Word-taxa saknar EDP-match och standardförslag</t>
        </is>
      </c>
      <c r="H241" t="inlineStr">
        <is>
          <t>TaxDecisionEngine</t>
        </is>
      </c>
      <c r="I241" t="inlineStr">
        <is>
          <t>NEW_TAXA</t>
        </is>
      </c>
      <c r="J241" t="inlineStr">
        <is>
          <t>Skapa/hantera som ny taxa eller manuell granskning.</t>
        </is>
      </c>
    </row>
    <row r="242">
      <c r="B242" t="inlineStr">
        <is>
          <t>6.1.2</t>
        </is>
      </c>
      <c r="C242" t="inlineStr">
        <is>
          <t>Rökdetektor med andra isotoper</t>
        </is>
      </c>
      <c r="D242" t="inlineStr">
        <is>
          <t>Beslut</t>
        </is>
      </c>
      <c r="E242" t="inlineStr">
        <is>
          <t>NEW_TAXA</t>
        </is>
      </c>
      <c r="F242" t="inlineStr">
        <is>
          <t>Word</t>
        </is>
      </c>
      <c r="G242" t="inlineStr">
        <is>
          <t>Word-taxa saknar EDP-match och standardförslag</t>
        </is>
      </c>
      <c r="H242" t="inlineStr">
        <is>
          <t>TaxDecisionEngine</t>
        </is>
      </c>
      <c r="I242" t="inlineStr">
        <is>
          <t>NEW_TAXA</t>
        </is>
      </c>
      <c r="J242" t="inlineStr">
        <is>
          <t>Skapa/hantera som ny taxa eller manuell granskning.</t>
        </is>
      </c>
    </row>
    <row r="243">
      <c r="B243" t="inlineStr">
        <is>
          <t>6.1.2</t>
        </is>
      </c>
      <c r="C243" t="inlineStr">
        <is>
          <t>Rökdetektor med Am 241</t>
        </is>
      </c>
      <c r="D243" t="inlineStr">
        <is>
          <t>Beslut</t>
        </is>
      </c>
      <c r="E243" t="inlineStr">
        <is>
          <t>NEW_TAXA</t>
        </is>
      </c>
      <c r="F243" t="inlineStr">
        <is>
          <t>Word</t>
        </is>
      </c>
      <c r="G243" t="inlineStr">
        <is>
          <t>Word-taxa saknar EDP-match och standardförslag</t>
        </is>
      </c>
      <c r="H243" t="inlineStr">
        <is>
          <t>TaxDecisionEngine</t>
        </is>
      </c>
      <c r="I243" t="inlineStr">
        <is>
          <t>NEW_TAXA</t>
        </is>
      </c>
      <c r="J243" t="inlineStr">
        <is>
          <t>Skapa/hantera som ny taxa eller manuell granskning.</t>
        </is>
      </c>
    </row>
    <row r="244">
      <c r="B244" t="inlineStr">
        <is>
          <t>6.1.2</t>
        </is>
      </c>
      <c r="C244" t="inlineStr">
        <is>
          <t>Batterier stav, pencell</t>
        </is>
      </c>
      <c r="D244" t="inlineStr">
        <is>
          <t>Beslut</t>
        </is>
      </c>
      <c r="E244" t="inlineStr">
        <is>
          <t>NEW_TAXA</t>
        </is>
      </c>
      <c r="F244" t="inlineStr">
        <is>
          <t>Word</t>
        </is>
      </c>
      <c r="G244" t="inlineStr">
        <is>
          <t>Word-taxa saknar EDP-match och standardförslag</t>
        </is>
      </c>
      <c r="H244" t="inlineStr">
        <is>
          <t>TaxDecisionEngine</t>
        </is>
      </c>
      <c r="I244" t="inlineStr">
        <is>
          <t>NEW_TAXA</t>
        </is>
      </c>
      <c r="J244" t="inlineStr">
        <is>
          <t>Skapa/hantera som ny taxa eller manuell granskning.</t>
        </is>
      </c>
    </row>
    <row r="245">
      <c r="B245" t="inlineStr">
        <is>
          <t>6.1.2</t>
        </is>
      </c>
      <c r="C245" t="inlineStr">
        <is>
          <t>Batterier lithium</t>
        </is>
      </c>
      <c r="D245" t="inlineStr">
        <is>
          <t>Beslut</t>
        </is>
      </c>
      <c r="E245" t="inlineStr">
        <is>
          <t>NEW_TAXA</t>
        </is>
      </c>
      <c r="F245" t="inlineStr">
        <is>
          <t>Word</t>
        </is>
      </c>
      <c r="G245" t="inlineStr">
        <is>
          <t>Word-taxa saknar EDP-match och standardförslag</t>
        </is>
      </c>
      <c r="H245" t="inlineStr">
        <is>
          <t>TaxDecisionEngine</t>
        </is>
      </c>
      <c r="I245" t="inlineStr">
        <is>
          <t>NEW_TAXA</t>
        </is>
      </c>
      <c r="J245" t="inlineStr">
        <is>
          <t>Skapa/hantera som ny taxa eller manuell granskning.</t>
        </is>
      </c>
    </row>
    <row r="246">
      <c r="B246" t="inlineStr">
        <is>
          <t>6.1.2</t>
        </is>
      </c>
      <c r="C246" t="inlineStr">
        <is>
          <t>Bil-, mcbatteri med bly</t>
        </is>
      </c>
      <c r="D246" t="inlineStr">
        <is>
          <t>Beslut</t>
        </is>
      </c>
      <c r="E246" t="inlineStr">
        <is>
          <t>NEW_TAXA</t>
        </is>
      </c>
      <c r="F246" t="inlineStr">
        <is>
          <t>Word</t>
        </is>
      </c>
      <c r="G246" t="inlineStr">
        <is>
          <t>Word-taxa saknar EDP-match och standardförslag</t>
        </is>
      </c>
      <c r="H246" t="inlineStr">
        <is>
          <t>TaxDecisionEngine</t>
        </is>
      </c>
      <c r="I246" t="inlineStr">
        <is>
          <t>NEW_TAXA</t>
        </is>
      </c>
      <c r="J246" t="inlineStr">
        <is>
          <t>Skapa/hantera som ny taxa eller manuell granskning.</t>
        </is>
      </c>
    </row>
    <row r="247">
      <c r="B247" t="inlineStr">
        <is>
          <t>6.1.2</t>
        </is>
      </c>
      <c r="C247" t="inlineStr">
        <is>
          <t>Glödlampor</t>
        </is>
      </c>
      <c r="D247" t="inlineStr">
        <is>
          <t>Beslut</t>
        </is>
      </c>
      <c r="E247" t="inlineStr">
        <is>
          <t>NEW_TAXA</t>
        </is>
      </c>
      <c r="F247" t="inlineStr">
        <is>
          <t>Word</t>
        </is>
      </c>
      <c r="G247" t="inlineStr">
        <is>
          <t>Word-taxa saknar EDP-match och standardförslag</t>
        </is>
      </c>
      <c r="H247" t="inlineStr">
        <is>
          <t>TaxDecisionEngine</t>
        </is>
      </c>
      <c r="I247" t="inlineStr">
        <is>
          <t>NEW_TAXA</t>
        </is>
      </c>
      <c r="J247" t="inlineStr">
        <is>
          <t>Skapa/hantera som ny taxa eller manuell granskning.</t>
        </is>
      </c>
    </row>
    <row r="248">
      <c r="B248" t="inlineStr">
        <is>
          <t>6.1.2</t>
        </is>
      </c>
      <c r="C248" t="inlineStr">
        <is>
          <t>Lysrör</t>
        </is>
      </c>
      <c r="D248" t="inlineStr">
        <is>
          <t>Beslut</t>
        </is>
      </c>
      <c r="E248" t="inlineStr">
        <is>
          <t>NEW_TAXA</t>
        </is>
      </c>
      <c r="F248" t="inlineStr">
        <is>
          <t>Word</t>
        </is>
      </c>
      <c r="G248" t="inlineStr">
        <is>
          <t>Word-taxa saknar EDP-match och standardförslag</t>
        </is>
      </c>
      <c r="H248" t="inlineStr">
        <is>
          <t>TaxDecisionEngine</t>
        </is>
      </c>
      <c r="I248" t="inlineStr">
        <is>
          <t>NEW_TAXA</t>
        </is>
      </c>
      <c r="J248" t="inlineStr">
        <is>
          <t>Skapa/hantera som ny taxa eller manuell granskning.</t>
        </is>
      </c>
    </row>
    <row r="249">
      <c r="B249" t="inlineStr">
        <is>
          <t>6.1.2</t>
        </is>
      </c>
      <c r="C249" t="inlineStr">
        <is>
          <t>Elavfall, små elektronik</t>
        </is>
      </c>
      <c r="D249" t="inlineStr">
        <is>
          <t>Beslut</t>
        </is>
      </c>
      <c r="E249" t="inlineStr">
        <is>
          <t>NEW_TAXA</t>
        </is>
      </c>
      <c r="F249" t="inlineStr">
        <is>
          <t>Word</t>
        </is>
      </c>
      <c r="G249" t="inlineStr">
        <is>
          <t>Word-taxa saknar EDP-match och standardförslag</t>
        </is>
      </c>
      <c r="H249" t="inlineStr">
        <is>
          <t>TaxDecisionEngine</t>
        </is>
      </c>
      <c r="I249" t="inlineStr">
        <is>
          <t>NEW_TAXA</t>
        </is>
      </c>
      <c r="J249" t="inlineStr">
        <is>
          <t>Skapa/hantera som ny taxa eller manuell granskning.</t>
        </is>
      </c>
    </row>
    <row r="250">
      <c r="B250" t="inlineStr">
        <is>
          <t>6.1.2</t>
        </is>
      </c>
      <c r="C250" t="inlineStr">
        <is>
          <t>El-avfall fast installation</t>
        </is>
      </c>
      <c r="D250" t="inlineStr">
        <is>
          <t>Beslut</t>
        </is>
      </c>
      <c r="E250" t="inlineStr">
        <is>
          <t>NEW_TAXA</t>
        </is>
      </c>
      <c r="F250" t="inlineStr">
        <is>
          <t>Word</t>
        </is>
      </c>
      <c r="G250" t="inlineStr">
        <is>
          <t>Word-taxa saknar EDP-match och standardförslag</t>
        </is>
      </c>
      <c r="H250" t="inlineStr">
        <is>
          <t>TaxDecisionEngine</t>
        </is>
      </c>
      <c r="I250" t="inlineStr">
        <is>
          <t>NEW_TAXA</t>
        </is>
      </c>
      <c r="J250" t="inlineStr">
        <is>
          <t>Skapa/hantera som ny taxa eller manuell granskning.</t>
        </is>
      </c>
    </row>
    <row r="251">
      <c r="B251" t="inlineStr">
        <is>
          <t>6.1.2</t>
        </is>
      </c>
      <c r="C251" t="inlineStr">
        <is>
          <t>El-avfall kabel</t>
        </is>
      </c>
      <c r="D251" t="inlineStr">
        <is>
          <t>Beslut</t>
        </is>
      </c>
      <c r="E251" t="inlineStr">
        <is>
          <t>NEW_TAXA</t>
        </is>
      </c>
      <c r="F251" t="inlineStr">
        <is>
          <t>Word</t>
        </is>
      </c>
      <c r="G251" t="inlineStr">
        <is>
          <t>Word-taxa saknar EDP-match och standardförslag</t>
        </is>
      </c>
      <c r="H251" t="inlineStr">
        <is>
          <t>TaxDecisionEngine</t>
        </is>
      </c>
      <c r="I251" t="inlineStr">
        <is>
          <t>NEW_TAXA</t>
        </is>
      </c>
      <c r="J251" t="inlineStr">
        <is>
          <t>Skapa/hantera som ny taxa eller manuell granskning.</t>
        </is>
      </c>
    </row>
    <row r="252">
      <c r="B252" t="inlineStr">
        <is>
          <t>6.1.2</t>
        </is>
      </c>
      <c r="C252" t="inlineStr">
        <is>
          <t>Toner, färgpatron med elektronik</t>
        </is>
      </c>
      <c r="D252" t="inlineStr">
        <is>
          <t>Beslut</t>
        </is>
      </c>
      <c r="E252" t="inlineStr">
        <is>
          <t>NEW_TAXA</t>
        </is>
      </c>
      <c r="F252" t="inlineStr">
        <is>
          <t>Word</t>
        </is>
      </c>
      <c r="G252" t="inlineStr">
        <is>
          <t>Word-taxa saknar EDP-match och standardförslag</t>
        </is>
      </c>
      <c r="H252" t="inlineStr">
        <is>
          <t>TaxDecisionEngine</t>
        </is>
      </c>
      <c r="I252" t="inlineStr">
        <is>
          <t>NEW_TAXA</t>
        </is>
      </c>
      <c r="J252" t="inlineStr">
        <is>
          <t>Skapa/hantera som ny taxa eller manuell granskning.</t>
        </is>
      </c>
    </row>
    <row r="253">
      <c r="B253" t="inlineStr">
        <is>
          <t>6.1.2</t>
        </is>
      </c>
      <c r="C253" t="inlineStr">
        <is>
          <t>Tv, radio, skärm, skrivare utan färgpatron</t>
        </is>
      </c>
      <c r="D253" t="inlineStr">
        <is>
          <t>Beslut</t>
        </is>
      </c>
      <c r="E253" t="inlineStr">
        <is>
          <t>NEW_TAXA</t>
        </is>
      </c>
      <c r="F253" t="inlineStr">
        <is>
          <t>Word</t>
        </is>
      </c>
      <c r="G253" t="inlineStr">
        <is>
          <t>Word-taxa saknar EDP-match och standardförslag</t>
        </is>
      </c>
      <c r="H253" t="inlineStr">
        <is>
          <t>TaxDecisionEngine</t>
        </is>
      </c>
      <c r="I253" t="inlineStr">
        <is>
          <t>NEW_TAXA</t>
        </is>
      </c>
      <c r="J253" t="inlineStr">
        <is>
          <t>Skapa/hantera som ny taxa eller manuell granskning.</t>
        </is>
      </c>
    </row>
    <row r="254">
      <c r="B254" t="inlineStr">
        <is>
          <t>6.1.2</t>
        </is>
      </c>
      <c r="C254" t="inlineStr">
        <is>
          <t>Kyl-, frysskåp, -box</t>
        </is>
      </c>
      <c r="D254" t="inlineStr">
        <is>
          <t>Beslut</t>
        </is>
      </c>
      <c r="E254" t="inlineStr">
        <is>
          <t>NEW_TAXA</t>
        </is>
      </c>
      <c r="F254" t="inlineStr">
        <is>
          <t>Word</t>
        </is>
      </c>
      <c r="G254" t="inlineStr">
        <is>
          <t>Word-taxa saknar EDP-match och standardförslag</t>
        </is>
      </c>
      <c r="H254" t="inlineStr">
        <is>
          <t>TaxDecisionEngine</t>
        </is>
      </c>
      <c r="I254" t="inlineStr">
        <is>
          <t>NEW_TAXA</t>
        </is>
      </c>
      <c r="J254" t="inlineStr">
        <is>
          <t>Skapa/hantera som ny taxa eller manuell granskning.</t>
        </is>
      </c>
    </row>
    <row r="255">
      <c r="B255" t="inlineStr">
        <is>
          <t>6.1.2</t>
        </is>
      </c>
      <c r="C255" t="inlineStr">
        <is>
          <t>Kyl-, frysskåp, -box från verksamhet</t>
        </is>
      </c>
      <c r="D255" t="inlineStr">
        <is>
          <t>Beslut</t>
        </is>
      </c>
      <c r="E255" t="inlineStr">
        <is>
          <t>NEW_TAXA</t>
        </is>
      </c>
      <c r="F255" t="inlineStr">
        <is>
          <t>Word</t>
        </is>
      </c>
      <c r="G255" t="inlineStr">
        <is>
          <t>Word-taxa saknar EDP-match och standardförslag</t>
        </is>
      </c>
      <c r="H255" t="inlineStr">
        <is>
          <t>TaxDecisionEngine</t>
        </is>
      </c>
      <c r="I255" t="inlineStr">
        <is>
          <t>NEW_TAXA</t>
        </is>
      </c>
      <c r="J255" t="inlineStr">
        <is>
          <t>Skapa/hantera som ny taxa eller manuell granskning.</t>
        </is>
      </c>
    </row>
    <row r="256">
      <c r="B256" t="inlineStr">
        <is>
          <t>6.1.2</t>
        </is>
      </c>
      <c r="C256" t="inlineStr">
        <is>
          <t>Spis, tvätt-, diskmaskin</t>
        </is>
      </c>
      <c r="D256" t="inlineStr">
        <is>
          <t>Beslut</t>
        </is>
      </c>
      <c r="E256" t="inlineStr">
        <is>
          <t>NEW_TAXA</t>
        </is>
      </c>
      <c r="F256" t="inlineStr">
        <is>
          <t>Word</t>
        </is>
      </c>
      <c r="G256" t="inlineStr">
        <is>
          <t>Word-taxa saknar EDP-match och standardförslag</t>
        </is>
      </c>
      <c r="H256" t="inlineStr">
        <is>
          <t>TaxDecisionEngine</t>
        </is>
      </c>
      <c r="I256" t="inlineStr">
        <is>
          <t>NEW_TAXA</t>
        </is>
      </c>
      <c r="J256" t="inlineStr">
        <is>
          <t>Skapa/hantera som ny taxa eller manuell granskning.</t>
        </is>
      </c>
    </row>
    <row r="257">
      <c r="B257" t="inlineStr">
        <is>
          <t>6.1.2</t>
        </is>
      </c>
      <c r="C257" t="inlineStr">
        <is>
          <t>Spis, tvätt-, diskmaskin från verksamhet</t>
        </is>
      </c>
      <c r="D257" t="inlineStr">
        <is>
          <t>Beslut</t>
        </is>
      </c>
      <c r="E257" t="inlineStr">
        <is>
          <t>NEW_TAXA</t>
        </is>
      </c>
      <c r="F257" t="inlineStr">
        <is>
          <t>Word</t>
        </is>
      </c>
      <c r="G257" t="inlineStr">
        <is>
          <t>Word-taxa saknar EDP-match och standardförslag</t>
        </is>
      </c>
      <c r="H257" t="inlineStr">
        <is>
          <t>TaxDecisionEngine</t>
        </is>
      </c>
      <c r="I257" t="inlineStr">
        <is>
          <t>NEW_TAXA</t>
        </is>
      </c>
      <c r="J257" t="inlineStr">
        <is>
          <t>Skapa/hantera som ny taxa eller manuell granskning.</t>
        </is>
      </c>
    </row>
    <row r="258">
      <c r="B258" t="inlineStr">
        <is>
          <t>6.1.3</t>
        </is>
      </c>
      <c r="C258" t="inlineStr">
        <is>
          <t>Container X m3</t>
        </is>
      </c>
      <c r="D258" t="inlineStr">
        <is>
          <t>Beslut</t>
        </is>
      </c>
      <c r="E258" t="inlineStr">
        <is>
          <t>NEW_TAXA</t>
        </is>
      </c>
      <c r="F258" t="inlineStr">
        <is>
          <t>Word</t>
        </is>
      </c>
      <c r="G258" t="inlineStr">
        <is>
          <t>Word-taxa saknar EDP-match och standardförslag</t>
        </is>
      </c>
      <c r="H258" t="inlineStr">
        <is>
          <t>TaxDecisionEngine</t>
        </is>
      </c>
      <c r="I258" t="inlineStr">
        <is>
          <t>NEW_TAXA</t>
        </is>
      </c>
      <c r="J258" t="inlineStr">
        <is>
          <t>Skapa/hantera som ny taxa eller manuell granskning.</t>
        </is>
      </c>
    </row>
    <row r="259">
      <c r="B259" t="inlineStr">
        <is>
          <t>6.1.3</t>
        </is>
      </c>
      <c r="C259" t="inlineStr">
        <is>
          <t>Container X m3</t>
        </is>
      </c>
      <c r="D259" t="inlineStr">
        <is>
          <t>Beslut</t>
        </is>
      </c>
      <c r="E259" t="inlineStr">
        <is>
          <t>NEW_TAXA</t>
        </is>
      </c>
      <c r="F259" t="inlineStr">
        <is>
          <t>Word</t>
        </is>
      </c>
      <c r="G259" t="inlineStr">
        <is>
          <t>Word-taxa saknar EDP-match och standardförslag</t>
        </is>
      </c>
      <c r="H259" t="inlineStr">
        <is>
          <t>TaxDecisionEngine</t>
        </is>
      </c>
      <c r="I259" t="inlineStr">
        <is>
          <t>NEW_TAXA</t>
        </is>
      </c>
      <c r="J259" t="inlineStr">
        <is>
          <t>Skapa/hantera som ny taxa eller manuell granskning.</t>
        </is>
      </c>
    </row>
    <row r="260">
      <c r="B260" t="inlineStr">
        <is>
          <t>6.1.3</t>
        </is>
      </c>
      <c r="C260" t="inlineStr">
        <is>
          <t>Container X m3</t>
        </is>
      </c>
      <c r="D260" t="inlineStr">
        <is>
          <t>Beslut</t>
        </is>
      </c>
      <c r="E260" t="inlineStr">
        <is>
          <t>NEW_TAXA</t>
        </is>
      </c>
      <c r="F260" t="inlineStr">
        <is>
          <t>Word</t>
        </is>
      </c>
      <c r="G260" t="inlineStr">
        <is>
          <t>Word-taxa saknar EDP-match och standardförslag</t>
        </is>
      </c>
      <c r="H260" t="inlineStr">
        <is>
          <t>TaxDecisionEngine</t>
        </is>
      </c>
      <c r="I260" t="inlineStr">
        <is>
          <t>NEW_TAXA</t>
        </is>
      </c>
      <c r="J260" t="inlineStr">
        <is>
          <t>Skapa/hantera som ny taxa eller manuell granskning.</t>
        </is>
      </c>
    </row>
    <row r="261">
      <c r="B261" t="inlineStr">
        <is>
          <t>6.1.3</t>
        </is>
      </c>
      <c r="C261" t="inlineStr">
        <is>
          <t>Omklassning av felsorterad container</t>
        </is>
      </c>
      <c r="D261" t="inlineStr">
        <is>
          <t>Beslut</t>
        </is>
      </c>
      <c r="E261" t="inlineStr">
        <is>
          <t>NEW_TAXA</t>
        </is>
      </c>
      <c r="F261" t="inlineStr">
        <is>
          <t>Word</t>
        </is>
      </c>
      <c r="G261" t="inlineStr">
        <is>
          <t>Word-taxa saknar EDP-match och standardförslag</t>
        </is>
      </c>
      <c r="H261" t="inlineStr">
        <is>
          <t>TaxDecisionEngine</t>
        </is>
      </c>
      <c r="I261" t="inlineStr">
        <is>
          <t>NEW_TAXA</t>
        </is>
      </c>
      <c r="J261" t="inlineStr">
        <is>
          <t>Skapa/hantera som ny taxa eller manuell granskning.</t>
        </is>
      </c>
    </row>
    <row r="262">
      <c r="B262" t="inlineStr">
        <is>
          <t>6.1.4</t>
        </is>
      </c>
      <c r="C262" t="inlineStr">
        <is>
          <t>Okänt farligt avfall (säkerhetsdatablad saknas)</t>
        </is>
      </c>
      <c r="D262" t="inlineStr">
        <is>
          <t>Beslut</t>
        </is>
      </c>
      <c r="E262" t="inlineStr">
        <is>
          <t>NEW_TAXA</t>
        </is>
      </c>
      <c r="F262" t="inlineStr">
        <is>
          <t>Word</t>
        </is>
      </c>
      <c r="G262" t="inlineStr">
        <is>
          <t>Word-taxa saknar EDP-match och standardförslag</t>
        </is>
      </c>
      <c r="H262" t="inlineStr">
        <is>
          <t>TaxDecisionEngine</t>
        </is>
      </c>
      <c r="I262" t="inlineStr">
        <is>
          <t>NEW_TAXA</t>
        </is>
      </c>
      <c r="J262" t="inlineStr">
        <is>
          <t>Skapa/hantera som ny taxa eller manuell granskning.</t>
        </is>
      </c>
    </row>
    <row r="263">
      <c r="B263" t="inlineStr">
        <is>
          <t>6.1.4</t>
        </is>
      </c>
      <c r="C263" t="inlineStr">
        <is>
          <t>Ombud för rapportering av farligt avfall i Avfallsregistret</t>
        </is>
      </c>
      <c r="D263" t="inlineStr">
        <is>
          <t>Beslut</t>
        </is>
      </c>
      <c r="E263" t="inlineStr">
        <is>
          <t>NEW_TAXA</t>
        </is>
      </c>
      <c r="F263" t="inlineStr">
        <is>
          <t>Word</t>
        </is>
      </c>
      <c r="G263" t="inlineStr">
        <is>
          <t>Word-taxa saknar EDP-match och standardförslag</t>
        </is>
      </c>
      <c r="H263" t="inlineStr">
        <is>
          <t>TaxDecisionEngine</t>
        </is>
      </c>
      <c r="I263" t="inlineStr">
        <is>
          <t>NEW_TAXA</t>
        </is>
      </c>
      <c r="J263" t="inlineStr">
        <is>
          <t>Skapa/hantera som ny taxa eller manuell granskning.</t>
        </is>
      </c>
    </row>
    <row r="264">
      <c r="B264" t="inlineStr">
        <is>
          <t>6.1.4</t>
        </is>
      </c>
      <c r="C264" t="inlineStr">
        <is>
          <t>Administrativ rapporteringsavgift till Avfallsregistret</t>
        </is>
      </c>
      <c r="D264" t="inlineStr">
        <is>
          <t>Beslut</t>
        </is>
      </c>
      <c r="E264" t="inlineStr">
        <is>
          <t>NEW_TAXA</t>
        </is>
      </c>
      <c r="F264" t="inlineStr">
        <is>
          <t>Word</t>
        </is>
      </c>
      <c r="G264" t="inlineStr">
        <is>
          <t>Word-taxa saknar EDP-match och standardförslag</t>
        </is>
      </c>
      <c r="H264" t="inlineStr">
        <is>
          <t>TaxDecisionEngine</t>
        </is>
      </c>
      <c r="I264" t="inlineStr">
        <is>
          <t>NEW_TAXA</t>
        </is>
      </c>
      <c r="J264" t="inlineStr">
        <is>
          <t>Skapa/hantera som ny taxa eller manuell granskning.</t>
        </is>
      </c>
    </row>
    <row r="265">
      <c r="B265" t="inlineStr">
        <is>
          <t>6.1.4</t>
        </is>
      </c>
      <c r="C265" t="inlineStr">
        <is>
          <t>Ombud för registrering av El-kretsen avlämnarintyg i Hämtplatsportalen</t>
        </is>
      </c>
      <c r="D265" t="inlineStr">
        <is>
          <t>Beslut</t>
        </is>
      </c>
      <c r="E265" t="inlineStr">
        <is>
          <t>NEW_TAXA</t>
        </is>
      </c>
      <c r="F265" t="inlineStr">
        <is>
          <t>Word</t>
        </is>
      </c>
      <c r="G265" t="inlineStr">
        <is>
          <t>Word-taxa saknar EDP-match och standardförslag</t>
        </is>
      </c>
      <c r="H265" t="inlineStr">
        <is>
          <t>TaxDecisionEngine</t>
        </is>
      </c>
      <c r="I265" t="inlineStr">
        <is>
          <t>NEW_TAXA</t>
        </is>
      </c>
      <c r="J265" t="inlineStr">
        <is>
          <t>Skapa/hantera som ny taxa eller manuell granskning.</t>
        </is>
      </c>
    </row>
    <row r="266">
      <c r="A266" t="inlineStr"/>
      <c r="B266" t="inlineStr">
        <is>
          <t>2.1</t>
        </is>
      </c>
      <c r="C266" t="inlineStr">
        <is>
          <t>En- och tvåbostadshus</t>
        </is>
      </c>
      <c r="D266" t="inlineStr">
        <is>
          <t>Beslut</t>
        </is>
      </c>
      <c r="E266" t="inlineStr">
        <is>
          <t>REVIEW_REQUIRED</t>
        </is>
      </c>
      <c r="F266" t="inlineStr">
        <is>
          <t>Taxepunkter</t>
        </is>
      </c>
      <c r="G266" t="inlineStr">
        <is>
          <t>Bästa semantiska kandidat saknar taxekod</t>
        </is>
      </c>
      <c r="H266" t="inlineStr">
        <is>
          <t>TaxDecisionEngine</t>
        </is>
      </c>
      <c r="I266" t="inlineStr">
        <is>
          <t>REVIEW_REQUIRED</t>
        </is>
      </c>
      <c r="J266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7">
      <c r="A267" t="inlineStr"/>
      <c r="B267" t="inlineStr">
        <is>
          <t>2.1</t>
        </is>
      </c>
      <c r="C267" t="inlineStr">
        <is>
          <t>Fritidshus</t>
        </is>
      </c>
      <c r="D267" t="inlineStr">
        <is>
          <t>Beslut</t>
        </is>
      </c>
      <c r="E267" t="inlineStr">
        <is>
          <t>REVIEW_REQUIRED</t>
        </is>
      </c>
      <c r="F267" t="inlineStr">
        <is>
          <t>Taxepunkter</t>
        </is>
      </c>
      <c r="G267" t="inlineStr">
        <is>
          <t>Semantiska toppkandidater ligger för nära varandra</t>
        </is>
      </c>
      <c r="H267" t="inlineStr">
        <is>
          <t>TaxDecisionEngine</t>
        </is>
      </c>
      <c r="I267" t="inlineStr">
        <is>
          <t>REVIEW_REQUIRED</t>
        </is>
      </c>
      <c r="J267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68">
      <c r="A268" t="inlineStr"/>
      <c r="B268" t="inlineStr">
        <is>
          <t>2.1</t>
        </is>
      </c>
      <c r="C268" t="inlineStr">
        <is>
          <t>Verksamhet</t>
        </is>
      </c>
      <c r="D268" t="inlineStr">
        <is>
          <t>Beslut</t>
        </is>
      </c>
      <c r="E268" t="inlineStr">
        <is>
          <t>REVIEW_REQUIRED</t>
        </is>
      </c>
      <c r="F268" t="inlineStr">
        <is>
          <t>Taxepunkter</t>
        </is>
      </c>
      <c r="G268" t="inlineStr">
        <is>
          <t>Bästa semantiska kandidat saknar taxekod</t>
        </is>
      </c>
      <c r="H268" t="inlineStr">
        <is>
          <t>TaxDecisionEngine</t>
        </is>
      </c>
      <c r="I268" t="inlineStr">
        <is>
          <t>REVIEW_REQUIRED</t>
        </is>
      </c>
      <c r="J268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9">
      <c r="A269" t="inlineStr"/>
      <c r="B269" t="inlineStr">
        <is>
          <t>2.1</t>
        </is>
      </c>
      <c r="C269" t="inlineStr">
        <is>
          <t>Lägenhet i flerbostadshus</t>
        </is>
      </c>
      <c r="D269" t="inlineStr">
        <is>
          <t>Beslut</t>
        </is>
      </c>
      <c r="E269" t="inlineStr">
        <is>
          <t>REVIEW_REQUIRED</t>
        </is>
      </c>
      <c r="F269" t="inlineStr">
        <is>
          <t>Taxepunkter</t>
        </is>
      </c>
      <c r="G269" t="inlineStr">
        <is>
          <t>Semantiska toppkandidater ligger för nära varandra</t>
        </is>
      </c>
      <c r="H269" t="inlineStr">
        <is>
          <t>TaxDecisionEngine</t>
        </is>
      </c>
      <c r="I269" t="inlineStr">
        <is>
          <t>REVIEW_REQUIRED</t>
        </is>
      </c>
      <c r="J269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70">
      <c r="A270" t="inlineStr"/>
      <c r="B270" t="inlineStr">
        <is>
          <t>2.1</t>
        </is>
      </c>
      <c r="C270" t="inlineStr">
        <is>
          <t>Lägenhet för specialändamål</t>
        </is>
      </c>
      <c r="D270" t="inlineStr">
        <is>
          <t>Beslut</t>
        </is>
      </c>
      <c r="E270" t="inlineStr">
        <is>
          <t>NEW_TAXA</t>
        </is>
      </c>
      <c r="F270" t="inlineStr">
        <is>
          <t>SemanticDecisionEngine</t>
        </is>
      </c>
      <c r="G270" t="inlineStr">
        <is>
          <t>Ingen kandidat över granskningsgräns</t>
        </is>
      </c>
      <c r="H270" t="inlineStr">
        <is>
          <t>TaxDecisionEngine</t>
        </is>
      </c>
      <c r="I270" t="inlineStr">
        <is>
          <t>NEW_TAXA</t>
        </is>
      </c>
      <c r="J270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271">
      <c r="A271" t="inlineStr"/>
      <c r="B271" t="inlineStr">
        <is>
          <t>2.1</t>
        </is>
      </c>
      <c r="C271" t="inlineStr">
        <is>
          <t>Anläggning</t>
        </is>
      </c>
      <c r="D271" t="inlineStr">
        <is>
          <t>Beslut</t>
        </is>
      </c>
      <c r="E271" t="inlineStr">
        <is>
          <t>NEW_TAXA</t>
        </is>
      </c>
      <c r="F271" t="inlineStr">
        <is>
          <t>SemanticDecisionEngine</t>
        </is>
      </c>
      <c r="G271" t="inlineStr">
        <is>
          <t>Ingen kandidat över granskningsgräns</t>
        </is>
      </c>
      <c r="H271" t="inlineStr">
        <is>
          <t>TaxDecisionEngine</t>
        </is>
      </c>
      <c r="I271" t="inlineStr">
        <is>
          <t>NEW_TAXA</t>
        </is>
      </c>
      <c r="J271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272">
      <c r="A272" t="inlineStr"/>
      <c r="B272" t="inlineStr">
        <is>
          <t>2.1</t>
        </is>
      </c>
      <c r="C272" t="inlineStr">
        <is>
          <t>Säsongsbaserad uppställningsplats</t>
        </is>
      </c>
      <c r="D272" t="inlineStr">
        <is>
          <t>Beslut</t>
        </is>
      </c>
      <c r="E272" t="inlineStr">
        <is>
          <t>NEW_TAXA</t>
        </is>
      </c>
      <c r="F272" t="inlineStr">
        <is>
          <t>SemanticDecisionEngine</t>
        </is>
      </c>
      <c r="G272" t="inlineStr">
        <is>
          <t>Ingen kandidat över granskningsgräns</t>
        </is>
      </c>
      <c r="H272" t="inlineStr">
        <is>
          <t>TaxDecisionEngine</t>
        </is>
      </c>
      <c r="I272" t="inlineStr">
        <is>
          <t>NEW_TAXA</t>
        </is>
      </c>
      <c r="J27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73">
      <c r="A273" t="inlineStr"/>
      <c r="B273" t="inlineStr">
        <is>
          <t>2.1</t>
        </is>
      </c>
      <c r="C273" t="inlineStr">
        <is>
          <t>Campingstuga/-lägenhet</t>
        </is>
      </c>
      <c r="D273" t="inlineStr">
        <is>
          <t>Beslut</t>
        </is>
      </c>
      <c r="E273" t="inlineStr">
        <is>
          <t>REVIEW_REQUIRED</t>
        </is>
      </c>
      <c r="F273" t="inlineStr">
        <is>
          <t>Taxepunkter</t>
        </is>
      </c>
      <c r="G273" t="inlineStr">
        <is>
          <t>Bästa semantiska kandidat saknar taxekod</t>
        </is>
      </c>
      <c r="H273" t="inlineStr">
        <is>
          <t>TaxDecisionEngine</t>
        </is>
      </c>
      <c r="I273" t="inlineStr">
        <is>
          <t>REVIEW_REQUIRED</t>
        </is>
      </c>
      <c r="J273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274">
      <c r="A274" t="inlineStr"/>
      <c r="B274" t="inlineStr">
        <is>
          <t>2.2.1</t>
        </is>
      </c>
      <c r="C274" t="inlineStr">
        <is>
          <t>Kärl 240 l (mat-/restavfall)</t>
        </is>
      </c>
      <c r="D274" t="inlineStr">
        <is>
          <t>Beslut</t>
        </is>
      </c>
      <c r="E274" t="inlineStr">
        <is>
          <t>REVIEW_REQUIRED</t>
        </is>
      </c>
      <c r="F274" t="inlineStr">
        <is>
          <t>Taxepunkter</t>
        </is>
      </c>
      <c r="G274" t="inlineStr">
        <is>
          <t>Bästa semantiska kandidat saknar taxekod</t>
        </is>
      </c>
      <c r="H274" t="inlineStr">
        <is>
          <t>TaxDecisionEngine</t>
        </is>
      </c>
      <c r="I274" t="inlineStr">
        <is>
          <t>REVIEW_REQUIRED</t>
        </is>
      </c>
      <c r="J274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275">
      <c r="A275" t="inlineStr"/>
      <c r="B275" t="inlineStr">
        <is>
          <t>2.2.1</t>
        </is>
      </c>
      <c r="C275" t="inlineStr">
        <is>
          <t>Extrakärl 190 l (restavfall)</t>
        </is>
      </c>
      <c r="D275" t="inlineStr">
        <is>
          <t>Beslut</t>
        </is>
      </c>
      <c r="E275" t="inlineStr">
        <is>
          <t>REVIEW_REQUIRED</t>
        </is>
      </c>
      <c r="F275" t="inlineStr">
        <is>
          <t>Taxepunkter</t>
        </is>
      </c>
      <c r="G275" t="inlineStr">
        <is>
          <t>Bästa semantiska kandidat saknar taxekod</t>
        </is>
      </c>
      <c r="H275" t="inlineStr">
        <is>
          <t>TaxDecisionEngine</t>
        </is>
      </c>
      <c r="I275" t="inlineStr">
        <is>
          <t>REVIEW_REQUIRED</t>
        </is>
      </c>
      <c r="J27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76">
      <c r="A276" t="inlineStr"/>
      <c r="B276" t="inlineStr">
        <is>
          <t>2.2.2</t>
        </is>
      </c>
      <c r="C276" t="inlineStr">
        <is>
          <t>Kärl 240 l (mat-/restavfall)</t>
        </is>
      </c>
      <c r="D276" t="inlineStr">
        <is>
          <t>Beslut</t>
        </is>
      </c>
      <c r="E276" t="inlineStr">
        <is>
          <t>REVIEW_REQUIRED</t>
        </is>
      </c>
      <c r="F276" t="inlineStr">
        <is>
          <t>Taxepunkter</t>
        </is>
      </c>
      <c r="G276" t="inlineStr">
        <is>
          <t>Bästa semantiska kandidat saknar taxekod</t>
        </is>
      </c>
      <c r="H276" t="inlineStr">
        <is>
          <t>TaxDecisionEngine</t>
        </is>
      </c>
      <c r="I276" t="inlineStr">
        <is>
          <t>REVIEW_REQUIRED</t>
        </is>
      </c>
      <c r="J27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77">
      <c r="A277" t="inlineStr"/>
      <c r="B277" t="inlineStr">
        <is>
          <t>2.2.2</t>
        </is>
      </c>
      <c r="C277" t="inlineStr">
        <is>
          <t>Extrakärl 190 l (restavfall)</t>
        </is>
      </c>
      <c r="D277" t="inlineStr">
        <is>
          <t>Beslut</t>
        </is>
      </c>
      <c r="E277" t="inlineStr">
        <is>
          <t>REVIEW_REQUIRED</t>
        </is>
      </c>
      <c r="F277" t="inlineStr">
        <is>
          <t>Taxepunkter</t>
        </is>
      </c>
      <c r="G277" t="inlineStr">
        <is>
          <t>Bästa semantiska kandidat saknar taxekod</t>
        </is>
      </c>
      <c r="H277" t="inlineStr">
        <is>
          <t>TaxDecisionEngine</t>
        </is>
      </c>
      <c r="I277" t="inlineStr">
        <is>
          <t>REVIEW_REQUIRED</t>
        </is>
      </c>
      <c r="J27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78">
      <c r="A278" t="inlineStr"/>
      <c r="B278" t="inlineStr">
        <is>
          <t>2.2.3</t>
        </is>
      </c>
      <c r="C278" t="inlineStr">
        <is>
          <t>Gemensam uppsamlingsplats för mat-/restavfall</t>
        </is>
      </c>
      <c r="D278" t="inlineStr">
        <is>
          <t>Beslut</t>
        </is>
      </c>
      <c r="E278" t="inlineStr">
        <is>
          <t>REVIEW_REQUIRED</t>
        </is>
      </c>
      <c r="F278" t="inlineStr">
        <is>
          <t>Taxepunkter</t>
        </is>
      </c>
      <c r="G278" t="inlineStr">
        <is>
          <t>Bästa semantiska kandidat saknar taxekod</t>
        </is>
      </c>
      <c r="H278" t="inlineStr">
        <is>
          <t>TaxDecisionEngine</t>
        </is>
      </c>
      <c r="I278" t="inlineStr">
        <is>
          <t>REVIEW_REQUIRED</t>
        </is>
      </c>
      <c r="J27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79">
      <c r="A279" t="inlineStr"/>
      <c r="B279" t="inlineStr">
        <is>
          <t>2.2.3</t>
        </is>
      </c>
      <c r="C279" t="inlineStr">
        <is>
          <t>Extra digital licens (årskostnad)</t>
        </is>
      </c>
      <c r="D279" t="inlineStr">
        <is>
          <t>Beslut</t>
        </is>
      </c>
      <c r="E279" t="inlineStr">
        <is>
          <t>REVIEW_REQUIRED</t>
        </is>
      </c>
      <c r="F279" t="inlineStr">
        <is>
          <t>Taxepunkter</t>
        </is>
      </c>
      <c r="G279" t="inlineStr">
        <is>
          <t>Bästa semantiska kandidat saknar taxekod</t>
        </is>
      </c>
      <c r="H279" t="inlineStr">
        <is>
          <t>TaxDecisionEngine</t>
        </is>
      </c>
      <c r="I279" t="inlineStr">
        <is>
          <t>REVIEW_REQUIRED</t>
        </is>
      </c>
      <c r="J279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280">
      <c r="A280" t="inlineStr"/>
      <c r="B280" t="inlineStr">
        <is>
          <t>2.2.3</t>
        </is>
      </c>
      <c r="C280" t="inlineStr">
        <is>
          <t>Fysisk nyckel, kallad fob (engångskostnad)</t>
        </is>
      </c>
      <c r="D280" t="inlineStr">
        <is>
          <t>Beslut</t>
        </is>
      </c>
      <c r="E280" t="inlineStr">
        <is>
          <t>REVIEW_REQUIRED</t>
        </is>
      </c>
      <c r="F280" t="inlineStr">
        <is>
          <t>Taxepunkter</t>
        </is>
      </c>
      <c r="G280" t="inlineStr">
        <is>
          <t>Bästa semantiska kandidat saknar taxekod</t>
        </is>
      </c>
      <c r="H280" t="inlineStr">
        <is>
          <t>TaxDecisionEngine</t>
        </is>
      </c>
      <c r="I280" t="inlineStr">
        <is>
          <t>REVIEW_REQUIRED</t>
        </is>
      </c>
      <c r="J280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281">
      <c r="A281" t="inlineStr"/>
      <c r="B281" t="inlineStr">
        <is>
          <t>2.2.3</t>
        </is>
      </c>
      <c r="C281" t="inlineStr">
        <is>
          <t>Byte av telefonnummer kopplat till licens</t>
        </is>
      </c>
      <c r="D281" t="inlineStr">
        <is>
          <t>Beslut</t>
        </is>
      </c>
      <c r="E281" t="inlineStr">
        <is>
          <t>REVIEW_REQUIRED</t>
        </is>
      </c>
      <c r="F281" t="inlineStr">
        <is>
          <t>Taxepunkter</t>
        </is>
      </c>
      <c r="G281" t="inlineStr">
        <is>
          <t>Bästa semantiska kandidat saknar taxekod</t>
        </is>
      </c>
      <c r="H281" t="inlineStr">
        <is>
          <t>TaxDecisionEngine</t>
        </is>
      </c>
      <c r="I281" t="inlineStr">
        <is>
          <t>REVIEW_REQUIRED</t>
        </is>
      </c>
      <c r="J281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282">
      <c r="A282" t="inlineStr"/>
      <c r="B282" t="inlineStr">
        <is>
          <t>2.2.3</t>
        </is>
      </c>
      <c r="C282" t="inlineStr">
        <is>
          <t>Kostnad för öppning av behållare</t>
        </is>
      </c>
      <c r="D282" t="inlineStr">
        <is>
          <t>Beslut</t>
        </is>
      </c>
      <c r="E282" t="inlineStr">
        <is>
          <t>NEW_TAXA</t>
        </is>
      </c>
      <c r="F282" t="inlineStr">
        <is>
          <t>SemanticDecisionEngine</t>
        </is>
      </c>
      <c r="G282" t="inlineStr">
        <is>
          <t>Ingen kandidat över granskningsgräns</t>
        </is>
      </c>
      <c r="H282" t="inlineStr">
        <is>
          <t>TaxDecisionEngine</t>
        </is>
      </c>
      <c r="I282" t="inlineStr">
        <is>
          <t>NEW_TAXA</t>
        </is>
      </c>
      <c r="J282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283">
      <c r="A283" t="inlineStr"/>
      <c r="B283" t="inlineStr">
        <is>
          <t>2.2.4</t>
        </is>
      </c>
      <c r="C283" t="inlineStr">
        <is>
          <t>Kärl 240 l (mat-/restavfall)</t>
        </is>
      </c>
      <c r="D283" t="inlineStr">
        <is>
          <t>Beslut</t>
        </is>
      </c>
      <c r="E283" t="inlineStr">
        <is>
          <t>REVIEW_REQUIRED</t>
        </is>
      </c>
      <c r="F283" t="inlineStr">
        <is>
          <t>Taxepunkter</t>
        </is>
      </c>
      <c r="G283" t="inlineStr">
        <is>
          <t>Bästa semantiska kandidat saknar taxekod</t>
        </is>
      </c>
      <c r="H283" t="inlineStr">
        <is>
          <t>TaxDecisionEngine</t>
        </is>
      </c>
      <c r="I283" t="inlineStr">
        <is>
          <t>REVIEW_REQUIRED</t>
        </is>
      </c>
      <c r="J283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84">
      <c r="A284" t="inlineStr"/>
      <c r="B284" t="inlineStr">
        <is>
          <t>2.2.4</t>
        </is>
      </c>
      <c r="C284" t="inlineStr">
        <is>
          <t>Kärl 370 l (restavfall)</t>
        </is>
      </c>
      <c r="D284" t="inlineStr">
        <is>
          <t>Beslut</t>
        </is>
      </c>
      <c r="E284" t="inlineStr">
        <is>
          <t>REVIEW_REQUIRED</t>
        </is>
      </c>
      <c r="F284" t="inlineStr">
        <is>
          <t>Taxepunkter</t>
        </is>
      </c>
      <c r="G284" t="inlineStr">
        <is>
          <t>Bästa semantiska kandidat saknar taxekod</t>
        </is>
      </c>
      <c r="H284" t="inlineStr">
        <is>
          <t>TaxDecisionEngine</t>
        </is>
      </c>
      <c r="I284" t="inlineStr">
        <is>
          <t>REVIEW_REQUIRED</t>
        </is>
      </c>
      <c r="J284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85">
      <c r="A285" t="inlineStr"/>
      <c r="B285" t="inlineStr">
        <is>
          <t>2.2.4</t>
        </is>
      </c>
      <c r="C285" t="inlineStr">
        <is>
          <t>Kärl 660 l (restavfall)</t>
        </is>
      </c>
      <c r="D285" t="inlineStr">
        <is>
          <t>Beslut</t>
        </is>
      </c>
      <c r="E285" t="inlineStr">
        <is>
          <t>REVIEW_REQUIRED</t>
        </is>
      </c>
      <c r="F285" t="inlineStr">
        <is>
          <t>Taxepunkter</t>
        </is>
      </c>
      <c r="G285" t="inlineStr">
        <is>
          <t>Bästa semantiska kandidat saknar taxekod</t>
        </is>
      </c>
      <c r="H285" t="inlineStr">
        <is>
          <t>TaxDecisionEngine</t>
        </is>
      </c>
      <c r="I285" t="inlineStr">
        <is>
          <t>REVIEW_REQUIRED</t>
        </is>
      </c>
      <c r="J28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6">
      <c r="A286" t="inlineStr"/>
      <c r="B286" t="inlineStr">
        <is>
          <t>2.2.4</t>
        </is>
      </c>
      <c r="C286" t="inlineStr">
        <is>
          <t>Kärl 140 l (matavfall)</t>
        </is>
      </c>
      <c r="D286" t="inlineStr">
        <is>
          <t>Beslut</t>
        </is>
      </c>
      <c r="E286" t="inlineStr">
        <is>
          <t>REVIEW_REQUIRED</t>
        </is>
      </c>
      <c r="F286" t="inlineStr">
        <is>
          <t>Taxepunkter</t>
        </is>
      </c>
      <c r="G286" t="inlineStr">
        <is>
          <t>Bästa semantiska kandidat saknar taxekod</t>
        </is>
      </c>
      <c r="H286" t="inlineStr">
        <is>
          <t>TaxDecisionEngine</t>
        </is>
      </c>
      <c r="I286" t="inlineStr">
        <is>
          <t>REVIEW_REQUIRED</t>
        </is>
      </c>
      <c r="J28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87">
      <c r="A287" t="inlineStr"/>
      <c r="B287" t="inlineStr">
        <is>
          <t>2.2.4</t>
        </is>
      </c>
      <c r="C287" t="inlineStr">
        <is>
          <t>Kärl 190 l (förpackningar)</t>
        </is>
      </c>
      <c r="D287" t="inlineStr">
        <is>
          <t>Beslut</t>
        </is>
      </c>
      <c r="E287" t="inlineStr">
        <is>
          <t>REVIEW_REQUIRED</t>
        </is>
      </c>
      <c r="F287" t="inlineStr">
        <is>
          <t>Taxepunkter</t>
        </is>
      </c>
      <c r="G287" t="inlineStr">
        <is>
          <t>Bästa semantiska kandidat saknar taxekod</t>
        </is>
      </c>
      <c r="H287" t="inlineStr">
        <is>
          <t>TaxDecisionEngine</t>
        </is>
      </c>
      <c r="I287" t="inlineStr">
        <is>
          <t>REVIEW_REQUIRED</t>
        </is>
      </c>
      <c r="J28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88">
      <c r="A288" t="inlineStr"/>
      <c r="B288" t="inlineStr">
        <is>
          <t>2.2.4</t>
        </is>
      </c>
      <c r="C288" t="inlineStr">
        <is>
          <t>Kärl 370 l (förpackningar)</t>
        </is>
      </c>
      <c r="D288" t="inlineStr">
        <is>
          <t>Beslut</t>
        </is>
      </c>
      <c r="E288" t="inlineStr">
        <is>
          <t>REVIEW_REQUIRED</t>
        </is>
      </c>
      <c r="F288" t="inlineStr">
        <is>
          <t>Taxepunkter</t>
        </is>
      </c>
      <c r="G288" t="inlineStr">
        <is>
          <t>Bästa semantiska kandidat saknar taxekod</t>
        </is>
      </c>
      <c r="H288" t="inlineStr">
        <is>
          <t>TaxDecisionEngine</t>
        </is>
      </c>
      <c r="I288" t="inlineStr">
        <is>
          <t>REVIEW_REQUIRED</t>
        </is>
      </c>
      <c r="J28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89">
      <c r="A289" t="inlineStr"/>
      <c r="B289" t="inlineStr">
        <is>
          <t>2.2.4</t>
        </is>
      </c>
      <c r="C289" t="inlineStr">
        <is>
          <t>Kärl 660 l (förpackningar)</t>
        </is>
      </c>
      <c r="D289" t="inlineStr">
        <is>
          <t>Beslut</t>
        </is>
      </c>
      <c r="E289" t="inlineStr">
        <is>
          <t>REVIEW_REQUIRED</t>
        </is>
      </c>
      <c r="F289" t="inlineStr">
        <is>
          <t>Taxepunkter</t>
        </is>
      </c>
      <c r="G289" t="inlineStr">
        <is>
          <t>Bästa semantiska kandidat saknar taxekod</t>
        </is>
      </c>
      <c r="H289" t="inlineStr">
        <is>
          <t>TaxDecisionEngine</t>
        </is>
      </c>
      <c r="I289" t="inlineStr">
        <is>
          <t>REVIEW_REQUIRED</t>
        </is>
      </c>
      <c r="J289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0">
      <c r="A290" t="inlineStr"/>
      <c r="B290" t="inlineStr">
        <is>
          <t>2.2.4</t>
        </is>
      </c>
      <c r="C290" t="inlineStr">
        <is>
          <t>Kärl 190 l (tidningar och returpapper)</t>
        </is>
      </c>
      <c r="D290" t="inlineStr">
        <is>
          <t>Beslut</t>
        </is>
      </c>
      <c r="E290" t="inlineStr">
        <is>
          <t>REVIEW_REQUIRED</t>
        </is>
      </c>
      <c r="F290" t="inlineStr">
        <is>
          <t>Taxepunkter</t>
        </is>
      </c>
      <c r="G290" t="inlineStr">
        <is>
          <t>Bästa semantiska kandidat saknar taxekod</t>
        </is>
      </c>
      <c r="H290" t="inlineStr">
        <is>
          <t>TaxDecisionEngine</t>
        </is>
      </c>
      <c r="I290" t="inlineStr">
        <is>
          <t>REVIEW_REQUIRED</t>
        </is>
      </c>
      <c r="J29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1">
      <c r="A291" t="inlineStr"/>
      <c r="B291" t="inlineStr">
        <is>
          <t>2.2.4</t>
        </is>
      </c>
      <c r="C291" t="inlineStr">
        <is>
          <t>Kärl 370 l (tidningar och returpapper)</t>
        </is>
      </c>
      <c r="D291" t="inlineStr">
        <is>
          <t>Beslut</t>
        </is>
      </c>
      <c r="E291" t="inlineStr">
        <is>
          <t>REVIEW_REQUIRED</t>
        </is>
      </c>
      <c r="F291" t="inlineStr">
        <is>
          <t>Taxepunkter</t>
        </is>
      </c>
      <c r="G291" t="inlineStr">
        <is>
          <t>Bästa semantiska kandidat saknar taxekod</t>
        </is>
      </c>
      <c r="H291" t="inlineStr">
        <is>
          <t>TaxDecisionEngine</t>
        </is>
      </c>
      <c r="I291" t="inlineStr">
        <is>
          <t>REVIEW_REQUIRED</t>
        </is>
      </c>
      <c r="J29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92">
      <c r="A292" t="inlineStr"/>
      <c r="B292" t="inlineStr">
        <is>
          <t>2.2.4</t>
        </is>
      </c>
      <c r="C292" t="inlineStr">
        <is>
          <t>(mat-/restavfall, förpackningar)</t>
        </is>
      </c>
      <c r="D292" t="inlineStr">
        <is>
          <t>Beslut</t>
        </is>
      </c>
      <c r="E292" t="inlineStr">
        <is>
          <t>REVIEW_REQUIRED</t>
        </is>
      </c>
      <c r="F292" t="inlineStr">
        <is>
          <t>Taxepunkter</t>
        </is>
      </c>
      <c r="G292" t="inlineStr">
        <is>
          <t>Bästa semantiska kandidat saknar taxekod</t>
        </is>
      </c>
      <c r="H292" t="inlineStr">
        <is>
          <t>TaxDecisionEngine</t>
        </is>
      </c>
      <c r="I292" t="inlineStr">
        <is>
          <t>REVIEW_REQUIRED</t>
        </is>
      </c>
      <c r="J29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3">
      <c r="A293" t="inlineStr"/>
      <c r="B293" t="inlineStr">
        <is>
          <t>2.2.5</t>
        </is>
      </c>
      <c r="C293" t="inlineStr">
        <is>
          <t>Kärl 240 l (mat-/restavfall)</t>
        </is>
      </c>
      <c r="D293" t="inlineStr">
        <is>
          <t>Beslut</t>
        </is>
      </c>
      <c r="E293" t="inlineStr">
        <is>
          <t>REVIEW_REQUIRED</t>
        </is>
      </c>
      <c r="F293" t="inlineStr">
        <is>
          <t>Taxepunkter</t>
        </is>
      </c>
      <c r="G293" t="inlineStr">
        <is>
          <t>Bästa semantiska kandidat saknar taxekod</t>
        </is>
      </c>
      <c r="H293" t="inlineStr">
        <is>
          <t>TaxDecisionEngine</t>
        </is>
      </c>
      <c r="I293" t="inlineStr">
        <is>
          <t>REVIEW_REQUIRED</t>
        </is>
      </c>
      <c r="J29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94">
      <c r="A294" t="inlineStr"/>
      <c r="B294" t="inlineStr">
        <is>
          <t>2.2.5</t>
        </is>
      </c>
      <c r="C294" t="inlineStr">
        <is>
          <t>Kärl 370 l (restavfall)</t>
        </is>
      </c>
      <c r="D294" t="inlineStr">
        <is>
          <t>Beslut</t>
        </is>
      </c>
      <c r="E294" t="inlineStr">
        <is>
          <t>REVIEW_REQUIRED</t>
        </is>
      </c>
      <c r="F294" t="inlineStr">
        <is>
          <t>Taxepunkter</t>
        </is>
      </c>
      <c r="G294" t="inlineStr">
        <is>
          <t>Bästa semantiska kandidat saknar taxekod</t>
        </is>
      </c>
      <c r="H294" t="inlineStr">
        <is>
          <t>TaxDecisionEngine</t>
        </is>
      </c>
      <c r="I294" t="inlineStr">
        <is>
          <t>REVIEW_REQUIRED</t>
        </is>
      </c>
      <c r="J29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95">
      <c r="A295" t="inlineStr"/>
      <c r="B295" t="inlineStr">
        <is>
          <t>2.2.5</t>
        </is>
      </c>
      <c r="C295" t="inlineStr">
        <is>
          <t>Kärl 660 l (restavfall)</t>
        </is>
      </c>
      <c r="D295" t="inlineStr">
        <is>
          <t>Beslut</t>
        </is>
      </c>
      <c r="E295" t="inlineStr">
        <is>
          <t>REVIEW_REQUIRED</t>
        </is>
      </c>
      <c r="F295" t="inlineStr">
        <is>
          <t>Taxepunkter</t>
        </is>
      </c>
      <c r="G295" t="inlineStr">
        <is>
          <t>Bästa semantiska kandidat saknar taxekod</t>
        </is>
      </c>
      <c r="H295" t="inlineStr">
        <is>
          <t>TaxDecisionEngine</t>
        </is>
      </c>
      <c r="I295" t="inlineStr">
        <is>
          <t>REVIEW_REQUIRED</t>
        </is>
      </c>
      <c r="J29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6">
      <c r="A296" t="inlineStr"/>
      <c r="B296" t="inlineStr">
        <is>
          <t>2.2.5</t>
        </is>
      </c>
      <c r="C296" t="inlineStr">
        <is>
          <t>Kärl 140 l (matavfall)</t>
        </is>
      </c>
      <c r="D296" t="inlineStr">
        <is>
          <t>Beslut</t>
        </is>
      </c>
      <c r="E296" t="inlineStr">
        <is>
          <t>REVIEW_REQUIRED</t>
        </is>
      </c>
      <c r="F296" t="inlineStr">
        <is>
          <t>Taxepunkter</t>
        </is>
      </c>
      <c r="G296" t="inlineStr">
        <is>
          <t>Bästa semantiska kandidat saknar taxekod</t>
        </is>
      </c>
      <c r="H296" t="inlineStr">
        <is>
          <t>TaxDecisionEngine</t>
        </is>
      </c>
      <c r="I296" t="inlineStr">
        <is>
          <t>REVIEW_REQUIRED</t>
        </is>
      </c>
      <c r="J29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7">
      <c r="A297" t="inlineStr"/>
      <c r="B297" t="inlineStr">
        <is>
          <t>2.2.5</t>
        </is>
      </c>
      <c r="C297" t="inlineStr">
        <is>
          <t>Bottentömmande behållare (mat-/restavfall)</t>
        </is>
      </c>
      <c r="D297" t="inlineStr">
        <is>
          <t>Beslut</t>
        </is>
      </c>
      <c r="E297" t="inlineStr">
        <is>
          <t>REVIEW_REQUIRED</t>
        </is>
      </c>
      <c r="F297" t="inlineStr">
        <is>
          <t>Taxepunkter</t>
        </is>
      </c>
      <c r="G297" t="inlineStr">
        <is>
          <t>Bästa semantiska kandidat saknar taxekod</t>
        </is>
      </c>
      <c r="H297" t="inlineStr">
        <is>
          <t>TaxDecisionEngine</t>
        </is>
      </c>
      <c r="I297" t="inlineStr">
        <is>
          <t>REVIEW_REQUIRED</t>
        </is>
      </c>
      <c r="J297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298">
      <c r="A298" t="inlineStr"/>
      <c r="B298" t="inlineStr">
        <is>
          <t>2.2.5</t>
        </is>
      </c>
      <c r="C298" t="inlineStr">
        <is>
          <t>Lastväxlarflak (restavfall)</t>
        </is>
      </c>
      <c r="D298" t="inlineStr">
        <is>
          <t>Beslut</t>
        </is>
      </c>
      <c r="E298" t="inlineStr">
        <is>
          <t>NEW_TAXA</t>
        </is>
      </c>
      <c r="F298" t="inlineStr">
        <is>
          <t>SemanticDecisionEngine</t>
        </is>
      </c>
      <c r="G298" t="inlineStr">
        <is>
          <t>Ingen kandidat över granskningsgräns</t>
        </is>
      </c>
      <c r="H298" t="inlineStr">
        <is>
          <t>TaxDecisionEngine</t>
        </is>
      </c>
      <c r="I298" t="inlineStr">
        <is>
          <t>NEW_TAXA</t>
        </is>
      </c>
      <c r="J29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99">
      <c r="A299" t="inlineStr"/>
      <c r="B299" t="inlineStr">
        <is>
          <t>2.2.6</t>
        </is>
      </c>
      <c r="C299" t="inlineStr">
        <is>
          <t>Kärl 240 l (mat-/restavfall)</t>
        </is>
      </c>
      <c r="D299" t="inlineStr">
        <is>
          <t>Beslut</t>
        </is>
      </c>
      <c r="E299" t="inlineStr">
        <is>
          <t>NEW_TAXA</t>
        </is>
      </c>
      <c r="F299" t="inlineStr">
        <is>
          <t>SemanticDecisionEngine</t>
        </is>
      </c>
      <c r="G299" t="inlineStr">
        <is>
          <t>Ingen kandidat över granskningsgräns</t>
        </is>
      </c>
      <c r="H299" t="inlineStr">
        <is>
          <t>TaxDecisionEngine</t>
        </is>
      </c>
      <c r="I299" t="inlineStr">
        <is>
          <t>NEW_TAXA</t>
        </is>
      </c>
      <c r="J29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0">
      <c r="A300" t="inlineStr"/>
      <c r="B300" t="inlineStr">
        <is>
          <t>2.2.6</t>
        </is>
      </c>
      <c r="C300" t="inlineStr">
        <is>
          <t>Kärl 370 l (restavfall)</t>
        </is>
      </c>
      <c r="D300" t="inlineStr">
        <is>
          <t>Beslut</t>
        </is>
      </c>
      <c r="E300" t="inlineStr">
        <is>
          <t>REVIEW_REQUIRED</t>
        </is>
      </c>
      <c r="F300" t="inlineStr">
        <is>
          <t>Taxepunkter</t>
        </is>
      </c>
      <c r="G300" t="inlineStr">
        <is>
          <t>Bästa semantiska kandidat saknar taxekod</t>
        </is>
      </c>
      <c r="H300" t="inlineStr">
        <is>
          <t>TaxDecisionEngine</t>
        </is>
      </c>
      <c r="I300" t="inlineStr">
        <is>
          <t>REVIEW_REQUIRED</t>
        </is>
      </c>
      <c r="J300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01">
      <c r="A301" t="inlineStr"/>
      <c r="B301" t="inlineStr">
        <is>
          <t>2.2.6</t>
        </is>
      </c>
      <c r="C301" t="inlineStr">
        <is>
          <t>Kärl 660 l (restavfall)</t>
        </is>
      </c>
      <c r="D301" t="inlineStr">
        <is>
          <t>Beslut</t>
        </is>
      </c>
      <c r="E301" t="inlineStr">
        <is>
          <t>NEW_TAXA</t>
        </is>
      </c>
      <c r="F301" t="inlineStr">
        <is>
          <t>SemanticDecisionEngine</t>
        </is>
      </c>
      <c r="G301" t="inlineStr">
        <is>
          <t>Ingen kandidat över granskningsgräns</t>
        </is>
      </c>
      <c r="H301" t="inlineStr">
        <is>
          <t>TaxDecisionEngine</t>
        </is>
      </c>
      <c r="I301" t="inlineStr">
        <is>
          <t>NEW_TAXA</t>
        </is>
      </c>
      <c r="J301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02">
      <c r="A302" t="inlineStr"/>
      <c r="B302" t="inlineStr">
        <is>
          <t>2.2.6</t>
        </is>
      </c>
      <c r="C302" t="inlineStr">
        <is>
          <t>Kärl 140 l (matavfall)</t>
        </is>
      </c>
      <c r="D302" t="inlineStr">
        <is>
          <t>Beslut</t>
        </is>
      </c>
      <c r="E302" t="inlineStr">
        <is>
          <t>NEW_TAXA</t>
        </is>
      </c>
      <c r="F302" t="inlineStr">
        <is>
          <t>SemanticDecisionEngine</t>
        </is>
      </c>
      <c r="G302" t="inlineStr">
        <is>
          <t>Ingen kandidat över granskningsgräns</t>
        </is>
      </c>
      <c r="H302" t="inlineStr">
        <is>
          <t>TaxDecisionEngine</t>
        </is>
      </c>
      <c r="I302" t="inlineStr">
        <is>
          <t>NEW_TAXA</t>
        </is>
      </c>
      <c r="J30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03">
      <c r="A303" t="inlineStr"/>
      <c r="B303" t="inlineStr">
        <is>
          <t>2.2.6</t>
        </is>
      </c>
      <c r="C303" t="inlineStr">
        <is>
          <t>Bottentömmande behållare (mat-/restavfall)</t>
        </is>
      </c>
      <c r="D303" t="inlineStr">
        <is>
          <t>Beslut</t>
        </is>
      </c>
      <c r="E303" t="inlineStr">
        <is>
          <t>NEW_TAXA</t>
        </is>
      </c>
      <c r="F303" t="inlineStr">
        <is>
          <t>SemanticDecisionEngine</t>
        </is>
      </c>
      <c r="G303" t="inlineStr">
        <is>
          <t>Ingen kandidat över granskningsgräns</t>
        </is>
      </c>
      <c r="H303" t="inlineStr">
        <is>
          <t>TaxDecisionEngine</t>
        </is>
      </c>
      <c r="I303" t="inlineStr">
        <is>
          <t>NEW_TAXA</t>
        </is>
      </c>
      <c r="J30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4">
      <c r="A304" t="inlineStr"/>
      <c r="B304" t="inlineStr">
        <is>
          <t>2.2.6</t>
        </is>
      </c>
      <c r="C304" t="inlineStr">
        <is>
          <t>Lastväxlarflak (restavfall)</t>
        </is>
      </c>
      <c r="D304" t="inlineStr">
        <is>
          <t>Beslut</t>
        </is>
      </c>
      <c r="E304" t="inlineStr">
        <is>
          <t>REVIEW_REQUIRED</t>
        </is>
      </c>
      <c r="F304" t="inlineStr">
        <is>
          <t>Taxepunkter</t>
        </is>
      </c>
      <c r="G304" t="inlineStr">
        <is>
          <t>Bästa semantiska kandidat saknar taxekod</t>
        </is>
      </c>
      <c r="H304" t="inlineStr">
        <is>
          <t>TaxDecisionEngine</t>
        </is>
      </c>
      <c r="I304" t="inlineStr">
        <is>
          <t>REVIEW_REQUIRED</t>
        </is>
      </c>
      <c r="J304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305">
      <c r="A305" t="inlineStr"/>
      <c r="B305" t="inlineStr">
        <is>
          <t>2.2.7</t>
        </is>
      </c>
      <c r="C305" t="inlineStr">
        <is>
          <t>Kärl 140 l (kontors-/returpapper)</t>
        </is>
      </c>
      <c r="D305" t="inlineStr">
        <is>
          <t>Beslut</t>
        </is>
      </c>
      <c r="E305" t="inlineStr">
        <is>
          <t>NEW_TAXA</t>
        </is>
      </c>
      <c r="F305" t="inlineStr">
        <is>
          <t>SemanticDecisionEngine</t>
        </is>
      </c>
      <c r="G305" t="inlineStr">
        <is>
          <t>Ingen kandidat över granskningsgräns</t>
        </is>
      </c>
      <c r="H305" t="inlineStr">
        <is>
          <t>TaxDecisionEngine</t>
        </is>
      </c>
      <c r="I305" t="inlineStr">
        <is>
          <t>NEW_TAXA</t>
        </is>
      </c>
      <c r="J305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306">
      <c r="A306" t="inlineStr"/>
      <c r="B306" t="inlineStr">
        <is>
          <t>2.2.7</t>
        </is>
      </c>
      <c r="C306" t="inlineStr">
        <is>
          <t>Egen överlämning av förbrukat kontors-/returpapper enligt anvisning</t>
        </is>
      </c>
      <c r="D306" t="inlineStr">
        <is>
          <t>Beslut</t>
        </is>
      </c>
      <c r="E306" t="inlineStr">
        <is>
          <t>REVIEW_REQUIRED</t>
        </is>
      </c>
      <c r="F306" t="inlineStr">
        <is>
          <t>Taxepunkter</t>
        </is>
      </c>
      <c r="G306" t="inlineStr">
        <is>
          <t>Bästa semantiska kandidat saknar taxekod</t>
        </is>
      </c>
      <c r="H306" t="inlineStr">
        <is>
          <t>TaxDecisionEngine</t>
        </is>
      </c>
      <c r="I306" t="inlineStr">
        <is>
          <t>REVIEW_REQUIRED</t>
        </is>
      </c>
      <c r="J306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307">
      <c r="A307" t="inlineStr"/>
      <c r="B307" t="inlineStr">
        <is>
          <t>2.2.7</t>
        </is>
      </c>
      <c r="C307" t="inlineStr">
        <is>
          <t>Egen överlämning av förbrukat matfett enligt anvisning</t>
        </is>
      </c>
      <c r="D307" t="inlineStr">
        <is>
          <t>Beslut</t>
        </is>
      </c>
      <c r="E307" t="inlineStr">
        <is>
          <t>REVIEW_REQUIRED</t>
        </is>
      </c>
      <c r="F307" t="inlineStr">
        <is>
          <t>Taxepunkter</t>
        </is>
      </c>
      <c r="G307" t="inlineStr">
        <is>
          <t>Semantisk kandidat finns men säkerheten räcker inte för förslag</t>
        </is>
      </c>
      <c r="H307" t="inlineStr">
        <is>
          <t>TaxDecisionEngine</t>
        </is>
      </c>
      <c r="I307" t="inlineStr">
        <is>
          <t>REVIEW_REQUIRED</t>
        </is>
      </c>
      <c r="J307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308">
      <c r="A308" t="inlineStr"/>
      <c r="B308" t="inlineStr">
        <is>
          <t>2.3</t>
        </is>
      </c>
      <c r="C308" t="inlineStr">
        <is>
          <t>Viktavgift matavfall</t>
        </is>
      </c>
      <c r="D308" t="inlineStr">
        <is>
          <t>Beslut</t>
        </is>
      </c>
      <c r="E308" t="inlineStr">
        <is>
          <t>REVIEW_REQUIRED</t>
        </is>
      </c>
      <c r="F308" t="inlineStr">
        <is>
          <t>Taxepunkter</t>
        </is>
      </c>
      <c r="G308" t="inlineStr">
        <is>
          <t>Bästa semantiska kandidat saknar taxekod</t>
        </is>
      </c>
      <c r="H308" t="inlineStr">
        <is>
          <t>TaxDecisionEngine</t>
        </is>
      </c>
      <c r="I308" t="inlineStr">
        <is>
          <t>REVIEW_REQUIRED</t>
        </is>
      </c>
      <c r="J308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309">
      <c r="A309" t="inlineStr"/>
      <c r="B309" t="inlineStr">
        <is>
          <t>2.3</t>
        </is>
      </c>
      <c r="C309" t="inlineStr">
        <is>
          <t>Viktavgift restavfall</t>
        </is>
      </c>
      <c r="D309" t="inlineStr">
        <is>
          <t>Beslut</t>
        </is>
      </c>
      <c r="E309" t="inlineStr">
        <is>
          <t>REVIEW_REQUIRED</t>
        </is>
      </c>
      <c r="F309" t="inlineStr">
        <is>
          <t>Taxepunkter</t>
        </is>
      </c>
      <c r="G309" t="inlineStr">
        <is>
          <t>Bästa semantiska kandidat saknar taxekod</t>
        </is>
      </c>
      <c r="H309" t="inlineStr">
        <is>
          <t>TaxDecisionEngine</t>
        </is>
      </c>
      <c r="I309" t="inlineStr">
        <is>
          <t>REVIEW_REQUIRED</t>
        </is>
      </c>
      <c r="J309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310">
      <c r="A310" t="inlineStr"/>
      <c r="B310" t="inlineStr">
        <is>
          <t>2.3</t>
        </is>
      </c>
      <c r="C310" t="inlineStr">
        <is>
          <t>Lyftavgift kärl</t>
        </is>
      </c>
      <c r="D310" t="inlineStr">
        <is>
          <t>Beslut</t>
        </is>
      </c>
      <c r="E310" t="inlineStr">
        <is>
          <t>NEW_TAXA</t>
        </is>
      </c>
      <c r="F310" t="inlineStr">
        <is>
          <t>SemanticDecisionEngine</t>
        </is>
      </c>
      <c r="G310" t="inlineStr">
        <is>
          <t>Ingen kandidat över granskningsgräns</t>
        </is>
      </c>
      <c r="H310" t="inlineStr">
        <is>
          <t>TaxDecisionEngine</t>
        </is>
      </c>
      <c r="I310" t="inlineStr">
        <is>
          <t>NEW_TAXA</t>
        </is>
      </c>
      <c r="J310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1">
      <c r="A311" t="inlineStr"/>
      <c r="B311" t="inlineStr">
        <is>
          <t>2.4.1</t>
        </is>
      </c>
      <c r="C311" t="inlineStr">
        <is>
          <t>Fakturavgift</t>
        </is>
      </c>
      <c r="D311" t="inlineStr">
        <is>
          <t>Beslut</t>
        </is>
      </c>
      <c r="E311" t="inlineStr">
        <is>
          <t>REVIEW_REQUIRED</t>
        </is>
      </c>
      <c r="F311" t="inlineStr">
        <is>
          <t>Taxepunkter</t>
        </is>
      </c>
      <c r="G311" t="inlineStr">
        <is>
          <t>Bästa semantiska kandidat saknar taxekod</t>
        </is>
      </c>
      <c r="H311" t="inlineStr">
        <is>
          <t>TaxDecisionEngine</t>
        </is>
      </c>
      <c r="I311" t="inlineStr">
        <is>
          <t>REVIEW_REQUIRED</t>
        </is>
      </c>
      <c r="J311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2">
      <c r="A312" t="inlineStr"/>
      <c r="B312" t="inlineStr">
        <is>
          <t>2.4.2</t>
        </is>
      </c>
      <c r="C312" t="inlineStr">
        <is>
          <t>Delat kärl 240 l matavfall 40 kg</t>
        </is>
      </c>
      <c r="D312" t="inlineStr">
        <is>
          <t>Beslut</t>
        </is>
      </c>
      <c r="E312" t="inlineStr">
        <is>
          <t>REVIEW_REQUIRED</t>
        </is>
      </c>
      <c r="F312" t="inlineStr">
        <is>
          <t>Taxepunkter</t>
        </is>
      </c>
      <c r="G312" t="inlineStr">
        <is>
          <t>Bästa semantiska kandidat saknar taxekod</t>
        </is>
      </c>
      <c r="H312" t="inlineStr">
        <is>
          <t>TaxDecisionEngine</t>
        </is>
      </c>
      <c r="I312" t="inlineStr">
        <is>
          <t>REVIEW_REQUIRED</t>
        </is>
      </c>
      <c r="J312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313">
      <c r="A313" t="inlineStr"/>
      <c r="B313" t="inlineStr">
        <is>
          <t>2.4.2</t>
        </is>
      </c>
      <c r="C313" t="inlineStr">
        <is>
          <t>Delat kärl 240 l restavfall 40 kg</t>
        </is>
      </c>
      <c r="D313" t="inlineStr">
        <is>
          <t>Beslut</t>
        </is>
      </c>
      <c r="E313" t="inlineStr">
        <is>
          <t>REVIEW_REQUIRED</t>
        </is>
      </c>
      <c r="F313" t="inlineStr">
        <is>
          <t>Taxepunkter</t>
        </is>
      </c>
      <c r="G313" t="inlineStr">
        <is>
          <t>Bästa semantiska kandidat saknar taxekod</t>
        </is>
      </c>
      <c r="H313" t="inlineStr">
        <is>
          <t>TaxDecisionEngine</t>
        </is>
      </c>
      <c r="I313" t="inlineStr">
        <is>
          <t>REVIEW_REQUIRED</t>
        </is>
      </c>
      <c r="J313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314">
      <c r="A314" t="inlineStr"/>
      <c r="B314" t="inlineStr">
        <is>
          <t>2.4.2</t>
        </is>
      </c>
      <c r="C314" t="inlineStr">
        <is>
          <t>Extra kärl 140 l matavfall 60 kg</t>
        </is>
      </c>
      <c r="D314" t="inlineStr">
        <is>
          <t>Beslut</t>
        </is>
      </c>
      <c r="E314" t="inlineStr">
        <is>
          <t>REVIEW_REQUIRED</t>
        </is>
      </c>
      <c r="F314" t="inlineStr">
        <is>
          <t>Taxepunkter</t>
        </is>
      </c>
      <c r="G314" t="inlineStr">
        <is>
          <t>Bästa semantiska kandidat saknar taxekod</t>
        </is>
      </c>
      <c r="H314" t="inlineStr">
        <is>
          <t>TaxDecisionEngine</t>
        </is>
      </c>
      <c r="I314" t="inlineStr">
        <is>
          <t>REVIEW_REQUIRED</t>
        </is>
      </c>
      <c r="J314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315">
      <c r="A315" t="inlineStr"/>
      <c r="B315" t="inlineStr">
        <is>
          <t>2.4.2</t>
        </is>
      </c>
      <c r="C315" t="inlineStr">
        <is>
          <t>Extra kärl 140-190 l restavfall 60 kg</t>
        </is>
      </c>
      <c r="D315" t="inlineStr">
        <is>
          <t>Beslut</t>
        </is>
      </c>
      <c r="E315" t="inlineStr">
        <is>
          <t>REVIEW_REQUIRED</t>
        </is>
      </c>
      <c r="F315" t="inlineStr">
        <is>
          <t>Taxepunkter</t>
        </is>
      </c>
      <c r="G315" t="inlineStr">
        <is>
          <t>Bästa semantiska kandidat saknar taxekod</t>
        </is>
      </c>
      <c r="H315" t="inlineStr">
        <is>
          <t>TaxDecisionEngine</t>
        </is>
      </c>
      <c r="I315" t="inlineStr">
        <is>
          <t>REVIEW_REQUIRED</t>
        </is>
      </c>
      <c r="J315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316">
      <c r="A316" t="inlineStr"/>
      <c r="B316" t="inlineStr">
        <is>
          <t>2.4.2</t>
        </is>
      </c>
      <c r="C316" t="inlineStr">
        <is>
          <t>Kärl 370 l restavfall 60 kg</t>
        </is>
      </c>
      <c r="D316" t="inlineStr">
        <is>
          <t>Beslut</t>
        </is>
      </c>
      <c r="E316" t="inlineStr">
        <is>
          <t>NEW_TAXA</t>
        </is>
      </c>
      <c r="F316" t="inlineStr">
        <is>
          <t>SemanticDecisionEngine</t>
        </is>
      </c>
      <c r="G316" t="inlineStr">
        <is>
          <t>Ingen kandidat över granskningsgräns</t>
        </is>
      </c>
      <c r="H316" t="inlineStr">
        <is>
          <t>TaxDecisionEngine</t>
        </is>
      </c>
      <c r="I316" t="inlineStr">
        <is>
          <t>NEW_TAXA</t>
        </is>
      </c>
      <c r="J31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7">
      <c r="A317" t="inlineStr"/>
      <c r="B317" t="inlineStr">
        <is>
          <t>2.4.2</t>
        </is>
      </c>
      <c r="C317" t="inlineStr">
        <is>
          <t>Kärl 660 l restavfall 100 kg</t>
        </is>
      </c>
      <c r="D317" t="inlineStr">
        <is>
          <t>Beslut</t>
        </is>
      </c>
      <c r="E317" t="inlineStr">
        <is>
          <t>REVIEW_REQUIRED</t>
        </is>
      </c>
      <c r="F317" t="inlineStr">
        <is>
          <t>Taxepunkter</t>
        </is>
      </c>
      <c r="G317" t="inlineStr">
        <is>
          <t>Bästa semantiska kandidat saknar taxekod</t>
        </is>
      </c>
      <c r="H317" t="inlineStr">
        <is>
          <t>TaxDecisionEngine</t>
        </is>
      </c>
      <c r="I317" t="inlineStr">
        <is>
          <t>REVIEW_REQUIRED</t>
        </is>
      </c>
      <c r="J31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8">
      <c r="A318" t="inlineStr"/>
      <c r="B318" t="inlineStr">
        <is>
          <t>2.4.3</t>
        </is>
      </c>
      <c r="C318" t="inlineStr">
        <is>
          <t>Överfullt kärl</t>
        </is>
      </c>
      <c r="D318" t="inlineStr">
        <is>
          <t>Beslut</t>
        </is>
      </c>
      <c r="E318" t="inlineStr">
        <is>
          <t>REVIEW_REQUIRED</t>
        </is>
      </c>
      <c r="F318" t="inlineStr">
        <is>
          <t>Taxepunkter</t>
        </is>
      </c>
      <c r="G318" t="inlineStr">
        <is>
          <t>Bästa semantiska kandidat saknar taxekod</t>
        </is>
      </c>
      <c r="H318" t="inlineStr">
        <is>
          <t>TaxDecisionEngine</t>
        </is>
      </c>
      <c r="I318" t="inlineStr">
        <is>
          <t>REVIEW_REQUIRED</t>
        </is>
      </c>
      <c r="J318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19">
      <c r="A319" t="inlineStr"/>
      <c r="B319" t="inlineStr">
        <is>
          <t>2.4.3</t>
        </is>
      </c>
      <c r="C319" t="inlineStr">
        <is>
          <t>Överfull bottentömmande behållare</t>
        </is>
      </c>
      <c r="D319" t="inlineStr">
        <is>
          <t>Beslut</t>
        </is>
      </c>
      <c r="E319" t="inlineStr">
        <is>
          <t>REVIEW_REQUIRED</t>
        </is>
      </c>
      <c r="F319" t="inlineStr">
        <is>
          <t>Taxepunkter</t>
        </is>
      </c>
      <c r="G319" t="inlineStr">
        <is>
          <t>Bästa semantiska kandidat saknar taxekod</t>
        </is>
      </c>
      <c r="H319" t="inlineStr">
        <is>
          <t>TaxDecisionEngine</t>
        </is>
      </c>
      <c r="I319" t="inlineStr">
        <is>
          <t>REVIEW_REQUIRED</t>
        </is>
      </c>
      <c r="J319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0">
      <c r="A320" t="inlineStr"/>
      <c r="B320" t="inlineStr">
        <is>
          <t>2.4.4</t>
        </is>
      </c>
      <c r="C320" t="inlineStr">
        <is>
          <t>Byte av trasigt kärl vid oaktsamhet</t>
        </is>
      </c>
      <c r="D320" t="inlineStr">
        <is>
          <t>Beslut</t>
        </is>
      </c>
      <c r="E320" t="inlineStr">
        <is>
          <t>REVIEW_REQUIRED</t>
        </is>
      </c>
      <c r="F320" t="inlineStr">
        <is>
          <t>Taxepunkter</t>
        </is>
      </c>
      <c r="G320" t="inlineStr">
        <is>
          <t>Bästa semantiska kandidat saknar taxekod</t>
        </is>
      </c>
      <c r="H320" t="inlineStr">
        <is>
          <t>TaxDecisionEngine</t>
        </is>
      </c>
      <c r="I320" t="inlineStr">
        <is>
          <t>REVIEW_REQUIRED</t>
        </is>
      </c>
      <c r="J320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1">
      <c r="A321" t="inlineStr"/>
      <c r="B321" t="inlineStr">
        <is>
          <t>2.4.5</t>
        </is>
      </c>
      <c r="C321" t="inlineStr">
        <is>
          <t>Byte/återtag av kärl en (1) ggr/år 140–240 liter</t>
        </is>
      </c>
      <c r="D321" t="inlineStr">
        <is>
          <t>Beslut</t>
        </is>
      </c>
      <c r="E321" t="inlineStr">
        <is>
          <t>NEW_TAXA</t>
        </is>
      </c>
      <c r="F321" t="inlineStr">
        <is>
          <t>SemanticDecisionEngine</t>
        </is>
      </c>
      <c r="G321" t="inlineStr">
        <is>
          <t>Ingen kandidat över granskningsgräns</t>
        </is>
      </c>
      <c r="H321" t="inlineStr">
        <is>
          <t>TaxDecisionEngine</t>
        </is>
      </c>
      <c r="I321" t="inlineStr">
        <is>
          <t>NEW_TAXA</t>
        </is>
      </c>
      <c r="J321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2">
      <c r="A322" t="inlineStr"/>
      <c r="B322" t="inlineStr">
        <is>
          <t>2.4.5</t>
        </is>
      </c>
      <c r="C322" t="inlineStr">
        <is>
          <t>Byte/återtag av kärl en (1) ggr/år 370–660 liter</t>
        </is>
      </c>
      <c r="D322" t="inlineStr">
        <is>
          <t>Beslut</t>
        </is>
      </c>
      <c r="E322" t="inlineStr">
        <is>
          <t>NEW_TAXA</t>
        </is>
      </c>
      <c r="F322" t="inlineStr">
        <is>
          <t>SemanticDecisionEngine</t>
        </is>
      </c>
      <c r="G322" t="inlineStr">
        <is>
          <t>Ingen kandidat över granskningsgräns</t>
        </is>
      </c>
      <c r="H322" t="inlineStr">
        <is>
          <t>TaxDecisionEngine</t>
        </is>
      </c>
      <c r="I322" t="inlineStr">
        <is>
          <t>NEW_TAXA</t>
        </is>
      </c>
      <c r="J32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3">
      <c r="A323" t="inlineStr"/>
      <c r="B323" t="inlineStr">
        <is>
          <t>2.4.5</t>
        </is>
      </c>
      <c r="C323" t="inlineStr">
        <is>
          <t>Ytterligare byte av kärl under kalenderåret</t>
        </is>
      </c>
      <c r="D323" t="inlineStr">
        <is>
          <t>Beslut</t>
        </is>
      </c>
      <c r="E323" t="inlineStr">
        <is>
          <t>REVIEW_REQUIRED</t>
        </is>
      </c>
      <c r="F323" t="inlineStr">
        <is>
          <t>Taxepunkter</t>
        </is>
      </c>
      <c r="G323" t="inlineStr">
        <is>
          <t>Bästa semantiska kandidat saknar taxekod</t>
        </is>
      </c>
      <c r="H323" t="inlineStr">
        <is>
          <t>TaxDecisionEngine</t>
        </is>
      </c>
      <c r="I323" t="inlineStr">
        <is>
          <t>REVIEW_REQUIRED</t>
        </is>
      </c>
      <c r="J323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24">
      <c r="A324" t="inlineStr"/>
      <c r="B324" t="inlineStr">
        <is>
          <t>2.4.6</t>
        </is>
      </c>
      <c r="C324" t="inlineStr">
        <is>
          <t>Kärl</t>
        </is>
      </c>
      <c r="D324" t="inlineStr">
        <is>
          <t>Beslut</t>
        </is>
      </c>
      <c r="E324" t="inlineStr">
        <is>
          <t>REVIEW_REQUIRED</t>
        </is>
      </c>
      <c r="F324" t="inlineStr">
        <is>
          <t>Taxepunkter</t>
        </is>
      </c>
      <c r="G324" t="inlineStr">
        <is>
          <t>Semantisk kandidat finns men säkerheten räcker inte för förslag</t>
        </is>
      </c>
      <c r="H324" t="inlineStr">
        <is>
          <t>TaxDecisionEngine</t>
        </is>
      </c>
      <c r="I324" t="inlineStr">
        <is>
          <t>REVIEW_REQUIRED</t>
        </is>
      </c>
      <c r="J324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325">
      <c r="A325" t="inlineStr"/>
      <c r="B325" t="inlineStr">
        <is>
          <t>2.4.6</t>
        </is>
      </c>
      <c r="C325" t="inlineStr">
        <is>
          <t>Bottentömmande behållare</t>
        </is>
      </c>
      <c r="D325" t="inlineStr">
        <is>
          <t>Beslut</t>
        </is>
      </c>
      <c r="E325" t="inlineStr">
        <is>
          <t>REVIEW_REQUIRED</t>
        </is>
      </c>
      <c r="F325" t="inlineStr">
        <is>
          <t>Taxepunkter</t>
        </is>
      </c>
      <c r="G325" t="inlineStr">
        <is>
          <t>Bästa semantiska kandidat saknar taxekod</t>
        </is>
      </c>
      <c r="H325" t="inlineStr">
        <is>
          <t>TaxDecisionEngine</t>
        </is>
      </c>
      <c r="I325" t="inlineStr">
        <is>
          <t>REVIEW_REQUIRED</t>
        </is>
      </c>
      <c r="J325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326">
      <c r="A326" t="inlineStr"/>
      <c r="B326" t="inlineStr">
        <is>
          <t>2.4.7</t>
        </is>
      </c>
      <c r="C326" t="inlineStr">
        <is>
          <t>Kärl 140-660 L 1,5-10</t>
        </is>
      </c>
      <c r="D326" t="inlineStr">
        <is>
          <t>Beslut</t>
        </is>
      </c>
      <c r="E326" t="inlineStr">
        <is>
          <t>REVIEW_REQUIRED</t>
        </is>
      </c>
      <c r="F326" t="inlineStr">
        <is>
          <t>Taxepunkter</t>
        </is>
      </c>
      <c r="G326" t="inlineStr">
        <is>
          <t>Bästa semantiska kandidat saknar taxekod</t>
        </is>
      </c>
      <c r="H326" t="inlineStr">
        <is>
          <t>TaxDecisionEngine</t>
        </is>
      </c>
      <c r="I326" t="inlineStr">
        <is>
          <t>REVIEW_REQUIRED</t>
        </is>
      </c>
      <c r="J326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27">
      <c r="A327" t="inlineStr"/>
      <c r="B327" t="inlineStr">
        <is>
          <t>2.4.7</t>
        </is>
      </c>
      <c r="C327" t="inlineStr">
        <is>
          <t>Kärl 140-660 L 10-20</t>
        </is>
      </c>
      <c r="D327" t="inlineStr">
        <is>
          <t>Beslut</t>
        </is>
      </c>
      <c r="E327" t="inlineStr">
        <is>
          <t>REVIEW_REQUIRED</t>
        </is>
      </c>
      <c r="F327" t="inlineStr">
        <is>
          <t>Taxepunkter</t>
        </is>
      </c>
      <c r="G327" t="inlineStr">
        <is>
          <t>Bästa semantiska kandidat saknar taxekod</t>
        </is>
      </c>
      <c r="H327" t="inlineStr">
        <is>
          <t>TaxDecisionEngine</t>
        </is>
      </c>
      <c r="I327" t="inlineStr">
        <is>
          <t>REVIEW_REQUIRED</t>
        </is>
      </c>
      <c r="J32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28">
      <c r="A328" t="inlineStr"/>
      <c r="B328" t="inlineStr">
        <is>
          <t>2.4.7</t>
        </is>
      </c>
      <c r="C328" t="inlineStr">
        <is>
          <t>Kärl 140-660 L 20-30</t>
        </is>
      </c>
      <c r="D328" t="inlineStr">
        <is>
          <t>Beslut</t>
        </is>
      </c>
      <c r="E328" t="inlineStr">
        <is>
          <t>NEW_TAXA</t>
        </is>
      </c>
      <c r="F328" t="inlineStr">
        <is>
          <t>SemanticDecisionEngine</t>
        </is>
      </c>
      <c r="G328" t="inlineStr">
        <is>
          <t>Ingen kandidat över granskningsgräns</t>
        </is>
      </c>
      <c r="H328" t="inlineStr">
        <is>
          <t>TaxDecisionEngine</t>
        </is>
      </c>
      <c r="I328" t="inlineStr">
        <is>
          <t>NEW_TAXA</t>
        </is>
      </c>
      <c r="J32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9">
      <c r="A329" t="inlineStr"/>
      <c r="B329" t="inlineStr">
        <is>
          <t>2.4.7</t>
        </is>
      </c>
      <c r="C329" t="inlineStr">
        <is>
          <t>Avfallsport/dörr</t>
        </is>
      </c>
      <c r="D329" t="inlineStr">
        <is>
          <t>Beslut</t>
        </is>
      </c>
      <c r="E329" t="inlineStr">
        <is>
          <t>NEW_TAXA</t>
        </is>
      </c>
      <c r="F329" t="inlineStr">
        <is>
          <t>SemanticDecisionEngine</t>
        </is>
      </c>
      <c r="G329" t="inlineStr">
        <is>
          <t>Ingen kandidat över granskningsgräns</t>
        </is>
      </c>
      <c r="H329" t="inlineStr">
        <is>
          <t>TaxDecisionEngine</t>
        </is>
      </c>
      <c r="I329" t="inlineStr">
        <is>
          <t>NEW_TAXA</t>
        </is>
      </c>
      <c r="J32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0">
      <c r="A330" t="inlineStr"/>
      <c r="B330" t="inlineStr">
        <is>
          <t>2.4.7</t>
        </is>
      </c>
      <c r="C330" t="inlineStr">
        <is>
          <t>Låst dörr, med kod</t>
        </is>
      </c>
      <c r="D330" t="inlineStr">
        <is>
          <t>Beslut</t>
        </is>
      </c>
      <c r="E330" t="inlineStr">
        <is>
          <t>NEW_TAXA</t>
        </is>
      </c>
      <c r="F330" t="inlineStr">
        <is>
          <t>SemanticDecisionEngine</t>
        </is>
      </c>
      <c r="G330" t="inlineStr">
        <is>
          <t>Ingen kandidat över granskningsgräns</t>
        </is>
      </c>
      <c r="H330" t="inlineStr">
        <is>
          <t>TaxDecisionEngine</t>
        </is>
      </c>
      <c r="I330" t="inlineStr">
        <is>
          <t>NEW_TAXA</t>
        </is>
      </c>
      <c r="J330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331">
      <c r="A331" t="inlineStr"/>
      <c r="B331" t="inlineStr">
        <is>
          <t>2.4.8</t>
        </is>
      </c>
      <c r="C331" t="inlineStr">
        <is>
          <t>Kärl 140 l matavfall</t>
        </is>
      </c>
      <c r="D331" t="inlineStr">
        <is>
          <t>Beslut</t>
        </is>
      </c>
      <c r="E331" t="inlineStr">
        <is>
          <t>NEW_TAXA</t>
        </is>
      </c>
      <c r="F331" t="inlineStr">
        <is>
          <t>SemanticDecisionEngine</t>
        </is>
      </c>
      <c r="G331" t="inlineStr">
        <is>
          <t>Ingen kandidat över granskningsgräns</t>
        </is>
      </c>
      <c r="H331" t="inlineStr">
        <is>
          <t>TaxDecisionEngine</t>
        </is>
      </c>
      <c r="I331" t="inlineStr">
        <is>
          <t>NEW_TAXA</t>
        </is>
      </c>
      <c r="J331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2">
      <c r="A332" t="inlineStr"/>
      <c r="B332" t="inlineStr">
        <is>
          <t>2.4.8</t>
        </is>
      </c>
      <c r="C332" t="inlineStr">
        <is>
          <t>Kärl 190 l restavfall</t>
        </is>
      </c>
      <c r="D332" t="inlineStr">
        <is>
          <t>Beslut</t>
        </is>
      </c>
      <c r="E332" t="inlineStr">
        <is>
          <t>NEW_TAXA</t>
        </is>
      </c>
      <c r="F332" t="inlineStr">
        <is>
          <t>SemanticDecisionEngine</t>
        </is>
      </c>
      <c r="G332" t="inlineStr">
        <is>
          <t>Ingen kandidat över granskningsgräns</t>
        </is>
      </c>
      <c r="H332" t="inlineStr">
        <is>
          <t>TaxDecisionEngine</t>
        </is>
      </c>
      <c r="I332" t="inlineStr">
        <is>
          <t>NEW_TAXA</t>
        </is>
      </c>
      <c r="J332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3">
      <c r="A333" t="inlineStr"/>
      <c r="B333" t="inlineStr">
        <is>
          <t>2.4.8</t>
        </is>
      </c>
      <c r="C333" t="inlineStr">
        <is>
          <t>Kärl 370 l restavfall</t>
        </is>
      </c>
      <c r="D333" t="inlineStr">
        <is>
          <t>Beslut</t>
        </is>
      </c>
      <c r="E333" t="inlineStr">
        <is>
          <t>REVIEW_REQUIRED</t>
        </is>
      </c>
      <c r="F333" t="inlineStr">
        <is>
          <t>Taxepunkter</t>
        </is>
      </c>
      <c r="G333" t="inlineStr">
        <is>
          <t>Bästa semantiska kandidat saknar taxekod</t>
        </is>
      </c>
      <c r="H333" t="inlineStr">
        <is>
          <t>TaxDecisionEngine</t>
        </is>
      </c>
      <c r="I333" t="inlineStr">
        <is>
          <t>REVIEW_REQUIRED</t>
        </is>
      </c>
      <c r="J333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334">
      <c r="A334" t="inlineStr"/>
      <c r="B334" t="inlineStr">
        <is>
          <t>2.4.8</t>
        </is>
      </c>
      <c r="C334" t="inlineStr">
        <is>
          <t>Kärl 660 l restavfall</t>
        </is>
      </c>
      <c r="D334" t="inlineStr">
        <is>
          <t>Beslut</t>
        </is>
      </c>
      <c r="E334" t="inlineStr">
        <is>
          <t>REVIEW_REQUIRED</t>
        </is>
      </c>
      <c r="F334" t="inlineStr">
        <is>
          <t>Taxepunkter</t>
        </is>
      </c>
      <c r="G334" t="inlineStr">
        <is>
          <t>Bästa semantiska kandidat saknar taxekod</t>
        </is>
      </c>
      <c r="H334" t="inlineStr">
        <is>
          <t>TaxDecisionEngine</t>
        </is>
      </c>
      <c r="I334" t="inlineStr">
        <is>
          <t>REVIEW_REQUIRED</t>
        </is>
      </c>
      <c r="J334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335">
      <c r="A335" t="inlineStr"/>
      <c r="B335" t="inlineStr">
        <is>
          <t>2.4.8</t>
        </is>
      </c>
      <c r="C335" t="inlineStr">
        <is>
          <t>Bottentömmande behållare</t>
        </is>
      </c>
      <c r="D335" t="inlineStr">
        <is>
          <t>Beslut</t>
        </is>
      </c>
      <c r="E335" t="inlineStr">
        <is>
          <t>NEW_TAXA</t>
        </is>
      </c>
      <c r="F335" t="inlineStr">
        <is>
          <t>SemanticDecisionEngine</t>
        </is>
      </c>
      <c r="G335" t="inlineStr">
        <is>
          <t>Ingen kandidat över granskningsgräns</t>
        </is>
      </c>
      <c r="H335" t="inlineStr">
        <is>
          <t>TaxDecisionEngine</t>
        </is>
      </c>
      <c r="I335" t="inlineStr">
        <is>
          <t>NEW_TAXA</t>
        </is>
      </c>
      <c r="J335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36">
      <c r="A336" t="inlineStr"/>
      <c r="B336" t="inlineStr">
        <is>
          <t>2.4.9</t>
        </is>
      </c>
      <c r="C336" t="inlineStr">
        <is>
          <t>Sidlastande fordon</t>
        </is>
      </c>
      <c r="D336" t="inlineStr">
        <is>
          <t>Beslut</t>
        </is>
      </c>
      <c r="E336" t="inlineStr">
        <is>
          <t>NEW_TAXA</t>
        </is>
      </c>
      <c r="F336" t="inlineStr">
        <is>
          <t>SemanticDecisionEngine</t>
        </is>
      </c>
      <c r="G336" t="inlineStr">
        <is>
          <t>Ingen kandidat över granskningsgräns</t>
        </is>
      </c>
      <c r="H336" t="inlineStr">
        <is>
          <t>TaxDecisionEngine</t>
        </is>
      </c>
      <c r="I336" t="inlineStr">
        <is>
          <t>NEW_TAXA</t>
        </is>
      </c>
      <c r="J336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337">
      <c r="A337" t="inlineStr"/>
      <c r="B337" t="inlineStr">
        <is>
          <t>2.4.9</t>
        </is>
      </c>
      <c r="C337" t="inlineStr">
        <is>
          <t>Bottentömmande fordon</t>
        </is>
      </c>
      <c r="D337" t="inlineStr">
        <is>
          <t>Beslut</t>
        </is>
      </c>
      <c r="E337" t="inlineStr">
        <is>
          <t>NEW_TAXA</t>
        </is>
      </c>
      <c r="F337" t="inlineStr">
        <is>
          <t>SemanticDecisionEngine</t>
        </is>
      </c>
      <c r="G337" t="inlineStr">
        <is>
          <t>Ingen kandidat över granskningsgräns</t>
        </is>
      </c>
      <c r="H337" t="inlineStr">
        <is>
          <t>TaxDecisionEngine</t>
        </is>
      </c>
      <c r="I337" t="inlineStr">
        <is>
          <t>NEW_TAXA</t>
        </is>
      </c>
      <c r="J33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8">
      <c r="A338" t="inlineStr"/>
      <c r="B338" t="inlineStr">
        <is>
          <t>2.4.9</t>
        </is>
      </c>
      <c r="C338" t="inlineStr">
        <is>
          <t>Tömningsavgift per behållare</t>
        </is>
      </c>
      <c r="D338" t="inlineStr">
        <is>
          <t>Beslut</t>
        </is>
      </c>
      <c r="E338" t="inlineStr">
        <is>
          <t>REVIEW_REQUIRED</t>
        </is>
      </c>
      <c r="F338" t="inlineStr">
        <is>
          <t>Taxepunkter</t>
        </is>
      </c>
      <c r="G338" t="inlineStr">
        <is>
          <t>Bästa semantiska kandidat saknar taxekod</t>
        </is>
      </c>
      <c r="H338" t="inlineStr">
        <is>
          <t>TaxDecisionEngine</t>
        </is>
      </c>
      <c r="I338" t="inlineStr">
        <is>
          <t>REVIEW_REQUIRED</t>
        </is>
      </c>
      <c r="J338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39">
      <c r="A339" t="inlineStr"/>
      <c r="B339" t="inlineStr">
        <is>
          <t>2.4.10</t>
        </is>
      </c>
      <c r="C339" t="inlineStr">
        <is>
          <t>Betalsäck</t>
        </is>
      </c>
      <c r="D339" t="inlineStr">
        <is>
          <t>Beslut</t>
        </is>
      </c>
      <c r="E339" t="inlineStr">
        <is>
          <t>REVIEW_REQUIRED</t>
        </is>
      </c>
      <c r="F339" t="inlineStr">
        <is>
          <t>Taxepunkter</t>
        </is>
      </c>
      <c r="G339" t="inlineStr">
        <is>
          <t>Bästa semantiska kandidat saknar taxekod</t>
        </is>
      </c>
      <c r="H339" t="inlineStr">
        <is>
          <t>TaxDecisionEngine</t>
        </is>
      </c>
      <c r="I339" t="inlineStr">
        <is>
          <t>REVIEW_REQUIRED</t>
        </is>
      </c>
      <c r="J339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40">
      <c r="A340" t="inlineStr"/>
      <c r="B340" t="inlineStr">
        <is>
          <t>2.4.10</t>
        </is>
      </c>
      <c r="C340" t="inlineStr">
        <is>
          <t>Akutsäck</t>
        </is>
      </c>
      <c r="D340" t="inlineStr">
        <is>
          <t>Beslut</t>
        </is>
      </c>
      <c r="E340" t="inlineStr">
        <is>
          <t>NEW_TAXA</t>
        </is>
      </c>
      <c r="F340" t="inlineStr">
        <is>
          <t>SemanticDecisionEngine</t>
        </is>
      </c>
      <c r="G340" t="inlineStr">
        <is>
          <t>Ingen kandidat över granskningsgräns</t>
        </is>
      </c>
      <c r="H340" t="inlineStr">
        <is>
          <t>TaxDecisionEngine</t>
        </is>
      </c>
      <c r="I340" t="inlineStr">
        <is>
          <t>NEW_TAXA</t>
        </is>
      </c>
      <c r="J340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41">
      <c r="A341" t="inlineStr"/>
      <c r="B341" t="inlineStr">
        <is>
          <t>2.4.11</t>
        </is>
      </c>
      <c r="C341" t="inlineStr">
        <is>
          <t>Matavfallspåsar 9 L</t>
        </is>
      </c>
      <c r="D341" t="inlineStr">
        <is>
          <t>Beslut</t>
        </is>
      </c>
      <c r="E341" t="inlineStr">
        <is>
          <t>REVIEW_REQUIRED</t>
        </is>
      </c>
      <c r="F341" t="inlineStr">
        <is>
          <t>Taxepunkter</t>
        </is>
      </c>
      <c r="G341" t="inlineStr">
        <is>
          <t>Bästa semantiska kandidat saknar taxekod</t>
        </is>
      </c>
      <c r="H341" t="inlineStr">
        <is>
          <t>TaxDecisionEngine</t>
        </is>
      </c>
      <c r="I341" t="inlineStr">
        <is>
          <t>REVIEW_REQUIRED</t>
        </is>
      </c>
      <c r="J341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2">
      <c r="A342" t="inlineStr"/>
      <c r="B342" t="inlineStr">
        <is>
          <t>2.4.11</t>
        </is>
      </c>
      <c r="C342" t="inlineStr">
        <is>
          <t>Matavfallspåsar 22 L</t>
        </is>
      </c>
      <c r="D342" t="inlineStr">
        <is>
          <t>Beslut</t>
        </is>
      </c>
      <c r="E342" t="inlineStr">
        <is>
          <t>REVIEW_REQUIRED</t>
        </is>
      </c>
      <c r="F342" t="inlineStr">
        <is>
          <t>Taxepunkter</t>
        </is>
      </c>
      <c r="G342" t="inlineStr">
        <is>
          <t>Bästa semantiska kandidat saknar taxekod</t>
        </is>
      </c>
      <c r="H342" t="inlineStr">
        <is>
          <t>TaxDecisionEngine</t>
        </is>
      </c>
      <c r="I342" t="inlineStr">
        <is>
          <t>REVIEW_REQUIRED</t>
        </is>
      </c>
      <c r="J34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3">
      <c r="A343" t="inlineStr"/>
      <c r="B343" t="inlineStr">
        <is>
          <t>2.4.11</t>
        </is>
      </c>
      <c r="C343" t="inlineStr">
        <is>
          <t>Gravitationslås till kärl</t>
        </is>
      </c>
      <c r="D343" t="inlineStr">
        <is>
          <t>Beslut</t>
        </is>
      </c>
      <c r="E343" t="inlineStr">
        <is>
          <t>NEW_TAXA</t>
        </is>
      </c>
      <c r="F343" t="inlineStr">
        <is>
          <t>SemanticDecisionEngine</t>
        </is>
      </c>
      <c r="G343" t="inlineStr">
        <is>
          <t>Ingen kandidat över granskningsgräns</t>
        </is>
      </c>
      <c r="H343" t="inlineStr">
        <is>
          <t>TaxDecisionEngine</t>
        </is>
      </c>
      <c r="I343" t="inlineStr">
        <is>
          <t>NEW_TAXA</t>
        </is>
      </c>
      <c r="J343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344">
      <c r="A344" t="inlineStr"/>
      <c r="B344" t="inlineStr">
        <is>
          <t>2.4.11</t>
        </is>
      </c>
      <c r="C344" t="inlineStr">
        <is>
          <t>Extra nyckel till gravitationslås</t>
        </is>
      </c>
      <c r="D344" t="inlineStr">
        <is>
          <t>Beslut</t>
        </is>
      </c>
      <c r="E344" t="inlineStr">
        <is>
          <t>REVIEW_REQUIRED</t>
        </is>
      </c>
      <c r="F344" t="inlineStr">
        <is>
          <t>Taxepunkter</t>
        </is>
      </c>
      <c r="G344" t="inlineStr">
        <is>
          <t>Bästa semantiska kandidat saknar taxekod</t>
        </is>
      </c>
      <c r="H344" t="inlineStr">
        <is>
          <t>TaxDecisionEngine</t>
        </is>
      </c>
      <c r="I344" t="inlineStr">
        <is>
          <t>REVIEW_REQUIRED</t>
        </is>
      </c>
      <c r="J344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345">
      <c r="A345" t="inlineStr"/>
      <c r="B345" t="inlineStr">
        <is>
          <t>2.5.1</t>
        </is>
      </c>
      <c r="C345" t="inlineStr">
        <is>
          <t>Kommunalt avfall</t>
        </is>
      </c>
      <c r="D345" t="inlineStr">
        <is>
          <t>Beslut</t>
        </is>
      </c>
      <c r="E345" t="inlineStr">
        <is>
          <t>NEW_TAXA</t>
        </is>
      </c>
      <c r="F345" t="inlineStr">
        <is>
          <t>SemanticDecisionEngine</t>
        </is>
      </c>
      <c r="G345" t="inlineStr">
        <is>
          <t>Ingen kandidat över granskningsgräns</t>
        </is>
      </c>
      <c r="H345" t="inlineStr">
        <is>
          <t>TaxDecisionEngine</t>
        </is>
      </c>
      <c r="I345" t="inlineStr">
        <is>
          <t>NEW_TAXA</t>
        </is>
      </c>
      <c r="J345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346">
      <c r="A346" t="inlineStr"/>
      <c r="B346" t="inlineStr">
        <is>
          <t>2.5.1</t>
        </is>
      </c>
      <c r="C346" t="inlineStr">
        <is>
          <t>Farligt avfall (ej uppmärkt)</t>
        </is>
      </c>
      <c r="D346" t="inlineStr">
        <is>
          <t>Beslut</t>
        </is>
      </c>
      <c r="E346" t="inlineStr">
        <is>
          <t>REVIEW_REQUIRED</t>
        </is>
      </c>
      <c r="F346" t="inlineStr">
        <is>
          <t>Taxepunkter</t>
        </is>
      </c>
      <c r="G346" t="inlineStr">
        <is>
          <t>Bästa semantiska kandidat saknar taxekod</t>
        </is>
      </c>
      <c r="H346" t="inlineStr">
        <is>
          <t>TaxDecisionEngine</t>
        </is>
      </c>
      <c r="I346" t="inlineStr">
        <is>
          <t>REVIEW_REQUIRED</t>
        </is>
      </c>
      <c r="J346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7">
      <c r="A347" t="inlineStr"/>
      <c r="B347" t="inlineStr">
        <is>
          <t>2.5.1</t>
        </is>
      </c>
      <c r="C347" t="inlineStr">
        <is>
          <t>Farligt avfall (uppmärkt)</t>
        </is>
      </c>
      <c r="D347" t="inlineStr">
        <is>
          <t>Beslut</t>
        </is>
      </c>
      <c r="E347" t="inlineStr">
        <is>
          <t>REVIEW_REQUIRED</t>
        </is>
      </c>
      <c r="F347" t="inlineStr">
        <is>
          <t>Taxepunkter</t>
        </is>
      </c>
      <c r="G347" t="inlineStr">
        <is>
          <t>Bästa semantiska kandidat saknar taxekod</t>
        </is>
      </c>
      <c r="H347" t="inlineStr">
        <is>
          <t>TaxDecisionEngine</t>
        </is>
      </c>
      <c r="I347" t="inlineStr">
        <is>
          <t>REVIEW_REQUIRED</t>
        </is>
      </c>
      <c r="J347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8">
      <c r="A348" t="inlineStr"/>
      <c r="B348" t="inlineStr">
        <is>
          <t>2.5.1</t>
        </is>
      </c>
      <c r="C348" t="inlineStr">
        <is>
          <t>Avisering av ankomst</t>
        </is>
      </c>
      <c r="D348" t="inlineStr">
        <is>
          <t>Beslut</t>
        </is>
      </c>
      <c r="E348" t="inlineStr">
        <is>
          <t>REVIEW_REQUIRED</t>
        </is>
      </c>
      <c r="F348" t="inlineStr">
        <is>
          <t>Taxepunkter</t>
        </is>
      </c>
      <c r="G348" t="inlineStr">
        <is>
          <t>Bästa semantiska kandidat saknar taxekod</t>
        </is>
      </c>
      <c r="H348" t="inlineStr">
        <is>
          <t>TaxDecisionEngine</t>
        </is>
      </c>
      <c r="I348" t="inlineStr">
        <is>
          <t>REVIEW_REQUIRED</t>
        </is>
      </c>
      <c r="J348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9">
      <c r="A349" t="inlineStr"/>
      <c r="B349" t="inlineStr">
        <is>
          <t>3.1</t>
        </is>
      </c>
      <c r="C349" t="inlineStr">
        <is>
          <t>Upp till 3 m3</t>
        </is>
      </c>
      <c r="D349" t="inlineStr">
        <is>
          <t>Beslut</t>
        </is>
      </c>
      <c r="E349" t="inlineStr">
        <is>
          <t>REVIEW_REQUIRED</t>
        </is>
      </c>
      <c r="F349" t="inlineStr">
        <is>
          <t>Taxepunkter</t>
        </is>
      </c>
      <c r="G349" t="inlineStr">
        <is>
          <t>Bästa semantiska kandidat saknar taxekod</t>
        </is>
      </c>
      <c r="H349" t="inlineStr">
        <is>
          <t>TaxDecisionEngine</t>
        </is>
      </c>
      <c r="I349" t="inlineStr">
        <is>
          <t>REVIEW_REQUIRED</t>
        </is>
      </c>
      <c r="J349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0">
      <c r="A350" t="inlineStr"/>
      <c r="B350" t="inlineStr">
        <is>
          <t>3.1</t>
        </is>
      </c>
      <c r="C350" t="inlineStr">
        <is>
          <t>Mellan 3 m3 och 6 m3</t>
        </is>
      </c>
      <c r="D350" t="inlineStr">
        <is>
          <t>Beslut</t>
        </is>
      </c>
      <c r="E350" t="inlineStr">
        <is>
          <t>REVIEW_REQUIRED</t>
        </is>
      </c>
      <c r="F350" t="inlineStr">
        <is>
          <t>Taxepunkter</t>
        </is>
      </c>
      <c r="G350" t="inlineStr">
        <is>
          <t>Bästa semantiska kandidat saknar taxekod</t>
        </is>
      </c>
      <c r="H350" t="inlineStr">
        <is>
          <t>TaxDecisionEngine</t>
        </is>
      </c>
      <c r="I350" t="inlineStr">
        <is>
          <t>REVIEW_REQUIRED</t>
        </is>
      </c>
      <c r="J350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1">
      <c r="A351" t="inlineStr"/>
      <c r="B351" t="inlineStr">
        <is>
          <t>3.1</t>
        </is>
      </c>
      <c r="C351" t="inlineStr">
        <is>
          <t>Mellan 6 m3 och 9 m3</t>
        </is>
      </c>
      <c r="D351" t="inlineStr">
        <is>
          <t>Beslut</t>
        </is>
      </c>
      <c r="E351" t="inlineStr">
        <is>
          <t>NEW_TAXA</t>
        </is>
      </c>
      <c r="F351" t="inlineStr">
        <is>
          <t>SemanticDecisionEngine</t>
        </is>
      </c>
      <c r="G351" t="inlineStr">
        <is>
          <t>Ingen kandidat över granskningsgräns</t>
        </is>
      </c>
      <c r="H351" t="inlineStr">
        <is>
          <t>TaxDecisionEngine</t>
        </is>
      </c>
      <c r="I351" t="inlineStr">
        <is>
          <t>NEW_TAXA</t>
        </is>
      </c>
      <c r="J351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352">
      <c r="A352" t="inlineStr"/>
      <c r="B352" t="inlineStr">
        <is>
          <t>3.1</t>
        </is>
      </c>
      <c r="C352" t="inlineStr">
        <is>
          <t>Tillägg per m3 över 9 m3</t>
        </is>
      </c>
      <c r="D352" t="inlineStr">
        <is>
          <t>Beslut</t>
        </is>
      </c>
      <c r="E352" t="inlineStr">
        <is>
          <t>NEW_TAXA</t>
        </is>
      </c>
      <c r="F352" t="inlineStr">
        <is>
          <t>SemanticDecisionEngine</t>
        </is>
      </c>
      <c r="G352" t="inlineStr">
        <is>
          <t>Ingen kandidat över granskningsgräns</t>
        </is>
      </c>
      <c r="H352" t="inlineStr">
        <is>
          <t>TaxDecisionEngine</t>
        </is>
      </c>
      <c r="I352" t="inlineStr">
        <is>
          <t>NEW_TAXA</t>
        </is>
      </c>
      <c r="J352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3">
      <c r="A353" t="inlineStr"/>
      <c r="B353" t="inlineStr">
        <is>
          <t>3.1</t>
        </is>
      </c>
      <c r="C353" t="inlineStr">
        <is>
          <t>Bad-, disk- och tvättbrunn upp till 3 m3</t>
        </is>
      </c>
      <c r="D353" t="inlineStr">
        <is>
          <t>Beslut</t>
        </is>
      </c>
      <c r="E353" t="inlineStr">
        <is>
          <t>NEW_TAXA</t>
        </is>
      </c>
      <c r="F353" t="inlineStr">
        <is>
          <t>SemanticDecisionEngine</t>
        </is>
      </c>
      <c r="G353" t="inlineStr">
        <is>
          <t>Ingen kandidat över granskningsgräns</t>
        </is>
      </c>
      <c r="H353" t="inlineStr">
        <is>
          <t>TaxDecisionEngine</t>
        </is>
      </c>
      <c r="I353" t="inlineStr">
        <is>
          <t>NEW_TAXA</t>
        </is>
      </c>
      <c r="J35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4">
      <c r="A354" t="inlineStr"/>
      <c r="B354" t="inlineStr">
        <is>
          <t>3.1</t>
        </is>
      </c>
      <c r="C354" t="inlineStr">
        <is>
          <t>Tillägg per m3 över 3 m3</t>
        </is>
      </c>
      <c r="D354" t="inlineStr">
        <is>
          <t>Beslut</t>
        </is>
      </c>
      <c r="E354" t="inlineStr">
        <is>
          <t>REVIEW_REQUIRED</t>
        </is>
      </c>
      <c r="F354" t="inlineStr">
        <is>
          <t>Taxepunkter</t>
        </is>
      </c>
      <c r="G354" t="inlineStr">
        <is>
          <t>Bästa semantiska kandidat saknar taxekod</t>
        </is>
      </c>
      <c r="H354" t="inlineStr">
        <is>
          <t>TaxDecisionEngine</t>
        </is>
      </c>
      <c r="I354" t="inlineStr">
        <is>
          <t>REVIEW_REQUIRED</t>
        </is>
      </c>
      <c r="J354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355">
      <c r="A355" t="inlineStr"/>
      <c r="B355" t="inlineStr">
        <is>
          <t>3.2</t>
        </is>
      </c>
      <c r="C355" t="inlineStr">
        <is>
          <t>Dragning av extra slang vid 5-25 m</t>
        </is>
      </c>
      <c r="D355" t="inlineStr">
        <is>
          <t>Beslut</t>
        </is>
      </c>
      <c r="E355" t="inlineStr">
        <is>
          <t>NEW_TAXA</t>
        </is>
      </c>
      <c r="F355" t="inlineStr">
        <is>
          <t>SemanticDecisionEngine</t>
        </is>
      </c>
      <c r="G355" t="inlineStr">
        <is>
          <t>Ingen kandidat över granskningsgräns</t>
        </is>
      </c>
      <c r="H355" t="inlineStr">
        <is>
          <t>TaxDecisionEngine</t>
        </is>
      </c>
      <c r="I355" t="inlineStr">
        <is>
          <t>NEW_TAXA</t>
        </is>
      </c>
      <c r="J355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356">
      <c r="A356" t="inlineStr"/>
      <c r="B356" t="inlineStr">
        <is>
          <t>3.2</t>
        </is>
      </c>
      <c r="C356" t="inlineStr">
        <is>
          <t>Dragning av extra slang vid 25-35 m</t>
        </is>
      </c>
      <c r="D356" t="inlineStr">
        <is>
          <t>Beslut</t>
        </is>
      </c>
      <c r="E356" t="inlineStr">
        <is>
          <t>REVIEW_REQUIRED</t>
        </is>
      </c>
      <c r="F356" t="inlineStr">
        <is>
          <t>Taxepunkter</t>
        </is>
      </c>
      <c r="G356" t="inlineStr">
        <is>
          <t>Bästa semantiska kandidat saknar taxekod</t>
        </is>
      </c>
      <c r="H356" t="inlineStr">
        <is>
          <t>TaxDecisionEngine</t>
        </is>
      </c>
      <c r="I356" t="inlineStr">
        <is>
          <t>REVIEW_REQUIRED</t>
        </is>
      </c>
      <c r="J356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357">
      <c r="A357" t="inlineStr"/>
      <c r="B357" t="inlineStr">
        <is>
          <t>3.2</t>
        </is>
      </c>
      <c r="C357" t="inlineStr">
        <is>
          <t>Dragning av extra slang vid 36-45 m</t>
        </is>
      </c>
      <c r="D357" t="inlineStr">
        <is>
          <t>Beslut</t>
        </is>
      </c>
      <c r="E357" t="inlineStr">
        <is>
          <t>NEW_TAXA</t>
        </is>
      </c>
      <c r="F357" t="inlineStr">
        <is>
          <t>SemanticDecisionEngine</t>
        </is>
      </c>
      <c r="G357" t="inlineStr">
        <is>
          <t>Ingen kandidat över granskningsgräns</t>
        </is>
      </c>
      <c r="H357" t="inlineStr">
        <is>
          <t>TaxDecisionEngine</t>
        </is>
      </c>
      <c r="I357" t="inlineStr">
        <is>
          <t>NEW_TAXA</t>
        </is>
      </c>
      <c r="J357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8">
      <c r="A358" t="inlineStr"/>
      <c r="B358" t="inlineStr">
        <is>
          <t>3.2</t>
        </is>
      </c>
      <c r="C358" t="inlineStr">
        <is>
          <t>Dragning av extra slang vid 46-55 m</t>
        </is>
      </c>
      <c r="D358" t="inlineStr">
        <is>
          <t>Beslut</t>
        </is>
      </c>
      <c r="E358" t="inlineStr">
        <is>
          <t>NEW_TAXA</t>
        </is>
      </c>
      <c r="F358" t="inlineStr">
        <is>
          <t>SemanticDecisionEngine</t>
        </is>
      </c>
      <c r="G358" t="inlineStr">
        <is>
          <t>Ingen kandidat över granskningsgräns</t>
        </is>
      </c>
      <c r="H358" t="inlineStr">
        <is>
          <t>TaxDecisionEngine</t>
        </is>
      </c>
      <c r="I358" t="inlineStr">
        <is>
          <t>NEW_TAXA</t>
        </is>
      </c>
      <c r="J35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9">
      <c r="A359" t="inlineStr"/>
      <c r="B359" t="inlineStr">
        <is>
          <t>3.2</t>
        </is>
      </c>
      <c r="C359" t="inlineStr">
        <is>
          <t>Hantering av brunnslock som väger 15-25 kg</t>
        </is>
      </c>
      <c r="D359" t="inlineStr">
        <is>
          <t>Beslut</t>
        </is>
      </c>
      <c r="E359" t="inlineStr">
        <is>
          <t>NEW_TAXA</t>
        </is>
      </c>
      <c r="F359" t="inlineStr">
        <is>
          <t>SemanticDecisionEngine</t>
        </is>
      </c>
      <c r="G359" t="inlineStr">
        <is>
          <t>Ingen kandidat över granskningsgräns</t>
        </is>
      </c>
      <c r="H359" t="inlineStr">
        <is>
          <t>TaxDecisionEngine</t>
        </is>
      </c>
      <c r="I359" t="inlineStr">
        <is>
          <t>NEW_TAXA</t>
        </is>
      </c>
      <c r="J359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360">
      <c r="A360" t="inlineStr"/>
      <c r="B360" t="inlineStr">
        <is>
          <t>3.2</t>
        </is>
      </c>
      <c r="C360" t="inlineStr">
        <is>
          <t>Krav på information om tömningstid</t>
        </is>
      </c>
      <c r="D360" t="inlineStr">
        <is>
          <t>Beslut</t>
        </is>
      </c>
      <c r="E360" t="inlineStr">
        <is>
          <t>NEW_TAXA</t>
        </is>
      </c>
      <c r="F360" t="inlineStr">
        <is>
          <t>SemanticDecisionEngine</t>
        </is>
      </c>
      <c r="G360" t="inlineStr">
        <is>
          <t>Ingen kandidat över granskningsgräns</t>
        </is>
      </c>
      <c r="H360" t="inlineStr">
        <is>
          <t>TaxDecisionEngine</t>
        </is>
      </c>
      <c r="I360" t="inlineStr">
        <is>
          <t>NEW_TAXA</t>
        </is>
      </c>
      <c r="J360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361">
      <c r="A361" t="inlineStr"/>
      <c r="B361" t="inlineStr">
        <is>
          <t>3.2</t>
        </is>
      </c>
      <c r="C361" t="inlineStr">
        <is>
          <t>Krav på närvaro vid specificerad tömningstid</t>
        </is>
      </c>
      <c r="D361" t="inlineStr">
        <is>
          <t>Beslut</t>
        </is>
      </c>
      <c r="E361" t="inlineStr">
        <is>
          <t>REVIEW_REQUIRED</t>
        </is>
      </c>
      <c r="F361" t="inlineStr">
        <is>
          <t>Taxepunkter</t>
        </is>
      </c>
      <c r="G361" t="inlineStr">
        <is>
          <t>Bästa semantiska kandidat saknar taxekod</t>
        </is>
      </c>
      <c r="H361" t="inlineStr">
        <is>
          <t>TaxDecisionEngine</t>
        </is>
      </c>
      <c r="I361" t="inlineStr">
        <is>
          <t>REVIEW_REQUIRED</t>
        </is>
      </c>
      <c r="J361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2">
      <c r="A362" t="inlineStr"/>
      <c r="B362" t="inlineStr">
        <is>
          <t>3.2</t>
        </is>
      </c>
      <c r="C362" t="inlineStr">
        <is>
          <t>Hantering av kod för kodlås vid slamtömning</t>
        </is>
      </c>
      <c r="D362" t="inlineStr">
        <is>
          <t>Beslut</t>
        </is>
      </c>
      <c r="E362" t="inlineStr">
        <is>
          <t>REVIEW_REQUIRED</t>
        </is>
      </c>
      <c r="F362" t="inlineStr">
        <is>
          <t>Taxepunkter</t>
        </is>
      </c>
      <c r="G362" t="inlineStr">
        <is>
          <t>Bästa semantiska kandidat saknar taxekod</t>
        </is>
      </c>
      <c r="H362" t="inlineStr">
        <is>
          <t>TaxDecisionEngine</t>
        </is>
      </c>
      <c r="I362" t="inlineStr">
        <is>
          <t>REVIEW_REQUIRED</t>
        </is>
      </c>
      <c r="J362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3">
      <c r="A363" t="inlineStr"/>
      <c r="B363" t="inlineStr">
        <is>
          <t>3.2</t>
        </is>
      </c>
      <c r="C363" t="inlineStr">
        <is>
          <t>Hetvattentvätt med spolbil, timersättning</t>
        </is>
      </c>
      <c r="D363" t="inlineStr">
        <is>
          <t>Beslut</t>
        </is>
      </c>
      <c r="E363" t="inlineStr">
        <is>
          <t>REVIEW_REQUIRED</t>
        </is>
      </c>
      <c r="F363" t="inlineStr">
        <is>
          <t>Taxepunkter</t>
        </is>
      </c>
      <c r="G363" t="inlineStr">
        <is>
          <t>Bästa semantiska kandidat saknar taxekod</t>
        </is>
      </c>
      <c r="H363" t="inlineStr">
        <is>
          <t>TaxDecisionEngine</t>
        </is>
      </c>
      <c r="I363" t="inlineStr">
        <is>
          <t>REVIEW_REQUIRED</t>
        </is>
      </c>
      <c r="J363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4">
      <c r="A364" t="inlineStr"/>
      <c r="B364" t="inlineStr">
        <is>
          <t>3.2</t>
        </is>
      </c>
      <c r="C364" t="inlineStr">
        <is>
          <t>Tömning av extra tank/brunn i samband med ordinarie/budad tömning upp till 5 m3</t>
        </is>
      </c>
      <c r="D364" t="inlineStr">
        <is>
          <t>Beslut</t>
        </is>
      </c>
      <c r="E364" t="inlineStr">
        <is>
          <t>REVIEW_REQUIRED</t>
        </is>
      </c>
      <c r="F364" t="inlineStr">
        <is>
          <t>Taxepunkter</t>
        </is>
      </c>
      <c r="G364" t="inlineStr">
        <is>
          <t>Bästa semantiska kandidat saknar taxekod</t>
        </is>
      </c>
      <c r="H364" t="inlineStr">
        <is>
          <t>TaxDecisionEngine</t>
        </is>
      </c>
      <c r="I364" t="inlineStr">
        <is>
          <t>REVIEW_REQUIRED</t>
        </is>
      </c>
      <c r="J364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5">
      <c r="A365" t="inlineStr"/>
      <c r="B365" t="inlineStr">
        <is>
          <t>3.3</t>
        </is>
      </c>
      <c r="C365" t="inlineStr">
        <is>
          <t>Budning inom ordinarie tömningsperiod (1 maj- 31 oktober)</t>
        </is>
      </c>
      <c r="D365" t="inlineStr">
        <is>
          <t>Beslut</t>
        </is>
      </c>
      <c r="E365" t="inlineStr">
        <is>
          <t>REVIEW_REQUIRED</t>
        </is>
      </c>
      <c r="F365" t="inlineStr">
        <is>
          <t>Taxepunkter</t>
        </is>
      </c>
      <c r="G365" t="inlineStr">
        <is>
          <t>Bästa semantiska kandidat saknar taxekod</t>
        </is>
      </c>
      <c r="H365" t="inlineStr">
        <is>
          <t>TaxDecisionEngine</t>
        </is>
      </c>
      <c r="I365" t="inlineStr">
        <is>
          <t>REVIEW_REQUIRED</t>
        </is>
      </c>
      <c r="J365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366">
      <c r="A366" t="inlineStr"/>
      <c r="B366" t="inlineStr">
        <is>
          <t>3.3</t>
        </is>
      </c>
      <c r="C366" t="inlineStr">
        <is>
          <t>Budning utanför ordinarie tömningsperiod (1 nov – 30 april)</t>
        </is>
      </c>
      <c r="D366" t="inlineStr">
        <is>
          <t>Beslut</t>
        </is>
      </c>
      <c r="E366" t="inlineStr">
        <is>
          <t>REVIEW_REQUIRED</t>
        </is>
      </c>
      <c r="F366" t="inlineStr">
        <is>
          <t>Taxepunkter</t>
        </is>
      </c>
      <c r="G366" t="inlineStr">
        <is>
          <t>Bästa semantiska kandidat saknar taxekod</t>
        </is>
      </c>
      <c r="H366" t="inlineStr">
        <is>
          <t>TaxDecisionEngine</t>
        </is>
      </c>
      <c r="I366" t="inlineStr">
        <is>
          <t>REVIEW_REQUIRED</t>
        </is>
      </c>
      <c r="J366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7">
      <c r="A367" t="inlineStr"/>
      <c r="B367" t="inlineStr">
        <is>
          <t>3.3</t>
        </is>
      </c>
      <c r="C367" t="inlineStr">
        <is>
          <t>Tömning av toalettvagnar eller liknande /styck</t>
        </is>
      </c>
      <c r="D367" t="inlineStr">
        <is>
          <t>Beslut</t>
        </is>
      </c>
      <c r="E367" t="inlineStr">
        <is>
          <t>REVIEW_REQUIRED</t>
        </is>
      </c>
      <c r="F367" t="inlineStr">
        <is>
          <t>Taxepunkter</t>
        </is>
      </c>
      <c r="G367" t="inlineStr">
        <is>
          <t>Bästa semantiska kandidat saknar taxekod</t>
        </is>
      </c>
      <c r="H367" t="inlineStr">
        <is>
          <t>TaxDecisionEngine</t>
        </is>
      </c>
      <c r="I367" t="inlineStr">
        <is>
          <t>REVIEW_REQUIRED</t>
        </is>
      </c>
      <c r="J367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8">
      <c r="A368" t="inlineStr"/>
      <c r="B368" t="inlineStr">
        <is>
          <t>3.4</t>
        </is>
      </c>
      <c r="C368" t="inlineStr">
        <is>
          <t>Latrinbehållare 37 liter inkl. mottagning och behandling</t>
        </is>
      </c>
      <c r="D368" t="inlineStr">
        <is>
          <t>Beslut</t>
        </is>
      </c>
      <c r="E368" t="inlineStr">
        <is>
          <t>REVIEW_REQUIRED</t>
        </is>
      </c>
      <c r="F368" t="inlineStr">
        <is>
          <t>Taxepunkter</t>
        </is>
      </c>
      <c r="G368" t="inlineStr">
        <is>
          <t>Bästa semantiska kandidat saknar taxekod</t>
        </is>
      </c>
      <c r="H368" t="inlineStr">
        <is>
          <t>TaxDecisionEngine</t>
        </is>
      </c>
      <c r="I368" t="inlineStr">
        <is>
          <t>REVIEW_REQUIRED</t>
        </is>
      </c>
      <c r="J368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369">
      <c r="A369" t="inlineStr"/>
      <c r="B369" t="inlineStr">
        <is>
          <t>4.1</t>
        </is>
      </c>
      <c r="C369" t="inlineStr">
        <is>
          <t>Filtermassor upp till 500 kg</t>
        </is>
      </c>
      <c r="D369" t="inlineStr">
        <is>
          <t>Beslut</t>
        </is>
      </c>
      <c r="E369" t="inlineStr">
        <is>
          <t>REVIEW_REQUIRED</t>
        </is>
      </c>
      <c r="F369" t="inlineStr">
        <is>
          <t>Taxepunkter</t>
        </is>
      </c>
      <c r="G369" t="inlineStr">
        <is>
          <t>Bästa semantiska kandidat saknar taxekod</t>
        </is>
      </c>
      <c r="H369" t="inlineStr">
        <is>
          <t>TaxDecisionEngine</t>
        </is>
      </c>
      <c r="I369" t="inlineStr">
        <is>
          <t>REVIEW_REQUIRED</t>
        </is>
      </c>
      <c r="J369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0">
      <c r="A370" t="inlineStr"/>
      <c r="B370" t="inlineStr">
        <is>
          <t>4.1</t>
        </is>
      </c>
      <c r="C370" t="inlineStr">
        <is>
          <t>Filtermassor 500-1000 kg</t>
        </is>
      </c>
      <c r="D370" t="inlineStr">
        <is>
          <t>Beslut</t>
        </is>
      </c>
      <c r="E370" t="inlineStr">
        <is>
          <t>REVIEW_REQUIRED</t>
        </is>
      </c>
      <c r="F370" t="inlineStr">
        <is>
          <t>Taxepunkter</t>
        </is>
      </c>
      <c r="G370" t="inlineStr">
        <is>
          <t>Bästa semantiska kandidat saknar taxekod</t>
        </is>
      </c>
      <c r="H370" t="inlineStr">
        <is>
          <t>TaxDecisionEngine</t>
        </is>
      </c>
      <c r="I370" t="inlineStr">
        <is>
          <t>REVIEW_REQUIRED</t>
        </is>
      </c>
      <c r="J370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1">
      <c r="A371" t="inlineStr"/>
      <c r="B371" t="inlineStr">
        <is>
          <t>4.2</t>
        </is>
      </c>
      <c r="C371" t="inlineStr">
        <is>
          <t>Krav på information om hämtningstid</t>
        </is>
      </c>
      <c r="D371" t="inlineStr">
        <is>
          <t>Beslut</t>
        </is>
      </c>
      <c r="E371" t="inlineStr">
        <is>
          <t>REVIEW_REQUIRED</t>
        </is>
      </c>
      <c r="F371" t="inlineStr">
        <is>
          <t>Taxepunkter</t>
        </is>
      </c>
      <c r="G371" t="inlineStr">
        <is>
          <t>Bästa semantiska kandidat saknar taxekod</t>
        </is>
      </c>
      <c r="H371" t="inlineStr">
        <is>
          <t>TaxDecisionEngine</t>
        </is>
      </c>
      <c r="I371" t="inlineStr">
        <is>
          <t>REVIEW_REQUIRED</t>
        </is>
      </c>
      <c r="J371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2">
      <c r="A372" t="inlineStr"/>
      <c r="B372" t="inlineStr">
        <is>
          <t>4.2</t>
        </is>
      </c>
      <c r="C372" t="inlineStr">
        <is>
          <t>Krav på närvaro vid specificerad hämtningstid</t>
        </is>
      </c>
      <c r="D372" t="inlineStr">
        <is>
          <t>Beslut</t>
        </is>
      </c>
      <c r="E372" t="inlineStr">
        <is>
          <t>REVIEW_REQUIRED</t>
        </is>
      </c>
      <c r="F372" t="inlineStr">
        <is>
          <t>Taxepunkter</t>
        </is>
      </c>
      <c r="G372" t="inlineStr">
        <is>
          <t>Bästa semantiska kandidat saknar taxekod</t>
        </is>
      </c>
      <c r="H372" t="inlineStr">
        <is>
          <t>TaxDecisionEngine</t>
        </is>
      </c>
      <c r="I372" t="inlineStr">
        <is>
          <t>REVIEW_REQUIRED</t>
        </is>
      </c>
      <c r="J372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3">
      <c r="A373" t="inlineStr"/>
      <c r="B373" t="inlineStr">
        <is>
          <t>4.2</t>
        </is>
      </c>
      <c r="C373" t="inlineStr">
        <is>
          <t>Hantering av kod för kodlås</t>
        </is>
      </c>
      <c r="D373" t="inlineStr">
        <is>
          <t>Beslut</t>
        </is>
      </c>
      <c r="E373" t="inlineStr">
        <is>
          <t>NEW_TAXA</t>
        </is>
      </c>
      <c r="F373" t="inlineStr">
        <is>
          <t>SemanticDecisionEngine</t>
        </is>
      </c>
      <c r="G373" t="inlineStr">
        <is>
          <t>Ingen kandidat över granskningsgräns</t>
        </is>
      </c>
      <c r="H373" t="inlineStr">
        <is>
          <t>TaxDecisionEngine</t>
        </is>
      </c>
      <c r="I373" t="inlineStr">
        <is>
          <t>NEW_TAXA</t>
        </is>
      </c>
      <c r="J373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374">
      <c r="A374" t="inlineStr"/>
      <c r="B374" t="inlineStr">
        <is>
          <t>5.1</t>
        </is>
      </c>
      <c r="C374" t="inlineStr">
        <is>
          <t>Upp till 3 m3</t>
        </is>
      </c>
      <c r="D374" t="inlineStr">
        <is>
          <t>Beslut</t>
        </is>
      </c>
      <c r="E374" t="inlineStr">
        <is>
          <t>NEW_TAXA</t>
        </is>
      </c>
      <c r="F374" t="inlineStr">
        <is>
          <t>SemanticDecisionEngine</t>
        </is>
      </c>
      <c r="G374" t="inlineStr">
        <is>
          <t>Ingen kandidat över granskningsgräns</t>
        </is>
      </c>
      <c r="H374" t="inlineStr">
        <is>
          <t>TaxDecisionEngine</t>
        </is>
      </c>
      <c r="I374" t="inlineStr">
        <is>
          <t>NEW_TAXA</t>
        </is>
      </c>
      <c r="J374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5">
      <c r="A375" t="inlineStr"/>
      <c r="B375" t="inlineStr">
        <is>
          <t>5.1</t>
        </is>
      </c>
      <c r="C375" t="inlineStr">
        <is>
          <t>Mellan 3 m3 och 6 m3</t>
        </is>
      </c>
      <c r="D375" t="inlineStr">
        <is>
          <t>Beslut</t>
        </is>
      </c>
      <c r="E375" t="inlineStr">
        <is>
          <t>NEW_TAXA</t>
        </is>
      </c>
      <c r="F375" t="inlineStr">
        <is>
          <t>SemanticDecisionEngine</t>
        </is>
      </c>
      <c r="G375" t="inlineStr">
        <is>
          <t>Ingen kandidat över granskningsgräns</t>
        </is>
      </c>
      <c r="H375" t="inlineStr">
        <is>
          <t>TaxDecisionEngine</t>
        </is>
      </c>
      <c r="I375" t="inlineStr">
        <is>
          <t>NEW_TAXA</t>
        </is>
      </c>
      <c r="J375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6">
      <c r="A376" t="inlineStr"/>
      <c r="B376" t="inlineStr">
        <is>
          <t>5.1</t>
        </is>
      </c>
      <c r="C376" t="inlineStr">
        <is>
          <t>Över 6 m3</t>
        </is>
      </c>
      <c r="D376" t="inlineStr">
        <is>
          <t>Beslut</t>
        </is>
      </c>
      <c r="E376" t="inlineStr">
        <is>
          <t>NEW_TAXA</t>
        </is>
      </c>
      <c r="F376" t="inlineStr">
        <is>
          <t>SemanticDecisionEngine</t>
        </is>
      </c>
      <c r="G376" t="inlineStr">
        <is>
          <t>Ingen kandidat över granskningsgräns</t>
        </is>
      </c>
      <c r="H376" t="inlineStr">
        <is>
          <t>TaxDecisionEngine</t>
        </is>
      </c>
      <c r="I376" t="inlineStr">
        <is>
          <t>NEW_TAXA</t>
        </is>
      </c>
      <c r="J37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7">
      <c r="A377" t="inlineStr"/>
      <c r="B377" t="inlineStr">
        <is>
          <t>5.2</t>
        </is>
      </c>
      <c r="C377" t="inlineStr">
        <is>
          <t>Dragning av extra slang vid 5-25 m</t>
        </is>
      </c>
      <c r="D377" t="inlineStr">
        <is>
          <t>Beslut</t>
        </is>
      </c>
      <c r="E377" t="inlineStr">
        <is>
          <t>NEW_TAXA</t>
        </is>
      </c>
      <c r="F377" t="inlineStr">
        <is>
          <t>SemanticDecisionEngine</t>
        </is>
      </c>
      <c r="G377" t="inlineStr">
        <is>
          <t>Ingen kandidat över granskningsgräns</t>
        </is>
      </c>
      <c r="H377" t="inlineStr">
        <is>
          <t>TaxDecisionEngine</t>
        </is>
      </c>
      <c r="I377" t="inlineStr">
        <is>
          <t>NEW_TAXA</t>
        </is>
      </c>
      <c r="J377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8">
      <c r="A378" t="inlineStr"/>
      <c r="B378" t="inlineStr">
        <is>
          <t>5.2</t>
        </is>
      </c>
      <c r="C378" t="inlineStr">
        <is>
          <t>Dragning av extra slang vid 25-35 m</t>
        </is>
      </c>
      <c r="D378" t="inlineStr">
        <is>
          <t>Beslut</t>
        </is>
      </c>
      <c r="E378" t="inlineStr">
        <is>
          <t>NEW_TAXA</t>
        </is>
      </c>
      <c r="F378" t="inlineStr">
        <is>
          <t>SemanticDecisionEngine</t>
        </is>
      </c>
      <c r="G378" t="inlineStr">
        <is>
          <t>Ingen kandidat över granskningsgräns</t>
        </is>
      </c>
      <c r="H378" t="inlineStr">
        <is>
          <t>TaxDecisionEngine</t>
        </is>
      </c>
      <c r="I378" t="inlineStr">
        <is>
          <t>NEW_TAXA</t>
        </is>
      </c>
      <c r="J378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9">
      <c r="A379" t="inlineStr"/>
      <c r="B379" t="inlineStr">
        <is>
          <t>5.2</t>
        </is>
      </c>
      <c r="C379" t="inlineStr">
        <is>
          <t>Dragning av extra slang vid 36-45 m</t>
        </is>
      </c>
      <c r="D379" t="inlineStr">
        <is>
          <t>Beslut</t>
        </is>
      </c>
      <c r="E379" t="inlineStr">
        <is>
          <t>REVIEW_REQUIRED</t>
        </is>
      </c>
      <c r="F379" t="inlineStr">
        <is>
          <t>Taxepunkter</t>
        </is>
      </c>
      <c r="G379" t="inlineStr">
        <is>
          <t>Bästa semantiska kandidat saknar taxekod</t>
        </is>
      </c>
      <c r="H379" t="inlineStr">
        <is>
          <t>TaxDecisionEngine</t>
        </is>
      </c>
      <c r="I379" t="inlineStr">
        <is>
          <t>REVIEW_REQUIRED</t>
        </is>
      </c>
      <c r="J379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380">
      <c r="A380" t="inlineStr"/>
      <c r="B380" t="inlineStr">
        <is>
          <t>5.2</t>
        </is>
      </c>
      <c r="C380" t="inlineStr">
        <is>
          <t>Dragning av extra slang vid 46-55 m</t>
        </is>
      </c>
      <c r="D380" t="inlineStr">
        <is>
          <t>Beslut</t>
        </is>
      </c>
      <c r="E380" t="inlineStr">
        <is>
          <t>NEW_TAXA</t>
        </is>
      </c>
      <c r="F380" t="inlineStr">
        <is>
          <t>SemanticDecisionEngine</t>
        </is>
      </c>
      <c r="G380" t="inlineStr">
        <is>
          <t>Ingen kandidat över granskningsgräns</t>
        </is>
      </c>
      <c r="H380" t="inlineStr">
        <is>
          <t>TaxDecisionEngine</t>
        </is>
      </c>
      <c r="I380" t="inlineStr">
        <is>
          <t>NEW_TAXA</t>
        </is>
      </c>
      <c r="J38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1">
      <c r="A381" t="inlineStr"/>
      <c r="B381" t="inlineStr">
        <is>
          <t>5.2</t>
        </is>
      </c>
      <c r="C381" t="inlineStr">
        <is>
          <t>Hantering av brunnslock som väger 15-25 kg</t>
        </is>
      </c>
      <c r="D381" t="inlineStr">
        <is>
          <t>Beslut</t>
        </is>
      </c>
      <c r="E381" t="inlineStr">
        <is>
          <t>NEW_TAXA</t>
        </is>
      </c>
      <c r="F381" t="inlineStr">
        <is>
          <t>SemanticDecisionEngine</t>
        </is>
      </c>
      <c r="G381" t="inlineStr">
        <is>
          <t>Ingen kandidat över granskningsgräns</t>
        </is>
      </c>
      <c r="H381" t="inlineStr">
        <is>
          <t>TaxDecisionEngine</t>
        </is>
      </c>
      <c r="I381" t="inlineStr">
        <is>
          <t>NEW_TAXA</t>
        </is>
      </c>
      <c r="J38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2">
      <c r="A382" t="inlineStr"/>
      <c r="B382" t="inlineStr">
        <is>
          <t>5.2</t>
        </is>
      </c>
      <c r="C382" t="inlineStr">
        <is>
          <t>Krav på information om tömningstid</t>
        </is>
      </c>
      <c r="D382" t="inlineStr">
        <is>
          <t>Beslut</t>
        </is>
      </c>
      <c r="E382" t="inlineStr">
        <is>
          <t>REVIEW_REQUIRED</t>
        </is>
      </c>
      <c r="F382" t="inlineStr">
        <is>
          <t>Taxepunkter</t>
        </is>
      </c>
      <c r="G382" t="inlineStr">
        <is>
          <t>Bästa semantiska kandidat saknar taxekod</t>
        </is>
      </c>
      <c r="H382" t="inlineStr">
        <is>
          <t>TaxDecisionEngine</t>
        </is>
      </c>
      <c r="I382" t="inlineStr">
        <is>
          <t>REVIEW_REQUIRED</t>
        </is>
      </c>
      <c r="J382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383">
      <c r="A383" t="inlineStr"/>
      <c r="B383" t="inlineStr">
        <is>
          <t>5.2</t>
        </is>
      </c>
      <c r="C383" t="inlineStr">
        <is>
          <t>Krav på närvaro vid specificerad tömningstid</t>
        </is>
      </c>
      <c r="D383" t="inlineStr">
        <is>
          <t>Beslut</t>
        </is>
      </c>
      <c r="E383" t="inlineStr">
        <is>
          <t>REVIEW_REQUIRED</t>
        </is>
      </c>
      <c r="F383" t="inlineStr">
        <is>
          <t>Taxepunkter</t>
        </is>
      </c>
      <c r="G383" t="inlineStr">
        <is>
          <t>Bästa semantiska kandidat saknar taxekod</t>
        </is>
      </c>
      <c r="H383" t="inlineStr">
        <is>
          <t>TaxDecisionEngine</t>
        </is>
      </c>
      <c r="I383" t="inlineStr">
        <is>
          <t>REVIEW_REQUIRED</t>
        </is>
      </c>
      <c r="J383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384">
      <c r="A384" t="inlineStr"/>
      <c r="B384" t="inlineStr">
        <is>
          <t>5.2</t>
        </is>
      </c>
      <c r="C384" t="inlineStr">
        <is>
          <t>Hantering av kod för kodlås vid tömning</t>
        </is>
      </c>
      <c r="D384" t="inlineStr">
        <is>
          <t>Beslut</t>
        </is>
      </c>
      <c r="E384" t="inlineStr">
        <is>
          <t>REVIEW_REQUIRED</t>
        </is>
      </c>
      <c r="F384" t="inlineStr">
        <is>
          <t>Taxepunkter</t>
        </is>
      </c>
      <c r="G384" t="inlineStr">
        <is>
          <t>Bästa semantiska kandidat saknar taxekod</t>
        </is>
      </c>
      <c r="H384" t="inlineStr">
        <is>
          <t>TaxDecisionEngine</t>
        </is>
      </c>
      <c r="I384" t="inlineStr">
        <is>
          <t>REVIEW_REQUIRED</t>
        </is>
      </c>
      <c r="J384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5">
      <c r="A385" t="inlineStr"/>
      <c r="B385" t="inlineStr">
        <is>
          <t>5.2</t>
        </is>
      </c>
      <c r="C385" t="inlineStr">
        <is>
          <t>Hetvattentvätt med spolbil, timersättning</t>
        </is>
      </c>
      <c r="D385" t="inlineStr">
        <is>
          <t>Beslut</t>
        </is>
      </c>
      <c r="E385" t="inlineStr">
        <is>
          <t>REVIEW_REQUIRED</t>
        </is>
      </c>
      <c r="F385" t="inlineStr">
        <is>
          <t>Taxepunkter</t>
        </is>
      </c>
      <c r="G385" t="inlineStr">
        <is>
          <t>Bästa semantiska kandidat saknar taxekod</t>
        </is>
      </c>
      <c r="H385" t="inlineStr">
        <is>
          <t>TaxDecisionEngine</t>
        </is>
      </c>
      <c r="I385" t="inlineStr">
        <is>
          <t>REVIEW_REQUIRED</t>
        </is>
      </c>
      <c r="J385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6">
      <c r="A386" t="inlineStr"/>
      <c r="B386" t="inlineStr">
        <is>
          <t>5.2</t>
        </is>
      </c>
      <c r="C386" t="inlineStr">
        <is>
          <t>Silikontätning per lock</t>
        </is>
      </c>
      <c r="D386" t="inlineStr">
        <is>
          <t>Beslut</t>
        </is>
      </c>
      <c r="E386" t="inlineStr">
        <is>
          <t>REVIEW_REQUIRED</t>
        </is>
      </c>
      <c r="F386" t="inlineStr">
        <is>
          <t>Taxepunkter</t>
        </is>
      </c>
      <c r="G386" t="inlineStr">
        <is>
          <t>Bästa semantiska kandidat saknar taxekod</t>
        </is>
      </c>
      <c r="H386" t="inlineStr">
        <is>
          <t>TaxDecisionEngine</t>
        </is>
      </c>
      <c r="I386" t="inlineStr">
        <is>
          <t>REVIEW_REQUIRED</t>
        </is>
      </c>
      <c r="J386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387">
      <c r="A387" t="inlineStr"/>
      <c r="B387" t="inlineStr">
        <is>
          <t>5.2</t>
        </is>
      </c>
      <c r="C387" t="inlineStr">
        <is>
          <t>Tömning av extra tank i samband med ordinarie/budad tömning upp till 5 m3</t>
        </is>
      </c>
      <c r="D387" t="inlineStr">
        <is>
          <t>Beslut</t>
        </is>
      </c>
      <c r="E387" t="inlineStr">
        <is>
          <t>REVIEW_REQUIRED</t>
        </is>
      </c>
      <c r="F387" t="inlineStr">
        <is>
          <t>Taxepunkter</t>
        </is>
      </c>
      <c r="G387" t="inlineStr">
        <is>
          <t>Bästa semantiska kandidat saknar taxekod</t>
        </is>
      </c>
      <c r="H387" t="inlineStr">
        <is>
          <t>TaxDecisionEngine</t>
        </is>
      </c>
      <c r="I387" t="inlineStr">
        <is>
          <t>REVIEW_REQUIRED</t>
        </is>
      </c>
      <c r="J387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8">
      <c r="A388" t="inlineStr"/>
      <c r="B388" t="inlineStr">
        <is>
          <t>5.3</t>
        </is>
      </c>
      <c r="C388" t="inlineStr">
        <is>
          <t>Budning inom ordinarie tömningsperiod (1 maj- 31 oktober)</t>
        </is>
      </c>
      <c r="D388" t="inlineStr">
        <is>
          <t>Beslut</t>
        </is>
      </c>
      <c r="E388" t="inlineStr">
        <is>
          <t>REVIEW_REQUIRED</t>
        </is>
      </c>
      <c r="F388" t="inlineStr">
        <is>
          <t>Taxepunkter</t>
        </is>
      </c>
      <c r="G388" t="inlineStr">
        <is>
          <t>Bästa semantiska kandidat saknar taxekod</t>
        </is>
      </c>
      <c r="H388" t="inlineStr">
        <is>
          <t>TaxDecisionEngine</t>
        </is>
      </c>
      <c r="I388" t="inlineStr">
        <is>
          <t>REVIEW_REQUIRED</t>
        </is>
      </c>
      <c r="J388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389">
      <c r="A389" t="inlineStr"/>
      <c r="B389" t="inlineStr">
        <is>
          <t>5.3</t>
        </is>
      </c>
      <c r="C389" t="inlineStr">
        <is>
          <t>Budning utanför ordinarie tömningsperiod</t>
        </is>
      </c>
      <c r="D389" t="inlineStr">
        <is>
          <t>Beslut</t>
        </is>
      </c>
      <c r="E389" t="inlineStr">
        <is>
          <t>NEW_TAXA</t>
        </is>
      </c>
      <c r="F389" t="inlineStr">
        <is>
          <t>SemanticDecisionEngine</t>
        </is>
      </c>
      <c r="G389" t="inlineStr">
        <is>
          <t>Ingen kandidat över granskningsgräns</t>
        </is>
      </c>
      <c r="H389" t="inlineStr">
        <is>
          <t>TaxDecisionEngine</t>
        </is>
      </c>
      <c r="I389" t="inlineStr">
        <is>
          <t>NEW_TAXA</t>
        </is>
      </c>
      <c r="J389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0">
      <c r="A390" t="inlineStr"/>
      <c r="B390" t="inlineStr">
        <is>
          <t>6.1.1</t>
        </is>
      </c>
      <c r="C390" t="inlineStr">
        <is>
          <t>Verksamheter</t>
        </is>
      </c>
      <c r="D390" t="inlineStr">
        <is>
          <t>Beslut</t>
        </is>
      </c>
      <c r="E390" t="inlineStr">
        <is>
          <t>NEW_TAXA</t>
        </is>
      </c>
      <c r="F390" t="inlineStr">
        <is>
          <t>SemanticDecisionEngine</t>
        </is>
      </c>
      <c r="G390" t="inlineStr">
        <is>
          <t>Ingen kandidat över granskningsgräns</t>
        </is>
      </c>
      <c r="H390" t="inlineStr">
        <is>
          <t>TaxDecisionEngine</t>
        </is>
      </c>
      <c r="I390" t="inlineStr">
        <is>
          <t>NEW_TAXA</t>
        </is>
      </c>
      <c r="J390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1">
      <c r="A391" t="inlineStr"/>
      <c r="B391" t="inlineStr">
        <is>
          <t>6.1.1</t>
        </is>
      </c>
      <c r="C391" t="inlineStr">
        <is>
          <t>Övriga abonnemangstyper</t>
        </is>
      </c>
      <c r="D391" t="inlineStr">
        <is>
          <t>Beslut</t>
        </is>
      </c>
      <c r="E391" t="inlineStr">
        <is>
          <t>NEW_TAXA</t>
        </is>
      </c>
      <c r="F391" t="inlineStr">
        <is>
          <t>SemanticDecisionEngine</t>
        </is>
      </c>
      <c r="G391" t="inlineStr">
        <is>
          <t>Ingen kandidat över granskningsgräns</t>
        </is>
      </c>
      <c r="H391" t="inlineStr">
        <is>
          <t>TaxDecisionEngine</t>
        </is>
      </c>
      <c r="I391" t="inlineStr">
        <is>
          <t>NEW_TAXA</t>
        </is>
      </c>
      <c r="J391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2">
      <c r="A392" t="inlineStr"/>
      <c r="B392" t="inlineStr">
        <is>
          <t>6.1.1</t>
        </is>
      </c>
      <c r="C392" t="inlineStr">
        <is>
          <t>Vågkort</t>
        </is>
      </c>
      <c r="D392" t="inlineStr">
        <is>
          <t>Beslut</t>
        </is>
      </c>
      <c r="E392" t="inlineStr">
        <is>
          <t>NEW_TAXA</t>
        </is>
      </c>
      <c r="F392" t="inlineStr">
        <is>
          <t>SemanticDecisionEngine</t>
        </is>
      </c>
      <c r="G392" t="inlineStr">
        <is>
          <t>Ingen kandidat över granskningsgräns</t>
        </is>
      </c>
      <c r="H392" t="inlineStr">
        <is>
          <t>TaxDecisionEngine</t>
        </is>
      </c>
      <c r="I392" t="inlineStr">
        <is>
          <t>NEW_TAXA</t>
        </is>
      </c>
      <c r="J392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3">
      <c r="A393" t="inlineStr"/>
      <c r="B393" t="inlineStr">
        <is>
          <t>6.1.1</t>
        </is>
      </c>
      <c r="C393" t="inlineStr">
        <is>
          <t>Borttappat vågkort</t>
        </is>
      </c>
      <c r="D393" t="inlineStr">
        <is>
          <t>Beslut</t>
        </is>
      </c>
      <c r="E393" t="inlineStr">
        <is>
          <t>REVIEW_REQUIRED</t>
        </is>
      </c>
      <c r="F393" t="inlineStr">
        <is>
          <t>Taxepunkter</t>
        </is>
      </c>
      <c r="G393" t="inlineStr">
        <is>
          <t>Bästa semantiska kandidat saknar taxekod</t>
        </is>
      </c>
      <c r="H393" t="inlineStr">
        <is>
          <t>TaxDecisionEngine</t>
        </is>
      </c>
      <c r="I393" t="inlineStr">
        <is>
          <t>REVIEW_REQUIRED</t>
        </is>
      </c>
      <c r="J393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394">
      <c r="A394" t="inlineStr"/>
      <c r="B394" t="inlineStr">
        <is>
          <t>6.1.1</t>
        </is>
      </c>
      <c r="C394" t="inlineStr">
        <is>
          <t>Ej redovisad ankomst till ÅVC (för företagare och privatpersoner som lämnar verksamhetsavfall utan att anmäla sin ankomst)</t>
        </is>
      </c>
      <c r="D394" t="inlineStr">
        <is>
          <t>Beslut</t>
        </is>
      </c>
      <c r="E394" t="inlineStr">
        <is>
          <t>REVIEW_REQUIRED</t>
        </is>
      </c>
      <c r="F394" t="inlineStr">
        <is>
          <t>Taxepunkter</t>
        </is>
      </c>
      <c r="G394" t="inlineStr">
        <is>
          <t>Bästa semantiska kandidat saknar taxekod</t>
        </is>
      </c>
      <c r="H394" t="inlineStr">
        <is>
          <t>TaxDecisionEngine</t>
        </is>
      </c>
      <c r="I394" t="inlineStr">
        <is>
          <t>REVIEW_REQUIRED</t>
        </is>
      </c>
      <c r="J394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395">
      <c r="A395" t="inlineStr"/>
      <c r="B395" t="inlineStr">
        <is>
          <t>6.1.1</t>
        </is>
      </c>
      <c r="C395" t="inlineStr">
        <is>
          <t>Ej redovisad eller fel redovisad fraktion av avfall</t>
        </is>
      </c>
      <c r="D395" t="inlineStr">
        <is>
          <t>Beslut</t>
        </is>
      </c>
      <c r="E395" t="inlineStr">
        <is>
          <t>REVIEW_REQUIRED</t>
        </is>
      </c>
      <c r="F395" t="inlineStr">
        <is>
          <t>Taxepunkter</t>
        </is>
      </c>
      <c r="G395" t="inlineStr">
        <is>
          <t>Bästa semantiska kandidat saknar taxekod</t>
        </is>
      </c>
      <c r="H395" t="inlineStr">
        <is>
          <t>TaxDecisionEngine</t>
        </is>
      </c>
      <c r="I395" t="inlineStr">
        <is>
          <t>REVIEW_REQUIRED</t>
        </is>
      </c>
      <c r="J395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396">
      <c r="A396" t="inlineStr"/>
      <c r="B396" t="inlineStr">
        <is>
          <t>6.1.2</t>
        </is>
      </c>
      <c r="C396" t="inlineStr">
        <is>
          <t>Avfall till energiåtervinning (240 L sopsäck)</t>
        </is>
      </c>
      <c r="D396" t="inlineStr">
        <is>
          <t>Beslut</t>
        </is>
      </c>
      <c r="E396" t="inlineStr">
        <is>
          <t>REVIEW_REQUIRED</t>
        </is>
      </c>
      <c r="F396" t="inlineStr">
        <is>
          <t>Taxepunkter</t>
        </is>
      </c>
      <c r="G396" t="inlineStr">
        <is>
          <t>Bästa semantiska kandidat saknar taxekod</t>
        </is>
      </c>
      <c r="H396" t="inlineStr">
        <is>
          <t>TaxDecisionEngine</t>
        </is>
      </c>
      <c r="I396" t="inlineStr">
        <is>
          <t>REVIEW_REQUIRED</t>
        </is>
      </c>
      <c r="J396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397">
      <c r="A397" t="inlineStr"/>
      <c r="B397" t="inlineStr">
        <is>
          <t>6.1.2</t>
        </is>
      </c>
      <c r="C397" t="inlineStr">
        <is>
          <t>Avfall till energiåtervinning</t>
        </is>
      </c>
      <c r="D397" t="inlineStr">
        <is>
          <t>Beslut</t>
        </is>
      </c>
      <c r="E397" t="inlineStr">
        <is>
          <t>NEW_TAXA</t>
        </is>
      </c>
      <c r="F397" t="inlineStr">
        <is>
          <t>SemanticDecisionEngine</t>
        </is>
      </c>
      <c r="G397" t="inlineStr">
        <is>
          <t>Ingen kandidat över granskningsgräns</t>
        </is>
      </c>
      <c r="H397" t="inlineStr">
        <is>
          <t>TaxDecisionEngine</t>
        </is>
      </c>
      <c r="I397" t="inlineStr">
        <is>
          <t>NEW_TAXA</t>
        </is>
      </c>
      <c r="J397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398">
      <c r="A398" t="inlineStr"/>
      <c r="B398" t="inlineStr">
        <is>
          <t>6.1.2</t>
        </is>
      </c>
      <c r="C398" t="inlineStr">
        <is>
          <t>Skrymmande avfall till energiåtervinning större än 20×20×80</t>
        </is>
      </c>
      <c r="D398" t="inlineStr">
        <is>
          <t>Beslut</t>
        </is>
      </c>
      <c r="E398" t="inlineStr">
        <is>
          <t>REVIEW_REQUIRED</t>
        </is>
      </c>
      <c r="F398" t="inlineStr">
        <is>
          <t>Taxepunkter</t>
        </is>
      </c>
      <c r="G398" t="inlineStr">
        <is>
          <t>Bästa semantiska kandidat saknar taxekod</t>
        </is>
      </c>
      <c r="H398" t="inlineStr">
        <is>
          <t>TaxDecisionEngine</t>
        </is>
      </c>
      <c r="I398" t="inlineStr">
        <is>
          <t>REVIEW_REQUIRED</t>
        </is>
      </c>
      <c r="J398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399">
      <c r="A399" t="inlineStr"/>
      <c r="B399" t="inlineStr">
        <is>
          <t>6.1.2</t>
        </is>
      </c>
      <c r="C399" t="inlineStr">
        <is>
          <t>Träavfall – obehandlat, utan tapet, plastmatta, tjärpapp</t>
        </is>
      </c>
      <c r="D399" t="inlineStr">
        <is>
          <t>Beslut</t>
        </is>
      </c>
      <c r="E399" t="inlineStr">
        <is>
          <t>REVIEW_REQUIRED</t>
        </is>
      </c>
      <c r="F399" t="inlineStr">
        <is>
          <t>Taxepunkter</t>
        </is>
      </c>
      <c r="G399" t="inlineStr">
        <is>
          <t>Bästa semantiska kandidat saknar taxekod</t>
        </is>
      </c>
      <c r="H399" t="inlineStr">
        <is>
          <t>TaxDecisionEngine</t>
        </is>
      </c>
      <c r="I399" t="inlineStr">
        <is>
          <t>REVIEW_REQUIRED</t>
        </is>
      </c>
      <c r="J399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400">
      <c r="A400" t="inlineStr"/>
      <c r="B400" t="inlineStr">
        <is>
          <t>6.1.2</t>
        </is>
      </c>
      <c r="C400" t="inlineStr">
        <is>
          <t>Träavfall – behandlat, utan tapet, plastmatta, tjärpapp</t>
        </is>
      </c>
      <c r="D400" t="inlineStr">
        <is>
          <t>Beslut</t>
        </is>
      </c>
      <c r="E400" t="inlineStr">
        <is>
          <t>NEW_TAXA</t>
        </is>
      </c>
      <c r="F400" t="inlineStr">
        <is>
          <t>SemanticDecisionEngine</t>
        </is>
      </c>
      <c r="G400" t="inlineStr">
        <is>
          <t>Ingen kandidat över granskningsgräns</t>
        </is>
      </c>
      <c r="H400" t="inlineStr">
        <is>
          <t>TaxDecisionEngine</t>
        </is>
      </c>
      <c r="I400" t="inlineStr">
        <is>
          <t>NEW_TAXA</t>
        </is>
      </c>
      <c r="J40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1">
      <c r="A401" t="inlineStr"/>
      <c r="B401" t="inlineStr">
        <is>
          <t>6.1.2</t>
        </is>
      </c>
      <c r="C401" t="inlineStr">
        <is>
          <t>Tryckimpregnerat virke, pall</t>
        </is>
      </c>
      <c r="D401" t="inlineStr">
        <is>
          <t>Beslut</t>
        </is>
      </c>
      <c r="E401" t="inlineStr">
        <is>
          <t>NEW_TAXA</t>
        </is>
      </c>
      <c r="F401" t="inlineStr">
        <is>
          <t>SemanticDecisionEngine</t>
        </is>
      </c>
      <c r="G401" t="inlineStr">
        <is>
          <t>Ingen kandidat över granskningsgräns</t>
        </is>
      </c>
      <c r="H401" t="inlineStr">
        <is>
          <t>TaxDecisionEngine</t>
        </is>
      </c>
      <c r="I401" t="inlineStr">
        <is>
          <t>NEW_TAXA</t>
        </is>
      </c>
      <c r="J40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2">
      <c r="A402" t="inlineStr"/>
      <c r="B402" t="inlineStr">
        <is>
          <t>6.1.2</t>
        </is>
      </c>
      <c r="C402" t="inlineStr">
        <is>
          <t>Betong, lättbetong</t>
        </is>
      </c>
      <c r="D402" t="inlineStr">
        <is>
          <t>Beslut</t>
        </is>
      </c>
      <c r="E402" t="inlineStr">
        <is>
          <t>NEW_TAXA</t>
        </is>
      </c>
      <c r="F402" t="inlineStr">
        <is>
          <t>SemanticDecisionEngine</t>
        </is>
      </c>
      <c r="G402" t="inlineStr">
        <is>
          <t>Ingen kandidat över granskningsgräns</t>
        </is>
      </c>
      <c r="H402" t="inlineStr">
        <is>
          <t>TaxDecisionEngine</t>
        </is>
      </c>
      <c r="I402" t="inlineStr">
        <is>
          <t>NEW_TAXA</t>
        </is>
      </c>
      <c r="J40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3">
      <c r="A403" t="inlineStr"/>
      <c r="B403" t="inlineStr">
        <is>
          <t>6.1.2</t>
        </is>
      </c>
      <c r="C403" t="inlineStr">
        <is>
          <t>Gips, gipsskivor</t>
        </is>
      </c>
      <c r="D403" t="inlineStr">
        <is>
          <t>Beslut</t>
        </is>
      </c>
      <c r="E403" t="inlineStr">
        <is>
          <t>REVIEW_REQUIRED</t>
        </is>
      </c>
      <c r="F403" t="inlineStr">
        <is>
          <t>Taxepunkter</t>
        </is>
      </c>
      <c r="G403" t="inlineStr">
        <is>
          <t>Bästa semantiska kandidat saknar taxekod</t>
        </is>
      </c>
      <c r="H403" t="inlineStr">
        <is>
          <t>TaxDecisionEngine</t>
        </is>
      </c>
      <c r="I403" t="inlineStr">
        <is>
          <t>REVIEW_REQUIRED</t>
        </is>
      </c>
      <c r="J403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404">
      <c r="A404" t="inlineStr"/>
      <c r="B404" t="inlineStr">
        <is>
          <t>6.1.2</t>
        </is>
      </c>
      <c r="C404" t="inlineStr">
        <is>
          <t>Tegel</t>
        </is>
      </c>
      <c r="D404" t="inlineStr">
        <is>
          <t>Beslut</t>
        </is>
      </c>
      <c r="E404" t="inlineStr">
        <is>
          <t>NEW_TAXA</t>
        </is>
      </c>
      <c r="F404" t="inlineStr">
        <is>
          <t>SemanticDecisionEngine</t>
        </is>
      </c>
      <c r="G404" t="inlineStr">
        <is>
          <t>Ingen kandidat över granskningsgräns</t>
        </is>
      </c>
      <c r="H404" t="inlineStr">
        <is>
          <t>TaxDecisionEngine</t>
        </is>
      </c>
      <c r="I404" t="inlineStr">
        <is>
          <t>NEW_TAXA</t>
        </is>
      </c>
      <c r="J4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5">
      <c r="A405" t="inlineStr"/>
      <c r="B405" t="inlineStr">
        <is>
          <t>6.1.2</t>
        </is>
      </c>
      <c r="C405" t="inlineStr">
        <is>
          <t>Fönster- och planglas utan karm</t>
        </is>
      </c>
      <c r="D405" t="inlineStr">
        <is>
          <t>Beslut</t>
        </is>
      </c>
      <c r="E405" t="inlineStr">
        <is>
          <t>NEW_TAXA</t>
        </is>
      </c>
      <c r="F405" t="inlineStr">
        <is>
          <t>SemanticDecisionEngine</t>
        </is>
      </c>
      <c r="G405" t="inlineStr">
        <is>
          <t>Ingen kandidat över granskningsgräns</t>
        </is>
      </c>
      <c r="H405" t="inlineStr">
        <is>
          <t>TaxDecisionEngine</t>
        </is>
      </c>
      <c r="I405" t="inlineStr">
        <is>
          <t>NEW_TAXA</t>
        </is>
      </c>
      <c r="J4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6">
      <c r="A406" t="inlineStr"/>
      <c r="B406" t="inlineStr">
        <is>
          <t>6.1.2</t>
        </is>
      </c>
      <c r="C406" t="inlineStr">
        <is>
          <t>Fönster med karm</t>
        </is>
      </c>
      <c r="D406" t="inlineStr">
        <is>
          <t>Beslut</t>
        </is>
      </c>
      <c r="E406" t="inlineStr">
        <is>
          <t>NEW_TAXA</t>
        </is>
      </c>
      <c r="F406" t="inlineStr">
        <is>
          <t>SemanticDecisionEngine</t>
        </is>
      </c>
      <c r="G406" t="inlineStr">
        <is>
          <t>Ingen kandidat över granskningsgräns</t>
        </is>
      </c>
      <c r="H406" t="inlineStr">
        <is>
          <t>TaxDecisionEngine</t>
        </is>
      </c>
      <c r="I406" t="inlineStr">
        <is>
          <t>NEW_TAXA</t>
        </is>
      </c>
      <c r="J406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407">
      <c r="A407" t="inlineStr"/>
      <c r="B407" t="inlineStr">
        <is>
          <t>6.1.2</t>
        </is>
      </c>
      <c r="C407" t="inlineStr">
        <is>
          <t>Plast</t>
        </is>
      </c>
      <c r="D407" t="inlineStr">
        <is>
          <t>Beslut</t>
        </is>
      </c>
      <c r="E407" t="inlineStr">
        <is>
          <t>NEW_TAXA</t>
        </is>
      </c>
      <c r="F407" t="inlineStr">
        <is>
          <t>SemanticDecisionEngine</t>
        </is>
      </c>
      <c r="G407" t="inlineStr">
        <is>
          <t>Ingen kandidat över granskningsgräns</t>
        </is>
      </c>
      <c r="H407" t="inlineStr">
        <is>
          <t>TaxDecisionEngine</t>
        </is>
      </c>
      <c r="I407" t="inlineStr">
        <is>
          <t>NEW_TAXA</t>
        </is>
      </c>
      <c r="J40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408">
      <c r="A408" t="inlineStr"/>
      <c r="B408" t="inlineStr">
        <is>
          <t>6.1.2</t>
        </is>
      </c>
      <c r="C408" t="inlineStr">
        <is>
          <t>Isolering utan innehåll av asbest</t>
        </is>
      </c>
      <c r="D408" t="inlineStr">
        <is>
          <t>Beslut</t>
        </is>
      </c>
      <c r="E408" t="inlineStr">
        <is>
          <t>REVIEW_REQUIRED</t>
        </is>
      </c>
      <c r="F408" t="inlineStr">
        <is>
          <t>Taxepunkter</t>
        </is>
      </c>
      <c r="G408" t="inlineStr">
        <is>
          <t>Bästa semantiska kandidat saknar taxekod</t>
        </is>
      </c>
      <c r="H408" t="inlineStr">
        <is>
          <t>TaxDecisionEngine</t>
        </is>
      </c>
      <c r="I408" t="inlineStr">
        <is>
          <t>REVIEW_REQUIRED</t>
        </is>
      </c>
      <c r="J408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409">
      <c r="A409" t="inlineStr"/>
      <c r="B409" t="inlineStr">
        <is>
          <t>6.1.2</t>
        </is>
      </c>
      <c r="C409" t="inlineStr">
        <is>
          <t>Klinker, keramik, porslin</t>
        </is>
      </c>
      <c r="D409" t="inlineStr">
        <is>
          <t>Beslut</t>
        </is>
      </c>
      <c r="E409" t="inlineStr">
        <is>
          <t>REVIEW_REQUIRED</t>
        </is>
      </c>
      <c r="F409" t="inlineStr">
        <is>
          <t>Taxepunkter</t>
        </is>
      </c>
      <c r="G409" t="inlineStr">
        <is>
          <t>Bästa semantiska kandidat saknar taxekod</t>
        </is>
      </c>
      <c r="H409" t="inlineStr">
        <is>
          <t>TaxDecisionEngine</t>
        </is>
      </c>
      <c r="I409" t="inlineStr">
        <is>
          <t>REVIEW_REQUIRED</t>
        </is>
      </c>
      <c r="J409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410">
      <c r="A410" t="inlineStr"/>
      <c r="B410" t="inlineStr">
        <is>
          <t>6.1.2</t>
        </is>
      </c>
      <c r="C410" t="inlineStr">
        <is>
          <t>Handfat</t>
        </is>
      </c>
      <c r="D410" t="inlineStr">
        <is>
          <t>Beslut</t>
        </is>
      </c>
      <c r="E410" t="inlineStr">
        <is>
          <t>NEW_TAXA</t>
        </is>
      </c>
      <c r="F410" t="inlineStr">
        <is>
          <t>SemanticDecisionEngine</t>
        </is>
      </c>
      <c r="G410" t="inlineStr">
        <is>
          <t>Ingen kandidat över granskningsgräns</t>
        </is>
      </c>
      <c r="H410" t="inlineStr">
        <is>
          <t>TaxDecisionEngine</t>
        </is>
      </c>
      <c r="I410" t="inlineStr">
        <is>
          <t>NEW_TAXA</t>
        </is>
      </c>
      <c r="J41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1">
      <c r="A411" t="inlineStr"/>
      <c r="B411" t="inlineStr">
        <is>
          <t>6.1.2</t>
        </is>
      </c>
      <c r="C411" t="inlineStr">
        <is>
          <t>WC-stol</t>
        </is>
      </c>
      <c r="D411" t="inlineStr">
        <is>
          <t>Beslut</t>
        </is>
      </c>
      <c r="E411" t="inlineStr">
        <is>
          <t>REVIEW_REQUIRED</t>
        </is>
      </c>
      <c r="F411" t="inlineStr">
        <is>
          <t>Taxepunkter</t>
        </is>
      </c>
      <c r="G411" t="inlineStr">
        <is>
          <t>Bästa semantiska kandidat saknar taxekod</t>
        </is>
      </c>
      <c r="H411" t="inlineStr">
        <is>
          <t>TaxDecisionEngine</t>
        </is>
      </c>
      <c r="I411" t="inlineStr">
        <is>
          <t>REVIEW_REQUIRED</t>
        </is>
      </c>
      <c r="J411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2">
      <c r="A412" t="inlineStr"/>
      <c r="B412" t="inlineStr">
        <is>
          <t>6.1.2</t>
        </is>
      </c>
      <c r="C412" t="inlineStr">
        <is>
          <t>Metall</t>
        </is>
      </c>
      <c r="D412" t="inlineStr">
        <is>
          <t>Beslut</t>
        </is>
      </c>
      <c r="E412" t="inlineStr">
        <is>
          <t>REVIEW_REQUIRED</t>
        </is>
      </c>
      <c r="F412" t="inlineStr">
        <is>
          <t>Taxepunkter</t>
        </is>
      </c>
      <c r="G412" t="inlineStr">
        <is>
          <t>Bästa semantiska kandidat saknar taxekod</t>
        </is>
      </c>
      <c r="H412" t="inlineStr">
        <is>
          <t>TaxDecisionEngine</t>
        </is>
      </c>
      <c r="I412" t="inlineStr">
        <is>
          <t>REVIEW_REQUIRED</t>
        </is>
      </c>
      <c r="J412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3">
      <c r="A413" t="inlineStr"/>
      <c r="B413" t="inlineStr">
        <is>
          <t>6.1.2</t>
        </is>
      </c>
      <c r="C413" t="inlineStr">
        <is>
          <t>Textilier</t>
        </is>
      </c>
      <c r="D413" t="inlineStr">
        <is>
          <t>Beslut</t>
        </is>
      </c>
      <c r="E413" t="inlineStr">
        <is>
          <t>REVIEW_REQUIRED</t>
        </is>
      </c>
      <c r="F413" t="inlineStr">
        <is>
          <t>Taxepunkter</t>
        </is>
      </c>
      <c r="G413" t="inlineStr">
        <is>
          <t>Bästa semantiska kandidat saknar taxekod</t>
        </is>
      </c>
      <c r="H413" t="inlineStr">
        <is>
          <t>TaxDecisionEngine</t>
        </is>
      </c>
      <c r="I413" t="inlineStr">
        <is>
          <t>REVIEW_REQUIRED</t>
        </is>
      </c>
      <c r="J413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414">
      <c r="A414" t="inlineStr"/>
      <c r="B414" t="inlineStr">
        <is>
          <t>6.1.2</t>
        </is>
      </c>
      <c r="C414" t="inlineStr">
        <is>
          <t>Fiskeredskap</t>
        </is>
      </c>
      <c r="D414" t="inlineStr">
        <is>
          <t>Beslut</t>
        </is>
      </c>
      <c r="E414" t="inlineStr">
        <is>
          <t>NEW_TAXA</t>
        </is>
      </c>
      <c r="F414" t="inlineStr">
        <is>
          <t>SemanticDecisionEngine</t>
        </is>
      </c>
      <c r="G414" t="inlineStr">
        <is>
          <t>Ingen kandidat över granskningsgräns</t>
        </is>
      </c>
      <c r="H414" t="inlineStr">
        <is>
          <t>TaxDecisionEngine</t>
        </is>
      </c>
      <c r="I414" t="inlineStr">
        <is>
          <t>NEW_TAXA</t>
        </is>
      </c>
      <c r="J41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5">
      <c r="A415" t="inlineStr"/>
      <c r="B415" t="inlineStr">
        <is>
          <t>6.1.2</t>
        </is>
      </c>
      <c r="C415" t="inlineStr">
        <is>
          <t>Ätbart fett/frityrolja</t>
        </is>
      </c>
      <c r="D415" t="inlineStr">
        <is>
          <t>Beslut</t>
        </is>
      </c>
      <c r="E415" t="inlineStr">
        <is>
          <t>NEW_TAXA</t>
        </is>
      </c>
      <c r="F415" t="inlineStr">
        <is>
          <t>SemanticDecisionEngine</t>
        </is>
      </c>
      <c r="G415" t="inlineStr">
        <is>
          <t>Ingen kandidat över granskningsgräns</t>
        </is>
      </c>
      <c r="H415" t="inlineStr">
        <is>
          <t>TaxDecisionEngine</t>
        </is>
      </c>
      <c r="I415" t="inlineStr">
        <is>
          <t>NEW_TAXA</t>
        </is>
      </c>
      <c r="J41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6">
      <c r="A416" t="inlineStr"/>
      <c r="B416" t="inlineStr">
        <is>
          <t>6.1.2</t>
        </is>
      </c>
      <c r="C416" t="inlineStr">
        <is>
          <t>Kvistar och grenar</t>
        </is>
      </c>
      <c r="D416" t="inlineStr">
        <is>
          <t>Beslut</t>
        </is>
      </c>
      <c r="E416" t="inlineStr">
        <is>
          <t>NEW_TAXA</t>
        </is>
      </c>
      <c r="F416" t="inlineStr">
        <is>
          <t>SemanticDecisionEngine</t>
        </is>
      </c>
      <c r="G416" t="inlineStr">
        <is>
          <t>Ingen kandidat över granskningsgräns</t>
        </is>
      </c>
      <c r="H416" t="inlineStr">
        <is>
          <t>TaxDecisionEngine</t>
        </is>
      </c>
      <c r="I416" t="inlineStr">
        <is>
          <t>NEW_TAXA</t>
        </is>
      </c>
      <c r="J41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7">
      <c r="A417" t="inlineStr"/>
      <c r="B417" t="inlineStr">
        <is>
          <t>6.1.2</t>
        </is>
      </c>
      <c r="C417" t="inlineStr">
        <is>
          <t>Jord</t>
        </is>
      </c>
      <c r="D417" t="inlineStr">
        <is>
          <t>Beslut</t>
        </is>
      </c>
      <c r="E417" t="inlineStr">
        <is>
          <t>REVIEW_REQUIRED</t>
        </is>
      </c>
      <c r="F417" t="inlineStr">
        <is>
          <t>Taxepunkter</t>
        </is>
      </c>
      <c r="G417" t="inlineStr">
        <is>
          <t>Bästa semantiska kandidat saknar taxekod</t>
        </is>
      </c>
      <c r="H417" t="inlineStr">
        <is>
          <t>TaxDecisionEngine</t>
        </is>
      </c>
      <c r="I417" t="inlineStr">
        <is>
          <t>REVIEW_REQUIRED</t>
        </is>
      </c>
      <c r="J417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418">
      <c r="A418" t="inlineStr"/>
      <c r="B418" t="inlineStr">
        <is>
          <t>6.1.2</t>
        </is>
      </c>
      <c r="C418" t="inlineStr">
        <is>
          <t>Sten</t>
        </is>
      </c>
      <c r="D418" t="inlineStr">
        <is>
          <t>Beslut</t>
        </is>
      </c>
      <c r="E418" t="inlineStr">
        <is>
          <t>REVIEW_REQUIRED</t>
        </is>
      </c>
      <c r="F418" t="inlineStr">
        <is>
          <t>Taxepunkter</t>
        </is>
      </c>
      <c r="G418" t="inlineStr">
        <is>
          <t>Bästa semantiska kandidat saknar taxekod</t>
        </is>
      </c>
      <c r="H418" t="inlineStr">
        <is>
          <t>TaxDecisionEngine</t>
        </is>
      </c>
      <c r="I418" t="inlineStr">
        <is>
          <t>REVIEW_REQUIRED</t>
        </is>
      </c>
      <c r="J41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9">
      <c r="A419" t="inlineStr"/>
      <c r="B419" t="inlineStr">
        <is>
          <t>6.1.2</t>
        </is>
      </c>
      <c r="C419" t="inlineStr">
        <is>
          <t>Stubbar/rötter för krossning</t>
        </is>
      </c>
      <c r="D419" t="inlineStr">
        <is>
          <t>Beslut</t>
        </is>
      </c>
      <c r="E419" t="inlineStr">
        <is>
          <t>NEW_TAXA</t>
        </is>
      </c>
      <c r="F419" t="inlineStr">
        <is>
          <t>SemanticDecisionEngine</t>
        </is>
      </c>
      <c r="G419" t="inlineStr">
        <is>
          <t>Ingen kandidat över granskningsgräns</t>
        </is>
      </c>
      <c r="H419" t="inlineStr">
        <is>
          <t>TaxDecisionEngine</t>
        </is>
      </c>
      <c r="I419" t="inlineStr">
        <is>
          <t>NEW_TAXA</t>
        </is>
      </c>
      <c r="J41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0">
      <c r="A420" t="inlineStr"/>
      <c r="B420" t="inlineStr">
        <is>
          <t>6.1.2</t>
        </is>
      </c>
      <c r="C420" t="inlineStr">
        <is>
          <t>Flera fraktioner för egen sortering på ramp (max 2 m³)</t>
        </is>
      </c>
      <c r="D420" t="inlineStr">
        <is>
          <t>Beslut</t>
        </is>
      </c>
      <c r="E420" t="inlineStr">
        <is>
          <t>REVIEW_REQUIRED</t>
        </is>
      </c>
      <c r="F420" t="inlineStr">
        <is>
          <t>Taxepunkter</t>
        </is>
      </c>
      <c r="G420" t="inlineStr">
        <is>
          <t>Bästa semantiska kandidat saknar taxekod</t>
        </is>
      </c>
      <c r="H420" t="inlineStr">
        <is>
          <t>TaxDecisionEngine</t>
        </is>
      </c>
      <c r="I420" t="inlineStr">
        <is>
          <t>REVIEW_REQUIRED</t>
        </is>
      </c>
      <c r="J420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21">
      <c r="A421" t="inlineStr"/>
      <c r="B421" t="inlineStr">
        <is>
          <t>6.1.2</t>
        </is>
      </c>
      <c r="C421" t="inlineStr">
        <is>
          <t>Osorterat avfall till sortering (ej innehåll av farligt avfall och elavfall)</t>
        </is>
      </c>
      <c r="D421" t="inlineStr">
        <is>
          <t>Beslut</t>
        </is>
      </c>
      <c r="E421" t="inlineStr">
        <is>
          <t>NEW_TAXA</t>
        </is>
      </c>
      <c r="F421" t="inlineStr">
        <is>
          <t>SemanticDecisionEngine</t>
        </is>
      </c>
      <c r="G421" t="inlineStr">
        <is>
          <t>Ingen kandidat över granskningsgräns</t>
        </is>
      </c>
      <c r="H421" t="inlineStr">
        <is>
          <t>TaxDecisionEngine</t>
        </is>
      </c>
      <c r="I421" t="inlineStr">
        <is>
          <t>NEW_TAXA</t>
        </is>
      </c>
      <c r="J4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2">
      <c r="A422" t="inlineStr"/>
      <c r="B422" t="inlineStr">
        <is>
          <t>6.1.2</t>
        </is>
      </c>
      <c r="C422" t="inlineStr">
        <is>
          <t>Tonerkassetter, utan elektronik/chip</t>
        </is>
      </c>
      <c r="D422" t="inlineStr">
        <is>
          <t>Beslut</t>
        </is>
      </c>
      <c r="E422" t="inlineStr">
        <is>
          <t>NEW_TAXA</t>
        </is>
      </c>
      <c r="F422" t="inlineStr">
        <is>
          <t>SemanticDecisionEngine</t>
        </is>
      </c>
      <c r="G422" t="inlineStr">
        <is>
          <t>Ingen kandidat över granskningsgräns</t>
        </is>
      </c>
      <c r="H422" t="inlineStr">
        <is>
          <t>TaxDecisionEngine</t>
        </is>
      </c>
      <c r="I422" t="inlineStr">
        <is>
          <t>NEW_TAXA</t>
        </is>
      </c>
      <c r="J422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423">
      <c r="A423" t="inlineStr"/>
      <c r="B423" t="inlineStr">
        <is>
          <t>6.1.2</t>
        </is>
      </c>
      <c r="C423" t="inlineStr">
        <is>
          <t>Oljeemulsion, emballerat</t>
        </is>
      </c>
      <c r="D423" t="inlineStr">
        <is>
          <t>Beslut</t>
        </is>
      </c>
      <c r="E423" t="inlineStr">
        <is>
          <t>NEW_TAXA</t>
        </is>
      </c>
      <c r="F423" t="inlineStr">
        <is>
          <t>SemanticDecisionEngine</t>
        </is>
      </c>
      <c r="G423" t="inlineStr">
        <is>
          <t>Ingen kandidat över granskningsgräns</t>
        </is>
      </c>
      <c r="H423" t="inlineStr">
        <is>
          <t>TaxDecisionEngine</t>
        </is>
      </c>
      <c r="I423" t="inlineStr">
        <is>
          <t>NEW_TAXA</t>
        </is>
      </c>
      <c r="J42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4">
      <c r="A424" t="inlineStr"/>
      <c r="B424" t="inlineStr">
        <is>
          <t>6.1.2</t>
        </is>
      </c>
      <c r="C424" t="inlineStr">
        <is>
          <t>Förorenad olja innehållande PCB</t>
        </is>
      </c>
      <c r="D424" t="inlineStr">
        <is>
          <t>Beslut</t>
        </is>
      </c>
      <c r="E424" t="inlineStr">
        <is>
          <t>NEW_TAXA</t>
        </is>
      </c>
      <c r="F424" t="inlineStr">
        <is>
          <t>SemanticDecisionEngine</t>
        </is>
      </c>
      <c r="G424" t="inlineStr">
        <is>
          <t>Ingen kandidat över granskningsgräns</t>
        </is>
      </c>
      <c r="H424" t="inlineStr">
        <is>
          <t>TaxDecisionEngine</t>
        </is>
      </c>
      <c r="I424" t="inlineStr">
        <is>
          <t>NEW_TAXA</t>
        </is>
      </c>
      <c r="J42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5">
      <c r="A425" t="inlineStr"/>
      <c r="B425" t="inlineStr">
        <is>
          <t>6.1.2</t>
        </is>
      </c>
      <c r="C425" t="inlineStr">
        <is>
          <t>Oljeavskiljarslam</t>
        </is>
      </c>
      <c r="D425" t="inlineStr">
        <is>
          <t>Beslut</t>
        </is>
      </c>
      <c r="E425" t="inlineStr">
        <is>
          <t>NEW_TAXA</t>
        </is>
      </c>
      <c r="F425" t="inlineStr">
        <is>
          <t>SemanticDecisionEngine</t>
        </is>
      </c>
      <c r="G425" t="inlineStr">
        <is>
          <t>Ingen kandidat över granskningsgräns</t>
        </is>
      </c>
      <c r="H425" t="inlineStr">
        <is>
          <t>TaxDecisionEngine</t>
        </is>
      </c>
      <c r="I425" t="inlineStr">
        <is>
          <t>NEW_TAXA</t>
        </is>
      </c>
      <c r="J42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6">
      <c r="A426" t="inlineStr"/>
      <c r="B426" t="inlineStr">
        <is>
          <t>6.1.2</t>
        </is>
      </c>
      <c r="C426" t="inlineStr">
        <is>
          <t>Diesel</t>
        </is>
      </c>
      <c r="D426" t="inlineStr">
        <is>
          <t>Beslut</t>
        </is>
      </c>
      <c r="E426" t="inlineStr">
        <is>
          <t>NEW_TAXA</t>
        </is>
      </c>
      <c r="F426" t="inlineStr">
        <is>
          <t>SemanticDecisionEngine</t>
        </is>
      </c>
      <c r="G426" t="inlineStr">
        <is>
          <t>Ingen kandidat över granskningsgräns</t>
        </is>
      </c>
      <c r="H426" t="inlineStr">
        <is>
          <t>TaxDecisionEngine</t>
        </is>
      </c>
      <c r="I426" t="inlineStr">
        <is>
          <t>NEW_TAXA</t>
        </is>
      </c>
      <c r="J42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7">
      <c r="A427" t="inlineStr"/>
      <c r="B427" t="inlineStr">
        <is>
          <t>6.1.2</t>
        </is>
      </c>
      <c r="C427" t="inlineStr">
        <is>
          <t>Bensinrester</t>
        </is>
      </c>
      <c r="D427" t="inlineStr">
        <is>
          <t>Beslut</t>
        </is>
      </c>
      <c r="E427" t="inlineStr">
        <is>
          <t>NEW_TAXA</t>
        </is>
      </c>
      <c r="F427" t="inlineStr">
        <is>
          <t>SemanticDecisionEngine</t>
        </is>
      </c>
      <c r="G427" t="inlineStr">
        <is>
          <t>Ingen kandidat över granskningsgräns</t>
        </is>
      </c>
      <c r="H427" t="inlineStr">
        <is>
          <t>TaxDecisionEngine</t>
        </is>
      </c>
      <c r="I427" t="inlineStr">
        <is>
          <t>NEW_TAXA</t>
        </is>
      </c>
      <c r="J42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8">
      <c r="A428" t="inlineStr"/>
      <c r="B428" t="inlineStr">
        <is>
          <t>6.1.2</t>
        </is>
      </c>
      <c r="C428" t="inlineStr">
        <is>
          <t>Hydralslang, med/utan koppling</t>
        </is>
      </c>
      <c r="D428" t="inlineStr">
        <is>
          <t>Beslut</t>
        </is>
      </c>
      <c r="E428" t="inlineStr">
        <is>
          <t>NEW_TAXA</t>
        </is>
      </c>
      <c r="F428" t="inlineStr">
        <is>
          <t>SemanticDecisionEngine</t>
        </is>
      </c>
      <c r="G428" t="inlineStr">
        <is>
          <t>Ingen kandidat över granskningsgräns</t>
        </is>
      </c>
      <c r="H428" t="inlineStr">
        <is>
          <t>TaxDecisionEngine</t>
        </is>
      </c>
      <c r="I428" t="inlineStr">
        <is>
          <t>NEW_TAXA</t>
        </is>
      </c>
      <c r="J42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9">
      <c r="A429" t="inlineStr"/>
      <c r="B429" t="inlineStr">
        <is>
          <t>6.1.2</t>
        </is>
      </c>
      <c r="C429" t="inlineStr">
        <is>
          <t>Förpackningar, tömde ej rengjorda</t>
        </is>
      </c>
      <c r="D429" t="inlineStr">
        <is>
          <t>Beslut</t>
        </is>
      </c>
      <c r="E429" t="inlineStr">
        <is>
          <t>NEW_TAXA</t>
        </is>
      </c>
      <c r="F429" t="inlineStr">
        <is>
          <t>SemanticDecisionEngine</t>
        </is>
      </c>
      <c r="G429" t="inlineStr">
        <is>
          <t>Ingen kandidat över granskningsgräns</t>
        </is>
      </c>
      <c r="H429" t="inlineStr">
        <is>
          <t>TaxDecisionEngine</t>
        </is>
      </c>
      <c r="I429" t="inlineStr">
        <is>
          <t>NEW_TAXA</t>
        </is>
      </c>
      <c r="J42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0">
      <c r="A430" t="inlineStr"/>
      <c r="B430" t="inlineStr">
        <is>
          <t>6.1.2</t>
        </is>
      </c>
      <c r="C430" t="inlineStr">
        <is>
          <t>Oljeavfall, fast osorterat emba</t>
        </is>
      </c>
      <c r="D430" t="inlineStr">
        <is>
          <t>Beslut</t>
        </is>
      </c>
      <c r="E430" t="inlineStr">
        <is>
          <t>NEW_TAXA</t>
        </is>
      </c>
      <c r="F430" t="inlineStr">
        <is>
          <t>SemanticDecisionEngine</t>
        </is>
      </c>
      <c r="G430" t="inlineStr">
        <is>
          <t>Ingen kandidat över granskningsgräns</t>
        </is>
      </c>
      <c r="H430" t="inlineStr">
        <is>
          <t>TaxDecisionEngine</t>
        </is>
      </c>
      <c r="I430" t="inlineStr">
        <is>
          <t>NEW_TAXA</t>
        </is>
      </c>
      <c r="J43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1">
      <c r="A431" t="inlineStr"/>
      <c r="B431" t="inlineStr">
        <is>
          <t>6.1.2</t>
        </is>
      </c>
      <c r="C431" t="inlineStr">
        <is>
          <t>Absorbermedel, filtermaterial</t>
        </is>
      </c>
      <c r="D431" t="inlineStr">
        <is>
          <t>Beslut</t>
        </is>
      </c>
      <c r="E431" t="inlineStr">
        <is>
          <t>NEW_TAXA</t>
        </is>
      </c>
      <c r="F431" t="inlineStr">
        <is>
          <t>SemanticDecisionEngine</t>
        </is>
      </c>
      <c r="G431" t="inlineStr">
        <is>
          <t>Ingen kandidat över granskningsgräns</t>
        </is>
      </c>
      <c r="H431" t="inlineStr">
        <is>
          <t>TaxDecisionEngine</t>
        </is>
      </c>
      <c r="I431" t="inlineStr">
        <is>
          <t>NEW_TAXA</t>
        </is>
      </c>
      <c r="J43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2">
      <c r="A432" t="inlineStr"/>
      <c r="B432" t="inlineStr">
        <is>
          <t>6.1.2</t>
        </is>
      </c>
      <c r="C432" t="inlineStr">
        <is>
          <t>Oljefilter</t>
        </is>
      </c>
      <c r="D432" t="inlineStr">
        <is>
          <t>Beslut</t>
        </is>
      </c>
      <c r="E432" t="inlineStr">
        <is>
          <t>NEW_TAXA</t>
        </is>
      </c>
      <c r="F432" t="inlineStr">
        <is>
          <t>SemanticDecisionEngine</t>
        </is>
      </c>
      <c r="G432" t="inlineStr">
        <is>
          <t>Ingen kandidat över granskningsgräns</t>
        </is>
      </c>
      <c r="H432" t="inlineStr">
        <is>
          <t>TaxDecisionEngine</t>
        </is>
      </c>
      <c r="I432" t="inlineStr">
        <is>
          <t>NEW_TAXA</t>
        </is>
      </c>
      <c r="J43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3">
      <c r="A433" t="inlineStr"/>
      <c r="B433" t="inlineStr">
        <is>
          <t>6.1.2</t>
        </is>
      </c>
      <c r="C433" t="inlineStr">
        <is>
          <t>Bromsvätska</t>
        </is>
      </c>
      <c r="D433" t="inlineStr">
        <is>
          <t>Beslut</t>
        </is>
      </c>
      <c r="E433" t="inlineStr">
        <is>
          <t>NEW_TAXA</t>
        </is>
      </c>
      <c r="F433" t="inlineStr">
        <is>
          <t>SemanticDecisionEngine</t>
        </is>
      </c>
      <c r="G433" t="inlineStr">
        <is>
          <t>Ingen kandidat över granskningsgräns</t>
        </is>
      </c>
      <c r="H433" t="inlineStr">
        <is>
          <t>TaxDecisionEngine</t>
        </is>
      </c>
      <c r="I433" t="inlineStr">
        <is>
          <t>NEW_TAXA</t>
        </is>
      </c>
      <c r="J43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4">
      <c r="A434" t="inlineStr"/>
      <c r="B434" t="inlineStr">
        <is>
          <t>6.1.2</t>
        </is>
      </c>
      <c r="C434" t="inlineStr">
        <is>
          <t>Transformator, kondensator med PCB</t>
        </is>
      </c>
      <c r="D434" t="inlineStr">
        <is>
          <t>Beslut</t>
        </is>
      </c>
      <c r="E434" t="inlineStr">
        <is>
          <t>NEW_TAXA</t>
        </is>
      </c>
      <c r="F434" t="inlineStr">
        <is>
          <t>SemanticDecisionEngine</t>
        </is>
      </c>
      <c r="G434" t="inlineStr">
        <is>
          <t>Ingen kandidat över granskningsgräns</t>
        </is>
      </c>
      <c r="H434" t="inlineStr">
        <is>
          <t>TaxDecisionEngine</t>
        </is>
      </c>
      <c r="I434" t="inlineStr">
        <is>
          <t>NEW_TAXA</t>
        </is>
      </c>
      <c r="J43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5">
      <c r="A435" t="inlineStr"/>
      <c r="B435" t="inlineStr">
        <is>
          <t>6.1.2</t>
        </is>
      </c>
      <c r="C435" t="inlineStr">
        <is>
          <t>Fogskum</t>
        </is>
      </c>
      <c r="D435" t="inlineStr">
        <is>
          <t>Beslut</t>
        </is>
      </c>
      <c r="E435" t="inlineStr">
        <is>
          <t>NEW_TAXA</t>
        </is>
      </c>
      <c r="F435" t="inlineStr">
        <is>
          <t>SemanticDecisionEngine</t>
        </is>
      </c>
      <c r="G435" t="inlineStr">
        <is>
          <t>Ingen kandidat över granskningsgräns</t>
        </is>
      </c>
      <c r="H435" t="inlineStr">
        <is>
          <t>TaxDecisionEngine</t>
        </is>
      </c>
      <c r="I435" t="inlineStr">
        <is>
          <t>NEW_TAXA</t>
        </is>
      </c>
      <c r="J43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6">
      <c r="A436" t="inlineStr"/>
      <c r="B436" t="inlineStr">
        <is>
          <t>6.1.2</t>
        </is>
      </c>
      <c r="C436" t="inlineStr">
        <is>
          <t>Halon</t>
        </is>
      </c>
      <c r="D436" t="inlineStr">
        <is>
          <t>Beslut</t>
        </is>
      </c>
      <c r="E436" t="inlineStr">
        <is>
          <t>NEW_TAXA</t>
        </is>
      </c>
      <c r="F436" t="inlineStr">
        <is>
          <t>SemanticDecisionEngine</t>
        </is>
      </c>
      <c r="G436" t="inlineStr">
        <is>
          <t>Ingen kandidat över granskningsgräns</t>
        </is>
      </c>
      <c r="H436" t="inlineStr">
        <is>
          <t>TaxDecisionEngine</t>
        </is>
      </c>
      <c r="I436" t="inlineStr">
        <is>
          <t>NEW_TAXA</t>
        </is>
      </c>
      <c r="J4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7">
      <c r="A437" t="inlineStr"/>
      <c r="B437" t="inlineStr">
        <is>
          <t>6.1.2</t>
        </is>
      </c>
      <c r="C437" t="inlineStr">
        <is>
          <t>Koldioxid</t>
        </is>
      </c>
      <c r="D437" t="inlineStr">
        <is>
          <t>Beslut</t>
        </is>
      </c>
      <c r="E437" t="inlineStr">
        <is>
          <t>NEW_TAXA</t>
        </is>
      </c>
      <c r="F437" t="inlineStr">
        <is>
          <t>SemanticDecisionEngine</t>
        </is>
      </c>
      <c r="G437" t="inlineStr">
        <is>
          <t>Ingen kandidat över granskningsgräns</t>
        </is>
      </c>
      <c r="H437" t="inlineStr">
        <is>
          <t>TaxDecisionEngine</t>
        </is>
      </c>
      <c r="I437" t="inlineStr">
        <is>
          <t>NEW_TAXA</t>
        </is>
      </c>
      <c r="J4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8">
      <c r="A438" t="inlineStr"/>
      <c r="B438" t="inlineStr">
        <is>
          <t>6.1.2</t>
        </is>
      </c>
      <c r="C438" t="inlineStr">
        <is>
          <t>Brandsläckare</t>
        </is>
      </c>
      <c r="D438" t="inlineStr">
        <is>
          <t>Beslut</t>
        </is>
      </c>
      <c r="E438" t="inlineStr">
        <is>
          <t>NEW_TAXA</t>
        </is>
      </c>
      <c r="F438" t="inlineStr">
        <is>
          <t>SemanticDecisionEngine</t>
        </is>
      </c>
      <c r="G438" t="inlineStr">
        <is>
          <t>Ingen kandidat över granskningsgräns</t>
        </is>
      </c>
      <c r="H438" t="inlineStr">
        <is>
          <t>TaxDecisionEngine</t>
        </is>
      </c>
      <c r="I438" t="inlineStr">
        <is>
          <t>NEW_TAXA</t>
        </is>
      </c>
      <c r="J4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9">
      <c r="A439" t="inlineStr"/>
      <c r="B439" t="inlineStr">
        <is>
          <t>6.1.2</t>
        </is>
      </c>
      <c r="C439" t="inlineStr">
        <is>
          <t>Helium</t>
        </is>
      </c>
      <c r="D439" t="inlineStr">
        <is>
          <t>Beslut</t>
        </is>
      </c>
      <c r="E439" t="inlineStr">
        <is>
          <t>REVIEW_REQUIRED</t>
        </is>
      </c>
      <c r="F439" t="inlineStr">
        <is>
          <t>Taxepunkter</t>
        </is>
      </c>
      <c r="G439" t="inlineStr">
        <is>
          <t>Bästa semantiska kandidat saknar taxekod</t>
        </is>
      </c>
      <c r="H439" t="inlineStr">
        <is>
          <t>TaxDecisionEngine</t>
        </is>
      </c>
      <c r="I439" t="inlineStr">
        <is>
          <t>REVIEW_REQUIRED</t>
        </is>
      </c>
      <c r="J439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440">
      <c r="A440" t="inlineStr"/>
      <c r="B440" t="inlineStr">
        <is>
          <t>6.1.2</t>
        </is>
      </c>
      <c r="C440" t="inlineStr">
        <is>
          <t>Tändare</t>
        </is>
      </c>
      <c r="D440" t="inlineStr">
        <is>
          <t>Beslut</t>
        </is>
      </c>
      <c r="E440" t="inlineStr">
        <is>
          <t>NEW_TAXA</t>
        </is>
      </c>
      <c r="F440" t="inlineStr">
        <is>
          <t>SemanticDecisionEngine</t>
        </is>
      </c>
      <c r="G440" t="inlineStr">
        <is>
          <t>Ingen kandidat över granskningsgräns</t>
        </is>
      </c>
      <c r="H440" t="inlineStr">
        <is>
          <t>TaxDecisionEngine</t>
        </is>
      </c>
      <c r="I440" t="inlineStr">
        <is>
          <t>NEW_TAXA</t>
        </is>
      </c>
      <c r="J4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1">
      <c r="A441" t="inlineStr"/>
      <c r="B441" t="inlineStr">
        <is>
          <t>6.1.2</t>
        </is>
      </c>
      <c r="C441" t="inlineStr">
        <is>
          <t>Syrgas</t>
        </is>
      </c>
      <c r="D441" t="inlineStr">
        <is>
          <t>Beslut</t>
        </is>
      </c>
      <c r="E441" t="inlineStr">
        <is>
          <t>NEW_TAXA</t>
        </is>
      </c>
      <c r="F441" t="inlineStr">
        <is>
          <t>SemanticDecisionEngine</t>
        </is>
      </c>
      <c r="G441" t="inlineStr">
        <is>
          <t>Ingen kandidat över granskningsgräns</t>
        </is>
      </c>
      <c r="H441" t="inlineStr">
        <is>
          <t>TaxDecisionEngine</t>
        </is>
      </c>
      <c r="I441" t="inlineStr">
        <is>
          <t>NEW_TAXA</t>
        </is>
      </c>
      <c r="J4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2">
      <c r="A442" t="inlineStr"/>
      <c r="B442" t="inlineStr">
        <is>
          <t>6.1.2</t>
        </is>
      </c>
      <c r="C442" t="inlineStr">
        <is>
          <t>Oxiderande fast ämne/vätska</t>
        </is>
      </c>
      <c r="D442" t="inlineStr">
        <is>
          <t>Beslut</t>
        </is>
      </c>
      <c r="E442" t="inlineStr">
        <is>
          <t>NEW_TAXA</t>
        </is>
      </c>
      <c r="F442" t="inlineStr">
        <is>
          <t>SemanticDecisionEngine</t>
        </is>
      </c>
      <c r="G442" t="inlineStr">
        <is>
          <t>Ingen kandidat över granskningsgräns</t>
        </is>
      </c>
      <c r="H442" t="inlineStr">
        <is>
          <t>TaxDecisionEngine</t>
        </is>
      </c>
      <c r="I442" t="inlineStr">
        <is>
          <t>NEW_TAXA</t>
        </is>
      </c>
      <c r="J44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3">
      <c r="A443" t="inlineStr"/>
      <c r="B443" t="inlineStr">
        <is>
          <t>6.1.2</t>
        </is>
      </c>
      <c r="C443" t="inlineStr">
        <is>
          <t>Klorex</t>
        </is>
      </c>
      <c r="D443" t="inlineStr">
        <is>
          <t>Beslut</t>
        </is>
      </c>
      <c r="E443" t="inlineStr">
        <is>
          <t>NEW_TAXA</t>
        </is>
      </c>
      <c r="F443" t="inlineStr">
        <is>
          <t>SemanticDecisionEngine</t>
        </is>
      </c>
      <c r="G443" t="inlineStr">
        <is>
          <t>Ingen kandidat över granskningsgräns</t>
        </is>
      </c>
      <c r="H443" t="inlineStr">
        <is>
          <t>TaxDecisionEngine</t>
        </is>
      </c>
      <c r="I443" t="inlineStr">
        <is>
          <t>NEW_TAXA</t>
        </is>
      </c>
      <c r="J44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4">
      <c r="A444" t="inlineStr"/>
      <c r="B444" t="inlineStr">
        <is>
          <t>6.1.2</t>
        </is>
      </c>
      <c r="C444" t="inlineStr">
        <is>
          <t>Aerosoler isocyanat, bekämpning</t>
        </is>
      </c>
      <c r="D444" t="inlineStr">
        <is>
          <t>Beslut</t>
        </is>
      </c>
      <c r="E444" t="inlineStr">
        <is>
          <t>NEW_TAXA</t>
        </is>
      </c>
      <c r="F444" t="inlineStr">
        <is>
          <t>SemanticDecisionEngine</t>
        </is>
      </c>
      <c r="G444" t="inlineStr">
        <is>
          <t>Ingen kandidat över granskningsgräns</t>
        </is>
      </c>
      <c r="H444" t="inlineStr">
        <is>
          <t>TaxDecisionEngine</t>
        </is>
      </c>
      <c r="I444" t="inlineStr">
        <is>
          <t>NEW_TAXA</t>
        </is>
      </c>
      <c r="J44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5">
      <c r="A445" t="inlineStr"/>
      <c r="B445" t="inlineStr">
        <is>
          <t>6.1.2</t>
        </is>
      </c>
      <c r="C445" t="inlineStr">
        <is>
          <t>Gasol inkl tub</t>
        </is>
      </c>
      <c r="D445" t="inlineStr">
        <is>
          <t>Beslut</t>
        </is>
      </c>
      <c r="E445" t="inlineStr">
        <is>
          <t>NEW_TAXA</t>
        </is>
      </c>
      <c r="F445" t="inlineStr">
        <is>
          <t>SemanticDecisionEngine</t>
        </is>
      </c>
      <c r="G445" t="inlineStr">
        <is>
          <t>Ingen kandidat över granskningsgräns</t>
        </is>
      </c>
      <c r="H445" t="inlineStr">
        <is>
          <t>TaxDecisionEngine</t>
        </is>
      </c>
      <c r="I445" t="inlineStr">
        <is>
          <t>NEW_TAXA</t>
        </is>
      </c>
      <c r="J44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6">
      <c r="A446" t="inlineStr"/>
      <c r="B446" t="inlineStr">
        <is>
          <t>6.1.2</t>
        </is>
      </c>
      <c r="C446" t="inlineStr">
        <is>
          <t>Gasol, blå programmet</t>
        </is>
      </c>
      <c r="D446" t="inlineStr">
        <is>
          <t>Beslut</t>
        </is>
      </c>
      <c r="E446" t="inlineStr">
        <is>
          <t>NEW_TAXA</t>
        </is>
      </c>
      <c r="F446" t="inlineStr">
        <is>
          <t>SemanticDecisionEngine</t>
        </is>
      </c>
      <c r="G446" t="inlineStr">
        <is>
          <t>Ingen kandidat över granskningsgräns</t>
        </is>
      </c>
      <c r="H446" t="inlineStr">
        <is>
          <t>TaxDecisionEngine</t>
        </is>
      </c>
      <c r="I446" t="inlineStr">
        <is>
          <t>NEW_TAXA</t>
        </is>
      </c>
      <c r="J4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7">
      <c r="A447" t="inlineStr"/>
      <c r="B447" t="inlineStr">
        <is>
          <t>6.1.2</t>
        </is>
      </c>
      <c r="C447" t="inlineStr">
        <is>
          <t>Giftig organisk vätska</t>
        </is>
      </c>
      <c r="D447" t="inlineStr">
        <is>
          <t>Beslut</t>
        </is>
      </c>
      <c r="E447" t="inlineStr">
        <is>
          <t>NEW_TAXA</t>
        </is>
      </c>
      <c r="F447" t="inlineStr">
        <is>
          <t>SemanticDecisionEngine</t>
        </is>
      </c>
      <c r="G447" t="inlineStr">
        <is>
          <t>Ingen kandidat över granskningsgräns</t>
        </is>
      </c>
      <c r="H447" t="inlineStr">
        <is>
          <t>TaxDecisionEngine</t>
        </is>
      </c>
      <c r="I447" t="inlineStr">
        <is>
          <t>NEW_TAXA</t>
        </is>
      </c>
      <c r="J44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8">
      <c r="A448" t="inlineStr"/>
      <c r="B448" t="inlineStr">
        <is>
          <t>6.1.2</t>
        </is>
      </c>
      <c r="C448" t="inlineStr">
        <is>
          <t>Småkemikalier, ej Hg-haltiga</t>
        </is>
      </c>
      <c r="D448" t="inlineStr">
        <is>
          <t>Beslut</t>
        </is>
      </c>
      <c r="E448" t="inlineStr">
        <is>
          <t>NEW_TAXA</t>
        </is>
      </c>
      <c r="F448" t="inlineStr">
        <is>
          <t>SemanticDecisionEngine</t>
        </is>
      </c>
      <c r="G448" t="inlineStr">
        <is>
          <t>Ingen kandidat över granskningsgräns</t>
        </is>
      </c>
      <c r="H448" t="inlineStr">
        <is>
          <t>TaxDecisionEngine</t>
        </is>
      </c>
      <c r="I448" t="inlineStr">
        <is>
          <t>NEW_TAXA</t>
        </is>
      </c>
      <c r="J44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9">
      <c r="A449" t="inlineStr"/>
      <c r="B449" t="inlineStr">
        <is>
          <t>6.1.2</t>
        </is>
      </c>
      <c r="C449" t="inlineStr">
        <is>
          <t>Giftig oorganisk vätska</t>
        </is>
      </c>
      <c r="D449" t="inlineStr">
        <is>
          <t>Beslut</t>
        </is>
      </c>
      <c r="E449" t="inlineStr">
        <is>
          <t>NEW_TAXA</t>
        </is>
      </c>
      <c r="F449" t="inlineStr">
        <is>
          <t>SemanticDecisionEngine</t>
        </is>
      </c>
      <c r="G449" t="inlineStr">
        <is>
          <t>Ingen kandidat över granskningsgräns</t>
        </is>
      </c>
      <c r="H449" t="inlineStr">
        <is>
          <t>TaxDecisionEngine</t>
        </is>
      </c>
      <c r="I449" t="inlineStr">
        <is>
          <t>NEW_TAXA</t>
        </is>
      </c>
      <c r="J44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0">
      <c r="A450" t="inlineStr"/>
      <c r="B450" t="inlineStr">
        <is>
          <t>6.1.2</t>
        </is>
      </c>
      <c r="C450" t="inlineStr">
        <is>
          <t>Oxidationsmedel, flytande</t>
        </is>
      </c>
      <c r="D450" t="inlineStr">
        <is>
          <t>Beslut</t>
        </is>
      </c>
      <c r="E450" t="inlineStr">
        <is>
          <t>NEW_TAXA</t>
        </is>
      </c>
      <c r="F450" t="inlineStr">
        <is>
          <t>SemanticDecisionEngine</t>
        </is>
      </c>
      <c r="G450" t="inlineStr">
        <is>
          <t>Ingen kandidat över granskningsgräns</t>
        </is>
      </c>
      <c r="H450" t="inlineStr">
        <is>
          <t>TaxDecisionEngine</t>
        </is>
      </c>
      <c r="I450" t="inlineStr">
        <is>
          <t>NEW_TAXA</t>
        </is>
      </c>
      <c r="J4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1">
      <c r="A451" t="inlineStr"/>
      <c r="B451" t="inlineStr">
        <is>
          <t>6.1.2</t>
        </is>
      </c>
      <c r="C451" t="inlineStr">
        <is>
          <t>Asbest, emballerat</t>
        </is>
      </c>
      <c r="D451" t="inlineStr">
        <is>
          <t>Beslut</t>
        </is>
      </c>
      <c r="E451" t="inlineStr">
        <is>
          <t>NEW_TAXA</t>
        </is>
      </c>
      <c r="F451" t="inlineStr">
        <is>
          <t>SemanticDecisionEngine</t>
        </is>
      </c>
      <c r="G451" t="inlineStr">
        <is>
          <t>Ingen kandidat över granskningsgräns</t>
        </is>
      </c>
      <c r="H451" t="inlineStr">
        <is>
          <t>TaxDecisionEngine</t>
        </is>
      </c>
      <c r="I451" t="inlineStr">
        <is>
          <t>NEW_TAXA</t>
        </is>
      </c>
      <c r="J4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2">
      <c r="A452" t="inlineStr"/>
      <c r="B452" t="inlineStr">
        <is>
          <t>6.1.2</t>
        </is>
      </c>
      <c r="C452" t="inlineStr">
        <is>
          <t>Smittförande avfall</t>
        </is>
      </c>
      <c r="D452" t="inlineStr">
        <is>
          <t>Beslut</t>
        </is>
      </c>
      <c r="E452" t="inlineStr">
        <is>
          <t>NEW_TAXA</t>
        </is>
      </c>
      <c r="F452" t="inlineStr">
        <is>
          <t>SemanticDecisionEngine</t>
        </is>
      </c>
      <c r="G452" t="inlineStr">
        <is>
          <t>Ingen kandidat över granskningsgräns</t>
        </is>
      </c>
      <c r="H452" t="inlineStr">
        <is>
          <t>TaxDecisionEngine</t>
        </is>
      </c>
      <c r="I452" t="inlineStr">
        <is>
          <t>NEW_TAXA</t>
        </is>
      </c>
      <c r="J4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3">
      <c r="A453" t="inlineStr"/>
      <c r="B453" t="inlineStr">
        <is>
          <t>6.1.2</t>
        </is>
      </c>
      <c r="C453" t="inlineStr">
        <is>
          <t>Lösningsmedel</t>
        </is>
      </c>
      <c r="D453" t="inlineStr">
        <is>
          <t>Beslut</t>
        </is>
      </c>
      <c r="E453" t="inlineStr">
        <is>
          <t>NEW_TAXA</t>
        </is>
      </c>
      <c r="F453" t="inlineStr">
        <is>
          <t>SemanticDecisionEngine</t>
        </is>
      </c>
      <c r="G453" t="inlineStr">
        <is>
          <t>Ingen kandidat över granskningsgräns</t>
        </is>
      </c>
      <c r="H453" t="inlineStr">
        <is>
          <t>TaxDecisionEngine</t>
        </is>
      </c>
      <c r="I453" t="inlineStr">
        <is>
          <t>NEW_TAXA</t>
        </is>
      </c>
      <c r="J45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4">
      <c r="A454" t="inlineStr"/>
      <c r="B454" t="inlineStr">
        <is>
          <t>6.1.2</t>
        </is>
      </c>
      <c r="C454" t="inlineStr">
        <is>
          <t>Väteperoxid</t>
        </is>
      </c>
      <c r="D454" t="inlineStr">
        <is>
          <t>Beslut</t>
        </is>
      </c>
      <c r="E454" t="inlineStr">
        <is>
          <t>NEW_TAXA</t>
        </is>
      </c>
      <c r="F454" t="inlineStr">
        <is>
          <t>SemanticDecisionEngine</t>
        </is>
      </c>
      <c r="G454" t="inlineStr">
        <is>
          <t>Ingen kandidat över granskningsgräns</t>
        </is>
      </c>
      <c r="H454" t="inlineStr">
        <is>
          <t>TaxDecisionEngine</t>
        </is>
      </c>
      <c r="I454" t="inlineStr">
        <is>
          <t>NEW_TAXA</t>
        </is>
      </c>
      <c r="J45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5">
      <c r="A455" t="inlineStr"/>
      <c r="B455" t="inlineStr">
        <is>
          <t>6.1.2</t>
        </is>
      </c>
      <c r="C455" t="inlineStr">
        <is>
          <t>Flourvätesyra</t>
        </is>
      </c>
      <c r="D455" t="inlineStr">
        <is>
          <t>Beslut</t>
        </is>
      </c>
      <c r="E455" t="inlineStr">
        <is>
          <t>NEW_TAXA</t>
        </is>
      </c>
      <c r="F455" t="inlineStr">
        <is>
          <t>SemanticDecisionEngine</t>
        </is>
      </c>
      <c r="G455" t="inlineStr">
        <is>
          <t>Ingen kandidat över granskningsgräns</t>
        </is>
      </c>
      <c r="H455" t="inlineStr">
        <is>
          <t>TaxDecisionEngine</t>
        </is>
      </c>
      <c r="I455" t="inlineStr">
        <is>
          <t>NEW_TAXA</t>
        </is>
      </c>
      <c r="J4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6">
      <c r="A456" t="inlineStr"/>
      <c r="B456" t="inlineStr">
        <is>
          <t>6.1.2</t>
        </is>
      </c>
      <c r="C456" t="inlineStr">
        <is>
          <t>Svavelsyra</t>
        </is>
      </c>
      <c r="D456" t="inlineStr">
        <is>
          <t>Beslut</t>
        </is>
      </c>
      <c r="E456" t="inlineStr">
        <is>
          <t>NEW_TAXA</t>
        </is>
      </c>
      <c r="F456" t="inlineStr">
        <is>
          <t>SemanticDecisionEngine</t>
        </is>
      </c>
      <c r="G456" t="inlineStr">
        <is>
          <t>Ingen kandidat över granskningsgräns</t>
        </is>
      </c>
      <c r="H456" t="inlineStr">
        <is>
          <t>TaxDecisionEngine</t>
        </is>
      </c>
      <c r="I456" t="inlineStr">
        <is>
          <t>NEW_TAXA</t>
        </is>
      </c>
      <c r="J45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7">
      <c r="A457" t="inlineStr"/>
      <c r="B457" t="inlineStr">
        <is>
          <t>6.1.2</t>
        </is>
      </c>
      <c r="C457" t="inlineStr">
        <is>
          <t>Salpetersyra</t>
        </is>
      </c>
      <c r="D457" t="inlineStr">
        <is>
          <t>Beslut</t>
        </is>
      </c>
      <c r="E457" t="inlineStr">
        <is>
          <t>NEW_TAXA</t>
        </is>
      </c>
      <c r="F457" t="inlineStr">
        <is>
          <t>SemanticDecisionEngine</t>
        </is>
      </c>
      <c r="G457" t="inlineStr">
        <is>
          <t>Ingen kandidat över granskningsgräns</t>
        </is>
      </c>
      <c r="H457" t="inlineStr">
        <is>
          <t>TaxDecisionEngine</t>
        </is>
      </c>
      <c r="I457" t="inlineStr">
        <is>
          <t>NEW_TAXA</t>
        </is>
      </c>
      <c r="J4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8">
      <c r="A458" t="inlineStr"/>
      <c r="B458" t="inlineStr">
        <is>
          <t>6.1.2</t>
        </is>
      </c>
      <c r="C458" t="inlineStr">
        <is>
          <t>Surt oorganisk fast ämne</t>
        </is>
      </c>
      <c r="D458" t="inlineStr">
        <is>
          <t>Beslut</t>
        </is>
      </c>
      <c r="E458" t="inlineStr">
        <is>
          <t>NEW_TAXA</t>
        </is>
      </c>
      <c r="F458" t="inlineStr">
        <is>
          <t>SemanticDecisionEngine</t>
        </is>
      </c>
      <c r="G458" t="inlineStr">
        <is>
          <t>Ingen kandidat över granskningsgräns</t>
        </is>
      </c>
      <c r="H458" t="inlineStr">
        <is>
          <t>TaxDecisionEngine</t>
        </is>
      </c>
      <c r="I458" t="inlineStr">
        <is>
          <t>NEW_TAXA</t>
        </is>
      </c>
      <c r="J45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9">
      <c r="A459" t="inlineStr"/>
      <c r="B459" t="inlineStr">
        <is>
          <t>6.1.2</t>
        </is>
      </c>
      <c r="C459" t="inlineStr">
        <is>
          <t>Surt organisk fast ämne</t>
        </is>
      </c>
      <c r="D459" t="inlineStr">
        <is>
          <t>Beslut</t>
        </is>
      </c>
      <c r="E459" t="inlineStr">
        <is>
          <t>REVIEW_REQUIRED</t>
        </is>
      </c>
      <c r="F459" t="inlineStr">
        <is>
          <t>Taxepunkter</t>
        </is>
      </c>
      <c r="G459" t="inlineStr">
        <is>
          <t>Bästa semantiska kandidat saknar taxekod</t>
        </is>
      </c>
      <c r="H459" t="inlineStr">
        <is>
          <t>TaxDecisionEngine</t>
        </is>
      </c>
      <c r="I459" t="inlineStr">
        <is>
          <t>REVIEW_REQUIRED</t>
        </is>
      </c>
      <c r="J459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0">
      <c r="A460" t="inlineStr"/>
      <c r="B460" t="inlineStr">
        <is>
          <t>6.1.2</t>
        </is>
      </c>
      <c r="C460" t="inlineStr">
        <is>
          <t>Surt oorganisk vätska</t>
        </is>
      </c>
      <c r="D460" t="inlineStr">
        <is>
          <t>Beslut</t>
        </is>
      </c>
      <c r="E460" t="inlineStr">
        <is>
          <t>REVIEW_REQUIRED</t>
        </is>
      </c>
      <c r="F460" t="inlineStr">
        <is>
          <t>Taxepunkter</t>
        </is>
      </c>
      <c r="G460" t="inlineStr">
        <is>
          <t>Bästa semantiska kandidat saknar taxekod</t>
        </is>
      </c>
      <c r="H460" t="inlineStr">
        <is>
          <t>TaxDecisionEngine</t>
        </is>
      </c>
      <c r="I460" t="inlineStr">
        <is>
          <t>REVIEW_REQUIRED</t>
        </is>
      </c>
      <c r="J460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1">
      <c r="A461" t="inlineStr"/>
      <c r="B461" t="inlineStr">
        <is>
          <t>6.1.2</t>
        </is>
      </c>
      <c r="C461" t="inlineStr">
        <is>
          <t>Surt organisk vätska</t>
        </is>
      </c>
      <c r="D461" t="inlineStr">
        <is>
          <t>Beslut</t>
        </is>
      </c>
      <c r="E461" t="inlineStr">
        <is>
          <t>NEW_TAXA</t>
        </is>
      </c>
      <c r="F461" t="inlineStr">
        <is>
          <t>SemanticDecisionEngine</t>
        </is>
      </c>
      <c r="G461" t="inlineStr">
        <is>
          <t>Ingen kandidat över granskningsgräns</t>
        </is>
      </c>
      <c r="H461" t="inlineStr">
        <is>
          <t>TaxDecisionEngine</t>
        </is>
      </c>
      <c r="I461" t="inlineStr">
        <is>
          <t>NEW_TAXA</t>
        </is>
      </c>
      <c r="J46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2">
      <c r="A462" t="inlineStr"/>
      <c r="B462" t="inlineStr">
        <is>
          <t>6.1.2</t>
        </is>
      </c>
      <c r="C462" t="inlineStr">
        <is>
          <t>Ammoniaklösning</t>
        </is>
      </c>
      <c r="D462" t="inlineStr">
        <is>
          <t>Beslut</t>
        </is>
      </c>
      <c r="E462" t="inlineStr">
        <is>
          <t>NEW_TAXA</t>
        </is>
      </c>
      <c r="F462" t="inlineStr">
        <is>
          <t>SemanticDecisionEngine</t>
        </is>
      </c>
      <c r="G462" t="inlineStr">
        <is>
          <t>Ingen kandidat över granskningsgräns</t>
        </is>
      </c>
      <c r="H462" t="inlineStr">
        <is>
          <t>TaxDecisionEngine</t>
        </is>
      </c>
      <c r="I462" t="inlineStr">
        <is>
          <t>NEW_TAXA</t>
        </is>
      </c>
      <c r="J4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3">
      <c r="A463" t="inlineStr"/>
      <c r="B463" t="inlineStr">
        <is>
          <t>6.1.2</t>
        </is>
      </c>
      <c r="C463" t="inlineStr">
        <is>
          <t>Alkaliskt avfall fast</t>
        </is>
      </c>
      <c r="D463" t="inlineStr">
        <is>
          <t>Beslut</t>
        </is>
      </c>
      <c r="E463" t="inlineStr">
        <is>
          <t>NEW_TAXA</t>
        </is>
      </c>
      <c r="F463" t="inlineStr">
        <is>
          <t>SemanticDecisionEngine</t>
        </is>
      </c>
      <c r="G463" t="inlineStr">
        <is>
          <t>Ingen kandidat över granskningsgräns</t>
        </is>
      </c>
      <c r="H463" t="inlineStr">
        <is>
          <t>TaxDecisionEngine</t>
        </is>
      </c>
      <c r="I463" t="inlineStr">
        <is>
          <t>NEW_TAXA</t>
        </is>
      </c>
      <c r="J4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4">
      <c r="A464" t="inlineStr"/>
      <c r="B464" t="inlineStr">
        <is>
          <t>6.1.2</t>
        </is>
      </c>
      <c r="C464" t="inlineStr">
        <is>
          <t>Basiskt organiskt fast/flytande</t>
        </is>
      </c>
      <c r="D464" t="inlineStr">
        <is>
          <t>Beslut</t>
        </is>
      </c>
      <c r="E464" t="inlineStr">
        <is>
          <t>NEW_TAXA</t>
        </is>
      </c>
      <c r="F464" t="inlineStr">
        <is>
          <t>SemanticDecisionEngine</t>
        </is>
      </c>
      <c r="G464" t="inlineStr">
        <is>
          <t>Ingen kandidat över granskningsgräns</t>
        </is>
      </c>
      <c r="H464" t="inlineStr">
        <is>
          <t>TaxDecisionEngine</t>
        </is>
      </c>
      <c r="I464" t="inlineStr">
        <is>
          <t>NEW_TAXA</t>
        </is>
      </c>
      <c r="J4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5">
      <c r="A465" t="inlineStr"/>
      <c r="B465" t="inlineStr">
        <is>
          <t>6.1.2</t>
        </is>
      </c>
      <c r="C465" t="inlineStr">
        <is>
          <t>Fotokemikalier</t>
        </is>
      </c>
      <c r="D465" t="inlineStr">
        <is>
          <t>Beslut</t>
        </is>
      </c>
      <c r="E465" t="inlineStr">
        <is>
          <t>NEW_TAXA</t>
        </is>
      </c>
      <c r="F465" t="inlineStr">
        <is>
          <t>SemanticDecisionEngine</t>
        </is>
      </c>
      <c r="G465" t="inlineStr">
        <is>
          <t>Ingen kandidat över granskningsgräns</t>
        </is>
      </c>
      <c r="H465" t="inlineStr">
        <is>
          <t>TaxDecisionEngine</t>
        </is>
      </c>
      <c r="I465" t="inlineStr">
        <is>
          <t>NEW_TAXA</t>
        </is>
      </c>
      <c r="J465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6">
      <c r="A466" t="inlineStr"/>
      <c r="B466" t="inlineStr">
        <is>
          <t>6.1.2</t>
        </is>
      </c>
      <c r="C466" t="inlineStr">
        <is>
          <t>Bekämpningsmedel aerosoler</t>
        </is>
      </c>
      <c r="D466" t="inlineStr">
        <is>
          <t>Beslut</t>
        </is>
      </c>
      <c r="E466" t="inlineStr">
        <is>
          <t>NEW_TAXA</t>
        </is>
      </c>
      <c r="F466" t="inlineStr">
        <is>
          <t>SemanticDecisionEngine</t>
        </is>
      </c>
      <c r="G466" t="inlineStr">
        <is>
          <t>Ingen kandidat över granskningsgräns</t>
        </is>
      </c>
      <c r="H466" t="inlineStr">
        <is>
          <t>TaxDecisionEngine</t>
        </is>
      </c>
      <c r="I466" t="inlineStr">
        <is>
          <t>NEW_TAXA</t>
        </is>
      </c>
      <c r="J46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7">
      <c r="A467" t="inlineStr"/>
      <c r="B467" t="inlineStr">
        <is>
          <t>6.1.2</t>
        </is>
      </c>
      <c r="C467" t="inlineStr">
        <is>
          <t>Bekämpningsmedel fast</t>
        </is>
      </c>
      <c r="D467" t="inlineStr">
        <is>
          <t>Beslut</t>
        </is>
      </c>
      <c r="E467" t="inlineStr">
        <is>
          <t>NEW_TAXA</t>
        </is>
      </c>
      <c r="F467" t="inlineStr">
        <is>
          <t>SemanticDecisionEngine</t>
        </is>
      </c>
      <c r="G467" t="inlineStr">
        <is>
          <t>Ingen kandidat över granskningsgräns</t>
        </is>
      </c>
      <c r="H467" t="inlineStr">
        <is>
          <t>TaxDecisionEngine</t>
        </is>
      </c>
      <c r="I467" t="inlineStr">
        <is>
          <t>NEW_TAXA</t>
        </is>
      </c>
      <c r="J4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8">
      <c r="A468" t="inlineStr"/>
      <c r="B468" t="inlineStr">
        <is>
          <t>6.1.2</t>
        </is>
      </c>
      <c r="C468" t="inlineStr">
        <is>
          <t>Bekämpningsmedel flytande</t>
        </is>
      </c>
      <c r="D468" t="inlineStr">
        <is>
          <t>Beslut</t>
        </is>
      </c>
      <c r="E468" t="inlineStr">
        <is>
          <t>NEW_TAXA</t>
        </is>
      </c>
      <c r="F468" t="inlineStr">
        <is>
          <t>SemanticDecisionEngine</t>
        </is>
      </c>
      <c r="G468" t="inlineStr">
        <is>
          <t>Ingen kandidat över granskningsgräns</t>
        </is>
      </c>
      <c r="H468" t="inlineStr">
        <is>
          <t>TaxDecisionEngine</t>
        </is>
      </c>
      <c r="I468" t="inlineStr">
        <is>
          <t>NEW_TAXA</t>
        </is>
      </c>
      <c r="J4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9">
      <c r="A469" t="inlineStr"/>
      <c r="B469" t="inlineStr">
        <is>
          <t>6.1.2</t>
        </is>
      </c>
      <c r="C469" t="inlineStr">
        <is>
          <t>Kvicksilverhaltigt avfall</t>
        </is>
      </c>
      <c r="D469" t="inlineStr">
        <is>
          <t>Beslut</t>
        </is>
      </c>
      <c r="E469" t="inlineStr">
        <is>
          <t>NEW_TAXA</t>
        </is>
      </c>
      <c r="F469" t="inlineStr">
        <is>
          <t>SemanticDecisionEngine</t>
        </is>
      </c>
      <c r="G469" t="inlineStr">
        <is>
          <t>Ingen kandidat över granskningsgräns</t>
        </is>
      </c>
      <c r="H469" t="inlineStr">
        <is>
          <t>TaxDecisionEngine</t>
        </is>
      </c>
      <c r="I469" t="inlineStr">
        <is>
          <t>NEW_TAXA</t>
        </is>
      </c>
      <c r="J4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0">
      <c r="A470" t="inlineStr"/>
      <c r="B470" t="inlineStr">
        <is>
          <t>6.1.2</t>
        </is>
      </c>
      <c r="C470" t="inlineStr">
        <is>
          <t>Kvicksilver i föremål</t>
        </is>
      </c>
      <c r="D470" t="inlineStr">
        <is>
          <t>Beslut</t>
        </is>
      </c>
      <c r="E470" t="inlineStr">
        <is>
          <t>NEW_TAXA</t>
        </is>
      </c>
      <c r="F470" t="inlineStr">
        <is>
          <t>SemanticDecisionEngine</t>
        </is>
      </c>
      <c r="G470" t="inlineStr">
        <is>
          <t>Ingen kandidat över granskningsgräns</t>
        </is>
      </c>
      <c r="H470" t="inlineStr">
        <is>
          <t>TaxDecisionEngine</t>
        </is>
      </c>
      <c r="I470" t="inlineStr">
        <is>
          <t>NEW_TAXA</t>
        </is>
      </c>
      <c r="J4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1">
      <c r="A471" t="inlineStr"/>
      <c r="B471" t="inlineStr">
        <is>
          <t>6.1.2</t>
        </is>
      </c>
      <c r="C471" t="inlineStr">
        <is>
          <t>Oljehaltigt avfall (ej PCB)</t>
        </is>
      </c>
      <c r="D471" t="inlineStr">
        <is>
          <t>Beslut</t>
        </is>
      </c>
      <c r="E471" t="inlineStr">
        <is>
          <t>NEW_TAXA</t>
        </is>
      </c>
      <c r="F471" t="inlineStr">
        <is>
          <t>SemanticDecisionEngine</t>
        </is>
      </c>
      <c r="G471" t="inlineStr">
        <is>
          <t>Ingen kandidat över granskningsgräns</t>
        </is>
      </c>
      <c r="H471" t="inlineStr">
        <is>
          <t>TaxDecisionEngine</t>
        </is>
      </c>
      <c r="I471" t="inlineStr">
        <is>
          <t>NEW_TAXA</t>
        </is>
      </c>
      <c r="J4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2">
      <c r="A472" t="inlineStr"/>
      <c r="B472" t="inlineStr">
        <is>
          <t>6.1.2</t>
        </is>
      </c>
      <c r="C472" t="inlineStr">
        <is>
          <t>Olja förorenad (ej PCB)</t>
        </is>
      </c>
      <c r="D472" t="inlineStr">
        <is>
          <t>Beslut</t>
        </is>
      </c>
      <c r="E472" t="inlineStr">
        <is>
          <t>NEW_TAXA</t>
        </is>
      </c>
      <c r="F472" t="inlineStr">
        <is>
          <t>SemanticDecisionEngine</t>
        </is>
      </c>
      <c r="G472" t="inlineStr">
        <is>
          <t>Ingen kandidat över granskningsgräns</t>
        </is>
      </c>
      <c r="H472" t="inlineStr">
        <is>
          <t>TaxDecisionEngine</t>
        </is>
      </c>
      <c r="I472" t="inlineStr">
        <is>
          <t>NEW_TAXA</t>
        </is>
      </c>
      <c r="J4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3">
      <c r="A473" t="inlineStr"/>
      <c r="B473" t="inlineStr">
        <is>
          <t>6.1.2</t>
        </is>
      </c>
      <c r="C473" t="inlineStr">
        <is>
          <t>Färg-, lack-, limburkar lösning</t>
        </is>
      </c>
      <c r="D473" t="inlineStr">
        <is>
          <t>Beslut</t>
        </is>
      </c>
      <c r="E473" t="inlineStr">
        <is>
          <t>NEW_TAXA</t>
        </is>
      </c>
      <c r="F473" t="inlineStr">
        <is>
          <t>SemanticDecisionEngine</t>
        </is>
      </c>
      <c r="G473" t="inlineStr">
        <is>
          <t>Ingen kandidat över granskningsgräns</t>
        </is>
      </c>
      <c r="H473" t="inlineStr">
        <is>
          <t>TaxDecisionEngine</t>
        </is>
      </c>
      <c r="I473" t="inlineStr">
        <is>
          <t>NEW_TAXA</t>
        </is>
      </c>
      <c r="J473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4">
      <c r="A474" t="inlineStr"/>
      <c r="B474" t="inlineStr">
        <is>
          <t>6.1.2</t>
        </is>
      </c>
      <c r="C474" t="inlineStr">
        <is>
          <t>Färg-, lack-, limburkar lösning aerosoler</t>
        </is>
      </c>
      <c r="D474" t="inlineStr">
        <is>
          <t>Beslut</t>
        </is>
      </c>
      <c r="E474" t="inlineStr">
        <is>
          <t>NEW_TAXA</t>
        </is>
      </c>
      <c r="F474" t="inlineStr">
        <is>
          <t>SemanticDecisionEngine</t>
        </is>
      </c>
      <c r="G474" t="inlineStr">
        <is>
          <t>Ingen kandidat över granskningsgräns</t>
        </is>
      </c>
      <c r="H474" t="inlineStr">
        <is>
          <t>TaxDecisionEngine</t>
        </is>
      </c>
      <c r="I474" t="inlineStr">
        <is>
          <t>NEW_TAXA</t>
        </is>
      </c>
      <c r="J474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5">
      <c r="A475" t="inlineStr"/>
      <c r="B475" t="inlineStr">
        <is>
          <t>6.1.2</t>
        </is>
      </c>
      <c r="C475" t="inlineStr">
        <is>
          <t>Isocyanater</t>
        </is>
      </c>
      <c r="D475" t="inlineStr">
        <is>
          <t>Beslut</t>
        </is>
      </c>
      <c r="E475" t="inlineStr">
        <is>
          <t>NEW_TAXA</t>
        </is>
      </c>
      <c r="F475" t="inlineStr">
        <is>
          <t>SemanticDecisionEngine</t>
        </is>
      </c>
      <c r="G475" t="inlineStr">
        <is>
          <t>Ingen kandidat över granskningsgräns</t>
        </is>
      </c>
      <c r="H475" t="inlineStr">
        <is>
          <t>TaxDecisionEngine</t>
        </is>
      </c>
      <c r="I475" t="inlineStr">
        <is>
          <t>NEW_TAXA</t>
        </is>
      </c>
      <c r="J47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6">
      <c r="A476" t="inlineStr"/>
      <c r="B476" t="inlineStr">
        <is>
          <t>6.1.2</t>
        </is>
      </c>
      <c r="C476" t="inlineStr">
        <is>
          <t>Härdare metyl- etylketonperoxid</t>
        </is>
      </c>
      <c r="D476" t="inlineStr">
        <is>
          <t>Beslut</t>
        </is>
      </c>
      <c r="E476" t="inlineStr">
        <is>
          <t>NEW_TAXA</t>
        </is>
      </c>
      <c r="F476" t="inlineStr">
        <is>
          <t>SemanticDecisionEngine</t>
        </is>
      </c>
      <c r="G476" t="inlineStr">
        <is>
          <t>Ingen kandidat över granskningsgräns</t>
        </is>
      </c>
      <c r="H476" t="inlineStr">
        <is>
          <t>TaxDecisionEngine</t>
        </is>
      </c>
      <c r="I476" t="inlineStr">
        <is>
          <t>NEW_TAXA</t>
        </is>
      </c>
      <c r="J4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7">
      <c r="A477" t="inlineStr"/>
      <c r="B477" t="inlineStr">
        <is>
          <t>6.1.2</t>
        </is>
      </c>
      <c r="C477" t="inlineStr">
        <is>
          <t>Härdare dibenzoylperoxid</t>
        </is>
      </c>
      <c r="D477" t="inlineStr">
        <is>
          <t>Beslut</t>
        </is>
      </c>
      <c r="E477" t="inlineStr">
        <is>
          <t>NEW_TAXA</t>
        </is>
      </c>
      <c r="F477" t="inlineStr">
        <is>
          <t>SemanticDecisionEngine</t>
        </is>
      </c>
      <c r="G477" t="inlineStr">
        <is>
          <t>Ingen kandidat över granskningsgräns</t>
        </is>
      </c>
      <c r="H477" t="inlineStr">
        <is>
          <t>TaxDecisionEngine</t>
        </is>
      </c>
      <c r="I477" t="inlineStr">
        <is>
          <t>NEW_TAXA</t>
        </is>
      </c>
      <c r="J4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8">
      <c r="A478" t="inlineStr"/>
      <c r="B478" t="inlineStr">
        <is>
          <t>6.1.2</t>
        </is>
      </c>
      <c r="C478" t="inlineStr">
        <is>
          <t>Färg-,lack-, limburkar vattenbaserade</t>
        </is>
      </c>
      <c r="D478" t="inlineStr">
        <is>
          <t>Beslut</t>
        </is>
      </c>
      <c r="E478" t="inlineStr">
        <is>
          <t>REVIEW_REQUIRED</t>
        </is>
      </c>
      <c r="F478" t="inlineStr">
        <is>
          <t>Taxepunkter</t>
        </is>
      </c>
      <c r="G478" t="inlineStr">
        <is>
          <t>Bästa semantiska kandidat saknar taxekod</t>
        </is>
      </c>
      <c r="H478" t="inlineStr">
        <is>
          <t>TaxDecisionEngine</t>
        </is>
      </c>
      <c r="I478" t="inlineStr">
        <is>
          <t>REVIEW_REQUIRED</t>
        </is>
      </c>
      <c r="J478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79">
      <c r="A479" t="inlineStr"/>
      <c r="B479" t="inlineStr">
        <is>
          <t>6.1.2</t>
        </is>
      </c>
      <c r="C479" t="inlineStr">
        <is>
          <t>Tensida alkaliska flytande avfall</t>
        </is>
      </c>
      <c r="D479" t="inlineStr">
        <is>
          <t>Beslut</t>
        </is>
      </c>
      <c r="E479" t="inlineStr">
        <is>
          <t>REVIEW_REQUIRED</t>
        </is>
      </c>
      <c r="F479" t="inlineStr">
        <is>
          <t>Taxepunkter</t>
        </is>
      </c>
      <c r="G479" t="inlineStr">
        <is>
          <t>Bästa semantiska kandidat saknar taxekod</t>
        </is>
      </c>
      <c r="H479" t="inlineStr">
        <is>
          <t>TaxDecisionEngine</t>
        </is>
      </c>
      <c r="I479" t="inlineStr">
        <is>
          <t>REVIEW_REQUIRED</t>
        </is>
      </c>
      <c r="J479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0">
      <c r="A480" t="inlineStr"/>
      <c r="B480" t="inlineStr">
        <is>
          <t>6.1.2</t>
        </is>
      </c>
      <c r="C480" t="inlineStr">
        <is>
          <t>Rengöring/vaskmedel fast</t>
        </is>
      </c>
      <c r="D480" t="inlineStr">
        <is>
          <t>Beslut</t>
        </is>
      </c>
      <c r="E480" t="inlineStr">
        <is>
          <t>REVIEW_REQUIRED</t>
        </is>
      </c>
      <c r="F480" t="inlineStr">
        <is>
          <t>Taxepunkter</t>
        </is>
      </c>
      <c r="G480" t="inlineStr">
        <is>
          <t>Bästa semantiska kandidat saknar taxekod</t>
        </is>
      </c>
      <c r="H480" t="inlineStr">
        <is>
          <t>TaxDecisionEngine</t>
        </is>
      </c>
      <c r="I480" t="inlineStr">
        <is>
          <t>REVIEW_REQUIRED</t>
        </is>
      </c>
      <c r="J480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1">
      <c r="A481" t="inlineStr"/>
      <c r="B481" t="inlineStr">
        <is>
          <t>6.1.2</t>
        </is>
      </c>
      <c r="C481" t="inlineStr">
        <is>
          <t>Alkaliska flytande avfall</t>
        </is>
      </c>
      <c r="D481" t="inlineStr">
        <is>
          <t>Beslut</t>
        </is>
      </c>
      <c r="E481" t="inlineStr">
        <is>
          <t>NEW_TAXA</t>
        </is>
      </c>
      <c r="F481" t="inlineStr">
        <is>
          <t>SemanticDecisionEngine</t>
        </is>
      </c>
      <c r="G481" t="inlineStr">
        <is>
          <t>Ingen kandidat över granskningsgräns</t>
        </is>
      </c>
      <c r="H481" t="inlineStr">
        <is>
          <t>TaxDecisionEngine</t>
        </is>
      </c>
      <c r="I481" t="inlineStr">
        <is>
          <t>NEW_TAXA</t>
        </is>
      </c>
      <c r="J4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2">
      <c r="A482" t="inlineStr"/>
      <c r="B482" t="inlineStr">
        <is>
          <t>6.1.2</t>
        </is>
      </c>
      <c r="C482" t="inlineStr">
        <is>
          <t>Cytotoxiska läkemedel, cytostat</t>
        </is>
      </c>
      <c r="D482" t="inlineStr">
        <is>
          <t>Beslut</t>
        </is>
      </c>
      <c r="E482" t="inlineStr">
        <is>
          <t>NEW_TAXA</t>
        </is>
      </c>
      <c r="F482" t="inlineStr">
        <is>
          <t>SemanticDecisionEngine</t>
        </is>
      </c>
      <c r="G482" t="inlineStr">
        <is>
          <t>Ingen kandidat över granskningsgräns</t>
        </is>
      </c>
      <c r="H482" t="inlineStr">
        <is>
          <t>TaxDecisionEngine</t>
        </is>
      </c>
      <c r="I482" t="inlineStr">
        <is>
          <t>NEW_TAXA</t>
        </is>
      </c>
      <c r="J48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83">
      <c r="A483" t="inlineStr"/>
      <c r="B483" t="inlineStr">
        <is>
          <t>6.1.2</t>
        </is>
      </c>
      <c r="C483" t="inlineStr">
        <is>
          <t>Rökdetektor med andra isotoper</t>
        </is>
      </c>
      <c r="D483" t="inlineStr">
        <is>
          <t>Beslut</t>
        </is>
      </c>
      <c r="E483" t="inlineStr">
        <is>
          <t>REVIEW_REQUIRED</t>
        </is>
      </c>
      <c r="F483" t="inlineStr">
        <is>
          <t>Taxepunkter</t>
        </is>
      </c>
      <c r="G483" t="inlineStr">
        <is>
          <t>Bästa semantiska kandidat saknar taxekod</t>
        </is>
      </c>
      <c r="H483" t="inlineStr">
        <is>
          <t>TaxDecisionEngine</t>
        </is>
      </c>
      <c r="I483" t="inlineStr">
        <is>
          <t>REVIEW_REQUIRED</t>
        </is>
      </c>
      <c r="J483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484">
      <c r="A484" t="inlineStr"/>
      <c r="B484" t="inlineStr">
        <is>
          <t>6.1.2</t>
        </is>
      </c>
      <c r="C484" t="inlineStr">
        <is>
          <t>Rökdetektor med Am 241</t>
        </is>
      </c>
      <c r="D484" t="inlineStr">
        <is>
          <t>Beslut</t>
        </is>
      </c>
      <c r="E484" t="inlineStr">
        <is>
          <t>REVIEW_REQUIRED</t>
        </is>
      </c>
      <c r="F484" t="inlineStr">
        <is>
          <t>Taxepunkter</t>
        </is>
      </c>
      <c r="G484" t="inlineStr">
        <is>
          <t>Bästa semantiska kandidat saknar taxekod</t>
        </is>
      </c>
      <c r="H484" t="inlineStr">
        <is>
          <t>TaxDecisionEngine</t>
        </is>
      </c>
      <c r="I484" t="inlineStr">
        <is>
          <t>REVIEW_REQUIRED</t>
        </is>
      </c>
      <c r="J484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485">
      <c r="A485" t="inlineStr"/>
      <c r="B485" t="inlineStr">
        <is>
          <t>6.1.2</t>
        </is>
      </c>
      <c r="C485" t="inlineStr">
        <is>
          <t>Batterier stav, pencell</t>
        </is>
      </c>
      <c r="D485" t="inlineStr">
        <is>
          <t>Beslut</t>
        </is>
      </c>
      <c r="E485" t="inlineStr">
        <is>
          <t>NEW_TAXA</t>
        </is>
      </c>
      <c r="F485" t="inlineStr">
        <is>
          <t>SemanticDecisionEngine</t>
        </is>
      </c>
      <c r="G485" t="inlineStr">
        <is>
          <t>Ingen kandidat över granskningsgräns</t>
        </is>
      </c>
      <c r="H485" t="inlineStr">
        <is>
          <t>TaxDecisionEngine</t>
        </is>
      </c>
      <c r="I485" t="inlineStr">
        <is>
          <t>NEW_TAXA</t>
        </is>
      </c>
      <c r="J4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6">
      <c r="A486" t="inlineStr"/>
      <c r="B486" t="inlineStr">
        <is>
          <t>6.1.2</t>
        </is>
      </c>
      <c r="C486" t="inlineStr">
        <is>
          <t>Batterier lithium</t>
        </is>
      </c>
      <c r="D486" t="inlineStr">
        <is>
          <t>Beslut</t>
        </is>
      </c>
      <c r="E486" t="inlineStr">
        <is>
          <t>NEW_TAXA</t>
        </is>
      </c>
      <c r="F486" t="inlineStr">
        <is>
          <t>SemanticDecisionEngine</t>
        </is>
      </c>
      <c r="G486" t="inlineStr">
        <is>
          <t>Ingen kandidat över granskningsgräns</t>
        </is>
      </c>
      <c r="H486" t="inlineStr">
        <is>
          <t>TaxDecisionEngine</t>
        </is>
      </c>
      <c r="I486" t="inlineStr">
        <is>
          <t>NEW_TAXA</t>
        </is>
      </c>
      <c r="J4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7">
      <c r="A487" t="inlineStr"/>
      <c r="B487" t="inlineStr">
        <is>
          <t>6.1.2</t>
        </is>
      </c>
      <c r="C487" t="inlineStr">
        <is>
          <t>Bil-, mcbatteri med bly</t>
        </is>
      </c>
      <c r="D487" t="inlineStr">
        <is>
          <t>Beslut</t>
        </is>
      </c>
      <c r="E487" t="inlineStr">
        <is>
          <t>REVIEW_REQUIRED</t>
        </is>
      </c>
      <c r="F487" t="inlineStr">
        <is>
          <t>Taxepunkter</t>
        </is>
      </c>
      <c r="G487" t="inlineStr">
        <is>
          <t>Bästa semantiska kandidat saknar taxekod</t>
        </is>
      </c>
      <c r="H487" t="inlineStr">
        <is>
          <t>TaxDecisionEngine</t>
        </is>
      </c>
      <c r="I487" t="inlineStr">
        <is>
          <t>REVIEW_REQUIRED</t>
        </is>
      </c>
      <c r="J487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8">
      <c r="A488" t="inlineStr"/>
      <c r="B488" t="inlineStr">
        <is>
          <t>6.1.2</t>
        </is>
      </c>
      <c r="C488" t="inlineStr">
        <is>
          <t>Glödlampor</t>
        </is>
      </c>
      <c r="D488" t="inlineStr">
        <is>
          <t>Beslut</t>
        </is>
      </c>
      <c r="E488" t="inlineStr">
        <is>
          <t>REVIEW_REQUIRED</t>
        </is>
      </c>
      <c r="F488" t="inlineStr">
        <is>
          <t>Taxepunkter</t>
        </is>
      </c>
      <c r="G488" t="inlineStr">
        <is>
          <t>Bästa semantiska kandidat saknar taxekod</t>
        </is>
      </c>
      <c r="H488" t="inlineStr">
        <is>
          <t>TaxDecisionEngine</t>
        </is>
      </c>
      <c r="I488" t="inlineStr">
        <is>
          <t>REVIEW_REQUIRED</t>
        </is>
      </c>
      <c r="J488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9">
      <c r="A489" t="inlineStr"/>
      <c r="B489" t="inlineStr">
        <is>
          <t>6.1.2</t>
        </is>
      </c>
      <c r="C489" t="inlineStr">
        <is>
          <t>Lysrör</t>
        </is>
      </c>
      <c r="D489" t="inlineStr">
        <is>
          <t>Beslut</t>
        </is>
      </c>
      <c r="E489" t="inlineStr">
        <is>
          <t>REVIEW_REQUIRED</t>
        </is>
      </c>
      <c r="F489" t="inlineStr">
        <is>
          <t>Taxepunkter</t>
        </is>
      </c>
      <c r="G489" t="inlineStr">
        <is>
          <t>Bästa semantiska kandidat saknar taxekod</t>
        </is>
      </c>
      <c r="H489" t="inlineStr">
        <is>
          <t>TaxDecisionEngine</t>
        </is>
      </c>
      <c r="I489" t="inlineStr">
        <is>
          <t>REVIEW_REQUIRED</t>
        </is>
      </c>
      <c r="J489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90">
      <c r="A490" t="inlineStr"/>
      <c r="B490" t="inlineStr">
        <is>
          <t>6.1.2</t>
        </is>
      </c>
      <c r="C490" t="inlineStr">
        <is>
          <t>Elavfall, små elektronik</t>
        </is>
      </c>
      <c r="D490" t="inlineStr">
        <is>
          <t>Beslut</t>
        </is>
      </c>
      <c r="E490" t="inlineStr">
        <is>
          <t>REVIEW_REQUIRED</t>
        </is>
      </c>
      <c r="F490" t="inlineStr">
        <is>
          <t>Taxepunkter</t>
        </is>
      </c>
      <c r="G490" t="inlineStr">
        <is>
          <t>Bästa semantiska kandidat saknar taxekod</t>
        </is>
      </c>
      <c r="H490" t="inlineStr">
        <is>
          <t>TaxDecisionEngine</t>
        </is>
      </c>
      <c r="I490" t="inlineStr">
        <is>
          <t>REVIEW_REQUIRED</t>
        </is>
      </c>
      <c r="J490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491">
      <c r="A491" t="inlineStr"/>
      <c r="B491" t="inlineStr">
        <is>
          <t>6.1.2</t>
        </is>
      </c>
      <c r="C491" t="inlineStr">
        <is>
          <t>El-avfall fast installation</t>
        </is>
      </c>
      <c r="D491" t="inlineStr">
        <is>
          <t>Beslut</t>
        </is>
      </c>
      <c r="E491" t="inlineStr">
        <is>
          <t>REVIEW_REQUIRED</t>
        </is>
      </c>
      <c r="F491" t="inlineStr">
        <is>
          <t>Taxepunkter</t>
        </is>
      </c>
      <c r="G491" t="inlineStr">
        <is>
          <t>Bästa semantiska kandidat saknar taxekod</t>
        </is>
      </c>
      <c r="H491" t="inlineStr">
        <is>
          <t>TaxDecisionEngine</t>
        </is>
      </c>
      <c r="I491" t="inlineStr">
        <is>
          <t>REVIEW_REQUIRED</t>
        </is>
      </c>
      <c r="J491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492">
      <c r="A492" t="inlineStr"/>
      <c r="B492" t="inlineStr">
        <is>
          <t>6.1.2</t>
        </is>
      </c>
      <c r="C492" t="inlineStr">
        <is>
          <t>El-avfall kabel</t>
        </is>
      </c>
      <c r="D492" t="inlineStr">
        <is>
          <t>Beslut</t>
        </is>
      </c>
      <c r="E492" t="inlineStr">
        <is>
          <t>REVIEW_REQUIRED</t>
        </is>
      </c>
      <c r="F492" t="inlineStr">
        <is>
          <t>Taxepunkter</t>
        </is>
      </c>
      <c r="G492" t="inlineStr">
        <is>
          <t>Bästa semantiska kandidat saknar taxekod</t>
        </is>
      </c>
      <c r="H492" t="inlineStr">
        <is>
          <t>TaxDecisionEngine</t>
        </is>
      </c>
      <c r="I492" t="inlineStr">
        <is>
          <t>REVIEW_REQUIRED</t>
        </is>
      </c>
      <c r="J492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493">
      <c r="A493" t="inlineStr"/>
      <c r="B493" t="inlineStr">
        <is>
          <t>6.1.2</t>
        </is>
      </c>
      <c r="C493" t="inlineStr">
        <is>
          <t>Toner, färgpatron med elektronik</t>
        </is>
      </c>
      <c r="D493" t="inlineStr">
        <is>
          <t>Beslut</t>
        </is>
      </c>
      <c r="E493" t="inlineStr">
        <is>
          <t>REVIEW_REQUIRED</t>
        </is>
      </c>
      <c r="F493" t="inlineStr">
        <is>
          <t>Taxepunkter</t>
        </is>
      </c>
      <c r="G493" t="inlineStr">
        <is>
          <t>Bästa semantiska kandidat saknar taxekod</t>
        </is>
      </c>
      <c r="H493" t="inlineStr">
        <is>
          <t>TaxDecisionEngine</t>
        </is>
      </c>
      <c r="I493" t="inlineStr">
        <is>
          <t>REVIEW_REQUIRED</t>
        </is>
      </c>
      <c r="J493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494">
      <c r="A494" t="inlineStr"/>
      <c r="B494" t="inlineStr">
        <is>
          <t>6.1.2</t>
        </is>
      </c>
      <c r="C494" t="inlineStr">
        <is>
          <t>Tv, radio, skärm, skrivare utan färgpatron</t>
        </is>
      </c>
      <c r="D494" t="inlineStr">
        <is>
          <t>Beslut</t>
        </is>
      </c>
      <c r="E494" t="inlineStr">
        <is>
          <t>REVIEW_REQUIRED</t>
        </is>
      </c>
      <c r="F494" t="inlineStr">
        <is>
          <t>Taxepunkter</t>
        </is>
      </c>
      <c r="G494" t="inlineStr">
        <is>
          <t>Bästa semantiska kandidat saknar taxekod</t>
        </is>
      </c>
      <c r="H494" t="inlineStr">
        <is>
          <t>TaxDecisionEngine</t>
        </is>
      </c>
      <c r="I494" t="inlineStr">
        <is>
          <t>REVIEW_REQUIRED</t>
        </is>
      </c>
      <c r="J494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495">
      <c r="A495" t="inlineStr"/>
      <c r="B495" t="inlineStr">
        <is>
          <t>6.1.2</t>
        </is>
      </c>
      <c r="C495" t="inlineStr">
        <is>
          <t>Kyl-, frysskåp, -box</t>
        </is>
      </c>
      <c r="D495" t="inlineStr">
        <is>
          <t>Beslut</t>
        </is>
      </c>
      <c r="E495" t="inlineStr">
        <is>
          <t>NEW_TAXA</t>
        </is>
      </c>
      <c r="F495" t="inlineStr">
        <is>
          <t>SemanticDecisionEngine</t>
        </is>
      </c>
      <c r="G495" t="inlineStr">
        <is>
          <t>Ingen semantisk kandidat hittades</t>
        </is>
      </c>
      <c r="H495" t="inlineStr">
        <is>
          <t>TaxDecisionEngine</t>
        </is>
      </c>
      <c r="I495" t="inlineStr">
        <is>
          <t>NEW_TAXA</t>
        </is>
      </c>
      <c r="J495" t="inlineStr">
        <is>
          <t>Skapa/hantera som ny taxa eller komplettera regelverk.</t>
        </is>
      </c>
    </row>
    <row r="496">
      <c r="A496" t="inlineStr"/>
      <c r="B496" t="inlineStr">
        <is>
          <t>6.1.2</t>
        </is>
      </c>
      <c r="C496" t="inlineStr">
        <is>
          <t>Kyl-, frysskåp, -box från verksamhet</t>
        </is>
      </c>
      <c r="D496" t="inlineStr">
        <is>
          <t>Beslut</t>
        </is>
      </c>
      <c r="E496" t="inlineStr">
        <is>
          <t>NEW_TAXA</t>
        </is>
      </c>
      <c r="F496" t="inlineStr">
        <is>
          <t>SemanticDecisionEngine</t>
        </is>
      </c>
      <c r="G496" t="inlineStr">
        <is>
          <t>Ingen semantisk kandidat hittades</t>
        </is>
      </c>
      <c r="H496" t="inlineStr">
        <is>
          <t>TaxDecisionEngine</t>
        </is>
      </c>
      <c r="I496" t="inlineStr">
        <is>
          <t>NEW_TAXA</t>
        </is>
      </c>
      <c r="J496" t="inlineStr">
        <is>
          <t>Skapa/hantera som ny taxa eller komplettera regelverk.</t>
        </is>
      </c>
    </row>
    <row r="497">
      <c r="A497" t="inlineStr"/>
      <c r="B497" t="inlineStr">
        <is>
          <t>6.1.2</t>
        </is>
      </c>
      <c r="C497" t="inlineStr">
        <is>
          <t>Spis, tvätt-, diskmaskin</t>
        </is>
      </c>
      <c r="D497" t="inlineStr">
        <is>
          <t>Beslut</t>
        </is>
      </c>
      <c r="E497" t="inlineStr">
        <is>
          <t>NEW_TAXA</t>
        </is>
      </c>
      <c r="F497" t="inlineStr">
        <is>
          <t>SemanticDecisionEngine</t>
        </is>
      </c>
      <c r="G497" t="inlineStr">
        <is>
          <t>Ingen semantisk kandidat hittades</t>
        </is>
      </c>
      <c r="H497" t="inlineStr">
        <is>
          <t>TaxDecisionEngine</t>
        </is>
      </c>
      <c r="I497" t="inlineStr">
        <is>
          <t>NEW_TAXA</t>
        </is>
      </c>
      <c r="J497" t="inlineStr">
        <is>
          <t>Skapa/hantera som ny taxa eller komplettera regelverk.</t>
        </is>
      </c>
    </row>
    <row r="498">
      <c r="A498" t="inlineStr"/>
      <c r="B498" t="inlineStr">
        <is>
          <t>6.1.2</t>
        </is>
      </c>
      <c r="C498" t="inlineStr">
        <is>
          <t>Spis, tvätt-, diskmaskin från verksamhet</t>
        </is>
      </c>
      <c r="D498" t="inlineStr">
        <is>
          <t>Beslut</t>
        </is>
      </c>
      <c r="E498" t="inlineStr">
        <is>
          <t>NEW_TAXA</t>
        </is>
      </c>
      <c r="F498" t="inlineStr">
        <is>
          <t>SemanticDecisionEngine</t>
        </is>
      </c>
      <c r="G498" t="inlineStr">
        <is>
          <t>Ingen semantisk kandidat hittades</t>
        </is>
      </c>
      <c r="H498" t="inlineStr">
        <is>
          <t>TaxDecisionEngine</t>
        </is>
      </c>
      <c r="I498" t="inlineStr">
        <is>
          <t>NEW_TAXA</t>
        </is>
      </c>
      <c r="J498" t="inlineStr">
        <is>
          <t>Skapa/hantera som ny taxa eller komplettera regelverk.</t>
        </is>
      </c>
    </row>
    <row r="499">
      <c r="A499" t="inlineStr"/>
      <c r="B499" t="inlineStr">
        <is>
          <t>6.1.3</t>
        </is>
      </c>
      <c r="C499" t="inlineStr">
        <is>
          <t>Container X m3</t>
        </is>
      </c>
      <c r="D499" t="inlineStr">
        <is>
          <t>Beslut</t>
        </is>
      </c>
      <c r="E499" t="inlineStr">
        <is>
          <t>NEW_TAXA</t>
        </is>
      </c>
      <c r="F499" t="inlineStr">
        <is>
          <t>SemanticDecisionEngine</t>
        </is>
      </c>
      <c r="G499" t="inlineStr">
        <is>
          <t>Ingen semantisk kandidat hittades</t>
        </is>
      </c>
      <c r="H499" t="inlineStr">
        <is>
          <t>TaxDecisionEngine</t>
        </is>
      </c>
      <c r="I499" t="inlineStr">
        <is>
          <t>NEW_TAXA</t>
        </is>
      </c>
      <c r="J499" t="inlineStr">
        <is>
          <t>Skapa/hantera som ny taxa eller komplettera regelverk.</t>
        </is>
      </c>
    </row>
    <row r="500">
      <c r="A500" t="inlineStr"/>
      <c r="B500" t="inlineStr">
        <is>
          <t>6.1.3</t>
        </is>
      </c>
      <c r="C500" t="inlineStr">
        <is>
          <t>Container X m3</t>
        </is>
      </c>
      <c r="D500" t="inlineStr">
        <is>
          <t>Beslut</t>
        </is>
      </c>
      <c r="E500" t="inlineStr">
        <is>
          <t>NEW_TAXA</t>
        </is>
      </c>
      <c r="F500" t="inlineStr">
        <is>
          <t>SemanticDecisionEngine</t>
        </is>
      </c>
      <c r="G500" t="inlineStr">
        <is>
          <t>Ingen semantisk kandidat hittades</t>
        </is>
      </c>
      <c r="H500" t="inlineStr">
        <is>
          <t>TaxDecisionEngine</t>
        </is>
      </c>
      <c r="I500" t="inlineStr">
        <is>
          <t>NEW_TAXA</t>
        </is>
      </c>
      <c r="J500" t="inlineStr">
        <is>
          <t>Skapa/hantera som ny taxa eller komplettera regelverk.</t>
        </is>
      </c>
    </row>
    <row r="501">
      <c r="A501" t="inlineStr"/>
      <c r="B501" t="inlineStr">
        <is>
          <t>6.1.3</t>
        </is>
      </c>
      <c r="C501" t="inlineStr">
        <is>
          <t>Container X m3</t>
        </is>
      </c>
      <c r="D501" t="inlineStr">
        <is>
          <t>Beslut</t>
        </is>
      </c>
      <c r="E501" t="inlineStr">
        <is>
          <t>NEW_TAXA</t>
        </is>
      </c>
      <c r="F501" t="inlineStr">
        <is>
          <t>SemanticDecisionEngine</t>
        </is>
      </c>
      <c r="G501" t="inlineStr">
        <is>
          <t>Ingen semantisk kandidat hittades</t>
        </is>
      </c>
      <c r="H501" t="inlineStr">
        <is>
          <t>TaxDecisionEngine</t>
        </is>
      </c>
      <c r="I501" t="inlineStr">
        <is>
          <t>NEW_TAXA</t>
        </is>
      </c>
      <c r="J501" t="inlineStr">
        <is>
          <t>Skapa/hantera som ny taxa eller komplettera regelverk.</t>
        </is>
      </c>
    </row>
    <row r="502">
      <c r="A502" t="inlineStr"/>
      <c r="B502" t="inlineStr">
        <is>
          <t>6.1.3</t>
        </is>
      </c>
      <c r="C502" t="inlineStr">
        <is>
          <t>Omklassning av felsorterad container</t>
        </is>
      </c>
      <c r="D502" t="inlineStr">
        <is>
          <t>Beslut</t>
        </is>
      </c>
      <c r="E502" t="inlineStr">
        <is>
          <t>NEW_TAXA</t>
        </is>
      </c>
      <c r="F502" t="inlineStr">
        <is>
          <t>SemanticDecisionEngine</t>
        </is>
      </c>
      <c r="G502" t="inlineStr">
        <is>
          <t>Ingen semantisk kandidat hittades</t>
        </is>
      </c>
      <c r="H502" t="inlineStr">
        <is>
          <t>TaxDecisionEngine</t>
        </is>
      </c>
      <c r="I502" t="inlineStr">
        <is>
          <t>NEW_TAXA</t>
        </is>
      </c>
      <c r="J502" t="inlineStr">
        <is>
          <t>Skapa/hantera som ny taxa eller komplettera regelverk.</t>
        </is>
      </c>
    </row>
    <row r="503">
      <c r="A503" t="inlineStr"/>
      <c r="B503" t="inlineStr">
        <is>
          <t>6.1.4</t>
        </is>
      </c>
      <c r="C503" t="inlineStr">
        <is>
          <t>Okänt farligt avfall (säkerhetsdatablad saknas)</t>
        </is>
      </c>
      <c r="D503" t="inlineStr">
        <is>
          <t>Beslut</t>
        </is>
      </c>
      <c r="E503" t="inlineStr">
        <is>
          <t>NEW_TAXA</t>
        </is>
      </c>
      <c r="F503" t="inlineStr">
        <is>
          <t>SemanticDecisionEngine</t>
        </is>
      </c>
      <c r="G503" t="inlineStr">
        <is>
          <t>Ingen semantisk kandidat hittades</t>
        </is>
      </c>
      <c r="H503" t="inlineStr">
        <is>
          <t>TaxDecisionEngine</t>
        </is>
      </c>
      <c r="I503" t="inlineStr">
        <is>
          <t>NEW_TAXA</t>
        </is>
      </c>
      <c r="J503" t="inlineStr">
        <is>
          <t>Skapa/hantera som ny taxa eller komplettera regelverk.</t>
        </is>
      </c>
    </row>
    <row r="504">
      <c r="A504" t="inlineStr"/>
      <c r="B504" t="inlineStr">
        <is>
          <t>6.1.4</t>
        </is>
      </c>
      <c r="C504" t="inlineStr">
        <is>
          <t>Ombud för rapportering av farligt avfall i Avfallsregistret</t>
        </is>
      </c>
      <c r="D504" t="inlineStr">
        <is>
          <t>Beslut</t>
        </is>
      </c>
      <c r="E504" t="inlineStr">
        <is>
          <t>NEW_TAXA</t>
        </is>
      </c>
      <c r="F504" t="inlineStr">
        <is>
          <t>SemanticDecisionEngine</t>
        </is>
      </c>
      <c r="G504" t="inlineStr">
        <is>
          <t>Ingen semantisk kandidat hittades</t>
        </is>
      </c>
      <c r="H504" t="inlineStr">
        <is>
          <t>TaxDecisionEngine</t>
        </is>
      </c>
      <c r="I504" t="inlineStr">
        <is>
          <t>NEW_TAXA</t>
        </is>
      </c>
      <c r="J504" t="inlineStr">
        <is>
          <t>Skapa/hantera som ny taxa eller komplettera regelverk.</t>
        </is>
      </c>
    </row>
    <row r="505">
      <c r="A505" t="inlineStr"/>
      <c r="B505" t="inlineStr">
        <is>
          <t>6.1.4</t>
        </is>
      </c>
      <c r="C505" t="inlineStr">
        <is>
          <t>Administrativ rapporteringsavgift till Avfallsregistret</t>
        </is>
      </c>
      <c r="D505" t="inlineStr">
        <is>
          <t>Beslut</t>
        </is>
      </c>
      <c r="E505" t="inlineStr">
        <is>
          <t>NEW_TAXA</t>
        </is>
      </c>
      <c r="F505" t="inlineStr">
        <is>
          <t>SemanticDecisionEngine</t>
        </is>
      </c>
      <c r="G505" t="inlineStr">
        <is>
          <t>Ingen semantisk kandidat hittades</t>
        </is>
      </c>
      <c r="H505" t="inlineStr">
        <is>
          <t>TaxDecisionEngine</t>
        </is>
      </c>
      <c r="I505" t="inlineStr">
        <is>
          <t>NEW_TAXA</t>
        </is>
      </c>
      <c r="J505" t="inlineStr">
        <is>
          <t>Skapa/hantera som ny taxa eller komplettera regelverk.</t>
        </is>
      </c>
    </row>
    <row r="506">
      <c r="A506" t="inlineStr"/>
      <c r="B506" t="inlineStr">
        <is>
          <t>6.1.4</t>
        </is>
      </c>
      <c r="C506" t="inlineStr">
        <is>
          <t>Ombud för registrering av El-kretsen avlämnarintyg i Hämtplatsportalen</t>
        </is>
      </c>
      <c r="D506" t="inlineStr">
        <is>
          <t>Beslut</t>
        </is>
      </c>
      <c r="E506" t="inlineStr">
        <is>
          <t>NEW_TAXA</t>
        </is>
      </c>
      <c r="F506" t="inlineStr">
        <is>
          <t>SemanticDecisionEngine</t>
        </is>
      </c>
      <c r="G506" t="inlineStr">
        <is>
          <t>Ingen semantisk kandidat hittades</t>
        </is>
      </c>
      <c r="H506" t="inlineStr">
        <is>
          <t>TaxDecisionEngine</t>
        </is>
      </c>
      <c r="I506" t="inlineStr">
        <is>
          <t>NEW_TAXA</t>
        </is>
      </c>
      <c r="J506" t="inlineStr">
        <is>
          <t>Skapa/hantera som ny taxa eller komplettera regelverk.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6" customWidth="1" min="4" max="4"/>
    <col width="16" customWidth="1" min="5" max="5"/>
    <col width="26" customWidth="1" min="6" max="6"/>
    <col width="26" customWidth="1" min="7" max="7"/>
    <col width="18" customWidth="1" min="8" max="8"/>
    <col width="20" customWidth="1" min="9" max="9"/>
    <col width="18" customWidth="1" min="10" max="10"/>
    <col width="12" customWidth="1" min="11" max="11"/>
    <col width="60" customWidth="1" min="12" max="12"/>
    <col width="60" customWidth="1" min="13" max="13"/>
  </cols>
  <sheetData>
    <row r="1">
      <c r="A1" s="160" t="inlineStr">
        <is>
          <t>Tax Knowledge</t>
        </is>
      </c>
    </row>
    <row r="2">
      <c r="A2" s="161" t="inlineStr">
        <is>
          <t>Syfte</t>
        </is>
      </c>
      <c r="B2" s="1" t="inlineStr">
        <is>
          <t>Strukturerad kunskap från Word/parsern. Används som stöd för kommande regelbaserad matchning.</t>
        </is>
      </c>
    </row>
    <row r="3">
      <c r="A3" s="161" t="inlineStr">
        <is>
          <t>Viktigt</t>
        </is>
      </c>
      <c r="B3" s="1" t="inlineStr">
        <is>
          <t>Denna flik ändrar inte Taxa_från_edp och sätter inga taxekoder.</t>
        </is>
      </c>
    </row>
    <row r="5">
      <c r="A5" s="158" t="inlineStr">
        <is>
          <t>Paragraf</t>
        </is>
      </c>
      <c r="B5" s="158" t="inlineStr">
        <is>
          <t>Taxapunkt</t>
        </is>
      </c>
      <c r="C5" s="158" t="inlineStr">
        <is>
          <t>Variant</t>
        </is>
      </c>
      <c r="D5" s="158" t="inlineStr">
        <is>
          <t>Enhet</t>
        </is>
      </c>
      <c r="E5" s="158" t="inlineStr">
        <is>
          <t>Paragrafgrupp</t>
        </is>
      </c>
      <c r="F5" s="158" t="inlineStr">
        <is>
          <t>Kategori</t>
        </is>
      </c>
      <c r="G5" s="158" t="inlineStr">
        <is>
          <t>Avfallstyp</t>
        </is>
      </c>
      <c r="H5" s="158" t="inlineStr">
        <is>
          <t>Enhetstyp</t>
        </is>
      </c>
      <c r="I5" s="158" t="inlineStr">
        <is>
          <t>Behållarvolym liter</t>
        </is>
      </c>
      <c r="J5" s="158" t="inlineStr">
        <is>
          <t>Faktorhint</t>
        </is>
      </c>
      <c r="K5" s="158" t="inlineStr">
        <is>
          <t>Confidence</t>
        </is>
      </c>
      <c r="L5" s="158" t="inlineStr">
        <is>
          <t>Keywords</t>
        </is>
      </c>
      <c r="M5" s="158" t="inlineStr">
        <is>
          <t>Notes</t>
        </is>
      </c>
    </row>
    <row r="6">
      <c r="A6" s="162" t="inlineStr">
        <is>
          <t>2.2.1</t>
        </is>
      </c>
      <c r="B6" s="162" t="inlineStr">
        <is>
          <t>Kärl 240 l (mat-/restavfall)</t>
        </is>
      </c>
      <c r="C6" s="162" t="inlineStr"/>
      <c r="D6" s="162" t="inlineStr">
        <is>
          <t>kärl</t>
        </is>
      </c>
      <c r="E6" s="162" t="inlineStr">
        <is>
          <t>2.2</t>
        </is>
      </c>
      <c r="F6" s="162" t="inlineStr">
        <is>
          <t>Hushåll</t>
        </is>
      </c>
      <c r="G6" s="162" t="inlineStr">
        <is>
          <t>Restavfall</t>
        </is>
      </c>
      <c r="H6" s="162" t="inlineStr">
        <is>
          <t>Behållarvolym</t>
        </is>
      </c>
      <c r="I6" s="162" t="inlineStr">
        <is>
          <t>240</t>
        </is>
      </c>
      <c r="J6" s="162" t="inlineStr">
        <is>
          <t>VOLYM/BEHÅLLARE</t>
        </is>
      </c>
      <c r="K6" s="162" t="inlineStr">
        <is>
          <t>1.00</t>
        </is>
      </c>
      <c r="L6" s="162" t="inlineStr">
        <is>
          <t>240, kärl, mat-, restavfall</t>
        </is>
      </c>
      <c r="M6" s="162" t="inlineStr"/>
    </row>
    <row r="7">
      <c r="A7" s="162" t="inlineStr">
        <is>
          <t>2.2.1</t>
        </is>
      </c>
      <c r="B7" s="162" t="inlineStr">
        <is>
          <t>Extrakärl 190 l (restavfall)</t>
        </is>
      </c>
      <c r="C7" s="162" t="inlineStr"/>
      <c r="D7" s="162" t="inlineStr"/>
      <c r="E7" s="162" t="inlineStr">
        <is>
          <t>2.2</t>
        </is>
      </c>
      <c r="F7" s="162" t="inlineStr">
        <is>
          <t>Hushåll</t>
        </is>
      </c>
      <c r="G7" s="162" t="inlineStr">
        <is>
          <t>Restavfall</t>
        </is>
      </c>
      <c r="H7" s="162" t="inlineStr">
        <is>
          <t>Behållarvolym</t>
        </is>
      </c>
      <c r="I7" s="162" t="inlineStr">
        <is>
          <t>190</t>
        </is>
      </c>
      <c r="J7" s="162" t="inlineStr">
        <is>
          <t>VOLYM/BEHÅLLARE</t>
        </is>
      </c>
      <c r="K7" s="162" t="inlineStr">
        <is>
          <t>1.00</t>
        </is>
      </c>
      <c r="L7" s="162" t="inlineStr">
        <is>
          <t>190, extrakärl, restavfall</t>
        </is>
      </c>
      <c r="M7" s="162" t="inlineStr"/>
    </row>
    <row r="8">
      <c r="A8" s="162" t="inlineStr">
        <is>
          <t>2.2.2</t>
        </is>
      </c>
      <c r="B8" s="162" t="inlineStr">
        <is>
          <t>Kärl 240 l (mat-/restavfall)</t>
        </is>
      </c>
      <c r="C8" s="162" t="inlineStr"/>
      <c r="D8" s="162" t="inlineStr">
        <is>
          <t>kärl</t>
        </is>
      </c>
      <c r="E8" s="162" t="inlineStr">
        <is>
          <t>2.2</t>
        </is>
      </c>
      <c r="F8" s="162" t="inlineStr">
        <is>
          <t>Hushåll</t>
        </is>
      </c>
      <c r="G8" s="162" t="inlineStr">
        <is>
          <t>Restavfall</t>
        </is>
      </c>
      <c r="H8" s="162" t="inlineStr">
        <is>
          <t>Behållarvolym</t>
        </is>
      </c>
      <c r="I8" s="162" t="inlineStr">
        <is>
          <t>240</t>
        </is>
      </c>
      <c r="J8" s="162" t="inlineStr">
        <is>
          <t>VOLYM/BEHÅLLARE</t>
        </is>
      </c>
      <c r="K8" s="162" t="inlineStr">
        <is>
          <t>1.00</t>
        </is>
      </c>
      <c r="L8" s="162" t="inlineStr">
        <is>
          <t>240, kärl, mat-, restavfall</t>
        </is>
      </c>
      <c r="M8" s="162" t="inlineStr"/>
    </row>
    <row r="9">
      <c r="A9" s="162" t="inlineStr">
        <is>
          <t>2.2.2</t>
        </is>
      </c>
      <c r="B9" s="162" t="inlineStr">
        <is>
          <t>Extrakärl 190 l (restavfall)</t>
        </is>
      </c>
      <c r="C9" s="162" t="inlineStr"/>
      <c r="D9" s="162" t="inlineStr"/>
      <c r="E9" s="162" t="inlineStr">
        <is>
          <t>2.2</t>
        </is>
      </c>
      <c r="F9" s="162" t="inlineStr">
        <is>
          <t>Hushåll</t>
        </is>
      </c>
      <c r="G9" s="162" t="inlineStr">
        <is>
          <t>Restavfall</t>
        </is>
      </c>
      <c r="H9" s="162" t="inlineStr">
        <is>
          <t>Behållarvolym</t>
        </is>
      </c>
      <c r="I9" s="162" t="inlineStr">
        <is>
          <t>190</t>
        </is>
      </c>
      <c r="J9" s="162" t="inlineStr">
        <is>
          <t>VOLYM/BEHÅLLARE</t>
        </is>
      </c>
      <c r="K9" s="162" t="inlineStr">
        <is>
          <t>1.00</t>
        </is>
      </c>
      <c r="L9" s="162" t="inlineStr">
        <is>
          <t>190, extrakärl, restavfall</t>
        </is>
      </c>
      <c r="M9" s="162" t="inlineStr"/>
    </row>
    <row r="10">
      <c r="A10" s="162" t="inlineStr">
        <is>
          <t>2.2.3</t>
        </is>
      </c>
      <c r="B10" s="162" t="inlineStr">
        <is>
          <t>Gemensam uppsamlingsplats för mat-/restavfall</t>
        </is>
      </c>
      <c r="C10" s="162" t="inlineStr"/>
      <c r="D10" s="162" t="inlineStr"/>
      <c r="E10" s="162" t="inlineStr">
        <is>
          <t>2.2</t>
        </is>
      </c>
      <c r="F10" s="162" t="inlineStr">
        <is>
          <t>Hushåll</t>
        </is>
      </c>
      <c r="G10" s="162" t="inlineStr">
        <is>
          <t>Restavfall</t>
        </is>
      </c>
      <c r="H10" s="162" t="inlineStr"/>
      <c r="I10" s="162" t="inlineStr"/>
      <c r="J10" s="162" t="inlineStr"/>
      <c r="K10" s="162" t="inlineStr">
        <is>
          <t>0.75</t>
        </is>
      </c>
      <c r="L10" s="162" t="inlineStr">
        <is>
          <t>gemensam, mat-, restavfall, uppsamlingsplats</t>
        </is>
      </c>
      <c r="M10" s="162" t="inlineStr">
        <is>
          <t>Faktor kunde inte härledas från enhet/text.</t>
        </is>
      </c>
    </row>
    <row r="11">
      <c r="A11" s="162" t="inlineStr">
        <is>
          <t>2.2.3</t>
        </is>
      </c>
      <c r="B11" s="162" t="inlineStr">
        <is>
          <t>Extra digital licens (årskostnad)</t>
        </is>
      </c>
      <c r="C11" s="162" t="inlineStr"/>
      <c r="D11" s="162" t="inlineStr"/>
      <c r="E11" s="162" t="inlineStr">
        <is>
          <t>2.2</t>
        </is>
      </c>
      <c r="F11" s="162" t="inlineStr">
        <is>
          <t>Hushåll</t>
        </is>
      </c>
      <c r="G11" s="162" t="inlineStr"/>
      <c r="H11" s="162" t="inlineStr"/>
      <c r="I11" s="162" t="inlineStr"/>
      <c r="J11" s="162" t="inlineStr"/>
      <c r="K11" s="162" t="inlineStr">
        <is>
          <t>0.50</t>
        </is>
      </c>
      <c r="L11" s="162" t="inlineStr">
        <is>
          <t>digital, extra, licens, årskostnad</t>
        </is>
      </c>
      <c r="M11" s="162" t="inlineStr">
        <is>
          <t>Faktor kunde inte härledas från enhet/text. | Avfallstyp kunde inte härledas.</t>
        </is>
      </c>
    </row>
    <row r="12">
      <c r="A12" s="162" t="inlineStr">
        <is>
          <t>2.2.3</t>
        </is>
      </c>
      <c r="B12" s="162" t="inlineStr">
        <is>
          <t>Fysisk nyckel, kallad fob (engångskostnad)</t>
        </is>
      </c>
      <c r="C12" s="162" t="inlineStr"/>
      <c r="D12" s="162" t="inlineStr"/>
      <c r="E12" s="162" t="inlineStr">
        <is>
          <t>2.2</t>
        </is>
      </c>
      <c r="F12" s="162" t="inlineStr">
        <is>
          <t>Hushåll</t>
        </is>
      </c>
      <c r="G12" s="162" t="inlineStr"/>
      <c r="H12" s="162" t="inlineStr"/>
      <c r="I12" s="162" t="inlineStr"/>
      <c r="J12" s="162" t="inlineStr"/>
      <c r="K12" s="162" t="inlineStr">
        <is>
          <t>0.50</t>
        </is>
      </c>
      <c r="L12" s="162" t="inlineStr">
        <is>
          <t>engångskostnad, fob, fysisk, kallad, nyckel</t>
        </is>
      </c>
      <c r="M12" s="162" t="inlineStr">
        <is>
          <t>Faktor kunde inte härledas från enhet/text. | Avfallstyp kunde inte härledas.</t>
        </is>
      </c>
    </row>
    <row r="13">
      <c r="A13" s="162" t="inlineStr">
        <is>
          <t>2.2.3</t>
        </is>
      </c>
      <c r="B13" s="162" t="inlineStr">
        <is>
          <t>Byte av telefonnummer kopplat till licens</t>
        </is>
      </c>
      <c r="C13" s="162" t="inlineStr"/>
      <c r="D13" s="162" t="inlineStr"/>
      <c r="E13" s="162" t="inlineStr">
        <is>
          <t>2.2</t>
        </is>
      </c>
      <c r="F13" s="162" t="inlineStr">
        <is>
          <t>Hushåll</t>
        </is>
      </c>
      <c r="G13" s="162" t="inlineStr"/>
      <c r="H13" s="162" t="inlineStr"/>
      <c r="I13" s="162" t="inlineStr"/>
      <c r="J13" s="162" t="inlineStr"/>
      <c r="K13" s="162" t="inlineStr">
        <is>
          <t>0.50</t>
        </is>
      </c>
      <c r="L13" s="162" t="inlineStr">
        <is>
          <t>byte, kopplat, licens, telefonnummer</t>
        </is>
      </c>
      <c r="M13" s="162" t="inlineStr">
        <is>
          <t>Faktor kunde inte härledas från enhet/text. | Avfallstyp kunde inte härledas.</t>
        </is>
      </c>
    </row>
    <row r="14">
      <c r="A14" s="162" t="inlineStr">
        <is>
          <t>2.2.3</t>
        </is>
      </c>
      <c r="B14" s="162" t="inlineStr">
        <is>
          <t>Kostnad för öppning av behållare</t>
        </is>
      </c>
      <c r="C14" s="162" t="inlineStr"/>
      <c r="D14" s="162" t="inlineStr"/>
      <c r="E14" s="162" t="inlineStr">
        <is>
          <t>2.2</t>
        </is>
      </c>
      <c r="F14" s="162" t="inlineStr">
        <is>
          <t>Hushåll</t>
        </is>
      </c>
      <c r="G14" s="162" t="inlineStr"/>
      <c r="H14" s="162" t="inlineStr"/>
      <c r="I14" s="162" t="inlineStr"/>
      <c r="J14" s="162" t="inlineStr"/>
      <c r="K14" s="162" t="inlineStr">
        <is>
          <t>0.50</t>
        </is>
      </c>
      <c r="L14" s="162" t="inlineStr">
        <is>
          <t>behållare, kostnad, öppning</t>
        </is>
      </c>
      <c r="M14" s="162" t="inlineStr">
        <is>
          <t>Faktor kunde inte härledas från enhet/text. | Avfallstyp kunde inte härledas.</t>
        </is>
      </c>
    </row>
    <row r="15">
      <c r="A15" s="162" t="inlineStr">
        <is>
          <t>2.2.4</t>
        </is>
      </c>
      <c r="B15" s="162" t="inlineStr">
        <is>
          <t>Kärl 240 l (mat-/restavfall)</t>
        </is>
      </c>
      <c r="C15" s="162" t="inlineStr"/>
      <c r="D15" s="162" t="inlineStr">
        <is>
          <t>kärl</t>
        </is>
      </c>
      <c r="E15" s="162" t="inlineStr">
        <is>
          <t>2.2</t>
        </is>
      </c>
      <c r="F15" s="162" t="inlineStr">
        <is>
          <t>Hushåll</t>
        </is>
      </c>
      <c r="G15" s="162" t="inlineStr">
        <is>
          <t>Restavfall</t>
        </is>
      </c>
      <c r="H15" s="162" t="inlineStr">
        <is>
          <t>Behållarvolym</t>
        </is>
      </c>
      <c r="I15" s="162" t="inlineStr">
        <is>
          <t>240</t>
        </is>
      </c>
      <c r="J15" s="162" t="inlineStr">
        <is>
          <t>VOLYM/BEHÅLLARE</t>
        </is>
      </c>
      <c r="K15" s="162" t="inlineStr">
        <is>
          <t>1.00</t>
        </is>
      </c>
      <c r="L15" s="162" t="inlineStr">
        <is>
          <t>240, kärl, mat-, restavfall</t>
        </is>
      </c>
      <c r="M15" s="162" t="inlineStr"/>
    </row>
    <row r="16">
      <c r="A16" s="162" t="inlineStr">
        <is>
          <t>2.2.4</t>
        </is>
      </c>
      <c r="B16" s="162" t="inlineStr">
        <is>
          <t>Kärl 370 l (restavfall)</t>
        </is>
      </c>
      <c r="C16" s="162" t="inlineStr"/>
      <c r="D16" s="162" t="inlineStr">
        <is>
          <t>kärl</t>
        </is>
      </c>
      <c r="E16" s="162" t="inlineStr">
        <is>
          <t>2.2</t>
        </is>
      </c>
      <c r="F16" s="162" t="inlineStr">
        <is>
          <t>Hushåll</t>
        </is>
      </c>
      <c r="G16" s="162" t="inlineStr">
        <is>
          <t>Restavfall</t>
        </is>
      </c>
      <c r="H16" s="162" t="inlineStr">
        <is>
          <t>Behållarvolym</t>
        </is>
      </c>
      <c r="I16" s="162" t="inlineStr">
        <is>
          <t>370</t>
        </is>
      </c>
      <c r="J16" s="162" t="inlineStr">
        <is>
          <t>VOLYM/BEHÅLLARE</t>
        </is>
      </c>
      <c r="K16" s="162" t="inlineStr">
        <is>
          <t>1.00</t>
        </is>
      </c>
      <c r="L16" s="162" t="inlineStr">
        <is>
          <t>370, kärl, restavfall</t>
        </is>
      </c>
      <c r="M16" s="162" t="inlineStr"/>
    </row>
    <row r="17">
      <c r="A17" s="162" t="inlineStr">
        <is>
          <t>2.2.4</t>
        </is>
      </c>
      <c r="B17" s="162" t="inlineStr">
        <is>
          <t>Kärl 660 l (restavfall)</t>
        </is>
      </c>
      <c r="C17" s="162" t="inlineStr"/>
      <c r="D17" s="162" t="inlineStr">
        <is>
          <t>kärl</t>
        </is>
      </c>
      <c r="E17" s="162" t="inlineStr">
        <is>
          <t>2.2</t>
        </is>
      </c>
      <c r="F17" s="162" t="inlineStr">
        <is>
          <t>Hushåll</t>
        </is>
      </c>
      <c r="G17" s="162" t="inlineStr">
        <is>
          <t>Restavfall</t>
        </is>
      </c>
      <c r="H17" s="162" t="inlineStr">
        <is>
          <t>Behållarvolym</t>
        </is>
      </c>
      <c r="I17" s="162" t="inlineStr">
        <is>
          <t>660</t>
        </is>
      </c>
      <c r="J17" s="162" t="inlineStr">
        <is>
          <t>VOLYM/BEHÅLLARE</t>
        </is>
      </c>
      <c r="K17" s="162" t="inlineStr">
        <is>
          <t>1.00</t>
        </is>
      </c>
      <c r="L17" s="162" t="inlineStr">
        <is>
          <t>660, kärl, restavfall</t>
        </is>
      </c>
      <c r="M17" s="162" t="inlineStr"/>
    </row>
    <row r="18">
      <c r="A18" s="162" t="inlineStr">
        <is>
          <t>2.2.4</t>
        </is>
      </c>
      <c r="B18" s="162" t="inlineStr">
        <is>
          <t>Kärl 140 l (matavfall)</t>
        </is>
      </c>
      <c r="C18" s="162" t="inlineStr"/>
      <c r="D18" s="162" t="inlineStr">
        <is>
          <t>kärl</t>
        </is>
      </c>
      <c r="E18" s="162" t="inlineStr">
        <is>
          <t>2.2</t>
        </is>
      </c>
      <c r="F18" s="162" t="inlineStr">
        <is>
          <t>Hushåll</t>
        </is>
      </c>
      <c r="G18" s="162" t="inlineStr">
        <is>
          <t>Matavfall</t>
        </is>
      </c>
      <c r="H18" s="162" t="inlineStr">
        <is>
          <t>Behållarvolym</t>
        </is>
      </c>
      <c r="I18" s="162" t="inlineStr">
        <is>
          <t>140</t>
        </is>
      </c>
      <c r="J18" s="162" t="inlineStr">
        <is>
          <t>VOLYM/BEHÅLLARE</t>
        </is>
      </c>
      <c r="K18" s="162" t="inlineStr">
        <is>
          <t>1.00</t>
        </is>
      </c>
      <c r="L18" s="162" t="inlineStr">
        <is>
          <t>140, kärl, matavfall</t>
        </is>
      </c>
      <c r="M18" s="162" t="inlineStr"/>
    </row>
    <row r="19">
      <c r="A19" s="162" t="inlineStr">
        <is>
          <t>2.2.4</t>
        </is>
      </c>
      <c r="B19" s="162" t="inlineStr">
        <is>
          <t>Kärl 190 l (förpackningar)</t>
        </is>
      </c>
      <c r="C19" s="162" t="inlineStr"/>
      <c r="D19" s="162" t="inlineStr">
        <is>
          <t>kärl</t>
        </is>
      </c>
      <c r="E19" s="162" t="inlineStr">
        <is>
          <t>2.2</t>
        </is>
      </c>
      <c r="F19" s="162" t="inlineStr">
        <is>
          <t>Hushåll</t>
        </is>
      </c>
      <c r="G19" s="162" t="inlineStr">
        <is>
          <t>Förpackningar</t>
        </is>
      </c>
      <c r="H19" s="162" t="inlineStr">
        <is>
          <t>Behållarvolym</t>
        </is>
      </c>
      <c r="I19" s="162" t="inlineStr">
        <is>
          <t>190</t>
        </is>
      </c>
      <c r="J19" s="162" t="inlineStr">
        <is>
          <t>VOLYM/BEHÅLLARE</t>
        </is>
      </c>
      <c r="K19" s="162" t="inlineStr">
        <is>
          <t>1.00</t>
        </is>
      </c>
      <c r="L19" s="162" t="inlineStr">
        <is>
          <t>190, förpackningar, kärl</t>
        </is>
      </c>
      <c r="M19" s="162" t="inlineStr"/>
    </row>
    <row r="20">
      <c r="A20" s="162" t="inlineStr">
        <is>
          <t>2.2.4</t>
        </is>
      </c>
      <c r="B20" s="162" t="inlineStr">
        <is>
          <t>Kärl 370 l (förpackningar)</t>
        </is>
      </c>
      <c r="C20" s="162" t="inlineStr"/>
      <c r="D20" s="162" t="inlineStr">
        <is>
          <t>kärl</t>
        </is>
      </c>
      <c r="E20" s="162" t="inlineStr">
        <is>
          <t>2.2</t>
        </is>
      </c>
      <c r="F20" s="162" t="inlineStr">
        <is>
          <t>Hushåll</t>
        </is>
      </c>
      <c r="G20" s="162" t="inlineStr">
        <is>
          <t>Förpackningar</t>
        </is>
      </c>
      <c r="H20" s="162" t="inlineStr">
        <is>
          <t>Behållarvolym</t>
        </is>
      </c>
      <c r="I20" s="162" t="inlineStr">
        <is>
          <t>370</t>
        </is>
      </c>
      <c r="J20" s="162" t="inlineStr">
        <is>
          <t>VOLYM/BEHÅLLARE</t>
        </is>
      </c>
      <c r="K20" s="162" t="inlineStr">
        <is>
          <t>1.00</t>
        </is>
      </c>
      <c r="L20" s="162" t="inlineStr">
        <is>
          <t>370, förpackningar, kärl</t>
        </is>
      </c>
      <c r="M20" s="162" t="inlineStr"/>
    </row>
    <row r="21">
      <c r="A21" s="162" t="inlineStr">
        <is>
          <t>2.2.4</t>
        </is>
      </c>
      <c r="B21" s="162" t="inlineStr">
        <is>
          <t>Kärl 660 l (förpackningar)</t>
        </is>
      </c>
      <c r="C21" s="162" t="inlineStr"/>
      <c r="D21" s="162" t="inlineStr">
        <is>
          <t>kärl</t>
        </is>
      </c>
      <c r="E21" s="162" t="inlineStr">
        <is>
          <t>2.2</t>
        </is>
      </c>
      <c r="F21" s="162" t="inlineStr">
        <is>
          <t>Hushåll</t>
        </is>
      </c>
      <c r="G21" s="162" t="inlineStr">
        <is>
          <t>Förpackningar</t>
        </is>
      </c>
      <c r="H21" s="162" t="inlineStr">
        <is>
          <t>Behållarvolym</t>
        </is>
      </c>
      <c r="I21" s="162" t="inlineStr">
        <is>
          <t>660</t>
        </is>
      </c>
      <c r="J21" s="162" t="inlineStr">
        <is>
          <t>VOLYM/BEHÅLLARE</t>
        </is>
      </c>
      <c r="K21" s="162" t="inlineStr">
        <is>
          <t>1.00</t>
        </is>
      </c>
      <c r="L21" s="162" t="inlineStr">
        <is>
          <t>660, förpackningar, kärl</t>
        </is>
      </c>
      <c r="M21" s="162" t="inlineStr"/>
    </row>
    <row r="22">
      <c r="A22" s="162" t="inlineStr">
        <is>
          <t>2.2.4</t>
        </is>
      </c>
      <c r="B22" s="162" t="inlineStr">
        <is>
          <t>Kärl 190 l (tidningar och returpapper)</t>
        </is>
      </c>
      <c r="C22" s="162" t="inlineStr"/>
      <c r="D22" s="162" t="inlineStr">
        <is>
          <t>kärl</t>
        </is>
      </c>
      <c r="E22" s="162" t="inlineStr">
        <is>
          <t>2.2</t>
        </is>
      </c>
      <c r="F22" s="162" t="inlineStr">
        <is>
          <t>Hushåll</t>
        </is>
      </c>
      <c r="G22" s="162" t="inlineStr"/>
      <c r="H22" s="162" t="inlineStr">
        <is>
          <t>Behållarvolym</t>
        </is>
      </c>
      <c r="I22" s="162" t="inlineStr">
        <is>
          <t>190</t>
        </is>
      </c>
      <c r="J22" s="162" t="inlineStr">
        <is>
          <t>VOLYM/BEHÅLLARE</t>
        </is>
      </c>
      <c r="K22" s="162" t="inlineStr">
        <is>
          <t>0.75</t>
        </is>
      </c>
      <c r="L22" s="162" t="inlineStr">
        <is>
          <t>190, kärl, returpapper, tidningar</t>
        </is>
      </c>
      <c r="M22" s="162" t="inlineStr">
        <is>
          <t>Avfallstyp kunde inte härledas.</t>
        </is>
      </c>
    </row>
    <row r="23">
      <c r="A23" s="162" t="inlineStr">
        <is>
          <t>2.2.4</t>
        </is>
      </c>
      <c r="B23" s="162" t="inlineStr">
        <is>
          <t>Kärl 370 l (tidningar och returpapper)</t>
        </is>
      </c>
      <c r="C23" s="162" t="inlineStr"/>
      <c r="D23" s="162" t="inlineStr">
        <is>
          <t>kärl</t>
        </is>
      </c>
      <c r="E23" s="162" t="inlineStr">
        <is>
          <t>2.2</t>
        </is>
      </c>
      <c r="F23" s="162" t="inlineStr">
        <is>
          <t>Hushåll</t>
        </is>
      </c>
      <c r="G23" s="162" t="inlineStr"/>
      <c r="H23" s="162" t="inlineStr">
        <is>
          <t>Behållarvolym</t>
        </is>
      </c>
      <c r="I23" s="162" t="inlineStr">
        <is>
          <t>370</t>
        </is>
      </c>
      <c r="J23" s="162" t="inlineStr">
        <is>
          <t>VOLYM/BEHÅLLARE</t>
        </is>
      </c>
      <c r="K23" s="162" t="inlineStr">
        <is>
          <t>0.75</t>
        </is>
      </c>
      <c r="L23" s="162" t="inlineStr">
        <is>
          <t>370, kärl, returpapper, tidningar</t>
        </is>
      </c>
      <c r="M23" s="162" t="inlineStr">
        <is>
          <t>Avfallstyp kunde inte härledas.</t>
        </is>
      </c>
    </row>
    <row r="24">
      <c r="A24" s="162" t="inlineStr">
        <is>
          <t>2.2.4</t>
        </is>
      </c>
      <c r="B24" s="162" t="inlineStr">
        <is>
          <t>(mat-/restavfall, förpackningar)</t>
        </is>
      </c>
      <c r="C24" s="162" t="inlineStr"/>
      <c r="D24" s="162" t="inlineStr"/>
      <c r="E24" s="162" t="inlineStr">
        <is>
          <t>2.2</t>
        </is>
      </c>
      <c r="F24" s="162" t="inlineStr">
        <is>
          <t>Hushåll</t>
        </is>
      </c>
      <c r="G24" s="162" t="inlineStr">
        <is>
          <t>Restavfall</t>
        </is>
      </c>
      <c r="H24" s="162" t="inlineStr"/>
      <c r="I24" s="162" t="inlineStr"/>
      <c r="J24" s="162" t="inlineStr"/>
      <c r="K24" s="162" t="inlineStr">
        <is>
          <t>0.75</t>
        </is>
      </c>
      <c r="L24" s="162" t="inlineStr">
        <is>
          <t>förpackningar, mat-, restavfall</t>
        </is>
      </c>
      <c r="M24" s="162" t="inlineStr">
        <is>
          <t>Faktor kunde inte härledas från enhet/text.</t>
        </is>
      </c>
    </row>
    <row r="25">
      <c r="A25" s="162" t="inlineStr">
        <is>
          <t>2.2.5</t>
        </is>
      </c>
      <c r="B25" s="162" t="inlineStr">
        <is>
          <t>Kärl 240 l (mat-/restavfall)</t>
        </is>
      </c>
      <c r="C25" s="162" t="inlineStr"/>
      <c r="D25" s="162" t="inlineStr">
        <is>
          <t>kärl</t>
        </is>
      </c>
      <c r="E25" s="162" t="inlineStr">
        <is>
          <t>2.2</t>
        </is>
      </c>
      <c r="F25" s="162" t="inlineStr">
        <is>
          <t>Hushåll</t>
        </is>
      </c>
      <c r="G25" s="162" t="inlineStr">
        <is>
          <t>Restavfall</t>
        </is>
      </c>
      <c r="H25" s="162" t="inlineStr">
        <is>
          <t>Behållarvolym</t>
        </is>
      </c>
      <c r="I25" s="162" t="inlineStr">
        <is>
          <t>240</t>
        </is>
      </c>
      <c r="J25" s="162" t="inlineStr">
        <is>
          <t>VOLYM/BEHÅLLARE</t>
        </is>
      </c>
      <c r="K25" s="162" t="inlineStr">
        <is>
          <t>1.00</t>
        </is>
      </c>
      <c r="L25" s="162" t="inlineStr">
        <is>
          <t>240, kärl, mat-, restavfall</t>
        </is>
      </c>
      <c r="M25" s="162" t="inlineStr"/>
    </row>
    <row r="26">
      <c r="A26" s="162" t="inlineStr">
        <is>
          <t>2.2.5</t>
        </is>
      </c>
      <c r="B26" s="162" t="inlineStr">
        <is>
          <t>Kärl 370 l (restavfall)</t>
        </is>
      </c>
      <c r="C26" s="162" t="inlineStr"/>
      <c r="D26" s="162" t="inlineStr">
        <is>
          <t>kärl</t>
        </is>
      </c>
      <c r="E26" s="162" t="inlineStr">
        <is>
          <t>2.2</t>
        </is>
      </c>
      <c r="F26" s="162" t="inlineStr">
        <is>
          <t>Hushåll</t>
        </is>
      </c>
      <c r="G26" s="162" t="inlineStr">
        <is>
          <t>Restavfall</t>
        </is>
      </c>
      <c r="H26" s="162" t="inlineStr">
        <is>
          <t>Behållarvolym</t>
        </is>
      </c>
      <c r="I26" s="162" t="inlineStr">
        <is>
          <t>370</t>
        </is>
      </c>
      <c r="J26" s="162" t="inlineStr">
        <is>
          <t>VOLYM/BEHÅLLARE</t>
        </is>
      </c>
      <c r="K26" s="162" t="inlineStr">
        <is>
          <t>1.00</t>
        </is>
      </c>
      <c r="L26" s="162" t="inlineStr">
        <is>
          <t>370, kärl, restavfall</t>
        </is>
      </c>
      <c r="M26" s="162" t="inlineStr"/>
    </row>
    <row r="27">
      <c r="A27" s="162" t="inlineStr">
        <is>
          <t>2.2.5</t>
        </is>
      </c>
      <c r="B27" s="162" t="inlineStr">
        <is>
          <t>Kärl 660 l (restavfall)</t>
        </is>
      </c>
      <c r="C27" s="162" t="inlineStr"/>
      <c r="D27" s="162" t="inlineStr">
        <is>
          <t>kärl</t>
        </is>
      </c>
      <c r="E27" s="162" t="inlineStr">
        <is>
          <t>2.2</t>
        </is>
      </c>
      <c r="F27" s="162" t="inlineStr">
        <is>
          <t>Hushåll</t>
        </is>
      </c>
      <c r="G27" s="162" t="inlineStr">
        <is>
          <t>Restavfall</t>
        </is>
      </c>
      <c r="H27" s="162" t="inlineStr">
        <is>
          <t>Behållarvolym</t>
        </is>
      </c>
      <c r="I27" s="162" t="inlineStr">
        <is>
          <t>660</t>
        </is>
      </c>
      <c r="J27" s="162" t="inlineStr">
        <is>
          <t>VOLYM/BEHÅLLARE</t>
        </is>
      </c>
      <c r="K27" s="162" t="inlineStr">
        <is>
          <t>1.00</t>
        </is>
      </c>
      <c r="L27" s="162" t="inlineStr">
        <is>
          <t>660, kärl, restavfall</t>
        </is>
      </c>
      <c r="M27" s="162" t="inlineStr"/>
    </row>
    <row r="28">
      <c r="A28" s="162" t="inlineStr">
        <is>
          <t>2.2.5</t>
        </is>
      </c>
      <c r="B28" s="162" t="inlineStr">
        <is>
          <t>Kärl 140 l (matavfall)</t>
        </is>
      </c>
      <c r="C28" s="162" t="inlineStr"/>
      <c r="D28" s="162" t="inlineStr">
        <is>
          <t>kärl</t>
        </is>
      </c>
      <c r="E28" s="162" t="inlineStr">
        <is>
          <t>2.2</t>
        </is>
      </c>
      <c r="F28" s="162" t="inlineStr">
        <is>
          <t>Hushåll</t>
        </is>
      </c>
      <c r="G28" s="162" t="inlineStr">
        <is>
          <t>Matavfall</t>
        </is>
      </c>
      <c r="H28" s="162" t="inlineStr">
        <is>
          <t>Behållarvolym</t>
        </is>
      </c>
      <c r="I28" s="162" t="inlineStr">
        <is>
          <t>140</t>
        </is>
      </c>
      <c r="J28" s="162" t="inlineStr">
        <is>
          <t>VOLYM/BEHÅLLARE</t>
        </is>
      </c>
      <c r="K28" s="162" t="inlineStr">
        <is>
          <t>1.00</t>
        </is>
      </c>
      <c r="L28" s="162" t="inlineStr">
        <is>
          <t>140, kärl, matavfall</t>
        </is>
      </c>
      <c r="M28" s="162" t="inlineStr"/>
    </row>
    <row r="29">
      <c r="A29" s="162" t="inlineStr">
        <is>
          <t>2.2.5</t>
        </is>
      </c>
      <c r="B29" s="162" t="inlineStr">
        <is>
          <t>Bottentömmande behållare (mat-/restavfall)</t>
        </is>
      </c>
      <c r="C29" s="162" t="inlineStr"/>
      <c r="D29" s="162" t="inlineStr"/>
      <c r="E29" s="162" t="inlineStr">
        <is>
          <t>2.2</t>
        </is>
      </c>
      <c r="F29" s="162" t="inlineStr">
        <is>
          <t>Hushåll</t>
        </is>
      </c>
      <c r="G29" s="162" t="inlineStr">
        <is>
          <t>Restavfall</t>
        </is>
      </c>
      <c r="H29" s="162" t="inlineStr"/>
      <c r="I29" s="162" t="inlineStr"/>
      <c r="J29" s="162" t="inlineStr"/>
      <c r="K29" s="162" t="inlineStr">
        <is>
          <t>0.75</t>
        </is>
      </c>
      <c r="L29" s="162" t="inlineStr">
        <is>
          <t>behållare, bottentömmande, mat-, restavfall</t>
        </is>
      </c>
      <c r="M29" s="162" t="inlineStr">
        <is>
          <t>Faktor kunde inte härledas från enhet/text.</t>
        </is>
      </c>
    </row>
    <row r="30">
      <c r="A30" s="162" t="inlineStr">
        <is>
          <t>2.2.5</t>
        </is>
      </c>
      <c r="B30" s="162" t="inlineStr">
        <is>
          <t>Lastväxlarflak (restavfall)</t>
        </is>
      </c>
      <c r="C30" s="162" t="inlineStr"/>
      <c r="D30" s="162" t="inlineStr"/>
      <c r="E30" s="162" t="inlineStr">
        <is>
          <t>2.2</t>
        </is>
      </c>
      <c r="F30" s="162" t="inlineStr">
        <is>
          <t>Hushåll</t>
        </is>
      </c>
      <c r="G30" s="162" t="inlineStr">
        <is>
          <t>Restavfall</t>
        </is>
      </c>
      <c r="H30" s="162" t="inlineStr"/>
      <c r="I30" s="162" t="inlineStr"/>
      <c r="J30" s="162" t="inlineStr"/>
      <c r="K30" s="162" t="inlineStr">
        <is>
          <t>0.75</t>
        </is>
      </c>
      <c r="L30" s="162" t="inlineStr">
        <is>
          <t>lastväxlarflak, restavfall</t>
        </is>
      </c>
      <c r="M30" s="162" t="inlineStr">
        <is>
          <t>Faktor kunde inte härledas från enhet/text.</t>
        </is>
      </c>
    </row>
    <row r="31">
      <c r="A31" s="162" t="inlineStr">
        <is>
          <t>2.2.6</t>
        </is>
      </c>
      <c r="B31" s="162" t="inlineStr">
        <is>
          <t>Kärl 240 l (mat-/restavfall)</t>
        </is>
      </c>
      <c r="C31" s="162" t="inlineStr"/>
      <c r="D31" s="162" t="inlineStr">
        <is>
          <t>kärl</t>
        </is>
      </c>
      <c r="E31" s="162" t="inlineStr">
        <is>
          <t>2.2</t>
        </is>
      </c>
      <c r="F31" s="162" t="inlineStr">
        <is>
          <t>Hushåll</t>
        </is>
      </c>
      <c r="G31" s="162" t="inlineStr">
        <is>
          <t>Restavfall</t>
        </is>
      </c>
      <c r="H31" s="162" t="inlineStr">
        <is>
          <t>Behållarvolym</t>
        </is>
      </c>
      <c r="I31" s="162" t="inlineStr">
        <is>
          <t>240</t>
        </is>
      </c>
      <c r="J31" s="162" t="inlineStr">
        <is>
          <t>VOLYM/BEHÅLLARE</t>
        </is>
      </c>
      <c r="K31" s="162" t="inlineStr">
        <is>
          <t>1.00</t>
        </is>
      </c>
      <c r="L31" s="162" t="inlineStr">
        <is>
          <t>240, kärl, mat-, restavfall</t>
        </is>
      </c>
      <c r="M31" s="162" t="inlineStr"/>
    </row>
    <row r="32">
      <c r="A32" s="162" t="inlineStr">
        <is>
          <t>2.2.6</t>
        </is>
      </c>
      <c r="B32" s="162" t="inlineStr">
        <is>
          <t>Kärl 370 l (restavfall)</t>
        </is>
      </c>
      <c r="C32" s="162" t="inlineStr"/>
      <c r="D32" s="162" t="inlineStr">
        <is>
          <t>kärl</t>
        </is>
      </c>
      <c r="E32" s="162" t="inlineStr">
        <is>
          <t>2.2</t>
        </is>
      </c>
      <c r="F32" s="162" t="inlineStr">
        <is>
          <t>Hushåll</t>
        </is>
      </c>
      <c r="G32" s="162" t="inlineStr">
        <is>
          <t>Restavfall</t>
        </is>
      </c>
      <c r="H32" s="162" t="inlineStr">
        <is>
          <t>Behållarvolym</t>
        </is>
      </c>
      <c r="I32" s="162" t="inlineStr">
        <is>
          <t>370</t>
        </is>
      </c>
      <c r="J32" s="162" t="inlineStr">
        <is>
          <t>VOLYM/BEHÅLLARE</t>
        </is>
      </c>
      <c r="K32" s="162" t="inlineStr">
        <is>
          <t>1.00</t>
        </is>
      </c>
      <c r="L32" s="162" t="inlineStr">
        <is>
          <t>370, kärl, restavfall</t>
        </is>
      </c>
      <c r="M32" s="162" t="inlineStr"/>
    </row>
    <row r="33">
      <c r="A33" s="162" t="inlineStr">
        <is>
          <t>2.2.6</t>
        </is>
      </c>
      <c r="B33" s="162" t="inlineStr">
        <is>
          <t>Kärl 660 l (restavfall)</t>
        </is>
      </c>
      <c r="C33" s="162" t="inlineStr"/>
      <c r="D33" s="162" t="inlineStr">
        <is>
          <t>kärl</t>
        </is>
      </c>
      <c r="E33" s="162" t="inlineStr">
        <is>
          <t>2.2</t>
        </is>
      </c>
      <c r="F33" s="162" t="inlineStr">
        <is>
          <t>Hushåll</t>
        </is>
      </c>
      <c r="G33" s="162" t="inlineStr">
        <is>
          <t>Restavfall</t>
        </is>
      </c>
      <c r="H33" s="162" t="inlineStr">
        <is>
          <t>Behållarvolym</t>
        </is>
      </c>
      <c r="I33" s="162" t="inlineStr">
        <is>
          <t>660</t>
        </is>
      </c>
      <c r="J33" s="162" t="inlineStr">
        <is>
          <t>VOLYM/BEHÅLLARE</t>
        </is>
      </c>
      <c r="K33" s="162" t="inlineStr">
        <is>
          <t>1.00</t>
        </is>
      </c>
      <c r="L33" s="162" t="inlineStr">
        <is>
          <t>660, kärl, restavfall</t>
        </is>
      </c>
      <c r="M33" s="162" t="inlineStr"/>
    </row>
    <row r="34">
      <c r="A34" s="162" t="inlineStr">
        <is>
          <t>2.2.6</t>
        </is>
      </c>
      <c r="B34" s="162" t="inlineStr">
        <is>
          <t>Kärl 140 l (matavfall)</t>
        </is>
      </c>
      <c r="C34" s="162" t="inlineStr"/>
      <c r="D34" s="162" t="inlineStr">
        <is>
          <t>kärl</t>
        </is>
      </c>
      <c r="E34" s="162" t="inlineStr">
        <is>
          <t>2.2</t>
        </is>
      </c>
      <c r="F34" s="162" t="inlineStr">
        <is>
          <t>Hushåll</t>
        </is>
      </c>
      <c r="G34" s="162" t="inlineStr">
        <is>
          <t>Matavfall</t>
        </is>
      </c>
      <c r="H34" s="162" t="inlineStr">
        <is>
          <t>Behållarvolym</t>
        </is>
      </c>
      <c r="I34" s="162" t="inlineStr">
        <is>
          <t>140</t>
        </is>
      </c>
      <c r="J34" s="162" t="inlineStr">
        <is>
          <t>VOLYM/BEHÅLLARE</t>
        </is>
      </c>
      <c r="K34" s="162" t="inlineStr">
        <is>
          <t>1.00</t>
        </is>
      </c>
      <c r="L34" s="162" t="inlineStr">
        <is>
          <t>140, kärl, matavfall</t>
        </is>
      </c>
      <c r="M34" s="162" t="inlineStr"/>
    </row>
    <row r="35">
      <c r="A35" s="162" t="inlineStr">
        <is>
          <t>2.2.6</t>
        </is>
      </c>
      <c r="B35" s="162" t="inlineStr">
        <is>
          <t>Bottentömmande behållare (mat-/restavfall)</t>
        </is>
      </c>
      <c r="C35" s="162" t="inlineStr"/>
      <c r="D35" s="162" t="inlineStr"/>
      <c r="E35" s="162" t="inlineStr">
        <is>
          <t>2.2</t>
        </is>
      </c>
      <c r="F35" s="162" t="inlineStr">
        <is>
          <t>Hushåll</t>
        </is>
      </c>
      <c r="G35" s="162" t="inlineStr">
        <is>
          <t>Restavfall</t>
        </is>
      </c>
      <c r="H35" s="162" t="inlineStr"/>
      <c r="I35" s="162" t="inlineStr"/>
      <c r="J35" s="162" t="inlineStr"/>
      <c r="K35" s="162" t="inlineStr">
        <is>
          <t>0.75</t>
        </is>
      </c>
      <c r="L35" s="162" t="inlineStr">
        <is>
          <t>behållare, bottentömmande, mat-, restavfall</t>
        </is>
      </c>
      <c r="M35" s="162" t="inlineStr">
        <is>
          <t>Faktor kunde inte härledas från enhet/text.</t>
        </is>
      </c>
    </row>
    <row r="36">
      <c r="A36" s="162" t="inlineStr">
        <is>
          <t>2.2.6</t>
        </is>
      </c>
      <c r="B36" s="162" t="inlineStr">
        <is>
          <t>Lastväxlarflak (restavfall)</t>
        </is>
      </c>
      <c r="C36" s="162" t="inlineStr"/>
      <c r="D36" s="162" t="inlineStr"/>
      <c r="E36" s="162" t="inlineStr">
        <is>
          <t>2.2</t>
        </is>
      </c>
      <c r="F36" s="162" t="inlineStr">
        <is>
          <t>Hushåll</t>
        </is>
      </c>
      <c r="G36" s="162" t="inlineStr">
        <is>
          <t>Restavfall</t>
        </is>
      </c>
      <c r="H36" s="162" t="inlineStr"/>
      <c r="I36" s="162" t="inlineStr"/>
      <c r="J36" s="162" t="inlineStr"/>
      <c r="K36" s="162" t="inlineStr">
        <is>
          <t>0.75</t>
        </is>
      </c>
      <c r="L36" s="162" t="inlineStr">
        <is>
          <t>lastväxlarflak, restavfall</t>
        </is>
      </c>
      <c r="M36" s="162" t="inlineStr">
        <is>
          <t>Faktor kunde inte härledas från enhet/text.</t>
        </is>
      </c>
    </row>
    <row r="37">
      <c r="A37" s="162" t="inlineStr">
        <is>
          <t>2.2.7</t>
        </is>
      </c>
      <c r="B37" s="162" t="inlineStr">
        <is>
          <t>Kärl 140 l (kontors-/returpapper)</t>
        </is>
      </c>
      <c r="C37" s="162" t="inlineStr"/>
      <c r="D37" s="162" t="inlineStr">
        <is>
          <t>kärl</t>
        </is>
      </c>
      <c r="E37" s="162" t="inlineStr">
        <is>
          <t>2.2</t>
        </is>
      </c>
      <c r="F37" s="162" t="inlineStr">
        <is>
          <t>Hushåll</t>
        </is>
      </c>
      <c r="G37" s="162" t="inlineStr"/>
      <c r="H37" s="162" t="inlineStr">
        <is>
          <t>Behållarvolym</t>
        </is>
      </c>
      <c r="I37" s="162" t="inlineStr">
        <is>
          <t>140</t>
        </is>
      </c>
      <c r="J37" s="162" t="inlineStr">
        <is>
          <t>VOLYM/BEHÅLLARE</t>
        </is>
      </c>
      <c r="K37" s="162" t="inlineStr">
        <is>
          <t>0.75</t>
        </is>
      </c>
      <c r="L37" s="162" t="inlineStr">
        <is>
          <t>140, kontors-, kärl, returpapper</t>
        </is>
      </c>
      <c r="M37" s="162" t="inlineStr">
        <is>
          <t>Avfallstyp kunde inte härledas.</t>
        </is>
      </c>
    </row>
    <row r="38">
      <c r="A38" s="162" t="inlineStr">
        <is>
          <t>2.2.7</t>
        </is>
      </c>
      <c r="B38" s="162" t="inlineStr">
        <is>
          <t>Egen överlämning av förbrukat kontors-/returpapper enligt anvisning</t>
        </is>
      </c>
      <c r="C38" s="162" t="inlineStr"/>
      <c r="D38" s="162" t="inlineStr"/>
      <c r="E38" s="162" t="inlineStr">
        <is>
          <t>2.2</t>
        </is>
      </c>
      <c r="F38" s="162" t="inlineStr">
        <is>
          <t>Hushåll</t>
        </is>
      </c>
      <c r="G38" s="162" t="inlineStr"/>
      <c r="H38" s="162" t="inlineStr"/>
      <c r="I38" s="162" t="inlineStr"/>
      <c r="J38" s="162" t="inlineStr"/>
      <c r="K38" s="162" t="inlineStr">
        <is>
          <t>0.50</t>
        </is>
      </c>
      <c r="L38" s="162" t="inlineStr">
        <is>
          <t>anvisning, egen, enligt, förbrukat, kontors-, returpapper, överlämning</t>
        </is>
      </c>
      <c r="M38" s="162" t="inlineStr">
        <is>
          <t>Faktor kunde inte härledas från enhet/text. | Avfallstyp kunde inte härledas.</t>
        </is>
      </c>
    </row>
    <row r="39">
      <c r="A39" s="162" t="inlineStr">
        <is>
          <t>2.2.7</t>
        </is>
      </c>
      <c r="B39" s="162" t="inlineStr">
        <is>
          <t>Egen överlämning av förbrukat matfett enligt anvisning</t>
        </is>
      </c>
      <c r="C39" s="162" t="inlineStr"/>
      <c r="D39" s="162" t="inlineStr"/>
      <c r="E39" s="162" t="inlineStr">
        <is>
          <t>2.2</t>
        </is>
      </c>
      <c r="F39" s="162" t="inlineStr">
        <is>
          <t>Hushåll</t>
        </is>
      </c>
      <c r="G39" s="162" t="inlineStr"/>
      <c r="H39" s="162" t="inlineStr"/>
      <c r="I39" s="162" t="inlineStr"/>
      <c r="J39" s="162" t="inlineStr"/>
      <c r="K39" s="162" t="inlineStr">
        <is>
          <t>0.50</t>
        </is>
      </c>
      <c r="L39" s="162" t="inlineStr">
        <is>
          <t>anvisning, egen, enligt, förbrukat, matfett, överlämning</t>
        </is>
      </c>
      <c r="M39" s="162" t="inlineStr">
        <is>
          <t>Faktor kunde inte härledas från enhet/text. | Avfallstyp kunde inte härledas.</t>
        </is>
      </c>
    </row>
    <row r="40">
      <c r="A40" s="162" t="inlineStr">
        <is>
          <t>2.3</t>
        </is>
      </c>
      <c r="B40" s="162" t="inlineStr">
        <is>
          <t>Viktavgift matavfall</t>
        </is>
      </c>
      <c r="C40" s="162" t="inlineStr"/>
      <c r="D40" s="162" t="inlineStr"/>
      <c r="E40" s="162" t="inlineStr">
        <is>
          <t>2.3</t>
        </is>
      </c>
      <c r="F40" s="162" t="inlineStr">
        <is>
          <t>Hushåll</t>
        </is>
      </c>
      <c r="G40" s="162" t="inlineStr">
        <is>
          <t>Matavfall</t>
        </is>
      </c>
      <c r="H40" s="162" t="inlineStr"/>
      <c r="I40" s="162" t="inlineStr"/>
      <c r="J40" s="162" t="inlineStr"/>
      <c r="K40" s="162" t="inlineStr">
        <is>
          <t>0.75</t>
        </is>
      </c>
      <c r="L40" s="162" t="inlineStr">
        <is>
          <t>matavfall, viktavgift</t>
        </is>
      </c>
      <c r="M40" s="162" t="inlineStr">
        <is>
          <t>Faktor kunde inte härledas från enhet/text.</t>
        </is>
      </c>
    </row>
    <row r="41">
      <c r="A41" s="162" t="inlineStr">
        <is>
          <t>2.3</t>
        </is>
      </c>
      <c r="B41" s="162" t="inlineStr">
        <is>
          <t>Viktavgift restavfall</t>
        </is>
      </c>
      <c r="C41" s="162" t="inlineStr"/>
      <c r="D41" s="162" t="inlineStr"/>
      <c r="E41" s="162" t="inlineStr">
        <is>
          <t>2.3</t>
        </is>
      </c>
      <c r="F41" s="162" t="inlineStr">
        <is>
          <t>Hushåll</t>
        </is>
      </c>
      <c r="G41" s="162" t="inlineStr">
        <is>
          <t>Restavfall</t>
        </is>
      </c>
      <c r="H41" s="162" t="inlineStr"/>
      <c r="I41" s="162" t="inlineStr"/>
      <c r="J41" s="162" t="inlineStr"/>
      <c r="K41" s="162" t="inlineStr">
        <is>
          <t>0.75</t>
        </is>
      </c>
      <c r="L41" s="162" t="inlineStr">
        <is>
          <t>restavfall, viktavgift</t>
        </is>
      </c>
      <c r="M41" s="162" t="inlineStr">
        <is>
          <t>Faktor kunde inte härledas från enhet/text.</t>
        </is>
      </c>
    </row>
    <row r="42">
      <c r="A42" s="162" t="inlineStr">
        <is>
          <t>2.3</t>
        </is>
      </c>
      <c r="B42" s="162" t="inlineStr">
        <is>
          <t>Lyftavgift kärl</t>
        </is>
      </c>
      <c r="C42" s="162" t="inlineStr"/>
      <c r="D42" s="162" t="inlineStr">
        <is>
          <t>kärl</t>
        </is>
      </c>
      <c r="E42" s="162" t="inlineStr">
        <is>
          <t>2.3</t>
        </is>
      </c>
      <c r="F42" s="162" t="inlineStr">
        <is>
          <t>Hushåll</t>
        </is>
      </c>
      <c r="G42" s="162" t="inlineStr"/>
      <c r="H42" s="162" t="inlineStr"/>
      <c r="I42" s="162" t="inlineStr"/>
      <c r="J42" s="162" t="inlineStr"/>
      <c r="K42" s="162" t="inlineStr">
        <is>
          <t>0.50</t>
        </is>
      </c>
      <c r="L42" s="162" t="inlineStr">
        <is>
          <t>kärl, lyftavgift</t>
        </is>
      </c>
      <c r="M42" s="162" t="inlineStr">
        <is>
          <t>Faktor kunde inte härledas från enhet/text. | Avfallstyp kunde inte härledas.</t>
        </is>
      </c>
    </row>
    <row r="43">
      <c r="A43" s="162" t="inlineStr">
        <is>
          <t>2.4.1</t>
        </is>
      </c>
      <c r="B43" s="162" t="inlineStr">
        <is>
          <t>Fakturavgift</t>
        </is>
      </c>
      <c r="C43" s="162" t="inlineStr"/>
      <c r="D43" s="162" t="inlineStr"/>
      <c r="E43" s="162" t="inlineStr">
        <is>
          <t>2.4</t>
        </is>
      </c>
      <c r="F43" s="162" t="inlineStr">
        <is>
          <t>Hushåll</t>
        </is>
      </c>
      <c r="G43" s="162" t="inlineStr"/>
      <c r="H43" s="162" t="inlineStr"/>
      <c r="I43" s="162" t="inlineStr"/>
      <c r="J43" s="162" t="inlineStr"/>
      <c r="K43" s="162" t="inlineStr">
        <is>
          <t>0.50</t>
        </is>
      </c>
      <c r="L43" s="162" t="inlineStr">
        <is>
          <t>fakturavgift</t>
        </is>
      </c>
      <c r="M43" s="162" t="inlineStr">
        <is>
          <t>Faktor kunde inte härledas från enhet/text. | Avfallstyp kunde inte härledas.</t>
        </is>
      </c>
    </row>
    <row r="44">
      <c r="A44" s="162" t="inlineStr">
        <is>
          <t>2.4.2</t>
        </is>
      </c>
      <c r="B44" s="162" t="inlineStr">
        <is>
          <t>Delat kärl 240 l matavfall 40 kg</t>
        </is>
      </c>
      <c r="C44" s="162" t="inlineStr"/>
      <c r="D44" s="162" t="inlineStr">
        <is>
          <t>kilogram</t>
        </is>
      </c>
      <c r="E44" s="162" t="inlineStr">
        <is>
          <t>2.4</t>
        </is>
      </c>
      <c r="F44" s="162" t="inlineStr">
        <is>
          <t>Hushåll</t>
        </is>
      </c>
      <c r="G44" s="162" t="inlineStr">
        <is>
          <t>Matavfall</t>
        </is>
      </c>
      <c r="H44" s="162" t="inlineStr">
        <is>
          <t>Vikt</t>
        </is>
      </c>
      <c r="I44" s="162" t="inlineStr">
        <is>
          <t>240</t>
        </is>
      </c>
      <c r="J44" s="162" t="inlineStr">
        <is>
          <t>VIKG</t>
        </is>
      </c>
      <c r="K44" s="162" t="inlineStr">
        <is>
          <t>1.00</t>
        </is>
      </c>
      <c r="L44" s="162" t="inlineStr">
        <is>
          <t>240, delat, kilogram, kärl, matavfall</t>
        </is>
      </c>
      <c r="M44" s="162" t="inlineStr"/>
    </row>
    <row r="45">
      <c r="A45" s="162" t="inlineStr">
        <is>
          <t>2.4.2</t>
        </is>
      </c>
      <c r="B45" s="162" t="inlineStr">
        <is>
          <t>Delat kärl 240 l restavfall 40 kg</t>
        </is>
      </c>
      <c r="C45" s="162" t="inlineStr"/>
      <c r="D45" s="162" t="inlineStr">
        <is>
          <t>kilogram</t>
        </is>
      </c>
      <c r="E45" s="162" t="inlineStr">
        <is>
          <t>2.4</t>
        </is>
      </c>
      <c r="F45" s="162" t="inlineStr">
        <is>
          <t>Hushåll</t>
        </is>
      </c>
      <c r="G45" s="162" t="inlineStr">
        <is>
          <t>Restavfall</t>
        </is>
      </c>
      <c r="H45" s="162" t="inlineStr">
        <is>
          <t>Vikt</t>
        </is>
      </c>
      <c r="I45" s="162" t="inlineStr">
        <is>
          <t>240</t>
        </is>
      </c>
      <c r="J45" s="162" t="inlineStr">
        <is>
          <t>VIKG</t>
        </is>
      </c>
      <c r="K45" s="162" t="inlineStr">
        <is>
          <t>1.00</t>
        </is>
      </c>
      <c r="L45" s="162" t="inlineStr">
        <is>
          <t>240, delat, kilogram, kärl, restavfall</t>
        </is>
      </c>
      <c r="M45" s="162" t="inlineStr"/>
    </row>
    <row r="46">
      <c r="A46" s="162" t="inlineStr">
        <is>
          <t>2.4.2</t>
        </is>
      </c>
      <c r="B46" s="162" t="inlineStr">
        <is>
          <t>Extra kärl 140 l matavfall 60 kg</t>
        </is>
      </c>
      <c r="C46" s="162" t="inlineStr"/>
      <c r="D46" s="162" t="inlineStr">
        <is>
          <t>kilogram</t>
        </is>
      </c>
      <c r="E46" s="162" t="inlineStr">
        <is>
          <t>2.4</t>
        </is>
      </c>
      <c r="F46" s="162" t="inlineStr">
        <is>
          <t>Hushåll</t>
        </is>
      </c>
      <c r="G46" s="162" t="inlineStr">
        <is>
          <t>Matavfall</t>
        </is>
      </c>
      <c r="H46" s="162" t="inlineStr">
        <is>
          <t>Vikt</t>
        </is>
      </c>
      <c r="I46" s="162" t="inlineStr">
        <is>
          <t>140</t>
        </is>
      </c>
      <c r="J46" s="162" t="inlineStr">
        <is>
          <t>VIKG</t>
        </is>
      </c>
      <c r="K46" s="162" t="inlineStr">
        <is>
          <t>1.00</t>
        </is>
      </c>
      <c r="L46" s="162" t="inlineStr">
        <is>
          <t>140, extra, kilogram, kärl, matavfall</t>
        </is>
      </c>
      <c r="M46" s="162" t="inlineStr"/>
    </row>
    <row r="47">
      <c r="A47" s="162" t="inlineStr">
        <is>
          <t>2.4.2</t>
        </is>
      </c>
      <c r="B47" s="162" t="inlineStr">
        <is>
          <t>Extra kärl 140-190 l restavfall 60 kg</t>
        </is>
      </c>
      <c r="C47" s="162" t="inlineStr"/>
      <c r="D47" s="162" t="inlineStr">
        <is>
          <t>kilogram</t>
        </is>
      </c>
      <c r="E47" s="162" t="inlineStr">
        <is>
          <t>2.4</t>
        </is>
      </c>
      <c r="F47" s="162" t="inlineStr">
        <is>
          <t>Hushåll</t>
        </is>
      </c>
      <c r="G47" s="162" t="inlineStr">
        <is>
          <t>Restavfall</t>
        </is>
      </c>
      <c r="H47" s="162" t="inlineStr">
        <is>
          <t>Vikt</t>
        </is>
      </c>
      <c r="I47" s="162" t="inlineStr">
        <is>
          <t>190</t>
        </is>
      </c>
      <c r="J47" s="162" t="inlineStr">
        <is>
          <t>VIKG</t>
        </is>
      </c>
      <c r="K47" s="162" t="inlineStr">
        <is>
          <t>1.00</t>
        </is>
      </c>
      <c r="L47" s="162" t="inlineStr">
        <is>
          <t>140-190, extra, kilogram, kärl, restavfall</t>
        </is>
      </c>
      <c r="M47" s="162" t="inlineStr"/>
    </row>
    <row r="48">
      <c r="A48" s="162" t="inlineStr">
        <is>
          <t>2.4.2</t>
        </is>
      </c>
      <c r="B48" s="162" t="inlineStr">
        <is>
          <t>Kärl 370 l restavfall 60 kg</t>
        </is>
      </c>
      <c r="C48" s="162" t="inlineStr"/>
      <c r="D48" s="162" t="inlineStr">
        <is>
          <t>kilogram</t>
        </is>
      </c>
      <c r="E48" s="162" t="inlineStr">
        <is>
          <t>2.4</t>
        </is>
      </c>
      <c r="F48" s="162" t="inlineStr">
        <is>
          <t>Hushåll</t>
        </is>
      </c>
      <c r="G48" s="162" t="inlineStr">
        <is>
          <t>Restavfall</t>
        </is>
      </c>
      <c r="H48" s="162" t="inlineStr">
        <is>
          <t>Vikt</t>
        </is>
      </c>
      <c r="I48" s="162" t="inlineStr">
        <is>
          <t>370</t>
        </is>
      </c>
      <c r="J48" s="162" t="inlineStr">
        <is>
          <t>VIKG</t>
        </is>
      </c>
      <c r="K48" s="162" t="inlineStr">
        <is>
          <t>1.00</t>
        </is>
      </c>
      <c r="L48" s="162" t="inlineStr">
        <is>
          <t>370, kilogram, kärl, restavfall</t>
        </is>
      </c>
      <c r="M48" s="162" t="inlineStr"/>
    </row>
    <row r="49">
      <c r="A49" s="162" t="inlineStr">
        <is>
          <t>2.4.2</t>
        </is>
      </c>
      <c r="B49" s="162" t="inlineStr">
        <is>
          <t>Kärl 660 l restavfall 100 kg</t>
        </is>
      </c>
      <c r="C49" s="162" t="inlineStr"/>
      <c r="D49" s="162" t="inlineStr">
        <is>
          <t>kilogram</t>
        </is>
      </c>
      <c r="E49" s="162" t="inlineStr">
        <is>
          <t>2.4</t>
        </is>
      </c>
      <c r="F49" s="162" t="inlineStr">
        <is>
          <t>Hushåll</t>
        </is>
      </c>
      <c r="G49" s="162" t="inlineStr">
        <is>
          <t>Restavfall</t>
        </is>
      </c>
      <c r="H49" s="162" t="inlineStr">
        <is>
          <t>Vikt</t>
        </is>
      </c>
      <c r="I49" s="162" t="inlineStr">
        <is>
          <t>660</t>
        </is>
      </c>
      <c r="J49" s="162" t="inlineStr">
        <is>
          <t>VIKG</t>
        </is>
      </c>
      <c r="K49" s="162" t="inlineStr">
        <is>
          <t>1.00</t>
        </is>
      </c>
      <c r="L49" s="162" t="inlineStr">
        <is>
          <t>100, 660, kilogram, kärl, restavfall</t>
        </is>
      </c>
      <c r="M49" s="162" t="inlineStr"/>
    </row>
    <row r="50">
      <c r="A50" s="162" t="inlineStr">
        <is>
          <t>2.4.3</t>
        </is>
      </c>
      <c r="B50" s="162" t="inlineStr">
        <is>
          <t>Överfullt kärl</t>
        </is>
      </c>
      <c r="C50" s="162" t="inlineStr"/>
      <c r="D50" s="162" t="inlineStr">
        <is>
          <t>kärl</t>
        </is>
      </c>
      <c r="E50" s="162" t="inlineStr">
        <is>
          <t>2.4</t>
        </is>
      </c>
      <c r="F50" s="162" t="inlineStr">
        <is>
          <t>Hushåll</t>
        </is>
      </c>
      <c r="G50" s="162" t="inlineStr"/>
      <c r="H50" s="162" t="inlineStr"/>
      <c r="I50" s="162" t="inlineStr"/>
      <c r="J50" s="162" t="inlineStr"/>
      <c r="K50" s="162" t="inlineStr">
        <is>
          <t>0.50</t>
        </is>
      </c>
      <c r="L50" s="162" t="inlineStr">
        <is>
          <t>kärl, överfullt</t>
        </is>
      </c>
      <c r="M50" s="162" t="inlineStr">
        <is>
          <t>Faktor kunde inte härledas från enhet/text. | Avfallstyp kunde inte härledas.</t>
        </is>
      </c>
    </row>
    <row r="51">
      <c r="A51" s="162" t="inlineStr">
        <is>
          <t>2.4.3</t>
        </is>
      </c>
      <c r="B51" s="162" t="inlineStr">
        <is>
          <t>Överfull bottentömmande behållare</t>
        </is>
      </c>
      <c r="C51" s="162" t="inlineStr"/>
      <c r="D51" s="162" t="inlineStr"/>
      <c r="E51" s="162" t="inlineStr">
        <is>
          <t>2.4</t>
        </is>
      </c>
      <c r="F51" s="162" t="inlineStr">
        <is>
          <t>Hushåll</t>
        </is>
      </c>
      <c r="G51" s="162" t="inlineStr"/>
      <c r="H51" s="162" t="inlineStr"/>
      <c r="I51" s="162" t="inlineStr"/>
      <c r="J51" s="162" t="inlineStr"/>
      <c r="K51" s="162" t="inlineStr">
        <is>
          <t>0.50</t>
        </is>
      </c>
      <c r="L51" s="162" t="inlineStr">
        <is>
          <t>behållare, bottentömmande, överfull</t>
        </is>
      </c>
      <c r="M51" s="162" t="inlineStr">
        <is>
          <t>Faktor kunde inte härledas från enhet/text. | Avfallstyp kunde inte härledas.</t>
        </is>
      </c>
    </row>
    <row r="52">
      <c r="A52" s="162" t="inlineStr">
        <is>
          <t>2.4.4</t>
        </is>
      </c>
      <c r="B52" s="162" t="inlineStr">
        <is>
          <t>Byte av trasigt kärl vid oaktsamhet</t>
        </is>
      </c>
      <c r="C52" s="162" t="inlineStr"/>
      <c r="D52" s="162" t="inlineStr">
        <is>
          <t>kärl</t>
        </is>
      </c>
      <c r="E52" s="162" t="inlineStr">
        <is>
          <t>2.4</t>
        </is>
      </c>
      <c r="F52" s="162" t="inlineStr">
        <is>
          <t>Hushåll</t>
        </is>
      </c>
      <c r="G52" s="162" t="inlineStr"/>
      <c r="H52" s="162" t="inlineStr"/>
      <c r="I52" s="162" t="inlineStr"/>
      <c r="J52" s="162" t="inlineStr"/>
      <c r="K52" s="162" t="inlineStr">
        <is>
          <t>0.50</t>
        </is>
      </c>
      <c r="L52" s="162" t="inlineStr">
        <is>
          <t>byte, kärl, oaktsamhet, trasigt, vid</t>
        </is>
      </c>
      <c r="M52" s="162" t="inlineStr">
        <is>
          <t>Faktor kunde inte härledas från enhet/text. | Avfallstyp kunde inte härledas.</t>
        </is>
      </c>
    </row>
    <row r="53">
      <c r="A53" s="162" t="inlineStr">
        <is>
          <t>2.4.5</t>
        </is>
      </c>
      <c r="B53" s="162" t="inlineStr">
        <is>
          <t>Byte/återtag av kärl en (1) ggr/år 140–240 liter</t>
        </is>
      </c>
      <c r="C53" s="162" t="inlineStr"/>
      <c r="D53" s="162" t="inlineStr">
        <is>
          <t>liter</t>
        </is>
      </c>
      <c r="E53" s="162" t="inlineStr">
        <is>
          <t>2.4</t>
        </is>
      </c>
      <c r="F53" s="162" t="inlineStr">
        <is>
          <t>Hushåll</t>
        </is>
      </c>
      <c r="G53" s="162" t="inlineStr"/>
      <c r="H53" s="162" t="inlineStr">
        <is>
          <t>Behållarvolym</t>
        </is>
      </c>
      <c r="I53" s="162" t="inlineStr">
        <is>
          <t>240</t>
        </is>
      </c>
      <c r="J53" s="162" t="inlineStr">
        <is>
          <t>VOLYM/BEHÅLLARE</t>
        </is>
      </c>
      <c r="K53" s="162" t="inlineStr">
        <is>
          <t>0.75</t>
        </is>
      </c>
      <c r="L53" s="162" t="inlineStr">
        <is>
          <t>140-240, byte, ggr, kärl, liter, återtag</t>
        </is>
      </c>
      <c r="M53" s="162" t="inlineStr">
        <is>
          <t>Avfallstyp kunde inte härledas.</t>
        </is>
      </c>
    </row>
    <row r="54">
      <c r="A54" s="162" t="inlineStr">
        <is>
          <t>2.4.5</t>
        </is>
      </c>
      <c r="B54" s="162" t="inlineStr">
        <is>
          <t>Byte/återtag av kärl en (1) ggr/år 370–660 liter</t>
        </is>
      </c>
      <c r="C54" s="162" t="inlineStr"/>
      <c r="D54" s="162" t="inlineStr">
        <is>
          <t>liter</t>
        </is>
      </c>
      <c r="E54" s="162" t="inlineStr">
        <is>
          <t>2.4</t>
        </is>
      </c>
      <c r="F54" s="162" t="inlineStr">
        <is>
          <t>Hushåll</t>
        </is>
      </c>
      <c r="G54" s="162" t="inlineStr"/>
      <c r="H54" s="162" t="inlineStr">
        <is>
          <t>Behållarvolym</t>
        </is>
      </c>
      <c r="I54" s="162" t="inlineStr">
        <is>
          <t>660</t>
        </is>
      </c>
      <c r="J54" s="162" t="inlineStr">
        <is>
          <t>VOLYM/BEHÅLLARE</t>
        </is>
      </c>
      <c r="K54" s="162" t="inlineStr">
        <is>
          <t>0.75</t>
        </is>
      </c>
      <c r="L54" s="162" t="inlineStr">
        <is>
          <t>370-660, byte, ggr, kärl, liter, återtag</t>
        </is>
      </c>
      <c r="M54" s="162" t="inlineStr">
        <is>
          <t>Avfallstyp kunde inte härledas.</t>
        </is>
      </c>
    </row>
    <row r="55">
      <c r="A55" s="162" t="inlineStr">
        <is>
          <t>2.4.5</t>
        </is>
      </c>
      <c r="B55" s="162" t="inlineStr">
        <is>
          <t>Ytterligare byte av kärl under kalenderåret</t>
        </is>
      </c>
      <c r="C55" s="162" t="inlineStr"/>
      <c r="D55" s="162" t="inlineStr">
        <is>
          <t>kärl</t>
        </is>
      </c>
      <c r="E55" s="162" t="inlineStr">
        <is>
          <t>2.4</t>
        </is>
      </c>
      <c r="F55" s="162" t="inlineStr">
        <is>
          <t>Hushåll</t>
        </is>
      </c>
      <c r="G55" s="162" t="inlineStr"/>
      <c r="H55" s="162" t="inlineStr"/>
      <c r="I55" s="162" t="inlineStr"/>
      <c r="J55" s="162" t="inlineStr"/>
      <c r="K55" s="162" t="inlineStr">
        <is>
          <t>0.50</t>
        </is>
      </c>
      <c r="L55" s="162" t="inlineStr">
        <is>
          <t>byte, kalenderåret, kärl, under, ytterligare</t>
        </is>
      </c>
      <c r="M55" s="162" t="inlineStr">
        <is>
          <t>Faktor kunde inte härledas från enhet/text. | Avfallstyp kunde inte härledas.</t>
        </is>
      </c>
    </row>
    <row r="56">
      <c r="A56" s="162" t="inlineStr">
        <is>
          <t>2.4.6</t>
        </is>
      </c>
      <c r="B56" s="162" t="inlineStr">
        <is>
          <t>Kärl</t>
        </is>
      </c>
      <c r="C56" s="162" t="inlineStr"/>
      <c r="D56" s="162" t="inlineStr">
        <is>
          <t>kärl</t>
        </is>
      </c>
      <c r="E56" s="162" t="inlineStr">
        <is>
          <t>2.4</t>
        </is>
      </c>
      <c r="F56" s="162" t="inlineStr">
        <is>
          <t>Hushåll</t>
        </is>
      </c>
      <c r="G56" s="162" t="inlineStr"/>
      <c r="H56" s="162" t="inlineStr"/>
      <c r="I56" s="162" t="inlineStr"/>
      <c r="J56" s="162" t="inlineStr"/>
      <c r="K56" s="162" t="inlineStr">
        <is>
          <t>0.50</t>
        </is>
      </c>
      <c r="L56" s="162" t="inlineStr">
        <is>
          <t>kärl</t>
        </is>
      </c>
      <c r="M56" s="162" t="inlineStr">
        <is>
          <t>Faktor kunde inte härledas från enhet/text. | Avfallstyp kunde inte härledas.</t>
        </is>
      </c>
    </row>
    <row r="57">
      <c r="A57" s="162" t="inlineStr">
        <is>
          <t>2.4.6</t>
        </is>
      </c>
      <c r="B57" s="162" t="inlineStr">
        <is>
          <t>Bottentömmande behållare</t>
        </is>
      </c>
      <c r="C57" s="162" t="inlineStr"/>
      <c r="D57" s="162" t="inlineStr"/>
      <c r="E57" s="162" t="inlineStr">
        <is>
          <t>2.4</t>
        </is>
      </c>
      <c r="F57" s="162" t="inlineStr">
        <is>
          <t>Hushåll</t>
        </is>
      </c>
      <c r="G57" s="162" t="inlineStr"/>
      <c r="H57" s="162" t="inlineStr"/>
      <c r="I57" s="162" t="inlineStr"/>
      <c r="J57" s="162" t="inlineStr"/>
      <c r="K57" s="162" t="inlineStr">
        <is>
          <t>0.50</t>
        </is>
      </c>
      <c r="L57" s="162" t="inlineStr">
        <is>
          <t>behållare, bottentömmande</t>
        </is>
      </c>
      <c r="M57" s="162" t="inlineStr">
        <is>
          <t>Faktor kunde inte härledas från enhet/text. | Avfallstyp kunde inte härledas.</t>
        </is>
      </c>
    </row>
    <row r="58">
      <c r="A58" s="162" t="inlineStr">
        <is>
          <t>2.4.7</t>
        </is>
      </c>
      <c r="B58" s="162" t="inlineStr">
        <is>
          <t>Kärl 140-660 L 1,5-10</t>
        </is>
      </c>
      <c r="C58" s="162" t="inlineStr"/>
      <c r="D58" s="162" t="inlineStr">
        <is>
          <t>kärl</t>
        </is>
      </c>
      <c r="E58" s="162" t="inlineStr">
        <is>
          <t>2.4</t>
        </is>
      </c>
      <c r="F58" s="162" t="inlineStr">
        <is>
          <t>Hushåll</t>
        </is>
      </c>
      <c r="G58" s="162" t="inlineStr"/>
      <c r="H58" s="162" t="inlineStr">
        <is>
          <t>Behållarvolym</t>
        </is>
      </c>
      <c r="I58" s="162" t="inlineStr">
        <is>
          <t>660</t>
        </is>
      </c>
      <c r="J58" s="162" t="inlineStr">
        <is>
          <t>VOLYM/BEHÅLLARE</t>
        </is>
      </c>
      <c r="K58" s="162" t="inlineStr">
        <is>
          <t>0.75</t>
        </is>
      </c>
      <c r="L58" s="162" t="inlineStr">
        <is>
          <t>140-660, 5-10, kärl</t>
        </is>
      </c>
      <c r="M58" s="162" t="inlineStr">
        <is>
          <t>Avfallstyp kunde inte härledas.</t>
        </is>
      </c>
    </row>
    <row r="59">
      <c r="A59" s="162" t="inlineStr">
        <is>
          <t>2.4.7</t>
        </is>
      </c>
      <c r="B59" s="162" t="inlineStr">
        <is>
          <t>Kärl 140-660 L 10-20</t>
        </is>
      </c>
      <c r="C59" s="162" t="inlineStr"/>
      <c r="D59" s="162" t="inlineStr">
        <is>
          <t>kärl</t>
        </is>
      </c>
      <c r="E59" s="162" t="inlineStr">
        <is>
          <t>2.4</t>
        </is>
      </c>
      <c r="F59" s="162" t="inlineStr">
        <is>
          <t>Hushåll</t>
        </is>
      </c>
      <c r="G59" s="162" t="inlineStr"/>
      <c r="H59" s="162" t="inlineStr">
        <is>
          <t>Behållarvolym</t>
        </is>
      </c>
      <c r="I59" s="162" t="inlineStr">
        <is>
          <t>660</t>
        </is>
      </c>
      <c r="J59" s="162" t="inlineStr">
        <is>
          <t>VOLYM/BEHÅLLARE</t>
        </is>
      </c>
      <c r="K59" s="162" t="inlineStr">
        <is>
          <t>0.75</t>
        </is>
      </c>
      <c r="L59" s="162" t="inlineStr">
        <is>
          <t>10-20, 140-660, kärl</t>
        </is>
      </c>
      <c r="M59" s="162" t="inlineStr">
        <is>
          <t>Avfallstyp kunde inte härledas.</t>
        </is>
      </c>
    </row>
    <row r="60">
      <c r="A60" s="162" t="inlineStr">
        <is>
          <t>2.4.7</t>
        </is>
      </c>
      <c r="B60" s="162" t="inlineStr">
        <is>
          <t>Kärl 140-660 L 20-30</t>
        </is>
      </c>
      <c r="C60" s="162" t="inlineStr"/>
      <c r="D60" s="162" t="inlineStr">
        <is>
          <t>kärl</t>
        </is>
      </c>
      <c r="E60" s="162" t="inlineStr">
        <is>
          <t>2.4</t>
        </is>
      </c>
      <c r="F60" s="162" t="inlineStr">
        <is>
          <t>Hushåll</t>
        </is>
      </c>
      <c r="G60" s="162" t="inlineStr"/>
      <c r="H60" s="162" t="inlineStr">
        <is>
          <t>Behållarvolym</t>
        </is>
      </c>
      <c r="I60" s="162" t="inlineStr">
        <is>
          <t>660</t>
        </is>
      </c>
      <c r="J60" s="162" t="inlineStr">
        <is>
          <t>VOLYM/BEHÅLLARE</t>
        </is>
      </c>
      <c r="K60" s="162" t="inlineStr">
        <is>
          <t>0.75</t>
        </is>
      </c>
      <c r="L60" s="162" t="inlineStr">
        <is>
          <t>140-660, 20-30, kärl</t>
        </is>
      </c>
      <c r="M60" s="162" t="inlineStr">
        <is>
          <t>Avfallstyp kunde inte härledas.</t>
        </is>
      </c>
    </row>
    <row r="61">
      <c r="A61" s="162" t="inlineStr">
        <is>
          <t>2.4.7</t>
        </is>
      </c>
      <c r="B61" s="162" t="inlineStr">
        <is>
          <t>Avfallsport/dörr</t>
        </is>
      </c>
      <c r="C61" s="162" t="inlineStr"/>
      <c r="D61" s="162" t="inlineStr"/>
      <c r="E61" s="162" t="inlineStr">
        <is>
          <t>2.4</t>
        </is>
      </c>
      <c r="F61" s="162" t="inlineStr">
        <is>
          <t>Hushåll</t>
        </is>
      </c>
      <c r="G61" s="162" t="inlineStr"/>
      <c r="H61" s="162" t="inlineStr"/>
      <c r="I61" s="162" t="inlineStr"/>
      <c r="J61" s="162" t="inlineStr"/>
      <c r="K61" s="162" t="inlineStr">
        <is>
          <t>0.50</t>
        </is>
      </c>
      <c r="L61" s="162" t="inlineStr">
        <is>
          <t>avfallsport, dörr</t>
        </is>
      </c>
      <c r="M61" s="162" t="inlineStr">
        <is>
          <t>Faktor kunde inte härledas från enhet/text. | Avfallstyp kunde inte härledas.</t>
        </is>
      </c>
    </row>
    <row r="62">
      <c r="A62" s="162" t="inlineStr">
        <is>
          <t>2.4.7</t>
        </is>
      </c>
      <c r="B62" s="162" t="inlineStr">
        <is>
          <t>Låst dörr, med kod</t>
        </is>
      </c>
      <c r="C62" s="162" t="inlineStr"/>
      <c r="D62" s="162" t="inlineStr"/>
      <c r="E62" s="162" t="inlineStr">
        <is>
          <t>2.4</t>
        </is>
      </c>
      <c r="F62" s="162" t="inlineStr">
        <is>
          <t>Hushåll</t>
        </is>
      </c>
      <c r="G62" s="162" t="inlineStr"/>
      <c r="H62" s="162" t="inlineStr"/>
      <c r="I62" s="162" t="inlineStr"/>
      <c r="J62" s="162" t="inlineStr"/>
      <c r="K62" s="162" t="inlineStr">
        <is>
          <t>0.50</t>
        </is>
      </c>
      <c r="L62" s="162" t="inlineStr">
        <is>
          <t>dörr, kod, låst</t>
        </is>
      </c>
      <c r="M62" s="162" t="inlineStr">
        <is>
          <t>Faktor kunde inte härledas från enhet/text. | Avfallstyp kunde inte härledas.</t>
        </is>
      </c>
    </row>
    <row r="63">
      <c r="A63" s="162" t="inlineStr">
        <is>
          <t>2.4.8</t>
        </is>
      </c>
      <c r="B63" s="162" t="inlineStr">
        <is>
          <t>Kärl 140 l matavfall</t>
        </is>
      </c>
      <c r="C63" s="162" t="inlineStr"/>
      <c r="D63" s="162" t="inlineStr">
        <is>
          <t>kärl</t>
        </is>
      </c>
      <c r="E63" s="162" t="inlineStr">
        <is>
          <t>2.4</t>
        </is>
      </c>
      <c r="F63" s="162" t="inlineStr">
        <is>
          <t>Hushåll</t>
        </is>
      </c>
      <c r="G63" s="162" t="inlineStr">
        <is>
          <t>Matavfall</t>
        </is>
      </c>
      <c r="H63" s="162" t="inlineStr">
        <is>
          <t>Behållarvolym</t>
        </is>
      </c>
      <c r="I63" s="162" t="inlineStr">
        <is>
          <t>140</t>
        </is>
      </c>
      <c r="J63" s="162" t="inlineStr">
        <is>
          <t>VOLYM/BEHÅLLARE</t>
        </is>
      </c>
      <c r="K63" s="162" t="inlineStr">
        <is>
          <t>1.00</t>
        </is>
      </c>
      <c r="L63" s="162" t="inlineStr">
        <is>
          <t>140, kärl, matavfall</t>
        </is>
      </c>
      <c r="M63" s="162" t="inlineStr"/>
    </row>
    <row r="64">
      <c r="A64" s="162" t="inlineStr">
        <is>
          <t>2.4.8</t>
        </is>
      </c>
      <c r="B64" s="162" t="inlineStr">
        <is>
          <t>Kärl 190 l restavfall</t>
        </is>
      </c>
      <c r="C64" s="162" t="inlineStr"/>
      <c r="D64" s="162" t="inlineStr">
        <is>
          <t>kärl</t>
        </is>
      </c>
      <c r="E64" s="162" t="inlineStr">
        <is>
          <t>2.4</t>
        </is>
      </c>
      <c r="F64" s="162" t="inlineStr">
        <is>
          <t>Hushåll</t>
        </is>
      </c>
      <c r="G64" s="162" t="inlineStr">
        <is>
          <t>Restavfall</t>
        </is>
      </c>
      <c r="H64" s="162" t="inlineStr">
        <is>
          <t>Behållarvolym</t>
        </is>
      </c>
      <c r="I64" s="162" t="inlineStr">
        <is>
          <t>190</t>
        </is>
      </c>
      <c r="J64" s="162" t="inlineStr">
        <is>
          <t>VOLYM/BEHÅLLARE</t>
        </is>
      </c>
      <c r="K64" s="162" t="inlineStr">
        <is>
          <t>1.00</t>
        </is>
      </c>
      <c r="L64" s="162" t="inlineStr">
        <is>
          <t>190, kärl, restavfall</t>
        </is>
      </c>
      <c r="M64" s="162" t="inlineStr"/>
    </row>
    <row r="65">
      <c r="A65" s="162" t="inlineStr">
        <is>
          <t>2.4.8</t>
        </is>
      </c>
      <c r="B65" s="162" t="inlineStr">
        <is>
          <t>Kärl 370 l restavfall</t>
        </is>
      </c>
      <c r="C65" s="162" t="inlineStr"/>
      <c r="D65" s="162" t="inlineStr">
        <is>
          <t>kärl</t>
        </is>
      </c>
      <c r="E65" s="162" t="inlineStr">
        <is>
          <t>2.4</t>
        </is>
      </c>
      <c r="F65" s="162" t="inlineStr">
        <is>
          <t>Hushåll</t>
        </is>
      </c>
      <c r="G65" s="162" t="inlineStr">
        <is>
          <t>Restavfall</t>
        </is>
      </c>
      <c r="H65" s="162" t="inlineStr">
        <is>
          <t>Behållarvolym</t>
        </is>
      </c>
      <c r="I65" s="162" t="inlineStr">
        <is>
          <t>370</t>
        </is>
      </c>
      <c r="J65" s="162" t="inlineStr">
        <is>
          <t>VOLYM/BEHÅLLARE</t>
        </is>
      </c>
      <c r="K65" s="162" t="inlineStr">
        <is>
          <t>1.00</t>
        </is>
      </c>
      <c r="L65" s="162" t="inlineStr">
        <is>
          <t>370, kärl, restavfall</t>
        </is>
      </c>
      <c r="M65" s="162" t="inlineStr"/>
    </row>
    <row r="66">
      <c r="A66" s="162" t="inlineStr">
        <is>
          <t>2.4.8</t>
        </is>
      </c>
      <c r="B66" s="162" t="inlineStr">
        <is>
          <t>Kärl 660 l restavfall</t>
        </is>
      </c>
      <c r="C66" s="162" t="inlineStr"/>
      <c r="D66" s="162" t="inlineStr">
        <is>
          <t>kärl</t>
        </is>
      </c>
      <c r="E66" s="162" t="inlineStr">
        <is>
          <t>2.4</t>
        </is>
      </c>
      <c r="F66" s="162" t="inlineStr">
        <is>
          <t>Hushåll</t>
        </is>
      </c>
      <c r="G66" s="162" t="inlineStr">
        <is>
          <t>Restavfall</t>
        </is>
      </c>
      <c r="H66" s="162" t="inlineStr">
        <is>
          <t>Behållarvolym</t>
        </is>
      </c>
      <c r="I66" s="162" t="inlineStr">
        <is>
          <t>660</t>
        </is>
      </c>
      <c r="J66" s="162" t="inlineStr">
        <is>
          <t>VOLYM/BEHÅLLARE</t>
        </is>
      </c>
      <c r="K66" s="162" t="inlineStr">
        <is>
          <t>1.00</t>
        </is>
      </c>
      <c r="L66" s="162" t="inlineStr">
        <is>
          <t>660, kärl, restavfall</t>
        </is>
      </c>
      <c r="M66" s="162" t="inlineStr"/>
    </row>
    <row r="67">
      <c r="A67" s="162" t="inlineStr">
        <is>
          <t>2.4.8</t>
        </is>
      </c>
      <c r="B67" s="162" t="inlineStr">
        <is>
          <t>Bottentömmande behållare</t>
        </is>
      </c>
      <c r="C67" s="162" t="inlineStr"/>
      <c r="D67" s="162" t="inlineStr"/>
      <c r="E67" s="162" t="inlineStr">
        <is>
          <t>2.4</t>
        </is>
      </c>
      <c r="F67" s="162" t="inlineStr">
        <is>
          <t>Hushåll</t>
        </is>
      </c>
      <c r="G67" s="162" t="inlineStr"/>
      <c r="H67" s="162" t="inlineStr"/>
      <c r="I67" s="162" t="inlineStr"/>
      <c r="J67" s="162" t="inlineStr"/>
      <c r="K67" s="162" t="inlineStr">
        <is>
          <t>0.50</t>
        </is>
      </c>
      <c r="L67" s="162" t="inlineStr">
        <is>
          <t>behållare, bottentömmande</t>
        </is>
      </c>
      <c r="M67" s="162" t="inlineStr">
        <is>
          <t>Faktor kunde inte härledas från enhet/text. | Avfallstyp kunde inte härledas.</t>
        </is>
      </c>
    </row>
    <row r="68">
      <c r="A68" s="162" t="inlineStr">
        <is>
          <t>2.4.9</t>
        </is>
      </c>
      <c r="B68" s="162" t="inlineStr">
        <is>
          <t>Sidlastande fordon</t>
        </is>
      </c>
      <c r="C68" s="162" t="inlineStr"/>
      <c r="D68" s="162" t="inlineStr"/>
      <c r="E68" s="162" t="inlineStr">
        <is>
          <t>2.4</t>
        </is>
      </c>
      <c r="F68" s="162" t="inlineStr">
        <is>
          <t>Hushåll</t>
        </is>
      </c>
      <c r="G68" s="162" t="inlineStr"/>
      <c r="H68" s="162" t="inlineStr"/>
      <c r="I68" s="162" t="inlineStr"/>
      <c r="J68" s="162" t="inlineStr"/>
      <c r="K68" s="162" t="inlineStr">
        <is>
          <t>0.50</t>
        </is>
      </c>
      <c r="L68" s="162" t="inlineStr">
        <is>
          <t>fordon, sidlastande</t>
        </is>
      </c>
      <c r="M68" s="162" t="inlineStr">
        <is>
          <t>Faktor kunde inte härledas från enhet/text. | Avfallstyp kunde inte härledas.</t>
        </is>
      </c>
    </row>
    <row r="69">
      <c r="A69" s="162" t="inlineStr">
        <is>
          <t>2.4.9</t>
        </is>
      </c>
      <c r="B69" s="162" t="inlineStr">
        <is>
          <t>Bottentömmande fordon</t>
        </is>
      </c>
      <c r="C69" s="162" t="inlineStr"/>
      <c r="D69" s="162" t="inlineStr"/>
      <c r="E69" s="162" t="inlineStr">
        <is>
          <t>2.4</t>
        </is>
      </c>
      <c r="F69" s="162" t="inlineStr">
        <is>
          <t>Hushåll</t>
        </is>
      </c>
      <c r="G69" s="162" t="inlineStr"/>
      <c r="H69" s="162" t="inlineStr"/>
      <c r="I69" s="162" t="inlineStr"/>
      <c r="J69" s="162" t="inlineStr"/>
      <c r="K69" s="162" t="inlineStr">
        <is>
          <t>0.50</t>
        </is>
      </c>
      <c r="L69" s="162" t="inlineStr">
        <is>
          <t>bottentömmande, fordon</t>
        </is>
      </c>
      <c r="M69" s="162" t="inlineStr">
        <is>
          <t>Faktor kunde inte härledas från enhet/text. | Avfallstyp kunde inte härledas.</t>
        </is>
      </c>
    </row>
    <row r="70">
      <c r="A70" s="162" t="inlineStr">
        <is>
          <t>2.4.9</t>
        </is>
      </c>
      <c r="B70" s="162" t="inlineStr">
        <is>
          <t>Tömningsavgift per behållare</t>
        </is>
      </c>
      <c r="C70" s="162" t="inlineStr"/>
      <c r="D70" s="162" t="inlineStr"/>
      <c r="E70" s="162" t="inlineStr">
        <is>
          <t>2.4</t>
        </is>
      </c>
      <c r="F70" s="162" t="inlineStr">
        <is>
          <t>Hushåll</t>
        </is>
      </c>
      <c r="G70" s="162" t="inlineStr"/>
      <c r="H70" s="162" t="inlineStr"/>
      <c r="I70" s="162" t="inlineStr"/>
      <c r="J70" s="162" t="inlineStr"/>
      <c r="K70" s="162" t="inlineStr">
        <is>
          <t>0.50</t>
        </is>
      </c>
      <c r="L70" s="162" t="inlineStr">
        <is>
          <t>behållare, tömningsavgift</t>
        </is>
      </c>
      <c r="M70" s="162" t="inlineStr">
        <is>
          <t>Faktor kunde inte härledas från enhet/text. | Avfallstyp kunde inte härledas.</t>
        </is>
      </c>
    </row>
    <row r="71">
      <c r="A71" s="162" t="inlineStr">
        <is>
          <t>2.4.10</t>
        </is>
      </c>
      <c r="B71" s="162" t="inlineStr">
        <is>
          <t>Betalsäck</t>
        </is>
      </c>
      <c r="C71" s="162" t="inlineStr"/>
      <c r="D71" s="162" t="inlineStr"/>
      <c r="E71" s="162" t="inlineStr">
        <is>
          <t>2.4</t>
        </is>
      </c>
      <c r="F71" s="162" t="inlineStr">
        <is>
          <t>Hushåll</t>
        </is>
      </c>
      <c r="G71" s="162" t="inlineStr"/>
      <c r="H71" s="162" t="inlineStr"/>
      <c r="I71" s="162" t="inlineStr"/>
      <c r="J71" s="162" t="inlineStr"/>
      <c r="K71" s="162" t="inlineStr">
        <is>
          <t>0.50</t>
        </is>
      </c>
      <c r="L71" s="162" t="inlineStr">
        <is>
          <t>betalsäck</t>
        </is>
      </c>
      <c r="M71" s="162" t="inlineStr">
        <is>
          <t>Faktor kunde inte härledas från enhet/text. | Avfallstyp kunde inte härledas.</t>
        </is>
      </c>
    </row>
    <row r="72">
      <c r="A72" s="162" t="inlineStr">
        <is>
          <t>2.4.10</t>
        </is>
      </c>
      <c r="B72" s="162" t="inlineStr">
        <is>
          <t>Akutsäck</t>
        </is>
      </c>
      <c r="C72" s="162" t="inlineStr"/>
      <c r="D72" s="162" t="inlineStr"/>
      <c r="E72" s="162" t="inlineStr">
        <is>
          <t>2.4</t>
        </is>
      </c>
      <c r="F72" s="162" t="inlineStr">
        <is>
          <t>Hushåll</t>
        </is>
      </c>
      <c r="G72" s="162" t="inlineStr"/>
      <c r="H72" s="162" t="inlineStr"/>
      <c r="I72" s="162" t="inlineStr"/>
      <c r="J72" s="162" t="inlineStr"/>
      <c r="K72" s="162" t="inlineStr">
        <is>
          <t>0.50</t>
        </is>
      </c>
      <c r="L72" s="162" t="inlineStr">
        <is>
          <t>akutsäck</t>
        </is>
      </c>
      <c r="M72" s="162" t="inlineStr">
        <is>
          <t>Faktor kunde inte härledas från enhet/text. | Avfallstyp kunde inte härledas.</t>
        </is>
      </c>
    </row>
    <row r="73">
      <c r="A73" s="162" t="inlineStr">
        <is>
          <t>2.4.11</t>
        </is>
      </c>
      <c r="B73" s="162" t="inlineStr">
        <is>
          <t>Matavfallspåsar 9 L</t>
        </is>
      </c>
      <c r="C73" s="162" t="inlineStr"/>
      <c r="D73" s="162" t="inlineStr"/>
      <c r="E73" s="162" t="inlineStr">
        <is>
          <t>2.4</t>
        </is>
      </c>
      <c r="F73" s="162" t="inlineStr">
        <is>
          <t>Hushåll</t>
        </is>
      </c>
      <c r="G73" s="162" t="inlineStr"/>
      <c r="H73" s="162" t="inlineStr">
        <is>
          <t>Behållarvolym</t>
        </is>
      </c>
      <c r="I73" s="162" t="inlineStr"/>
      <c r="J73" s="162" t="inlineStr">
        <is>
          <t>VOLYM/BEHÅLLARE</t>
        </is>
      </c>
      <c r="K73" s="162" t="inlineStr">
        <is>
          <t>0.75</t>
        </is>
      </c>
      <c r="L73" s="162" t="inlineStr">
        <is>
          <t>matavfallspåsar</t>
        </is>
      </c>
      <c r="M73" s="162" t="inlineStr">
        <is>
          <t>Avfallstyp kunde inte härledas.</t>
        </is>
      </c>
    </row>
    <row r="74">
      <c r="A74" s="162" t="inlineStr">
        <is>
          <t>2.4.11</t>
        </is>
      </c>
      <c r="B74" s="162" t="inlineStr">
        <is>
          <t>Matavfallspåsar 22 L</t>
        </is>
      </c>
      <c r="C74" s="162" t="inlineStr"/>
      <c r="D74" s="162" t="inlineStr"/>
      <c r="E74" s="162" t="inlineStr">
        <is>
          <t>2.4</t>
        </is>
      </c>
      <c r="F74" s="162" t="inlineStr">
        <is>
          <t>Hushåll</t>
        </is>
      </c>
      <c r="G74" s="162" t="inlineStr"/>
      <c r="H74" s="162" t="inlineStr">
        <is>
          <t>Behållarvolym</t>
        </is>
      </c>
      <c r="I74" s="162" t="inlineStr">
        <is>
          <t>22</t>
        </is>
      </c>
      <c r="J74" s="162" t="inlineStr">
        <is>
          <t>VOLYM/BEHÅLLARE</t>
        </is>
      </c>
      <c r="K74" s="162" t="inlineStr">
        <is>
          <t>0.75</t>
        </is>
      </c>
      <c r="L74" s="162" t="inlineStr">
        <is>
          <t>matavfallspåsar</t>
        </is>
      </c>
      <c r="M74" s="162" t="inlineStr">
        <is>
          <t>Avfallstyp kunde inte härledas.</t>
        </is>
      </c>
    </row>
    <row r="75">
      <c r="A75" s="162" t="inlineStr">
        <is>
          <t>2.4.11</t>
        </is>
      </c>
      <c r="B75" s="162" t="inlineStr">
        <is>
          <t>Gravitationslås till kärl</t>
        </is>
      </c>
      <c r="C75" s="162" t="inlineStr"/>
      <c r="D75" s="162" t="inlineStr">
        <is>
          <t>kärl</t>
        </is>
      </c>
      <c r="E75" s="162" t="inlineStr">
        <is>
          <t>2.4</t>
        </is>
      </c>
      <c r="F75" s="162" t="inlineStr">
        <is>
          <t>Hushåll</t>
        </is>
      </c>
      <c r="G75" s="162" t="inlineStr"/>
      <c r="H75" s="162" t="inlineStr"/>
      <c r="I75" s="162" t="inlineStr"/>
      <c r="J75" s="162" t="inlineStr"/>
      <c r="K75" s="162" t="inlineStr">
        <is>
          <t>0.50</t>
        </is>
      </c>
      <c r="L75" s="162" t="inlineStr">
        <is>
          <t>gravitationslås, kärl</t>
        </is>
      </c>
      <c r="M75" s="162" t="inlineStr">
        <is>
          <t>Faktor kunde inte härledas från enhet/text. | Avfallstyp kunde inte härledas.</t>
        </is>
      </c>
    </row>
    <row r="76">
      <c r="A76" s="162" t="inlineStr">
        <is>
          <t>2.4.11</t>
        </is>
      </c>
      <c r="B76" s="162" t="inlineStr">
        <is>
          <t>Extra nyckel till gravitationslås</t>
        </is>
      </c>
      <c r="C76" s="162" t="inlineStr"/>
      <c r="D76" s="162" t="inlineStr"/>
      <c r="E76" s="162" t="inlineStr">
        <is>
          <t>2.4</t>
        </is>
      </c>
      <c r="F76" s="162" t="inlineStr">
        <is>
          <t>Hushåll</t>
        </is>
      </c>
      <c r="G76" s="162" t="inlineStr"/>
      <c r="H76" s="162" t="inlineStr"/>
      <c r="I76" s="162" t="inlineStr"/>
      <c r="J76" s="162" t="inlineStr"/>
      <c r="K76" s="162" t="inlineStr">
        <is>
          <t>0.50</t>
        </is>
      </c>
      <c r="L76" s="162" t="inlineStr">
        <is>
          <t>extra, gravitationslås, nyckel</t>
        </is>
      </c>
      <c r="M76" s="162" t="inlineStr">
        <is>
          <t>Faktor kunde inte härledas från enhet/text. | Avfallstyp kunde inte härledas.</t>
        </is>
      </c>
    </row>
    <row r="77">
      <c r="A77" s="162" t="inlineStr">
        <is>
          <t>2.5.1</t>
        </is>
      </c>
      <c r="B77" s="162" t="inlineStr">
        <is>
          <t>Kommunalt avfall</t>
        </is>
      </c>
      <c r="C77" s="162" t="inlineStr"/>
      <c r="D77" s="162" t="inlineStr"/>
      <c r="E77" s="162" t="inlineStr">
        <is>
          <t>2.5</t>
        </is>
      </c>
      <c r="F77" s="162" t="inlineStr">
        <is>
          <t>Hushåll</t>
        </is>
      </c>
      <c r="G77" s="162" t="inlineStr"/>
      <c r="H77" s="162" t="inlineStr"/>
      <c r="I77" s="162" t="inlineStr"/>
      <c r="J77" s="162" t="inlineStr"/>
      <c r="K77" s="162" t="inlineStr">
        <is>
          <t>0.50</t>
        </is>
      </c>
      <c r="L77" s="162" t="inlineStr">
        <is>
          <t>avfall, kommunalt</t>
        </is>
      </c>
      <c r="M77" s="162" t="inlineStr">
        <is>
          <t>Faktor kunde inte härledas från enhet/text. | Avfallstyp kunde inte härledas.</t>
        </is>
      </c>
    </row>
    <row r="78">
      <c r="A78" s="162" t="inlineStr">
        <is>
          <t>2.5.1</t>
        </is>
      </c>
      <c r="B78" s="162" t="inlineStr">
        <is>
          <t>Farligt avfall (ej uppmärkt)</t>
        </is>
      </c>
      <c r="C78" s="162" t="inlineStr"/>
      <c r="D78" s="162" t="inlineStr"/>
      <c r="E78" s="162" t="inlineStr">
        <is>
          <t>2.5</t>
        </is>
      </c>
      <c r="F78" s="162" t="inlineStr">
        <is>
          <t>Hushåll</t>
        </is>
      </c>
      <c r="G78" s="162" t="inlineStr">
        <is>
          <t>Farligt avfall</t>
        </is>
      </c>
      <c r="H78" s="162" t="inlineStr"/>
      <c r="I78" s="162" t="inlineStr"/>
      <c r="J78" s="162" t="inlineStr"/>
      <c r="K78" s="162" t="inlineStr">
        <is>
          <t>0.75</t>
        </is>
      </c>
      <c r="L78" s="162" t="inlineStr">
        <is>
          <t>avfall, farligt, uppmärkt</t>
        </is>
      </c>
      <c r="M78" s="162" t="inlineStr">
        <is>
          <t>Faktor kunde inte härledas från enhet/text.</t>
        </is>
      </c>
    </row>
    <row r="79">
      <c r="A79" s="162" t="inlineStr">
        <is>
          <t>2.5.1</t>
        </is>
      </c>
      <c r="B79" s="162" t="inlineStr">
        <is>
          <t>Farligt avfall (uppmärkt)</t>
        </is>
      </c>
      <c r="C79" s="162" t="inlineStr"/>
      <c r="D79" s="162" t="inlineStr"/>
      <c r="E79" s="162" t="inlineStr">
        <is>
          <t>2.5</t>
        </is>
      </c>
      <c r="F79" s="162" t="inlineStr">
        <is>
          <t>Hushåll</t>
        </is>
      </c>
      <c r="G79" s="162" t="inlineStr">
        <is>
          <t>Farligt avfall</t>
        </is>
      </c>
      <c r="H79" s="162" t="inlineStr"/>
      <c r="I79" s="162" t="inlineStr"/>
      <c r="J79" s="162" t="inlineStr"/>
      <c r="K79" s="162" t="inlineStr">
        <is>
          <t>0.75</t>
        </is>
      </c>
      <c r="L79" s="162" t="inlineStr">
        <is>
          <t>avfall, farligt, uppmärkt</t>
        </is>
      </c>
      <c r="M79" s="162" t="inlineStr">
        <is>
          <t>Faktor kunde inte härledas från enhet/text.</t>
        </is>
      </c>
    </row>
    <row r="80">
      <c r="A80" s="162" t="inlineStr">
        <is>
          <t>2.5.1</t>
        </is>
      </c>
      <c r="B80" s="162" t="inlineStr">
        <is>
          <t>Avisering av ankomst</t>
        </is>
      </c>
      <c r="C80" s="162" t="inlineStr"/>
      <c r="D80" s="162" t="inlineStr"/>
      <c r="E80" s="162" t="inlineStr">
        <is>
          <t>2.5</t>
        </is>
      </c>
      <c r="F80" s="162" t="inlineStr">
        <is>
          <t>Hushåll</t>
        </is>
      </c>
      <c r="G80" s="162" t="inlineStr"/>
      <c r="H80" s="162" t="inlineStr"/>
      <c r="I80" s="162" t="inlineStr"/>
      <c r="J80" s="162" t="inlineStr"/>
      <c r="K80" s="162" t="inlineStr">
        <is>
          <t>0.50</t>
        </is>
      </c>
      <c r="L80" s="162" t="inlineStr">
        <is>
          <t>ankomst, avisering</t>
        </is>
      </c>
      <c r="M80" s="162" t="inlineStr">
        <is>
          <t>Faktor kunde inte härledas från enhet/text. | Avfallstyp kunde inte härledas.</t>
        </is>
      </c>
    </row>
    <row r="81">
      <c r="A81" s="162" t="inlineStr">
        <is>
          <t>3.1</t>
        </is>
      </c>
      <c r="B81" s="162" t="inlineStr">
        <is>
          <t>Upp till 3 m3</t>
        </is>
      </c>
      <c r="C81" s="162" t="inlineStr"/>
      <c r="D81" s="162" t="inlineStr">
        <is>
          <t>m³</t>
        </is>
      </c>
      <c r="E81" s="162" t="inlineStr">
        <is>
          <t>3.1</t>
        </is>
      </c>
      <c r="F81" s="162" t="inlineStr">
        <is>
          <t>Flerbostad/verksamhet</t>
        </is>
      </c>
      <c r="G81" s="162" t="inlineStr"/>
      <c r="H81" s="162" t="inlineStr">
        <is>
          <t>Volym</t>
        </is>
      </c>
      <c r="I81" s="162" t="inlineStr"/>
      <c r="J81" s="162" t="inlineStr">
        <is>
          <t>VOLM</t>
        </is>
      </c>
      <c r="K81" s="162" t="inlineStr">
        <is>
          <t>0.75</t>
        </is>
      </c>
      <c r="L81" s="162" t="inlineStr">
        <is>
          <t>upp</t>
        </is>
      </c>
      <c r="M81" s="162" t="inlineStr">
        <is>
          <t>Avfallstyp kunde inte härledas.</t>
        </is>
      </c>
    </row>
    <row r="82">
      <c r="A82" s="162" t="inlineStr">
        <is>
          <t>3.1</t>
        </is>
      </c>
      <c r="B82" s="162" t="inlineStr">
        <is>
          <t>Mellan 3 m3 och 6 m3</t>
        </is>
      </c>
      <c r="C82" s="162" t="inlineStr"/>
      <c r="D82" s="162" t="inlineStr">
        <is>
          <t>m³</t>
        </is>
      </c>
      <c r="E82" s="162" t="inlineStr">
        <is>
          <t>3.1</t>
        </is>
      </c>
      <c r="F82" s="162" t="inlineStr">
        <is>
          <t>Flerbostad/verksamhet</t>
        </is>
      </c>
      <c r="G82" s="162" t="inlineStr"/>
      <c r="H82" s="162" t="inlineStr">
        <is>
          <t>Volym</t>
        </is>
      </c>
      <c r="I82" s="162" t="inlineStr"/>
      <c r="J82" s="162" t="inlineStr">
        <is>
          <t>VOLM</t>
        </is>
      </c>
      <c r="K82" s="162" t="inlineStr">
        <is>
          <t>0.75</t>
        </is>
      </c>
      <c r="L82" s="162" t="inlineStr">
        <is>
          <t>mellan</t>
        </is>
      </c>
      <c r="M82" s="162" t="inlineStr">
        <is>
          <t>Avfallstyp kunde inte härledas.</t>
        </is>
      </c>
    </row>
    <row r="83">
      <c r="A83" s="162" t="inlineStr">
        <is>
          <t>3.1</t>
        </is>
      </c>
      <c r="B83" s="162" t="inlineStr">
        <is>
          <t>Mellan 6 m3 och 9 m3</t>
        </is>
      </c>
      <c r="C83" s="162" t="inlineStr"/>
      <c r="D83" s="162" t="inlineStr">
        <is>
          <t>m³</t>
        </is>
      </c>
      <c r="E83" s="162" t="inlineStr">
        <is>
          <t>3.1</t>
        </is>
      </c>
      <c r="F83" s="162" t="inlineStr">
        <is>
          <t>Flerbostad/verksamhet</t>
        </is>
      </c>
      <c r="G83" s="162" t="inlineStr"/>
      <c r="H83" s="162" t="inlineStr">
        <is>
          <t>Volym</t>
        </is>
      </c>
      <c r="I83" s="162" t="inlineStr"/>
      <c r="J83" s="162" t="inlineStr">
        <is>
          <t>VOLM</t>
        </is>
      </c>
      <c r="K83" s="162" t="inlineStr">
        <is>
          <t>0.75</t>
        </is>
      </c>
      <c r="L83" s="162" t="inlineStr">
        <is>
          <t>mellan</t>
        </is>
      </c>
      <c r="M83" s="162" t="inlineStr">
        <is>
          <t>Avfallstyp kunde inte härledas.</t>
        </is>
      </c>
    </row>
    <row r="84">
      <c r="A84" s="162" t="inlineStr">
        <is>
          <t>3.1</t>
        </is>
      </c>
      <c r="B84" s="162" t="inlineStr">
        <is>
          <t>Tillägg per m3 över 9 m3</t>
        </is>
      </c>
      <c r="C84" s="162" t="inlineStr"/>
      <c r="D84" s="162" t="inlineStr">
        <is>
          <t>m³</t>
        </is>
      </c>
      <c r="E84" s="162" t="inlineStr">
        <is>
          <t>3.1</t>
        </is>
      </c>
      <c r="F84" s="162" t="inlineStr">
        <is>
          <t>Flerbostad/verksamhet</t>
        </is>
      </c>
      <c r="G84" s="162" t="inlineStr"/>
      <c r="H84" s="162" t="inlineStr">
        <is>
          <t>Volym</t>
        </is>
      </c>
      <c r="I84" s="162" t="inlineStr"/>
      <c r="J84" s="162" t="inlineStr">
        <is>
          <t>VOLM</t>
        </is>
      </c>
      <c r="K84" s="162" t="inlineStr">
        <is>
          <t>0.75</t>
        </is>
      </c>
      <c r="L84" s="162" t="inlineStr">
        <is>
          <t>tillägg, över</t>
        </is>
      </c>
      <c r="M84" s="162" t="inlineStr">
        <is>
          <t>Avfallstyp kunde inte härledas.</t>
        </is>
      </c>
    </row>
    <row r="85">
      <c r="A85" s="162" t="inlineStr">
        <is>
          <t>3.1</t>
        </is>
      </c>
      <c r="B85" s="162" t="inlineStr">
        <is>
          <t>Bad-, disk- och tvättbrunn upp till 3 m3</t>
        </is>
      </c>
      <c r="C85" s="162" t="inlineStr"/>
      <c r="D85" s="162" t="inlineStr">
        <is>
          <t>m³</t>
        </is>
      </c>
      <c r="E85" s="162" t="inlineStr">
        <is>
          <t>3.1</t>
        </is>
      </c>
      <c r="F85" s="162" t="inlineStr">
        <is>
          <t>Flerbostad/verksamhet</t>
        </is>
      </c>
      <c r="G85" s="162" t="inlineStr"/>
      <c r="H85" s="162" t="inlineStr">
        <is>
          <t>Volym</t>
        </is>
      </c>
      <c r="I85" s="162" t="inlineStr"/>
      <c r="J85" s="162" t="inlineStr">
        <is>
          <t>VOLM</t>
        </is>
      </c>
      <c r="K85" s="162" t="inlineStr">
        <is>
          <t>0.75</t>
        </is>
      </c>
      <c r="L85" s="162" t="inlineStr">
        <is>
          <t>bad-, disk-och, tvättbrunn, upp</t>
        </is>
      </c>
      <c r="M85" s="162" t="inlineStr">
        <is>
          <t>Avfallstyp kunde inte härledas.</t>
        </is>
      </c>
    </row>
    <row r="86">
      <c r="A86" s="162" t="inlineStr">
        <is>
          <t>3.1</t>
        </is>
      </c>
      <c r="B86" s="162" t="inlineStr">
        <is>
          <t>Tillägg per m3 över 3 m3</t>
        </is>
      </c>
      <c r="C86" s="162" t="inlineStr"/>
      <c r="D86" s="162" t="inlineStr">
        <is>
          <t>m³</t>
        </is>
      </c>
      <c r="E86" s="162" t="inlineStr">
        <is>
          <t>3.1</t>
        </is>
      </c>
      <c r="F86" s="162" t="inlineStr">
        <is>
          <t>Flerbostad/verksamhet</t>
        </is>
      </c>
      <c r="G86" s="162" t="inlineStr"/>
      <c r="H86" s="162" t="inlineStr">
        <is>
          <t>Volym</t>
        </is>
      </c>
      <c r="I86" s="162" t="inlineStr"/>
      <c r="J86" s="162" t="inlineStr">
        <is>
          <t>VOLM</t>
        </is>
      </c>
      <c r="K86" s="162" t="inlineStr">
        <is>
          <t>0.75</t>
        </is>
      </c>
      <c r="L86" s="162" t="inlineStr">
        <is>
          <t>tillägg, över</t>
        </is>
      </c>
      <c r="M86" s="162" t="inlineStr">
        <is>
          <t>Avfallstyp kunde inte härledas.</t>
        </is>
      </c>
    </row>
    <row r="87">
      <c r="A87" s="162" t="inlineStr">
        <is>
          <t>3.2</t>
        </is>
      </c>
      <c r="B87" s="162" t="inlineStr">
        <is>
          <t>Dragning av extra slang vid 5-25 m</t>
        </is>
      </c>
      <c r="C87" s="162" t="inlineStr"/>
      <c r="D87" s="162" t="inlineStr"/>
      <c r="E87" s="162" t="inlineStr">
        <is>
          <t>3.2</t>
        </is>
      </c>
      <c r="F87" s="162" t="inlineStr">
        <is>
          <t>Flerbostad/verksamhet</t>
        </is>
      </c>
      <c r="G87" s="162" t="inlineStr"/>
      <c r="H87" s="162" t="inlineStr"/>
      <c r="I87" s="162" t="inlineStr"/>
      <c r="J87" s="162" t="inlineStr"/>
      <c r="K87" s="162" t="inlineStr">
        <is>
          <t>0.50</t>
        </is>
      </c>
      <c r="L87" s="162" t="inlineStr">
        <is>
          <t>5-25, dragning, extra, slang, vid</t>
        </is>
      </c>
      <c r="M87" s="162" t="inlineStr">
        <is>
          <t>Faktor kunde inte härledas från enhet/text. | Avfallstyp kunde inte härledas.</t>
        </is>
      </c>
    </row>
    <row r="88">
      <c r="A88" s="162" t="inlineStr">
        <is>
          <t>3.2</t>
        </is>
      </c>
      <c r="B88" s="162" t="inlineStr">
        <is>
          <t>Dragning av extra slang vid 25-35 m</t>
        </is>
      </c>
      <c r="C88" s="162" t="inlineStr"/>
      <c r="D88" s="162" t="inlineStr"/>
      <c r="E88" s="162" t="inlineStr">
        <is>
          <t>3.2</t>
        </is>
      </c>
      <c r="F88" s="162" t="inlineStr">
        <is>
          <t>Flerbostad/verksamhet</t>
        </is>
      </c>
      <c r="G88" s="162" t="inlineStr"/>
      <c r="H88" s="162" t="inlineStr"/>
      <c r="I88" s="162" t="inlineStr"/>
      <c r="J88" s="162" t="inlineStr"/>
      <c r="K88" s="162" t="inlineStr">
        <is>
          <t>0.50</t>
        </is>
      </c>
      <c r="L88" s="162" t="inlineStr">
        <is>
          <t>25-35, dragning, extra, slang, vid</t>
        </is>
      </c>
      <c r="M88" s="162" t="inlineStr">
        <is>
          <t>Faktor kunde inte härledas från enhet/text. | Avfallstyp kunde inte härledas.</t>
        </is>
      </c>
    </row>
    <row r="89">
      <c r="A89" s="162" t="inlineStr">
        <is>
          <t>3.2</t>
        </is>
      </c>
      <c r="B89" s="162" t="inlineStr">
        <is>
          <t>Dragning av extra slang vid 36-45 m</t>
        </is>
      </c>
      <c r="C89" s="162" t="inlineStr"/>
      <c r="D89" s="162" t="inlineStr"/>
      <c r="E89" s="162" t="inlineStr">
        <is>
          <t>3.2</t>
        </is>
      </c>
      <c r="F89" s="162" t="inlineStr">
        <is>
          <t>Flerbostad/verksamhet</t>
        </is>
      </c>
      <c r="G89" s="162" t="inlineStr"/>
      <c r="H89" s="162" t="inlineStr"/>
      <c r="I89" s="162" t="inlineStr"/>
      <c r="J89" s="162" t="inlineStr"/>
      <c r="K89" s="162" t="inlineStr">
        <is>
          <t>0.50</t>
        </is>
      </c>
      <c r="L89" s="162" t="inlineStr">
        <is>
          <t>36-45, dragning, extra, slang, vid</t>
        </is>
      </c>
      <c r="M89" s="162" t="inlineStr">
        <is>
          <t>Faktor kunde inte härledas från enhet/text. | Avfallstyp kunde inte härledas.</t>
        </is>
      </c>
    </row>
    <row r="90">
      <c r="A90" s="162" t="inlineStr">
        <is>
          <t>3.2</t>
        </is>
      </c>
      <c r="B90" s="162" t="inlineStr">
        <is>
          <t>Dragning av extra slang vid 46-55 m</t>
        </is>
      </c>
      <c r="C90" s="162" t="inlineStr"/>
      <c r="D90" s="162" t="inlineStr"/>
      <c r="E90" s="162" t="inlineStr">
        <is>
          <t>3.2</t>
        </is>
      </c>
      <c r="F90" s="162" t="inlineStr">
        <is>
          <t>Flerbostad/verksamhet</t>
        </is>
      </c>
      <c r="G90" s="162" t="inlineStr"/>
      <c r="H90" s="162" t="inlineStr"/>
      <c r="I90" s="162" t="inlineStr"/>
      <c r="J90" s="162" t="inlineStr"/>
      <c r="K90" s="162" t="inlineStr">
        <is>
          <t>0.50</t>
        </is>
      </c>
      <c r="L90" s="162" t="inlineStr">
        <is>
          <t>46-55, dragning, extra, slang, vid</t>
        </is>
      </c>
      <c r="M90" s="162" t="inlineStr">
        <is>
          <t>Faktor kunde inte härledas från enhet/text. | Avfallstyp kunde inte härledas.</t>
        </is>
      </c>
    </row>
    <row r="91">
      <c r="A91" s="162" t="inlineStr">
        <is>
          <t>3.2</t>
        </is>
      </c>
      <c r="B91" s="162" t="inlineStr">
        <is>
          <t>Hantering av brunnslock som väger 15-25 kg</t>
        </is>
      </c>
      <c r="C91" s="162" t="inlineStr"/>
      <c r="D91" s="162" t="inlineStr">
        <is>
          <t>kilogram</t>
        </is>
      </c>
      <c r="E91" s="162" t="inlineStr">
        <is>
          <t>3.2</t>
        </is>
      </c>
      <c r="F91" s="162" t="inlineStr">
        <is>
          <t>Flerbostad/verksamhet</t>
        </is>
      </c>
      <c r="G91" s="162" t="inlineStr"/>
      <c r="H91" s="162" t="inlineStr">
        <is>
          <t>Vikt</t>
        </is>
      </c>
      <c r="I91" s="162" t="inlineStr"/>
      <c r="J91" s="162" t="inlineStr">
        <is>
          <t>VIKG</t>
        </is>
      </c>
      <c r="K91" s="162" t="inlineStr">
        <is>
          <t>0.75</t>
        </is>
      </c>
      <c r="L91" s="162" t="inlineStr">
        <is>
          <t>15-25, brunnslock, hantering, kilogram, som, väger</t>
        </is>
      </c>
      <c r="M91" s="162" t="inlineStr">
        <is>
          <t>Avfallstyp kunde inte härledas.</t>
        </is>
      </c>
    </row>
    <row r="92">
      <c r="A92" s="162" t="inlineStr">
        <is>
          <t>3.2</t>
        </is>
      </c>
      <c r="B92" s="162" t="inlineStr">
        <is>
          <t>Krav på information om tömningstid</t>
        </is>
      </c>
      <c r="C92" s="162" t="inlineStr"/>
      <c r="D92" s="162" t="inlineStr"/>
      <c r="E92" s="162" t="inlineStr">
        <is>
          <t>3.2</t>
        </is>
      </c>
      <c r="F92" s="162" t="inlineStr">
        <is>
          <t>Flerbostad/verksamhet</t>
        </is>
      </c>
      <c r="G92" s="162" t="inlineStr"/>
      <c r="H92" s="162" t="inlineStr"/>
      <c r="I92" s="162" t="inlineStr"/>
      <c r="J92" s="162" t="inlineStr"/>
      <c r="K92" s="162" t="inlineStr">
        <is>
          <t>0.50</t>
        </is>
      </c>
      <c r="L92" s="162" t="inlineStr">
        <is>
          <t>information, krav, tömningstid</t>
        </is>
      </c>
      <c r="M92" s="162" t="inlineStr">
        <is>
          <t>Faktor kunde inte härledas från enhet/text. | Avfallstyp kunde inte härledas.</t>
        </is>
      </c>
    </row>
    <row r="93">
      <c r="A93" s="162" t="inlineStr">
        <is>
          <t>3.2</t>
        </is>
      </c>
      <c r="B93" s="162" t="inlineStr">
        <is>
          <t>Krav på närvaro vid specificerad tömningstid</t>
        </is>
      </c>
      <c r="C93" s="162" t="inlineStr"/>
      <c r="D93" s="162" t="inlineStr"/>
      <c r="E93" s="162" t="inlineStr">
        <is>
          <t>3.2</t>
        </is>
      </c>
      <c r="F93" s="162" t="inlineStr">
        <is>
          <t>Flerbostad/verksamhet</t>
        </is>
      </c>
      <c r="G93" s="162" t="inlineStr"/>
      <c r="H93" s="162" t="inlineStr"/>
      <c r="I93" s="162" t="inlineStr"/>
      <c r="J93" s="162" t="inlineStr"/>
      <c r="K93" s="162" t="inlineStr">
        <is>
          <t>0.50</t>
        </is>
      </c>
      <c r="L93" s="162" t="inlineStr">
        <is>
          <t>krav, närvaro, specificerad, tömningstid, vid</t>
        </is>
      </c>
      <c r="M93" s="162" t="inlineStr">
        <is>
          <t>Faktor kunde inte härledas från enhet/text. | Avfallstyp kunde inte härledas.</t>
        </is>
      </c>
    </row>
    <row r="94">
      <c r="A94" s="162" t="inlineStr">
        <is>
          <t>3.2</t>
        </is>
      </c>
      <c r="B94" s="162" t="inlineStr">
        <is>
          <t>Hantering av kod för kodlås vid slamtömning</t>
        </is>
      </c>
      <c r="C94" s="162" t="inlineStr"/>
      <c r="D94" s="162" t="inlineStr"/>
      <c r="E94" s="162" t="inlineStr">
        <is>
          <t>3.2</t>
        </is>
      </c>
      <c r="F94" s="162" t="inlineStr">
        <is>
          <t>Flerbostad/verksamhet</t>
        </is>
      </c>
      <c r="G94" s="162" t="inlineStr">
        <is>
          <t>Slam</t>
        </is>
      </c>
      <c r="H94" s="162" t="inlineStr"/>
      <c r="I94" s="162" t="inlineStr"/>
      <c r="J94" s="162" t="inlineStr"/>
      <c r="K94" s="162" t="inlineStr">
        <is>
          <t>0.75</t>
        </is>
      </c>
      <c r="L94" s="162" t="inlineStr">
        <is>
          <t>hantering, kod, kodlås, slamtömning, vid</t>
        </is>
      </c>
      <c r="M94" s="162" t="inlineStr">
        <is>
          <t>Faktor kunde inte härledas från enhet/text.</t>
        </is>
      </c>
    </row>
    <row r="95">
      <c r="A95" s="162" t="inlineStr">
        <is>
          <t>3.2</t>
        </is>
      </c>
      <c r="B95" s="162" t="inlineStr">
        <is>
          <t>Hetvattentvätt med spolbil, timersättning</t>
        </is>
      </c>
      <c r="C95" s="162" t="inlineStr"/>
      <c r="D95" s="162" t="inlineStr"/>
      <c r="E95" s="162" t="inlineStr">
        <is>
          <t>3.2</t>
        </is>
      </c>
      <c r="F95" s="162" t="inlineStr">
        <is>
          <t>Flerbostad/verksamhet</t>
        </is>
      </c>
      <c r="G95" s="162" t="inlineStr"/>
      <c r="H95" s="162" t="inlineStr"/>
      <c r="I95" s="162" t="inlineStr"/>
      <c r="J95" s="162" t="inlineStr"/>
      <c r="K95" s="162" t="inlineStr">
        <is>
          <t>0.50</t>
        </is>
      </c>
      <c r="L95" s="162" t="inlineStr">
        <is>
          <t>hetvattentvätt, spolbil, timersättning</t>
        </is>
      </c>
      <c r="M95" s="162" t="inlineStr">
        <is>
          <t>Faktor kunde inte härledas från enhet/text. | Avfallstyp kunde inte härledas.</t>
        </is>
      </c>
    </row>
    <row r="96">
      <c r="A96" s="162" t="inlineStr">
        <is>
          <t>3.2</t>
        </is>
      </c>
      <c r="B96" s="162" t="inlineStr">
        <is>
          <t>Tömning av extra tank/brunn i samband med ordinarie/budad tömning upp till 5 m3</t>
        </is>
      </c>
      <c r="C96" s="162" t="inlineStr"/>
      <c r="D96" s="162" t="inlineStr">
        <is>
          <t>m³</t>
        </is>
      </c>
      <c r="E96" s="162" t="inlineStr">
        <is>
          <t>3.2</t>
        </is>
      </c>
      <c r="F96" s="162" t="inlineStr">
        <is>
          <t>Flerbostad/verksamhet</t>
        </is>
      </c>
      <c r="G96" s="162" t="inlineStr"/>
      <c r="H96" s="162" t="inlineStr">
        <is>
          <t>Volym</t>
        </is>
      </c>
      <c r="I96" s="162" t="inlineStr"/>
      <c r="J96" s="162" t="inlineStr">
        <is>
          <t>VOLM</t>
        </is>
      </c>
      <c r="K96" s="162" t="inlineStr">
        <is>
          <t>0.75</t>
        </is>
      </c>
      <c r="L96" s="162" t="inlineStr">
        <is>
          <t>brunn, budad, extra, ordinarie, samband, tank, tömning, upp</t>
        </is>
      </c>
      <c r="M96" s="162" t="inlineStr">
        <is>
          <t>Avfallstyp kunde inte härledas.</t>
        </is>
      </c>
    </row>
    <row r="97">
      <c r="A97" s="162" t="inlineStr">
        <is>
          <t>3.3</t>
        </is>
      </c>
      <c r="B97" s="162" t="inlineStr">
        <is>
          <t>Budning inom ordinarie tömningsperiod (1 maj- 31 oktober)</t>
        </is>
      </c>
      <c r="C97" s="162" t="inlineStr"/>
      <c r="D97" s="162" t="inlineStr"/>
      <c r="E97" s="162" t="inlineStr">
        <is>
          <t>3.3</t>
        </is>
      </c>
      <c r="F97" s="162" t="inlineStr">
        <is>
          <t>Flerbostad/verksamhet</t>
        </is>
      </c>
      <c r="G97" s="162" t="inlineStr"/>
      <c r="H97" s="162" t="inlineStr"/>
      <c r="I97" s="162" t="inlineStr"/>
      <c r="J97" s="162" t="inlineStr"/>
      <c r="K97" s="162" t="inlineStr">
        <is>
          <t>0.50</t>
        </is>
      </c>
      <c r="L97" s="162" t="inlineStr">
        <is>
          <t>budning, inom, maj-31, oktober, ordinarie, tömningsperiod</t>
        </is>
      </c>
      <c r="M97" s="162" t="inlineStr">
        <is>
          <t>Faktor kunde inte härledas från enhet/text. | Avfallstyp kunde inte härledas.</t>
        </is>
      </c>
    </row>
    <row r="98">
      <c r="A98" s="162" t="inlineStr">
        <is>
          <t>3.3</t>
        </is>
      </c>
      <c r="B98" s="162" t="inlineStr">
        <is>
          <t>Budning utanför ordinarie tömningsperiod (1 nov – 30 april)</t>
        </is>
      </c>
      <c r="C98" s="162" t="inlineStr"/>
      <c r="D98" s="162" t="inlineStr"/>
      <c r="E98" s="162" t="inlineStr">
        <is>
          <t>3.3</t>
        </is>
      </c>
      <c r="F98" s="162" t="inlineStr">
        <is>
          <t>Flerbostad/verksamhet</t>
        </is>
      </c>
      <c r="G98" s="162" t="inlineStr"/>
      <c r="H98" s="162" t="inlineStr"/>
      <c r="I98" s="162" t="inlineStr"/>
      <c r="J98" s="162" t="inlineStr"/>
      <c r="K98" s="162" t="inlineStr">
        <is>
          <t>0.50</t>
        </is>
      </c>
      <c r="L98" s="162" t="inlineStr">
        <is>
          <t>april, budning, nov-30, ordinarie, tömningsperiod, utanför</t>
        </is>
      </c>
      <c r="M98" s="162" t="inlineStr">
        <is>
          <t>Faktor kunde inte härledas från enhet/text. | Avfallstyp kunde inte härledas.</t>
        </is>
      </c>
    </row>
    <row r="99">
      <c r="A99" s="162" t="inlineStr">
        <is>
          <t>3.3</t>
        </is>
      </c>
      <c r="B99" s="162" t="inlineStr">
        <is>
          <t>Tömning av toalettvagnar eller liknande /styck</t>
        </is>
      </c>
      <c r="C99" s="162" t="inlineStr"/>
      <c r="D99" s="162" t="inlineStr">
        <is>
          <t>styck</t>
        </is>
      </c>
      <c r="E99" s="162" t="inlineStr">
        <is>
          <t>3.3</t>
        </is>
      </c>
      <c r="F99" s="162" t="inlineStr">
        <is>
          <t>Flerbostad/verksamhet</t>
        </is>
      </c>
      <c r="G99" s="162" t="inlineStr"/>
      <c r="H99" s="162" t="inlineStr">
        <is>
          <t>Styck</t>
        </is>
      </c>
      <c r="I99" s="162" t="inlineStr"/>
      <c r="J99" s="162" t="inlineStr">
        <is>
          <t>ST</t>
        </is>
      </c>
      <c r="K99" s="162" t="inlineStr">
        <is>
          <t>0.75</t>
        </is>
      </c>
      <c r="L99" s="162" t="inlineStr">
        <is>
          <t>eller, liknande, styck, toalettvagnar, tömning</t>
        </is>
      </c>
      <c r="M99" s="162" t="inlineStr">
        <is>
          <t>Avfallstyp kunde inte härledas.</t>
        </is>
      </c>
    </row>
    <row r="100">
      <c r="A100" s="162" t="inlineStr">
        <is>
          <t>3.4</t>
        </is>
      </c>
      <c r="B100" s="162" t="inlineStr">
        <is>
          <t>Latrinbehållare 37 liter inkl. mottagning och behandling</t>
        </is>
      </c>
      <c r="C100" s="162" t="inlineStr"/>
      <c r="D100" s="162" t="inlineStr">
        <is>
          <t>liter</t>
        </is>
      </c>
      <c r="E100" s="162" t="inlineStr">
        <is>
          <t>3.4</t>
        </is>
      </c>
      <c r="F100" s="162" t="inlineStr">
        <is>
          <t>Flerbostad/verksamhet</t>
        </is>
      </c>
      <c r="G100" s="162" t="inlineStr"/>
      <c r="H100" s="162" t="inlineStr">
        <is>
          <t>Behållarvolym</t>
        </is>
      </c>
      <c r="I100" s="162" t="inlineStr">
        <is>
          <t>37</t>
        </is>
      </c>
      <c r="J100" s="162" t="inlineStr">
        <is>
          <t>VOLYM/BEHÅLLARE</t>
        </is>
      </c>
      <c r="K100" s="162" t="inlineStr">
        <is>
          <t>0.75</t>
        </is>
      </c>
      <c r="L100" s="162" t="inlineStr">
        <is>
          <t>behandling, inkl, latrinbehållare, liter, mottagning</t>
        </is>
      </c>
      <c r="M100" s="162" t="inlineStr">
        <is>
          <t>Avfallstyp kunde inte härledas.</t>
        </is>
      </c>
    </row>
    <row r="101">
      <c r="A101" s="162" t="inlineStr">
        <is>
          <t>4.1</t>
        </is>
      </c>
      <c r="B101" s="162" t="inlineStr">
        <is>
          <t>Filtermassor upp till 500 kg</t>
        </is>
      </c>
      <c r="C101" s="162" t="inlineStr"/>
      <c r="D101" s="162" t="inlineStr">
        <is>
          <t>kilogram</t>
        </is>
      </c>
      <c r="E101" s="162" t="inlineStr">
        <is>
          <t>4.1</t>
        </is>
      </c>
      <c r="F101" s="162" t="inlineStr">
        <is>
          <t>Tilläggstjänst</t>
        </is>
      </c>
      <c r="G101" s="162" t="inlineStr"/>
      <c r="H101" s="162" t="inlineStr">
        <is>
          <t>Vikt</t>
        </is>
      </c>
      <c r="I101" s="162" t="inlineStr"/>
      <c r="J101" s="162" t="inlineStr">
        <is>
          <t>VIKG</t>
        </is>
      </c>
      <c r="K101" s="162" t="inlineStr">
        <is>
          <t>0.75</t>
        </is>
      </c>
      <c r="L101" s="162" t="inlineStr">
        <is>
          <t>500, filtermassor, kilogram, upp</t>
        </is>
      </c>
      <c r="M101" s="162" t="inlineStr">
        <is>
          <t>Avfallstyp kunde inte härledas.</t>
        </is>
      </c>
    </row>
    <row r="102">
      <c r="A102" s="162" t="inlineStr">
        <is>
          <t>4.1</t>
        </is>
      </c>
      <c r="B102" s="162" t="inlineStr">
        <is>
          <t>Filtermassor 500-1000 kg</t>
        </is>
      </c>
      <c r="C102" s="162" t="inlineStr"/>
      <c r="D102" s="162" t="inlineStr">
        <is>
          <t>kilogram</t>
        </is>
      </c>
      <c r="E102" s="162" t="inlineStr">
        <is>
          <t>4.1</t>
        </is>
      </c>
      <c r="F102" s="162" t="inlineStr">
        <is>
          <t>Tilläggstjänst</t>
        </is>
      </c>
      <c r="G102" s="162" t="inlineStr"/>
      <c r="H102" s="162" t="inlineStr">
        <is>
          <t>Vikt</t>
        </is>
      </c>
      <c r="I102" s="162" t="inlineStr"/>
      <c r="J102" s="162" t="inlineStr">
        <is>
          <t>VIKG</t>
        </is>
      </c>
      <c r="K102" s="162" t="inlineStr">
        <is>
          <t>0.75</t>
        </is>
      </c>
      <c r="L102" s="162" t="inlineStr">
        <is>
          <t>500-1000, filtermassor, kilogram</t>
        </is>
      </c>
      <c r="M102" s="162" t="inlineStr">
        <is>
          <t>Avfallstyp kunde inte härledas.</t>
        </is>
      </c>
    </row>
    <row r="103">
      <c r="A103" s="162" t="inlineStr">
        <is>
          <t>4.2</t>
        </is>
      </c>
      <c r="B103" s="162" t="inlineStr">
        <is>
          <t>Krav på information om hämtningstid</t>
        </is>
      </c>
      <c r="C103" s="162" t="inlineStr"/>
      <c r="D103" s="162" t="inlineStr"/>
      <c r="E103" s="162" t="inlineStr">
        <is>
          <t>4.2</t>
        </is>
      </c>
      <c r="F103" s="162" t="inlineStr">
        <is>
          <t>Tilläggstjänst</t>
        </is>
      </c>
      <c r="G103" s="162" t="inlineStr"/>
      <c r="H103" s="162" t="inlineStr"/>
      <c r="I103" s="162" t="inlineStr"/>
      <c r="J103" s="162" t="inlineStr"/>
      <c r="K103" s="162" t="inlineStr">
        <is>
          <t>0.50</t>
        </is>
      </c>
      <c r="L103" s="162" t="inlineStr">
        <is>
          <t>hämtningstid, information, krav</t>
        </is>
      </c>
      <c r="M103" s="162" t="inlineStr">
        <is>
          <t>Faktor kunde inte härledas från enhet/text. | Avfallstyp kunde inte härledas.</t>
        </is>
      </c>
    </row>
    <row r="104">
      <c r="A104" s="162" t="inlineStr">
        <is>
          <t>4.2</t>
        </is>
      </c>
      <c r="B104" s="162" t="inlineStr">
        <is>
          <t>Krav på närvaro vid specificerad hämtningstid</t>
        </is>
      </c>
      <c r="C104" s="162" t="inlineStr"/>
      <c r="D104" s="162" t="inlineStr"/>
      <c r="E104" s="162" t="inlineStr">
        <is>
          <t>4.2</t>
        </is>
      </c>
      <c r="F104" s="162" t="inlineStr">
        <is>
          <t>Tilläggstjänst</t>
        </is>
      </c>
      <c r="G104" s="162" t="inlineStr"/>
      <c r="H104" s="162" t="inlineStr"/>
      <c r="I104" s="162" t="inlineStr"/>
      <c r="J104" s="162" t="inlineStr"/>
      <c r="K104" s="162" t="inlineStr">
        <is>
          <t>0.50</t>
        </is>
      </c>
      <c r="L104" s="162" t="inlineStr">
        <is>
          <t>hämtningstid, krav, närvaro, specificerad, vid</t>
        </is>
      </c>
      <c r="M104" s="162" t="inlineStr">
        <is>
          <t>Faktor kunde inte härledas från enhet/text. | Avfallstyp kunde inte härledas.</t>
        </is>
      </c>
    </row>
    <row r="105">
      <c r="A105" s="162" t="inlineStr">
        <is>
          <t>4.2</t>
        </is>
      </c>
      <c r="B105" s="162" t="inlineStr">
        <is>
          <t>Hantering av kod för kodlås</t>
        </is>
      </c>
      <c r="C105" s="162" t="inlineStr"/>
      <c r="D105" s="162" t="inlineStr"/>
      <c r="E105" s="162" t="inlineStr">
        <is>
          <t>4.2</t>
        </is>
      </c>
      <c r="F105" s="162" t="inlineStr">
        <is>
          <t>Tilläggstjänst</t>
        </is>
      </c>
      <c r="G105" s="162" t="inlineStr"/>
      <c r="H105" s="162" t="inlineStr"/>
      <c r="I105" s="162" t="inlineStr"/>
      <c r="J105" s="162" t="inlineStr"/>
      <c r="K105" s="162" t="inlineStr">
        <is>
          <t>0.50</t>
        </is>
      </c>
      <c r="L105" s="162" t="inlineStr">
        <is>
          <t>hantering, kod, kodlås</t>
        </is>
      </c>
      <c r="M105" s="162" t="inlineStr">
        <is>
          <t>Faktor kunde inte härledas från enhet/text. | Avfallstyp kunde inte härledas.</t>
        </is>
      </c>
    </row>
    <row r="106">
      <c r="A106" s="162" t="inlineStr">
        <is>
          <t>5.1</t>
        </is>
      </c>
      <c r="B106" s="162" t="inlineStr">
        <is>
          <t>Upp till 3 m3</t>
        </is>
      </c>
      <c r="C106" s="162" t="inlineStr"/>
      <c r="D106" s="162" t="inlineStr">
        <is>
          <t>m³</t>
        </is>
      </c>
      <c r="E106" s="162" t="inlineStr">
        <is>
          <t>5.1</t>
        </is>
      </c>
      <c r="F106" s="162" t="inlineStr">
        <is>
          <t>Slam</t>
        </is>
      </c>
      <c r="G106" s="162" t="inlineStr"/>
      <c r="H106" s="162" t="inlineStr">
        <is>
          <t>Volym</t>
        </is>
      </c>
      <c r="I106" s="162" t="inlineStr"/>
      <c r="J106" s="162" t="inlineStr">
        <is>
          <t>VOLM</t>
        </is>
      </c>
      <c r="K106" s="162" t="inlineStr">
        <is>
          <t>0.75</t>
        </is>
      </c>
      <c r="L106" s="162" t="inlineStr">
        <is>
          <t>upp</t>
        </is>
      </c>
      <c r="M106" s="162" t="inlineStr">
        <is>
          <t>Avfallstyp kunde inte härledas.</t>
        </is>
      </c>
    </row>
    <row r="107">
      <c r="A107" s="162" t="inlineStr">
        <is>
          <t>5.1</t>
        </is>
      </c>
      <c r="B107" s="162" t="inlineStr">
        <is>
          <t>Mellan 3 m3 och 6 m3</t>
        </is>
      </c>
      <c r="C107" s="162" t="inlineStr"/>
      <c r="D107" s="162" t="inlineStr">
        <is>
          <t>m³</t>
        </is>
      </c>
      <c r="E107" s="162" t="inlineStr">
        <is>
          <t>5.1</t>
        </is>
      </c>
      <c r="F107" s="162" t="inlineStr">
        <is>
          <t>Slam</t>
        </is>
      </c>
      <c r="G107" s="162" t="inlineStr"/>
      <c r="H107" s="162" t="inlineStr">
        <is>
          <t>Volym</t>
        </is>
      </c>
      <c r="I107" s="162" t="inlineStr"/>
      <c r="J107" s="162" t="inlineStr">
        <is>
          <t>VOLM</t>
        </is>
      </c>
      <c r="K107" s="162" t="inlineStr">
        <is>
          <t>0.75</t>
        </is>
      </c>
      <c r="L107" s="162" t="inlineStr">
        <is>
          <t>mellan</t>
        </is>
      </c>
      <c r="M107" s="162" t="inlineStr">
        <is>
          <t>Avfallstyp kunde inte härledas.</t>
        </is>
      </c>
    </row>
    <row r="108">
      <c r="A108" s="162" t="inlineStr">
        <is>
          <t>5.1</t>
        </is>
      </c>
      <c r="B108" s="162" t="inlineStr">
        <is>
          <t>Över 6 m3</t>
        </is>
      </c>
      <c r="C108" s="162" t="inlineStr"/>
      <c r="D108" s="162" t="inlineStr">
        <is>
          <t>m³</t>
        </is>
      </c>
      <c r="E108" s="162" t="inlineStr">
        <is>
          <t>5.1</t>
        </is>
      </c>
      <c r="F108" s="162" t="inlineStr">
        <is>
          <t>Slam</t>
        </is>
      </c>
      <c r="G108" s="162" t="inlineStr"/>
      <c r="H108" s="162" t="inlineStr">
        <is>
          <t>Volym</t>
        </is>
      </c>
      <c r="I108" s="162" t="inlineStr"/>
      <c r="J108" s="162" t="inlineStr">
        <is>
          <t>VOLM</t>
        </is>
      </c>
      <c r="K108" s="162" t="inlineStr">
        <is>
          <t>0.75</t>
        </is>
      </c>
      <c r="L108" s="162" t="inlineStr">
        <is>
          <t>över</t>
        </is>
      </c>
      <c r="M108" s="162" t="inlineStr">
        <is>
          <t>Avfallstyp kunde inte härledas.</t>
        </is>
      </c>
    </row>
    <row r="109">
      <c r="A109" s="162" t="inlineStr">
        <is>
          <t>5.2</t>
        </is>
      </c>
      <c r="B109" s="162" t="inlineStr">
        <is>
          <t>Dragning av extra slang vid 5-25 m</t>
        </is>
      </c>
      <c r="C109" s="162" t="inlineStr"/>
      <c r="D109" s="162" t="inlineStr"/>
      <c r="E109" s="162" t="inlineStr">
        <is>
          <t>5.2</t>
        </is>
      </c>
      <c r="F109" s="162" t="inlineStr">
        <is>
          <t>Slam</t>
        </is>
      </c>
      <c r="G109" s="162" t="inlineStr"/>
      <c r="H109" s="162" t="inlineStr"/>
      <c r="I109" s="162" t="inlineStr"/>
      <c r="J109" s="162" t="inlineStr"/>
      <c r="K109" s="162" t="inlineStr">
        <is>
          <t>0.50</t>
        </is>
      </c>
      <c r="L109" s="162" t="inlineStr">
        <is>
          <t>5-25, dragning, extra, slang, vid</t>
        </is>
      </c>
      <c r="M109" s="162" t="inlineStr">
        <is>
          <t>Faktor kunde inte härledas från enhet/text. | Avfallstyp kunde inte härledas.</t>
        </is>
      </c>
    </row>
    <row r="110">
      <c r="A110" s="162" t="inlineStr">
        <is>
          <t>5.2</t>
        </is>
      </c>
      <c r="B110" s="162" t="inlineStr">
        <is>
          <t>Dragning av extra slang vid 25-35 m</t>
        </is>
      </c>
      <c r="C110" s="162" t="inlineStr"/>
      <c r="D110" s="162" t="inlineStr"/>
      <c r="E110" s="162" t="inlineStr">
        <is>
          <t>5.2</t>
        </is>
      </c>
      <c r="F110" s="162" t="inlineStr">
        <is>
          <t>Slam</t>
        </is>
      </c>
      <c r="G110" s="162" t="inlineStr"/>
      <c r="H110" s="162" t="inlineStr"/>
      <c r="I110" s="162" t="inlineStr"/>
      <c r="J110" s="162" t="inlineStr"/>
      <c r="K110" s="162" t="inlineStr">
        <is>
          <t>0.50</t>
        </is>
      </c>
      <c r="L110" s="162" t="inlineStr">
        <is>
          <t>25-35, dragning, extra, slang, vid</t>
        </is>
      </c>
      <c r="M110" s="162" t="inlineStr">
        <is>
          <t>Faktor kunde inte härledas från enhet/text. | Avfallstyp kunde inte härledas.</t>
        </is>
      </c>
    </row>
    <row r="111">
      <c r="A111" s="162" t="inlineStr">
        <is>
          <t>5.2</t>
        </is>
      </c>
      <c r="B111" s="162" t="inlineStr">
        <is>
          <t>Dragning av extra slang vid 36-45 m</t>
        </is>
      </c>
      <c r="C111" s="162" t="inlineStr"/>
      <c r="D111" s="162" t="inlineStr"/>
      <c r="E111" s="162" t="inlineStr">
        <is>
          <t>5.2</t>
        </is>
      </c>
      <c r="F111" s="162" t="inlineStr">
        <is>
          <t>Slam</t>
        </is>
      </c>
      <c r="G111" s="162" t="inlineStr"/>
      <c r="H111" s="162" t="inlineStr"/>
      <c r="I111" s="162" t="inlineStr"/>
      <c r="J111" s="162" t="inlineStr"/>
      <c r="K111" s="162" t="inlineStr">
        <is>
          <t>0.50</t>
        </is>
      </c>
      <c r="L111" s="162" t="inlineStr">
        <is>
          <t>36-45, dragning, extra, slang, vid</t>
        </is>
      </c>
      <c r="M111" s="162" t="inlineStr">
        <is>
          <t>Faktor kunde inte härledas från enhet/text. | Avfallstyp kunde inte härledas.</t>
        </is>
      </c>
    </row>
    <row r="112">
      <c r="A112" s="162" t="inlineStr">
        <is>
          <t>5.2</t>
        </is>
      </c>
      <c r="B112" s="162" t="inlineStr">
        <is>
          <t>Dragning av extra slang vid 46-55 m</t>
        </is>
      </c>
      <c r="C112" s="162" t="inlineStr"/>
      <c r="D112" s="162" t="inlineStr"/>
      <c r="E112" s="162" t="inlineStr">
        <is>
          <t>5.2</t>
        </is>
      </c>
      <c r="F112" s="162" t="inlineStr">
        <is>
          <t>Slam</t>
        </is>
      </c>
      <c r="G112" s="162" t="inlineStr"/>
      <c r="H112" s="162" t="inlineStr"/>
      <c r="I112" s="162" t="inlineStr"/>
      <c r="J112" s="162" t="inlineStr"/>
      <c r="K112" s="162" t="inlineStr">
        <is>
          <t>0.50</t>
        </is>
      </c>
      <c r="L112" s="162" t="inlineStr">
        <is>
          <t>46-55, dragning, extra, slang, vid</t>
        </is>
      </c>
      <c r="M112" s="162" t="inlineStr">
        <is>
          <t>Faktor kunde inte härledas från enhet/text. | Avfallstyp kunde inte härledas.</t>
        </is>
      </c>
    </row>
    <row r="113">
      <c r="A113" s="162" t="inlineStr">
        <is>
          <t>5.2</t>
        </is>
      </c>
      <c r="B113" s="162" t="inlineStr">
        <is>
          <t>Hantering av brunnslock som väger 15-25 kg</t>
        </is>
      </c>
      <c r="C113" s="162" t="inlineStr"/>
      <c r="D113" s="162" t="inlineStr">
        <is>
          <t>kilogram</t>
        </is>
      </c>
      <c r="E113" s="162" t="inlineStr">
        <is>
          <t>5.2</t>
        </is>
      </c>
      <c r="F113" s="162" t="inlineStr">
        <is>
          <t>Slam</t>
        </is>
      </c>
      <c r="G113" s="162" t="inlineStr"/>
      <c r="H113" s="162" t="inlineStr">
        <is>
          <t>Vikt</t>
        </is>
      </c>
      <c r="I113" s="162" t="inlineStr"/>
      <c r="J113" s="162" t="inlineStr">
        <is>
          <t>VIKG</t>
        </is>
      </c>
      <c r="K113" s="162" t="inlineStr">
        <is>
          <t>0.75</t>
        </is>
      </c>
      <c r="L113" s="162" t="inlineStr">
        <is>
          <t>15-25, brunnslock, hantering, kilogram, som, väger</t>
        </is>
      </c>
      <c r="M113" s="162" t="inlineStr">
        <is>
          <t>Avfallstyp kunde inte härledas.</t>
        </is>
      </c>
    </row>
    <row r="114">
      <c r="A114" s="162" t="inlineStr">
        <is>
          <t>5.2</t>
        </is>
      </c>
      <c r="B114" s="162" t="inlineStr">
        <is>
          <t>Krav på information om tömningstid</t>
        </is>
      </c>
      <c r="C114" s="162" t="inlineStr"/>
      <c r="D114" s="162" t="inlineStr"/>
      <c r="E114" s="162" t="inlineStr">
        <is>
          <t>5.2</t>
        </is>
      </c>
      <c r="F114" s="162" t="inlineStr">
        <is>
          <t>Slam</t>
        </is>
      </c>
      <c r="G114" s="162" t="inlineStr"/>
      <c r="H114" s="162" t="inlineStr"/>
      <c r="I114" s="162" t="inlineStr"/>
      <c r="J114" s="162" t="inlineStr"/>
      <c r="K114" s="162" t="inlineStr">
        <is>
          <t>0.50</t>
        </is>
      </c>
      <c r="L114" s="162" t="inlineStr">
        <is>
          <t>information, krav, tömningstid</t>
        </is>
      </c>
      <c r="M114" s="162" t="inlineStr">
        <is>
          <t>Faktor kunde inte härledas från enhet/text. | Avfallstyp kunde inte härledas.</t>
        </is>
      </c>
    </row>
    <row r="115">
      <c r="A115" s="162" t="inlineStr">
        <is>
          <t>5.2</t>
        </is>
      </c>
      <c r="B115" s="162" t="inlineStr">
        <is>
          <t>Krav på närvaro vid specificerad tömningstid</t>
        </is>
      </c>
      <c r="C115" s="162" t="inlineStr"/>
      <c r="D115" s="162" t="inlineStr"/>
      <c r="E115" s="162" t="inlineStr">
        <is>
          <t>5.2</t>
        </is>
      </c>
      <c r="F115" s="162" t="inlineStr">
        <is>
          <t>Slam</t>
        </is>
      </c>
      <c r="G115" s="162" t="inlineStr"/>
      <c r="H115" s="162" t="inlineStr"/>
      <c r="I115" s="162" t="inlineStr"/>
      <c r="J115" s="162" t="inlineStr"/>
      <c r="K115" s="162" t="inlineStr">
        <is>
          <t>0.50</t>
        </is>
      </c>
      <c r="L115" s="162" t="inlineStr">
        <is>
          <t>krav, närvaro, specificerad, tömningstid, vid</t>
        </is>
      </c>
      <c r="M115" s="162" t="inlineStr">
        <is>
          <t>Faktor kunde inte härledas från enhet/text. | Avfallstyp kunde inte härledas.</t>
        </is>
      </c>
    </row>
    <row r="116">
      <c r="A116" s="162" t="inlineStr">
        <is>
          <t>5.2</t>
        </is>
      </c>
      <c r="B116" s="162" t="inlineStr">
        <is>
          <t>Hantering av kod för kodlås vid tömning</t>
        </is>
      </c>
      <c r="C116" s="162" t="inlineStr"/>
      <c r="D116" s="162" t="inlineStr">
        <is>
          <t>tömning</t>
        </is>
      </c>
      <c r="E116" s="162" t="inlineStr">
        <is>
          <t>5.2</t>
        </is>
      </c>
      <c r="F116" s="162" t="inlineStr">
        <is>
          <t>Slam</t>
        </is>
      </c>
      <c r="G116" s="162" t="inlineStr"/>
      <c r="H116" s="162" t="inlineStr"/>
      <c r="I116" s="162" t="inlineStr"/>
      <c r="J116" s="162" t="inlineStr"/>
      <c r="K116" s="162" t="inlineStr">
        <is>
          <t>0.50</t>
        </is>
      </c>
      <c r="L116" s="162" t="inlineStr">
        <is>
          <t>hantering, kod, kodlås, tömning, vid</t>
        </is>
      </c>
      <c r="M116" s="162" t="inlineStr">
        <is>
          <t>Faktor kunde inte härledas från enhet/text. | Avfallstyp kunde inte härledas.</t>
        </is>
      </c>
    </row>
    <row r="117">
      <c r="A117" s="162" t="inlineStr">
        <is>
          <t>5.2</t>
        </is>
      </c>
      <c r="B117" s="162" t="inlineStr">
        <is>
          <t>Hetvattentvätt med spolbil, timersättning</t>
        </is>
      </c>
      <c r="C117" s="162" t="inlineStr"/>
      <c r="D117" s="162" t="inlineStr"/>
      <c r="E117" s="162" t="inlineStr">
        <is>
          <t>5.2</t>
        </is>
      </c>
      <c r="F117" s="162" t="inlineStr">
        <is>
          <t>Slam</t>
        </is>
      </c>
      <c r="G117" s="162" t="inlineStr"/>
      <c r="H117" s="162" t="inlineStr"/>
      <c r="I117" s="162" t="inlineStr"/>
      <c r="J117" s="162" t="inlineStr"/>
      <c r="K117" s="162" t="inlineStr">
        <is>
          <t>0.50</t>
        </is>
      </c>
      <c r="L117" s="162" t="inlineStr">
        <is>
          <t>hetvattentvätt, spolbil, timersättning</t>
        </is>
      </c>
      <c r="M117" s="162" t="inlineStr">
        <is>
          <t>Faktor kunde inte härledas från enhet/text. | Avfallstyp kunde inte härledas.</t>
        </is>
      </c>
    </row>
    <row r="118">
      <c r="A118" s="162" t="inlineStr">
        <is>
          <t>5.2</t>
        </is>
      </c>
      <c r="B118" s="162" t="inlineStr">
        <is>
          <t>Silikontätning per lock</t>
        </is>
      </c>
      <c r="C118" s="162" t="inlineStr"/>
      <c r="D118" s="162" t="inlineStr"/>
      <c r="E118" s="162" t="inlineStr">
        <is>
          <t>5.2</t>
        </is>
      </c>
      <c r="F118" s="162" t="inlineStr">
        <is>
          <t>Slam</t>
        </is>
      </c>
      <c r="G118" s="162" t="inlineStr"/>
      <c r="H118" s="162" t="inlineStr"/>
      <c r="I118" s="162" t="inlineStr"/>
      <c r="J118" s="162" t="inlineStr"/>
      <c r="K118" s="162" t="inlineStr">
        <is>
          <t>0.50</t>
        </is>
      </c>
      <c r="L118" s="162" t="inlineStr">
        <is>
          <t>lock, silikontätning</t>
        </is>
      </c>
      <c r="M118" s="162" t="inlineStr">
        <is>
          <t>Faktor kunde inte härledas från enhet/text. | Avfallstyp kunde inte härledas.</t>
        </is>
      </c>
    </row>
    <row r="119">
      <c r="A119" s="162" t="inlineStr">
        <is>
          <t>5.2</t>
        </is>
      </c>
      <c r="B119" s="162" t="inlineStr">
        <is>
          <t>Tömning av extra tank i samband med ordinarie/budad tömning upp till 5 m3</t>
        </is>
      </c>
      <c r="C119" s="162" t="inlineStr"/>
      <c r="D119" s="162" t="inlineStr">
        <is>
          <t>m³</t>
        </is>
      </c>
      <c r="E119" s="162" t="inlineStr">
        <is>
          <t>5.2</t>
        </is>
      </c>
      <c r="F119" s="162" t="inlineStr">
        <is>
          <t>Slam</t>
        </is>
      </c>
      <c r="G119" s="162" t="inlineStr"/>
      <c r="H119" s="162" t="inlineStr">
        <is>
          <t>Volym</t>
        </is>
      </c>
      <c r="I119" s="162" t="inlineStr"/>
      <c r="J119" s="162" t="inlineStr">
        <is>
          <t>VOLM</t>
        </is>
      </c>
      <c r="K119" s="162" t="inlineStr">
        <is>
          <t>0.75</t>
        </is>
      </c>
      <c r="L119" s="162" t="inlineStr">
        <is>
          <t>budad, extra, ordinarie, samband, tank, tömning, upp</t>
        </is>
      </c>
      <c r="M119" s="162" t="inlineStr">
        <is>
          <t>Avfallstyp kunde inte härledas.</t>
        </is>
      </c>
    </row>
    <row r="120">
      <c r="A120" s="162" t="inlineStr">
        <is>
          <t>5.3</t>
        </is>
      </c>
      <c r="B120" s="162" t="inlineStr">
        <is>
          <t>Budning inom ordinarie tömningsperiod (1 maj- 31 oktober)</t>
        </is>
      </c>
      <c r="C120" s="162" t="inlineStr"/>
      <c r="D120" s="162" t="inlineStr"/>
      <c r="E120" s="162" t="inlineStr">
        <is>
          <t>5.3</t>
        </is>
      </c>
      <c r="F120" s="162" t="inlineStr">
        <is>
          <t>Slam</t>
        </is>
      </c>
      <c r="G120" s="162" t="inlineStr"/>
      <c r="H120" s="162" t="inlineStr"/>
      <c r="I120" s="162" t="inlineStr"/>
      <c r="J120" s="162" t="inlineStr"/>
      <c r="K120" s="162" t="inlineStr">
        <is>
          <t>0.50</t>
        </is>
      </c>
      <c r="L120" s="162" t="inlineStr">
        <is>
          <t>budning, inom, maj-31, oktober, ordinarie, tömningsperiod</t>
        </is>
      </c>
      <c r="M120" s="162" t="inlineStr">
        <is>
          <t>Faktor kunde inte härledas från enhet/text. | Avfallstyp kunde inte härledas.</t>
        </is>
      </c>
    </row>
    <row r="121">
      <c r="A121" s="162" t="inlineStr">
        <is>
          <t>5.3</t>
        </is>
      </c>
      <c r="B121" s="162" t="inlineStr">
        <is>
          <t>Budning utanför ordinarie tömningsperiod</t>
        </is>
      </c>
      <c r="C121" s="162" t="inlineStr"/>
      <c r="D121" s="162" t="inlineStr"/>
      <c r="E121" s="162" t="inlineStr">
        <is>
          <t>5.3</t>
        </is>
      </c>
      <c r="F121" s="162" t="inlineStr">
        <is>
          <t>Slam</t>
        </is>
      </c>
      <c r="G121" s="162" t="inlineStr"/>
      <c r="H121" s="162" t="inlineStr"/>
      <c r="I121" s="162" t="inlineStr"/>
      <c r="J121" s="162" t="inlineStr"/>
      <c r="K121" s="162" t="inlineStr">
        <is>
          <t>0.50</t>
        </is>
      </c>
      <c r="L121" s="162" t="inlineStr">
        <is>
          <t>budning, ordinarie, tömningsperiod, utanför</t>
        </is>
      </c>
      <c r="M121" s="162" t="inlineStr">
        <is>
          <t>Faktor kunde inte härledas från enhet/text. | Avfallstyp kunde inte härledas.</t>
        </is>
      </c>
    </row>
    <row r="122">
      <c r="A122" s="162" t="inlineStr">
        <is>
          <t>6.1.1</t>
        </is>
      </c>
      <c r="B122" s="162" t="inlineStr">
        <is>
          <t>Verksamheter</t>
        </is>
      </c>
      <c r="C122" s="162" t="inlineStr"/>
      <c r="D122" s="162" t="inlineStr"/>
      <c r="E122" s="162" t="inlineStr">
        <is>
          <t>6.1</t>
        </is>
      </c>
      <c r="F122" s="162" t="inlineStr">
        <is>
          <t>Verksamhetsavfall</t>
        </is>
      </c>
      <c r="G122" s="162" t="inlineStr"/>
      <c r="H122" s="162" t="inlineStr"/>
      <c r="I122" s="162" t="inlineStr"/>
      <c r="J122" s="162" t="inlineStr"/>
      <c r="K122" s="162" t="inlineStr">
        <is>
          <t>0.50</t>
        </is>
      </c>
      <c r="L122" s="162" t="inlineStr">
        <is>
          <t>verksamheter</t>
        </is>
      </c>
      <c r="M122" s="162" t="inlineStr">
        <is>
          <t>Faktor kunde inte härledas från enhet/text. | Avfallstyp kunde inte härledas.</t>
        </is>
      </c>
    </row>
    <row r="123">
      <c r="A123" s="162" t="inlineStr">
        <is>
          <t>6.1.1</t>
        </is>
      </c>
      <c r="B123" s="162" t="inlineStr">
        <is>
          <t>Övriga abonnemangstyper</t>
        </is>
      </c>
      <c r="C123" s="162" t="inlineStr"/>
      <c r="D123" s="162" t="inlineStr"/>
      <c r="E123" s="162" t="inlineStr">
        <is>
          <t>6.1</t>
        </is>
      </c>
      <c r="F123" s="162" t="inlineStr">
        <is>
          <t>Verksamhetsavfall</t>
        </is>
      </c>
      <c r="G123" s="162" t="inlineStr"/>
      <c r="H123" s="162" t="inlineStr"/>
      <c r="I123" s="162" t="inlineStr"/>
      <c r="J123" s="162" t="inlineStr"/>
      <c r="K123" s="162" t="inlineStr">
        <is>
          <t>0.50</t>
        </is>
      </c>
      <c r="L123" s="162" t="inlineStr">
        <is>
          <t>abonnemangstyper, övriga</t>
        </is>
      </c>
      <c r="M123" s="162" t="inlineStr">
        <is>
          <t>Faktor kunde inte härledas från enhet/text. | Avfallstyp kunde inte härledas.</t>
        </is>
      </c>
    </row>
    <row r="124">
      <c r="A124" s="162" t="inlineStr">
        <is>
          <t>6.1.1</t>
        </is>
      </c>
      <c r="B124" s="162" t="inlineStr">
        <is>
          <t>Vågkort</t>
        </is>
      </c>
      <c r="C124" s="162" t="inlineStr"/>
      <c r="D124" s="162" t="inlineStr"/>
      <c r="E124" s="162" t="inlineStr">
        <is>
          <t>6.1</t>
        </is>
      </c>
      <c r="F124" s="162" t="inlineStr">
        <is>
          <t>Verksamhetsavfall</t>
        </is>
      </c>
      <c r="G124" s="162" t="inlineStr"/>
      <c r="H124" s="162" t="inlineStr"/>
      <c r="I124" s="162" t="inlineStr"/>
      <c r="J124" s="162" t="inlineStr"/>
      <c r="K124" s="162" t="inlineStr">
        <is>
          <t>0.50</t>
        </is>
      </c>
      <c r="L124" s="162" t="inlineStr">
        <is>
          <t>vågkort</t>
        </is>
      </c>
      <c r="M124" s="162" t="inlineStr">
        <is>
          <t>Faktor kunde inte härledas från enhet/text. | Avfallstyp kunde inte härledas.</t>
        </is>
      </c>
    </row>
    <row r="125">
      <c r="A125" s="162" t="inlineStr">
        <is>
          <t>6.1.1</t>
        </is>
      </c>
      <c r="B125" s="162" t="inlineStr">
        <is>
          <t>Borttappat vågkort</t>
        </is>
      </c>
      <c r="C125" s="162" t="inlineStr"/>
      <c r="D125" s="162" t="inlineStr"/>
      <c r="E125" s="162" t="inlineStr">
        <is>
          <t>6.1</t>
        </is>
      </c>
      <c r="F125" s="162" t="inlineStr">
        <is>
          <t>Verksamhetsavfall</t>
        </is>
      </c>
      <c r="G125" s="162" t="inlineStr"/>
      <c r="H125" s="162" t="inlineStr"/>
      <c r="I125" s="162" t="inlineStr"/>
      <c r="J125" s="162" t="inlineStr"/>
      <c r="K125" s="162" t="inlineStr">
        <is>
          <t>0.50</t>
        </is>
      </c>
      <c r="L125" s="162" t="inlineStr">
        <is>
          <t>borttappat, vågkort</t>
        </is>
      </c>
      <c r="M125" s="162" t="inlineStr">
        <is>
          <t>Faktor kunde inte härledas från enhet/text. | Avfallstyp kunde inte härledas.</t>
        </is>
      </c>
    </row>
    <row r="126">
      <c r="A126" s="162" t="inlineStr">
        <is>
          <t>6.1.1</t>
        </is>
      </c>
      <c r="B126" s="162" t="inlineStr">
        <is>
          <t>Ej redovisad ankomst till ÅVC (för företagare och privatpersoner som lämnar verksamhetsavfall utan att anmäla sin ankomst)</t>
        </is>
      </c>
      <c r="C126" s="162" t="inlineStr"/>
      <c r="D126" s="162" t="inlineStr">
        <is>
          <t>besök</t>
        </is>
      </c>
      <c r="E126" s="162" t="inlineStr">
        <is>
          <t>6.1</t>
        </is>
      </c>
      <c r="F126" s="162" t="inlineStr">
        <is>
          <t>Verksamhetsavfall</t>
        </is>
      </c>
      <c r="G126" s="162" t="inlineStr"/>
      <c r="H126" s="162" t="inlineStr"/>
      <c r="I126" s="162" t="inlineStr"/>
      <c r="J126" s="162" t="inlineStr"/>
      <c r="K126" s="162" t="inlineStr">
        <is>
          <t>0.50</t>
        </is>
      </c>
      <c r="L126" s="162" t="inlineStr">
        <is>
          <t>ankomst, anmäla, att, besök, företagare, lämnar, privatpersoner, redovisad, sin, som, verksamhetsavfall, åvc</t>
        </is>
      </c>
      <c r="M126" s="162" t="inlineStr">
        <is>
          <t>Faktor kunde inte härledas från enhet/text. | Avfallstyp kunde inte härledas.</t>
        </is>
      </c>
    </row>
    <row r="127">
      <c r="A127" s="162" t="inlineStr">
        <is>
          <t>6.1.1</t>
        </is>
      </c>
      <c r="B127" s="162" t="inlineStr">
        <is>
          <t>Ej redovisad eller fel redovisad fraktion av avfall</t>
        </is>
      </c>
      <c r="C127" s="162" t="inlineStr"/>
      <c r="D127" s="162" t="inlineStr">
        <is>
          <t>fraktion</t>
        </is>
      </c>
      <c r="E127" s="162" t="inlineStr">
        <is>
          <t>6.1</t>
        </is>
      </c>
      <c r="F127" s="162" t="inlineStr">
        <is>
          <t>Verksamhetsavfall</t>
        </is>
      </c>
      <c r="G127" s="162" t="inlineStr"/>
      <c r="H127" s="162" t="inlineStr"/>
      <c r="I127" s="162" t="inlineStr"/>
      <c r="J127" s="162" t="inlineStr"/>
      <c r="K127" s="162" t="inlineStr">
        <is>
          <t>0.50</t>
        </is>
      </c>
      <c r="L127" s="162" t="inlineStr">
        <is>
          <t>avfall, eller, fel, fraktion, redovisad</t>
        </is>
      </c>
      <c r="M127" s="162" t="inlineStr">
        <is>
          <t>Faktor kunde inte härledas från enhet/text. | Avfallstyp kunde inte härledas.</t>
        </is>
      </c>
    </row>
    <row r="128">
      <c r="A128" s="162" t="inlineStr">
        <is>
          <t>6.1.2</t>
        </is>
      </c>
      <c r="B128" s="162" t="inlineStr">
        <is>
          <t>Avfall till energiåtervinning (240 L sopsäck)</t>
        </is>
      </c>
      <c r="C128" s="162" t="inlineStr"/>
      <c r="D128" s="162" t="inlineStr">
        <is>
          <t>styck</t>
        </is>
      </c>
      <c r="E128" s="162" t="inlineStr">
        <is>
          <t>6.1</t>
        </is>
      </c>
      <c r="F128" s="162" t="inlineStr">
        <is>
          <t>ÅVC/verksamhetsavfall</t>
        </is>
      </c>
      <c r="G128" s="162" t="inlineStr"/>
      <c r="H128" s="162" t="inlineStr">
        <is>
          <t>Styck</t>
        </is>
      </c>
      <c r="I128" s="162" t="inlineStr">
        <is>
          <t>240</t>
        </is>
      </c>
      <c r="J128" s="162" t="inlineStr">
        <is>
          <t>ST</t>
        </is>
      </c>
      <c r="K128" s="162" t="inlineStr">
        <is>
          <t>0.75</t>
        </is>
      </c>
      <c r="L128" s="162" t="inlineStr">
        <is>
          <t>240, avfall, energiåtervinning, sopsäck, styck</t>
        </is>
      </c>
      <c r="M128" s="162" t="inlineStr">
        <is>
          <t>Avfallstyp kunde inte härledas.</t>
        </is>
      </c>
    </row>
    <row r="129">
      <c r="A129" s="162" t="inlineStr">
        <is>
          <t>6.1.2</t>
        </is>
      </c>
      <c r="B129" s="162" t="inlineStr">
        <is>
          <t>Avfall till energiåtervinning</t>
        </is>
      </c>
      <c r="C129" s="162" t="inlineStr"/>
      <c r="D129" s="162" t="inlineStr">
        <is>
          <t>kilogram</t>
        </is>
      </c>
      <c r="E129" s="162" t="inlineStr">
        <is>
          <t>6.1</t>
        </is>
      </c>
      <c r="F129" s="162" t="inlineStr">
        <is>
          <t>ÅVC/verksamhetsavfall</t>
        </is>
      </c>
      <c r="G129" s="162" t="inlineStr"/>
      <c r="H129" s="162" t="inlineStr">
        <is>
          <t>Vikt</t>
        </is>
      </c>
      <c r="I129" s="162" t="inlineStr"/>
      <c r="J129" s="162" t="inlineStr">
        <is>
          <t>VIKG</t>
        </is>
      </c>
      <c r="K129" s="162" t="inlineStr">
        <is>
          <t>0.75</t>
        </is>
      </c>
      <c r="L129" s="162" t="inlineStr">
        <is>
          <t>avfall, energiåtervinning, kilogram</t>
        </is>
      </c>
      <c r="M129" s="162" t="inlineStr">
        <is>
          <t>Avfallstyp kunde inte härledas.</t>
        </is>
      </c>
    </row>
    <row r="130">
      <c r="A130" s="162" t="inlineStr">
        <is>
          <t>6.1.2</t>
        </is>
      </c>
      <c r="B130" s="162" t="inlineStr">
        <is>
          <t>Skrymmande avfall till energiåtervinning större än 20×20×80</t>
        </is>
      </c>
      <c r="C130" s="162" t="inlineStr"/>
      <c r="D130" s="162" t="inlineStr">
        <is>
          <t>kilogram</t>
        </is>
      </c>
      <c r="E130" s="162" t="inlineStr">
        <is>
          <t>6.1</t>
        </is>
      </c>
      <c r="F130" s="162" t="inlineStr">
        <is>
          <t>ÅVC/verksamhetsavfall</t>
        </is>
      </c>
      <c r="G130" s="162" t="inlineStr"/>
      <c r="H130" s="162" t="inlineStr">
        <is>
          <t>Vikt</t>
        </is>
      </c>
      <c r="I130" s="162" t="inlineStr"/>
      <c r="J130" s="162" t="inlineStr">
        <is>
          <t>VIKG</t>
        </is>
      </c>
      <c r="K130" s="162" t="inlineStr">
        <is>
          <t>0.75</t>
        </is>
      </c>
      <c r="L130" s="162" t="inlineStr">
        <is>
          <t>20x20x80, avfall, energiåtervinning, kilogram, skrymmande, större</t>
        </is>
      </c>
      <c r="M130" s="162" t="inlineStr">
        <is>
          <t>Avfallstyp kunde inte härledas.</t>
        </is>
      </c>
    </row>
    <row r="131">
      <c r="A131" s="162" t="inlineStr">
        <is>
          <t>6.1.2</t>
        </is>
      </c>
      <c r="B131" s="162" t="inlineStr">
        <is>
          <t>Träavfall – obehandlat, utan tapet, plastmatta, tjärpapp</t>
        </is>
      </c>
      <c r="C131" s="162" t="inlineStr"/>
      <c r="D131" s="162" t="inlineStr">
        <is>
          <t>kilogram</t>
        </is>
      </c>
      <c r="E131" s="162" t="inlineStr">
        <is>
          <t>6.1</t>
        </is>
      </c>
      <c r="F131" s="162" t="inlineStr">
        <is>
          <t>ÅVC/verksamhetsavfall</t>
        </is>
      </c>
      <c r="G131" s="162" t="inlineStr"/>
      <c r="H131" s="162" t="inlineStr">
        <is>
          <t>Vikt</t>
        </is>
      </c>
      <c r="I131" s="162" t="inlineStr"/>
      <c r="J131" s="162" t="inlineStr">
        <is>
          <t>VIKG</t>
        </is>
      </c>
      <c r="K131" s="162" t="inlineStr">
        <is>
          <t>0.75</t>
        </is>
      </c>
      <c r="L131" s="162" t="inlineStr">
        <is>
          <t>kilogram, plastmatta, tapet, tjärpapp, träavfall-obehandlat</t>
        </is>
      </c>
      <c r="M131" s="162" t="inlineStr">
        <is>
          <t>Avfallstyp kunde inte härledas.</t>
        </is>
      </c>
    </row>
    <row r="132">
      <c r="A132" s="162" t="inlineStr">
        <is>
          <t>6.1.2</t>
        </is>
      </c>
      <c r="B132" s="162" t="inlineStr">
        <is>
          <t>Träavfall – behandlat, utan tapet, plastmatta, tjärpapp</t>
        </is>
      </c>
      <c r="C132" s="162" t="inlineStr"/>
      <c r="D132" s="162" t="inlineStr">
        <is>
          <t>kilogram</t>
        </is>
      </c>
      <c r="E132" s="162" t="inlineStr">
        <is>
          <t>6.1</t>
        </is>
      </c>
      <c r="F132" s="162" t="inlineStr">
        <is>
          <t>ÅVC/verksamhetsavfall</t>
        </is>
      </c>
      <c r="G132" s="162" t="inlineStr"/>
      <c r="H132" s="162" t="inlineStr">
        <is>
          <t>Vikt</t>
        </is>
      </c>
      <c r="I132" s="162" t="inlineStr"/>
      <c r="J132" s="162" t="inlineStr">
        <is>
          <t>VIKG</t>
        </is>
      </c>
      <c r="K132" s="162" t="inlineStr">
        <is>
          <t>0.75</t>
        </is>
      </c>
      <c r="L132" s="162" t="inlineStr">
        <is>
          <t>kilogram, plastmatta, tapet, tjärpapp, träavfall-behandlat</t>
        </is>
      </c>
      <c r="M132" s="162" t="inlineStr">
        <is>
          <t>Avfallstyp kunde inte härledas.</t>
        </is>
      </c>
    </row>
    <row r="133">
      <c r="A133" s="162" t="inlineStr">
        <is>
          <t>6.1.2</t>
        </is>
      </c>
      <c r="B133" s="162" t="inlineStr">
        <is>
          <t>Tryckimpregnerat virke, pall</t>
        </is>
      </c>
      <c r="C133" s="162" t="inlineStr"/>
      <c r="D133" s="162" t="inlineStr">
        <is>
          <t>kilogram</t>
        </is>
      </c>
      <c r="E133" s="162" t="inlineStr">
        <is>
          <t>6.1</t>
        </is>
      </c>
      <c r="F133" s="162" t="inlineStr">
        <is>
          <t>ÅVC/verksamhetsavfall</t>
        </is>
      </c>
      <c r="G133" s="162" t="inlineStr">
        <is>
          <t>Tryckimpregnerat trä</t>
        </is>
      </c>
      <c r="H133" s="162" t="inlineStr">
        <is>
          <t>Vikt</t>
        </is>
      </c>
      <c r="I133" s="162" t="inlineStr"/>
      <c r="J133" s="162" t="inlineStr">
        <is>
          <t>VIKG</t>
        </is>
      </c>
      <c r="K133" s="162" t="inlineStr">
        <is>
          <t>1.00</t>
        </is>
      </c>
      <c r="L133" s="162" t="inlineStr">
        <is>
          <t>kilogram, pall, tryckimpregnerat, virke</t>
        </is>
      </c>
      <c r="M133" s="162" t="inlineStr"/>
    </row>
    <row r="134">
      <c r="A134" s="162" t="inlineStr">
        <is>
          <t>6.1.2</t>
        </is>
      </c>
      <c r="B134" s="162" t="inlineStr">
        <is>
          <t>Betong, lättbetong</t>
        </is>
      </c>
      <c r="C134" s="162" t="inlineStr"/>
      <c r="D134" s="162" t="inlineStr">
        <is>
          <t>kilogram</t>
        </is>
      </c>
      <c r="E134" s="162" t="inlineStr">
        <is>
          <t>6.1</t>
        </is>
      </c>
      <c r="F134" s="162" t="inlineStr">
        <is>
          <t>ÅVC/verksamhetsavfall</t>
        </is>
      </c>
      <c r="G134" s="162" t="inlineStr">
        <is>
          <t>Betong</t>
        </is>
      </c>
      <c r="H134" s="162" t="inlineStr">
        <is>
          <t>Vikt</t>
        </is>
      </c>
      <c r="I134" s="162" t="inlineStr"/>
      <c r="J134" s="162" t="inlineStr">
        <is>
          <t>VIKG</t>
        </is>
      </c>
      <c r="K134" s="162" t="inlineStr">
        <is>
          <t>1.00</t>
        </is>
      </c>
      <c r="L134" s="162" t="inlineStr">
        <is>
          <t>betong, kilogram, lättbetong</t>
        </is>
      </c>
      <c r="M134" s="162" t="inlineStr"/>
    </row>
    <row r="135">
      <c r="A135" s="162" t="inlineStr">
        <is>
          <t>6.1.2</t>
        </is>
      </c>
      <c r="B135" s="162" t="inlineStr">
        <is>
          <t>Gips, gipsskivor</t>
        </is>
      </c>
      <c r="C135" s="162" t="inlineStr"/>
      <c r="D135" s="162" t="inlineStr">
        <is>
          <t>kilogram</t>
        </is>
      </c>
      <c r="E135" s="162" t="inlineStr">
        <is>
          <t>6.1</t>
        </is>
      </c>
      <c r="F135" s="162" t="inlineStr">
        <is>
          <t>ÅVC/verksamhetsavfall</t>
        </is>
      </c>
      <c r="G135" s="162" t="inlineStr">
        <is>
          <t>Gips</t>
        </is>
      </c>
      <c r="H135" s="162" t="inlineStr">
        <is>
          <t>Vikt</t>
        </is>
      </c>
      <c r="I135" s="162" t="inlineStr"/>
      <c r="J135" s="162" t="inlineStr">
        <is>
          <t>VIKG</t>
        </is>
      </c>
      <c r="K135" s="162" t="inlineStr">
        <is>
          <t>1.00</t>
        </is>
      </c>
      <c r="L135" s="162" t="inlineStr">
        <is>
          <t>gips, gipsskivor, kilogram</t>
        </is>
      </c>
      <c r="M135" s="162" t="inlineStr"/>
    </row>
    <row r="136">
      <c r="A136" s="162" t="inlineStr">
        <is>
          <t>6.1.2</t>
        </is>
      </c>
      <c r="B136" s="162" t="inlineStr">
        <is>
          <t>Tegel</t>
        </is>
      </c>
      <c r="C136" s="162" t="inlineStr"/>
      <c r="D136" s="162" t="inlineStr">
        <is>
          <t>kilogram</t>
        </is>
      </c>
      <c r="E136" s="162" t="inlineStr">
        <is>
          <t>6.1</t>
        </is>
      </c>
      <c r="F136" s="162" t="inlineStr">
        <is>
          <t>ÅVC/verksamhetsavfall</t>
        </is>
      </c>
      <c r="G136" s="162" t="inlineStr">
        <is>
          <t>Tegel</t>
        </is>
      </c>
      <c r="H136" s="162" t="inlineStr">
        <is>
          <t>Vikt</t>
        </is>
      </c>
      <c r="I136" s="162" t="inlineStr"/>
      <c r="J136" s="162" t="inlineStr">
        <is>
          <t>VIKG</t>
        </is>
      </c>
      <c r="K136" s="162" t="inlineStr">
        <is>
          <t>1.00</t>
        </is>
      </c>
      <c r="L136" s="162" t="inlineStr">
        <is>
          <t>kilogram, tegel</t>
        </is>
      </c>
      <c r="M136" s="162" t="inlineStr"/>
    </row>
    <row r="137">
      <c r="A137" s="162" t="inlineStr">
        <is>
          <t>6.1.2</t>
        </is>
      </c>
      <c r="B137" s="162" t="inlineStr">
        <is>
          <t>Fönster- och planglas utan karm</t>
        </is>
      </c>
      <c r="C137" s="162" t="inlineStr"/>
      <c r="D137" s="162" t="inlineStr">
        <is>
          <t>kilogram</t>
        </is>
      </c>
      <c r="E137" s="162" t="inlineStr">
        <is>
          <t>6.1</t>
        </is>
      </c>
      <c r="F137" s="162" t="inlineStr">
        <is>
          <t>ÅVC/verksamhetsavfall</t>
        </is>
      </c>
      <c r="G137" s="162" t="inlineStr"/>
      <c r="H137" s="162" t="inlineStr">
        <is>
          <t>Vikt</t>
        </is>
      </c>
      <c r="I137" s="162" t="inlineStr"/>
      <c r="J137" s="162" t="inlineStr">
        <is>
          <t>VIKG</t>
        </is>
      </c>
      <c r="K137" s="162" t="inlineStr">
        <is>
          <t>0.75</t>
        </is>
      </c>
      <c r="L137" s="162" t="inlineStr">
        <is>
          <t>fönster-och, karm, kilogram, planglas</t>
        </is>
      </c>
      <c r="M137" s="162" t="inlineStr">
        <is>
          <t>Avfallstyp kunde inte härledas.</t>
        </is>
      </c>
    </row>
    <row r="138">
      <c r="A138" s="162" t="inlineStr">
        <is>
          <t>6.1.2</t>
        </is>
      </c>
      <c r="B138" s="162" t="inlineStr">
        <is>
          <t>Plast</t>
        </is>
      </c>
      <c r="C138" s="162" t="inlineStr"/>
      <c r="D138" s="162" t="inlineStr">
        <is>
          <t>kilogram</t>
        </is>
      </c>
      <c r="E138" s="162" t="inlineStr">
        <is>
          <t>6.1</t>
        </is>
      </c>
      <c r="F138" s="162" t="inlineStr">
        <is>
          <t>ÅVC/verksamhetsavfall</t>
        </is>
      </c>
      <c r="G138" s="162" t="inlineStr">
        <is>
          <t>Plast</t>
        </is>
      </c>
      <c r="H138" s="162" t="inlineStr">
        <is>
          <t>Vikt</t>
        </is>
      </c>
      <c r="I138" s="162" t="inlineStr"/>
      <c r="J138" s="162" t="inlineStr">
        <is>
          <t>VIKG</t>
        </is>
      </c>
      <c r="K138" s="162" t="inlineStr">
        <is>
          <t>1.00</t>
        </is>
      </c>
      <c r="L138" s="162" t="inlineStr">
        <is>
          <t>kilogram, plast</t>
        </is>
      </c>
      <c r="M138" s="162" t="inlineStr"/>
    </row>
    <row r="139">
      <c r="A139" s="162" t="inlineStr">
        <is>
          <t>6.1.2</t>
        </is>
      </c>
      <c r="B139" s="162" t="inlineStr">
        <is>
          <t>Isolering utan innehåll av asbest</t>
        </is>
      </c>
      <c r="C139" s="162" t="inlineStr"/>
      <c r="D139" s="162" t="inlineStr">
        <is>
          <t>m³</t>
        </is>
      </c>
      <c r="E139" s="162" t="inlineStr">
        <is>
          <t>6.1</t>
        </is>
      </c>
      <c r="F139" s="162" t="inlineStr">
        <is>
          <t>ÅVC/verksamhetsavfall</t>
        </is>
      </c>
      <c r="G139" s="162" t="inlineStr">
        <is>
          <t>Asbest</t>
        </is>
      </c>
      <c r="H139" s="162" t="inlineStr">
        <is>
          <t>Volym</t>
        </is>
      </c>
      <c r="I139" s="162" t="inlineStr"/>
      <c r="J139" s="162" t="inlineStr">
        <is>
          <t>VOLM</t>
        </is>
      </c>
      <c r="K139" s="162" t="inlineStr">
        <is>
          <t>1.00</t>
        </is>
      </c>
      <c r="L139" s="162" t="inlineStr">
        <is>
          <t>asbest, innehåll, isolering</t>
        </is>
      </c>
      <c r="M139" s="162" t="inlineStr"/>
    </row>
    <row r="140">
      <c r="A140" s="162" t="inlineStr">
        <is>
          <t>6.1.2</t>
        </is>
      </c>
      <c r="B140" s="162" t="inlineStr">
        <is>
          <t>Klinker, keramik, porslin</t>
        </is>
      </c>
      <c r="C140" s="162" t="inlineStr"/>
      <c r="D140" s="162" t="inlineStr">
        <is>
          <t>kilogram</t>
        </is>
      </c>
      <c r="E140" s="162" t="inlineStr">
        <is>
          <t>6.1</t>
        </is>
      </c>
      <c r="F140" s="162" t="inlineStr">
        <is>
          <t>ÅVC/verksamhetsavfall</t>
        </is>
      </c>
      <c r="G140" s="162" t="inlineStr"/>
      <c r="H140" s="162" t="inlineStr">
        <is>
          <t>Vikt</t>
        </is>
      </c>
      <c r="I140" s="162" t="inlineStr"/>
      <c r="J140" s="162" t="inlineStr">
        <is>
          <t>VIKG</t>
        </is>
      </c>
      <c r="K140" s="162" t="inlineStr">
        <is>
          <t>0.75</t>
        </is>
      </c>
      <c r="L140" s="162" t="inlineStr">
        <is>
          <t>keramik, kilogram, klinker, porslin</t>
        </is>
      </c>
      <c r="M140" s="162" t="inlineStr">
        <is>
          <t>Avfallstyp kunde inte härledas.</t>
        </is>
      </c>
    </row>
    <row r="141">
      <c r="A141" s="162" t="inlineStr">
        <is>
          <t>6.1.2</t>
        </is>
      </c>
      <c r="B141" s="162" t="inlineStr">
        <is>
          <t>Handfat</t>
        </is>
      </c>
      <c r="C141" s="162" t="inlineStr"/>
      <c r="D141" s="162" t="inlineStr">
        <is>
          <t>styck</t>
        </is>
      </c>
      <c r="E141" s="162" t="inlineStr">
        <is>
          <t>6.1</t>
        </is>
      </c>
      <c r="F141" s="162" t="inlineStr">
        <is>
          <t>ÅVC/verksamhetsavfall</t>
        </is>
      </c>
      <c r="G141" s="162" t="inlineStr"/>
      <c r="H141" s="162" t="inlineStr">
        <is>
          <t>Styck</t>
        </is>
      </c>
      <c r="I141" s="162" t="inlineStr"/>
      <c r="J141" s="162" t="inlineStr">
        <is>
          <t>ST</t>
        </is>
      </c>
      <c r="K141" s="162" t="inlineStr">
        <is>
          <t>0.75</t>
        </is>
      </c>
      <c r="L141" s="162" t="inlineStr">
        <is>
          <t>handfat, styck</t>
        </is>
      </c>
      <c r="M141" s="162" t="inlineStr">
        <is>
          <t>Avfallstyp kunde inte härledas.</t>
        </is>
      </c>
    </row>
    <row r="142">
      <c r="A142" s="162" t="inlineStr">
        <is>
          <t>6.1.2</t>
        </is>
      </c>
      <c r="B142" s="162" t="inlineStr">
        <is>
          <t>WC-stol</t>
        </is>
      </c>
      <c r="C142" s="162" t="inlineStr"/>
      <c r="D142" s="162" t="inlineStr">
        <is>
          <t>styck</t>
        </is>
      </c>
      <c r="E142" s="162" t="inlineStr">
        <is>
          <t>6.1</t>
        </is>
      </c>
      <c r="F142" s="162" t="inlineStr">
        <is>
          <t>ÅVC/verksamhetsavfall</t>
        </is>
      </c>
      <c r="G142" s="162" t="inlineStr"/>
      <c r="H142" s="162" t="inlineStr">
        <is>
          <t>Styck</t>
        </is>
      </c>
      <c r="I142" s="162" t="inlineStr"/>
      <c r="J142" s="162" t="inlineStr">
        <is>
          <t>ST</t>
        </is>
      </c>
      <c r="K142" s="162" t="inlineStr">
        <is>
          <t>0.75</t>
        </is>
      </c>
      <c r="L142" s="162" t="inlineStr">
        <is>
          <t>styck, wc-stol</t>
        </is>
      </c>
      <c r="M142" s="162" t="inlineStr">
        <is>
          <t>Avfallstyp kunde inte härledas.</t>
        </is>
      </c>
    </row>
    <row r="143">
      <c r="A143" s="162" t="inlineStr">
        <is>
          <t>6.1.2</t>
        </is>
      </c>
      <c r="B143" s="162" t="inlineStr">
        <is>
          <t>Metall</t>
        </is>
      </c>
      <c r="C143" s="162" t="inlineStr"/>
      <c r="D143" s="162" t="inlineStr">
        <is>
          <t>kilogram</t>
        </is>
      </c>
      <c r="E143" s="162" t="inlineStr">
        <is>
          <t>6.1</t>
        </is>
      </c>
      <c r="F143" s="162" t="inlineStr">
        <is>
          <t>ÅVC/verksamhetsavfall</t>
        </is>
      </c>
      <c r="G143" s="162" t="inlineStr">
        <is>
          <t>Metall</t>
        </is>
      </c>
      <c r="H143" s="162" t="inlineStr">
        <is>
          <t>Vikt</t>
        </is>
      </c>
      <c r="I143" s="162" t="inlineStr"/>
      <c r="J143" s="162" t="inlineStr">
        <is>
          <t>VIKG</t>
        </is>
      </c>
      <c r="K143" s="162" t="inlineStr">
        <is>
          <t>1.00</t>
        </is>
      </c>
      <c r="L143" s="162" t="inlineStr">
        <is>
          <t>kilogram, metall</t>
        </is>
      </c>
      <c r="M143" s="162" t="inlineStr"/>
    </row>
    <row r="144">
      <c r="A144" s="162" t="inlineStr">
        <is>
          <t>6.1.2</t>
        </is>
      </c>
      <c r="B144" s="162" t="inlineStr">
        <is>
          <t>Textilier</t>
        </is>
      </c>
      <c r="C144" s="162" t="inlineStr"/>
      <c r="D144" s="162" t="inlineStr">
        <is>
          <t>kilogram</t>
        </is>
      </c>
      <c r="E144" s="162" t="inlineStr">
        <is>
          <t>6.1</t>
        </is>
      </c>
      <c r="F144" s="162" t="inlineStr">
        <is>
          <t>ÅVC/verksamhetsavfall</t>
        </is>
      </c>
      <c r="G144" s="162" t="inlineStr"/>
      <c r="H144" s="162" t="inlineStr">
        <is>
          <t>Vikt</t>
        </is>
      </c>
      <c r="I144" s="162" t="inlineStr"/>
      <c r="J144" s="162" t="inlineStr">
        <is>
          <t>VIKG</t>
        </is>
      </c>
      <c r="K144" s="162" t="inlineStr">
        <is>
          <t>0.75</t>
        </is>
      </c>
      <c r="L144" s="162" t="inlineStr">
        <is>
          <t>kilogram, textilier</t>
        </is>
      </c>
      <c r="M144" s="162" t="inlineStr">
        <is>
          <t>Avfallstyp kunde inte härledas.</t>
        </is>
      </c>
    </row>
    <row r="145">
      <c r="A145" s="162" t="inlineStr">
        <is>
          <t>6.1.2</t>
        </is>
      </c>
      <c r="B145" s="162" t="inlineStr">
        <is>
          <t>Fiskeredskap</t>
        </is>
      </c>
      <c r="C145" s="162" t="inlineStr"/>
      <c r="D145" s="162" t="inlineStr">
        <is>
          <t>kilogram</t>
        </is>
      </c>
      <c r="E145" s="162" t="inlineStr">
        <is>
          <t>6.1</t>
        </is>
      </c>
      <c r="F145" s="162" t="inlineStr">
        <is>
          <t>ÅVC/verksamhetsavfall</t>
        </is>
      </c>
      <c r="G145" s="162" t="inlineStr"/>
      <c r="H145" s="162" t="inlineStr">
        <is>
          <t>Vikt</t>
        </is>
      </c>
      <c r="I145" s="162" t="inlineStr"/>
      <c r="J145" s="162" t="inlineStr">
        <is>
          <t>VIKG</t>
        </is>
      </c>
      <c r="K145" s="162" t="inlineStr">
        <is>
          <t>0.75</t>
        </is>
      </c>
      <c r="L145" s="162" t="inlineStr">
        <is>
          <t>fiskeredskap, kilogram</t>
        </is>
      </c>
      <c r="M145" s="162" t="inlineStr">
        <is>
          <t>Avfallstyp kunde inte härledas.</t>
        </is>
      </c>
    </row>
    <row r="146">
      <c r="A146" s="162" t="inlineStr">
        <is>
          <t>6.1.2</t>
        </is>
      </c>
      <c r="B146" s="162" t="inlineStr">
        <is>
          <t>Ätbart fett/frityrolja</t>
        </is>
      </c>
      <c r="C146" s="162" t="inlineStr"/>
      <c r="D146" s="162" t="inlineStr">
        <is>
          <t>liter</t>
        </is>
      </c>
      <c r="E146" s="162" t="inlineStr">
        <is>
          <t>6.1</t>
        </is>
      </c>
      <c r="F146" s="162" t="inlineStr">
        <is>
          <t>ÅVC/verksamhetsavfall</t>
        </is>
      </c>
      <c r="G146" s="162" t="inlineStr"/>
      <c r="H146" s="162" t="inlineStr">
        <is>
          <t>Behållarvolym</t>
        </is>
      </c>
      <c r="I146" s="162" t="inlineStr"/>
      <c r="J146" s="162" t="inlineStr">
        <is>
          <t>VOLYM/BEHÅLLARE</t>
        </is>
      </c>
      <c r="K146" s="162" t="inlineStr">
        <is>
          <t>0.75</t>
        </is>
      </c>
      <c r="L146" s="162" t="inlineStr">
        <is>
          <t>fett, frityrolja, liter, ätbart</t>
        </is>
      </c>
      <c r="M146" s="162" t="inlineStr">
        <is>
          <t>Avfallstyp kunde inte härledas.</t>
        </is>
      </c>
    </row>
    <row r="147">
      <c r="A147" s="162" t="inlineStr">
        <is>
          <t>6.1.2</t>
        </is>
      </c>
      <c r="B147" s="162" t="inlineStr">
        <is>
          <t>Kvistar och grenar</t>
        </is>
      </c>
      <c r="C147" s="162" t="inlineStr"/>
      <c r="D147" s="162" t="inlineStr">
        <is>
          <t>m³</t>
        </is>
      </c>
      <c r="E147" s="162" t="inlineStr">
        <is>
          <t>6.1</t>
        </is>
      </c>
      <c r="F147" s="162" t="inlineStr">
        <is>
          <t>ÅVC/verksamhetsavfall</t>
        </is>
      </c>
      <c r="G147" s="162" t="inlineStr"/>
      <c r="H147" s="162" t="inlineStr">
        <is>
          <t>Volym</t>
        </is>
      </c>
      <c r="I147" s="162" t="inlineStr"/>
      <c r="J147" s="162" t="inlineStr">
        <is>
          <t>VOLM</t>
        </is>
      </c>
      <c r="K147" s="162" t="inlineStr">
        <is>
          <t>0.75</t>
        </is>
      </c>
      <c r="L147" s="162" t="inlineStr">
        <is>
          <t>grenar, kvistar</t>
        </is>
      </c>
      <c r="M147" s="162" t="inlineStr">
        <is>
          <t>Avfallstyp kunde inte härledas.</t>
        </is>
      </c>
    </row>
    <row r="148">
      <c r="A148" s="162" t="inlineStr">
        <is>
          <t>6.1.2</t>
        </is>
      </c>
      <c r="B148" s="162" t="inlineStr">
        <is>
          <t>Flera fraktioner för egen sortering på ramp (max 2 m³)</t>
        </is>
      </c>
      <c r="C148" s="162" t="inlineStr"/>
      <c r="D148" s="162" t="inlineStr">
        <is>
          <t>m³</t>
        </is>
      </c>
      <c r="E148" s="162" t="inlineStr">
        <is>
          <t>6.1</t>
        </is>
      </c>
      <c r="F148" s="162" t="inlineStr">
        <is>
          <t>ÅVC/verksamhetsavfall</t>
        </is>
      </c>
      <c r="G148" s="162" t="inlineStr"/>
      <c r="H148" s="162" t="inlineStr">
        <is>
          <t>Volym</t>
        </is>
      </c>
      <c r="I148" s="162" t="inlineStr"/>
      <c r="J148" s="162" t="inlineStr">
        <is>
          <t>VOLM</t>
        </is>
      </c>
      <c r="K148" s="162" t="inlineStr">
        <is>
          <t>0.75</t>
        </is>
      </c>
      <c r="L148" s="162" t="inlineStr">
        <is>
          <t>egen, flera, fraktioner, max2, ramp, sortering</t>
        </is>
      </c>
      <c r="M148" s="162" t="inlineStr">
        <is>
          <t>Avfallstyp kunde inte härledas.</t>
        </is>
      </c>
    </row>
    <row r="149">
      <c r="A149" s="162" t="inlineStr">
        <is>
          <t>6.1.2</t>
        </is>
      </c>
      <c r="B149" s="162" t="inlineStr">
        <is>
          <t>Osorterat avfall till sortering (ej innehåll av farligt avfall och elavfall)</t>
        </is>
      </c>
      <c r="C149" s="162" t="inlineStr"/>
      <c r="D149" s="162" t="inlineStr"/>
      <c r="E149" s="162" t="inlineStr">
        <is>
          <t>6.1</t>
        </is>
      </c>
      <c r="F149" s="162" t="inlineStr">
        <is>
          <t>ÅVC/verksamhetsavfall</t>
        </is>
      </c>
      <c r="G149" s="162" t="inlineStr">
        <is>
          <t>Elavfall</t>
        </is>
      </c>
      <c r="H149" s="162" t="inlineStr"/>
      <c r="I149" s="162" t="inlineStr"/>
      <c r="J149" s="162" t="inlineStr"/>
      <c r="K149" s="162" t="inlineStr">
        <is>
          <t>0.75</t>
        </is>
      </c>
      <c r="L149" s="162" t="inlineStr">
        <is>
          <t>avfall, elavfall, farligt, innehåll, osorterat, sortering</t>
        </is>
      </c>
      <c r="M149" s="162" t="inlineStr">
        <is>
          <t>Faktor kunde inte härledas från enhet/text.</t>
        </is>
      </c>
    </row>
    <row r="150">
      <c r="A150" s="162" t="inlineStr">
        <is>
          <t>6.1.2</t>
        </is>
      </c>
      <c r="B150" s="162" t="inlineStr">
        <is>
          <t>Tonerkassetter, utan elektronik/chip</t>
        </is>
      </c>
      <c r="C150" s="162" t="inlineStr"/>
      <c r="D150" s="162" t="inlineStr">
        <is>
          <t>kilogram</t>
        </is>
      </c>
      <c r="E150" s="162" t="inlineStr">
        <is>
          <t>6.1</t>
        </is>
      </c>
      <c r="F150" s="162" t="inlineStr">
        <is>
          <t>ÅVC/verksamhetsavfall</t>
        </is>
      </c>
      <c r="G150" s="162" t="inlineStr"/>
      <c r="H150" s="162" t="inlineStr">
        <is>
          <t>Vikt</t>
        </is>
      </c>
      <c r="I150" s="162" t="inlineStr"/>
      <c r="J150" s="162" t="inlineStr">
        <is>
          <t>VIKG</t>
        </is>
      </c>
      <c r="K150" s="162" t="inlineStr">
        <is>
          <t>0.75</t>
        </is>
      </c>
      <c r="L150" s="162" t="inlineStr">
        <is>
          <t>chip, elektronik, kilogram, tonerkassetter</t>
        </is>
      </c>
      <c r="M150" s="162" t="inlineStr">
        <is>
          <t>Avfallstyp kunde inte härledas.</t>
        </is>
      </c>
    </row>
    <row r="151">
      <c r="A151" s="162" t="inlineStr">
        <is>
          <t>6.1.2</t>
        </is>
      </c>
      <c r="B151" s="162" t="inlineStr">
        <is>
          <t>Oljeemulsion, emballerat</t>
        </is>
      </c>
      <c r="C151" s="162" t="inlineStr"/>
      <c r="D151" s="162" t="inlineStr">
        <is>
          <t>kilogram</t>
        </is>
      </c>
      <c r="E151" s="162" t="inlineStr">
        <is>
          <t>6.1</t>
        </is>
      </c>
      <c r="F151" s="162" t="inlineStr">
        <is>
          <t>ÅVC/verksamhetsavfall</t>
        </is>
      </c>
      <c r="G151" s="162" t="inlineStr">
        <is>
          <t>Oljeavfall</t>
        </is>
      </c>
      <c r="H151" s="162" t="inlineStr">
        <is>
          <t>Vikt</t>
        </is>
      </c>
      <c r="I151" s="162" t="inlineStr"/>
      <c r="J151" s="162" t="inlineStr">
        <is>
          <t>VIKG</t>
        </is>
      </c>
      <c r="K151" s="162" t="inlineStr">
        <is>
          <t>1.00</t>
        </is>
      </c>
      <c r="L151" s="162" t="inlineStr">
        <is>
          <t>emballerat, kilogram, oljeemulsion</t>
        </is>
      </c>
      <c r="M151" s="162" t="inlineStr"/>
    </row>
    <row r="152">
      <c r="A152" s="162" t="inlineStr">
        <is>
          <t>6.1.2</t>
        </is>
      </c>
      <c r="B152" s="162" t="inlineStr">
        <is>
          <t>Förorenad olja innehållande PCB</t>
        </is>
      </c>
      <c r="C152" s="162" t="inlineStr"/>
      <c r="D152" s="162" t="inlineStr">
        <is>
          <t>kilogram</t>
        </is>
      </c>
      <c r="E152" s="162" t="inlineStr">
        <is>
          <t>6.1</t>
        </is>
      </c>
      <c r="F152" s="162" t="inlineStr">
        <is>
          <t>ÅVC/verksamhetsavfall</t>
        </is>
      </c>
      <c r="G152" s="162" t="inlineStr">
        <is>
          <t>Oljeavfall</t>
        </is>
      </c>
      <c r="H152" s="162" t="inlineStr">
        <is>
          <t>Vikt</t>
        </is>
      </c>
      <c r="I152" s="162" t="inlineStr"/>
      <c r="J152" s="162" t="inlineStr">
        <is>
          <t>VIKG</t>
        </is>
      </c>
      <c r="K152" s="162" t="inlineStr">
        <is>
          <t>1.00</t>
        </is>
      </c>
      <c r="L152" s="162" t="inlineStr">
        <is>
          <t>förorenad, innehållande, kilogram, olja, pcb</t>
        </is>
      </c>
      <c r="M152" s="162" t="inlineStr"/>
    </row>
    <row r="153">
      <c r="A153" s="162" t="inlineStr">
        <is>
          <t>6.1.2</t>
        </is>
      </c>
      <c r="B153" s="162" t="inlineStr">
        <is>
          <t>Oljeavskiljarslam</t>
        </is>
      </c>
      <c r="C153" s="162" t="inlineStr"/>
      <c r="D153" s="162" t="inlineStr">
        <is>
          <t>kilogram</t>
        </is>
      </c>
      <c r="E153" s="162" t="inlineStr">
        <is>
          <t>6.1</t>
        </is>
      </c>
      <c r="F153" s="162" t="inlineStr">
        <is>
          <t>ÅVC/verksamhetsavfall</t>
        </is>
      </c>
      <c r="G153" s="162" t="inlineStr">
        <is>
          <t>Oljeavfall</t>
        </is>
      </c>
      <c r="H153" s="162" t="inlineStr">
        <is>
          <t>Vikt</t>
        </is>
      </c>
      <c r="I153" s="162" t="inlineStr"/>
      <c r="J153" s="162" t="inlineStr">
        <is>
          <t>VIKG</t>
        </is>
      </c>
      <c r="K153" s="162" t="inlineStr">
        <is>
          <t>1.00</t>
        </is>
      </c>
      <c r="L153" s="162" t="inlineStr">
        <is>
          <t>kilogram, oljeavskiljarslam</t>
        </is>
      </c>
      <c r="M153" s="162" t="inlineStr"/>
    </row>
    <row r="154">
      <c r="A154" s="162" t="inlineStr">
        <is>
          <t>6.1.2</t>
        </is>
      </c>
      <c r="B154" s="162" t="inlineStr">
        <is>
          <t>Diesel</t>
        </is>
      </c>
      <c r="C154" s="162" t="inlineStr"/>
      <c r="D154" s="162" t="inlineStr">
        <is>
          <t>kilogram</t>
        </is>
      </c>
      <c r="E154" s="162" t="inlineStr">
        <is>
          <t>6.1</t>
        </is>
      </c>
      <c r="F154" s="162" t="inlineStr">
        <is>
          <t>ÅVC/verksamhetsavfall</t>
        </is>
      </c>
      <c r="G154" s="162" t="inlineStr"/>
      <c r="H154" s="162" t="inlineStr">
        <is>
          <t>Vikt</t>
        </is>
      </c>
      <c r="I154" s="162" t="inlineStr"/>
      <c r="J154" s="162" t="inlineStr">
        <is>
          <t>VIKG</t>
        </is>
      </c>
      <c r="K154" s="162" t="inlineStr">
        <is>
          <t>0.75</t>
        </is>
      </c>
      <c r="L154" s="162" t="inlineStr">
        <is>
          <t>diesel, kilogram</t>
        </is>
      </c>
      <c r="M154" s="162" t="inlineStr">
        <is>
          <t>Avfallstyp kunde inte härledas.</t>
        </is>
      </c>
    </row>
    <row r="155">
      <c r="A155" s="162" t="inlineStr">
        <is>
          <t>6.1.2</t>
        </is>
      </c>
      <c r="B155" s="162" t="inlineStr">
        <is>
          <t>Bensinrester</t>
        </is>
      </c>
      <c r="C155" s="162" t="inlineStr"/>
      <c r="D155" s="162" t="inlineStr">
        <is>
          <t>kilogram</t>
        </is>
      </c>
      <c r="E155" s="162" t="inlineStr">
        <is>
          <t>6.1</t>
        </is>
      </c>
      <c r="F155" s="162" t="inlineStr">
        <is>
          <t>ÅVC/verksamhetsavfall</t>
        </is>
      </c>
      <c r="G155" s="162" t="inlineStr"/>
      <c r="H155" s="162" t="inlineStr">
        <is>
          <t>Vikt</t>
        </is>
      </c>
      <c r="I155" s="162" t="inlineStr"/>
      <c r="J155" s="162" t="inlineStr">
        <is>
          <t>VIKG</t>
        </is>
      </c>
      <c r="K155" s="162" t="inlineStr">
        <is>
          <t>0.75</t>
        </is>
      </c>
      <c r="L155" s="162" t="inlineStr">
        <is>
          <t>bensinrester, kilogram</t>
        </is>
      </c>
      <c r="M155" s="162" t="inlineStr">
        <is>
          <t>Avfallstyp kunde inte härledas.</t>
        </is>
      </c>
    </row>
    <row r="156">
      <c r="A156" s="162" t="inlineStr">
        <is>
          <t>6.1.2</t>
        </is>
      </c>
      <c r="B156" s="162" t="inlineStr">
        <is>
          <t>Hydralslang, med/utan koppling</t>
        </is>
      </c>
      <c r="C156" s="162" t="inlineStr"/>
      <c r="D156" s="162" t="inlineStr">
        <is>
          <t>kilogram</t>
        </is>
      </c>
      <c r="E156" s="162" t="inlineStr">
        <is>
          <t>6.1</t>
        </is>
      </c>
      <c r="F156" s="162" t="inlineStr">
        <is>
          <t>ÅVC/verksamhetsavfall</t>
        </is>
      </c>
      <c r="G156" s="162" t="inlineStr"/>
      <c r="H156" s="162" t="inlineStr">
        <is>
          <t>Vikt</t>
        </is>
      </c>
      <c r="I156" s="162" t="inlineStr"/>
      <c r="J156" s="162" t="inlineStr">
        <is>
          <t>VIKG</t>
        </is>
      </c>
      <c r="K156" s="162" t="inlineStr">
        <is>
          <t>0.75</t>
        </is>
      </c>
      <c r="L156" s="162" t="inlineStr">
        <is>
          <t>hydralslang, kilogram, koppling</t>
        </is>
      </c>
      <c r="M156" s="162" t="inlineStr">
        <is>
          <t>Avfallstyp kunde inte härledas.</t>
        </is>
      </c>
    </row>
    <row r="157">
      <c r="A157" s="162" t="inlineStr">
        <is>
          <t>6.1.2</t>
        </is>
      </c>
      <c r="B157" s="162" t="inlineStr">
        <is>
          <t>Förpackningar, tömde ej rengjorda</t>
        </is>
      </c>
      <c r="C157" s="162" t="inlineStr"/>
      <c r="D157" s="162" t="inlineStr">
        <is>
          <t>kilogram</t>
        </is>
      </c>
      <c r="E157" s="162" t="inlineStr">
        <is>
          <t>6.1</t>
        </is>
      </c>
      <c r="F157" s="162" t="inlineStr">
        <is>
          <t>ÅVC/verksamhetsavfall</t>
        </is>
      </c>
      <c r="G157" s="162" t="inlineStr">
        <is>
          <t>Förpackningar</t>
        </is>
      </c>
      <c r="H157" s="162" t="inlineStr">
        <is>
          <t>Vikt</t>
        </is>
      </c>
      <c r="I157" s="162" t="inlineStr"/>
      <c r="J157" s="162" t="inlineStr">
        <is>
          <t>VIKG</t>
        </is>
      </c>
      <c r="K157" s="162" t="inlineStr">
        <is>
          <t>1.00</t>
        </is>
      </c>
      <c r="L157" s="162" t="inlineStr">
        <is>
          <t>förpackningar, kilogram, rengjorda, tömde</t>
        </is>
      </c>
      <c r="M157" s="162" t="inlineStr"/>
    </row>
    <row r="158">
      <c r="A158" s="162" t="inlineStr">
        <is>
          <t>6.1.2</t>
        </is>
      </c>
      <c r="B158" s="162" t="inlineStr">
        <is>
          <t>Oljeavfall, fast osorterat emba</t>
        </is>
      </c>
      <c r="C158" s="162" t="inlineStr"/>
      <c r="D158" s="162" t="inlineStr">
        <is>
          <t>kilogram</t>
        </is>
      </c>
      <c r="E158" s="162" t="inlineStr">
        <is>
          <t>6.1</t>
        </is>
      </c>
      <c r="F158" s="162" t="inlineStr">
        <is>
          <t>ÅVC/verksamhetsavfall</t>
        </is>
      </c>
      <c r="G158" s="162" t="inlineStr">
        <is>
          <t>Oljeavfall</t>
        </is>
      </c>
      <c r="H158" s="162" t="inlineStr">
        <is>
          <t>Vikt</t>
        </is>
      </c>
      <c r="I158" s="162" t="inlineStr"/>
      <c r="J158" s="162" t="inlineStr">
        <is>
          <t>VIKG</t>
        </is>
      </c>
      <c r="K158" s="162" t="inlineStr">
        <is>
          <t>1.00</t>
        </is>
      </c>
      <c r="L158" s="162" t="inlineStr">
        <is>
          <t>emba, fast, kilogram, oljeavfall, osorterat</t>
        </is>
      </c>
      <c r="M158" s="162" t="inlineStr"/>
    </row>
    <row r="159">
      <c r="A159" s="162" t="inlineStr">
        <is>
          <t>6.1.2</t>
        </is>
      </c>
      <c r="B159" s="162" t="inlineStr">
        <is>
          <t>Absorbermedel, filtermaterial</t>
        </is>
      </c>
      <c r="C159" s="162" t="inlineStr"/>
      <c r="D159" s="162" t="inlineStr">
        <is>
          <t>kilogram</t>
        </is>
      </c>
      <c r="E159" s="162" t="inlineStr">
        <is>
          <t>6.1</t>
        </is>
      </c>
      <c r="F159" s="162" t="inlineStr">
        <is>
          <t>ÅVC/verksamhetsavfall</t>
        </is>
      </c>
      <c r="G159" s="162" t="inlineStr"/>
      <c r="H159" s="162" t="inlineStr">
        <is>
          <t>Vikt</t>
        </is>
      </c>
      <c r="I159" s="162" t="inlineStr"/>
      <c r="J159" s="162" t="inlineStr">
        <is>
          <t>VIKG</t>
        </is>
      </c>
      <c r="K159" s="162" t="inlineStr">
        <is>
          <t>0.75</t>
        </is>
      </c>
      <c r="L159" s="162" t="inlineStr">
        <is>
          <t>absorbermedel, filtermaterial, kilogram</t>
        </is>
      </c>
      <c r="M159" s="162" t="inlineStr">
        <is>
          <t>Avfallstyp kunde inte härledas.</t>
        </is>
      </c>
    </row>
    <row r="160">
      <c r="A160" s="162" t="inlineStr">
        <is>
          <t>6.1.2</t>
        </is>
      </c>
      <c r="B160" s="162" t="inlineStr">
        <is>
          <t>Oljefilter</t>
        </is>
      </c>
      <c r="C160" s="162" t="inlineStr"/>
      <c r="D160" s="162" t="inlineStr">
        <is>
          <t>kilogram</t>
        </is>
      </c>
      <c r="E160" s="162" t="inlineStr">
        <is>
          <t>6.1</t>
        </is>
      </c>
      <c r="F160" s="162" t="inlineStr">
        <is>
          <t>ÅVC/verksamhetsavfall</t>
        </is>
      </c>
      <c r="G160" s="162" t="inlineStr">
        <is>
          <t>Oljeavfall</t>
        </is>
      </c>
      <c r="H160" s="162" t="inlineStr">
        <is>
          <t>Vikt</t>
        </is>
      </c>
      <c r="I160" s="162" t="inlineStr"/>
      <c r="J160" s="162" t="inlineStr">
        <is>
          <t>VIKG</t>
        </is>
      </c>
      <c r="K160" s="162" t="inlineStr">
        <is>
          <t>1.00</t>
        </is>
      </c>
      <c r="L160" s="162" t="inlineStr">
        <is>
          <t>kilogram, oljefilter</t>
        </is>
      </c>
      <c r="M160" s="162" t="inlineStr"/>
    </row>
    <row r="161">
      <c r="A161" s="162" t="inlineStr">
        <is>
          <t>6.1.2</t>
        </is>
      </c>
      <c r="B161" s="162" t="inlineStr">
        <is>
          <t>Bromsvätska</t>
        </is>
      </c>
      <c r="C161" s="162" t="inlineStr"/>
      <c r="D161" s="162" t="inlineStr">
        <is>
          <t>kilogram</t>
        </is>
      </c>
      <c r="E161" s="162" t="inlineStr">
        <is>
          <t>6.1</t>
        </is>
      </c>
      <c r="F161" s="162" t="inlineStr">
        <is>
          <t>ÅVC/verksamhetsavfall</t>
        </is>
      </c>
      <c r="G161" s="162" t="inlineStr"/>
      <c r="H161" s="162" t="inlineStr">
        <is>
          <t>Vikt</t>
        </is>
      </c>
      <c r="I161" s="162" t="inlineStr"/>
      <c r="J161" s="162" t="inlineStr">
        <is>
          <t>VIKG</t>
        </is>
      </c>
      <c r="K161" s="162" t="inlineStr">
        <is>
          <t>0.75</t>
        </is>
      </c>
      <c r="L161" s="162" t="inlineStr">
        <is>
          <t>bromsvätska, kilogram</t>
        </is>
      </c>
      <c r="M161" s="162" t="inlineStr">
        <is>
          <t>Avfallstyp kunde inte härledas.</t>
        </is>
      </c>
    </row>
    <row r="162">
      <c r="A162" s="162" t="inlineStr">
        <is>
          <t>6.1.2</t>
        </is>
      </c>
      <c r="B162" s="162" t="inlineStr">
        <is>
          <t>Transformator, kondensator med PCB</t>
        </is>
      </c>
      <c r="C162" s="162" t="inlineStr"/>
      <c r="D162" s="162" t="inlineStr">
        <is>
          <t>kilogram</t>
        </is>
      </c>
      <c r="E162" s="162" t="inlineStr">
        <is>
          <t>6.1</t>
        </is>
      </c>
      <c r="F162" s="162" t="inlineStr">
        <is>
          <t>ÅVC/verksamhetsavfall</t>
        </is>
      </c>
      <c r="G162" s="162" t="inlineStr"/>
      <c r="H162" s="162" t="inlineStr">
        <is>
          <t>Vikt</t>
        </is>
      </c>
      <c r="I162" s="162" t="inlineStr"/>
      <c r="J162" s="162" t="inlineStr">
        <is>
          <t>VIKG</t>
        </is>
      </c>
      <c r="K162" s="162" t="inlineStr">
        <is>
          <t>0.75</t>
        </is>
      </c>
      <c r="L162" s="162" t="inlineStr">
        <is>
          <t>kilogram, kondensator, pcb, transformator</t>
        </is>
      </c>
      <c r="M162" s="162" t="inlineStr">
        <is>
          <t>Avfallstyp kunde inte härledas.</t>
        </is>
      </c>
    </row>
    <row r="163">
      <c r="A163" s="162" t="inlineStr">
        <is>
          <t>6.1.2</t>
        </is>
      </c>
      <c r="B163" s="162" t="inlineStr">
        <is>
          <t>Fogskum</t>
        </is>
      </c>
      <c r="C163" s="162" t="inlineStr"/>
      <c r="D163" s="162" t="inlineStr">
        <is>
          <t>kilogram</t>
        </is>
      </c>
      <c r="E163" s="162" t="inlineStr">
        <is>
          <t>6.1</t>
        </is>
      </c>
      <c r="F163" s="162" t="inlineStr">
        <is>
          <t>ÅVC/verksamhetsavfall</t>
        </is>
      </c>
      <c r="G163" s="162" t="inlineStr"/>
      <c r="H163" s="162" t="inlineStr">
        <is>
          <t>Vikt</t>
        </is>
      </c>
      <c r="I163" s="162" t="inlineStr"/>
      <c r="J163" s="162" t="inlineStr">
        <is>
          <t>VIKG</t>
        </is>
      </c>
      <c r="K163" s="162" t="inlineStr">
        <is>
          <t>0.75</t>
        </is>
      </c>
      <c r="L163" s="162" t="inlineStr">
        <is>
          <t>fogskum, kilogram</t>
        </is>
      </c>
      <c r="M163" s="162" t="inlineStr">
        <is>
          <t>Avfallstyp kunde inte härledas.</t>
        </is>
      </c>
    </row>
    <row r="164">
      <c r="A164" s="162" t="inlineStr">
        <is>
          <t>6.1.2</t>
        </is>
      </c>
      <c r="B164" s="162" t="inlineStr">
        <is>
          <t>Halon</t>
        </is>
      </c>
      <c r="C164" s="162" t="inlineStr"/>
      <c r="D164" s="162" t="inlineStr">
        <is>
          <t>kilogram</t>
        </is>
      </c>
      <c r="E164" s="162" t="inlineStr">
        <is>
          <t>6.1</t>
        </is>
      </c>
      <c r="F164" s="162" t="inlineStr">
        <is>
          <t>ÅVC/verksamhetsavfall</t>
        </is>
      </c>
      <c r="G164" s="162" t="inlineStr"/>
      <c r="H164" s="162" t="inlineStr">
        <is>
          <t>Vikt</t>
        </is>
      </c>
      <c r="I164" s="162" t="inlineStr"/>
      <c r="J164" s="162" t="inlineStr">
        <is>
          <t>VIKG</t>
        </is>
      </c>
      <c r="K164" s="162" t="inlineStr">
        <is>
          <t>0.75</t>
        </is>
      </c>
      <c r="L164" s="162" t="inlineStr">
        <is>
          <t>halon, kilogram</t>
        </is>
      </c>
      <c r="M164" s="162" t="inlineStr">
        <is>
          <t>Avfallstyp kunde inte härledas.</t>
        </is>
      </c>
    </row>
    <row r="165">
      <c r="A165" s="162" t="inlineStr">
        <is>
          <t>6.1.2</t>
        </is>
      </c>
      <c r="B165" s="162" t="inlineStr">
        <is>
          <t>Koldioxid</t>
        </is>
      </c>
      <c r="C165" s="162" t="inlineStr"/>
      <c r="D165" s="162" t="inlineStr">
        <is>
          <t>kilogram</t>
        </is>
      </c>
      <c r="E165" s="162" t="inlineStr">
        <is>
          <t>6.1</t>
        </is>
      </c>
      <c r="F165" s="162" t="inlineStr">
        <is>
          <t>ÅVC/verksamhetsavfall</t>
        </is>
      </c>
      <c r="G165" s="162" t="inlineStr"/>
      <c r="H165" s="162" t="inlineStr">
        <is>
          <t>Vikt</t>
        </is>
      </c>
      <c r="I165" s="162" t="inlineStr"/>
      <c r="J165" s="162" t="inlineStr">
        <is>
          <t>VIKG</t>
        </is>
      </c>
      <c r="K165" s="162" t="inlineStr">
        <is>
          <t>0.75</t>
        </is>
      </c>
      <c r="L165" s="162" t="inlineStr">
        <is>
          <t>kilogram, koldioxid</t>
        </is>
      </c>
      <c r="M165" s="162" t="inlineStr">
        <is>
          <t>Avfallstyp kunde inte härledas.</t>
        </is>
      </c>
    </row>
    <row r="166">
      <c r="A166" s="162" t="inlineStr">
        <is>
          <t>6.1.2</t>
        </is>
      </c>
      <c r="B166" s="162" t="inlineStr">
        <is>
          <t>Brandsläckare</t>
        </is>
      </c>
      <c r="C166" s="162" t="inlineStr"/>
      <c r="D166" s="162" t="inlineStr">
        <is>
          <t>kilogram</t>
        </is>
      </c>
      <c r="E166" s="162" t="inlineStr">
        <is>
          <t>6.1</t>
        </is>
      </c>
      <c r="F166" s="162" t="inlineStr">
        <is>
          <t>ÅVC/verksamhetsavfall</t>
        </is>
      </c>
      <c r="G166" s="162" t="inlineStr"/>
      <c r="H166" s="162" t="inlineStr">
        <is>
          <t>Vikt</t>
        </is>
      </c>
      <c r="I166" s="162" t="inlineStr"/>
      <c r="J166" s="162" t="inlineStr">
        <is>
          <t>VIKG</t>
        </is>
      </c>
      <c r="K166" s="162" t="inlineStr">
        <is>
          <t>0.75</t>
        </is>
      </c>
      <c r="L166" s="162" t="inlineStr">
        <is>
          <t>brandsläckare, kilogram</t>
        </is>
      </c>
      <c r="M166" s="162" t="inlineStr">
        <is>
          <t>Avfallstyp kunde inte härledas.</t>
        </is>
      </c>
    </row>
    <row r="167">
      <c r="A167" s="162" t="inlineStr">
        <is>
          <t>6.1.2</t>
        </is>
      </c>
      <c r="B167" s="162" t="inlineStr">
        <is>
          <t>Helium</t>
        </is>
      </c>
      <c r="C167" s="162" t="inlineStr"/>
      <c r="D167" s="162" t="inlineStr">
        <is>
          <t>kilogram</t>
        </is>
      </c>
      <c r="E167" s="162" t="inlineStr">
        <is>
          <t>6.1</t>
        </is>
      </c>
      <c r="F167" s="162" t="inlineStr">
        <is>
          <t>ÅVC/verksamhetsavfall</t>
        </is>
      </c>
      <c r="G167" s="162" t="inlineStr"/>
      <c r="H167" s="162" t="inlineStr">
        <is>
          <t>Vikt</t>
        </is>
      </c>
      <c r="I167" s="162" t="inlineStr"/>
      <c r="J167" s="162" t="inlineStr">
        <is>
          <t>VIKG</t>
        </is>
      </c>
      <c r="K167" s="162" t="inlineStr">
        <is>
          <t>0.75</t>
        </is>
      </c>
      <c r="L167" s="162" t="inlineStr">
        <is>
          <t>helium, kilogram</t>
        </is>
      </c>
      <c r="M167" s="162" t="inlineStr">
        <is>
          <t>Avfallstyp kunde inte härledas.</t>
        </is>
      </c>
    </row>
    <row r="168">
      <c r="A168" s="162" t="inlineStr">
        <is>
          <t>6.1.2</t>
        </is>
      </c>
      <c r="B168" s="162" t="inlineStr">
        <is>
          <t>Tändare</t>
        </is>
      </c>
      <c r="C168" s="162" t="inlineStr"/>
      <c r="D168" s="162" t="inlineStr">
        <is>
          <t>kilogram</t>
        </is>
      </c>
      <c r="E168" s="162" t="inlineStr">
        <is>
          <t>6.1</t>
        </is>
      </c>
      <c r="F168" s="162" t="inlineStr">
        <is>
          <t>ÅVC/verksamhetsavfall</t>
        </is>
      </c>
      <c r="G168" s="162" t="inlineStr"/>
      <c r="H168" s="162" t="inlineStr">
        <is>
          <t>Vikt</t>
        </is>
      </c>
      <c r="I168" s="162" t="inlineStr"/>
      <c r="J168" s="162" t="inlineStr">
        <is>
          <t>VIKG</t>
        </is>
      </c>
      <c r="K168" s="162" t="inlineStr">
        <is>
          <t>0.75</t>
        </is>
      </c>
      <c r="L168" s="162" t="inlineStr">
        <is>
          <t>kilogram, tändare</t>
        </is>
      </c>
      <c r="M168" s="162" t="inlineStr">
        <is>
          <t>Avfallstyp kunde inte härledas.</t>
        </is>
      </c>
    </row>
    <row r="169">
      <c r="A169" s="162" t="inlineStr">
        <is>
          <t>6.1.2</t>
        </is>
      </c>
      <c r="B169" s="162" t="inlineStr">
        <is>
          <t>Syrgas</t>
        </is>
      </c>
      <c r="C169" s="162" t="inlineStr"/>
      <c r="D169" s="162" t="inlineStr">
        <is>
          <t>kilogram</t>
        </is>
      </c>
      <c r="E169" s="162" t="inlineStr">
        <is>
          <t>6.1</t>
        </is>
      </c>
      <c r="F169" s="162" t="inlineStr">
        <is>
          <t>ÅVC/verksamhetsavfall</t>
        </is>
      </c>
      <c r="G169" s="162" t="inlineStr"/>
      <c r="H169" s="162" t="inlineStr">
        <is>
          <t>Vikt</t>
        </is>
      </c>
      <c r="I169" s="162" t="inlineStr"/>
      <c r="J169" s="162" t="inlineStr">
        <is>
          <t>VIKG</t>
        </is>
      </c>
      <c r="K169" s="162" t="inlineStr">
        <is>
          <t>0.75</t>
        </is>
      </c>
      <c r="L169" s="162" t="inlineStr">
        <is>
          <t>kilogram, syrgas</t>
        </is>
      </c>
      <c r="M169" s="162" t="inlineStr">
        <is>
          <t>Avfallstyp kunde inte härledas.</t>
        </is>
      </c>
    </row>
    <row r="170">
      <c r="A170" s="162" t="inlineStr">
        <is>
          <t>6.1.2</t>
        </is>
      </c>
      <c r="B170" s="162" t="inlineStr">
        <is>
          <t>Oxiderande fast ämne/vätska</t>
        </is>
      </c>
      <c r="C170" s="162" t="inlineStr"/>
      <c r="D170" s="162" t="inlineStr">
        <is>
          <t>kilogram</t>
        </is>
      </c>
      <c r="E170" s="162" t="inlineStr">
        <is>
          <t>6.1</t>
        </is>
      </c>
      <c r="F170" s="162" t="inlineStr">
        <is>
          <t>ÅVC/verksamhetsavfall</t>
        </is>
      </c>
      <c r="G170" s="162" t="inlineStr"/>
      <c r="H170" s="162" t="inlineStr">
        <is>
          <t>Vikt</t>
        </is>
      </c>
      <c r="I170" s="162" t="inlineStr"/>
      <c r="J170" s="162" t="inlineStr">
        <is>
          <t>VIKG</t>
        </is>
      </c>
      <c r="K170" s="162" t="inlineStr">
        <is>
          <t>0.75</t>
        </is>
      </c>
      <c r="L170" s="162" t="inlineStr">
        <is>
          <t>fast, kilogram, oxiderande, vätska, ämne</t>
        </is>
      </c>
      <c r="M170" s="162" t="inlineStr">
        <is>
          <t>Avfallstyp kunde inte härledas.</t>
        </is>
      </c>
    </row>
    <row r="171">
      <c r="A171" s="162" t="inlineStr">
        <is>
          <t>6.1.2</t>
        </is>
      </c>
      <c r="B171" s="162" t="inlineStr">
        <is>
          <t>Klorex</t>
        </is>
      </c>
      <c r="C171" s="162" t="inlineStr"/>
      <c r="D171" s="162" t="inlineStr">
        <is>
          <t>kilogram</t>
        </is>
      </c>
      <c r="E171" s="162" t="inlineStr">
        <is>
          <t>6.1</t>
        </is>
      </c>
      <c r="F171" s="162" t="inlineStr">
        <is>
          <t>ÅVC/verksamhetsavfall</t>
        </is>
      </c>
      <c r="G171" s="162" t="inlineStr"/>
      <c r="H171" s="162" t="inlineStr">
        <is>
          <t>Vikt</t>
        </is>
      </c>
      <c r="I171" s="162" t="inlineStr"/>
      <c r="J171" s="162" t="inlineStr">
        <is>
          <t>VIKG</t>
        </is>
      </c>
      <c r="K171" s="162" t="inlineStr">
        <is>
          <t>0.75</t>
        </is>
      </c>
      <c r="L171" s="162" t="inlineStr">
        <is>
          <t>klorexkilogram</t>
        </is>
      </c>
      <c r="M171" s="162" t="inlineStr">
        <is>
          <t>Avfallstyp kunde inte härledas.</t>
        </is>
      </c>
    </row>
    <row r="172">
      <c r="A172" s="162" t="inlineStr">
        <is>
          <t>6.1.2</t>
        </is>
      </c>
      <c r="B172" s="162" t="inlineStr">
        <is>
          <t>Aerosoler isocyanat, bekämpning</t>
        </is>
      </c>
      <c r="C172" s="162" t="inlineStr"/>
      <c r="D172" s="162" t="inlineStr">
        <is>
          <t>kilogram</t>
        </is>
      </c>
      <c r="E172" s="162" t="inlineStr">
        <is>
          <t>6.1</t>
        </is>
      </c>
      <c r="F172" s="162" t="inlineStr">
        <is>
          <t>ÅVC/verksamhetsavfall</t>
        </is>
      </c>
      <c r="G172" s="162" t="inlineStr"/>
      <c r="H172" s="162" t="inlineStr">
        <is>
          <t>Vikt</t>
        </is>
      </c>
      <c r="I172" s="162" t="inlineStr"/>
      <c r="J172" s="162" t="inlineStr">
        <is>
          <t>VIKG</t>
        </is>
      </c>
      <c r="K172" s="162" t="inlineStr">
        <is>
          <t>0.75</t>
        </is>
      </c>
      <c r="L172" s="162" t="inlineStr">
        <is>
          <t>aerosoler, bekämpning, isocyanat, kilogram</t>
        </is>
      </c>
      <c r="M172" s="162" t="inlineStr">
        <is>
          <t>Avfallstyp kunde inte härledas.</t>
        </is>
      </c>
    </row>
    <row r="173">
      <c r="A173" s="162" t="inlineStr">
        <is>
          <t>6.1.2</t>
        </is>
      </c>
      <c r="B173" s="162" t="inlineStr">
        <is>
          <t>Gasol inkl tub</t>
        </is>
      </c>
      <c r="C173" s="162" t="inlineStr"/>
      <c r="D173" s="162" t="inlineStr">
        <is>
          <t>kilogram</t>
        </is>
      </c>
      <c r="E173" s="162" t="inlineStr">
        <is>
          <t>6.1</t>
        </is>
      </c>
      <c r="F173" s="162" t="inlineStr">
        <is>
          <t>ÅVC/verksamhetsavfall</t>
        </is>
      </c>
      <c r="G173" s="162" t="inlineStr"/>
      <c r="H173" s="162" t="inlineStr">
        <is>
          <t>Vikt</t>
        </is>
      </c>
      <c r="I173" s="162" t="inlineStr"/>
      <c r="J173" s="162" t="inlineStr">
        <is>
          <t>VIKG</t>
        </is>
      </c>
      <c r="K173" s="162" t="inlineStr">
        <is>
          <t>0.75</t>
        </is>
      </c>
      <c r="L173" s="162" t="inlineStr">
        <is>
          <t>gasol, inkl, kilogram, tub</t>
        </is>
      </c>
      <c r="M173" s="162" t="inlineStr">
        <is>
          <t>Avfallstyp kunde inte härledas.</t>
        </is>
      </c>
    </row>
    <row r="174">
      <c r="A174" s="162" t="inlineStr">
        <is>
          <t>6.1.2</t>
        </is>
      </c>
      <c r="B174" s="162" t="inlineStr">
        <is>
          <t>Gasol, blå programmet</t>
        </is>
      </c>
      <c r="C174" s="162" t="inlineStr"/>
      <c r="D174" s="162" t="inlineStr">
        <is>
          <t>kilogram</t>
        </is>
      </c>
      <c r="E174" s="162" t="inlineStr">
        <is>
          <t>6.1</t>
        </is>
      </c>
      <c r="F174" s="162" t="inlineStr">
        <is>
          <t>ÅVC/verksamhetsavfall</t>
        </is>
      </c>
      <c r="G174" s="162" t="inlineStr"/>
      <c r="H174" s="162" t="inlineStr">
        <is>
          <t>Vikt</t>
        </is>
      </c>
      <c r="I174" s="162" t="inlineStr"/>
      <c r="J174" s="162" t="inlineStr">
        <is>
          <t>VIKG</t>
        </is>
      </c>
      <c r="K174" s="162" t="inlineStr">
        <is>
          <t>0.75</t>
        </is>
      </c>
      <c r="L174" s="162" t="inlineStr">
        <is>
          <t>blå, gasol, kilogram, programmet</t>
        </is>
      </c>
      <c r="M174" s="162" t="inlineStr">
        <is>
          <t>Avfallstyp kunde inte härledas.</t>
        </is>
      </c>
    </row>
    <row r="175">
      <c r="A175" s="162" t="inlineStr">
        <is>
          <t>6.1.2</t>
        </is>
      </c>
      <c r="B175" s="162" t="inlineStr">
        <is>
          <t>Giftig organisk vätska</t>
        </is>
      </c>
      <c r="C175" s="162" t="inlineStr"/>
      <c r="D175" s="162" t="inlineStr">
        <is>
          <t>kilogram</t>
        </is>
      </c>
      <c r="E175" s="162" t="inlineStr">
        <is>
          <t>6.1</t>
        </is>
      </c>
      <c r="F175" s="162" t="inlineStr">
        <is>
          <t>ÅVC/verksamhetsavfall</t>
        </is>
      </c>
      <c r="G175" s="162" t="inlineStr"/>
      <c r="H175" s="162" t="inlineStr">
        <is>
          <t>Vikt</t>
        </is>
      </c>
      <c r="I175" s="162" t="inlineStr"/>
      <c r="J175" s="162" t="inlineStr">
        <is>
          <t>VIKG</t>
        </is>
      </c>
      <c r="K175" s="162" t="inlineStr">
        <is>
          <t>0.75</t>
        </is>
      </c>
      <c r="L175" s="162" t="inlineStr">
        <is>
          <t>giftig, kilogram, organisk, vätska</t>
        </is>
      </c>
      <c r="M175" s="162" t="inlineStr">
        <is>
          <t>Avfallstyp kunde inte härledas.</t>
        </is>
      </c>
    </row>
    <row r="176">
      <c r="A176" s="162" t="inlineStr">
        <is>
          <t>6.1.2</t>
        </is>
      </c>
      <c r="B176" s="162" t="inlineStr">
        <is>
          <t>Småkemikalier, ej Hg-haltiga</t>
        </is>
      </c>
      <c r="C176" s="162" t="inlineStr"/>
      <c r="D176" s="162" t="inlineStr">
        <is>
          <t>kilogram</t>
        </is>
      </c>
      <c r="E176" s="162" t="inlineStr">
        <is>
          <t>6.1</t>
        </is>
      </c>
      <c r="F176" s="162" t="inlineStr">
        <is>
          <t>ÅVC/verksamhetsavfall</t>
        </is>
      </c>
      <c r="G176" s="162" t="inlineStr"/>
      <c r="H176" s="162" t="inlineStr">
        <is>
          <t>Vikt</t>
        </is>
      </c>
      <c r="I176" s="162" t="inlineStr"/>
      <c r="J176" s="162" t="inlineStr">
        <is>
          <t>VIKG</t>
        </is>
      </c>
      <c r="K176" s="162" t="inlineStr">
        <is>
          <t>0.75</t>
        </is>
      </c>
      <c r="L176" s="162" t="inlineStr">
        <is>
          <t>hg-haltiga, kilogram, småkemikalier</t>
        </is>
      </c>
      <c r="M176" s="162" t="inlineStr">
        <is>
          <t>Avfallstyp kunde inte härledas.</t>
        </is>
      </c>
    </row>
    <row r="177">
      <c r="A177" s="162" t="inlineStr">
        <is>
          <t>6.1.2</t>
        </is>
      </c>
      <c r="B177" s="162" t="inlineStr">
        <is>
          <t>Giftig oorganisk vätska</t>
        </is>
      </c>
      <c r="C177" s="162" t="inlineStr"/>
      <c r="D177" s="162" t="inlineStr">
        <is>
          <t>kilogram</t>
        </is>
      </c>
      <c r="E177" s="162" t="inlineStr">
        <is>
          <t>6.1</t>
        </is>
      </c>
      <c r="F177" s="162" t="inlineStr">
        <is>
          <t>ÅVC/verksamhetsavfall</t>
        </is>
      </c>
      <c r="G177" s="162" t="inlineStr"/>
      <c r="H177" s="162" t="inlineStr">
        <is>
          <t>Vikt</t>
        </is>
      </c>
      <c r="I177" s="162" t="inlineStr"/>
      <c r="J177" s="162" t="inlineStr">
        <is>
          <t>VIKG</t>
        </is>
      </c>
      <c r="K177" s="162" t="inlineStr">
        <is>
          <t>0.75</t>
        </is>
      </c>
      <c r="L177" s="162" t="inlineStr">
        <is>
          <t>giftig, kilogram, oorganisk, vätska</t>
        </is>
      </c>
      <c r="M177" s="162" t="inlineStr">
        <is>
          <t>Avfallstyp kunde inte härledas.</t>
        </is>
      </c>
    </row>
    <row r="178">
      <c r="A178" s="162" t="inlineStr">
        <is>
          <t>6.1.2</t>
        </is>
      </c>
      <c r="B178" s="162" t="inlineStr">
        <is>
          <t>Oxidationsmedel, flytande</t>
        </is>
      </c>
      <c r="C178" s="162" t="inlineStr"/>
      <c r="D178" s="162" t="inlineStr">
        <is>
          <t>kilogram</t>
        </is>
      </c>
      <c r="E178" s="162" t="inlineStr">
        <is>
          <t>6.1</t>
        </is>
      </c>
      <c r="F178" s="162" t="inlineStr">
        <is>
          <t>ÅVC/verksamhetsavfall</t>
        </is>
      </c>
      <c r="G178" s="162" t="inlineStr"/>
      <c r="H178" s="162" t="inlineStr">
        <is>
          <t>Vikt</t>
        </is>
      </c>
      <c r="I178" s="162" t="inlineStr"/>
      <c r="J178" s="162" t="inlineStr">
        <is>
          <t>VIKG</t>
        </is>
      </c>
      <c r="K178" s="162" t="inlineStr">
        <is>
          <t>0.75</t>
        </is>
      </c>
      <c r="L178" s="162" t="inlineStr">
        <is>
          <t>flytande, kilogram, oxidationsmedel</t>
        </is>
      </c>
      <c r="M178" s="162" t="inlineStr">
        <is>
          <t>Avfallstyp kunde inte härledas.</t>
        </is>
      </c>
    </row>
    <row r="179">
      <c r="A179" s="162" t="inlineStr">
        <is>
          <t>6.1.2</t>
        </is>
      </c>
      <c r="B179" s="162" t="inlineStr">
        <is>
          <t>Asbest, emballerat</t>
        </is>
      </c>
      <c r="C179" s="162" t="inlineStr"/>
      <c r="D179" s="162" t="inlineStr">
        <is>
          <t>kilogram</t>
        </is>
      </c>
      <c r="E179" s="162" t="inlineStr">
        <is>
          <t>6.1</t>
        </is>
      </c>
      <c r="F179" s="162" t="inlineStr">
        <is>
          <t>ÅVC/verksamhetsavfall</t>
        </is>
      </c>
      <c r="G179" s="162" t="inlineStr">
        <is>
          <t>Asbest</t>
        </is>
      </c>
      <c r="H179" s="162" t="inlineStr">
        <is>
          <t>Vikt</t>
        </is>
      </c>
      <c r="I179" s="162" t="inlineStr"/>
      <c r="J179" s="162" t="inlineStr">
        <is>
          <t>VIKG</t>
        </is>
      </c>
      <c r="K179" s="162" t="inlineStr">
        <is>
          <t>1.00</t>
        </is>
      </c>
      <c r="L179" s="162" t="inlineStr">
        <is>
          <t>asbest, emballerat, kilogram</t>
        </is>
      </c>
      <c r="M179" s="162" t="inlineStr"/>
    </row>
    <row r="180">
      <c r="A180" s="162" t="inlineStr">
        <is>
          <t>6.1.2</t>
        </is>
      </c>
      <c r="B180" s="162" t="inlineStr">
        <is>
          <t>Smittförande avfall</t>
        </is>
      </c>
      <c r="C180" s="162" t="inlineStr"/>
      <c r="D180" s="162" t="inlineStr">
        <is>
          <t>kilogram</t>
        </is>
      </c>
      <c r="E180" s="162" t="inlineStr">
        <is>
          <t>6.1</t>
        </is>
      </c>
      <c r="F180" s="162" t="inlineStr">
        <is>
          <t>ÅVC/verksamhetsavfall</t>
        </is>
      </c>
      <c r="G180" s="162" t="inlineStr"/>
      <c r="H180" s="162" t="inlineStr">
        <is>
          <t>Vikt</t>
        </is>
      </c>
      <c r="I180" s="162" t="inlineStr"/>
      <c r="J180" s="162" t="inlineStr">
        <is>
          <t>VIKG</t>
        </is>
      </c>
      <c r="K180" s="162" t="inlineStr">
        <is>
          <t>0.75</t>
        </is>
      </c>
      <c r="L180" s="162" t="inlineStr">
        <is>
          <t>avfall, kilogram, smittförande</t>
        </is>
      </c>
      <c r="M180" s="162" t="inlineStr">
        <is>
          <t>Avfallstyp kunde inte härledas.</t>
        </is>
      </c>
    </row>
    <row r="181">
      <c r="A181" s="162" t="inlineStr">
        <is>
          <t>6.1.2</t>
        </is>
      </c>
      <c r="B181" s="162" t="inlineStr">
        <is>
          <t>Lösningsmedel</t>
        </is>
      </c>
      <c r="C181" s="162" t="inlineStr"/>
      <c r="D181" s="162" t="inlineStr">
        <is>
          <t>kilogram</t>
        </is>
      </c>
      <c r="E181" s="162" t="inlineStr">
        <is>
          <t>6.1</t>
        </is>
      </c>
      <c r="F181" s="162" t="inlineStr">
        <is>
          <t>ÅVC/verksamhetsavfall</t>
        </is>
      </c>
      <c r="G181" s="162" t="inlineStr"/>
      <c r="H181" s="162" t="inlineStr">
        <is>
          <t>Vikt</t>
        </is>
      </c>
      <c r="I181" s="162" t="inlineStr"/>
      <c r="J181" s="162" t="inlineStr">
        <is>
          <t>VIKG</t>
        </is>
      </c>
      <c r="K181" s="162" t="inlineStr">
        <is>
          <t>0.75</t>
        </is>
      </c>
      <c r="L181" s="162" t="inlineStr">
        <is>
          <t>kilogram, lösningsmedel</t>
        </is>
      </c>
      <c r="M181" s="162" t="inlineStr">
        <is>
          <t>Avfallstyp kunde inte härledas.</t>
        </is>
      </c>
    </row>
    <row r="182">
      <c r="A182" s="162" t="inlineStr">
        <is>
          <t>6.1.2</t>
        </is>
      </c>
      <c r="B182" s="162" t="inlineStr">
        <is>
          <t>Väteperoxid</t>
        </is>
      </c>
      <c r="C182" s="162" t="inlineStr"/>
      <c r="D182" s="162" t="inlineStr">
        <is>
          <t>kilogram</t>
        </is>
      </c>
      <c r="E182" s="162" t="inlineStr">
        <is>
          <t>6.1</t>
        </is>
      </c>
      <c r="F182" s="162" t="inlineStr">
        <is>
          <t>ÅVC/verksamhetsavfall</t>
        </is>
      </c>
      <c r="G182" s="162" t="inlineStr"/>
      <c r="H182" s="162" t="inlineStr">
        <is>
          <t>Vikt</t>
        </is>
      </c>
      <c r="I182" s="162" t="inlineStr"/>
      <c r="J182" s="162" t="inlineStr">
        <is>
          <t>VIKG</t>
        </is>
      </c>
      <c r="K182" s="162" t="inlineStr">
        <is>
          <t>0.75</t>
        </is>
      </c>
      <c r="L182" s="162" t="inlineStr">
        <is>
          <t>kilogram, väteperoxid</t>
        </is>
      </c>
      <c r="M182" s="162" t="inlineStr">
        <is>
          <t>Avfallstyp kunde inte härledas.</t>
        </is>
      </c>
    </row>
    <row r="183">
      <c r="A183" s="162" t="inlineStr">
        <is>
          <t>6.1.2</t>
        </is>
      </c>
      <c r="B183" s="162" t="inlineStr">
        <is>
          <t>Flourvätesyra</t>
        </is>
      </c>
      <c r="C183" s="162" t="inlineStr"/>
      <c r="D183" s="162" t="inlineStr">
        <is>
          <t>kilogram</t>
        </is>
      </c>
      <c r="E183" s="162" t="inlineStr">
        <is>
          <t>6.1</t>
        </is>
      </c>
      <c r="F183" s="162" t="inlineStr">
        <is>
          <t>ÅVC/verksamhetsavfall</t>
        </is>
      </c>
      <c r="G183" s="162" t="inlineStr"/>
      <c r="H183" s="162" t="inlineStr">
        <is>
          <t>Vikt</t>
        </is>
      </c>
      <c r="I183" s="162" t="inlineStr"/>
      <c r="J183" s="162" t="inlineStr">
        <is>
          <t>VIKG</t>
        </is>
      </c>
      <c r="K183" s="162" t="inlineStr">
        <is>
          <t>0.75</t>
        </is>
      </c>
      <c r="L183" s="162" t="inlineStr">
        <is>
          <t>flourvätesyra, kilogram</t>
        </is>
      </c>
      <c r="M183" s="162" t="inlineStr">
        <is>
          <t>Avfallstyp kunde inte härledas.</t>
        </is>
      </c>
    </row>
    <row r="184">
      <c r="A184" s="162" t="inlineStr">
        <is>
          <t>6.1.2</t>
        </is>
      </c>
      <c r="B184" s="162" t="inlineStr">
        <is>
          <t>Svavelsyra</t>
        </is>
      </c>
      <c r="C184" s="162" t="inlineStr"/>
      <c r="D184" s="162" t="inlineStr">
        <is>
          <t>kilogram</t>
        </is>
      </c>
      <c r="E184" s="162" t="inlineStr">
        <is>
          <t>6.1</t>
        </is>
      </c>
      <c r="F184" s="162" t="inlineStr">
        <is>
          <t>ÅVC/verksamhetsavfall</t>
        </is>
      </c>
      <c r="G184" s="162" t="inlineStr"/>
      <c r="H184" s="162" t="inlineStr">
        <is>
          <t>Vikt</t>
        </is>
      </c>
      <c r="I184" s="162" t="inlineStr"/>
      <c r="J184" s="162" t="inlineStr">
        <is>
          <t>VIKG</t>
        </is>
      </c>
      <c r="K184" s="162" t="inlineStr">
        <is>
          <t>0.75</t>
        </is>
      </c>
      <c r="L184" s="162" t="inlineStr">
        <is>
          <t>kilogram, svavelsyra</t>
        </is>
      </c>
      <c r="M184" s="162" t="inlineStr">
        <is>
          <t>Avfallstyp kunde inte härledas.</t>
        </is>
      </c>
    </row>
    <row r="185">
      <c r="A185" s="162" t="inlineStr">
        <is>
          <t>6.1.2</t>
        </is>
      </c>
      <c r="B185" s="162" t="inlineStr">
        <is>
          <t>Salpetersyra</t>
        </is>
      </c>
      <c r="C185" s="162" t="inlineStr"/>
      <c r="D185" s="162" t="inlineStr">
        <is>
          <t>kilogram</t>
        </is>
      </c>
      <c r="E185" s="162" t="inlineStr">
        <is>
          <t>6.1</t>
        </is>
      </c>
      <c r="F185" s="162" t="inlineStr">
        <is>
          <t>ÅVC/verksamhetsavfall</t>
        </is>
      </c>
      <c r="G185" s="162" t="inlineStr"/>
      <c r="H185" s="162" t="inlineStr">
        <is>
          <t>Vikt</t>
        </is>
      </c>
      <c r="I185" s="162" t="inlineStr"/>
      <c r="J185" s="162" t="inlineStr">
        <is>
          <t>VIKG</t>
        </is>
      </c>
      <c r="K185" s="162" t="inlineStr">
        <is>
          <t>0.75</t>
        </is>
      </c>
      <c r="L185" s="162" t="inlineStr">
        <is>
          <t>kilogram, salpetersyra</t>
        </is>
      </c>
      <c r="M185" s="162" t="inlineStr">
        <is>
          <t>Avfallstyp kunde inte härledas.</t>
        </is>
      </c>
    </row>
    <row r="186">
      <c r="A186" s="162" t="inlineStr">
        <is>
          <t>6.1.2</t>
        </is>
      </c>
      <c r="B186" s="162" t="inlineStr">
        <is>
          <t>Surt oorganisk fast ämne</t>
        </is>
      </c>
      <c r="C186" s="162" t="inlineStr"/>
      <c r="D186" s="162" t="inlineStr">
        <is>
          <t>kilogram</t>
        </is>
      </c>
      <c r="E186" s="162" t="inlineStr">
        <is>
          <t>6.1</t>
        </is>
      </c>
      <c r="F186" s="162" t="inlineStr">
        <is>
          <t>ÅVC/verksamhetsavfall</t>
        </is>
      </c>
      <c r="G186" s="162" t="inlineStr"/>
      <c r="H186" s="162" t="inlineStr">
        <is>
          <t>Vikt</t>
        </is>
      </c>
      <c r="I186" s="162" t="inlineStr"/>
      <c r="J186" s="162" t="inlineStr">
        <is>
          <t>VIKG</t>
        </is>
      </c>
      <c r="K186" s="162" t="inlineStr">
        <is>
          <t>0.75</t>
        </is>
      </c>
      <c r="L186" s="162" t="inlineStr">
        <is>
          <t>fast, kilogram, oorganisk, surt, ämne</t>
        </is>
      </c>
      <c r="M186" s="162" t="inlineStr">
        <is>
          <t>Avfallstyp kunde inte härledas.</t>
        </is>
      </c>
    </row>
    <row r="187">
      <c r="A187" s="162" t="inlineStr">
        <is>
          <t>6.1.2</t>
        </is>
      </c>
      <c r="B187" s="162" t="inlineStr">
        <is>
          <t>Surt organisk fast ämne</t>
        </is>
      </c>
      <c r="C187" s="162" t="inlineStr"/>
      <c r="D187" s="162" t="inlineStr">
        <is>
          <t>kilogram</t>
        </is>
      </c>
      <c r="E187" s="162" t="inlineStr">
        <is>
          <t>6.1</t>
        </is>
      </c>
      <c r="F187" s="162" t="inlineStr">
        <is>
          <t>ÅVC/verksamhetsavfall</t>
        </is>
      </c>
      <c r="G187" s="162" t="inlineStr"/>
      <c r="H187" s="162" t="inlineStr">
        <is>
          <t>Vikt</t>
        </is>
      </c>
      <c r="I187" s="162" t="inlineStr"/>
      <c r="J187" s="162" t="inlineStr">
        <is>
          <t>VIKG</t>
        </is>
      </c>
      <c r="K187" s="162" t="inlineStr">
        <is>
          <t>0.75</t>
        </is>
      </c>
      <c r="L187" s="162" t="inlineStr">
        <is>
          <t>fast, kilogram, organisk, surt, ämne</t>
        </is>
      </c>
      <c r="M187" s="162" t="inlineStr">
        <is>
          <t>Avfallstyp kunde inte härledas.</t>
        </is>
      </c>
    </row>
    <row r="188">
      <c r="A188" s="162" t="inlineStr">
        <is>
          <t>6.1.2</t>
        </is>
      </c>
      <c r="B188" s="162" t="inlineStr">
        <is>
          <t>Surt oorganisk vätska</t>
        </is>
      </c>
      <c r="C188" s="162" t="inlineStr"/>
      <c r="D188" s="162" t="inlineStr">
        <is>
          <t>kilogram</t>
        </is>
      </c>
      <c r="E188" s="162" t="inlineStr">
        <is>
          <t>6.1</t>
        </is>
      </c>
      <c r="F188" s="162" t="inlineStr">
        <is>
          <t>ÅVC/verksamhetsavfall</t>
        </is>
      </c>
      <c r="G188" s="162" t="inlineStr"/>
      <c r="H188" s="162" t="inlineStr">
        <is>
          <t>Vikt</t>
        </is>
      </c>
      <c r="I188" s="162" t="inlineStr"/>
      <c r="J188" s="162" t="inlineStr">
        <is>
          <t>VIKG</t>
        </is>
      </c>
      <c r="K188" s="162" t="inlineStr">
        <is>
          <t>0.75</t>
        </is>
      </c>
      <c r="L188" s="162" t="inlineStr">
        <is>
          <t>kilogram, oorganisk, surt, vätska</t>
        </is>
      </c>
      <c r="M188" s="162" t="inlineStr">
        <is>
          <t>Avfallstyp kunde inte härledas.</t>
        </is>
      </c>
    </row>
    <row r="189">
      <c r="A189" s="162" t="inlineStr">
        <is>
          <t>6.1.2</t>
        </is>
      </c>
      <c r="B189" s="162" t="inlineStr">
        <is>
          <t>Surt organisk vätska</t>
        </is>
      </c>
      <c r="C189" s="162" t="inlineStr"/>
      <c r="D189" s="162" t="inlineStr">
        <is>
          <t>kilogram</t>
        </is>
      </c>
      <c r="E189" s="162" t="inlineStr">
        <is>
          <t>6.1</t>
        </is>
      </c>
      <c r="F189" s="162" t="inlineStr">
        <is>
          <t>ÅVC/verksamhetsavfall</t>
        </is>
      </c>
      <c r="G189" s="162" t="inlineStr"/>
      <c r="H189" s="162" t="inlineStr">
        <is>
          <t>Vikt</t>
        </is>
      </c>
      <c r="I189" s="162" t="inlineStr"/>
      <c r="J189" s="162" t="inlineStr">
        <is>
          <t>VIKG</t>
        </is>
      </c>
      <c r="K189" s="162" t="inlineStr">
        <is>
          <t>0.75</t>
        </is>
      </c>
      <c r="L189" s="162" t="inlineStr">
        <is>
          <t>kilogram, organisk, surt, vätska</t>
        </is>
      </c>
      <c r="M189" s="162" t="inlineStr">
        <is>
          <t>Avfallstyp kunde inte härledas.</t>
        </is>
      </c>
    </row>
    <row r="190">
      <c r="A190" s="162" t="inlineStr">
        <is>
          <t>6.1.2</t>
        </is>
      </c>
      <c r="B190" s="162" t="inlineStr">
        <is>
          <t>Ammoniaklösning</t>
        </is>
      </c>
      <c r="C190" s="162" t="inlineStr"/>
      <c r="D190" s="162" t="inlineStr">
        <is>
          <t>kilogram</t>
        </is>
      </c>
      <c r="E190" s="162" t="inlineStr">
        <is>
          <t>6.1</t>
        </is>
      </c>
      <c r="F190" s="162" t="inlineStr">
        <is>
          <t>ÅVC/verksamhetsavfall</t>
        </is>
      </c>
      <c r="G190" s="162" t="inlineStr"/>
      <c r="H190" s="162" t="inlineStr">
        <is>
          <t>Vikt</t>
        </is>
      </c>
      <c r="I190" s="162" t="inlineStr"/>
      <c r="J190" s="162" t="inlineStr">
        <is>
          <t>VIKG</t>
        </is>
      </c>
      <c r="K190" s="162" t="inlineStr">
        <is>
          <t>0.75</t>
        </is>
      </c>
      <c r="L190" s="162" t="inlineStr">
        <is>
          <t>ammoniaklösning, kilogram</t>
        </is>
      </c>
      <c r="M190" s="162" t="inlineStr">
        <is>
          <t>Avfallstyp kunde inte härledas.</t>
        </is>
      </c>
    </row>
    <row r="191">
      <c r="A191" s="162" t="inlineStr">
        <is>
          <t>6.1.2</t>
        </is>
      </c>
      <c r="B191" s="162" t="inlineStr">
        <is>
          <t>Alkaliskt avfall fast</t>
        </is>
      </c>
      <c r="C191" s="162" t="inlineStr"/>
      <c r="D191" s="162" t="inlineStr">
        <is>
          <t>kilogram</t>
        </is>
      </c>
      <c r="E191" s="162" t="inlineStr">
        <is>
          <t>6.1</t>
        </is>
      </c>
      <c r="F191" s="162" t="inlineStr">
        <is>
          <t>ÅVC/verksamhetsavfall</t>
        </is>
      </c>
      <c r="G191" s="162" t="inlineStr"/>
      <c r="H191" s="162" t="inlineStr">
        <is>
          <t>Vikt</t>
        </is>
      </c>
      <c r="I191" s="162" t="inlineStr"/>
      <c r="J191" s="162" t="inlineStr">
        <is>
          <t>VIKG</t>
        </is>
      </c>
      <c r="K191" s="162" t="inlineStr">
        <is>
          <t>0.75</t>
        </is>
      </c>
      <c r="L191" s="162" t="inlineStr">
        <is>
          <t>alkaliskt, avfall, fast, kilogram</t>
        </is>
      </c>
      <c r="M191" s="162" t="inlineStr">
        <is>
          <t>Avfallstyp kunde inte härledas.</t>
        </is>
      </c>
    </row>
    <row r="192">
      <c r="A192" s="162" t="inlineStr">
        <is>
          <t>6.1.2</t>
        </is>
      </c>
      <c r="B192" s="162" t="inlineStr">
        <is>
          <t>Basiskt organiskt fast/flytande</t>
        </is>
      </c>
      <c r="C192" s="162" t="inlineStr"/>
      <c r="D192" s="162" t="inlineStr">
        <is>
          <t>kilogram</t>
        </is>
      </c>
      <c r="E192" s="162" t="inlineStr">
        <is>
          <t>6.1</t>
        </is>
      </c>
      <c r="F192" s="162" t="inlineStr">
        <is>
          <t>ÅVC/verksamhetsavfall</t>
        </is>
      </c>
      <c r="G192" s="162" t="inlineStr"/>
      <c r="H192" s="162" t="inlineStr">
        <is>
          <t>Vikt</t>
        </is>
      </c>
      <c r="I192" s="162" t="inlineStr"/>
      <c r="J192" s="162" t="inlineStr">
        <is>
          <t>VIKG</t>
        </is>
      </c>
      <c r="K192" s="162" t="inlineStr">
        <is>
          <t>0.75</t>
        </is>
      </c>
      <c r="L192" s="162" t="inlineStr">
        <is>
          <t>basiskt, fast, flytande, kilogram, organiskt</t>
        </is>
      </c>
      <c r="M192" s="162" t="inlineStr">
        <is>
          <t>Avfallstyp kunde inte härledas.</t>
        </is>
      </c>
    </row>
    <row r="193">
      <c r="A193" s="162" t="inlineStr">
        <is>
          <t>6.1.2</t>
        </is>
      </c>
      <c r="B193" s="162" t="inlineStr">
        <is>
          <t>Fotokemikalier</t>
        </is>
      </c>
      <c r="C193" s="162" t="inlineStr"/>
      <c r="D193" s="162" t="inlineStr">
        <is>
          <t>kilogram</t>
        </is>
      </c>
      <c r="E193" s="162" t="inlineStr">
        <is>
          <t>6.1</t>
        </is>
      </c>
      <c r="F193" s="162" t="inlineStr">
        <is>
          <t>ÅVC/verksamhetsavfall</t>
        </is>
      </c>
      <c r="G193" s="162" t="inlineStr"/>
      <c r="H193" s="162" t="inlineStr">
        <is>
          <t>Vikt</t>
        </is>
      </c>
      <c r="I193" s="162" t="inlineStr"/>
      <c r="J193" s="162" t="inlineStr">
        <is>
          <t>VIKG</t>
        </is>
      </c>
      <c r="K193" s="162" t="inlineStr">
        <is>
          <t>0.75</t>
        </is>
      </c>
      <c r="L193" s="162" t="inlineStr">
        <is>
          <t>fotokemikalier, kilogram</t>
        </is>
      </c>
      <c r="M193" s="162" t="inlineStr">
        <is>
          <t>Avfallstyp kunde inte härledas.</t>
        </is>
      </c>
    </row>
    <row r="194">
      <c r="A194" s="162" t="inlineStr">
        <is>
          <t>6.1.2</t>
        </is>
      </c>
      <c r="B194" s="162" t="inlineStr">
        <is>
          <t>Bekämpningsmedel aerosoler</t>
        </is>
      </c>
      <c r="C194" s="162" t="inlineStr"/>
      <c r="D194" s="162" t="inlineStr">
        <is>
          <t>kilogram</t>
        </is>
      </c>
      <c r="E194" s="162" t="inlineStr">
        <is>
          <t>6.1</t>
        </is>
      </c>
      <c r="F194" s="162" t="inlineStr">
        <is>
          <t>ÅVC/verksamhetsavfall</t>
        </is>
      </c>
      <c r="G194" s="162" t="inlineStr"/>
      <c r="H194" s="162" t="inlineStr">
        <is>
          <t>Vikt</t>
        </is>
      </c>
      <c r="I194" s="162" t="inlineStr"/>
      <c r="J194" s="162" t="inlineStr">
        <is>
          <t>VIKG</t>
        </is>
      </c>
      <c r="K194" s="162" t="inlineStr">
        <is>
          <t>0.75</t>
        </is>
      </c>
      <c r="L194" s="162" t="inlineStr">
        <is>
          <t>aerosoler, bekämpningsmedel, kilogram</t>
        </is>
      </c>
      <c r="M194" s="162" t="inlineStr">
        <is>
          <t>Avfallstyp kunde inte härledas.</t>
        </is>
      </c>
    </row>
    <row r="195">
      <c r="A195" s="162" t="inlineStr">
        <is>
          <t>6.1.2</t>
        </is>
      </c>
      <c r="B195" s="162" t="inlineStr">
        <is>
          <t>Bekämpningsmedel fast</t>
        </is>
      </c>
      <c r="C195" s="162" t="inlineStr"/>
      <c r="D195" s="162" t="inlineStr">
        <is>
          <t>kilogram</t>
        </is>
      </c>
      <c r="E195" s="162" t="inlineStr">
        <is>
          <t>6.1</t>
        </is>
      </c>
      <c r="F195" s="162" t="inlineStr">
        <is>
          <t>ÅVC/verksamhetsavfall</t>
        </is>
      </c>
      <c r="G195" s="162" t="inlineStr"/>
      <c r="H195" s="162" t="inlineStr">
        <is>
          <t>Vikt</t>
        </is>
      </c>
      <c r="I195" s="162" t="inlineStr"/>
      <c r="J195" s="162" t="inlineStr">
        <is>
          <t>VIKG</t>
        </is>
      </c>
      <c r="K195" s="162" t="inlineStr">
        <is>
          <t>0.75</t>
        </is>
      </c>
      <c r="L195" s="162" t="inlineStr">
        <is>
          <t>bekämpningsmedel, fast, kilogram</t>
        </is>
      </c>
      <c r="M195" s="162" t="inlineStr">
        <is>
          <t>Avfallstyp kunde inte härledas.</t>
        </is>
      </c>
    </row>
    <row r="196">
      <c r="A196" s="162" t="inlineStr">
        <is>
          <t>6.1.2</t>
        </is>
      </c>
      <c r="B196" s="162" t="inlineStr">
        <is>
          <t>Bekämpningsmedel flytande</t>
        </is>
      </c>
      <c r="C196" s="162" t="inlineStr"/>
      <c r="D196" s="162" t="inlineStr">
        <is>
          <t>kilogram</t>
        </is>
      </c>
      <c r="E196" s="162" t="inlineStr">
        <is>
          <t>6.1</t>
        </is>
      </c>
      <c r="F196" s="162" t="inlineStr">
        <is>
          <t>ÅVC/verksamhetsavfall</t>
        </is>
      </c>
      <c r="G196" s="162" t="inlineStr"/>
      <c r="H196" s="162" t="inlineStr">
        <is>
          <t>Vikt</t>
        </is>
      </c>
      <c r="I196" s="162" t="inlineStr"/>
      <c r="J196" s="162" t="inlineStr">
        <is>
          <t>VIKG</t>
        </is>
      </c>
      <c r="K196" s="162" t="inlineStr">
        <is>
          <t>0.75</t>
        </is>
      </c>
      <c r="L196" s="162" t="inlineStr">
        <is>
          <t>bekämpningsmedel, flytande, kilogram</t>
        </is>
      </c>
      <c r="M196" s="162" t="inlineStr">
        <is>
          <t>Avfallstyp kunde inte härledas.</t>
        </is>
      </c>
    </row>
    <row r="197">
      <c r="A197" s="162" t="inlineStr">
        <is>
          <t>6.1.2</t>
        </is>
      </c>
      <c r="B197" s="162" t="inlineStr">
        <is>
          <t>Kvicksilverhaltigt avfall</t>
        </is>
      </c>
      <c r="C197" s="162" t="inlineStr"/>
      <c r="D197" s="162" t="inlineStr">
        <is>
          <t>kilogram</t>
        </is>
      </c>
      <c r="E197" s="162" t="inlineStr">
        <is>
          <t>6.1</t>
        </is>
      </c>
      <c r="F197" s="162" t="inlineStr">
        <is>
          <t>ÅVC/verksamhetsavfall</t>
        </is>
      </c>
      <c r="G197" s="162" t="inlineStr"/>
      <c r="H197" s="162" t="inlineStr">
        <is>
          <t>Vikt</t>
        </is>
      </c>
      <c r="I197" s="162" t="inlineStr"/>
      <c r="J197" s="162" t="inlineStr">
        <is>
          <t>VIKG</t>
        </is>
      </c>
      <c r="K197" s="162" t="inlineStr">
        <is>
          <t>0.75</t>
        </is>
      </c>
      <c r="L197" s="162" t="inlineStr">
        <is>
          <t>avfall, kilogram, kvicksilverhaltigt</t>
        </is>
      </c>
      <c r="M197" s="162" t="inlineStr">
        <is>
          <t>Avfallstyp kunde inte härledas.</t>
        </is>
      </c>
    </row>
    <row r="198">
      <c r="A198" s="162" t="inlineStr">
        <is>
          <t>6.1.2</t>
        </is>
      </c>
      <c r="B198" s="162" t="inlineStr">
        <is>
          <t>Kvicksilver i föremål</t>
        </is>
      </c>
      <c r="C198" s="162" t="inlineStr"/>
      <c r="D198" s="162" t="inlineStr">
        <is>
          <t>kilogram</t>
        </is>
      </c>
      <c r="E198" s="162" t="inlineStr">
        <is>
          <t>6.1</t>
        </is>
      </c>
      <c r="F198" s="162" t="inlineStr">
        <is>
          <t>ÅVC/verksamhetsavfall</t>
        </is>
      </c>
      <c r="G198" s="162" t="inlineStr"/>
      <c r="H198" s="162" t="inlineStr">
        <is>
          <t>Vikt</t>
        </is>
      </c>
      <c r="I198" s="162" t="inlineStr"/>
      <c r="J198" s="162" t="inlineStr">
        <is>
          <t>VIKG</t>
        </is>
      </c>
      <c r="K198" s="162" t="inlineStr">
        <is>
          <t>0.75</t>
        </is>
      </c>
      <c r="L198" s="162" t="inlineStr">
        <is>
          <t>föremål, kilogram, kvicksilver</t>
        </is>
      </c>
      <c r="M198" s="162" t="inlineStr">
        <is>
          <t>Avfallstyp kunde inte härledas.</t>
        </is>
      </c>
    </row>
    <row r="199">
      <c r="A199" s="162" t="inlineStr">
        <is>
          <t>6.1.2</t>
        </is>
      </c>
      <c r="B199" s="162" t="inlineStr">
        <is>
          <t>Oljehaltigt avfall (ej PCB)</t>
        </is>
      </c>
      <c r="C199" s="162" t="inlineStr"/>
      <c r="D199" s="162" t="inlineStr">
        <is>
          <t>liter</t>
        </is>
      </c>
      <c r="E199" s="162" t="inlineStr">
        <is>
          <t>6.1</t>
        </is>
      </c>
      <c r="F199" s="162" t="inlineStr">
        <is>
          <t>ÅVC/verksamhetsavfall</t>
        </is>
      </c>
      <c r="G199" s="162" t="inlineStr">
        <is>
          <t>Oljeavfall</t>
        </is>
      </c>
      <c r="H199" s="162" t="inlineStr">
        <is>
          <t>Behållarvolym</t>
        </is>
      </c>
      <c r="I199" s="162" t="inlineStr"/>
      <c r="J199" s="162" t="inlineStr">
        <is>
          <t>VOLYM/BEHÅLLARE</t>
        </is>
      </c>
      <c r="K199" s="162" t="inlineStr">
        <is>
          <t>1.00</t>
        </is>
      </c>
      <c r="L199" s="162" t="inlineStr">
        <is>
          <t>avfall, liter, oljehaltigt, pcb</t>
        </is>
      </c>
      <c r="M199" s="162" t="inlineStr"/>
    </row>
    <row r="200">
      <c r="A200" s="162" t="inlineStr">
        <is>
          <t>6.1.2</t>
        </is>
      </c>
      <c r="B200" s="162" t="inlineStr">
        <is>
          <t>Olja förorenad (ej PCB)</t>
        </is>
      </c>
      <c r="C200" s="162" t="inlineStr"/>
      <c r="D200" s="162" t="inlineStr">
        <is>
          <t>liter</t>
        </is>
      </c>
      <c r="E200" s="162" t="inlineStr">
        <is>
          <t>6.1</t>
        </is>
      </c>
      <c r="F200" s="162" t="inlineStr">
        <is>
          <t>ÅVC/verksamhetsavfall</t>
        </is>
      </c>
      <c r="G200" s="162" t="inlineStr">
        <is>
          <t>Oljeavfall</t>
        </is>
      </c>
      <c r="H200" s="162" t="inlineStr">
        <is>
          <t>Behållarvolym</t>
        </is>
      </c>
      <c r="I200" s="162" t="inlineStr"/>
      <c r="J200" s="162" t="inlineStr">
        <is>
          <t>VOLYM/BEHÅLLARE</t>
        </is>
      </c>
      <c r="K200" s="162" t="inlineStr">
        <is>
          <t>1.00</t>
        </is>
      </c>
      <c r="L200" s="162" t="inlineStr">
        <is>
          <t>förorenad, liter, olja, pcb</t>
        </is>
      </c>
      <c r="M200" s="162" t="inlineStr"/>
    </row>
    <row r="201">
      <c r="A201" s="162" t="inlineStr">
        <is>
          <t>6.1.2</t>
        </is>
      </c>
      <c r="B201" s="162" t="inlineStr">
        <is>
          <t>Färg-, lack-, limburkar lösning</t>
        </is>
      </c>
      <c r="C201" s="162" t="inlineStr"/>
      <c r="D201" s="162" t="inlineStr">
        <is>
          <t>kilogram</t>
        </is>
      </c>
      <c r="E201" s="162" t="inlineStr">
        <is>
          <t>6.1</t>
        </is>
      </c>
      <c r="F201" s="162" t="inlineStr">
        <is>
          <t>ÅVC/verksamhetsavfall</t>
        </is>
      </c>
      <c r="G201" s="162" t="inlineStr"/>
      <c r="H201" s="162" t="inlineStr">
        <is>
          <t>Vikt</t>
        </is>
      </c>
      <c r="I201" s="162" t="inlineStr"/>
      <c r="J201" s="162" t="inlineStr">
        <is>
          <t>VIKG</t>
        </is>
      </c>
      <c r="K201" s="162" t="inlineStr">
        <is>
          <t>0.75</t>
        </is>
      </c>
      <c r="L201" s="162" t="inlineStr">
        <is>
          <t>färg-, kilogram, lack-, limburkar, lösning</t>
        </is>
      </c>
      <c r="M201" s="162" t="inlineStr">
        <is>
          <t>Avfallstyp kunde inte härledas.</t>
        </is>
      </c>
    </row>
    <row r="202">
      <c r="A202" s="162" t="inlineStr">
        <is>
          <t>6.1.2</t>
        </is>
      </c>
      <c r="B202" s="162" t="inlineStr">
        <is>
          <t>Färg-, lack-, limburkar lösning aerosoler</t>
        </is>
      </c>
      <c r="C202" s="162" t="inlineStr"/>
      <c r="D202" s="162" t="inlineStr">
        <is>
          <t>kilogram</t>
        </is>
      </c>
      <c r="E202" s="162" t="inlineStr">
        <is>
          <t>6.1</t>
        </is>
      </c>
      <c r="F202" s="162" t="inlineStr">
        <is>
          <t>ÅVC/verksamhetsavfall</t>
        </is>
      </c>
      <c r="G202" s="162" t="inlineStr"/>
      <c r="H202" s="162" t="inlineStr">
        <is>
          <t>Vikt</t>
        </is>
      </c>
      <c r="I202" s="162" t="inlineStr"/>
      <c r="J202" s="162" t="inlineStr">
        <is>
          <t>VIKG</t>
        </is>
      </c>
      <c r="K202" s="162" t="inlineStr">
        <is>
          <t>0.75</t>
        </is>
      </c>
      <c r="L202" s="162" t="inlineStr">
        <is>
          <t>aerosoler, färg-, kilogram, lack-, limburkar, lösning</t>
        </is>
      </c>
      <c r="M202" s="162" t="inlineStr">
        <is>
          <t>Avfallstyp kunde inte härledas.</t>
        </is>
      </c>
    </row>
    <row r="203">
      <c r="A203" s="162" t="inlineStr">
        <is>
          <t>6.1.2</t>
        </is>
      </c>
      <c r="B203" s="162" t="inlineStr">
        <is>
          <t>Isocyanater</t>
        </is>
      </c>
      <c r="C203" s="162" t="inlineStr"/>
      <c r="D203" s="162" t="inlineStr">
        <is>
          <t>kilogram</t>
        </is>
      </c>
      <c r="E203" s="162" t="inlineStr">
        <is>
          <t>6.1</t>
        </is>
      </c>
      <c r="F203" s="162" t="inlineStr">
        <is>
          <t>ÅVC/verksamhetsavfall</t>
        </is>
      </c>
      <c r="G203" s="162" t="inlineStr"/>
      <c r="H203" s="162" t="inlineStr">
        <is>
          <t>Vikt</t>
        </is>
      </c>
      <c r="I203" s="162" t="inlineStr"/>
      <c r="J203" s="162" t="inlineStr">
        <is>
          <t>VIKG</t>
        </is>
      </c>
      <c r="K203" s="162" t="inlineStr">
        <is>
          <t>0.75</t>
        </is>
      </c>
      <c r="L203" s="162" t="inlineStr">
        <is>
          <t>isocyanater, kilogram</t>
        </is>
      </c>
      <c r="M203" s="162" t="inlineStr">
        <is>
          <t>Avfallstyp kunde inte härledas.</t>
        </is>
      </c>
    </row>
    <row r="204">
      <c r="A204" s="162" t="inlineStr">
        <is>
          <t>6.1.2</t>
        </is>
      </c>
      <c r="B204" s="162" t="inlineStr">
        <is>
          <t>Härdare metyl- etylketonperoxid</t>
        </is>
      </c>
      <c r="C204" s="162" t="inlineStr"/>
      <c r="D204" s="162" t="inlineStr">
        <is>
          <t>kilogram</t>
        </is>
      </c>
      <c r="E204" s="162" t="inlineStr">
        <is>
          <t>6.1</t>
        </is>
      </c>
      <c r="F204" s="162" t="inlineStr">
        <is>
          <t>ÅVC/verksamhetsavfall</t>
        </is>
      </c>
      <c r="G204" s="162" t="inlineStr"/>
      <c r="H204" s="162" t="inlineStr">
        <is>
          <t>Vikt</t>
        </is>
      </c>
      <c r="I204" s="162" t="inlineStr"/>
      <c r="J204" s="162" t="inlineStr">
        <is>
          <t>VIKG</t>
        </is>
      </c>
      <c r="K204" s="162" t="inlineStr">
        <is>
          <t>0.75</t>
        </is>
      </c>
      <c r="L204" s="162" t="inlineStr">
        <is>
          <t>härdare, kilogram, metyl-etylketonperoxid</t>
        </is>
      </c>
      <c r="M204" s="162" t="inlineStr">
        <is>
          <t>Avfallstyp kunde inte härledas.</t>
        </is>
      </c>
    </row>
    <row r="205">
      <c r="A205" s="162" t="inlineStr">
        <is>
          <t>6.1.2</t>
        </is>
      </c>
      <c r="B205" s="162" t="inlineStr">
        <is>
          <t>Härdare dibenzoylperoxid</t>
        </is>
      </c>
      <c r="C205" s="162" t="inlineStr"/>
      <c r="D205" s="162" t="inlineStr">
        <is>
          <t>kilogram</t>
        </is>
      </c>
      <c r="E205" s="162" t="inlineStr">
        <is>
          <t>6.1</t>
        </is>
      </c>
      <c r="F205" s="162" t="inlineStr">
        <is>
          <t>ÅVC/verksamhetsavfall</t>
        </is>
      </c>
      <c r="G205" s="162" t="inlineStr"/>
      <c r="H205" s="162" t="inlineStr">
        <is>
          <t>Vikt</t>
        </is>
      </c>
      <c r="I205" s="162" t="inlineStr"/>
      <c r="J205" s="162" t="inlineStr">
        <is>
          <t>VIKG</t>
        </is>
      </c>
      <c r="K205" s="162" t="inlineStr">
        <is>
          <t>0.75</t>
        </is>
      </c>
      <c r="L205" s="162" t="inlineStr">
        <is>
          <t>dibenzoylperoxid, härdare, kilogram</t>
        </is>
      </c>
      <c r="M205" s="162" t="inlineStr">
        <is>
          <t>Avfallstyp kunde inte härledas.</t>
        </is>
      </c>
    </row>
    <row r="206">
      <c r="A206" s="162" t="inlineStr">
        <is>
          <t>6.1.2</t>
        </is>
      </c>
      <c r="B206" s="162" t="inlineStr">
        <is>
          <t>Färg-,lack-, limburkar vattenbaserade</t>
        </is>
      </c>
      <c r="C206" s="162" t="inlineStr"/>
      <c r="D206" s="162" t="inlineStr">
        <is>
          <t>kilogram</t>
        </is>
      </c>
      <c r="E206" s="162" t="inlineStr">
        <is>
          <t>6.1</t>
        </is>
      </c>
      <c r="F206" s="162" t="inlineStr">
        <is>
          <t>ÅVC/verksamhetsavfall</t>
        </is>
      </c>
      <c r="G206" s="162" t="inlineStr"/>
      <c r="H206" s="162" t="inlineStr">
        <is>
          <t>Vikt</t>
        </is>
      </c>
      <c r="I206" s="162" t="inlineStr"/>
      <c r="J206" s="162" t="inlineStr">
        <is>
          <t>VIKG</t>
        </is>
      </c>
      <c r="K206" s="162" t="inlineStr">
        <is>
          <t>0.75</t>
        </is>
      </c>
      <c r="L206" s="162" t="inlineStr">
        <is>
          <t>färg-, kilogram, lack-, limburkar, vattenbaserade</t>
        </is>
      </c>
      <c r="M206" s="162" t="inlineStr">
        <is>
          <t>Avfallstyp kunde inte härledas.</t>
        </is>
      </c>
    </row>
    <row r="207">
      <c r="A207" s="162" t="inlineStr">
        <is>
          <t>6.1.2</t>
        </is>
      </c>
      <c r="B207" s="162" t="inlineStr">
        <is>
          <t>Tensida alkaliska flytande avfall</t>
        </is>
      </c>
      <c r="C207" s="162" t="inlineStr"/>
      <c r="D207" s="162" t="inlineStr">
        <is>
          <t>kilogram</t>
        </is>
      </c>
      <c r="E207" s="162" t="inlineStr">
        <is>
          <t>6.1</t>
        </is>
      </c>
      <c r="F207" s="162" t="inlineStr">
        <is>
          <t>ÅVC/verksamhetsavfall</t>
        </is>
      </c>
      <c r="G207" s="162" t="inlineStr"/>
      <c r="H207" s="162" t="inlineStr">
        <is>
          <t>Vikt</t>
        </is>
      </c>
      <c r="I207" s="162" t="inlineStr"/>
      <c r="J207" s="162" t="inlineStr">
        <is>
          <t>VIKG</t>
        </is>
      </c>
      <c r="K207" s="162" t="inlineStr">
        <is>
          <t>0.75</t>
        </is>
      </c>
      <c r="L207" s="162" t="inlineStr">
        <is>
          <t>alkaliska, avfall, flytande, kilogram, tensida</t>
        </is>
      </c>
      <c r="M207" s="162" t="inlineStr">
        <is>
          <t>Avfallstyp kunde inte härledas.</t>
        </is>
      </c>
    </row>
    <row r="208">
      <c r="A208" s="162" t="inlineStr">
        <is>
          <t>6.1.2</t>
        </is>
      </c>
      <c r="B208" s="162" t="inlineStr">
        <is>
          <t>Rengöring/vaskmedel fast</t>
        </is>
      </c>
      <c r="C208" s="162" t="inlineStr"/>
      <c r="D208" s="162" t="inlineStr">
        <is>
          <t>kilogram</t>
        </is>
      </c>
      <c r="E208" s="162" t="inlineStr">
        <is>
          <t>6.1</t>
        </is>
      </c>
      <c r="F208" s="162" t="inlineStr">
        <is>
          <t>ÅVC/verksamhetsavfall</t>
        </is>
      </c>
      <c r="G208" s="162" t="inlineStr"/>
      <c r="H208" s="162" t="inlineStr">
        <is>
          <t>Vikt</t>
        </is>
      </c>
      <c r="I208" s="162" t="inlineStr"/>
      <c r="J208" s="162" t="inlineStr">
        <is>
          <t>VIKG</t>
        </is>
      </c>
      <c r="K208" s="162" t="inlineStr">
        <is>
          <t>0.75</t>
        </is>
      </c>
      <c r="L208" s="162" t="inlineStr">
        <is>
          <t>fast, kilogram, rengöring, vaskmedel</t>
        </is>
      </c>
      <c r="M208" s="162" t="inlineStr">
        <is>
          <t>Avfallstyp kunde inte härledas.</t>
        </is>
      </c>
    </row>
    <row r="209">
      <c r="A209" s="162" t="inlineStr">
        <is>
          <t>6.1.2</t>
        </is>
      </c>
      <c r="B209" s="162" t="inlineStr">
        <is>
          <t>Alkaliska flytande avfall</t>
        </is>
      </c>
      <c r="C209" s="162" t="inlineStr"/>
      <c r="D209" s="162" t="inlineStr">
        <is>
          <t>kilogram</t>
        </is>
      </c>
      <c r="E209" s="162" t="inlineStr">
        <is>
          <t>6.1</t>
        </is>
      </c>
      <c r="F209" s="162" t="inlineStr">
        <is>
          <t>ÅVC/verksamhetsavfall</t>
        </is>
      </c>
      <c r="G209" s="162" t="inlineStr"/>
      <c r="H209" s="162" t="inlineStr">
        <is>
          <t>Vikt</t>
        </is>
      </c>
      <c r="I209" s="162" t="inlineStr"/>
      <c r="J209" s="162" t="inlineStr">
        <is>
          <t>VIKG</t>
        </is>
      </c>
      <c r="K209" s="162" t="inlineStr">
        <is>
          <t>0.75</t>
        </is>
      </c>
      <c r="L209" s="162" t="inlineStr">
        <is>
          <t>alkaliska, avfall, flytande, kilogram</t>
        </is>
      </c>
      <c r="M209" s="162" t="inlineStr">
        <is>
          <t>Avfallstyp kunde inte härledas.</t>
        </is>
      </c>
    </row>
    <row r="210">
      <c r="A210" s="162" t="inlineStr">
        <is>
          <t>6.1.2</t>
        </is>
      </c>
      <c r="B210" s="162" t="inlineStr">
        <is>
          <t>Cytotoxiska läkemedel, cytostat</t>
        </is>
      </c>
      <c r="C210" s="162" t="inlineStr"/>
      <c r="D210" s="162" t="inlineStr">
        <is>
          <t>kilogram</t>
        </is>
      </c>
      <c r="E210" s="162" t="inlineStr">
        <is>
          <t>6.1</t>
        </is>
      </c>
      <c r="F210" s="162" t="inlineStr">
        <is>
          <t>ÅVC/verksamhetsavfall</t>
        </is>
      </c>
      <c r="G210" s="162" t="inlineStr"/>
      <c r="H210" s="162" t="inlineStr">
        <is>
          <t>Vikt</t>
        </is>
      </c>
      <c r="I210" s="162" t="inlineStr"/>
      <c r="J210" s="162" t="inlineStr">
        <is>
          <t>VIKG</t>
        </is>
      </c>
      <c r="K210" s="162" t="inlineStr">
        <is>
          <t>0.75</t>
        </is>
      </c>
      <c r="L210" s="162" t="inlineStr">
        <is>
          <t>cytostat, cytotoxiska, kilogram, läkemedel</t>
        </is>
      </c>
      <c r="M210" s="162" t="inlineStr">
        <is>
          <t>Avfallstyp kunde inte härledas.</t>
        </is>
      </c>
    </row>
    <row r="211">
      <c r="A211" s="162" t="inlineStr">
        <is>
          <t>6.1.2</t>
        </is>
      </c>
      <c r="B211" s="162" t="inlineStr">
        <is>
          <t>Rökdetektor med andra isotoper</t>
        </is>
      </c>
      <c r="C211" s="162" t="inlineStr"/>
      <c r="D211" s="162" t="inlineStr">
        <is>
          <t>kilogram</t>
        </is>
      </c>
      <c r="E211" s="162" t="inlineStr">
        <is>
          <t>6.1</t>
        </is>
      </c>
      <c r="F211" s="162" t="inlineStr">
        <is>
          <t>ÅVC/verksamhetsavfall</t>
        </is>
      </c>
      <c r="G211" s="162" t="inlineStr"/>
      <c r="H211" s="162" t="inlineStr">
        <is>
          <t>Vikt</t>
        </is>
      </c>
      <c r="I211" s="162" t="inlineStr"/>
      <c r="J211" s="162" t="inlineStr">
        <is>
          <t>VIKG</t>
        </is>
      </c>
      <c r="K211" s="162" t="inlineStr">
        <is>
          <t>0.75</t>
        </is>
      </c>
      <c r="L211" s="162" t="inlineStr">
        <is>
          <t>andra, isotoper, kilogram, rökdetektor</t>
        </is>
      </c>
      <c r="M211" s="162" t="inlineStr">
        <is>
          <t>Avfallstyp kunde inte härledas.</t>
        </is>
      </c>
    </row>
    <row r="212">
      <c r="A212" s="162" t="inlineStr">
        <is>
          <t>6.1.2</t>
        </is>
      </c>
      <c r="B212" s="162" t="inlineStr">
        <is>
          <t>Rökdetektor med Am 241</t>
        </is>
      </c>
      <c r="C212" s="162" t="inlineStr"/>
      <c r="D212" s="162" t="inlineStr">
        <is>
          <t>kilogram</t>
        </is>
      </c>
      <c r="E212" s="162" t="inlineStr">
        <is>
          <t>6.1</t>
        </is>
      </c>
      <c r="F212" s="162" t="inlineStr">
        <is>
          <t>ÅVC/verksamhetsavfall</t>
        </is>
      </c>
      <c r="G212" s="162" t="inlineStr"/>
      <c r="H212" s="162" t="inlineStr">
        <is>
          <t>Vikt</t>
        </is>
      </c>
      <c r="I212" s="162" t="inlineStr"/>
      <c r="J212" s="162" t="inlineStr">
        <is>
          <t>VIKG</t>
        </is>
      </c>
      <c r="K212" s="162" t="inlineStr">
        <is>
          <t>0.75</t>
        </is>
      </c>
      <c r="L212" s="162" t="inlineStr">
        <is>
          <t>241, kilogram, rökdetektor</t>
        </is>
      </c>
      <c r="M212" s="162" t="inlineStr">
        <is>
          <t>Avfallstyp kunde inte härledas.</t>
        </is>
      </c>
    </row>
    <row r="213">
      <c r="A213" s="162" t="inlineStr">
        <is>
          <t>6.1.2</t>
        </is>
      </c>
      <c r="B213" s="162" t="inlineStr">
        <is>
          <t>Batterier stav, pencell</t>
        </is>
      </c>
      <c r="C213" s="162" t="inlineStr"/>
      <c r="D213" s="162" t="inlineStr">
        <is>
          <t>kilogram</t>
        </is>
      </c>
      <c r="E213" s="162" t="inlineStr">
        <is>
          <t>6.1</t>
        </is>
      </c>
      <c r="F213" s="162" t="inlineStr">
        <is>
          <t>ÅVC/verksamhetsavfall</t>
        </is>
      </c>
      <c r="G213" s="162" t="inlineStr">
        <is>
          <t>Batterier</t>
        </is>
      </c>
      <c r="H213" s="162" t="inlineStr">
        <is>
          <t>Vikt</t>
        </is>
      </c>
      <c r="I213" s="162" t="inlineStr"/>
      <c r="J213" s="162" t="inlineStr">
        <is>
          <t>VIKG</t>
        </is>
      </c>
      <c r="K213" s="162" t="inlineStr">
        <is>
          <t>1.00</t>
        </is>
      </c>
      <c r="L213" s="162" t="inlineStr">
        <is>
          <t>batterier, kilogram, pencell, stav</t>
        </is>
      </c>
      <c r="M213" s="162" t="inlineStr"/>
    </row>
    <row r="214">
      <c r="A214" s="162" t="inlineStr">
        <is>
          <t>6.1.2</t>
        </is>
      </c>
      <c r="B214" s="162" t="inlineStr">
        <is>
          <t>Batterier lithium</t>
        </is>
      </c>
      <c r="C214" s="162" t="inlineStr"/>
      <c r="D214" s="162" t="inlineStr">
        <is>
          <t>kilogram</t>
        </is>
      </c>
      <c r="E214" s="162" t="inlineStr">
        <is>
          <t>6.1</t>
        </is>
      </c>
      <c r="F214" s="162" t="inlineStr">
        <is>
          <t>ÅVC/verksamhetsavfall</t>
        </is>
      </c>
      <c r="G214" s="162" t="inlineStr">
        <is>
          <t>Batterier</t>
        </is>
      </c>
      <c r="H214" s="162" t="inlineStr">
        <is>
          <t>Vikt</t>
        </is>
      </c>
      <c r="I214" s="162" t="inlineStr"/>
      <c r="J214" s="162" t="inlineStr">
        <is>
          <t>VIKG</t>
        </is>
      </c>
      <c r="K214" s="162" t="inlineStr">
        <is>
          <t>1.00</t>
        </is>
      </c>
      <c r="L214" s="162" t="inlineStr">
        <is>
          <t>batterier, kilogram, lithium</t>
        </is>
      </c>
      <c r="M214" s="162" t="inlineStr"/>
    </row>
    <row r="215">
      <c r="A215" s="162" t="inlineStr">
        <is>
          <t>6.1.2</t>
        </is>
      </c>
      <c r="B215" s="162" t="inlineStr">
        <is>
          <t>Bil-, mcbatteri med bly</t>
        </is>
      </c>
      <c r="C215" s="162" t="inlineStr"/>
      <c r="D215" s="162" t="inlineStr">
        <is>
          <t>styck</t>
        </is>
      </c>
      <c r="E215" s="162" t="inlineStr">
        <is>
          <t>6.1</t>
        </is>
      </c>
      <c r="F215" s="162" t="inlineStr">
        <is>
          <t>ÅVC/verksamhetsavfall</t>
        </is>
      </c>
      <c r="G215" s="162" t="inlineStr"/>
      <c r="H215" s="162" t="inlineStr">
        <is>
          <t>Styck</t>
        </is>
      </c>
      <c r="I215" s="162" t="inlineStr"/>
      <c r="J215" s="162" t="inlineStr">
        <is>
          <t>ST</t>
        </is>
      </c>
      <c r="K215" s="162" t="inlineStr">
        <is>
          <t>0.75</t>
        </is>
      </c>
      <c r="L215" s="162" t="inlineStr">
        <is>
          <t>bil-, bly, mcbatteri, styck</t>
        </is>
      </c>
      <c r="M215" s="162" t="inlineStr">
        <is>
          <t>Avfallstyp kunde inte härledas.</t>
        </is>
      </c>
    </row>
    <row r="216">
      <c r="A216" s="162" t="inlineStr">
        <is>
          <t>6.1.2</t>
        </is>
      </c>
      <c r="B216" s="162" t="inlineStr">
        <is>
          <t>Glödlampor</t>
        </is>
      </c>
      <c r="C216" s="162" t="inlineStr"/>
      <c r="D216" s="162" t="inlineStr">
        <is>
          <t>kilogram</t>
        </is>
      </c>
      <c r="E216" s="162" t="inlineStr">
        <is>
          <t>6.1</t>
        </is>
      </c>
      <c r="F216" s="162" t="inlineStr">
        <is>
          <t>ÅVC/verksamhetsavfall</t>
        </is>
      </c>
      <c r="G216" s="162" t="inlineStr"/>
      <c r="H216" s="162" t="inlineStr">
        <is>
          <t>Vikt</t>
        </is>
      </c>
      <c r="I216" s="162" t="inlineStr"/>
      <c r="J216" s="162" t="inlineStr">
        <is>
          <t>VIKG</t>
        </is>
      </c>
      <c r="K216" s="162" t="inlineStr">
        <is>
          <t>0.75</t>
        </is>
      </c>
      <c r="L216" s="162" t="inlineStr">
        <is>
          <t>glödlampor, kilogram</t>
        </is>
      </c>
      <c r="M216" s="162" t="inlineStr">
        <is>
          <t>Avfallstyp kunde inte härledas.</t>
        </is>
      </c>
    </row>
    <row r="217">
      <c r="A217" s="162" t="inlineStr">
        <is>
          <t>6.1.2</t>
        </is>
      </c>
      <c r="B217" s="162" t="inlineStr">
        <is>
          <t>Lysrör</t>
        </is>
      </c>
      <c r="C217" s="162" t="inlineStr"/>
      <c r="D217" s="162" t="inlineStr">
        <is>
          <t>kilogram</t>
        </is>
      </c>
      <c r="E217" s="162" t="inlineStr">
        <is>
          <t>6.1</t>
        </is>
      </c>
      <c r="F217" s="162" t="inlineStr">
        <is>
          <t>ÅVC/verksamhetsavfall</t>
        </is>
      </c>
      <c r="G217" s="162" t="inlineStr"/>
      <c r="H217" s="162" t="inlineStr">
        <is>
          <t>Vikt</t>
        </is>
      </c>
      <c r="I217" s="162" t="inlineStr"/>
      <c r="J217" s="162" t="inlineStr">
        <is>
          <t>VIKG</t>
        </is>
      </c>
      <c r="K217" s="162" t="inlineStr">
        <is>
          <t>0.75</t>
        </is>
      </c>
      <c r="L217" s="162" t="inlineStr">
        <is>
          <t>kilogram, lysrör</t>
        </is>
      </c>
      <c r="M217" s="162" t="inlineStr">
        <is>
          <t>Avfallstyp kunde inte härledas.</t>
        </is>
      </c>
    </row>
    <row r="218">
      <c r="A218" s="162" t="inlineStr">
        <is>
          <t>6.1.2</t>
        </is>
      </c>
      <c r="B218" s="162" t="inlineStr">
        <is>
          <t>Elavfall, små elektronik</t>
        </is>
      </c>
      <c r="C218" s="162" t="inlineStr"/>
      <c r="D218" s="162" t="inlineStr">
        <is>
          <t>kilogram</t>
        </is>
      </c>
      <c r="E218" s="162" t="inlineStr">
        <is>
          <t>6.1</t>
        </is>
      </c>
      <c r="F218" s="162" t="inlineStr">
        <is>
          <t>ÅVC/verksamhetsavfall</t>
        </is>
      </c>
      <c r="G218" s="162" t="inlineStr">
        <is>
          <t>Elavfall</t>
        </is>
      </c>
      <c r="H218" s="162" t="inlineStr">
        <is>
          <t>Vikt</t>
        </is>
      </c>
      <c r="I218" s="162" t="inlineStr"/>
      <c r="J218" s="162" t="inlineStr">
        <is>
          <t>VIKG</t>
        </is>
      </c>
      <c r="K218" s="162" t="inlineStr">
        <is>
          <t>1.00</t>
        </is>
      </c>
      <c r="L218" s="162" t="inlineStr">
        <is>
          <t>elavfall, elektronik, kilogram, små</t>
        </is>
      </c>
      <c r="M218" s="162" t="inlineStr"/>
    </row>
    <row r="219">
      <c r="A219" s="162" t="inlineStr">
        <is>
          <t>6.1.2</t>
        </is>
      </c>
      <c r="B219" s="162" t="inlineStr">
        <is>
          <t>El-avfall fast installation</t>
        </is>
      </c>
      <c r="C219" s="162" t="inlineStr"/>
      <c r="D219" s="162" t="inlineStr">
        <is>
          <t>kilogram</t>
        </is>
      </c>
      <c r="E219" s="162" t="inlineStr">
        <is>
          <t>6.1</t>
        </is>
      </c>
      <c r="F219" s="162" t="inlineStr">
        <is>
          <t>ÅVC/verksamhetsavfall</t>
        </is>
      </c>
      <c r="G219" s="162" t="inlineStr">
        <is>
          <t>Elavfall</t>
        </is>
      </c>
      <c r="H219" s="162" t="inlineStr">
        <is>
          <t>Vikt</t>
        </is>
      </c>
      <c r="I219" s="162" t="inlineStr"/>
      <c r="J219" s="162" t="inlineStr">
        <is>
          <t>VIKG</t>
        </is>
      </c>
      <c r="K219" s="162" t="inlineStr">
        <is>
          <t>1.00</t>
        </is>
      </c>
      <c r="L219" s="162" t="inlineStr">
        <is>
          <t>el-avfall, fast, installation, kilogram</t>
        </is>
      </c>
      <c r="M219" s="162" t="inlineStr"/>
    </row>
    <row r="220">
      <c r="A220" s="162" t="inlineStr">
        <is>
          <t>6.1.2</t>
        </is>
      </c>
      <c r="B220" s="162" t="inlineStr">
        <is>
          <t>El-avfall kabel</t>
        </is>
      </c>
      <c r="C220" s="162" t="inlineStr"/>
      <c r="D220" s="162" t="inlineStr">
        <is>
          <t>kilogram</t>
        </is>
      </c>
      <c r="E220" s="162" t="inlineStr">
        <is>
          <t>6.1</t>
        </is>
      </c>
      <c r="F220" s="162" t="inlineStr">
        <is>
          <t>ÅVC/verksamhetsavfall</t>
        </is>
      </c>
      <c r="G220" s="162" t="inlineStr">
        <is>
          <t>Elavfall</t>
        </is>
      </c>
      <c r="H220" s="162" t="inlineStr">
        <is>
          <t>Vikt</t>
        </is>
      </c>
      <c r="I220" s="162" t="inlineStr"/>
      <c r="J220" s="162" t="inlineStr">
        <is>
          <t>VIKG</t>
        </is>
      </c>
      <c r="K220" s="162" t="inlineStr">
        <is>
          <t>1.00</t>
        </is>
      </c>
      <c r="L220" s="162" t="inlineStr">
        <is>
          <t>el-avfall, kabel, kilogram</t>
        </is>
      </c>
      <c r="M220" s="162" t="inlineStr"/>
    </row>
    <row r="221">
      <c r="A221" s="162" t="inlineStr">
        <is>
          <t>6.1.2</t>
        </is>
      </c>
      <c r="B221" s="162" t="inlineStr">
        <is>
          <t>Toner, färgpatron med elektronik</t>
        </is>
      </c>
      <c r="C221" s="162" t="inlineStr"/>
      <c r="D221" s="162" t="inlineStr">
        <is>
          <t>kilogram</t>
        </is>
      </c>
      <c r="E221" s="162" t="inlineStr">
        <is>
          <t>6.1</t>
        </is>
      </c>
      <c r="F221" s="162" t="inlineStr">
        <is>
          <t>ÅVC/verksamhetsavfall</t>
        </is>
      </c>
      <c r="G221" s="162" t="inlineStr"/>
      <c r="H221" s="162" t="inlineStr">
        <is>
          <t>Vikt</t>
        </is>
      </c>
      <c r="I221" s="162" t="inlineStr"/>
      <c r="J221" s="162" t="inlineStr">
        <is>
          <t>VIKG</t>
        </is>
      </c>
      <c r="K221" s="162" t="inlineStr">
        <is>
          <t>0.75</t>
        </is>
      </c>
      <c r="L221" s="162" t="inlineStr">
        <is>
          <t>elektronik, färgpatron, kilogram, toner</t>
        </is>
      </c>
      <c r="M221" s="162" t="inlineStr">
        <is>
          <t>Avfallstyp kunde inte härledas.</t>
        </is>
      </c>
    </row>
    <row r="222">
      <c r="A222" s="162" t="inlineStr">
        <is>
          <t>6.1.2</t>
        </is>
      </c>
      <c r="B222" s="162" t="inlineStr">
        <is>
          <t>Tv, radio, skärm, skrivare utan färgpatron</t>
        </is>
      </c>
      <c r="C222" s="162" t="inlineStr"/>
      <c r="D222" s="162" t="inlineStr">
        <is>
          <t>kilogram</t>
        </is>
      </c>
      <c r="E222" s="162" t="inlineStr">
        <is>
          <t>6.1</t>
        </is>
      </c>
      <c r="F222" s="162" t="inlineStr">
        <is>
          <t>ÅVC/verksamhetsavfall</t>
        </is>
      </c>
      <c r="G222" s="162" t="inlineStr"/>
      <c r="H222" s="162" t="inlineStr">
        <is>
          <t>Vikt</t>
        </is>
      </c>
      <c r="I222" s="162" t="inlineStr"/>
      <c r="J222" s="162" t="inlineStr">
        <is>
          <t>VIKG</t>
        </is>
      </c>
      <c r="K222" s="162" t="inlineStr">
        <is>
          <t>0.75</t>
        </is>
      </c>
      <c r="L222" s="162" t="inlineStr">
        <is>
          <t>färgpatron, kilogram, radio, skrivare, skärm</t>
        </is>
      </c>
      <c r="M222" s="162" t="inlineStr">
        <is>
          <t>Avfallstyp kunde inte härledas.</t>
        </is>
      </c>
    </row>
    <row r="223">
      <c r="A223" s="162" t="inlineStr">
        <is>
          <t>6.1.2</t>
        </is>
      </c>
      <c r="B223" s="162" t="inlineStr">
        <is>
          <t>Kyl-, frysskåp, -box</t>
        </is>
      </c>
      <c r="C223" s="162" t="inlineStr"/>
      <c r="D223" s="162" t="inlineStr">
        <is>
          <t>styck</t>
        </is>
      </c>
      <c r="E223" s="162" t="inlineStr">
        <is>
          <t>6.1</t>
        </is>
      </c>
      <c r="F223" s="162" t="inlineStr">
        <is>
          <t>ÅVC/verksamhetsavfall</t>
        </is>
      </c>
      <c r="G223" s="162" t="inlineStr">
        <is>
          <t>Kyl/frys</t>
        </is>
      </c>
      <c r="H223" s="162" t="inlineStr">
        <is>
          <t>Styck</t>
        </is>
      </c>
      <c r="I223" s="162" t="inlineStr"/>
      <c r="J223" s="162" t="inlineStr">
        <is>
          <t>ST</t>
        </is>
      </c>
      <c r="K223" s="162" t="inlineStr">
        <is>
          <t>1.00</t>
        </is>
      </c>
      <c r="L223" s="162" t="inlineStr">
        <is>
          <t>-boxstyck, frysskåp, kyl-</t>
        </is>
      </c>
      <c r="M223" s="162" t="inlineStr"/>
    </row>
    <row r="224">
      <c r="A224" s="162" t="inlineStr">
        <is>
          <t>6.1.2</t>
        </is>
      </c>
      <c r="B224" s="162" t="inlineStr">
        <is>
          <t>Kyl-, frysskåp, -box från verksamhet</t>
        </is>
      </c>
      <c r="C224" s="162" t="inlineStr"/>
      <c r="D224" s="162" t="inlineStr">
        <is>
          <t>kilogram</t>
        </is>
      </c>
      <c r="E224" s="162" t="inlineStr">
        <is>
          <t>6.1</t>
        </is>
      </c>
      <c r="F224" s="162" t="inlineStr">
        <is>
          <t>ÅVC/verksamhetsavfall</t>
        </is>
      </c>
      <c r="G224" s="162" t="inlineStr">
        <is>
          <t>Kyl/frys</t>
        </is>
      </c>
      <c r="H224" s="162" t="inlineStr">
        <is>
          <t>Vikt</t>
        </is>
      </c>
      <c r="I224" s="162" t="inlineStr"/>
      <c r="J224" s="162" t="inlineStr">
        <is>
          <t>VIKG</t>
        </is>
      </c>
      <c r="K224" s="162" t="inlineStr">
        <is>
          <t>1.00</t>
        </is>
      </c>
      <c r="L224" s="162" t="inlineStr">
        <is>
          <t>-boxfrån, frysskåp, kilogram, kyl-, verksamhet</t>
        </is>
      </c>
      <c r="M224" s="162" t="inlineStr"/>
    </row>
    <row r="225">
      <c r="A225" s="162" t="inlineStr">
        <is>
          <t>6.1.2</t>
        </is>
      </c>
      <c r="B225" s="162" t="inlineStr">
        <is>
          <t>Spis, tvätt-, diskmaskin</t>
        </is>
      </c>
      <c r="C225" s="162" t="inlineStr"/>
      <c r="D225" s="162" t="inlineStr">
        <is>
          <t>styck</t>
        </is>
      </c>
      <c r="E225" s="162" t="inlineStr">
        <is>
          <t>6.1</t>
        </is>
      </c>
      <c r="F225" s="162" t="inlineStr">
        <is>
          <t>ÅVC/verksamhetsavfall</t>
        </is>
      </c>
      <c r="G225" s="162" t="inlineStr"/>
      <c r="H225" s="162" t="inlineStr">
        <is>
          <t>Styck</t>
        </is>
      </c>
      <c r="I225" s="162" t="inlineStr"/>
      <c r="J225" s="162" t="inlineStr">
        <is>
          <t>ST</t>
        </is>
      </c>
      <c r="K225" s="162" t="inlineStr">
        <is>
          <t>0.75</t>
        </is>
      </c>
      <c r="L225" s="162" t="inlineStr">
        <is>
          <t>diskmaskin, spis, styck, tvätt-</t>
        </is>
      </c>
      <c r="M225" s="162" t="inlineStr">
        <is>
          <t>Avfallstyp kunde inte härledas.</t>
        </is>
      </c>
    </row>
    <row r="226">
      <c r="A226" s="162" t="inlineStr">
        <is>
          <t>6.1.2</t>
        </is>
      </c>
      <c r="B226" s="162" t="inlineStr">
        <is>
          <t>Spis, tvätt-, diskmaskin från verksamhet</t>
        </is>
      </c>
      <c r="C226" s="162" t="inlineStr"/>
      <c r="D226" s="162" t="inlineStr">
        <is>
          <t>kilogram</t>
        </is>
      </c>
      <c r="E226" s="162" t="inlineStr">
        <is>
          <t>6.1</t>
        </is>
      </c>
      <c r="F226" s="162" t="inlineStr">
        <is>
          <t>ÅVC/verksamhetsavfall</t>
        </is>
      </c>
      <c r="G226" s="162" t="inlineStr"/>
      <c r="H226" s="162" t="inlineStr">
        <is>
          <t>Vikt</t>
        </is>
      </c>
      <c r="I226" s="162" t="inlineStr"/>
      <c r="J226" s="162" t="inlineStr">
        <is>
          <t>VIKG</t>
        </is>
      </c>
      <c r="K226" s="162" t="inlineStr">
        <is>
          <t>0.75</t>
        </is>
      </c>
      <c r="L226" s="162" t="inlineStr">
        <is>
          <t>diskmaskin, kilogram, spis, tvätt-, verksamhet</t>
        </is>
      </c>
      <c r="M226" s="162" t="inlineStr">
        <is>
          <t>Avfallstyp kunde inte härledas.</t>
        </is>
      </c>
    </row>
    <row r="227">
      <c r="A227" s="162" t="inlineStr">
        <is>
          <t>6.1.3</t>
        </is>
      </c>
      <c r="B227" s="162" t="inlineStr">
        <is>
          <t>Container X m3</t>
        </is>
      </c>
      <c r="C227" s="162" t="inlineStr"/>
      <c r="D227" s="162" t="inlineStr">
        <is>
          <t>m³</t>
        </is>
      </c>
      <c r="E227" s="162" t="inlineStr">
        <is>
          <t>6.1</t>
        </is>
      </c>
      <c r="F227" s="162" t="inlineStr">
        <is>
          <t>Verksamhetsavfall</t>
        </is>
      </c>
      <c r="G227" s="162" t="inlineStr"/>
      <c r="H227" s="162" t="inlineStr">
        <is>
          <t>Volym</t>
        </is>
      </c>
      <c r="I227" s="162" t="inlineStr"/>
      <c r="J227" s="162" t="inlineStr">
        <is>
          <t>VOLM</t>
        </is>
      </c>
      <c r="K227" s="162" t="inlineStr">
        <is>
          <t>0.75</t>
        </is>
      </c>
      <c r="L227" s="162" t="inlineStr">
        <is>
          <t>containerxm3</t>
        </is>
      </c>
      <c r="M227" s="162" t="inlineStr">
        <is>
          <t>Avfallstyp kunde inte härledas.</t>
        </is>
      </c>
    </row>
    <row r="228">
      <c r="A228" s="162" t="inlineStr">
        <is>
          <t>6.1.3</t>
        </is>
      </c>
      <c r="B228" s="162" t="inlineStr">
        <is>
          <t>Container X m3</t>
        </is>
      </c>
      <c r="C228" s="162" t="inlineStr"/>
      <c r="D228" s="162" t="inlineStr">
        <is>
          <t>m³</t>
        </is>
      </c>
      <c r="E228" s="162" t="inlineStr">
        <is>
          <t>6.1</t>
        </is>
      </c>
      <c r="F228" s="162" t="inlineStr">
        <is>
          <t>Verksamhetsavfall</t>
        </is>
      </c>
      <c r="G228" s="162" t="inlineStr"/>
      <c r="H228" s="162" t="inlineStr">
        <is>
          <t>Volym</t>
        </is>
      </c>
      <c r="I228" s="162" t="inlineStr"/>
      <c r="J228" s="162" t="inlineStr">
        <is>
          <t>VOLM</t>
        </is>
      </c>
      <c r="K228" s="162" t="inlineStr">
        <is>
          <t>0.75</t>
        </is>
      </c>
      <c r="L228" s="162" t="inlineStr">
        <is>
          <t>containerxm3</t>
        </is>
      </c>
      <c r="M228" s="162" t="inlineStr">
        <is>
          <t>Avfallstyp kunde inte härledas.</t>
        </is>
      </c>
    </row>
    <row r="229">
      <c r="A229" s="162" t="inlineStr">
        <is>
          <t>6.1.3</t>
        </is>
      </c>
      <c r="B229" s="162" t="inlineStr">
        <is>
          <t>Container X m3</t>
        </is>
      </c>
      <c r="C229" s="162" t="inlineStr"/>
      <c r="D229" s="162" t="inlineStr">
        <is>
          <t>m³</t>
        </is>
      </c>
      <c r="E229" s="162" t="inlineStr">
        <is>
          <t>6.1</t>
        </is>
      </c>
      <c r="F229" s="162" t="inlineStr">
        <is>
          <t>Verksamhetsavfall</t>
        </is>
      </c>
      <c r="G229" s="162" t="inlineStr"/>
      <c r="H229" s="162" t="inlineStr">
        <is>
          <t>Volym</t>
        </is>
      </c>
      <c r="I229" s="162" t="inlineStr"/>
      <c r="J229" s="162" t="inlineStr">
        <is>
          <t>VOLM</t>
        </is>
      </c>
      <c r="K229" s="162" t="inlineStr">
        <is>
          <t>0.75</t>
        </is>
      </c>
      <c r="L229" s="162" t="inlineStr">
        <is>
          <t>containerxm3</t>
        </is>
      </c>
      <c r="M229" s="162" t="inlineStr">
        <is>
          <t>Avfallstyp kunde inte härledas.</t>
        </is>
      </c>
    </row>
    <row r="230">
      <c r="A230" s="162" t="inlineStr">
        <is>
          <t>6.1.3</t>
        </is>
      </c>
      <c r="B230" s="162" t="inlineStr">
        <is>
          <t>Omklassning av felsorterad container</t>
        </is>
      </c>
      <c r="C230" s="162" t="inlineStr"/>
      <c r="D230" s="162" t="inlineStr">
        <is>
          <t>container</t>
        </is>
      </c>
      <c r="E230" s="162" t="inlineStr">
        <is>
          <t>6.1</t>
        </is>
      </c>
      <c r="F230" s="162" t="inlineStr">
        <is>
          <t>Verksamhetsavfall</t>
        </is>
      </c>
      <c r="G230" s="162" t="inlineStr"/>
      <c r="H230" s="162" t="inlineStr"/>
      <c r="I230" s="162" t="inlineStr"/>
      <c r="J230" s="162" t="inlineStr"/>
      <c r="K230" s="162" t="inlineStr">
        <is>
          <t>0.50</t>
        </is>
      </c>
      <c r="L230" s="162" t="inlineStr">
        <is>
          <t>container, felsorterad, omklassning</t>
        </is>
      </c>
      <c r="M230" s="162" t="inlineStr">
        <is>
          <t>Faktor kunde inte härledas från enhet/text. | Avfallstyp kunde inte härledas.</t>
        </is>
      </c>
    </row>
    <row r="231">
      <c r="A231" s="162" t="inlineStr">
        <is>
          <t>6.1.4</t>
        </is>
      </c>
      <c r="B231" s="162" t="inlineStr">
        <is>
          <t>Okänt farligt avfall (säkerhetsdatablad saknas)</t>
        </is>
      </c>
      <c r="C231" s="162" t="inlineStr"/>
      <c r="D231" s="162" t="inlineStr">
        <is>
          <t>fraktion</t>
        </is>
      </c>
      <c r="E231" s="162" t="inlineStr">
        <is>
          <t>6.1</t>
        </is>
      </c>
      <c r="F231" s="162" t="inlineStr">
        <is>
          <t>Verksamhetsavfall</t>
        </is>
      </c>
      <c r="G231" s="162" t="inlineStr">
        <is>
          <t>Farligt avfall</t>
        </is>
      </c>
      <c r="H231" s="162" t="inlineStr"/>
      <c r="I231" s="162" t="inlineStr"/>
      <c r="J231" s="162" t="inlineStr"/>
      <c r="K231" s="162" t="inlineStr">
        <is>
          <t>0.75</t>
        </is>
      </c>
      <c r="L231" s="162" t="inlineStr">
        <is>
          <t>avfall, farligt, fraktion, okänt, saknas, säkerhetsdatablad</t>
        </is>
      </c>
      <c r="M231" s="162" t="inlineStr">
        <is>
          <t>Faktor kunde inte härledas från enhet/text.</t>
        </is>
      </c>
    </row>
    <row r="232">
      <c r="A232" s="162" t="inlineStr">
        <is>
          <t>6.1.4</t>
        </is>
      </c>
      <c r="B232" s="162" t="inlineStr">
        <is>
          <t>Ombud för rapportering av farligt avfall i Avfallsregistret</t>
        </is>
      </c>
      <c r="C232" s="162" t="inlineStr"/>
      <c r="D232" s="162" t="inlineStr">
        <is>
          <t>tillfälle</t>
        </is>
      </c>
      <c r="E232" s="162" t="inlineStr">
        <is>
          <t>6.1</t>
        </is>
      </c>
      <c r="F232" s="162" t="inlineStr">
        <is>
          <t>Verksamhetsavfall</t>
        </is>
      </c>
      <c r="G232" s="162" t="inlineStr">
        <is>
          <t>Farligt avfall</t>
        </is>
      </c>
      <c r="H232" s="162" t="inlineStr">
        <is>
          <t>Tillfälle</t>
        </is>
      </c>
      <c r="I232" s="162" t="inlineStr"/>
      <c r="J232" s="162" t="inlineStr">
        <is>
          <t>TILLFÄLLE</t>
        </is>
      </c>
      <c r="K232" s="162" t="inlineStr">
        <is>
          <t>1.00</t>
        </is>
      </c>
      <c r="L232" s="162" t="inlineStr">
        <is>
          <t>avfall, avfallsregistret, farligt, ombud, rapportering, tillfälle</t>
        </is>
      </c>
      <c r="M232" s="162" t="inlineStr"/>
    </row>
    <row r="233">
      <c r="A233" s="162" t="inlineStr">
        <is>
          <t>6.1.4</t>
        </is>
      </c>
      <c r="B233" s="162" t="inlineStr">
        <is>
          <t>Administrativ rapporteringsavgift till Avfallsregistret</t>
        </is>
      </c>
      <c r="C233" s="162" t="inlineStr"/>
      <c r="D233" s="162" t="inlineStr">
        <is>
          <t>tillfälle</t>
        </is>
      </c>
      <c r="E233" s="162" t="inlineStr">
        <is>
          <t>6.1</t>
        </is>
      </c>
      <c r="F233" s="162" t="inlineStr">
        <is>
          <t>Verksamhetsavfall</t>
        </is>
      </c>
      <c r="G233" s="162" t="inlineStr"/>
      <c r="H233" s="162" t="inlineStr">
        <is>
          <t>Tillfälle</t>
        </is>
      </c>
      <c r="I233" s="162" t="inlineStr"/>
      <c r="J233" s="162" t="inlineStr">
        <is>
          <t>TILLFÄLLE</t>
        </is>
      </c>
      <c r="K233" s="162" t="inlineStr">
        <is>
          <t>0.75</t>
        </is>
      </c>
      <c r="L233" s="162" t="inlineStr">
        <is>
          <t>administrativ, avfallsregistret, rapporteringsavgift, tillfälle</t>
        </is>
      </c>
      <c r="M233" s="162" t="inlineStr">
        <is>
          <t>Avfallstyp kunde inte härledas.</t>
        </is>
      </c>
    </row>
    <row r="234">
      <c r="A234" s="162" t="inlineStr">
        <is>
          <t>6.1.4</t>
        </is>
      </c>
      <c r="B234" s="162" t="inlineStr">
        <is>
          <t>Ombud för registrering av El-kretsen avlämnarintyg i Hämtplatsportalen</t>
        </is>
      </c>
      <c r="C234" s="162" t="inlineStr"/>
      <c r="D234" s="162" t="inlineStr">
        <is>
          <t>tillfälle</t>
        </is>
      </c>
      <c r="E234" s="162" t="inlineStr">
        <is>
          <t>6.1</t>
        </is>
      </c>
      <c r="F234" s="162" t="inlineStr">
        <is>
          <t>Verksamhetsavfall</t>
        </is>
      </c>
      <c r="G234" s="162" t="inlineStr"/>
      <c r="H234" s="162" t="inlineStr">
        <is>
          <t>Tillfälle</t>
        </is>
      </c>
      <c r="I234" s="162" t="inlineStr"/>
      <c r="J234" s="162" t="inlineStr">
        <is>
          <t>TILLFÄLLE</t>
        </is>
      </c>
      <c r="K234" s="162" t="inlineStr">
        <is>
          <t>0.75</t>
        </is>
      </c>
      <c r="L234" s="162" t="inlineStr">
        <is>
          <t>avlämnarintyg, el-kretsen, hämtplatsportalen, ombud, registrering, tillfälle</t>
        </is>
      </c>
      <c r="M234" s="162" t="inlineStr">
        <is>
          <t>Avfallstyp kunde inte härledas.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Isak Hjelte</dc:creator>
  <dcterms:created xmlns:dcterms="http://purl.org/dc/terms/" xmlns:xsi="http://www.w3.org/2001/XMLSchema-instance" xsi:type="dcterms:W3CDTF">2026-07-07T11:22:20Z</dcterms:created>
  <dcterms:modified xmlns:dcterms="http://purl.org/dc/terms/" xmlns:xsi="http://www.w3.org/2001/XMLSchema-instance" xsi:type="dcterms:W3CDTF">2026-07-07T22:03:01Z</dcterms:modified>
  <cp:lastModifiedBy>Isak Hjelte</cp:lastModifiedBy>
</cp:coreProperties>
</file>