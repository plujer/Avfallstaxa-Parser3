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yProjects\Sorsele med elin\"/>
    </mc:Choice>
  </mc:AlternateContent>
  <xr:revisionPtr revIDLastSave="0" documentId="13_ncr:1_{836CF875-89DF-43A9-82E5-B74BDDA296D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xepunkter" sheetId="2" r:id="rId1"/>
    <sheet name="Taxepunkter_Rådata" sheetId="3" r:id="rId2"/>
    <sheet name="Taxa_från_edp" sheetId="9" r:id="rId3"/>
    <sheet name="Taxa_till_edp" sheetId="10" r:id="rId4"/>
    <sheet name="QA Word-Excel struktur" sheetId="13" r:id="rId5"/>
    <sheet name="Taxa_Saknas" sheetId="14" r:id="rId6"/>
    <sheet name="Taxekod_Tolkning" sheetId="16" r:id="rId7"/>
    <sheet name="Källa_Prislista_DH" sheetId="17" r:id="rId8"/>
    <sheet name="Källa_Kvantitetskoder" sheetId="18" r:id="rId9"/>
    <sheet name="01_Projektöversikt" sheetId="19" r:id="rId10"/>
    <sheet name="02_Projektregler" sheetId="20" r:id="rId11"/>
    <sheet name="03_Arbetsflöde" sheetId="21" r:id="rId12"/>
    <sheet name="04_Källdokument" sheetId="22" r:id="rId13"/>
    <sheet name="06_Prompt_ChatGPT" sheetId="23" r:id="rId14"/>
    <sheet name="07_Word_export_senare" sheetId="24" r:id="rId15"/>
    <sheet name="Projektstatus" sheetId="25" r:id="rId16"/>
    <sheet name="Dokumentation_Taxepunkter" sheetId="26" r:id="rId17"/>
    <sheet name="Beslutslogg" sheetId="27" r:id="rId18"/>
    <sheet name="Färgstandard" sheetId="28" r:id="rId19"/>
    <sheet name="Dokumentation_Taxa_Saknas" sheetId="29" r:id="rId20"/>
    <sheet name="Dokumentation_Taxa_från_edp" sheetId="30" r:id="rId21"/>
    <sheet name="Revision_Etapp1" sheetId="31" r:id="rId22"/>
    <sheet name="Revision_Formler_DV" sheetId="32" r:id="rId23"/>
    <sheet name="00_MasterInfo" sheetId="33" r:id="rId24"/>
    <sheet name="EDP_Import_Logg" sheetId="34" r:id="rId25"/>
  </sheets>
  <definedNames>
    <definedName name="Factors_TK00001">#REF!</definedName>
    <definedName name="Factors_TK00002">#REF!</definedName>
    <definedName name="Factors_TK00003">#REF!</definedName>
    <definedName name="Factors_TK00004">#REF!</definedName>
    <definedName name="Factors_TK00005">#REF!</definedName>
    <definedName name="Factors_TK00006">#REF!</definedName>
    <definedName name="Factors_TK00007">#REF!</definedName>
    <definedName name="Factors_TK00008">#REF!</definedName>
    <definedName name="Factors_TK00009">#REF!</definedName>
    <definedName name="Factors_TK00010">#REF!</definedName>
    <definedName name="Factors_TK00011">#REF!</definedName>
    <definedName name="Factors_TK00012">#REF!</definedName>
    <definedName name="Factors_TK00013">#REF!</definedName>
    <definedName name="Factors_TK00014">#REF!</definedName>
    <definedName name="Factors_TK00015">#REF!</definedName>
    <definedName name="Factors_TK00016">#REF!</definedName>
    <definedName name="Factors_TK00017">#REF!</definedName>
    <definedName name="Factors_TK00018">#REF!</definedName>
    <definedName name="Factors_TK00019">#REF!</definedName>
    <definedName name="Factors_TK00020">#REF!</definedName>
    <definedName name="Factors_TK00021">#REF!</definedName>
    <definedName name="Factors_TK00022">#REF!</definedName>
    <definedName name="Factors_TK00023">#REF!</definedName>
    <definedName name="Factors_TK00024">#REF!</definedName>
    <definedName name="Factors_TK00025">#REF!</definedName>
    <definedName name="Factors_TK00026">#REF!</definedName>
    <definedName name="Factors_TK00027">#REF!</definedName>
    <definedName name="Factors_TK00028">#REF!</definedName>
    <definedName name="Factors_TK00029">#REF!</definedName>
    <definedName name="Factors_TK00030">#REF!</definedName>
    <definedName name="Factors_TK00031">#REF!</definedName>
    <definedName name="Factors_TK00032">#REF!</definedName>
    <definedName name="Factors_TK00033">#REF!</definedName>
    <definedName name="Factors_TK00034">#REF!</definedName>
    <definedName name="Factors_TK00035">#REF!</definedName>
    <definedName name="Factors_TK00036">#REF!</definedName>
    <definedName name="Factors_TK00037">#REF!</definedName>
    <definedName name="Factors_TK00038">#REF!</definedName>
    <definedName name="Factors_TK00039">#REF!</definedName>
    <definedName name="Factors_TK00040">#REF!</definedName>
    <definedName name="Factors_TK00041">#REF!</definedName>
    <definedName name="Factors_TK00042">#REF!</definedName>
    <definedName name="Factors_TK00043">#REF!</definedName>
    <definedName name="Factors_TK00044">#REF!</definedName>
    <definedName name="Factors_TK00045">#REF!</definedName>
    <definedName name="Factors_TK00046">#REF!</definedName>
    <definedName name="Factors_TK00047">#REF!</definedName>
    <definedName name="Factors_TK00048">#REF!</definedName>
    <definedName name="Factors_TK00049">#REF!</definedName>
    <definedName name="Factors_TK00050">#REF!</definedName>
    <definedName name="Factors_TK00051">#REF!</definedName>
    <definedName name="Factors_TK00052">#REF!</definedName>
    <definedName name="Factors_TK00053">#REF!</definedName>
    <definedName name="Factors_TK00054">#REF!</definedName>
    <definedName name="Factors_TK00055">#REF!</definedName>
    <definedName name="Factors_TK00056">#REF!</definedName>
    <definedName name="Factors_TK00057">#REF!</definedName>
    <definedName name="Factors_TK00058">#REF!</definedName>
    <definedName name="Factors_TK00059">#REF!</definedName>
    <definedName name="Factors_TK00060">#REF!</definedName>
    <definedName name="Factors_TK00061">#REF!</definedName>
    <definedName name="Factors_TK00062">#REF!</definedName>
    <definedName name="Factors_TK00063">#REF!</definedName>
    <definedName name="Factors_TK00064">#REF!</definedName>
    <definedName name="Factors_TK00065">#REF!</definedName>
    <definedName name="Factors_TK00066">#REF!</definedName>
    <definedName name="Factors_TK00067">#REF!</definedName>
    <definedName name="Factors_TK00068">#REF!</definedName>
    <definedName name="Factors_TK00069">#REF!</definedName>
    <definedName name="Factors_TK00070">#REF!</definedName>
    <definedName name="Factors_TK00071">#REF!</definedName>
    <definedName name="Factors_TK00072">#REF!</definedName>
    <definedName name="Factors_TK00073">#REF!</definedName>
    <definedName name="Factors_TK00074">#REF!</definedName>
    <definedName name="Factors_TK00075">#REF!</definedName>
    <definedName name="Factors_TK00076">#REF!</definedName>
    <definedName name="Factors_TK00077">#REF!</definedName>
    <definedName name="Factors_TK00078">#REF!</definedName>
    <definedName name="Factors_TK00079">#REF!</definedName>
    <definedName name="Factors_TK00080">#REF!</definedName>
    <definedName name="Factors_TK00081">#REF!</definedName>
    <definedName name="Factors_TK00082">#REF!</definedName>
    <definedName name="Factors_TK00083">#REF!</definedName>
    <definedName name="Factors_TK00084">#REF!</definedName>
    <definedName name="Factors_TK00085">#REF!</definedName>
    <definedName name="Factors_TK00086">#REF!</definedName>
    <definedName name="Factors_TK00087">#REF!</definedName>
    <definedName name="Factors_TK00088">#REF!</definedName>
    <definedName name="Factors_TK00089">#REF!</definedName>
    <definedName name="Factors_TK00090">#REF!</definedName>
    <definedName name="Factors_TK00091">#REF!</definedName>
    <definedName name="Factors_TK00092">#REF!</definedName>
    <definedName name="Factors_TK00093">#REF!</definedName>
    <definedName name="Factors_TK00094">#REF!</definedName>
    <definedName name="Factors_TK00095">#REF!</definedName>
    <definedName name="Factors_TK00096">#REF!</definedName>
    <definedName name="Factors_TK00097">#REF!</definedName>
    <definedName name="Factors_TK00098">#REF!</definedName>
    <definedName name="Factors_TK00099">#REF!</definedName>
    <definedName name="Factors_TK00100">#REF!</definedName>
    <definedName name="Factors_TK00101">#REF!</definedName>
    <definedName name="Factors_TK00102">#REF!</definedName>
    <definedName name="Factors_TK00103">#REF!</definedName>
    <definedName name="Factors_TK00104">#REF!</definedName>
    <definedName name="Factors_TK00105">#REF!</definedName>
    <definedName name="Factors_TK00106">#REF!</definedName>
    <definedName name="Factors_TK00107">#REF!</definedName>
    <definedName name="Factors_TK00108">#REF!</definedName>
    <definedName name="Factors_TK00109">#REF!</definedName>
    <definedName name="Factors_TK00110">#REF!</definedName>
    <definedName name="Factors_TK00111">#REF!</definedName>
    <definedName name="Factors_TK00112">#REF!</definedName>
    <definedName name="Factors_TK00113">#REF!</definedName>
    <definedName name="Factors_TK00114">#REF!</definedName>
    <definedName name="Factors_TK00115">#REF!</definedName>
    <definedName name="Factors_TK00116">#REF!</definedName>
    <definedName name="Factors_TK00117">#REF!</definedName>
    <definedName name="Factors_TK00118">#REF!</definedName>
    <definedName name="Factors_TK00119">#REF!</definedName>
    <definedName name="Factors_TK00120">#REF!</definedName>
    <definedName name="Factors_TK00121">#REF!</definedName>
    <definedName name="Factors_TK00122">#REF!</definedName>
    <definedName name="Factors_TK00123">#REF!</definedName>
    <definedName name="Factors_TK00124">#REF!</definedName>
    <definedName name="Factors_TK00125">#REF!</definedName>
    <definedName name="Factors_TK00126">#REF!</definedName>
    <definedName name="Factors_TK00127">#REF!</definedName>
    <definedName name="Factors_TK00128">#REF!</definedName>
    <definedName name="Factors_TK00129">#REF!</definedName>
    <definedName name="Factors_TK00130">#REF!</definedName>
    <definedName name="Factors_TK00131">#REF!</definedName>
    <definedName name="Factors_TK00132">#REF!</definedName>
    <definedName name="Factors_TK00133">#REF!</definedName>
    <definedName name="Factors_TK00134">#REF!</definedName>
    <definedName name="Factors_TK00135">#REF!</definedName>
    <definedName name="Factors_TK00136">#REF!</definedName>
    <definedName name="Factors_TK00137">#REF!</definedName>
    <definedName name="Factors_TK00138">#REF!</definedName>
    <definedName name="Factors_TK00139">#REF!</definedName>
    <definedName name="Factors_TK00140">#REF!</definedName>
    <definedName name="Factors_TK00141">#REF!</definedName>
    <definedName name="Factors_TK00142">#REF!</definedName>
    <definedName name="Factors_TK00143">#REF!</definedName>
    <definedName name="Factors_TK00144">#REF!</definedName>
    <definedName name="Factors_TK00145">#REF!</definedName>
    <definedName name="Factors_TK00146">#REF!</definedName>
    <definedName name="Factors_TK00147">#REF!</definedName>
    <definedName name="Factors_TK00148">#REF!</definedName>
    <definedName name="Factors_TK00149">#REF!</definedName>
    <definedName name="Factors_TK00150">#REF!</definedName>
    <definedName name="Factors_TK00151">#REF!</definedName>
    <definedName name="Factors_TK00152">#REF!</definedName>
    <definedName name="Factors_TK00153">#REF!</definedName>
    <definedName name="Factors_TK00154">#REF!</definedName>
    <definedName name="Factors_TK00155">#REF!</definedName>
    <definedName name="Factors_TK00156">#REF!</definedName>
    <definedName name="Factors_TK00157">#REF!</definedName>
    <definedName name="Factors_TK00158">#REF!</definedName>
    <definedName name="Factors_TK00159">#REF!</definedName>
    <definedName name="Factors_TK00160">#REF!</definedName>
    <definedName name="Factors_TK00161">#REF!</definedName>
    <definedName name="Factors_TK00162">#REF!</definedName>
    <definedName name="Factors_TK00163">#REF!</definedName>
    <definedName name="Factors_TK00164">#REF!</definedName>
    <definedName name="Factors_TK00165">#REF!</definedName>
    <definedName name="Factors_TK00166">#REF!</definedName>
    <definedName name="Factors_TK00167">#REF!</definedName>
    <definedName name="Factors_TK00168">#REF!</definedName>
    <definedName name="Factors_TK00169">#REF!</definedName>
    <definedName name="Factors_TK00170">#REF!</definedName>
    <definedName name="Factors_TK00171">#REF!</definedName>
    <definedName name="Factors_TK00172">#REF!</definedName>
    <definedName name="Factors_TK00173">#REF!</definedName>
    <definedName name="Factors_TK00174">#REF!</definedName>
    <definedName name="Factors_TK00175">#REF!</definedName>
    <definedName name="Factors_TK00176">#REF!</definedName>
    <definedName name="Factors_TK00177">#REF!</definedName>
    <definedName name="Factors_TK00178">#REF!</definedName>
    <definedName name="Factors_TK00179">#REF!</definedName>
    <definedName name="Factors_TK00180">#REF!</definedName>
    <definedName name="Factors_TK00181">#REF!</definedName>
    <definedName name="Factors_TK00182">#REF!</definedName>
    <definedName name="Factors_TK00183">#REF!</definedName>
    <definedName name="Factors_TK00184">#REF!</definedName>
    <definedName name="Factors_TK00185">#REF!</definedName>
    <definedName name="Factors_TK00186">#REF!</definedName>
    <definedName name="Factors_TK00187">#REF!</definedName>
    <definedName name="Factors_TK00188">#REF!</definedName>
    <definedName name="Factors_TK00189">#REF!</definedName>
    <definedName name="Factors_TK00190">#REF!</definedName>
    <definedName name="Factors_TK00191">#REF!</definedName>
    <definedName name="Factors_TK00192">#REF!</definedName>
    <definedName name="Factors_TK00193">#REF!</definedName>
    <definedName name="Factors_TK00194">#REF!</definedName>
    <definedName name="Factors_TK00195">#REF!</definedName>
    <definedName name="Factors_TK00196">#REF!</definedName>
    <definedName name="Factors_TK00197">#REF!</definedName>
    <definedName name="Factors_TK00198">#REF!</definedName>
    <definedName name="Factors_TK00199">#REF!</definedName>
    <definedName name="Factors_TK00200">#REF!</definedName>
    <definedName name="Factors_TK00201">#REF!</definedName>
    <definedName name="Factors_TK00202">#REF!</definedName>
    <definedName name="Factors_TK00203">#REF!</definedName>
    <definedName name="Factors_TK00204">#REF!</definedName>
    <definedName name="Factors_TK00205">#REF!</definedName>
    <definedName name="Factors_TK00206">#REF!</definedName>
    <definedName name="Factors_TK00207">#REF!</definedName>
    <definedName name="Factors_TK00208">#REF!</definedName>
    <definedName name="Factors_TK00209">#REF!</definedName>
    <definedName name="Factors_TK00210">#REF!</definedName>
    <definedName name="Factors_TK00211">#REF!</definedName>
    <definedName name="Factors_TK00212">#REF!</definedName>
    <definedName name="Factors_TK00213">#REF!</definedName>
    <definedName name="Factors_TK00214">#REF!</definedName>
    <definedName name="Factors_TK00215">#REF!</definedName>
    <definedName name="Factors_TK00216">#REF!</definedName>
    <definedName name="Factors_TK00217">#REF!</definedName>
    <definedName name="Factors_TK00218">#REF!</definedName>
    <definedName name="Factors_TK00219">#REF!</definedName>
    <definedName name="Factors_TK00220">#REF!</definedName>
    <definedName name="Factors_TK00221">#REF!</definedName>
    <definedName name="Factors_TK00222">#REF!</definedName>
    <definedName name="Factors_TK00223">#REF!</definedName>
    <definedName name="Factors_TK00224">#REF!</definedName>
    <definedName name="Factors_TK00225">#REF!</definedName>
    <definedName name="Factors_TK00226">#REF!</definedName>
    <definedName name="Factors_TK00227">#REF!</definedName>
    <definedName name="Factors_TK00228">#REF!</definedName>
    <definedName name="Factors_TK00229">#REF!</definedName>
    <definedName name="Factors_TK00230">#REF!</definedName>
    <definedName name="Factors_TK00231">#REF!</definedName>
    <definedName name="Factors_TK00232">#REF!</definedName>
    <definedName name="Factors_TK00233">#REF!</definedName>
    <definedName name="Factors_TK00234">#REF!</definedName>
    <definedName name="Factors_TK00235">#REF!</definedName>
    <definedName name="Factors_TK00236">#REF!</definedName>
    <definedName name="Factors_TK00237">#REF!</definedName>
    <definedName name="Factors_TK00238">#REF!</definedName>
    <definedName name="Factors_TK00239">#REF!</definedName>
    <definedName name="Factors_TK00240">#REF!</definedName>
    <definedName name="Factors_TK00241">#REF!</definedName>
    <definedName name="Factors_TK00242">#REF!</definedName>
    <definedName name="Factors_TK00243">#REF!</definedName>
    <definedName name="Factors_TK00244">#REF!</definedName>
    <definedName name="Factors_TK00245">#REF!</definedName>
    <definedName name="Factors_TK00246">#REF!</definedName>
    <definedName name="Factors_TK00247">#REF!</definedName>
    <definedName name="Factors_TK00248">#REF!</definedName>
    <definedName name="Factors_TK00249">#REF!</definedName>
    <definedName name="Factors_TK00250">#REF!</definedName>
    <definedName name="Factors_TK00251">#REF!</definedName>
    <definedName name="Factors_TK00252">#REF!</definedName>
    <definedName name="Factors_TK00253">#REF!</definedName>
    <definedName name="Factors_TK00254">#REF!</definedName>
    <definedName name="Factors_TK00255">#REF!</definedName>
    <definedName name="Factors_TK00256">#REF!</definedName>
    <definedName name="Factors_TK00257">#REF!</definedName>
    <definedName name="Factors_TK00258">#REF!</definedName>
    <definedName name="Factors_TK00259">#REF!</definedName>
    <definedName name="Factors_TK00260">#REF!</definedName>
    <definedName name="Factors_TK00261">#REF!</definedName>
    <definedName name="Factors_TK00262">#REF!</definedName>
    <definedName name="Factors_TK00263">#REF!</definedName>
    <definedName name="Factors_TK00264">#REF!</definedName>
    <definedName name="Factors_TK00265">#REF!</definedName>
    <definedName name="Factors_TK00266">#REF!</definedName>
    <definedName name="Factors_TK00267">#REF!</definedName>
    <definedName name="Factors_TK00268">#REF!</definedName>
    <definedName name="Factors_TK00269">#REF!</definedName>
    <definedName name="Factors_TK00270">#REF!</definedName>
    <definedName name="Factors_TK00271">#REF!</definedName>
    <definedName name="Factors_TK00272">#REF!</definedName>
    <definedName name="Factors_TK00273">#REF!</definedName>
    <definedName name="Factors_TK0027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8" i="3" l="1"/>
  <c r="B358" i="3"/>
  <c r="C358" i="3"/>
  <c r="D358" i="3"/>
  <c r="E358" i="3"/>
  <c r="F358" i="3"/>
  <c r="H358" i="3"/>
  <c r="I358" i="3"/>
  <c r="J358" i="3"/>
  <c r="K358" i="3"/>
  <c r="L358" i="3"/>
  <c r="A359" i="3"/>
  <c r="B359" i="3"/>
  <c r="C359" i="3"/>
  <c r="D359" i="3"/>
  <c r="E359" i="3"/>
  <c r="F359" i="3"/>
  <c r="H359" i="3"/>
  <c r="I359" i="3"/>
  <c r="J359" i="3"/>
  <c r="K359" i="3"/>
  <c r="L359" i="3"/>
  <c r="A360" i="3"/>
  <c r="B360" i="3"/>
  <c r="C360" i="3"/>
  <c r="D360" i="3"/>
  <c r="E360" i="3"/>
  <c r="F360" i="3"/>
  <c r="H360" i="3"/>
  <c r="I360" i="3"/>
  <c r="J360" i="3"/>
  <c r="K360" i="3"/>
  <c r="L360" i="3"/>
  <c r="A361" i="3"/>
  <c r="B361" i="3"/>
  <c r="C361" i="3"/>
  <c r="D361" i="3"/>
  <c r="E361" i="3"/>
  <c r="F361" i="3"/>
  <c r="H361" i="3"/>
  <c r="I361" i="3"/>
  <c r="J361" i="3"/>
  <c r="K361" i="3"/>
  <c r="L361" i="3"/>
  <c r="A348" i="3"/>
  <c r="B348" i="3"/>
  <c r="C348" i="3"/>
  <c r="D348" i="3"/>
  <c r="E348" i="3"/>
  <c r="F348" i="3"/>
  <c r="H348" i="3"/>
  <c r="I348" i="3"/>
  <c r="J348" i="3"/>
  <c r="K348" i="3"/>
  <c r="L348" i="3"/>
  <c r="A349" i="3"/>
  <c r="B349" i="3"/>
  <c r="C349" i="3"/>
  <c r="D349" i="3"/>
  <c r="E349" i="3"/>
  <c r="F349" i="3"/>
  <c r="H349" i="3"/>
  <c r="I349" i="3"/>
  <c r="J349" i="3"/>
  <c r="K349" i="3"/>
  <c r="L349" i="3"/>
  <c r="A350" i="3"/>
  <c r="B350" i="3"/>
  <c r="C350" i="3"/>
  <c r="D350" i="3"/>
  <c r="E350" i="3"/>
  <c r="F350" i="3"/>
  <c r="H350" i="3"/>
  <c r="I350" i="3"/>
  <c r="J350" i="3"/>
  <c r="K350" i="3"/>
  <c r="L350" i="3"/>
  <c r="A351" i="3"/>
  <c r="B351" i="3"/>
  <c r="C351" i="3"/>
  <c r="D351" i="3"/>
  <c r="E351" i="3"/>
  <c r="F351" i="3"/>
  <c r="H351" i="3"/>
  <c r="I351" i="3"/>
  <c r="J351" i="3"/>
  <c r="K351" i="3"/>
  <c r="L351" i="3"/>
  <c r="A352" i="3"/>
  <c r="B352" i="3"/>
  <c r="C352" i="3"/>
  <c r="D352" i="3"/>
  <c r="E352" i="3"/>
  <c r="F352" i="3"/>
  <c r="H352" i="3"/>
  <c r="I352" i="3"/>
  <c r="J352" i="3"/>
  <c r="K352" i="3"/>
  <c r="L352" i="3"/>
  <c r="A353" i="3"/>
  <c r="B353" i="3"/>
  <c r="C353" i="3"/>
  <c r="D353" i="3"/>
  <c r="E353" i="3"/>
  <c r="F353" i="3"/>
  <c r="H353" i="3"/>
  <c r="I353" i="3"/>
  <c r="J353" i="3"/>
  <c r="K353" i="3"/>
  <c r="L353" i="3"/>
  <c r="A354" i="3"/>
  <c r="B354" i="3"/>
  <c r="C354" i="3"/>
  <c r="D354" i="3"/>
  <c r="E354" i="3"/>
  <c r="F354" i="3"/>
  <c r="H354" i="3"/>
  <c r="I354" i="3"/>
  <c r="J354" i="3"/>
  <c r="K354" i="3"/>
  <c r="L354" i="3"/>
  <c r="A355" i="3"/>
  <c r="B355" i="3"/>
  <c r="C355" i="3"/>
  <c r="D355" i="3"/>
  <c r="E355" i="3"/>
  <c r="F355" i="3"/>
  <c r="H355" i="3"/>
  <c r="I355" i="3"/>
  <c r="J355" i="3"/>
  <c r="K355" i="3"/>
  <c r="L355" i="3"/>
  <c r="A356" i="3"/>
  <c r="B356" i="3"/>
  <c r="C356" i="3"/>
  <c r="D356" i="3"/>
  <c r="E356" i="3"/>
  <c r="F356" i="3"/>
  <c r="H356" i="3"/>
  <c r="I356" i="3"/>
  <c r="J356" i="3"/>
  <c r="K356" i="3"/>
  <c r="L356" i="3"/>
  <c r="A357" i="3"/>
  <c r="B357" i="3"/>
  <c r="C357" i="3"/>
  <c r="D357" i="3"/>
  <c r="E357" i="3"/>
  <c r="F357" i="3"/>
  <c r="H357" i="3"/>
  <c r="I357" i="3"/>
  <c r="J357" i="3"/>
  <c r="K357" i="3"/>
  <c r="L357" i="3"/>
  <c r="A334" i="3"/>
  <c r="B334" i="3"/>
  <c r="C334" i="3"/>
  <c r="D334" i="3"/>
  <c r="E334" i="3"/>
  <c r="F334" i="3"/>
  <c r="H334" i="3"/>
  <c r="I334" i="3"/>
  <c r="J334" i="3"/>
  <c r="K334" i="3"/>
  <c r="L334" i="3"/>
  <c r="A335" i="3"/>
  <c r="B335" i="3"/>
  <c r="C335" i="3"/>
  <c r="D335" i="3"/>
  <c r="E335" i="3"/>
  <c r="F335" i="3"/>
  <c r="H335" i="3"/>
  <c r="I335" i="3"/>
  <c r="J335" i="3"/>
  <c r="K335" i="3"/>
  <c r="L335" i="3"/>
  <c r="A336" i="3"/>
  <c r="B336" i="3"/>
  <c r="C336" i="3"/>
  <c r="D336" i="3"/>
  <c r="E336" i="3"/>
  <c r="F336" i="3"/>
  <c r="H336" i="3"/>
  <c r="I336" i="3"/>
  <c r="J336" i="3"/>
  <c r="K336" i="3"/>
  <c r="L336" i="3"/>
  <c r="A337" i="3"/>
  <c r="B337" i="3"/>
  <c r="C337" i="3"/>
  <c r="D337" i="3"/>
  <c r="E337" i="3"/>
  <c r="F337" i="3"/>
  <c r="H337" i="3"/>
  <c r="I337" i="3"/>
  <c r="J337" i="3"/>
  <c r="K337" i="3"/>
  <c r="L337" i="3"/>
  <c r="A338" i="3"/>
  <c r="B338" i="3"/>
  <c r="C338" i="3"/>
  <c r="D338" i="3"/>
  <c r="E338" i="3"/>
  <c r="F338" i="3"/>
  <c r="H338" i="3"/>
  <c r="I338" i="3"/>
  <c r="J338" i="3"/>
  <c r="K338" i="3"/>
  <c r="L338" i="3"/>
  <c r="A339" i="3"/>
  <c r="B339" i="3"/>
  <c r="C339" i="3"/>
  <c r="D339" i="3"/>
  <c r="E339" i="3"/>
  <c r="F339" i="3"/>
  <c r="H339" i="3"/>
  <c r="I339" i="3"/>
  <c r="J339" i="3"/>
  <c r="K339" i="3"/>
  <c r="L339" i="3"/>
  <c r="A340" i="3"/>
  <c r="B340" i="3"/>
  <c r="C340" i="3"/>
  <c r="D340" i="3"/>
  <c r="E340" i="3"/>
  <c r="F340" i="3"/>
  <c r="H340" i="3"/>
  <c r="I340" i="3"/>
  <c r="J340" i="3"/>
  <c r="K340" i="3"/>
  <c r="L340" i="3"/>
  <c r="A341" i="3"/>
  <c r="B341" i="3"/>
  <c r="C341" i="3"/>
  <c r="D341" i="3"/>
  <c r="E341" i="3"/>
  <c r="F341" i="3"/>
  <c r="H341" i="3"/>
  <c r="I341" i="3"/>
  <c r="J341" i="3"/>
  <c r="K341" i="3"/>
  <c r="L341" i="3"/>
  <c r="A342" i="3"/>
  <c r="B342" i="3"/>
  <c r="C342" i="3"/>
  <c r="D342" i="3"/>
  <c r="E342" i="3"/>
  <c r="F342" i="3"/>
  <c r="H342" i="3"/>
  <c r="I342" i="3"/>
  <c r="J342" i="3"/>
  <c r="K342" i="3"/>
  <c r="L342" i="3"/>
  <c r="A343" i="3"/>
  <c r="B343" i="3"/>
  <c r="C343" i="3"/>
  <c r="D343" i="3"/>
  <c r="E343" i="3"/>
  <c r="F343" i="3"/>
  <c r="H343" i="3"/>
  <c r="I343" i="3"/>
  <c r="J343" i="3"/>
  <c r="K343" i="3"/>
  <c r="L343" i="3"/>
  <c r="A344" i="3"/>
  <c r="B344" i="3"/>
  <c r="C344" i="3"/>
  <c r="D344" i="3"/>
  <c r="E344" i="3"/>
  <c r="F344" i="3"/>
  <c r="H344" i="3"/>
  <c r="I344" i="3"/>
  <c r="J344" i="3"/>
  <c r="K344" i="3"/>
  <c r="L344" i="3"/>
  <c r="A345" i="3"/>
  <c r="B345" i="3"/>
  <c r="C345" i="3"/>
  <c r="D345" i="3"/>
  <c r="E345" i="3"/>
  <c r="F345" i="3"/>
  <c r="H345" i="3"/>
  <c r="I345" i="3"/>
  <c r="J345" i="3"/>
  <c r="K345" i="3"/>
  <c r="L345" i="3"/>
  <c r="A346" i="3"/>
  <c r="B346" i="3"/>
  <c r="C346" i="3"/>
  <c r="D346" i="3"/>
  <c r="E346" i="3"/>
  <c r="F346" i="3"/>
  <c r="H346" i="3"/>
  <c r="I346" i="3"/>
  <c r="J346" i="3"/>
  <c r="K346" i="3"/>
  <c r="L346" i="3"/>
  <c r="A347" i="3"/>
  <c r="B347" i="3"/>
  <c r="C347" i="3"/>
  <c r="D347" i="3"/>
  <c r="E347" i="3"/>
  <c r="F347" i="3"/>
  <c r="H347" i="3"/>
  <c r="I347" i="3"/>
  <c r="J347" i="3"/>
  <c r="K347" i="3"/>
  <c r="L347" i="3"/>
  <c r="A3" i="3"/>
  <c r="B3" i="3"/>
  <c r="C3" i="3"/>
  <c r="D3" i="3"/>
  <c r="E3" i="3"/>
  <c r="F3" i="3"/>
  <c r="H3" i="3"/>
  <c r="I3" i="3"/>
  <c r="J3" i="3"/>
  <c r="K3" i="3"/>
  <c r="L3" i="3"/>
  <c r="A4" i="3"/>
  <c r="B4" i="3"/>
  <c r="C4" i="3"/>
  <c r="D4" i="3"/>
  <c r="E4" i="3"/>
  <c r="F4" i="3"/>
  <c r="H4" i="3"/>
  <c r="I4" i="3"/>
  <c r="J4" i="3"/>
  <c r="K4" i="3"/>
  <c r="L4" i="3"/>
  <c r="A5" i="3"/>
  <c r="B5" i="3"/>
  <c r="C5" i="3"/>
  <c r="D5" i="3"/>
  <c r="E5" i="3"/>
  <c r="F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H11" i="3"/>
  <c r="I11" i="3"/>
  <c r="J11" i="3"/>
  <c r="K11" i="3"/>
  <c r="L11" i="3"/>
  <c r="A12" i="3"/>
  <c r="B12" i="3"/>
  <c r="C12" i="3"/>
  <c r="D12" i="3"/>
  <c r="E12" i="3"/>
  <c r="F12" i="3"/>
  <c r="H12" i="3"/>
  <c r="I12" i="3"/>
  <c r="J12" i="3"/>
  <c r="K12" i="3"/>
  <c r="L12" i="3"/>
  <c r="A13" i="3"/>
  <c r="B13" i="3"/>
  <c r="C13" i="3"/>
  <c r="D13" i="3"/>
  <c r="E13" i="3"/>
  <c r="F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H18" i="3"/>
  <c r="I18" i="3"/>
  <c r="J18" i="3"/>
  <c r="K18" i="3"/>
  <c r="L18" i="3"/>
  <c r="A19" i="3"/>
  <c r="B19" i="3"/>
  <c r="C19" i="3"/>
  <c r="D19" i="3"/>
  <c r="E19" i="3"/>
  <c r="F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H23" i="3"/>
  <c r="I23" i="3"/>
  <c r="J23" i="3"/>
  <c r="K23" i="3"/>
  <c r="L23" i="3"/>
  <c r="A24" i="3"/>
  <c r="B24" i="3"/>
  <c r="C24" i="3"/>
  <c r="D24" i="3"/>
  <c r="E24" i="3"/>
  <c r="F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H30" i="3"/>
  <c r="I30" i="3"/>
  <c r="J30" i="3"/>
  <c r="K30" i="3"/>
  <c r="L30" i="3"/>
  <c r="A31" i="3"/>
  <c r="B31" i="3"/>
  <c r="C31" i="3"/>
  <c r="D31" i="3"/>
  <c r="E31" i="3"/>
  <c r="F31" i="3"/>
  <c r="G31" i="3"/>
  <c r="H31" i="3"/>
  <c r="I31" i="3"/>
  <c r="J31" i="3"/>
  <c r="K31" i="3"/>
  <c r="L31" i="3"/>
  <c r="A32" i="3"/>
  <c r="B32" i="3"/>
  <c r="C32" i="3"/>
  <c r="D32" i="3"/>
  <c r="E32" i="3"/>
  <c r="F32" i="3"/>
  <c r="H32" i="3"/>
  <c r="I32" i="3"/>
  <c r="J32" i="3"/>
  <c r="K32" i="3"/>
  <c r="L32" i="3"/>
  <c r="A33" i="3"/>
  <c r="B33" i="3"/>
  <c r="C33" i="3"/>
  <c r="D33" i="3"/>
  <c r="E33" i="3"/>
  <c r="F33" i="3"/>
  <c r="G33" i="3"/>
  <c r="H33" i="3"/>
  <c r="I33" i="3"/>
  <c r="J33" i="3"/>
  <c r="K33" i="3"/>
  <c r="L33" i="3"/>
  <c r="A34" i="3"/>
  <c r="B34" i="3"/>
  <c r="C34" i="3"/>
  <c r="D34" i="3"/>
  <c r="E34" i="3"/>
  <c r="F34" i="3"/>
  <c r="G34" i="3"/>
  <c r="H34" i="3"/>
  <c r="I34" i="3"/>
  <c r="J34" i="3"/>
  <c r="K34" i="3"/>
  <c r="L34" i="3"/>
  <c r="A35" i="3"/>
  <c r="B35" i="3"/>
  <c r="C35" i="3"/>
  <c r="D35" i="3"/>
  <c r="E35" i="3"/>
  <c r="F35" i="3"/>
  <c r="H35" i="3"/>
  <c r="I35" i="3"/>
  <c r="J35" i="3"/>
  <c r="K35" i="3"/>
  <c r="L35" i="3"/>
  <c r="A36" i="3"/>
  <c r="B36" i="3"/>
  <c r="C36" i="3"/>
  <c r="D36" i="3"/>
  <c r="E36" i="3"/>
  <c r="F36" i="3"/>
  <c r="G36" i="3"/>
  <c r="H36" i="3"/>
  <c r="I36" i="3"/>
  <c r="J36" i="3"/>
  <c r="K36" i="3"/>
  <c r="L36" i="3"/>
  <c r="A37" i="3"/>
  <c r="B37" i="3"/>
  <c r="C37" i="3"/>
  <c r="D37" i="3"/>
  <c r="E37" i="3"/>
  <c r="F37" i="3"/>
  <c r="G37" i="3"/>
  <c r="H37" i="3"/>
  <c r="I37" i="3"/>
  <c r="J37" i="3"/>
  <c r="K37" i="3"/>
  <c r="L37" i="3"/>
  <c r="A38" i="3"/>
  <c r="B38" i="3"/>
  <c r="C38" i="3"/>
  <c r="D38" i="3"/>
  <c r="E38" i="3"/>
  <c r="F38" i="3"/>
  <c r="H38" i="3"/>
  <c r="I38" i="3"/>
  <c r="J38" i="3"/>
  <c r="K38" i="3"/>
  <c r="L38" i="3"/>
  <c r="A39" i="3"/>
  <c r="B39" i="3"/>
  <c r="C39" i="3"/>
  <c r="D39" i="3"/>
  <c r="E39" i="3"/>
  <c r="F39" i="3"/>
  <c r="G39" i="3"/>
  <c r="H39" i="3"/>
  <c r="I39" i="3"/>
  <c r="J39" i="3"/>
  <c r="K39" i="3"/>
  <c r="L39" i="3"/>
  <c r="A40" i="3"/>
  <c r="B40" i="3"/>
  <c r="C40" i="3"/>
  <c r="D40" i="3"/>
  <c r="E40" i="3"/>
  <c r="F40" i="3"/>
  <c r="G40" i="3"/>
  <c r="H40" i="3"/>
  <c r="I40" i="3"/>
  <c r="J40" i="3"/>
  <c r="K40" i="3"/>
  <c r="L40" i="3"/>
  <c r="A41" i="3"/>
  <c r="B41" i="3"/>
  <c r="C41" i="3"/>
  <c r="D41" i="3"/>
  <c r="E41" i="3"/>
  <c r="F41" i="3"/>
  <c r="H41" i="3"/>
  <c r="I41" i="3"/>
  <c r="J41" i="3"/>
  <c r="K41" i="3"/>
  <c r="L41" i="3"/>
  <c r="A42" i="3"/>
  <c r="B42" i="3"/>
  <c r="C42" i="3"/>
  <c r="D42" i="3"/>
  <c r="E42" i="3"/>
  <c r="F42" i="3"/>
  <c r="G42" i="3"/>
  <c r="H42" i="3"/>
  <c r="I42" i="3"/>
  <c r="J42" i="3"/>
  <c r="K42" i="3"/>
  <c r="L42" i="3"/>
  <c r="A43" i="3"/>
  <c r="B43" i="3"/>
  <c r="C43" i="3"/>
  <c r="D43" i="3"/>
  <c r="E43" i="3"/>
  <c r="F43" i="3"/>
  <c r="G43" i="3"/>
  <c r="H43" i="3"/>
  <c r="I43" i="3"/>
  <c r="J43" i="3"/>
  <c r="K43" i="3"/>
  <c r="L43" i="3"/>
  <c r="A44" i="3"/>
  <c r="B44" i="3"/>
  <c r="C44" i="3"/>
  <c r="D44" i="3"/>
  <c r="E44" i="3"/>
  <c r="F44" i="3"/>
  <c r="G44" i="3"/>
  <c r="H44" i="3"/>
  <c r="I44" i="3"/>
  <c r="J44" i="3"/>
  <c r="K44" i="3"/>
  <c r="L44" i="3"/>
  <c r="A45" i="3"/>
  <c r="B45" i="3"/>
  <c r="C45" i="3"/>
  <c r="D45" i="3"/>
  <c r="E45" i="3"/>
  <c r="F45" i="3"/>
  <c r="G45" i="3"/>
  <c r="H45" i="3"/>
  <c r="I45" i="3"/>
  <c r="J45" i="3"/>
  <c r="K45" i="3"/>
  <c r="L45" i="3"/>
  <c r="A46" i="3"/>
  <c r="B46" i="3"/>
  <c r="C46" i="3"/>
  <c r="D46" i="3"/>
  <c r="E46" i="3"/>
  <c r="F46" i="3"/>
  <c r="G46" i="3"/>
  <c r="H46" i="3"/>
  <c r="I46" i="3"/>
  <c r="J46" i="3"/>
  <c r="K46" i="3"/>
  <c r="L46" i="3"/>
  <c r="A47" i="3"/>
  <c r="B47" i="3"/>
  <c r="C47" i="3"/>
  <c r="D47" i="3"/>
  <c r="E47" i="3"/>
  <c r="F47" i="3"/>
  <c r="G47" i="3"/>
  <c r="H47" i="3"/>
  <c r="I47" i="3"/>
  <c r="J47" i="3"/>
  <c r="K47" i="3"/>
  <c r="L47" i="3"/>
  <c r="A48" i="3"/>
  <c r="B48" i="3"/>
  <c r="C48" i="3"/>
  <c r="D48" i="3"/>
  <c r="E48" i="3"/>
  <c r="F48" i="3"/>
  <c r="G48" i="3"/>
  <c r="H48" i="3"/>
  <c r="I48" i="3"/>
  <c r="J48" i="3"/>
  <c r="K48" i="3"/>
  <c r="L48" i="3"/>
  <c r="A49" i="3"/>
  <c r="B49" i="3"/>
  <c r="C49" i="3"/>
  <c r="D49" i="3"/>
  <c r="E49" i="3"/>
  <c r="F49" i="3"/>
  <c r="G49" i="3"/>
  <c r="H49" i="3"/>
  <c r="I49" i="3"/>
  <c r="J49" i="3"/>
  <c r="K49" i="3"/>
  <c r="L49" i="3"/>
  <c r="A50" i="3"/>
  <c r="B50" i="3"/>
  <c r="C50" i="3"/>
  <c r="D50" i="3"/>
  <c r="E50" i="3"/>
  <c r="F50" i="3"/>
  <c r="G50" i="3"/>
  <c r="H50" i="3"/>
  <c r="I50" i="3"/>
  <c r="J50" i="3"/>
  <c r="K50" i="3"/>
  <c r="L50" i="3"/>
  <c r="A51" i="3"/>
  <c r="B51" i="3"/>
  <c r="C51" i="3"/>
  <c r="D51" i="3"/>
  <c r="E51" i="3"/>
  <c r="F51" i="3"/>
  <c r="G51" i="3"/>
  <c r="H51" i="3"/>
  <c r="I51" i="3"/>
  <c r="J51" i="3"/>
  <c r="K51" i="3"/>
  <c r="L51" i="3"/>
  <c r="A52" i="3"/>
  <c r="B52" i="3"/>
  <c r="C52" i="3"/>
  <c r="D52" i="3"/>
  <c r="E52" i="3"/>
  <c r="F52" i="3"/>
  <c r="G52" i="3"/>
  <c r="H52" i="3"/>
  <c r="I52" i="3"/>
  <c r="J52" i="3"/>
  <c r="K52" i="3"/>
  <c r="L52" i="3"/>
  <c r="A53" i="3"/>
  <c r="B53" i="3"/>
  <c r="C53" i="3"/>
  <c r="D53" i="3"/>
  <c r="E53" i="3"/>
  <c r="F53" i="3"/>
  <c r="G53" i="3"/>
  <c r="H53" i="3"/>
  <c r="I53" i="3"/>
  <c r="J53" i="3"/>
  <c r="K53" i="3"/>
  <c r="L53" i="3"/>
  <c r="A54" i="3"/>
  <c r="B54" i="3"/>
  <c r="C54" i="3"/>
  <c r="D54" i="3"/>
  <c r="E54" i="3"/>
  <c r="F54" i="3"/>
  <c r="G54" i="3"/>
  <c r="H54" i="3"/>
  <c r="I54" i="3"/>
  <c r="J54" i="3"/>
  <c r="K54" i="3"/>
  <c r="L54" i="3"/>
  <c r="A55" i="3"/>
  <c r="B55" i="3"/>
  <c r="C55" i="3"/>
  <c r="D55" i="3"/>
  <c r="E55" i="3"/>
  <c r="F55" i="3"/>
  <c r="G55" i="3"/>
  <c r="H55" i="3"/>
  <c r="I55" i="3"/>
  <c r="J55" i="3"/>
  <c r="K55" i="3"/>
  <c r="L55" i="3"/>
  <c r="A56" i="3"/>
  <c r="B56" i="3"/>
  <c r="C56" i="3"/>
  <c r="D56" i="3"/>
  <c r="E56" i="3"/>
  <c r="F56" i="3"/>
  <c r="G56" i="3"/>
  <c r="H56" i="3"/>
  <c r="I56" i="3"/>
  <c r="J56" i="3"/>
  <c r="K56" i="3"/>
  <c r="L56" i="3"/>
  <c r="A57" i="3"/>
  <c r="B57" i="3"/>
  <c r="C57" i="3"/>
  <c r="D57" i="3"/>
  <c r="E57" i="3"/>
  <c r="F57" i="3"/>
  <c r="G57" i="3"/>
  <c r="H57" i="3"/>
  <c r="I57" i="3"/>
  <c r="J57" i="3"/>
  <c r="K57" i="3"/>
  <c r="L57" i="3"/>
  <c r="A58" i="3"/>
  <c r="B58" i="3"/>
  <c r="C58" i="3"/>
  <c r="D58" i="3"/>
  <c r="E58" i="3"/>
  <c r="F58" i="3"/>
  <c r="G58" i="3"/>
  <c r="H58" i="3"/>
  <c r="I58" i="3"/>
  <c r="J58" i="3"/>
  <c r="K58" i="3"/>
  <c r="L58" i="3"/>
  <c r="A59" i="3"/>
  <c r="B59" i="3"/>
  <c r="C59" i="3"/>
  <c r="D59" i="3"/>
  <c r="E59" i="3"/>
  <c r="F59" i="3"/>
  <c r="G59" i="3"/>
  <c r="H59" i="3"/>
  <c r="I59" i="3"/>
  <c r="J59" i="3"/>
  <c r="K59" i="3"/>
  <c r="L59" i="3"/>
  <c r="A60" i="3"/>
  <c r="B60" i="3"/>
  <c r="C60" i="3"/>
  <c r="D60" i="3"/>
  <c r="E60" i="3"/>
  <c r="F60" i="3"/>
  <c r="G60" i="3"/>
  <c r="H60" i="3"/>
  <c r="I60" i="3"/>
  <c r="J60" i="3"/>
  <c r="K60" i="3"/>
  <c r="L60" i="3"/>
  <c r="A61" i="3"/>
  <c r="B61" i="3"/>
  <c r="C61" i="3"/>
  <c r="D61" i="3"/>
  <c r="E61" i="3"/>
  <c r="F61" i="3"/>
  <c r="G61" i="3"/>
  <c r="H61" i="3"/>
  <c r="I61" i="3"/>
  <c r="J61" i="3"/>
  <c r="K61" i="3"/>
  <c r="L61" i="3"/>
  <c r="A62" i="3"/>
  <c r="B62" i="3"/>
  <c r="C62" i="3"/>
  <c r="D62" i="3"/>
  <c r="E62" i="3"/>
  <c r="F62" i="3"/>
  <c r="G62" i="3"/>
  <c r="H62" i="3"/>
  <c r="I62" i="3"/>
  <c r="J62" i="3"/>
  <c r="K62" i="3"/>
  <c r="L62" i="3"/>
  <c r="A63" i="3"/>
  <c r="B63" i="3"/>
  <c r="C63" i="3"/>
  <c r="D63" i="3"/>
  <c r="E63" i="3"/>
  <c r="F63" i="3"/>
  <c r="H63" i="3"/>
  <c r="I63" i="3"/>
  <c r="J63" i="3"/>
  <c r="K63" i="3"/>
  <c r="L63" i="3"/>
  <c r="A64" i="3"/>
  <c r="B64" i="3"/>
  <c r="C64" i="3"/>
  <c r="D64" i="3"/>
  <c r="E64" i="3"/>
  <c r="F64" i="3"/>
  <c r="H64" i="3"/>
  <c r="I64" i="3"/>
  <c r="J64" i="3"/>
  <c r="K64" i="3"/>
  <c r="L64" i="3"/>
  <c r="A65" i="3"/>
  <c r="B65" i="3"/>
  <c r="C65" i="3"/>
  <c r="D65" i="3"/>
  <c r="E65" i="3"/>
  <c r="F65" i="3"/>
  <c r="G65" i="3"/>
  <c r="H65" i="3"/>
  <c r="I65" i="3"/>
  <c r="J65" i="3"/>
  <c r="K65" i="3"/>
  <c r="L65" i="3"/>
  <c r="A66" i="3"/>
  <c r="B66" i="3"/>
  <c r="C66" i="3"/>
  <c r="D66" i="3"/>
  <c r="E66" i="3"/>
  <c r="F66" i="3"/>
  <c r="H66" i="3"/>
  <c r="I66" i="3"/>
  <c r="J66" i="3"/>
  <c r="K66" i="3"/>
  <c r="L66" i="3"/>
  <c r="A67" i="3"/>
  <c r="B67" i="3"/>
  <c r="C67" i="3"/>
  <c r="D67" i="3"/>
  <c r="E67" i="3"/>
  <c r="F67" i="3"/>
  <c r="G67" i="3"/>
  <c r="H67" i="3"/>
  <c r="I67" i="3"/>
  <c r="J67" i="3"/>
  <c r="K67" i="3"/>
  <c r="L67" i="3"/>
  <c r="A68" i="3"/>
  <c r="B68" i="3"/>
  <c r="C68" i="3"/>
  <c r="D68" i="3"/>
  <c r="E68" i="3"/>
  <c r="F68" i="3"/>
  <c r="G68" i="3"/>
  <c r="H68" i="3"/>
  <c r="I68" i="3"/>
  <c r="J68" i="3"/>
  <c r="K68" i="3"/>
  <c r="L68" i="3"/>
  <c r="A69" i="3"/>
  <c r="B69" i="3"/>
  <c r="C69" i="3"/>
  <c r="D69" i="3"/>
  <c r="E69" i="3"/>
  <c r="F69" i="3"/>
  <c r="H69" i="3"/>
  <c r="I69" i="3"/>
  <c r="J69" i="3"/>
  <c r="K69" i="3"/>
  <c r="L69" i="3"/>
  <c r="A70" i="3"/>
  <c r="B70" i="3"/>
  <c r="C70" i="3"/>
  <c r="D70" i="3"/>
  <c r="E70" i="3"/>
  <c r="F70" i="3"/>
  <c r="G70" i="3"/>
  <c r="H70" i="3"/>
  <c r="I70" i="3"/>
  <c r="J70" i="3"/>
  <c r="K70" i="3"/>
  <c r="L70" i="3"/>
  <c r="A71" i="3"/>
  <c r="B71" i="3"/>
  <c r="C71" i="3"/>
  <c r="D71" i="3"/>
  <c r="E71" i="3"/>
  <c r="F71" i="3"/>
  <c r="G71" i="3"/>
  <c r="H71" i="3"/>
  <c r="I71" i="3"/>
  <c r="J71" i="3"/>
  <c r="K71" i="3"/>
  <c r="L71" i="3"/>
  <c r="A72" i="3"/>
  <c r="B72" i="3"/>
  <c r="C72" i="3"/>
  <c r="D72" i="3"/>
  <c r="E72" i="3"/>
  <c r="F72" i="3"/>
  <c r="H72" i="3"/>
  <c r="I72" i="3"/>
  <c r="J72" i="3"/>
  <c r="K72" i="3"/>
  <c r="L72" i="3"/>
  <c r="A73" i="3"/>
  <c r="B73" i="3"/>
  <c r="C73" i="3"/>
  <c r="D73" i="3"/>
  <c r="E73" i="3"/>
  <c r="F73" i="3"/>
  <c r="G73" i="3"/>
  <c r="H73" i="3"/>
  <c r="I73" i="3"/>
  <c r="J73" i="3"/>
  <c r="K73" i="3"/>
  <c r="L73" i="3"/>
  <c r="A74" i="3"/>
  <c r="B74" i="3"/>
  <c r="C74" i="3"/>
  <c r="D74" i="3"/>
  <c r="E74" i="3"/>
  <c r="F74" i="3"/>
  <c r="G74" i="3"/>
  <c r="H74" i="3"/>
  <c r="I74" i="3"/>
  <c r="J74" i="3"/>
  <c r="K74" i="3"/>
  <c r="L74" i="3"/>
  <c r="A75" i="3"/>
  <c r="B75" i="3"/>
  <c r="C75" i="3"/>
  <c r="D75" i="3"/>
  <c r="E75" i="3"/>
  <c r="F75" i="3"/>
  <c r="G75" i="3"/>
  <c r="H75" i="3"/>
  <c r="I75" i="3"/>
  <c r="J75" i="3"/>
  <c r="K75" i="3"/>
  <c r="L75" i="3"/>
  <c r="A76" i="3"/>
  <c r="B76" i="3"/>
  <c r="C76" i="3"/>
  <c r="D76" i="3"/>
  <c r="E76" i="3"/>
  <c r="F76" i="3"/>
  <c r="G76" i="3"/>
  <c r="H76" i="3"/>
  <c r="I76" i="3"/>
  <c r="J76" i="3"/>
  <c r="K76" i="3"/>
  <c r="L76" i="3"/>
  <c r="A77" i="3"/>
  <c r="B77" i="3"/>
  <c r="C77" i="3"/>
  <c r="D77" i="3"/>
  <c r="E77" i="3"/>
  <c r="F77" i="3"/>
  <c r="H77" i="3"/>
  <c r="I77" i="3"/>
  <c r="J77" i="3"/>
  <c r="K77" i="3"/>
  <c r="L77" i="3"/>
  <c r="A78" i="3"/>
  <c r="B78" i="3"/>
  <c r="C78" i="3"/>
  <c r="D78" i="3"/>
  <c r="E78" i="3"/>
  <c r="F78" i="3"/>
  <c r="G78" i="3"/>
  <c r="H78" i="3"/>
  <c r="I78" i="3"/>
  <c r="J78" i="3"/>
  <c r="K78" i="3"/>
  <c r="L78" i="3"/>
  <c r="A79" i="3"/>
  <c r="B79" i="3"/>
  <c r="C79" i="3"/>
  <c r="D79" i="3"/>
  <c r="E79" i="3"/>
  <c r="F79" i="3"/>
  <c r="G79" i="3"/>
  <c r="H79" i="3"/>
  <c r="I79" i="3"/>
  <c r="J79" i="3"/>
  <c r="K79" i="3"/>
  <c r="L79" i="3"/>
  <c r="A80" i="3"/>
  <c r="B80" i="3"/>
  <c r="C80" i="3"/>
  <c r="D80" i="3"/>
  <c r="E80" i="3"/>
  <c r="F80" i="3"/>
  <c r="G80" i="3"/>
  <c r="H80" i="3"/>
  <c r="I80" i="3"/>
  <c r="J80" i="3"/>
  <c r="K80" i="3"/>
  <c r="L80" i="3"/>
  <c r="A81" i="3"/>
  <c r="B81" i="3"/>
  <c r="C81" i="3"/>
  <c r="D81" i="3"/>
  <c r="E81" i="3"/>
  <c r="F81" i="3"/>
  <c r="G81" i="3"/>
  <c r="H81" i="3"/>
  <c r="I81" i="3"/>
  <c r="J81" i="3"/>
  <c r="K81" i="3"/>
  <c r="L81" i="3"/>
  <c r="A82" i="3"/>
  <c r="B82" i="3"/>
  <c r="C82" i="3"/>
  <c r="D82" i="3"/>
  <c r="E82" i="3"/>
  <c r="F82" i="3"/>
  <c r="G82" i="3"/>
  <c r="H82" i="3"/>
  <c r="I82" i="3"/>
  <c r="J82" i="3"/>
  <c r="K82" i="3"/>
  <c r="L82" i="3"/>
  <c r="A83" i="3"/>
  <c r="B83" i="3"/>
  <c r="C83" i="3"/>
  <c r="D83" i="3"/>
  <c r="E83" i="3"/>
  <c r="F83" i="3"/>
  <c r="G83" i="3"/>
  <c r="H83" i="3"/>
  <c r="I83" i="3"/>
  <c r="J83" i="3"/>
  <c r="K83" i="3"/>
  <c r="L83" i="3"/>
  <c r="A84" i="3"/>
  <c r="B84" i="3"/>
  <c r="C84" i="3"/>
  <c r="D84" i="3"/>
  <c r="E84" i="3"/>
  <c r="F84" i="3"/>
  <c r="G84" i="3"/>
  <c r="H84" i="3"/>
  <c r="I84" i="3"/>
  <c r="J84" i="3"/>
  <c r="K84" i="3"/>
  <c r="L84" i="3"/>
  <c r="A85" i="3"/>
  <c r="B85" i="3"/>
  <c r="C85" i="3"/>
  <c r="D85" i="3"/>
  <c r="E85" i="3"/>
  <c r="F85" i="3"/>
  <c r="G85" i="3"/>
  <c r="H85" i="3"/>
  <c r="I85" i="3"/>
  <c r="J85" i="3"/>
  <c r="K85" i="3"/>
  <c r="L85" i="3"/>
  <c r="A86" i="3"/>
  <c r="B86" i="3"/>
  <c r="C86" i="3"/>
  <c r="D86" i="3"/>
  <c r="E86" i="3"/>
  <c r="F86" i="3"/>
  <c r="G86" i="3"/>
  <c r="H86" i="3"/>
  <c r="I86" i="3"/>
  <c r="J86" i="3"/>
  <c r="K86" i="3"/>
  <c r="L86" i="3"/>
  <c r="A87" i="3"/>
  <c r="B87" i="3"/>
  <c r="C87" i="3"/>
  <c r="D87" i="3"/>
  <c r="E87" i="3"/>
  <c r="F87" i="3"/>
  <c r="G87" i="3"/>
  <c r="H87" i="3"/>
  <c r="I87" i="3"/>
  <c r="J87" i="3"/>
  <c r="K87" i="3"/>
  <c r="L87" i="3"/>
  <c r="A88" i="3"/>
  <c r="B88" i="3"/>
  <c r="C88" i="3"/>
  <c r="D88" i="3"/>
  <c r="E88" i="3"/>
  <c r="F88" i="3"/>
  <c r="G88" i="3"/>
  <c r="H88" i="3"/>
  <c r="I88" i="3"/>
  <c r="J88" i="3"/>
  <c r="K88" i="3"/>
  <c r="L88" i="3"/>
  <c r="A89" i="3"/>
  <c r="B89" i="3"/>
  <c r="C89" i="3"/>
  <c r="D89" i="3"/>
  <c r="E89" i="3"/>
  <c r="F89" i="3"/>
  <c r="G89" i="3"/>
  <c r="H89" i="3"/>
  <c r="I89" i="3"/>
  <c r="J89" i="3"/>
  <c r="K89" i="3"/>
  <c r="L89" i="3"/>
  <c r="A90" i="3"/>
  <c r="B90" i="3"/>
  <c r="C90" i="3"/>
  <c r="D90" i="3"/>
  <c r="E90" i="3"/>
  <c r="F90" i="3"/>
  <c r="G90" i="3"/>
  <c r="H90" i="3"/>
  <c r="I90" i="3"/>
  <c r="J90" i="3"/>
  <c r="K90" i="3"/>
  <c r="L90" i="3"/>
  <c r="A91" i="3"/>
  <c r="B91" i="3"/>
  <c r="C91" i="3"/>
  <c r="D91" i="3"/>
  <c r="E91" i="3"/>
  <c r="F91" i="3"/>
  <c r="G91" i="3"/>
  <c r="H91" i="3"/>
  <c r="I91" i="3"/>
  <c r="J91" i="3"/>
  <c r="K91" i="3"/>
  <c r="L91" i="3"/>
  <c r="A92" i="3"/>
  <c r="B92" i="3"/>
  <c r="C92" i="3"/>
  <c r="D92" i="3"/>
  <c r="E92" i="3"/>
  <c r="F92" i="3"/>
  <c r="G92" i="3"/>
  <c r="H92" i="3"/>
  <c r="I92" i="3"/>
  <c r="J92" i="3"/>
  <c r="K92" i="3"/>
  <c r="L92" i="3"/>
  <c r="A93" i="3"/>
  <c r="B93" i="3"/>
  <c r="C93" i="3"/>
  <c r="D93" i="3"/>
  <c r="E93" i="3"/>
  <c r="F93" i="3"/>
  <c r="G93" i="3"/>
  <c r="H93" i="3"/>
  <c r="I93" i="3"/>
  <c r="J93" i="3"/>
  <c r="K93" i="3"/>
  <c r="L93" i="3"/>
  <c r="A94" i="3"/>
  <c r="B94" i="3"/>
  <c r="C94" i="3"/>
  <c r="D94" i="3"/>
  <c r="E94" i="3"/>
  <c r="F94" i="3"/>
  <c r="G94" i="3"/>
  <c r="H94" i="3"/>
  <c r="I94" i="3"/>
  <c r="J94" i="3"/>
  <c r="K94" i="3"/>
  <c r="L94" i="3"/>
  <c r="A95" i="3"/>
  <c r="B95" i="3"/>
  <c r="C95" i="3"/>
  <c r="D95" i="3"/>
  <c r="E95" i="3"/>
  <c r="F95" i="3"/>
  <c r="G95" i="3"/>
  <c r="H95" i="3"/>
  <c r="I95" i="3"/>
  <c r="J95" i="3"/>
  <c r="K95" i="3"/>
  <c r="L95" i="3"/>
  <c r="A96" i="3"/>
  <c r="B96" i="3"/>
  <c r="C96" i="3"/>
  <c r="D96" i="3"/>
  <c r="E96" i="3"/>
  <c r="F96" i="3"/>
  <c r="G96" i="3"/>
  <c r="H96" i="3"/>
  <c r="I96" i="3"/>
  <c r="J96" i="3"/>
  <c r="K96" i="3"/>
  <c r="L96" i="3"/>
  <c r="A97" i="3"/>
  <c r="B97" i="3"/>
  <c r="C97" i="3"/>
  <c r="D97" i="3"/>
  <c r="E97" i="3"/>
  <c r="F97" i="3"/>
  <c r="H97" i="3"/>
  <c r="I97" i="3"/>
  <c r="J97" i="3"/>
  <c r="K97" i="3"/>
  <c r="L97" i="3"/>
  <c r="A98" i="3"/>
  <c r="B98" i="3"/>
  <c r="C98" i="3"/>
  <c r="D98" i="3"/>
  <c r="E98" i="3"/>
  <c r="F98" i="3"/>
  <c r="H98" i="3"/>
  <c r="I98" i="3"/>
  <c r="J98" i="3"/>
  <c r="K98" i="3"/>
  <c r="L98" i="3"/>
  <c r="A99" i="3"/>
  <c r="B99" i="3"/>
  <c r="C99" i="3"/>
  <c r="D99" i="3"/>
  <c r="E99" i="3"/>
  <c r="F99" i="3"/>
  <c r="G99" i="3"/>
  <c r="H99" i="3"/>
  <c r="I99" i="3"/>
  <c r="J99" i="3"/>
  <c r="K99" i="3"/>
  <c r="L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A102" i="3"/>
  <c r="B102" i="3"/>
  <c r="C102" i="3"/>
  <c r="D102" i="3"/>
  <c r="E102" i="3"/>
  <c r="F102" i="3"/>
  <c r="H102" i="3"/>
  <c r="I102" i="3"/>
  <c r="J102" i="3"/>
  <c r="K102" i="3"/>
  <c r="L102" i="3"/>
  <c r="A103" i="3"/>
  <c r="B103" i="3"/>
  <c r="C103" i="3"/>
  <c r="D103" i="3"/>
  <c r="E103" i="3"/>
  <c r="F103" i="3"/>
  <c r="H103" i="3"/>
  <c r="I103" i="3"/>
  <c r="J103" i="3"/>
  <c r="K103" i="3"/>
  <c r="L103" i="3"/>
  <c r="A104" i="3"/>
  <c r="B104" i="3"/>
  <c r="C104" i="3"/>
  <c r="D104" i="3"/>
  <c r="E104" i="3"/>
  <c r="F104" i="3"/>
  <c r="H104" i="3"/>
  <c r="I104" i="3"/>
  <c r="J104" i="3"/>
  <c r="K104" i="3"/>
  <c r="L104" i="3"/>
  <c r="A105" i="3"/>
  <c r="B105" i="3"/>
  <c r="C105" i="3"/>
  <c r="D105" i="3"/>
  <c r="E105" i="3"/>
  <c r="F105" i="3"/>
  <c r="H105" i="3"/>
  <c r="I105" i="3"/>
  <c r="J105" i="3"/>
  <c r="K105" i="3"/>
  <c r="L105" i="3"/>
  <c r="A106" i="3"/>
  <c r="B106" i="3"/>
  <c r="C106" i="3"/>
  <c r="D106" i="3"/>
  <c r="E106" i="3"/>
  <c r="F106" i="3"/>
  <c r="H106" i="3"/>
  <c r="I106" i="3"/>
  <c r="J106" i="3"/>
  <c r="K106" i="3"/>
  <c r="L106" i="3"/>
  <c r="A107" i="3"/>
  <c r="B107" i="3"/>
  <c r="C107" i="3"/>
  <c r="D107" i="3"/>
  <c r="E107" i="3"/>
  <c r="F107" i="3"/>
  <c r="H107" i="3"/>
  <c r="I107" i="3"/>
  <c r="J107" i="3"/>
  <c r="K107" i="3"/>
  <c r="L107" i="3"/>
  <c r="A108" i="3"/>
  <c r="B108" i="3"/>
  <c r="C108" i="3"/>
  <c r="D108" i="3"/>
  <c r="E108" i="3"/>
  <c r="F108" i="3"/>
  <c r="H108" i="3"/>
  <c r="I108" i="3"/>
  <c r="J108" i="3"/>
  <c r="K108" i="3"/>
  <c r="L108" i="3"/>
  <c r="A109" i="3"/>
  <c r="B109" i="3"/>
  <c r="C109" i="3"/>
  <c r="D109" i="3"/>
  <c r="E109" i="3"/>
  <c r="F109" i="3"/>
  <c r="H109" i="3"/>
  <c r="I109" i="3"/>
  <c r="J109" i="3"/>
  <c r="K109" i="3"/>
  <c r="L109" i="3"/>
  <c r="A110" i="3"/>
  <c r="B110" i="3"/>
  <c r="C110" i="3"/>
  <c r="D110" i="3"/>
  <c r="E110" i="3"/>
  <c r="F110" i="3"/>
  <c r="H110" i="3"/>
  <c r="I110" i="3"/>
  <c r="J110" i="3"/>
  <c r="K110" i="3"/>
  <c r="L110" i="3"/>
  <c r="A111" i="3"/>
  <c r="B111" i="3"/>
  <c r="C111" i="3"/>
  <c r="D111" i="3"/>
  <c r="E111" i="3"/>
  <c r="F111" i="3"/>
  <c r="H111" i="3"/>
  <c r="I111" i="3"/>
  <c r="J111" i="3"/>
  <c r="K111" i="3"/>
  <c r="L111" i="3"/>
  <c r="A112" i="3"/>
  <c r="B112" i="3"/>
  <c r="C112" i="3"/>
  <c r="D112" i="3"/>
  <c r="E112" i="3"/>
  <c r="F112" i="3"/>
  <c r="H112" i="3"/>
  <c r="I112" i="3"/>
  <c r="J112" i="3"/>
  <c r="K112" i="3"/>
  <c r="L112" i="3"/>
  <c r="A113" i="3"/>
  <c r="B113" i="3"/>
  <c r="C113" i="3"/>
  <c r="D113" i="3"/>
  <c r="E113" i="3"/>
  <c r="F113" i="3"/>
  <c r="H113" i="3"/>
  <c r="I113" i="3"/>
  <c r="J113" i="3"/>
  <c r="K113" i="3"/>
  <c r="L113" i="3"/>
  <c r="A114" i="3"/>
  <c r="B114" i="3"/>
  <c r="C114" i="3"/>
  <c r="D114" i="3"/>
  <c r="E114" i="3"/>
  <c r="F114" i="3"/>
  <c r="H114" i="3"/>
  <c r="I114" i="3"/>
  <c r="J114" i="3"/>
  <c r="K114" i="3"/>
  <c r="L114" i="3"/>
  <c r="A115" i="3"/>
  <c r="B115" i="3"/>
  <c r="C115" i="3"/>
  <c r="D115" i="3"/>
  <c r="E115" i="3"/>
  <c r="F115" i="3"/>
  <c r="H115" i="3"/>
  <c r="I115" i="3"/>
  <c r="J115" i="3"/>
  <c r="K115" i="3"/>
  <c r="L115" i="3"/>
  <c r="A116" i="3"/>
  <c r="B116" i="3"/>
  <c r="C116" i="3"/>
  <c r="D116" i="3"/>
  <c r="E116" i="3"/>
  <c r="F116" i="3"/>
  <c r="H116" i="3"/>
  <c r="I116" i="3"/>
  <c r="J116" i="3"/>
  <c r="K116" i="3"/>
  <c r="L116" i="3"/>
  <c r="A117" i="3"/>
  <c r="B117" i="3"/>
  <c r="C117" i="3"/>
  <c r="D117" i="3"/>
  <c r="E117" i="3"/>
  <c r="F117" i="3"/>
  <c r="H117" i="3"/>
  <c r="I117" i="3"/>
  <c r="J117" i="3"/>
  <c r="K117" i="3"/>
  <c r="L117" i="3"/>
  <c r="A118" i="3"/>
  <c r="B118" i="3"/>
  <c r="C118" i="3"/>
  <c r="D118" i="3"/>
  <c r="E118" i="3"/>
  <c r="F118" i="3"/>
  <c r="H118" i="3"/>
  <c r="I118" i="3"/>
  <c r="J118" i="3"/>
  <c r="K118" i="3"/>
  <c r="L118" i="3"/>
  <c r="A119" i="3"/>
  <c r="B119" i="3"/>
  <c r="C119" i="3"/>
  <c r="D119" i="3"/>
  <c r="E119" i="3"/>
  <c r="F119" i="3"/>
  <c r="H119" i="3"/>
  <c r="I119" i="3"/>
  <c r="J119" i="3"/>
  <c r="K119" i="3"/>
  <c r="L119" i="3"/>
  <c r="A120" i="3"/>
  <c r="B120" i="3"/>
  <c r="C120" i="3"/>
  <c r="D120" i="3"/>
  <c r="E120" i="3"/>
  <c r="F120" i="3"/>
  <c r="H120" i="3"/>
  <c r="I120" i="3"/>
  <c r="J120" i="3"/>
  <c r="K120" i="3"/>
  <c r="L120" i="3"/>
  <c r="A121" i="3"/>
  <c r="B121" i="3"/>
  <c r="C121" i="3"/>
  <c r="D121" i="3"/>
  <c r="E121" i="3"/>
  <c r="F121" i="3"/>
  <c r="H121" i="3"/>
  <c r="I121" i="3"/>
  <c r="J121" i="3"/>
  <c r="K121" i="3"/>
  <c r="L121" i="3"/>
  <c r="A122" i="3"/>
  <c r="B122" i="3"/>
  <c r="C122" i="3"/>
  <c r="D122" i="3"/>
  <c r="E122" i="3"/>
  <c r="F122" i="3"/>
  <c r="H122" i="3"/>
  <c r="I122" i="3"/>
  <c r="J122" i="3"/>
  <c r="K122" i="3"/>
  <c r="L122" i="3"/>
  <c r="A123" i="3"/>
  <c r="B123" i="3"/>
  <c r="C123" i="3"/>
  <c r="D123" i="3"/>
  <c r="E123" i="3"/>
  <c r="F123" i="3"/>
  <c r="H123" i="3"/>
  <c r="I123" i="3"/>
  <c r="J123" i="3"/>
  <c r="K123" i="3"/>
  <c r="L123" i="3"/>
  <c r="A124" i="3"/>
  <c r="B124" i="3"/>
  <c r="C124" i="3"/>
  <c r="D124" i="3"/>
  <c r="E124" i="3"/>
  <c r="F124" i="3"/>
  <c r="H124" i="3"/>
  <c r="I124" i="3"/>
  <c r="J124" i="3"/>
  <c r="K124" i="3"/>
  <c r="L124" i="3"/>
  <c r="A125" i="3"/>
  <c r="B125" i="3"/>
  <c r="C125" i="3"/>
  <c r="D125" i="3"/>
  <c r="E125" i="3"/>
  <c r="F125" i="3"/>
  <c r="H125" i="3"/>
  <c r="I125" i="3"/>
  <c r="J125" i="3"/>
  <c r="K125" i="3"/>
  <c r="L125" i="3"/>
  <c r="A126" i="3"/>
  <c r="B126" i="3"/>
  <c r="C126" i="3"/>
  <c r="D126" i="3"/>
  <c r="E126" i="3"/>
  <c r="F126" i="3"/>
  <c r="H126" i="3"/>
  <c r="I126" i="3"/>
  <c r="J126" i="3"/>
  <c r="K126" i="3"/>
  <c r="L126" i="3"/>
  <c r="A127" i="3"/>
  <c r="B127" i="3"/>
  <c r="C127" i="3"/>
  <c r="D127" i="3"/>
  <c r="E127" i="3"/>
  <c r="F127" i="3"/>
  <c r="H127" i="3"/>
  <c r="I127" i="3"/>
  <c r="J127" i="3"/>
  <c r="K127" i="3"/>
  <c r="L127" i="3"/>
  <c r="A128" i="3"/>
  <c r="B128" i="3"/>
  <c r="C128" i="3"/>
  <c r="D128" i="3"/>
  <c r="E128" i="3"/>
  <c r="F128" i="3"/>
  <c r="H128" i="3"/>
  <c r="I128" i="3"/>
  <c r="J128" i="3"/>
  <c r="K128" i="3"/>
  <c r="L128" i="3"/>
  <c r="A129" i="3"/>
  <c r="B129" i="3"/>
  <c r="C129" i="3"/>
  <c r="D129" i="3"/>
  <c r="E129" i="3"/>
  <c r="F129" i="3"/>
  <c r="H129" i="3"/>
  <c r="I129" i="3"/>
  <c r="J129" i="3"/>
  <c r="K129" i="3"/>
  <c r="L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A131" i="3"/>
  <c r="B131" i="3"/>
  <c r="C131" i="3"/>
  <c r="D131" i="3"/>
  <c r="E131" i="3"/>
  <c r="F131" i="3"/>
  <c r="H131" i="3"/>
  <c r="I131" i="3"/>
  <c r="J131" i="3"/>
  <c r="K131" i="3"/>
  <c r="L131" i="3"/>
  <c r="A132" i="3"/>
  <c r="B132" i="3"/>
  <c r="C132" i="3"/>
  <c r="D132" i="3"/>
  <c r="E132" i="3"/>
  <c r="F132" i="3"/>
  <c r="H132" i="3"/>
  <c r="I132" i="3"/>
  <c r="J132" i="3"/>
  <c r="K132" i="3"/>
  <c r="L132" i="3"/>
  <c r="A133" i="3"/>
  <c r="B133" i="3"/>
  <c r="C133" i="3"/>
  <c r="D133" i="3"/>
  <c r="E133" i="3"/>
  <c r="F133" i="3"/>
  <c r="H133" i="3"/>
  <c r="I133" i="3"/>
  <c r="J133" i="3"/>
  <c r="K133" i="3"/>
  <c r="L133" i="3"/>
  <c r="A134" i="3"/>
  <c r="B134" i="3"/>
  <c r="C134" i="3"/>
  <c r="D134" i="3"/>
  <c r="E134" i="3"/>
  <c r="F134" i="3"/>
  <c r="H134" i="3"/>
  <c r="I134" i="3"/>
  <c r="J134" i="3"/>
  <c r="K134" i="3"/>
  <c r="L134" i="3"/>
  <c r="A135" i="3"/>
  <c r="B135" i="3"/>
  <c r="C135" i="3"/>
  <c r="D135" i="3"/>
  <c r="E135" i="3"/>
  <c r="F135" i="3"/>
  <c r="H135" i="3"/>
  <c r="I135" i="3"/>
  <c r="J135" i="3"/>
  <c r="K135" i="3"/>
  <c r="L135" i="3"/>
  <c r="A136" i="3"/>
  <c r="B136" i="3"/>
  <c r="C136" i="3"/>
  <c r="D136" i="3"/>
  <c r="E136" i="3"/>
  <c r="F136" i="3"/>
  <c r="H136" i="3"/>
  <c r="I136" i="3"/>
  <c r="J136" i="3"/>
  <c r="K136" i="3"/>
  <c r="L136" i="3"/>
  <c r="A137" i="3"/>
  <c r="B137" i="3"/>
  <c r="C137" i="3"/>
  <c r="D137" i="3"/>
  <c r="E137" i="3"/>
  <c r="F137" i="3"/>
  <c r="H137" i="3"/>
  <c r="I137" i="3"/>
  <c r="J137" i="3"/>
  <c r="K137" i="3"/>
  <c r="L137" i="3"/>
  <c r="A138" i="3"/>
  <c r="B138" i="3"/>
  <c r="C138" i="3"/>
  <c r="D138" i="3"/>
  <c r="E138" i="3"/>
  <c r="F138" i="3"/>
  <c r="H138" i="3"/>
  <c r="I138" i="3"/>
  <c r="J138" i="3"/>
  <c r="K138" i="3"/>
  <c r="L138" i="3"/>
  <c r="A139" i="3"/>
  <c r="B139" i="3"/>
  <c r="C139" i="3"/>
  <c r="D139" i="3"/>
  <c r="E139" i="3"/>
  <c r="F139" i="3"/>
  <c r="H139" i="3"/>
  <c r="I139" i="3"/>
  <c r="J139" i="3"/>
  <c r="K139" i="3"/>
  <c r="L139" i="3"/>
  <c r="A140" i="3"/>
  <c r="B140" i="3"/>
  <c r="C140" i="3"/>
  <c r="D140" i="3"/>
  <c r="E140" i="3"/>
  <c r="F140" i="3"/>
  <c r="H140" i="3"/>
  <c r="I140" i="3"/>
  <c r="J140" i="3"/>
  <c r="K140" i="3"/>
  <c r="L140" i="3"/>
  <c r="A141" i="3"/>
  <c r="B141" i="3"/>
  <c r="C141" i="3"/>
  <c r="D141" i="3"/>
  <c r="E141" i="3"/>
  <c r="F141" i="3"/>
  <c r="H141" i="3"/>
  <c r="I141" i="3"/>
  <c r="J141" i="3"/>
  <c r="K141" i="3"/>
  <c r="L141" i="3"/>
  <c r="A142" i="3"/>
  <c r="B142" i="3"/>
  <c r="C142" i="3"/>
  <c r="D142" i="3"/>
  <c r="E142" i="3"/>
  <c r="F142" i="3"/>
  <c r="H142" i="3"/>
  <c r="I142" i="3"/>
  <c r="J142" i="3"/>
  <c r="K142" i="3"/>
  <c r="L142" i="3"/>
  <c r="A143" i="3"/>
  <c r="B143" i="3"/>
  <c r="C143" i="3"/>
  <c r="D143" i="3"/>
  <c r="E143" i="3"/>
  <c r="F143" i="3"/>
  <c r="H143" i="3"/>
  <c r="I143" i="3"/>
  <c r="J143" i="3"/>
  <c r="K143" i="3"/>
  <c r="L143" i="3"/>
  <c r="A144" i="3"/>
  <c r="B144" i="3"/>
  <c r="C144" i="3"/>
  <c r="D144" i="3"/>
  <c r="E144" i="3"/>
  <c r="F144" i="3"/>
  <c r="H144" i="3"/>
  <c r="I144" i="3"/>
  <c r="J144" i="3"/>
  <c r="K144" i="3"/>
  <c r="L144" i="3"/>
  <c r="A145" i="3"/>
  <c r="B145" i="3"/>
  <c r="C145" i="3"/>
  <c r="D145" i="3"/>
  <c r="E145" i="3"/>
  <c r="F145" i="3"/>
  <c r="H145" i="3"/>
  <c r="I145" i="3"/>
  <c r="J145" i="3"/>
  <c r="K145" i="3"/>
  <c r="L145" i="3"/>
  <c r="A146" i="3"/>
  <c r="B146" i="3"/>
  <c r="C146" i="3"/>
  <c r="D146" i="3"/>
  <c r="E146" i="3"/>
  <c r="F146" i="3"/>
  <c r="H146" i="3"/>
  <c r="I146" i="3"/>
  <c r="J146" i="3"/>
  <c r="K146" i="3"/>
  <c r="L146" i="3"/>
  <c r="A147" i="3"/>
  <c r="B147" i="3"/>
  <c r="C147" i="3"/>
  <c r="D147" i="3"/>
  <c r="E147" i="3"/>
  <c r="F147" i="3"/>
  <c r="H147" i="3"/>
  <c r="I147" i="3"/>
  <c r="J147" i="3"/>
  <c r="K147" i="3"/>
  <c r="L147" i="3"/>
  <c r="A148" i="3"/>
  <c r="B148" i="3"/>
  <c r="C148" i="3"/>
  <c r="D148" i="3"/>
  <c r="E148" i="3"/>
  <c r="F148" i="3"/>
  <c r="H148" i="3"/>
  <c r="I148" i="3"/>
  <c r="J148" i="3"/>
  <c r="K148" i="3"/>
  <c r="L148" i="3"/>
  <c r="A149" i="3"/>
  <c r="B149" i="3"/>
  <c r="C149" i="3"/>
  <c r="D149" i="3"/>
  <c r="E149" i="3"/>
  <c r="F149" i="3"/>
  <c r="H149" i="3"/>
  <c r="I149" i="3"/>
  <c r="J149" i="3"/>
  <c r="K149" i="3"/>
  <c r="L149" i="3"/>
  <c r="A150" i="3"/>
  <c r="B150" i="3"/>
  <c r="C150" i="3"/>
  <c r="D150" i="3"/>
  <c r="E150" i="3"/>
  <c r="F150" i="3"/>
  <c r="H150" i="3"/>
  <c r="I150" i="3"/>
  <c r="J150" i="3"/>
  <c r="K150" i="3"/>
  <c r="L150" i="3"/>
  <c r="A151" i="3"/>
  <c r="B151" i="3"/>
  <c r="C151" i="3"/>
  <c r="D151" i="3"/>
  <c r="E151" i="3"/>
  <c r="F151" i="3"/>
  <c r="H151" i="3"/>
  <c r="I151" i="3"/>
  <c r="J151" i="3"/>
  <c r="K151" i="3"/>
  <c r="L151" i="3"/>
  <c r="A152" i="3"/>
  <c r="B152" i="3"/>
  <c r="C152" i="3"/>
  <c r="D152" i="3"/>
  <c r="E152" i="3"/>
  <c r="F152" i="3"/>
  <c r="H152" i="3"/>
  <c r="I152" i="3"/>
  <c r="J152" i="3"/>
  <c r="K152" i="3"/>
  <c r="L152" i="3"/>
  <c r="A153" i="3"/>
  <c r="B153" i="3"/>
  <c r="C153" i="3"/>
  <c r="D153" i="3"/>
  <c r="E153" i="3"/>
  <c r="F153" i="3"/>
  <c r="H153" i="3"/>
  <c r="I153" i="3"/>
  <c r="J153" i="3"/>
  <c r="K153" i="3"/>
  <c r="L153" i="3"/>
  <c r="A154" i="3"/>
  <c r="B154" i="3"/>
  <c r="C154" i="3"/>
  <c r="D154" i="3"/>
  <c r="E154" i="3"/>
  <c r="F154" i="3"/>
  <c r="H154" i="3"/>
  <c r="I154" i="3"/>
  <c r="J154" i="3"/>
  <c r="K154" i="3"/>
  <c r="L154" i="3"/>
  <c r="A155" i="3"/>
  <c r="B155" i="3"/>
  <c r="C155" i="3"/>
  <c r="D155" i="3"/>
  <c r="E155" i="3"/>
  <c r="F155" i="3"/>
  <c r="H155" i="3"/>
  <c r="I155" i="3"/>
  <c r="J155" i="3"/>
  <c r="K155" i="3"/>
  <c r="L155" i="3"/>
  <c r="A156" i="3"/>
  <c r="B156" i="3"/>
  <c r="C156" i="3"/>
  <c r="D156" i="3"/>
  <c r="E156" i="3"/>
  <c r="F156" i="3"/>
  <c r="H156" i="3"/>
  <c r="I156" i="3"/>
  <c r="J156" i="3"/>
  <c r="K156" i="3"/>
  <c r="L156" i="3"/>
  <c r="A157" i="3"/>
  <c r="B157" i="3"/>
  <c r="C157" i="3"/>
  <c r="D157" i="3"/>
  <c r="E157" i="3"/>
  <c r="F157" i="3"/>
  <c r="H157" i="3"/>
  <c r="I157" i="3"/>
  <c r="J157" i="3"/>
  <c r="K157" i="3"/>
  <c r="L157" i="3"/>
  <c r="A158" i="3"/>
  <c r="B158" i="3"/>
  <c r="C158" i="3"/>
  <c r="D158" i="3"/>
  <c r="E158" i="3"/>
  <c r="F158" i="3"/>
  <c r="H158" i="3"/>
  <c r="I158" i="3"/>
  <c r="J158" i="3"/>
  <c r="K158" i="3"/>
  <c r="L158" i="3"/>
  <c r="A159" i="3"/>
  <c r="B159" i="3"/>
  <c r="C159" i="3"/>
  <c r="D159" i="3"/>
  <c r="E159" i="3"/>
  <c r="F159" i="3"/>
  <c r="H159" i="3"/>
  <c r="I159" i="3"/>
  <c r="J159" i="3"/>
  <c r="K159" i="3"/>
  <c r="L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A161" i="3"/>
  <c r="B161" i="3"/>
  <c r="C161" i="3"/>
  <c r="D161" i="3"/>
  <c r="E161" i="3"/>
  <c r="F161" i="3"/>
  <c r="H161" i="3"/>
  <c r="I161" i="3"/>
  <c r="J161" i="3"/>
  <c r="K161" i="3"/>
  <c r="L161" i="3"/>
  <c r="A162" i="3"/>
  <c r="B162" i="3"/>
  <c r="C162" i="3"/>
  <c r="D162" i="3"/>
  <c r="E162" i="3"/>
  <c r="F162" i="3"/>
  <c r="H162" i="3"/>
  <c r="I162" i="3"/>
  <c r="J162" i="3"/>
  <c r="K162" i="3"/>
  <c r="L162" i="3"/>
  <c r="A163" i="3"/>
  <c r="B163" i="3"/>
  <c r="C163" i="3"/>
  <c r="D163" i="3"/>
  <c r="E163" i="3"/>
  <c r="F163" i="3"/>
  <c r="H163" i="3"/>
  <c r="I163" i="3"/>
  <c r="J163" i="3"/>
  <c r="K163" i="3"/>
  <c r="L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A165" i="3"/>
  <c r="B165" i="3"/>
  <c r="C165" i="3"/>
  <c r="D165" i="3"/>
  <c r="E165" i="3"/>
  <c r="F165" i="3"/>
  <c r="H165" i="3"/>
  <c r="I165" i="3"/>
  <c r="J165" i="3"/>
  <c r="K165" i="3"/>
  <c r="L165" i="3"/>
  <c r="A166" i="3"/>
  <c r="B166" i="3"/>
  <c r="C166" i="3"/>
  <c r="D166" i="3"/>
  <c r="E166" i="3"/>
  <c r="F166" i="3"/>
  <c r="H166" i="3"/>
  <c r="I166" i="3"/>
  <c r="J166" i="3"/>
  <c r="K166" i="3"/>
  <c r="L166" i="3"/>
  <c r="A167" i="3"/>
  <c r="B167" i="3"/>
  <c r="C167" i="3"/>
  <c r="D167" i="3"/>
  <c r="E167" i="3"/>
  <c r="F167" i="3"/>
  <c r="H167" i="3"/>
  <c r="I167" i="3"/>
  <c r="J167" i="3"/>
  <c r="K167" i="3"/>
  <c r="L167" i="3"/>
  <c r="A168" i="3"/>
  <c r="B168" i="3"/>
  <c r="C168" i="3"/>
  <c r="D168" i="3"/>
  <c r="E168" i="3"/>
  <c r="F168" i="3"/>
  <c r="H168" i="3"/>
  <c r="I168" i="3"/>
  <c r="J168" i="3"/>
  <c r="K168" i="3"/>
  <c r="L168" i="3"/>
  <c r="A169" i="3"/>
  <c r="B169" i="3"/>
  <c r="C169" i="3"/>
  <c r="D169" i="3"/>
  <c r="E169" i="3"/>
  <c r="F169" i="3"/>
  <c r="H169" i="3"/>
  <c r="I169" i="3"/>
  <c r="J169" i="3"/>
  <c r="K169" i="3"/>
  <c r="L169" i="3"/>
  <c r="A170" i="3"/>
  <c r="B170" i="3"/>
  <c r="C170" i="3"/>
  <c r="D170" i="3"/>
  <c r="E170" i="3"/>
  <c r="F170" i="3"/>
  <c r="H170" i="3"/>
  <c r="I170" i="3"/>
  <c r="J170" i="3"/>
  <c r="K170" i="3"/>
  <c r="L170" i="3"/>
  <c r="A171" i="3"/>
  <c r="B171" i="3"/>
  <c r="C171" i="3"/>
  <c r="D171" i="3"/>
  <c r="E171" i="3"/>
  <c r="F171" i="3"/>
  <c r="H171" i="3"/>
  <c r="I171" i="3"/>
  <c r="J171" i="3"/>
  <c r="K171" i="3"/>
  <c r="L171" i="3"/>
  <c r="A172" i="3"/>
  <c r="B172" i="3"/>
  <c r="C172" i="3"/>
  <c r="D172" i="3"/>
  <c r="E172" i="3"/>
  <c r="F172" i="3"/>
  <c r="H172" i="3"/>
  <c r="I172" i="3"/>
  <c r="J172" i="3"/>
  <c r="K172" i="3"/>
  <c r="L172" i="3"/>
  <c r="A173" i="3"/>
  <c r="B173" i="3"/>
  <c r="C173" i="3"/>
  <c r="D173" i="3"/>
  <c r="E173" i="3"/>
  <c r="F173" i="3"/>
  <c r="H173" i="3"/>
  <c r="I173" i="3"/>
  <c r="J173" i="3"/>
  <c r="K173" i="3"/>
  <c r="L173" i="3"/>
  <c r="A174" i="3"/>
  <c r="B174" i="3"/>
  <c r="C174" i="3"/>
  <c r="D174" i="3"/>
  <c r="E174" i="3"/>
  <c r="F174" i="3"/>
  <c r="H174" i="3"/>
  <c r="I174" i="3"/>
  <c r="J174" i="3"/>
  <c r="K174" i="3"/>
  <c r="L174" i="3"/>
  <c r="A175" i="3"/>
  <c r="B175" i="3"/>
  <c r="C175" i="3"/>
  <c r="D175" i="3"/>
  <c r="E175" i="3"/>
  <c r="F175" i="3"/>
  <c r="H175" i="3"/>
  <c r="I175" i="3"/>
  <c r="J175" i="3"/>
  <c r="K175" i="3"/>
  <c r="L175" i="3"/>
  <c r="A176" i="3"/>
  <c r="B176" i="3"/>
  <c r="C176" i="3"/>
  <c r="D176" i="3"/>
  <c r="E176" i="3"/>
  <c r="F176" i="3"/>
  <c r="H176" i="3"/>
  <c r="I176" i="3"/>
  <c r="J176" i="3"/>
  <c r="K176" i="3"/>
  <c r="L176" i="3"/>
  <c r="A177" i="3"/>
  <c r="B177" i="3"/>
  <c r="C177" i="3"/>
  <c r="D177" i="3"/>
  <c r="E177" i="3"/>
  <c r="F177" i="3"/>
  <c r="H177" i="3"/>
  <c r="I177" i="3"/>
  <c r="J177" i="3"/>
  <c r="K177" i="3"/>
  <c r="L177" i="3"/>
  <c r="A178" i="3"/>
  <c r="B178" i="3"/>
  <c r="C178" i="3"/>
  <c r="D178" i="3"/>
  <c r="E178" i="3"/>
  <c r="F178" i="3"/>
  <c r="H178" i="3"/>
  <c r="I178" i="3"/>
  <c r="J178" i="3"/>
  <c r="K178" i="3"/>
  <c r="L178" i="3"/>
  <c r="A179" i="3"/>
  <c r="B179" i="3"/>
  <c r="C179" i="3"/>
  <c r="D179" i="3"/>
  <c r="E179" i="3"/>
  <c r="F179" i="3"/>
  <c r="H179" i="3"/>
  <c r="I179" i="3"/>
  <c r="J179" i="3"/>
  <c r="K179" i="3"/>
  <c r="L179" i="3"/>
  <c r="A180" i="3"/>
  <c r="B180" i="3"/>
  <c r="C180" i="3"/>
  <c r="D180" i="3"/>
  <c r="E180" i="3"/>
  <c r="F180" i="3"/>
  <c r="H180" i="3"/>
  <c r="I180" i="3"/>
  <c r="J180" i="3"/>
  <c r="K180" i="3"/>
  <c r="L180" i="3"/>
  <c r="A181" i="3"/>
  <c r="B181" i="3"/>
  <c r="C181" i="3"/>
  <c r="D181" i="3"/>
  <c r="E181" i="3"/>
  <c r="F181" i="3"/>
  <c r="H181" i="3"/>
  <c r="I181" i="3"/>
  <c r="J181" i="3"/>
  <c r="K181" i="3"/>
  <c r="L181" i="3"/>
  <c r="A182" i="3"/>
  <c r="B182" i="3"/>
  <c r="C182" i="3"/>
  <c r="D182" i="3"/>
  <c r="E182" i="3"/>
  <c r="F182" i="3"/>
  <c r="H182" i="3"/>
  <c r="I182" i="3"/>
  <c r="J182" i="3"/>
  <c r="K182" i="3"/>
  <c r="L182" i="3"/>
  <c r="A183" i="3"/>
  <c r="B183" i="3"/>
  <c r="C183" i="3"/>
  <c r="D183" i="3"/>
  <c r="E183" i="3"/>
  <c r="F183" i="3"/>
  <c r="H183" i="3"/>
  <c r="I183" i="3"/>
  <c r="J183" i="3"/>
  <c r="K183" i="3"/>
  <c r="L183" i="3"/>
  <c r="A184" i="3"/>
  <c r="B184" i="3"/>
  <c r="C184" i="3"/>
  <c r="D184" i="3"/>
  <c r="E184" i="3"/>
  <c r="F184" i="3"/>
  <c r="H184" i="3"/>
  <c r="I184" i="3"/>
  <c r="J184" i="3"/>
  <c r="K184" i="3"/>
  <c r="L184" i="3"/>
  <c r="A185" i="3"/>
  <c r="B185" i="3"/>
  <c r="C185" i="3"/>
  <c r="D185" i="3"/>
  <c r="E185" i="3"/>
  <c r="F185" i="3"/>
  <c r="H185" i="3"/>
  <c r="I185" i="3"/>
  <c r="J185" i="3"/>
  <c r="K185" i="3"/>
  <c r="L185" i="3"/>
  <c r="A186" i="3"/>
  <c r="B186" i="3"/>
  <c r="C186" i="3"/>
  <c r="D186" i="3"/>
  <c r="E186" i="3"/>
  <c r="F186" i="3"/>
  <c r="H186" i="3"/>
  <c r="I186" i="3"/>
  <c r="J186" i="3"/>
  <c r="K186" i="3"/>
  <c r="L186" i="3"/>
  <c r="A187" i="3"/>
  <c r="B187" i="3"/>
  <c r="C187" i="3"/>
  <c r="D187" i="3"/>
  <c r="E187" i="3"/>
  <c r="F187" i="3"/>
  <c r="H187" i="3"/>
  <c r="I187" i="3"/>
  <c r="J187" i="3"/>
  <c r="K187" i="3"/>
  <c r="L187" i="3"/>
  <c r="A188" i="3"/>
  <c r="B188" i="3"/>
  <c r="C188" i="3"/>
  <c r="D188" i="3"/>
  <c r="E188" i="3"/>
  <c r="F188" i="3"/>
  <c r="H188" i="3"/>
  <c r="I188" i="3"/>
  <c r="J188" i="3"/>
  <c r="K188" i="3"/>
  <c r="L188" i="3"/>
  <c r="A189" i="3"/>
  <c r="B189" i="3"/>
  <c r="C189" i="3"/>
  <c r="D189" i="3"/>
  <c r="E189" i="3"/>
  <c r="F189" i="3"/>
  <c r="H189" i="3"/>
  <c r="I189" i="3"/>
  <c r="J189" i="3"/>
  <c r="K189" i="3"/>
  <c r="L189" i="3"/>
  <c r="A190" i="3"/>
  <c r="B190" i="3"/>
  <c r="C190" i="3"/>
  <c r="D190" i="3"/>
  <c r="E190" i="3"/>
  <c r="F190" i="3"/>
  <c r="H190" i="3"/>
  <c r="I190" i="3"/>
  <c r="J190" i="3"/>
  <c r="K190" i="3"/>
  <c r="L190" i="3"/>
  <c r="A191" i="3"/>
  <c r="B191" i="3"/>
  <c r="C191" i="3"/>
  <c r="D191" i="3"/>
  <c r="E191" i="3"/>
  <c r="F191" i="3"/>
  <c r="H191" i="3"/>
  <c r="I191" i="3"/>
  <c r="J191" i="3"/>
  <c r="K191" i="3"/>
  <c r="L191" i="3"/>
  <c r="A192" i="3"/>
  <c r="B192" i="3"/>
  <c r="C192" i="3"/>
  <c r="D192" i="3"/>
  <c r="E192" i="3"/>
  <c r="F192" i="3"/>
  <c r="H192" i="3"/>
  <c r="I192" i="3"/>
  <c r="J192" i="3"/>
  <c r="K192" i="3"/>
  <c r="L192" i="3"/>
  <c r="A193" i="3"/>
  <c r="B193" i="3"/>
  <c r="C193" i="3"/>
  <c r="D193" i="3"/>
  <c r="E193" i="3"/>
  <c r="F193" i="3"/>
  <c r="H193" i="3"/>
  <c r="I193" i="3"/>
  <c r="J193" i="3"/>
  <c r="K193" i="3"/>
  <c r="L193" i="3"/>
  <c r="A194" i="3"/>
  <c r="B194" i="3"/>
  <c r="C194" i="3"/>
  <c r="D194" i="3"/>
  <c r="E194" i="3"/>
  <c r="F194" i="3"/>
  <c r="H194" i="3"/>
  <c r="I194" i="3"/>
  <c r="J194" i="3"/>
  <c r="K194" i="3"/>
  <c r="L194" i="3"/>
  <c r="A195" i="3"/>
  <c r="B195" i="3"/>
  <c r="C195" i="3"/>
  <c r="D195" i="3"/>
  <c r="E195" i="3"/>
  <c r="F195" i="3"/>
  <c r="H195" i="3"/>
  <c r="I195" i="3"/>
  <c r="J195" i="3"/>
  <c r="K195" i="3"/>
  <c r="L195" i="3"/>
  <c r="A196" i="3"/>
  <c r="B196" i="3"/>
  <c r="C196" i="3"/>
  <c r="D196" i="3"/>
  <c r="E196" i="3"/>
  <c r="F196" i="3"/>
  <c r="H196" i="3"/>
  <c r="I196" i="3"/>
  <c r="J196" i="3"/>
  <c r="K196" i="3"/>
  <c r="L196" i="3"/>
  <c r="A197" i="3"/>
  <c r="B197" i="3"/>
  <c r="C197" i="3"/>
  <c r="D197" i="3"/>
  <c r="E197" i="3"/>
  <c r="F197" i="3"/>
  <c r="H197" i="3"/>
  <c r="I197" i="3"/>
  <c r="J197" i="3"/>
  <c r="K197" i="3"/>
  <c r="L197" i="3"/>
  <c r="A198" i="3"/>
  <c r="B198" i="3"/>
  <c r="C198" i="3"/>
  <c r="D198" i="3"/>
  <c r="E198" i="3"/>
  <c r="F198" i="3"/>
  <c r="G198" i="3"/>
  <c r="H198" i="3"/>
  <c r="I198" i="3"/>
  <c r="J198" i="3"/>
  <c r="K198" i="3"/>
  <c r="L198" i="3"/>
  <c r="A199" i="3"/>
  <c r="B199" i="3"/>
  <c r="C199" i="3"/>
  <c r="D199" i="3"/>
  <c r="E199" i="3"/>
  <c r="F199" i="3"/>
  <c r="H199" i="3"/>
  <c r="I199" i="3"/>
  <c r="J199" i="3"/>
  <c r="K199" i="3"/>
  <c r="L199" i="3"/>
  <c r="A200" i="3"/>
  <c r="B200" i="3"/>
  <c r="C200" i="3"/>
  <c r="D200" i="3"/>
  <c r="E200" i="3"/>
  <c r="F200" i="3"/>
  <c r="H200" i="3"/>
  <c r="I200" i="3"/>
  <c r="J200" i="3"/>
  <c r="K200" i="3"/>
  <c r="L200" i="3"/>
  <c r="A201" i="3"/>
  <c r="B201" i="3"/>
  <c r="C201" i="3"/>
  <c r="D201" i="3"/>
  <c r="E201" i="3"/>
  <c r="F201" i="3"/>
  <c r="H201" i="3"/>
  <c r="I201" i="3"/>
  <c r="J201" i="3"/>
  <c r="K201" i="3"/>
  <c r="L201" i="3"/>
  <c r="A202" i="3"/>
  <c r="B202" i="3"/>
  <c r="C202" i="3"/>
  <c r="D202" i="3"/>
  <c r="E202" i="3"/>
  <c r="F202" i="3"/>
  <c r="H202" i="3"/>
  <c r="I202" i="3"/>
  <c r="J202" i="3"/>
  <c r="K202" i="3"/>
  <c r="L202" i="3"/>
  <c r="A203" i="3"/>
  <c r="B203" i="3"/>
  <c r="C203" i="3"/>
  <c r="D203" i="3"/>
  <c r="E203" i="3"/>
  <c r="F203" i="3"/>
  <c r="H203" i="3"/>
  <c r="I203" i="3"/>
  <c r="J203" i="3"/>
  <c r="K203" i="3"/>
  <c r="L203" i="3"/>
  <c r="A204" i="3"/>
  <c r="B204" i="3"/>
  <c r="C204" i="3"/>
  <c r="D204" i="3"/>
  <c r="E204" i="3"/>
  <c r="F204" i="3"/>
  <c r="H204" i="3"/>
  <c r="I204" i="3"/>
  <c r="J204" i="3"/>
  <c r="K204" i="3"/>
  <c r="L204" i="3"/>
  <c r="A205" i="3"/>
  <c r="B205" i="3"/>
  <c r="C205" i="3"/>
  <c r="D205" i="3"/>
  <c r="E205" i="3"/>
  <c r="F205" i="3"/>
  <c r="H205" i="3"/>
  <c r="I205" i="3"/>
  <c r="J205" i="3"/>
  <c r="K205" i="3"/>
  <c r="L205" i="3"/>
  <c r="A206" i="3"/>
  <c r="B206" i="3"/>
  <c r="C206" i="3"/>
  <c r="D206" i="3"/>
  <c r="E206" i="3"/>
  <c r="F206" i="3"/>
  <c r="H206" i="3"/>
  <c r="I206" i="3"/>
  <c r="J206" i="3"/>
  <c r="K206" i="3"/>
  <c r="L206" i="3"/>
  <c r="A207" i="3"/>
  <c r="B207" i="3"/>
  <c r="C207" i="3"/>
  <c r="D207" i="3"/>
  <c r="E207" i="3"/>
  <c r="F207" i="3"/>
  <c r="H207" i="3"/>
  <c r="I207" i="3"/>
  <c r="J207" i="3"/>
  <c r="K207" i="3"/>
  <c r="L207" i="3"/>
  <c r="A208" i="3"/>
  <c r="B208" i="3"/>
  <c r="C208" i="3"/>
  <c r="D208" i="3"/>
  <c r="E208" i="3"/>
  <c r="F208" i="3"/>
  <c r="H208" i="3"/>
  <c r="I208" i="3"/>
  <c r="J208" i="3"/>
  <c r="K208" i="3"/>
  <c r="L208" i="3"/>
  <c r="A209" i="3"/>
  <c r="B209" i="3"/>
  <c r="C209" i="3"/>
  <c r="D209" i="3"/>
  <c r="E209" i="3"/>
  <c r="F209" i="3"/>
  <c r="H209" i="3"/>
  <c r="I209" i="3"/>
  <c r="J209" i="3"/>
  <c r="K209" i="3"/>
  <c r="L209" i="3"/>
  <c r="A210" i="3"/>
  <c r="B210" i="3"/>
  <c r="C210" i="3"/>
  <c r="D210" i="3"/>
  <c r="E210" i="3"/>
  <c r="F210" i="3"/>
  <c r="H210" i="3"/>
  <c r="I210" i="3"/>
  <c r="J210" i="3"/>
  <c r="K210" i="3"/>
  <c r="L210" i="3"/>
  <c r="A211" i="3"/>
  <c r="B211" i="3"/>
  <c r="C211" i="3"/>
  <c r="D211" i="3"/>
  <c r="E211" i="3"/>
  <c r="F211" i="3"/>
  <c r="H211" i="3"/>
  <c r="I211" i="3"/>
  <c r="J211" i="3"/>
  <c r="K211" i="3"/>
  <c r="L211" i="3"/>
  <c r="A212" i="3"/>
  <c r="B212" i="3"/>
  <c r="C212" i="3"/>
  <c r="D212" i="3"/>
  <c r="E212" i="3"/>
  <c r="F212" i="3"/>
  <c r="H212" i="3"/>
  <c r="I212" i="3"/>
  <c r="J212" i="3"/>
  <c r="K212" i="3"/>
  <c r="L212" i="3"/>
  <c r="A213" i="3"/>
  <c r="B213" i="3"/>
  <c r="C213" i="3"/>
  <c r="D213" i="3"/>
  <c r="E213" i="3"/>
  <c r="F213" i="3"/>
  <c r="H213" i="3"/>
  <c r="I213" i="3"/>
  <c r="J213" i="3"/>
  <c r="K213" i="3"/>
  <c r="L213" i="3"/>
  <c r="A214" i="3"/>
  <c r="B214" i="3"/>
  <c r="C214" i="3"/>
  <c r="D214" i="3"/>
  <c r="E214" i="3"/>
  <c r="F214" i="3"/>
  <c r="H214" i="3"/>
  <c r="I214" i="3"/>
  <c r="J214" i="3"/>
  <c r="K214" i="3"/>
  <c r="L214" i="3"/>
  <c r="A215" i="3"/>
  <c r="B215" i="3"/>
  <c r="C215" i="3"/>
  <c r="D215" i="3"/>
  <c r="E215" i="3"/>
  <c r="F215" i="3"/>
  <c r="H215" i="3"/>
  <c r="I215" i="3"/>
  <c r="J215" i="3"/>
  <c r="K215" i="3"/>
  <c r="L215" i="3"/>
  <c r="A216" i="3"/>
  <c r="B216" i="3"/>
  <c r="C216" i="3"/>
  <c r="D216" i="3"/>
  <c r="E216" i="3"/>
  <c r="F216" i="3"/>
  <c r="H216" i="3"/>
  <c r="I216" i="3"/>
  <c r="J216" i="3"/>
  <c r="K216" i="3"/>
  <c r="L216" i="3"/>
  <c r="A217" i="3"/>
  <c r="B217" i="3"/>
  <c r="C217" i="3"/>
  <c r="D217" i="3"/>
  <c r="E217" i="3"/>
  <c r="F217" i="3"/>
  <c r="H217" i="3"/>
  <c r="I217" i="3"/>
  <c r="J217" i="3"/>
  <c r="K217" i="3"/>
  <c r="L217" i="3"/>
  <c r="A218" i="3"/>
  <c r="B218" i="3"/>
  <c r="C218" i="3"/>
  <c r="D218" i="3"/>
  <c r="E218" i="3"/>
  <c r="F218" i="3"/>
  <c r="H218" i="3"/>
  <c r="I218" i="3"/>
  <c r="J218" i="3"/>
  <c r="K218" i="3"/>
  <c r="L218" i="3"/>
  <c r="A219" i="3"/>
  <c r="B219" i="3"/>
  <c r="C219" i="3"/>
  <c r="D219" i="3"/>
  <c r="E219" i="3"/>
  <c r="F219" i="3"/>
  <c r="H219" i="3"/>
  <c r="I219" i="3"/>
  <c r="J219" i="3"/>
  <c r="K219" i="3"/>
  <c r="L219" i="3"/>
  <c r="A220" i="3"/>
  <c r="B220" i="3"/>
  <c r="C220" i="3"/>
  <c r="D220" i="3"/>
  <c r="E220" i="3"/>
  <c r="F220" i="3"/>
  <c r="H220" i="3"/>
  <c r="I220" i="3"/>
  <c r="J220" i="3"/>
  <c r="K220" i="3"/>
  <c r="L220" i="3"/>
  <c r="A221" i="3"/>
  <c r="B221" i="3"/>
  <c r="C221" i="3"/>
  <c r="D221" i="3"/>
  <c r="E221" i="3"/>
  <c r="F221" i="3"/>
  <c r="H221" i="3"/>
  <c r="I221" i="3"/>
  <c r="J221" i="3"/>
  <c r="K221" i="3"/>
  <c r="L221" i="3"/>
  <c r="A222" i="3"/>
  <c r="B222" i="3"/>
  <c r="C222" i="3"/>
  <c r="D222" i="3"/>
  <c r="E222" i="3"/>
  <c r="F222" i="3"/>
  <c r="H222" i="3"/>
  <c r="I222" i="3"/>
  <c r="J222" i="3"/>
  <c r="K222" i="3"/>
  <c r="L222" i="3"/>
  <c r="A223" i="3"/>
  <c r="B223" i="3"/>
  <c r="C223" i="3"/>
  <c r="D223" i="3"/>
  <c r="E223" i="3"/>
  <c r="F223" i="3"/>
  <c r="H223" i="3"/>
  <c r="I223" i="3"/>
  <c r="J223" i="3"/>
  <c r="K223" i="3"/>
  <c r="L223" i="3"/>
  <c r="A224" i="3"/>
  <c r="B224" i="3"/>
  <c r="C224" i="3"/>
  <c r="D224" i="3"/>
  <c r="E224" i="3"/>
  <c r="F224" i="3"/>
  <c r="H224" i="3"/>
  <c r="I224" i="3"/>
  <c r="J224" i="3"/>
  <c r="K224" i="3"/>
  <c r="L224" i="3"/>
  <c r="A225" i="3"/>
  <c r="B225" i="3"/>
  <c r="C225" i="3"/>
  <c r="D225" i="3"/>
  <c r="E225" i="3"/>
  <c r="F225" i="3"/>
  <c r="H225" i="3"/>
  <c r="I225" i="3"/>
  <c r="J225" i="3"/>
  <c r="K225" i="3"/>
  <c r="L225" i="3"/>
  <c r="A226" i="3"/>
  <c r="B226" i="3"/>
  <c r="C226" i="3"/>
  <c r="D226" i="3"/>
  <c r="E226" i="3"/>
  <c r="F226" i="3"/>
  <c r="H226" i="3"/>
  <c r="I226" i="3"/>
  <c r="J226" i="3"/>
  <c r="K226" i="3"/>
  <c r="L226" i="3"/>
  <c r="A227" i="3"/>
  <c r="B227" i="3"/>
  <c r="C227" i="3"/>
  <c r="D227" i="3"/>
  <c r="E227" i="3"/>
  <c r="F227" i="3"/>
  <c r="H227" i="3"/>
  <c r="I227" i="3"/>
  <c r="J227" i="3"/>
  <c r="K227" i="3"/>
  <c r="L227" i="3"/>
  <c r="A228" i="3"/>
  <c r="B228" i="3"/>
  <c r="C228" i="3"/>
  <c r="D228" i="3"/>
  <c r="E228" i="3"/>
  <c r="F228" i="3"/>
  <c r="H228" i="3"/>
  <c r="I228" i="3"/>
  <c r="J228" i="3"/>
  <c r="K228" i="3"/>
  <c r="L228" i="3"/>
  <c r="A229" i="3"/>
  <c r="B229" i="3"/>
  <c r="C229" i="3"/>
  <c r="D229" i="3"/>
  <c r="E229" i="3"/>
  <c r="F229" i="3"/>
  <c r="H229" i="3"/>
  <c r="I229" i="3"/>
  <c r="J229" i="3"/>
  <c r="K229" i="3"/>
  <c r="L229" i="3"/>
  <c r="A230" i="3"/>
  <c r="B230" i="3"/>
  <c r="C230" i="3"/>
  <c r="D230" i="3"/>
  <c r="E230" i="3"/>
  <c r="F230" i="3"/>
  <c r="H230" i="3"/>
  <c r="I230" i="3"/>
  <c r="J230" i="3"/>
  <c r="K230" i="3"/>
  <c r="L230" i="3"/>
  <c r="A231" i="3"/>
  <c r="B231" i="3"/>
  <c r="C231" i="3"/>
  <c r="D231" i="3"/>
  <c r="E231" i="3"/>
  <c r="F231" i="3"/>
  <c r="H231" i="3"/>
  <c r="I231" i="3"/>
  <c r="J231" i="3"/>
  <c r="K231" i="3"/>
  <c r="L231" i="3"/>
  <c r="A232" i="3"/>
  <c r="B232" i="3"/>
  <c r="C232" i="3"/>
  <c r="D232" i="3"/>
  <c r="E232" i="3"/>
  <c r="F232" i="3"/>
  <c r="H232" i="3"/>
  <c r="I232" i="3"/>
  <c r="J232" i="3"/>
  <c r="K232" i="3"/>
  <c r="L232" i="3"/>
  <c r="A233" i="3"/>
  <c r="B233" i="3"/>
  <c r="C233" i="3"/>
  <c r="D233" i="3"/>
  <c r="E233" i="3"/>
  <c r="F233" i="3"/>
  <c r="H233" i="3"/>
  <c r="I233" i="3"/>
  <c r="J233" i="3"/>
  <c r="K233" i="3"/>
  <c r="L233" i="3"/>
  <c r="A234" i="3"/>
  <c r="B234" i="3"/>
  <c r="C234" i="3"/>
  <c r="D234" i="3"/>
  <c r="E234" i="3"/>
  <c r="F234" i="3"/>
  <c r="H234" i="3"/>
  <c r="I234" i="3"/>
  <c r="J234" i="3"/>
  <c r="K234" i="3"/>
  <c r="L234" i="3"/>
  <c r="A235" i="3"/>
  <c r="B235" i="3"/>
  <c r="C235" i="3"/>
  <c r="D235" i="3"/>
  <c r="E235" i="3"/>
  <c r="F235" i="3"/>
  <c r="H235" i="3"/>
  <c r="I235" i="3"/>
  <c r="J235" i="3"/>
  <c r="K235" i="3"/>
  <c r="L235" i="3"/>
  <c r="A236" i="3"/>
  <c r="B236" i="3"/>
  <c r="C236" i="3"/>
  <c r="D236" i="3"/>
  <c r="E236" i="3"/>
  <c r="F236" i="3"/>
  <c r="H236" i="3"/>
  <c r="I236" i="3"/>
  <c r="J236" i="3"/>
  <c r="K236" i="3"/>
  <c r="L236" i="3"/>
  <c r="A237" i="3"/>
  <c r="B237" i="3"/>
  <c r="C237" i="3"/>
  <c r="D237" i="3"/>
  <c r="E237" i="3"/>
  <c r="F237" i="3"/>
  <c r="H237" i="3"/>
  <c r="I237" i="3"/>
  <c r="J237" i="3"/>
  <c r="K237" i="3"/>
  <c r="L237" i="3"/>
  <c r="A238" i="3"/>
  <c r="B238" i="3"/>
  <c r="C238" i="3"/>
  <c r="D238" i="3"/>
  <c r="E238" i="3"/>
  <c r="F238" i="3"/>
  <c r="H238" i="3"/>
  <c r="I238" i="3"/>
  <c r="J238" i="3"/>
  <c r="K238" i="3"/>
  <c r="L238" i="3"/>
  <c r="A239" i="3"/>
  <c r="B239" i="3"/>
  <c r="C239" i="3"/>
  <c r="D239" i="3"/>
  <c r="E239" i="3"/>
  <c r="F239" i="3"/>
  <c r="H239" i="3"/>
  <c r="I239" i="3"/>
  <c r="J239" i="3"/>
  <c r="K239" i="3"/>
  <c r="L239" i="3"/>
  <c r="A240" i="3"/>
  <c r="B240" i="3"/>
  <c r="C240" i="3"/>
  <c r="D240" i="3"/>
  <c r="E240" i="3"/>
  <c r="F240" i="3"/>
  <c r="H240" i="3"/>
  <c r="I240" i="3"/>
  <c r="J240" i="3"/>
  <c r="K240" i="3"/>
  <c r="L240" i="3"/>
  <c r="A241" i="3"/>
  <c r="B241" i="3"/>
  <c r="C241" i="3"/>
  <c r="D241" i="3"/>
  <c r="E241" i="3"/>
  <c r="F241" i="3"/>
  <c r="H241" i="3"/>
  <c r="I241" i="3"/>
  <c r="J241" i="3"/>
  <c r="K241" i="3"/>
  <c r="L241" i="3"/>
  <c r="A242" i="3"/>
  <c r="B242" i="3"/>
  <c r="C242" i="3"/>
  <c r="D242" i="3"/>
  <c r="E242" i="3"/>
  <c r="F242" i="3"/>
  <c r="H242" i="3"/>
  <c r="I242" i="3"/>
  <c r="J242" i="3"/>
  <c r="K242" i="3"/>
  <c r="L242" i="3"/>
  <c r="A243" i="3"/>
  <c r="B243" i="3"/>
  <c r="C243" i="3"/>
  <c r="D243" i="3"/>
  <c r="E243" i="3"/>
  <c r="F243" i="3"/>
  <c r="H243" i="3"/>
  <c r="I243" i="3"/>
  <c r="J243" i="3"/>
  <c r="K243" i="3"/>
  <c r="L243" i="3"/>
  <c r="A244" i="3"/>
  <c r="B244" i="3"/>
  <c r="C244" i="3"/>
  <c r="D244" i="3"/>
  <c r="E244" i="3"/>
  <c r="F244" i="3"/>
  <c r="H244" i="3"/>
  <c r="I244" i="3"/>
  <c r="J244" i="3"/>
  <c r="K244" i="3"/>
  <c r="L244" i="3"/>
  <c r="A245" i="3"/>
  <c r="B245" i="3"/>
  <c r="C245" i="3"/>
  <c r="D245" i="3"/>
  <c r="E245" i="3"/>
  <c r="F245" i="3"/>
  <c r="H245" i="3"/>
  <c r="I245" i="3"/>
  <c r="J245" i="3"/>
  <c r="K245" i="3"/>
  <c r="L245" i="3"/>
  <c r="A246" i="3"/>
  <c r="B246" i="3"/>
  <c r="C246" i="3"/>
  <c r="D246" i="3"/>
  <c r="E246" i="3"/>
  <c r="F246" i="3"/>
  <c r="H246" i="3"/>
  <c r="I246" i="3"/>
  <c r="J246" i="3"/>
  <c r="K246" i="3"/>
  <c r="L246" i="3"/>
  <c r="A247" i="3"/>
  <c r="B247" i="3"/>
  <c r="C247" i="3"/>
  <c r="D247" i="3"/>
  <c r="E247" i="3"/>
  <c r="F247" i="3"/>
  <c r="H247" i="3"/>
  <c r="I247" i="3"/>
  <c r="J247" i="3"/>
  <c r="K247" i="3"/>
  <c r="L247" i="3"/>
  <c r="A248" i="3"/>
  <c r="B248" i="3"/>
  <c r="C248" i="3"/>
  <c r="D248" i="3"/>
  <c r="E248" i="3"/>
  <c r="F248" i="3"/>
  <c r="H248" i="3"/>
  <c r="I248" i="3"/>
  <c r="J248" i="3"/>
  <c r="K248" i="3"/>
  <c r="L248" i="3"/>
  <c r="A249" i="3"/>
  <c r="B249" i="3"/>
  <c r="C249" i="3"/>
  <c r="D249" i="3"/>
  <c r="E249" i="3"/>
  <c r="F249" i="3"/>
  <c r="H249" i="3"/>
  <c r="I249" i="3"/>
  <c r="J249" i="3"/>
  <c r="K249" i="3"/>
  <c r="L249" i="3"/>
  <c r="A250" i="3"/>
  <c r="B250" i="3"/>
  <c r="C250" i="3"/>
  <c r="D250" i="3"/>
  <c r="E250" i="3"/>
  <c r="F250" i="3"/>
  <c r="H250" i="3"/>
  <c r="I250" i="3"/>
  <c r="J250" i="3"/>
  <c r="K250" i="3"/>
  <c r="L250" i="3"/>
  <c r="A251" i="3"/>
  <c r="B251" i="3"/>
  <c r="C251" i="3"/>
  <c r="D251" i="3"/>
  <c r="E251" i="3"/>
  <c r="F251" i="3"/>
  <c r="H251" i="3"/>
  <c r="I251" i="3"/>
  <c r="J251" i="3"/>
  <c r="K251" i="3"/>
  <c r="L251" i="3"/>
  <c r="A252" i="3"/>
  <c r="B252" i="3"/>
  <c r="C252" i="3"/>
  <c r="D252" i="3"/>
  <c r="E252" i="3"/>
  <c r="F252" i="3"/>
  <c r="H252" i="3"/>
  <c r="I252" i="3"/>
  <c r="J252" i="3"/>
  <c r="K252" i="3"/>
  <c r="L252" i="3"/>
  <c r="A253" i="3"/>
  <c r="B253" i="3"/>
  <c r="C253" i="3"/>
  <c r="D253" i="3"/>
  <c r="E253" i="3"/>
  <c r="F253" i="3"/>
  <c r="H253" i="3"/>
  <c r="I253" i="3"/>
  <c r="J253" i="3"/>
  <c r="K253" i="3"/>
  <c r="L253" i="3"/>
  <c r="A254" i="3"/>
  <c r="B254" i="3"/>
  <c r="C254" i="3"/>
  <c r="D254" i="3"/>
  <c r="E254" i="3"/>
  <c r="F254" i="3"/>
  <c r="H254" i="3"/>
  <c r="I254" i="3"/>
  <c r="J254" i="3"/>
  <c r="K254" i="3"/>
  <c r="L254" i="3"/>
  <c r="A255" i="3"/>
  <c r="B255" i="3"/>
  <c r="C255" i="3"/>
  <c r="D255" i="3"/>
  <c r="E255" i="3"/>
  <c r="F255" i="3"/>
  <c r="H255" i="3"/>
  <c r="I255" i="3"/>
  <c r="J255" i="3"/>
  <c r="K255" i="3"/>
  <c r="L255" i="3"/>
  <c r="A256" i="3"/>
  <c r="B256" i="3"/>
  <c r="C256" i="3"/>
  <c r="D256" i="3"/>
  <c r="E256" i="3"/>
  <c r="F256" i="3"/>
  <c r="H256" i="3"/>
  <c r="I256" i="3"/>
  <c r="J256" i="3"/>
  <c r="K256" i="3"/>
  <c r="L256" i="3"/>
  <c r="A257" i="3"/>
  <c r="B257" i="3"/>
  <c r="C257" i="3"/>
  <c r="D257" i="3"/>
  <c r="E257" i="3"/>
  <c r="F257" i="3"/>
  <c r="H257" i="3"/>
  <c r="I257" i="3"/>
  <c r="J257" i="3"/>
  <c r="K257" i="3"/>
  <c r="L257" i="3"/>
  <c r="A258" i="3"/>
  <c r="B258" i="3"/>
  <c r="C258" i="3"/>
  <c r="D258" i="3"/>
  <c r="E258" i="3"/>
  <c r="F258" i="3"/>
  <c r="H258" i="3"/>
  <c r="I258" i="3"/>
  <c r="J258" i="3"/>
  <c r="K258" i="3"/>
  <c r="L258" i="3"/>
  <c r="A259" i="3"/>
  <c r="B259" i="3"/>
  <c r="C259" i="3"/>
  <c r="D259" i="3"/>
  <c r="E259" i="3"/>
  <c r="F259" i="3"/>
  <c r="H259" i="3"/>
  <c r="I259" i="3"/>
  <c r="J259" i="3"/>
  <c r="K259" i="3"/>
  <c r="L259" i="3"/>
  <c r="A260" i="3"/>
  <c r="B260" i="3"/>
  <c r="C260" i="3"/>
  <c r="D260" i="3"/>
  <c r="E260" i="3"/>
  <c r="F260" i="3"/>
  <c r="H260" i="3"/>
  <c r="I260" i="3"/>
  <c r="J260" i="3"/>
  <c r="K260" i="3"/>
  <c r="L260" i="3"/>
  <c r="A261" i="3"/>
  <c r="B261" i="3"/>
  <c r="C261" i="3"/>
  <c r="D261" i="3"/>
  <c r="E261" i="3"/>
  <c r="F261" i="3"/>
  <c r="H261" i="3"/>
  <c r="I261" i="3"/>
  <c r="J261" i="3"/>
  <c r="K261" i="3"/>
  <c r="L261" i="3"/>
  <c r="A262" i="3"/>
  <c r="B262" i="3"/>
  <c r="C262" i="3"/>
  <c r="D262" i="3"/>
  <c r="E262" i="3"/>
  <c r="F262" i="3"/>
  <c r="H262" i="3"/>
  <c r="I262" i="3"/>
  <c r="J262" i="3"/>
  <c r="K262" i="3"/>
  <c r="L262" i="3"/>
  <c r="A263" i="3"/>
  <c r="B263" i="3"/>
  <c r="C263" i="3"/>
  <c r="D263" i="3"/>
  <c r="E263" i="3"/>
  <c r="F263" i="3"/>
  <c r="H263" i="3"/>
  <c r="I263" i="3"/>
  <c r="J263" i="3"/>
  <c r="K263" i="3"/>
  <c r="L263" i="3"/>
  <c r="A264" i="3"/>
  <c r="B264" i="3"/>
  <c r="C264" i="3"/>
  <c r="D264" i="3"/>
  <c r="E264" i="3"/>
  <c r="F264" i="3"/>
  <c r="H264" i="3"/>
  <c r="I264" i="3"/>
  <c r="J264" i="3"/>
  <c r="K264" i="3"/>
  <c r="L264" i="3"/>
  <c r="A265" i="3"/>
  <c r="B265" i="3"/>
  <c r="C265" i="3"/>
  <c r="D265" i="3"/>
  <c r="E265" i="3"/>
  <c r="F265" i="3"/>
  <c r="H265" i="3"/>
  <c r="I265" i="3"/>
  <c r="J265" i="3"/>
  <c r="K265" i="3"/>
  <c r="L265" i="3"/>
  <c r="A266" i="3"/>
  <c r="B266" i="3"/>
  <c r="C266" i="3"/>
  <c r="D266" i="3"/>
  <c r="E266" i="3"/>
  <c r="F266" i="3"/>
  <c r="G266" i="3"/>
  <c r="H266" i="3"/>
  <c r="I266" i="3"/>
  <c r="J266" i="3"/>
  <c r="K266" i="3"/>
  <c r="L266" i="3"/>
  <c r="A267" i="3"/>
  <c r="B267" i="3"/>
  <c r="C267" i="3"/>
  <c r="D267" i="3"/>
  <c r="E267" i="3"/>
  <c r="F267" i="3"/>
  <c r="G267" i="3"/>
  <c r="H267" i="3"/>
  <c r="I267" i="3"/>
  <c r="J267" i="3"/>
  <c r="K267" i="3"/>
  <c r="L267" i="3"/>
  <c r="A268" i="3"/>
  <c r="B268" i="3"/>
  <c r="C268" i="3"/>
  <c r="D268" i="3"/>
  <c r="E268" i="3"/>
  <c r="F268" i="3"/>
  <c r="G268" i="3"/>
  <c r="H268" i="3"/>
  <c r="I268" i="3"/>
  <c r="J268" i="3"/>
  <c r="K268" i="3"/>
  <c r="L268" i="3"/>
  <c r="A269" i="3"/>
  <c r="B269" i="3"/>
  <c r="C269" i="3"/>
  <c r="D269" i="3"/>
  <c r="E269" i="3"/>
  <c r="F269" i="3"/>
  <c r="H269" i="3"/>
  <c r="I269" i="3"/>
  <c r="J269" i="3"/>
  <c r="K269" i="3"/>
  <c r="L269" i="3"/>
  <c r="A270" i="3"/>
  <c r="B270" i="3"/>
  <c r="C270" i="3"/>
  <c r="D270" i="3"/>
  <c r="E270" i="3"/>
  <c r="F270" i="3"/>
  <c r="H270" i="3"/>
  <c r="I270" i="3"/>
  <c r="J270" i="3"/>
  <c r="K270" i="3"/>
  <c r="L270" i="3"/>
  <c r="A271" i="3"/>
  <c r="B271" i="3"/>
  <c r="C271" i="3"/>
  <c r="D271" i="3"/>
  <c r="E271" i="3"/>
  <c r="F271" i="3"/>
  <c r="H271" i="3"/>
  <c r="I271" i="3"/>
  <c r="J271" i="3"/>
  <c r="K271" i="3"/>
  <c r="L271" i="3"/>
  <c r="A272" i="3"/>
  <c r="B272" i="3"/>
  <c r="C272" i="3"/>
  <c r="D272" i="3"/>
  <c r="E272" i="3"/>
  <c r="F272" i="3"/>
  <c r="H272" i="3"/>
  <c r="I272" i="3"/>
  <c r="J272" i="3"/>
  <c r="K272" i="3"/>
  <c r="L272" i="3"/>
  <c r="A273" i="3"/>
  <c r="B273" i="3"/>
  <c r="C273" i="3"/>
  <c r="D273" i="3"/>
  <c r="E273" i="3"/>
  <c r="F273" i="3"/>
  <c r="H273" i="3"/>
  <c r="I273" i="3"/>
  <c r="J273" i="3"/>
  <c r="K273" i="3"/>
  <c r="L273" i="3"/>
  <c r="A274" i="3"/>
  <c r="B274" i="3"/>
  <c r="C274" i="3"/>
  <c r="D274" i="3"/>
  <c r="E274" i="3"/>
  <c r="F274" i="3"/>
  <c r="H274" i="3"/>
  <c r="I274" i="3"/>
  <c r="J274" i="3"/>
  <c r="K274" i="3"/>
  <c r="L274" i="3"/>
  <c r="A275" i="3"/>
  <c r="B275" i="3"/>
  <c r="C275" i="3"/>
  <c r="D275" i="3"/>
  <c r="E275" i="3"/>
  <c r="F275" i="3"/>
  <c r="H275" i="3"/>
  <c r="I275" i="3"/>
  <c r="J275" i="3"/>
  <c r="K275" i="3"/>
  <c r="L275" i="3"/>
  <c r="A276" i="3"/>
  <c r="B276" i="3"/>
  <c r="C276" i="3"/>
  <c r="D276" i="3"/>
  <c r="E276" i="3"/>
  <c r="F276" i="3"/>
  <c r="H276" i="3"/>
  <c r="I276" i="3"/>
  <c r="J276" i="3"/>
  <c r="K276" i="3"/>
  <c r="L276" i="3"/>
  <c r="A277" i="3"/>
  <c r="B277" i="3"/>
  <c r="C277" i="3"/>
  <c r="D277" i="3"/>
  <c r="E277" i="3"/>
  <c r="F277" i="3"/>
  <c r="H277" i="3"/>
  <c r="I277" i="3"/>
  <c r="J277" i="3"/>
  <c r="K277" i="3"/>
  <c r="L277" i="3"/>
  <c r="A278" i="3"/>
  <c r="B278" i="3"/>
  <c r="C278" i="3"/>
  <c r="D278" i="3"/>
  <c r="E278" i="3"/>
  <c r="F278" i="3"/>
  <c r="H278" i="3"/>
  <c r="I278" i="3"/>
  <c r="J278" i="3"/>
  <c r="K278" i="3"/>
  <c r="L278" i="3"/>
  <c r="A279" i="3"/>
  <c r="B279" i="3"/>
  <c r="C279" i="3"/>
  <c r="D279" i="3"/>
  <c r="E279" i="3"/>
  <c r="F279" i="3"/>
  <c r="H279" i="3"/>
  <c r="I279" i="3"/>
  <c r="J279" i="3"/>
  <c r="K279" i="3"/>
  <c r="L279" i="3"/>
  <c r="A280" i="3"/>
  <c r="B280" i="3"/>
  <c r="C280" i="3"/>
  <c r="D280" i="3"/>
  <c r="E280" i="3"/>
  <c r="F280" i="3"/>
  <c r="H280" i="3"/>
  <c r="I280" i="3"/>
  <c r="J280" i="3"/>
  <c r="K280" i="3"/>
  <c r="L280" i="3"/>
  <c r="A281" i="3"/>
  <c r="B281" i="3"/>
  <c r="C281" i="3"/>
  <c r="D281" i="3"/>
  <c r="E281" i="3"/>
  <c r="F281" i="3"/>
  <c r="H281" i="3"/>
  <c r="I281" i="3"/>
  <c r="J281" i="3"/>
  <c r="K281" i="3"/>
  <c r="L281" i="3"/>
  <c r="A282" i="3"/>
  <c r="B282" i="3"/>
  <c r="C282" i="3"/>
  <c r="D282" i="3"/>
  <c r="E282" i="3"/>
  <c r="F282" i="3"/>
  <c r="H282" i="3"/>
  <c r="I282" i="3"/>
  <c r="J282" i="3"/>
  <c r="K282" i="3"/>
  <c r="L282" i="3"/>
  <c r="A283" i="3"/>
  <c r="B283" i="3"/>
  <c r="C283" i="3"/>
  <c r="D283" i="3"/>
  <c r="E283" i="3"/>
  <c r="F283" i="3"/>
  <c r="H283" i="3"/>
  <c r="I283" i="3"/>
  <c r="J283" i="3"/>
  <c r="K283" i="3"/>
  <c r="L283" i="3"/>
  <c r="A284" i="3"/>
  <c r="B284" i="3"/>
  <c r="C284" i="3"/>
  <c r="D284" i="3"/>
  <c r="E284" i="3"/>
  <c r="F284" i="3"/>
  <c r="H284" i="3"/>
  <c r="I284" i="3"/>
  <c r="J284" i="3"/>
  <c r="K284" i="3"/>
  <c r="L284" i="3"/>
  <c r="A285" i="3"/>
  <c r="B285" i="3"/>
  <c r="C285" i="3"/>
  <c r="D285" i="3"/>
  <c r="E285" i="3"/>
  <c r="F285" i="3"/>
  <c r="H285" i="3"/>
  <c r="I285" i="3"/>
  <c r="J285" i="3"/>
  <c r="K285" i="3"/>
  <c r="L285" i="3"/>
  <c r="A286" i="3"/>
  <c r="B286" i="3"/>
  <c r="C286" i="3"/>
  <c r="D286" i="3"/>
  <c r="E286" i="3"/>
  <c r="F286" i="3"/>
  <c r="H286" i="3"/>
  <c r="I286" i="3"/>
  <c r="J286" i="3"/>
  <c r="K286" i="3"/>
  <c r="L286" i="3"/>
  <c r="A287" i="3"/>
  <c r="B287" i="3"/>
  <c r="C287" i="3"/>
  <c r="D287" i="3"/>
  <c r="E287" i="3"/>
  <c r="F287" i="3"/>
  <c r="H287" i="3"/>
  <c r="I287" i="3"/>
  <c r="J287" i="3"/>
  <c r="K287" i="3"/>
  <c r="L287" i="3"/>
  <c r="A288" i="3"/>
  <c r="B288" i="3"/>
  <c r="C288" i="3"/>
  <c r="D288" i="3"/>
  <c r="E288" i="3"/>
  <c r="F288" i="3"/>
  <c r="H288" i="3"/>
  <c r="I288" i="3"/>
  <c r="J288" i="3"/>
  <c r="K288" i="3"/>
  <c r="L288" i="3"/>
  <c r="A289" i="3"/>
  <c r="B289" i="3"/>
  <c r="C289" i="3"/>
  <c r="D289" i="3"/>
  <c r="E289" i="3"/>
  <c r="F289" i="3"/>
  <c r="H289" i="3"/>
  <c r="I289" i="3"/>
  <c r="J289" i="3"/>
  <c r="K289" i="3"/>
  <c r="L289" i="3"/>
  <c r="A290" i="3"/>
  <c r="B290" i="3"/>
  <c r="C290" i="3"/>
  <c r="D290" i="3"/>
  <c r="E290" i="3"/>
  <c r="F290" i="3"/>
  <c r="H290" i="3"/>
  <c r="I290" i="3"/>
  <c r="J290" i="3"/>
  <c r="K290" i="3"/>
  <c r="L290" i="3"/>
  <c r="A291" i="3"/>
  <c r="B291" i="3"/>
  <c r="C291" i="3"/>
  <c r="D291" i="3"/>
  <c r="E291" i="3"/>
  <c r="F291" i="3"/>
  <c r="H291" i="3"/>
  <c r="I291" i="3"/>
  <c r="J291" i="3"/>
  <c r="K291" i="3"/>
  <c r="L291" i="3"/>
  <c r="A292" i="3"/>
  <c r="B292" i="3"/>
  <c r="C292" i="3"/>
  <c r="D292" i="3"/>
  <c r="E292" i="3"/>
  <c r="F292" i="3"/>
  <c r="H292" i="3"/>
  <c r="I292" i="3"/>
  <c r="J292" i="3"/>
  <c r="K292" i="3"/>
  <c r="L292" i="3"/>
  <c r="A293" i="3"/>
  <c r="B293" i="3"/>
  <c r="C293" i="3"/>
  <c r="D293" i="3"/>
  <c r="E293" i="3"/>
  <c r="F293" i="3"/>
  <c r="H293" i="3"/>
  <c r="I293" i="3"/>
  <c r="J293" i="3"/>
  <c r="K293" i="3"/>
  <c r="L293" i="3"/>
  <c r="A294" i="3"/>
  <c r="B294" i="3"/>
  <c r="C294" i="3"/>
  <c r="D294" i="3"/>
  <c r="E294" i="3"/>
  <c r="F294" i="3"/>
  <c r="H294" i="3"/>
  <c r="I294" i="3"/>
  <c r="J294" i="3"/>
  <c r="K294" i="3"/>
  <c r="L294" i="3"/>
  <c r="A295" i="3"/>
  <c r="B295" i="3"/>
  <c r="C295" i="3"/>
  <c r="D295" i="3"/>
  <c r="E295" i="3"/>
  <c r="F295" i="3"/>
  <c r="H295" i="3"/>
  <c r="I295" i="3"/>
  <c r="J295" i="3"/>
  <c r="K295" i="3"/>
  <c r="L295" i="3"/>
  <c r="A296" i="3"/>
  <c r="B296" i="3"/>
  <c r="C296" i="3"/>
  <c r="D296" i="3"/>
  <c r="E296" i="3"/>
  <c r="F296" i="3"/>
  <c r="H296" i="3"/>
  <c r="I296" i="3"/>
  <c r="J296" i="3"/>
  <c r="K296" i="3"/>
  <c r="L296" i="3"/>
  <c r="A297" i="3"/>
  <c r="B297" i="3"/>
  <c r="C297" i="3"/>
  <c r="D297" i="3"/>
  <c r="E297" i="3"/>
  <c r="F297" i="3"/>
  <c r="H297" i="3"/>
  <c r="I297" i="3"/>
  <c r="J297" i="3"/>
  <c r="K297" i="3"/>
  <c r="L297" i="3"/>
  <c r="A298" i="3"/>
  <c r="B298" i="3"/>
  <c r="C298" i="3"/>
  <c r="D298" i="3"/>
  <c r="E298" i="3"/>
  <c r="F298" i="3"/>
  <c r="H298" i="3"/>
  <c r="I298" i="3"/>
  <c r="J298" i="3"/>
  <c r="K298" i="3"/>
  <c r="L298" i="3"/>
  <c r="A299" i="3"/>
  <c r="B299" i="3"/>
  <c r="C299" i="3"/>
  <c r="D299" i="3"/>
  <c r="E299" i="3"/>
  <c r="F299" i="3"/>
  <c r="H299" i="3"/>
  <c r="I299" i="3"/>
  <c r="J299" i="3"/>
  <c r="K299" i="3"/>
  <c r="L299" i="3"/>
  <c r="A300" i="3"/>
  <c r="B300" i="3"/>
  <c r="C300" i="3"/>
  <c r="D300" i="3"/>
  <c r="E300" i="3"/>
  <c r="F300" i="3"/>
  <c r="H300" i="3"/>
  <c r="I300" i="3"/>
  <c r="J300" i="3"/>
  <c r="K300" i="3"/>
  <c r="L300" i="3"/>
  <c r="A301" i="3"/>
  <c r="B301" i="3"/>
  <c r="C301" i="3"/>
  <c r="D301" i="3"/>
  <c r="E301" i="3"/>
  <c r="F301" i="3"/>
  <c r="H301" i="3"/>
  <c r="I301" i="3"/>
  <c r="J301" i="3"/>
  <c r="K301" i="3"/>
  <c r="L301" i="3"/>
  <c r="A302" i="3"/>
  <c r="B302" i="3"/>
  <c r="C302" i="3"/>
  <c r="D302" i="3"/>
  <c r="E302" i="3"/>
  <c r="F302" i="3"/>
  <c r="H302" i="3"/>
  <c r="I302" i="3"/>
  <c r="J302" i="3"/>
  <c r="K302" i="3"/>
  <c r="L302" i="3"/>
  <c r="A303" i="3"/>
  <c r="B303" i="3"/>
  <c r="C303" i="3"/>
  <c r="D303" i="3"/>
  <c r="E303" i="3"/>
  <c r="F303" i="3"/>
  <c r="H303" i="3"/>
  <c r="I303" i="3"/>
  <c r="J303" i="3"/>
  <c r="K303" i="3"/>
  <c r="L303" i="3"/>
  <c r="A304" i="3"/>
  <c r="B304" i="3"/>
  <c r="C304" i="3"/>
  <c r="D304" i="3"/>
  <c r="E304" i="3"/>
  <c r="F304" i="3"/>
  <c r="H304" i="3"/>
  <c r="I304" i="3"/>
  <c r="J304" i="3"/>
  <c r="K304" i="3"/>
  <c r="L304" i="3"/>
  <c r="A305" i="3"/>
  <c r="B305" i="3"/>
  <c r="C305" i="3"/>
  <c r="D305" i="3"/>
  <c r="E305" i="3"/>
  <c r="F305" i="3"/>
  <c r="H305" i="3"/>
  <c r="I305" i="3"/>
  <c r="J305" i="3"/>
  <c r="K305" i="3"/>
  <c r="L305" i="3"/>
  <c r="A306" i="3"/>
  <c r="B306" i="3"/>
  <c r="C306" i="3"/>
  <c r="D306" i="3"/>
  <c r="E306" i="3"/>
  <c r="F306" i="3"/>
  <c r="H306" i="3"/>
  <c r="I306" i="3"/>
  <c r="J306" i="3"/>
  <c r="K306" i="3"/>
  <c r="L306" i="3"/>
  <c r="A307" i="3"/>
  <c r="B307" i="3"/>
  <c r="C307" i="3"/>
  <c r="D307" i="3"/>
  <c r="E307" i="3"/>
  <c r="F307" i="3"/>
  <c r="H307" i="3"/>
  <c r="I307" i="3"/>
  <c r="J307" i="3"/>
  <c r="K307" i="3"/>
  <c r="L307" i="3"/>
  <c r="A308" i="3"/>
  <c r="B308" i="3"/>
  <c r="C308" i="3"/>
  <c r="D308" i="3"/>
  <c r="E308" i="3"/>
  <c r="F308" i="3"/>
  <c r="H308" i="3"/>
  <c r="I308" i="3"/>
  <c r="J308" i="3"/>
  <c r="K308" i="3"/>
  <c r="L308" i="3"/>
  <c r="A309" i="3"/>
  <c r="B309" i="3"/>
  <c r="C309" i="3"/>
  <c r="D309" i="3"/>
  <c r="E309" i="3"/>
  <c r="F309" i="3"/>
  <c r="H309" i="3"/>
  <c r="I309" i="3"/>
  <c r="J309" i="3"/>
  <c r="K309" i="3"/>
  <c r="L309" i="3"/>
  <c r="A310" i="3"/>
  <c r="B310" i="3"/>
  <c r="C310" i="3"/>
  <c r="D310" i="3"/>
  <c r="E310" i="3"/>
  <c r="F310" i="3"/>
  <c r="H310" i="3"/>
  <c r="I310" i="3"/>
  <c r="J310" i="3"/>
  <c r="K310" i="3"/>
  <c r="L310" i="3"/>
  <c r="A311" i="3"/>
  <c r="B311" i="3"/>
  <c r="C311" i="3"/>
  <c r="D311" i="3"/>
  <c r="E311" i="3"/>
  <c r="F311" i="3"/>
  <c r="H311" i="3"/>
  <c r="I311" i="3"/>
  <c r="J311" i="3"/>
  <c r="K311" i="3"/>
  <c r="L311" i="3"/>
  <c r="A312" i="3"/>
  <c r="B312" i="3"/>
  <c r="C312" i="3"/>
  <c r="D312" i="3"/>
  <c r="E312" i="3"/>
  <c r="F312" i="3"/>
  <c r="H312" i="3"/>
  <c r="I312" i="3"/>
  <c r="J312" i="3"/>
  <c r="K312" i="3"/>
  <c r="L312" i="3"/>
  <c r="A313" i="3"/>
  <c r="B313" i="3"/>
  <c r="C313" i="3"/>
  <c r="D313" i="3"/>
  <c r="E313" i="3"/>
  <c r="F313" i="3"/>
  <c r="H313" i="3"/>
  <c r="I313" i="3"/>
  <c r="J313" i="3"/>
  <c r="K313" i="3"/>
  <c r="L313" i="3"/>
  <c r="A314" i="3"/>
  <c r="B314" i="3"/>
  <c r="C314" i="3"/>
  <c r="D314" i="3"/>
  <c r="E314" i="3"/>
  <c r="F314" i="3"/>
  <c r="H314" i="3"/>
  <c r="I314" i="3"/>
  <c r="J314" i="3"/>
  <c r="K314" i="3"/>
  <c r="L314" i="3"/>
  <c r="A315" i="3"/>
  <c r="B315" i="3"/>
  <c r="C315" i="3"/>
  <c r="D315" i="3"/>
  <c r="E315" i="3"/>
  <c r="F315" i="3"/>
  <c r="H315" i="3"/>
  <c r="I315" i="3"/>
  <c r="J315" i="3"/>
  <c r="K315" i="3"/>
  <c r="L315" i="3"/>
  <c r="A316" i="3"/>
  <c r="B316" i="3"/>
  <c r="C316" i="3"/>
  <c r="D316" i="3"/>
  <c r="E316" i="3"/>
  <c r="F316" i="3"/>
  <c r="H316" i="3"/>
  <c r="I316" i="3"/>
  <c r="J316" i="3"/>
  <c r="K316" i="3"/>
  <c r="L316" i="3"/>
  <c r="A317" i="3"/>
  <c r="B317" i="3"/>
  <c r="C317" i="3"/>
  <c r="D317" i="3"/>
  <c r="E317" i="3"/>
  <c r="F317" i="3"/>
  <c r="H317" i="3"/>
  <c r="I317" i="3"/>
  <c r="J317" i="3"/>
  <c r="K317" i="3"/>
  <c r="L317" i="3"/>
  <c r="A318" i="3"/>
  <c r="B318" i="3"/>
  <c r="C318" i="3"/>
  <c r="D318" i="3"/>
  <c r="E318" i="3"/>
  <c r="F318" i="3"/>
  <c r="H318" i="3"/>
  <c r="I318" i="3"/>
  <c r="J318" i="3"/>
  <c r="K318" i="3"/>
  <c r="L318" i="3"/>
  <c r="A319" i="3"/>
  <c r="B319" i="3"/>
  <c r="C319" i="3"/>
  <c r="D319" i="3"/>
  <c r="E319" i="3"/>
  <c r="F319" i="3"/>
  <c r="H319" i="3"/>
  <c r="I319" i="3"/>
  <c r="J319" i="3"/>
  <c r="K319" i="3"/>
  <c r="L319" i="3"/>
  <c r="A320" i="3"/>
  <c r="B320" i="3"/>
  <c r="C320" i="3"/>
  <c r="D320" i="3"/>
  <c r="E320" i="3"/>
  <c r="F320" i="3"/>
  <c r="H320" i="3"/>
  <c r="I320" i="3"/>
  <c r="J320" i="3"/>
  <c r="K320" i="3"/>
  <c r="L320" i="3"/>
  <c r="A321" i="3"/>
  <c r="B321" i="3"/>
  <c r="C321" i="3"/>
  <c r="D321" i="3"/>
  <c r="E321" i="3"/>
  <c r="F321" i="3"/>
  <c r="H321" i="3"/>
  <c r="I321" i="3"/>
  <c r="J321" i="3"/>
  <c r="K321" i="3"/>
  <c r="L321" i="3"/>
  <c r="A322" i="3"/>
  <c r="B322" i="3"/>
  <c r="C322" i="3"/>
  <c r="D322" i="3"/>
  <c r="E322" i="3"/>
  <c r="F322" i="3"/>
  <c r="H322" i="3"/>
  <c r="I322" i="3"/>
  <c r="J322" i="3"/>
  <c r="K322" i="3"/>
  <c r="L322" i="3"/>
  <c r="A323" i="3"/>
  <c r="B323" i="3"/>
  <c r="C323" i="3"/>
  <c r="D323" i="3"/>
  <c r="E323" i="3"/>
  <c r="F323" i="3"/>
  <c r="H323" i="3"/>
  <c r="I323" i="3"/>
  <c r="J323" i="3"/>
  <c r="K323" i="3"/>
  <c r="L323" i="3"/>
  <c r="A324" i="3"/>
  <c r="B324" i="3"/>
  <c r="C324" i="3"/>
  <c r="D324" i="3"/>
  <c r="E324" i="3"/>
  <c r="F324" i="3"/>
  <c r="H324" i="3"/>
  <c r="I324" i="3"/>
  <c r="J324" i="3"/>
  <c r="K324" i="3"/>
  <c r="L324" i="3"/>
  <c r="A325" i="3"/>
  <c r="B325" i="3"/>
  <c r="C325" i="3"/>
  <c r="D325" i="3"/>
  <c r="E325" i="3"/>
  <c r="F325" i="3"/>
  <c r="H325" i="3"/>
  <c r="I325" i="3"/>
  <c r="J325" i="3"/>
  <c r="K325" i="3"/>
  <c r="L325" i="3"/>
  <c r="A326" i="3"/>
  <c r="B326" i="3"/>
  <c r="C326" i="3"/>
  <c r="D326" i="3"/>
  <c r="E326" i="3"/>
  <c r="F326" i="3"/>
  <c r="H326" i="3"/>
  <c r="I326" i="3"/>
  <c r="J326" i="3"/>
  <c r="K326" i="3"/>
  <c r="L326" i="3"/>
  <c r="A327" i="3"/>
  <c r="B327" i="3"/>
  <c r="C327" i="3"/>
  <c r="D327" i="3"/>
  <c r="E327" i="3"/>
  <c r="F327" i="3"/>
  <c r="H327" i="3"/>
  <c r="I327" i="3"/>
  <c r="J327" i="3"/>
  <c r="K327" i="3"/>
  <c r="L327" i="3"/>
  <c r="A328" i="3"/>
  <c r="B328" i="3"/>
  <c r="C328" i="3"/>
  <c r="D328" i="3"/>
  <c r="E328" i="3"/>
  <c r="F328" i="3"/>
  <c r="H328" i="3"/>
  <c r="I328" i="3"/>
  <c r="J328" i="3"/>
  <c r="K328" i="3"/>
  <c r="L328" i="3"/>
  <c r="A329" i="3"/>
  <c r="B329" i="3"/>
  <c r="C329" i="3"/>
  <c r="D329" i="3"/>
  <c r="E329" i="3"/>
  <c r="F329" i="3"/>
  <c r="H329" i="3"/>
  <c r="I329" i="3"/>
  <c r="J329" i="3"/>
  <c r="K329" i="3"/>
  <c r="L329" i="3"/>
  <c r="A330" i="3"/>
  <c r="B330" i="3"/>
  <c r="C330" i="3"/>
  <c r="D330" i="3"/>
  <c r="E330" i="3"/>
  <c r="F330" i="3"/>
  <c r="H330" i="3"/>
  <c r="I330" i="3"/>
  <c r="J330" i="3"/>
  <c r="K330" i="3"/>
  <c r="L330" i="3"/>
  <c r="A331" i="3"/>
  <c r="B331" i="3"/>
  <c r="C331" i="3"/>
  <c r="D331" i="3"/>
  <c r="E331" i="3"/>
  <c r="F331" i="3"/>
  <c r="H331" i="3"/>
  <c r="I331" i="3"/>
  <c r="J331" i="3"/>
  <c r="K331" i="3"/>
  <c r="L331" i="3"/>
  <c r="A332" i="3"/>
  <c r="B332" i="3"/>
  <c r="C332" i="3"/>
  <c r="D332" i="3"/>
  <c r="E332" i="3"/>
  <c r="F332" i="3"/>
  <c r="H332" i="3"/>
  <c r="I332" i="3"/>
  <c r="J332" i="3"/>
  <c r="K332" i="3"/>
  <c r="L332" i="3"/>
  <c r="A333" i="3"/>
  <c r="B333" i="3"/>
  <c r="C333" i="3"/>
  <c r="D333" i="3"/>
  <c r="E333" i="3"/>
  <c r="F333" i="3"/>
  <c r="H333" i="3"/>
  <c r="I333" i="3"/>
  <c r="J333" i="3"/>
  <c r="K333" i="3"/>
  <c r="L333" i="3"/>
  <c r="J171" i="2"/>
  <c r="N171" i="2" s="1"/>
  <c r="I171" i="2"/>
  <c r="H171" i="2"/>
  <c r="G171" i="2"/>
  <c r="J167" i="2"/>
  <c r="N167" i="2" s="1"/>
  <c r="I167" i="2"/>
  <c r="H167" i="2"/>
  <c r="G167" i="2"/>
  <c r="J363" i="2"/>
  <c r="N363" i="2" s="1"/>
  <c r="I363" i="2"/>
  <c r="H363" i="2"/>
  <c r="G363" i="2"/>
  <c r="G356" i="3" s="1"/>
  <c r="J272" i="2"/>
  <c r="N272" i="2" s="1"/>
  <c r="I272" i="2"/>
  <c r="H272" i="2"/>
  <c r="G272" i="2"/>
  <c r="G265" i="3" s="1"/>
  <c r="J343" i="2"/>
  <c r="N343" i="2" s="1"/>
  <c r="I343" i="2"/>
  <c r="H343" i="2"/>
  <c r="G343" i="2"/>
  <c r="G336" i="3" s="1"/>
  <c r="J279" i="2"/>
  <c r="N279" i="2" s="1"/>
  <c r="I279" i="2"/>
  <c r="H279" i="2"/>
  <c r="G279" i="2"/>
  <c r="G272" i="3" s="1"/>
  <c r="J264" i="2"/>
  <c r="N264" i="2" s="1"/>
  <c r="I264" i="2"/>
  <c r="H264" i="2"/>
  <c r="G264" i="2"/>
  <c r="G257" i="3" s="1"/>
  <c r="J254" i="2"/>
  <c r="N254" i="2" s="1"/>
  <c r="I254" i="2"/>
  <c r="H254" i="2"/>
  <c r="G254" i="2"/>
  <c r="G247" i="3" s="1"/>
  <c r="J251" i="2"/>
  <c r="N251" i="2" s="1"/>
  <c r="I251" i="2"/>
  <c r="H251" i="2"/>
  <c r="G251" i="2"/>
  <c r="G244" i="3" s="1"/>
  <c r="J250" i="2"/>
  <c r="N250" i="2" s="1"/>
  <c r="I250" i="2"/>
  <c r="H250" i="2"/>
  <c r="G250" i="2"/>
  <c r="G243" i="3" s="1"/>
  <c r="J245" i="2"/>
  <c r="N245" i="2" s="1"/>
  <c r="I245" i="2"/>
  <c r="H245" i="2"/>
  <c r="G245" i="2"/>
  <c r="G238" i="3" s="1"/>
  <c r="J236" i="2"/>
  <c r="M236" i="2" s="1"/>
  <c r="I236" i="2"/>
  <c r="H236" i="2"/>
  <c r="G236" i="2"/>
  <c r="G229" i="3" s="1"/>
  <c r="J229" i="2"/>
  <c r="N229" i="2" s="1"/>
  <c r="I229" i="2"/>
  <c r="H229" i="2"/>
  <c r="G229" i="2"/>
  <c r="G222" i="3" s="1"/>
  <c r="J226" i="2"/>
  <c r="N226" i="2" s="1"/>
  <c r="I226" i="2"/>
  <c r="H226" i="2"/>
  <c r="G226" i="2"/>
  <c r="G219" i="3" s="1"/>
  <c r="J218" i="2"/>
  <c r="N218" i="2" s="1"/>
  <c r="I218" i="2"/>
  <c r="H218" i="2"/>
  <c r="G218" i="2"/>
  <c r="G211" i="3" s="1"/>
  <c r="J221" i="2"/>
  <c r="N221" i="2" s="1"/>
  <c r="I221" i="2"/>
  <c r="H221" i="2"/>
  <c r="G221" i="2"/>
  <c r="G214" i="3" s="1"/>
  <c r="J214" i="2"/>
  <c r="N214" i="2" s="1"/>
  <c r="I214" i="2"/>
  <c r="H214" i="2"/>
  <c r="G214" i="2"/>
  <c r="G207" i="3" s="1"/>
  <c r="J207" i="2"/>
  <c r="N207" i="2" s="1"/>
  <c r="I207" i="2"/>
  <c r="H207" i="2"/>
  <c r="G207" i="2"/>
  <c r="G200" i="3" s="1"/>
  <c r="J204" i="2"/>
  <c r="N204" i="2" s="1"/>
  <c r="I204" i="2"/>
  <c r="H204" i="2"/>
  <c r="G204" i="2"/>
  <c r="G197" i="3" s="1"/>
  <c r="G205" i="2"/>
  <c r="H205" i="2"/>
  <c r="I205" i="2"/>
  <c r="J205" i="2"/>
  <c r="J201" i="2"/>
  <c r="N201" i="2" s="1"/>
  <c r="I201" i="2"/>
  <c r="H201" i="2"/>
  <c r="G201" i="2"/>
  <c r="G194" i="3" s="1"/>
  <c r="J198" i="2"/>
  <c r="N198" i="2" s="1"/>
  <c r="I198" i="2"/>
  <c r="H198" i="2"/>
  <c r="G198" i="2"/>
  <c r="G191" i="3" s="1"/>
  <c r="J196" i="2"/>
  <c r="N196" i="2" s="1"/>
  <c r="I196" i="2"/>
  <c r="H196" i="2"/>
  <c r="G196" i="2"/>
  <c r="G189" i="3" s="1"/>
  <c r="J191" i="2"/>
  <c r="N191" i="2" s="1"/>
  <c r="I191" i="2"/>
  <c r="H191" i="2"/>
  <c r="G191" i="2"/>
  <c r="G184" i="3" s="1"/>
  <c r="J190" i="2"/>
  <c r="M190" i="2" s="1"/>
  <c r="I190" i="2"/>
  <c r="H190" i="2"/>
  <c r="G190" i="2"/>
  <c r="G183" i="3" s="1"/>
  <c r="J177" i="2"/>
  <c r="N177" i="2" s="1"/>
  <c r="I177" i="2"/>
  <c r="H177" i="2"/>
  <c r="G177" i="2"/>
  <c r="G170" i="3" s="1"/>
  <c r="J175" i="2"/>
  <c r="N175" i="2" s="1"/>
  <c r="I175" i="2"/>
  <c r="H175" i="2"/>
  <c r="G175" i="2"/>
  <c r="G168" i="3" s="1"/>
  <c r="J162" i="2"/>
  <c r="M162" i="2" s="1"/>
  <c r="I162" i="2"/>
  <c r="H162" i="2"/>
  <c r="G162" i="2"/>
  <c r="G155" i="3" s="1"/>
  <c r="J157" i="2"/>
  <c r="N157" i="2" s="1"/>
  <c r="I157" i="2"/>
  <c r="H157" i="2"/>
  <c r="G157" i="2"/>
  <c r="G150" i="3" s="1"/>
  <c r="J153" i="2"/>
  <c r="N153" i="2" s="1"/>
  <c r="I153" i="2"/>
  <c r="H153" i="2"/>
  <c r="G153" i="2"/>
  <c r="G146" i="3" s="1"/>
  <c r="J151" i="2"/>
  <c r="N151" i="2" s="1"/>
  <c r="I151" i="2"/>
  <c r="H151" i="2"/>
  <c r="G151" i="2"/>
  <c r="G144" i="3" s="1"/>
  <c r="J148" i="2"/>
  <c r="N148" i="2" s="1"/>
  <c r="I148" i="2"/>
  <c r="H148" i="2"/>
  <c r="G148" i="2"/>
  <c r="G141" i="3" s="1"/>
  <c r="J144" i="2"/>
  <c r="M144" i="2" s="1"/>
  <c r="I144" i="2"/>
  <c r="H144" i="2"/>
  <c r="G144" i="2"/>
  <c r="G137" i="3" s="1"/>
  <c r="J141" i="2"/>
  <c r="N141" i="2" s="1"/>
  <c r="I141" i="2"/>
  <c r="H141" i="2"/>
  <c r="G141" i="2"/>
  <c r="G134" i="3" s="1"/>
  <c r="J134" i="2"/>
  <c r="N134" i="2" s="1"/>
  <c r="I134" i="2"/>
  <c r="H134" i="2"/>
  <c r="G134" i="2"/>
  <c r="G127" i="3" s="1"/>
  <c r="J125" i="2"/>
  <c r="N125" i="2" s="1"/>
  <c r="I125" i="2"/>
  <c r="H125" i="2"/>
  <c r="G125" i="2"/>
  <c r="G118" i="3" s="1"/>
  <c r="J117" i="2"/>
  <c r="N117" i="2" s="1"/>
  <c r="I117" i="2"/>
  <c r="H117" i="2"/>
  <c r="G117" i="2"/>
  <c r="G110" i="3" s="1"/>
  <c r="J115" i="2"/>
  <c r="N115" i="2" s="1"/>
  <c r="I115" i="2"/>
  <c r="H115" i="2"/>
  <c r="G115" i="2"/>
  <c r="G108" i="3" s="1"/>
  <c r="J112" i="2"/>
  <c r="N112" i="2" s="1"/>
  <c r="I112" i="2"/>
  <c r="H112" i="2"/>
  <c r="G112" i="2"/>
  <c r="G105" i="3" s="1"/>
  <c r="J111" i="2"/>
  <c r="N111" i="2" s="1"/>
  <c r="I111" i="2"/>
  <c r="H111" i="2"/>
  <c r="G111" i="2"/>
  <c r="G104" i="3" s="1"/>
  <c r="J108" i="2"/>
  <c r="N108" i="2" s="1"/>
  <c r="I108" i="2"/>
  <c r="H108" i="2"/>
  <c r="J104" i="2"/>
  <c r="N104" i="2" s="1"/>
  <c r="I104" i="2"/>
  <c r="H104" i="2"/>
  <c r="G104" i="2"/>
  <c r="G97" i="3" s="1"/>
  <c r="J102" i="2"/>
  <c r="N102" i="2" s="1"/>
  <c r="I102" i="2"/>
  <c r="H102" i="2"/>
  <c r="J97" i="2"/>
  <c r="N97" i="2" s="1"/>
  <c r="I97" i="2"/>
  <c r="H97" i="2"/>
  <c r="J81" i="2"/>
  <c r="N81" i="2" s="1"/>
  <c r="I81" i="2"/>
  <c r="H81" i="2"/>
  <c r="J19" i="2"/>
  <c r="N19" i="2" s="1"/>
  <c r="I19" i="2"/>
  <c r="H19" i="2"/>
  <c r="G19" i="2"/>
  <c r="G12" i="3" s="1"/>
  <c r="J24" i="2"/>
  <c r="N24" i="2" s="1"/>
  <c r="I24" i="2"/>
  <c r="H24" i="2"/>
  <c r="J9" i="2"/>
  <c r="J2" i="3" s="1"/>
  <c r="E15" i="26"/>
  <c r="E14" i="26"/>
  <c r="E8" i="26"/>
  <c r="Y200" i="14"/>
  <c r="X200" i="14"/>
  <c r="W200" i="14"/>
  <c r="U200" i="14"/>
  <c r="P200" i="14"/>
  <c r="O200" i="14"/>
  <c r="N200" i="14"/>
  <c r="M200" i="14"/>
  <c r="L200" i="14"/>
  <c r="K200" i="14"/>
  <c r="J200" i="14"/>
  <c r="I200" i="14"/>
  <c r="H200" i="14"/>
  <c r="F200" i="14"/>
  <c r="E200" i="14"/>
  <c r="D200" i="14"/>
  <c r="A200" i="14"/>
  <c r="Y199" i="14"/>
  <c r="X199" i="14"/>
  <c r="W199" i="14"/>
  <c r="U199" i="14"/>
  <c r="P199" i="14"/>
  <c r="O199" i="14"/>
  <c r="N199" i="14"/>
  <c r="M199" i="14"/>
  <c r="L199" i="14"/>
  <c r="K199" i="14"/>
  <c r="J199" i="14"/>
  <c r="I199" i="14"/>
  <c r="H199" i="14"/>
  <c r="F199" i="14"/>
  <c r="E199" i="14"/>
  <c r="D199" i="14"/>
  <c r="A199" i="14"/>
  <c r="Y198" i="14"/>
  <c r="X198" i="14"/>
  <c r="W198" i="14"/>
  <c r="U198" i="14"/>
  <c r="P198" i="14"/>
  <c r="O198" i="14"/>
  <c r="N198" i="14"/>
  <c r="M198" i="14"/>
  <c r="L198" i="14"/>
  <c r="K198" i="14"/>
  <c r="J198" i="14"/>
  <c r="I198" i="14"/>
  <c r="H198" i="14"/>
  <c r="F198" i="14"/>
  <c r="E198" i="14"/>
  <c r="D198" i="14"/>
  <c r="A198" i="14"/>
  <c r="Y197" i="14"/>
  <c r="X197" i="14"/>
  <c r="W197" i="14"/>
  <c r="U197" i="14"/>
  <c r="P197" i="14"/>
  <c r="O197" i="14"/>
  <c r="N197" i="14"/>
  <c r="M197" i="14"/>
  <c r="L197" i="14"/>
  <c r="K197" i="14"/>
  <c r="J197" i="14"/>
  <c r="I197" i="14"/>
  <c r="H197" i="14"/>
  <c r="F197" i="14"/>
  <c r="E197" i="14"/>
  <c r="D197" i="14"/>
  <c r="A197" i="14"/>
  <c r="Y196" i="14"/>
  <c r="X196" i="14"/>
  <c r="W196" i="14"/>
  <c r="U196" i="14"/>
  <c r="P196" i="14"/>
  <c r="O196" i="14"/>
  <c r="N196" i="14"/>
  <c r="M196" i="14"/>
  <c r="L196" i="14"/>
  <c r="K196" i="14"/>
  <c r="J196" i="14"/>
  <c r="I196" i="14"/>
  <c r="H196" i="14"/>
  <c r="F196" i="14"/>
  <c r="E196" i="14"/>
  <c r="D196" i="14"/>
  <c r="A196" i="14"/>
  <c r="Y195" i="14"/>
  <c r="X195" i="14"/>
  <c r="W195" i="14"/>
  <c r="U195" i="14"/>
  <c r="P195" i="14"/>
  <c r="O195" i="14"/>
  <c r="N195" i="14"/>
  <c r="M195" i="14"/>
  <c r="L195" i="14"/>
  <c r="K195" i="14"/>
  <c r="J195" i="14"/>
  <c r="I195" i="14"/>
  <c r="H195" i="14"/>
  <c r="F195" i="14"/>
  <c r="E195" i="14"/>
  <c r="D195" i="14"/>
  <c r="A195" i="14"/>
  <c r="Y194" i="14"/>
  <c r="X194" i="14"/>
  <c r="W194" i="14"/>
  <c r="U194" i="14"/>
  <c r="P194" i="14"/>
  <c r="O194" i="14"/>
  <c r="N194" i="14"/>
  <c r="M194" i="14"/>
  <c r="L194" i="14"/>
  <c r="K194" i="14"/>
  <c r="J194" i="14"/>
  <c r="I194" i="14"/>
  <c r="H194" i="14"/>
  <c r="F194" i="14"/>
  <c r="E194" i="14"/>
  <c r="D194" i="14"/>
  <c r="A194" i="14"/>
  <c r="L2" i="3"/>
  <c r="K2" i="3"/>
  <c r="F2" i="3"/>
  <c r="E2" i="3"/>
  <c r="D2" i="3"/>
  <c r="C2" i="3"/>
  <c r="B2" i="3"/>
  <c r="A2" i="3"/>
  <c r="J368" i="2"/>
  <c r="N368" i="2" s="1"/>
  <c r="I368" i="2"/>
  <c r="H368" i="2"/>
  <c r="G368" i="2"/>
  <c r="G361" i="3" s="1"/>
  <c r="J367" i="2"/>
  <c r="N367" i="2" s="1"/>
  <c r="I367" i="2"/>
  <c r="H367" i="2"/>
  <c r="G367" i="2"/>
  <c r="G360" i="3" s="1"/>
  <c r="J366" i="2"/>
  <c r="N366" i="2" s="1"/>
  <c r="I366" i="2"/>
  <c r="H366" i="2"/>
  <c r="G366" i="2"/>
  <c r="G359" i="3" s="1"/>
  <c r="J365" i="2"/>
  <c r="N365" i="2" s="1"/>
  <c r="I365" i="2"/>
  <c r="H365" i="2"/>
  <c r="G365" i="2"/>
  <c r="G358" i="3" s="1"/>
  <c r="J364" i="2"/>
  <c r="N364" i="2" s="1"/>
  <c r="I364" i="2"/>
  <c r="H364" i="2"/>
  <c r="G364" i="2"/>
  <c r="G357" i="3" s="1"/>
  <c r="J362" i="2"/>
  <c r="M362" i="2" s="1"/>
  <c r="I362" i="2"/>
  <c r="H362" i="2"/>
  <c r="G362" i="2"/>
  <c r="G355" i="3" s="1"/>
  <c r="J361" i="2"/>
  <c r="N361" i="2" s="1"/>
  <c r="I361" i="2"/>
  <c r="H361" i="2"/>
  <c r="G361" i="2"/>
  <c r="G354" i="3" s="1"/>
  <c r="J360" i="2"/>
  <c r="N360" i="2" s="1"/>
  <c r="I360" i="2"/>
  <c r="H360" i="2"/>
  <c r="G360" i="2"/>
  <c r="G353" i="3" s="1"/>
  <c r="J359" i="2"/>
  <c r="N359" i="2" s="1"/>
  <c r="I359" i="2"/>
  <c r="H359" i="2"/>
  <c r="G359" i="2"/>
  <c r="G352" i="3" s="1"/>
  <c r="J358" i="2"/>
  <c r="N358" i="2" s="1"/>
  <c r="I358" i="2"/>
  <c r="H358" i="2"/>
  <c r="G358" i="2"/>
  <c r="G351" i="3" s="1"/>
  <c r="J357" i="2"/>
  <c r="N357" i="2" s="1"/>
  <c r="I357" i="2"/>
  <c r="H357" i="2"/>
  <c r="G357" i="2"/>
  <c r="G350" i="3" s="1"/>
  <c r="J356" i="2"/>
  <c r="N356" i="2" s="1"/>
  <c r="I356" i="2"/>
  <c r="H356" i="2"/>
  <c r="G356" i="2"/>
  <c r="G349" i="3" s="1"/>
  <c r="J355" i="2"/>
  <c r="M355" i="2" s="1"/>
  <c r="I355" i="2"/>
  <c r="H355" i="2"/>
  <c r="G355" i="2"/>
  <c r="G348" i="3" s="1"/>
  <c r="J354" i="2"/>
  <c r="N354" i="2" s="1"/>
  <c r="I354" i="2"/>
  <c r="H354" i="2"/>
  <c r="G354" i="2"/>
  <c r="G347" i="3" s="1"/>
  <c r="J353" i="2"/>
  <c r="N353" i="2" s="1"/>
  <c r="I353" i="2"/>
  <c r="H353" i="2"/>
  <c r="G353" i="2"/>
  <c r="G346" i="3" s="1"/>
  <c r="J352" i="2"/>
  <c r="N352" i="2" s="1"/>
  <c r="I352" i="2"/>
  <c r="H352" i="2"/>
  <c r="G352" i="2"/>
  <c r="G345" i="3" s="1"/>
  <c r="J351" i="2"/>
  <c r="N351" i="2" s="1"/>
  <c r="I351" i="2"/>
  <c r="H351" i="2"/>
  <c r="G351" i="2"/>
  <c r="G344" i="3" s="1"/>
  <c r="J350" i="2"/>
  <c r="N350" i="2" s="1"/>
  <c r="I350" i="2"/>
  <c r="H350" i="2"/>
  <c r="G350" i="2"/>
  <c r="G343" i="3" s="1"/>
  <c r="J349" i="2"/>
  <c r="N349" i="2" s="1"/>
  <c r="I349" i="2"/>
  <c r="H349" i="2"/>
  <c r="G349" i="2"/>
  <c r="G342" i="3" s="1"/>
  <c r="J348" i="2"/>
  <c r="N348" i="2" s="1"/>
  <c r="I348" i="2"/>
  <c r="H348" i="2"/>
  <c r="G348" i="2"/>
  <c r="G341" i="3" s="1"/>
  <c r="J347" i="2"/>
  <c r="N347" i="2" s="1"/>
  <c r="I347" i="2"/>
  <c r="H347" i="2"/>
  <c r="G347" i="2"/>
  <c r="G340" i="3" s="1"/>
  <c r="J346" i="2"/>
  <c r="N346" i="2" s="1"/>
  <c r="I346" i="2"/>
  <c r="H346" i="2"/>
  <c r="G346" i="2"/>
  <c r="G339" i="3" s="1"/>
  <c r="J345" i="2"/>
  <c r="N345" i="2" s="1"/>
  <c r="I345" i="2"/>
  <c r="H345" i="2"/>
  <c r="G345" i="2"/>
  <c r="G338" i="3" s="1"/>
  <c r="J344" i="2"/>
  <c r="M344" i="2" s="1"/>
  <c r="I344" i="2"/>
  <c r="H344" i="2"/>
  <c r="G344" i="2"/>
  <c r="G337" i="3" s="1"/>
  <c r="J342" i="2"/>
  <c r="M342" i="2" s="1"/>
  <c r="I342" i="2"/>
  <c r="H342" i="2"/>
  <c r="G342" i="2"/>
  <c r="G335" i="3" s="1"/>
  <c r="J341" i="2"/>
  <c r="N341" i="2" s="1"/>
  <c r="I341" i="2"/>
  <c r="H341" i="2"/>
  <c r="G341" i="2"/>
  <c r="G334" i="3" s="1"/>
  <c r="J340" i="2"/>
  <c r="M340" i="2" s="1"/>
  <c r="I340" i="2"/>
  <c r="H340" i="2"/>
  <c r="G340" i="2"/>
  <c r="G333" i="3" s="1"/>
  <c r="J339" i="2"/>
  <c r="N339" i="2" s="1"/>
  <c r="I339" i="2"/>
  <c r="H339" i="2"/>
  <c r="G339" i="2"/>
  <c r="G332" i="3" s="1"/>
  <c r="J338" i="2"/>
  <c r="N338" i="2" s="1"/>
  <c r="I338" i="2"/>
  <c r="H338" i="2"/>
  <c r="G338" i="2"/>
  <c r="G331" i="3" s="1"/>
  <c r="J337" i="2"/>
  <c r="N337" i="2" s="1"/>
  <c r="I337" i="2"/>
  <c r="H337" i="2"/>
  <c r="G337" i="2"/>
  <c r="G330" i="3" s="1"/>
  <c r="J336" i="2"/>
  <c r="N336" i="2" s="1"/>
  <c r="I336" i="2"/>
  <c r="H336" i="2"/>
  <c r="G336" i="2"/>
  <c r="G329" i="3" s="1"/>
  <c r="J335" i="2"/>
  <c r="N335" i="2" s="1"/>
  <c r="I335" i="2"/>
  <c r="H335" i="2"/>
  <c r="G335" i="2"/>
  <c r="G328" i="3" s="1"/>
  <c r="J334" i="2"/>
  <c r="N334" i="2" s="1"/>
  <c r="I334" i="2"/>
  <c r="H334" i="2"/>
  <c r="G334" i="2"/>
  <c r="G327" i="3" s="1"/>
  <c r="J333" i="2"/>
  <c r="N333" i="2" s="1"/>
  <c r="I333" i="2"/>
  <c r="H333" i="2"/>
  <c r="G333" i="2"/>
  <c r="G326" i="3" s="1"/>
  <c r="J332" i="2"/>
  <c r="M332" i="2" s="1"/>
  <c r="I332" i="2"/>
  <c r="H332" i="2"/>
  <c r="G332" i="2"/>
  <c r="G325" i="3" s="1"/>
  <c r="J331" i="2"/>
  <c r="N331" i="2" s="1"/>
  <c r="I331" i="2"/>
  <c r="H331" i="2"/>
  <c r="G331" i="2"/>
  <c r="G324" i="3" s="1"/>
  <c r="J330" i="2"/>
  <c r="M330" i="2" s="1"/>
  <c r="I330" i="2"/>
  <c r="H330" i="2"/>
  <c r="G330" i="2"/>
  <c r="G323" i="3" s="1"/>
  <c r="J329" i="2"/>
  <c r="N329" i="2" s="1"/>
  <c r="I329" i="2"/>
  <c r="H329" i="2"/>
  <c r="G329" i="2"/>
  <c r="G322" i="3" s="1"/>
  <c r="J328" i="2"/>
  <c r="I328" i="2"/>
  <c r="H328" i="2"/>
  <c r="G328" i="2"/>
  <c r="G321" i="3" s="1"/>
  <c r="J327" i="2"/>
  <c r="I327" i="2"/>
  <c r="H327" i="2"/>
  <c r="G327" i="2"/>
  <c r="G320" i="3" s="1"/>
  <c r="J326" i="2"/>
  <c r="I326" i="2"/>
  <c r="H326" i="2"/>
  <c r="G326" i="2"/>
  <c r="G319" i="3" s="1"/>
  <c r="J325" i="2"/>
  <c r="I325" i="2"/>
  <c r="H325" i="2"/>
  <c r="G325" i="2"/>
  <c r="G318" i="3" s="1"/>
  <c r="J324" i="2"/>
  <c r="I324" i="2"/>
  <c r="H324" i="2"/>
  <c r="G324" i="2"/>
  <c r="G317" i="3" s="1"/>
  <c r="J323" i="2"/>
  <c r="M323" i="2" s="1"/>
  <c r="I323" i="2"/>
  <c r="H323" i="2"/>
  <c r="G323" i="2"/>
  <c r="G316" i="3" s="1"/>
  <c r="J322" i="2"/>
  <c r="I322" i="2"/>
  <c r="H322" i="2"/>
  <c r="G322" i="2"/>
  <c r="G315" i="3" s="1"/>
  <c r="J321" i="2"/>
  <c r="I321" i="2"/>
  <c r="H321" i="2"/>
  <c r="G321" i="2"/>
  <c r="G314" i="3" s="1"/>
  <c r="J320" i="2"/>
  <c r="I320" i="2"/>
  <c r="H320" i="2"/>
  <c r="G320" i="2"/>
  <c r="G313" i="3" s="1"/>
  <c r="J319" i="2"/>
  <c r="M319" i="2" s="1"/>
  <c r="I319" i="2"/>
  <c r="H319" i="2"/>
  <c r="G319" i="2"/>
  <c r="G312" i="3" s="1"/>
  <c r="J318" i="2"/>
  <c r="I318" i="2"/>
  <c r="H318" i="2"/>
  <c r="G318" i="2"/>
  <c r="G311" i="3" s="1"/>
  <c r="J317" i="2"/>
  <c r="I317" i="2"/>
  <c r="H317" i="2"/>
  <c r="G317" i="2"/>
  <c r="G310" i="3" s="1"/>
  <c r="J316" i="2"/>
  <c r="I316" i="2"/>
  <c r="H316" i="2"/>
  <c r="G316" i="2"/>
  <c r="G309" i="3" s="1"/>
  <c r="J315" i="2"/>
  <c r="N315" i="2" s="1"/>
  <c r="I315" i="2"/>
  <c r="H315" i="2"/>
  <c r="G315" i="2"/>
  <c r="G308" i="3" s="1"/>
  <c r="J314" i="2"/>
  <c r="I314" i="2"/>
  <c r="H314" i="2"/>
  <c r="G314" i="2"/>
  <c r="G307" i="3" s="1"/>
  <c r="J313" i="2"/>
  <c r="I313" i="2"/>
  <c r="H313" i="2"/>
  <c r="G313" i="2"/>
  <c r="G306" i="3" s="1"/>
  <c r="J312" i="2"/>
  <c r="I312" i="2"/>
  <c r="H312" i="2"/>
  <c r="G312" i="2"/>
  <c r="G305" i="3" s="1"/>
  <c r="J311" i="2"/>
  <c r="N311" i="2" s="1"/>
  <c r="I311" i="2"/>
  <c r="H311" i="2"/>
  <c r="G311" i="2"/>
  <c r="G304" i="3" s="1"/>
  <c r="J310" i="2"/>
  <c r="I310" i="2"/>
  <c r="H310" i="2"/>
  <c r="G310" i="2"/>
  <c r="G303" i="3" s="1"/>
  <c r="J309" i="2"/>
  <c r="M309" i="2" s="1"/>
  <c r="I309" i="2"/>
  <c r="H309" i="2"/>
  <c r="G309" i="2"/>
  <c r="G302" i="3" s="1"/>
  <c r="J308" i="2"/>
  <c r="I308" i="2"/>
  <c r="H308" i="2"/>
  <c r="G308" i="2"/>
  <c r="G301" i="3" s="1"/>
  <c r="J307" i="2"/>
  <c r="M307" i="2" s="1"/>
  <c r="I307" i="2"/>
  <c r="H307" i="2"/>
  <c r="G307" i="2"/>
  <c r="G300" i="3" s="1"/>
  <c r="J306" i="2"/>
  <c r="I306" i="2"/>
  <c r="H306" i="2"/>
  <c r="G306" i="2"/>
  <c r="G299" i="3" s="1"/>
  <c r="J305" i="2"/>
  <c r="M305" i="2" s="1"/>
  <c r="I305" i="2"/>
  <c r="H305" i="2"/>
  <c r="G305" i="2"/>
  <c r="G298" i="3" s="1"/>
  <c r="J304" i="2"/>
  <c r="I304" i="2"/>
  <c r="H304" i="2"/>
  <c r="G304" i="2"/>
  <c r="G297" i="3" s="1"/>
  <c r="J303" i="2"/>
  <c r="I303" i="2"/>
  <c r="H303" i="2"/>
  <c r="G303" i="2"/>
  <c r="G296" i="3" s="1"/>
  <c r="J302" i="2"/>
  <c r="I302" i="2"/>
  <c r="H302" i="2"/>
  <c r="G302" i="2"/>
  <c r="G295" i="3" s="1"/>
  <c r="J301" i="2"/>
  <c r="I301" i="2"/>
  <c r="H301" i="2"/>
  <c r="G301" i="2"/>
  <c r="G294" i="3" s="1"/>
  <c r="J300" i="2"/>
  <c r="I300" i="2"/>
  <c r="H300" i="2"/>
  <c r="G300" i="2"/>
  <c r="G293" i="3" s="1"/>
  <c r="J299" i="2"/>
  <c r="N299" i="2" s="1"/>
  <c r="I299" i="2"/>
  <c r="H299" i="2"/>
  <c r="G299" i="2"/>
  <c r="G292" i="3" s="1"/>
  <c r="J298" i="2"/>
  <c r="I298" i="2"/>
  <c r="H298" i="2"/>
  <c r="G298" i="2"/>
  <c r="G291" i="3" s="1"/>
  <c r="J297" i="2"/>
  <c r="I297" i="2"/>
  <c r="H297" i="2"/>
  <c r="G297" i="2"/>
  <c r="G290" i="3" s="1"/>
  <c r="J296" i="2"/>
  <c r="I296" i="2"/>
  <c r="H296" i="2"/>
  <c r="G296" i="2"/>
  <c r="G289" i="3" s="1"/>
  <c r="J295" i="2"/>
  <c r="M295" i="2" s="1"/>
  <c r="I295" i="2"/>
  <c r="H295" i="2"/>
  <c r="G295" i="2"/>
  <c r="G288" i="3" s="1"/>
  <c r="J294" i="2"/>
  <c r="I294" i="2"/>
  <c r="H294" i="2"/>
  <c r="G294" i="2"/>
  <c r="G287" i="3" s="1"/>
  <c r="J293" i="2"/>
  <c r="I293" i="2"/>
  <c r="H293" i="2"/>
  <c r="G293" i="2"/>
  <c r="G286" i="3" s="1"/>
  <c r="J292" i="2"/>
  <c r="I292" i="2"/>
  <c r="H292" i="2"/>
  <c r="G292" i="2"/>
  <c r="G285" i="3" s="1"/>
  <c r="J291" i="2"/>
  <c r="I291" i="2"/>
  <c r="H291" i="2"/>
  <c r="G291" i="2"/>
  <c r="G284" i="3" s="1"/>
  <c r="J290" i="2"/>
  <c r="I290" i="2"/>
  <c r="H290" i="2"/>
  <c r="G290" i="2"/>
  <c r="G283" i="3" s="1"/>
  <c r="J289" i="2"/>
  <c r="N289" i="2" s="1"/>
  <c r="I289" i="2"/>
  <c r="H289" i="2"/>
  <c r="G289" i="2"/>
  <c r="G282" i="3" s="1"/>
  <c r="J288" i="2"/>
  <c r="I288" i="2"/>
  <c r="H288" i="2"/>
  <c r="G288" i="2"/>
  <c r="G281" i="3" s="1"/>
  <c r="J287" i="2"/>
  <c r="M287" i="2" s="1"/>
  <c r="I287" i="2"/>
  <c r="H287" i="2"/>
  <c r="G287" i="2"/>
  <c r="G280" i="3" s="1"/>
  <c r="J286" i="2"/>
  <c r="I286" i="2"/>
  <c r="H286" i="2"/>
  <c r="G286" i="2"/>
  <c r="G279" i="3" s="1"/>
  <c r="J285" i="2"/>
  <c r="N285" i="2" s="1"/>
  <c r="I285" i="2"/>
  <c r="H285" i="2"/>
  <c r="G285" i="2"/>
  <c r="G278" i="3" s="1"/>
  <c r="J284" i="2"/>
  <c r="I284" i="2"/>
  <c r="H284" i="2"/>
  <c r="G284" i="2"/>
  <c r="G277" i="3" s="1"/>
  <c r="J283" i="2"/>
  <c r="M283" i="2" s="1"/>
  <c r="I283" i="2"/>
  <c r="H283" i="2"/>
  <c r="G283" i="2"/>
  <c r="G276" i="3" s="1"/>
  <c r="J282" i="2"/>
  <c r="I282" i="2"/>
  <c r="H282" i="2"/>
  <c r="G282" i="2"/>
  <c r="G275" i="3" s="1"/>
  <c r="J281" i="2"/>
  <c r="N281" i="2" s="1"/>
  <c r="I281" i="2"/>
  <c r="H281" i="2"/>
  <c r="G281" i="2"/>
  <c r="G274" i="3" s="1"/>
  <c r="J280" i="2"/>
  <c r="I280" i="2"/>
  <c r="H280" i="2"/>
  <c r="G280" i="2"/>
  <c r="G273" i="3" s="1"/>
  <c r="J278" i="2"/>
  <c r="I278" i="2"/>
  <c r="H278" i="2"/>
  <c r="G278" i="2"/>
  <c r="G271" i="3" s="1"/>
  <c r="J277" i="2"/>
  <c r="I277" i="2"/>
  <c r="H277" i="2"/>
  <c r="G277" i="2"/>
  <c r="G270" i="3" s="1"/>
  <c r="J276" i="2"/>
  <c r="N276" i="2" s="1"/>
  <c r="I276" i="2"/>
  <c r="H276" i="2"/>
  <c r="G276" i="2"/>
  <c r="G269" i="3" s="1"/>
  <c r="J271" i="2"/>
  <c r="I271" i="2"/>
  <c r="H271" i="2"/>
  <c r="G271" i="2"/>
  <c r="G264" i="3" s="1"/>
  <c r="J270" i="2"/>
  <c r="M270" i="2" s="1"/>
  <c r="I270" i="2"/>
  <c r="H270" i="2"/>
  <c r="G270" i="2"/>
  <c r="G263" i="3" s="1"/>
  <c r="J269" i="2"/>
  <c r="I269" i="2"/>
  <c r="H269" i="2"/>
  <c r="G269" i="2"/>
  <c r="G262" i="3" s="1"/>
  <c r="J268" i="2"/>
  <c r="N268" i="2" s="1"/>
  <c r="I268" i="2"/>
  <c r="H268" i="2"/>
  <c r="G268" i="2"/>
  <c r="G261" i="3" s="1"/>
  <c r="J267" i="2"/>
  <c r="I267" i="2"/>
  <c r="H267" i="2"/>
  <c r="G267" i="2"/>
  <c r="G260" i="3" s="1"/>
  <c r="J266" i="2"/>
  <c r="M266" i="2" s="1"/>
  <c r="I266" i="2"/>
  <c r="H266" i="2"/>
  <c r="G266" i="2"/>
  <c r="G259" i="3" s="1"/>
  <c r="J265" i="2"/>
  <c r="I265" i="2"/>
  <c r="H265" i="2"/>
  <c r="G265" i="2"/>
  <c r="G258" i="3" s="1"/>
  <c r="J263" i="2"/>
  <c r="I263" i="2"/>
  <c r="H263" i="2"/>
  <c r="G263" i="2"/>
  <c r="G256" i="3" s="1"/>
  <c r="J262" i="2"/>
  <c r="I262" i="2"/>
  <c r="H262" i="2"/>
  <c r="G262" i="2"/>
  <c r="G255" i="3" s="1"/>
  <c r="J261" i="2"/>
  <c r="I261" i="2"/>
  <c r="H261" i="2"/>
  <c r="G261" i="2"/>
  <c r="G254" i="3" s="1"/>
  <c r="J260" i="2"/>
  <c r="I260" i="2"/>
  <c r="H260" i="2"/>
  <c r="G260" i="2"/>
  <c r="G253" i="3" s="1"/>
  <c r="J259" i="2"/>
  <c r="I259" i="2"/>
  <c r="H259" i="2"/>
  <c r="G259" i="2"/>
  <c r="G252" i="3" s="1"/>
  <c r="J258" i="2"/>
  <c r="I258" i="2"/>
  <c r="H258" i="2"/>
  <c r="G258" i="2"/>
  <c r="G251" i="3" s="1"/>
  <c r="J257" i="2"/>
  <c r="M257" i="2" s="1"/>
  <c r="I257" i="2"/>
  <c r="H257" i="2"/>
  <c r="G257" i="2"/>
  <c r="G250" i="3" s="1"/>
  <c r="J256" i="2"/>
  <c r="I256" i="2"/>
  <c r="H256" i="2"/>
  <c r="G256" i="2"/>
  <c r="G249" i="3" s="1"/>
  <c r="J255" i="2"/>
  <c r="I255" i="2"/>
  <c r="H255" i="2"/>
  <c r="G255" i="2"/>
  <c r="G248" i="3" s="1"/>
  <c r="J253" i="2"/>
  <c r="M253" i="2" s="1"/>
  <c r="I253" i="2"/>
  <c r="H253" i="2"/>
  <c r="G253" i="2"/>
  <c r="G246" i="3" s="1"/>
  <c r="J252" i="2"/>
  <c r="I252" i="2"/>
  <c r="H252" i="2"/>
  <c r="G252" i="2"/>
  <c r="G245" i="3" s="1"/>
  <c r="J249" i="2"/>
  <c r="I249" i="2"/>
  <c r="H249" i="2"/>
  <c r="G249" i="2"/>
  <c r="G242" i="3" s="1"/>
  <c r="J248" i="2"/>
  <c r="M248" i="2" s="1"/>
  <c r="I248" i="2"/>
  <c r="H248" i="2"/>
  <c r="G248" i="2"/>
  <c r="G241" i="3" s="1"/>
  <c r="J247" i="2"/>
  <c r="I247" i="2"/>
  <c r="H247" i="2"/>
  <c r="G247" i="2"/>
  <c r="G240" i="3" s="1"/>
  <c r="J246" i="2"/>
  <c r="I246" i="2"/>
  <c r="H246" i="2"/>
  <c r="G246" i="2"/>
  <c r="G239" i="3" s="1"/>
  <c r="J244" i="2"/>
  <c r="M244" i="2" s="1"/>
  <c r="I244" i="2"/>
  <c r="H244" i="2"/>
  <c r="G244" i="2"/>
  <c r="G237" i="3" s="1"/>
  <c r="J243" i="2"/>
  <c r="I243" i="2"/>
  <c r="H243" i="2"/>
  <c r="G243" i="2"/>
  <c r="G236" i="3" s="1"/>
  <c r="J242" i="2"/>
  <c r="M242" i="2" s="1"/>
  <c r="I242" i="2"/>
  <c r="H242" i="2"/>
  <c r="G242" i="2"/>
  <c r="G235" i="3" s="1"/>
  <c r="J241" i="2"/>
  <c r="I241" i="2"/>
  <c r="H241" i="2"/>
  <c r="G241" i="2"/>
  <c r="G234" i="3" s="1"/>
  <c r="J240" i="2"/>
  <c r="M240" i="2" s="1"/>
  <c r="I240" i="2"/>
  <c r="H240" i="2"/>
  <c r="G240" i="2"/>
  <c r="G233" i="3" s="1"/>
  <c r="J239" i="2"/>
  <c r="I239" i="2"/>
  <c r="H239" i="2"/>
  <c r="G239" i="2"/>
  <c r="G232" i="3" s="1"/>
  <c r="J238" i="2"/>
  <c r="M238" i="2" s="1"/>
  <c r="I238" i="2"/>
  <c r="H238" i="2"/>
  <c r="G238" i="2"/>
  <c r="G231" i="3" s="1"/>
  <c r="J237" i="2"/>
  <c r="I237" i="2"/>
  <c r="H237" i="2"/>
  <c r="G237" i="2"/>
  <c r="G230" i="3" s="1"/>
  <c r="J235" i="2"/>
  <c r="M235" i="2" s="1"/>
  <c r="I235" i="2"/>
  <c r="H235" i="2"/>
  <c r="G235" i="2"/>
  <c r="G228" i="3" s="1"/>
  <c r="J234" i="2"/>
  <c r="I234" i="2"/>
  <c r="H234" i="2"/>
  <c r="G234" i="2"/>
  <c r="G227" i="3" s="1"/>
  <c r="J233" i="2"/>
  <c r="I233" i="2"/>
  <c r="H233" i="2"/>
  <c r="G233" i="2"/>
  <c r="G226" i="3" s="1"/>
  <c r="J232" i="2"/>
  <c r="M232" i="2" s="1"/>
  <c r="I232" i="2"/>
  <c r="H232" i="2"/>
  <c r="G232" i="2"/>
  <c r="G225" i="3" s="1"/>
  <c r="J231" i="2"/>
  <c r="I231" i="2"/>
  <c r="H231" i="2"/>
  <c r="G231" i="2"/>
  <c r="G224" i="3" s="1"/>
  <c r="J230" i="2"/>
  <c r="I230" i="2"/>
  <c r="H230" i="2"/>
  <c r="G230" i="2"/>
  <c r="G223" i="3" s="1"/>
  <c r="J228" i="2"/>
  <c r="M228" i="2" s="1"/>
  <c r="I228" i="2"/>
  <c r="H228" i="2"/>
  <c r="G228" i="2"/>
  <c r="G221" i="3" s="1"/>
  <c r="J227" i="2"/>
  <c r="I227" i="2"/>
  <c r="H227" i="2"/>
  <c r="G227" i="2"/>
  <c r="G220" i="3" s="1"/>
  <c r="J225" i="2"/>
  <c r="I225" i="2"/>
  <c r="H225" i="2"/>
  <c r="G225" i="2"/>
  <c r="G218" i="3" s="1"/>
  <c r="J224" i="2"/>
  <c r="I224" i="2"/>
  <c r="H224" i="2"/>
  <c r="G224" i="2"/>
  <c r="G217" i="3" s="1"/>
  <c r="J223" i="2"/>
  <c r="I223" i="2"/>
  <c r="H223" i="2"/>
  <c r="G223" i="2"/>
  <c r="G216" i="3" s="1"/>
  <c r="J222" i="2"/>
  <c r="I222" i="2"/>
  <c r="H222" i="2"/>
  <c r="G222" i="2"/>
  <c r="G215" i="3" s="1"/>
  <c r="J220" i="2"/>
  <c r="I220" i="2"/>
  <c r="H220" i="2"/>
  <c r="G220" i="2"/>
  <c r="G213" i="3" s="1"/>
  <c r="J219" i="2"/>
  <c r="I219" i="2"/>
  <c r="H219" i="2"/>
  <c r="G219" i="2"/>
  <c r="G212" i="3" s="1"/>
  <c r="J217" i="2"/>
  <c r="I217" i="2"/>
  <c r="H217" i="2"/>
  <c r="G217" i="2"/>
  <c r="G210" i="3" s="1"/>
  <c r="J216" i="2"/>
  <c r="I216" i="2"/>
  <c r="H216" i="2"/>
  <c r="G216" i="2"/>
  <c r="G209" i="3" s="1"/>
  <c r="J215" i="2"/>
  <c r="I215" i="2"/>
  <c r="H215" i="2"/>
  <c r="G215" i="2"/>
  <c r="G208" i="3" s="1"/>
  <c r="J213" i="2"/>
  <c r="M213" i="2" s="1"/>
  <c r="I213" i="2"/>
  <c r="H213" i="2"/>
  <c r="G213" i="2"/>
  <c r="G206" i="3" s="1"/>
  <c r="J212" i="2"/>
  <c r="I212" i="2"/>
  <c r="H212" i="2"/>
  <c r="G212" i="2"/>
  <c r="G205" i="3" s="1"/>
  <c r="J211" i="2"/>
  <c r="I211" i="2"/>
  <c r="H211" i="2"/>
  <c r="G211" i="2"/>
  <c r="G204" i="3" s="1"/>
  <c r="J210" i="2"/>
  <c r="I210" i="2"/>
  <c r="H210" i="2"/>
  <c r="G210" i="2"/>
  <c r="G203" i="3" s="1"/>
  <c r="J209" i="2"/>
  <c r="M209" i="2" s="1"/>
  <c r="I209" i="2"/>
  <c r="H209" i="2"/>
  <c r="G209" i="2"/>
  <c r="G202" i="3" s="1"/>
  <c r="J208" i="2"/>
  <c r="I208" i="2"/>
  <c r="H208" i="2"/>
  <c r="G208" i="2"/>
  <c r="G201" i="3" s="1"/>
  <c r="J206" i="2"/>
  <c r="I206" i="2"/>
  <c r="H206" i="2"/>
  <c r="G206" i="2"/>
  <c r="G199" i="3" s="1"/>
  <c r="M205" i="2"/>
  <c r="J203" i="2"/>
  <c r="I203" i="2"/>
  <c r="H203" i="2"/>
  <c r="G203" i="2"/>
  <c r="G196" i="3" s="1"/>
  <c r="J202" i="2"/>
  <c r="I202" i="2"/>
  <c r="H202" i="2"/>
  <c r="G202" i="2"/>
  <c r="G195" i="3" s="1"/>
  <c r="J200" i="2"/>
  <c r="M200" i="2" s="1"/>
  <c r="I200" i="2"/>
  <c r="H200" i="2"/>
  <c r="G200" i="2"/>
  <c r="G193" i="3" s="1"/>
  <c r="J199" i="2"/>
  <c r="I199" i="2"/>
  <c r="H199" i="2"/>
  <c r="G199" i="2"/>
  <c r="G192" i="3" s="1"/>
  <c r="J197" i="2"/>
  <c r="I197" i="2"/>
  <c r="H197" i="2"/>
  <c r="G197" i="2"/>
  <c r="G190" i="3" s="1"/>
  <c r="J195" i="2"/>
  <c r="I195" i="2"/>
  <c r="H195" i="2"/>
  <c r="G195" i="2"/>
  <c r="G188" i="3" s="1"/>
  <c r="J194" i="2"/>
  <c r="I194" i="2"/>
  <c r="H194" i="2"/>
  <c r="G194" i="2"/>
  <c r="G187" i="3" s="1"/>
  <c r="J193" i="2"/>
  <c r="I193" i="2"/>
  <c r="H193" i="2"/>
  <c r="G193" i="2"/>
  <c r="G186" i="3" s="1"/>
  <c r="J192" i="2"/>
  <c r="I192" i="2"/>
  <c r="H192" i="2"/>
  <c r="G192" i="2"/>
  <c r="G185" i="3" s="1"/>
  <c r="J189" i="2"/>
  <c r="M189" i="2" s="1"/>
  <c r="I189" i="2"/>
  <c r="H189" i="2"/>
  <c r="G189" i="2"/>
  <c r="G182" i="3" s="1"/>
  <c r="J188" i="2"/>
  <c r="I188" i="2"/>
  <c r="H188" i="2"/>
  <c r="G188" i="2"/>
  <c r="G181" i="3" s="1"/>
  <c r="J187" i="2"/>
  <c r="I187" i="2"/>
  <c r="H187" i="2"/>
  <c r="G187" i="2"/>
  <c r="G180" i="3" s="1"/>
  <c r="J186" i="2"/>
  <c r="N186" i="2" s="1"/>
  <c r="I186" i="2"/>
  <c r="H186" i="2"/>
  <c r="G186" i="2"/>
  <c r="G179" i="3" s="1"/>
  <c r="J185" i="2"/>
  <c r="I185" i="2"/>
  <c r="H185" i="2"/>
  <c r="G185" i="2"/>
  <c r="G178" i="3" s="1"/>
  <c r="J184" i="2"/>
  <c r="I184" i="2"/>
  <c r="H184" i="2"/>
  <c r="G184" i="2"/>
  <c r="G177" i="3" s="1"/>
  <c r="J183" i="2"/>
  <c r="I183" i="2"/>
  <c r="H183" i="2"/>
  <c r="G183" i="2"/>
  <c r="G176" i="3" s="1"/>
  <c r="J182" i="2"/>
  <c r="I182" i="2"/>
  <c r="H182" i="2"/>
  <c r="G182" i="2"/>
  <c r="G175" i="3" s="1"/>
  <c r="J181" i="2"/>
  <c r="I181" i="2"/>
  <c r="H181" i="2"/>
  <c r="G181" i="2"/>
  <c r="G174" i="3" s="1"/>
  <c r="J180" i="2"/>
  <c r="M180" i="2" s="1"/>
  <c r="I180" i="2"/>
  <c r="H180" i="2"/>
  <c r="G180" i="2"/>
  <c r="G173" i="3" s="1"/>
  <c r="J179" i="2"/>
  <c r="I179" i="2"/>
  <c r="H179" i="2"/>
  <c r="G179" i="2"/>
  <c r="G172" i="3" s="1"/>
  <c r="J178" i="2"/>
  <c r="M178" i="2" s="1"/>
  <c r="I178" i="2"/>
  <c r="H178" i="2"/>
  <c r="G178" i="2"/>
  <c r="G171" i="3" s="1"/>
  <c r="J176" i="2"/>
  <c r="I176" i="2"/>
  <c r="H176" i="2"/>
  <c r="G176" i="2"/>
  <c r="G169" i="3" s="1"/>
  <c r="J174" i="2"/>
  <c r="I174" i="2"/>
  <c r="H174" i="2"/>
  <c r="G174" i="2"/>
  <c r="G167" i="3" s="1"/>
  <c r="J173" i="2"/>
  <c r="N173" i="2" s="1"/>
  <c r="I173" i="2"/>
  <c r="H173" i="2"/>
  <c r="G173" i="2"/>
  <c r="G166" i="3" s="1"/>
  <c r="J172" i="2"/>
  <c r="I172" i="2"/>
  <c r="H172" i="2"/>
  <c r="G172" i="2"/>
  <c r="G165" i="3" s="1"/>
  <c r="J170" i="2"/>
  <c r="I170" i="2"/>
  <c r="H170" i="2"/>
  <c r="G170" i="2"/>
  <c r="G163" i="3" s="1"/>
  <c r="J169" i="2"/>
  <c r="I169" i="2"/>
  <c r="H169" i="2"/>
  <c r="G169" i="2"/>
  <c r="G162" i="3" s="1"/>
  <c r="J168" i="2"/>
  <c r="I168" i="2"/>
  <c r="H168" i="2"/>
  <c r="G168" i="2"/>
  <c r="G161" i="3" s="1"/>
  <c r="J166" i="2"/>
  <c r="I166" i="2"/>
  <c r="H166" i="2"/>
  <c r="G166" i="2"/>
  <c r="G159" i="3" s="1"/>
  <c r="J165" i="2"/>
  <c r="I165" i="2"/>
  <c r="H165" i="2"/>
  <c r="G165" i="2"/>
  <c r="G158" i="3" s="1"/>
  <c r="J164" i="2"/>
  <c r="I164" i="2"/>
  <c r="H164" i="2"/>
  <c r="G164" i="2"/>
  <c r="G157" i="3" s="1"/>
  <c r="J163" i="2"/>
  <c r="I163" i="2"/>
  <c r="H163" i="2"/>
  <c r="G163" i="2"/>
  <c r="G156" i="3" s="1"/>
  <c r="J161" i="2"/>
  <c r="M161" i="2" s="1"/>
  <c r="I161" i="2"/>
  <c r="H161" i="2"/>
  <c r="G161" i="2"/>
  <c r="G154" i="3" s="1"/>
  <c r="J160" i="2"/>
  <c r="I160" i="2"/>
  <c r="H160" i="2"/>
  <c r="G160" i="2"/>
  <c r="G153" i="3" s="1"/>
  <c r="J159" i="2"/>
  <c r="I159" i="2"/>
  <c r="H159" i="2"/>
  <c r="G159" i="2"/>
  <c r="G152" i="3" s="1"/>
  <c r="J158" i="2"/>
  <c r="I158" i="2"/>
  <c r="H158" i="2"/>
  <c r="G158" i="2"/>
  <c r="G151" i="3" s="1"/>
  <c r="J156" i="2"/>
  <c r="I156" i="2"/>
  <c r="H156" i="2"/>
  <c r="G156" i="2"/>
  <c r="G149" i="3" s="1"/>
  <c r="J155" i="2"/>
  <c r="I155" i="2"/>
  <c r="H155" i="2"/>
  <c r="G155" i="2"/>
  <c r="G148" i="3" s="1"/>
  <c r="J154" i="2"/>
  <c r="I154" i="2"/>
  <c r="H154" i="2"/>
  <c r="G154" i="2"/>
  <c r="G147" i="3" s="1"/>
  <c r="J152" i="2"/>
  <c r="I152" i="2"/>
  <c r="H152" i="2"/>
  <c r="G152" i="2"/>
  <c r="G145" i="3" s="1"/>
  <c r="J150" i="2"/>
  <c r="I150" i="2"/>
  <c r="H150" i="2"/>
  <c r="G150" i="2"/>
  <c r="G143" i="3" s="1"/>
  <c r="J149" i="2"/>
  <c r="I149" i="2"/>
  <c r="H149" i="2"/>
  <c r="G149" i="2"/>
  <c r="G142" i="3" s="1"/>
  <c r="J147" i="2"/>
  <c r="M147" i="2" s="1"/>
  <c r="I147" i="2"/>
  <c r="H147" i="2"/>
  <c r="G147" i="2"/>
  <c r="G140" i="3" s="1"/>
  <c r="J146" i="2"/>
  <c r="I146" i="2"/>
  <c r="H146" i="2"/>
  <c r="G146" i="2"/>
  <c r="G139" i="3" s="1"/>
  <c r="J145" i="2"/>
  <c r="N145" i="2" s="1"/>
  <c r="I145" i="2"/>
  <c r="H145" i="2"/>
  <c r="G145" i="2"/>
  <c r="G138" i="3" s="1"/>
  <c r="J143" i="2"/>
  <c r="I143" i="2"/>
  <c r="H143" i="2"/>
  <c r="G143" i="2"/>
  <c r="G136" i="3" s="1"/>
  <c r="J142" i="2"/>
  <c r="I142" i="2"/>
  <c r="H142" i="2"/>
  <c r="G142" i="2"/>
  <c r="G135" i="3" s="1"/>
  <c r="J140" i="2"/>
  <c r="I140" i="2"/>
  <c r="H140" i="2"/>
  <c r="G140" i="2"/>
  <c r="G133" i="3" s="1"/>
  <c r="J139" i="2"/>
  <c r="I139" i="2"/>
  <c r="H139" i="2"/>
  <c r="G139" i="2"/>
  <c r="G132" i="3" s="1"/>
  <c r="J138" i="2"/>
  <c r="I138" i="2"/>
  <c r="H138" i="2"/>
  <c r="G138" i="2"/>
  <c r="G131" i="3" s="1"/>
  <c r="J136" i="2"/>
  <c r="I136" i="2"/>
  <c r="H136" i="2"/>
  <c r="G136" i="2"/>
  <c r="G129" i="3" s="1"/>
  <c r="J135" i="2"/>
  <c r="I135" i="2"/>
  <c r="H135" i="2"/>
  <c r="G135" i="2"/>
  <c r="G128" i="3" s="1"/>
  <c r="J133" i="2"/>
  <c r="I133" i="2"/>
  <c r="H133" i="2"/>
  <c r="G133" i="2"/>
  <c r="G126" i="3" s="1"/>
  <c r="J132" i="2"/>
  <c r="I132" i="2"/>
  <c r="H132" i="2"/>
  <c r="G132" i="2"/>
  <c r="G125" i="3" s="1"/>
  <c r="J131" i="2"/>
  <c r="I131" i="2"/>
  <c r="H131" i="2"/>
  <c r="G131" i="2"/>
  <c r="G124" i="3" s="1"/>
  <c r="J130" i="2"/>
  <c r="I130" i="2"/>
  <c r="H130" i="2"/>
  <c r="G130" i="2"/>
  <c r="G123" i="3" s="1"/>
  <c r="J129" i="2"/>
  <c r="I129" i="2"/>
  <c r="H129" i="2"/>
  <c r="G129" i="2"/>
  <c r="G122" i="3" s="1"/>
  <c r="J128" i="2"/>
  <c r="I128" i="2"/>
  <c r="H128" i="2"/>
  <c r="G128" i="2"/>
  <c r="G121" i="3" s="1"/>
  <c r="J127" i="2"/>
  <c r="M127" i="2" s="1"/>
  <c r="I127" i="2"/>
  <c r="H127" i="2"/>
  <c r="G127" i="2"/>
  <c r="G120" i="3" s="1"/>
  <c r="J126" i="2"/>
  <c r="I126" i="2"/>
  <c r="H126" i="2"/>
  <c r="G126" i="2"/>
  <c r="G119" i="3" s="1"/>
  <c r="J124" i="2"/>
  <c r="I124" i="2"/>
  <c r="H124" i="2"/>
  <c r="G124" i="2"/>
  <c r="G117" i="3" s="1"/>
  <c r="J123" i="2"/>
  <c r="M123" i="2" s="1"/>
  <c r="I123" i="2"/>
  <c r="H123" i="2"/>
  <c r="G123" i="2"/>
  <c r="G116" i="3" s="1"/>
  <c r="J122" i="2"/>
  <c r="I122" i="2"/>
  <c r="H122" i="2"/>
  <c r="G122" i="2"/>
  <c r="G115" i="3" s="1"/>
  <c r="J121" i="2"/>
  <c r="I121" i="2"/>
  <c r="H121" i="2"/>
  <c r="G121" i="2"/>
  <c r="G114" i="3" s="1"/>
  <c r="J120" i="2"/>
  <c r="I120" i="2"/>
  <c r="H120" i="2"/>
  <c r="G120" i="2"/>
  <c r="G113" i="3" s="1"/>
  <c r="J119" i="2"/>
  <c r="M119" i="2" s="1"/>
  <c r="I119" i="2"/>
  <c r="H119" i="2"/>
  <c r="G119" i="2"/>
  <c r="G112" i="3" s="1"/>
  <c r="J118" i="2"/>
  <c r="I118" i="2"/>
  <c r="H118" i="2"/>
  <c r="G118" i="2"/>
  <c r="G111" i="3" s="1"/>
  <c r="J116" i="2"/>
  <c r="I116" i="2"/>
  <c r="H116" i="2"/>
  <c r="G116" i="2"/>
  <c r="G109" i="3" s="1"/>
  <c r="J114" i="2"/>
  <c r="M114" i="2" s="1"/>
  <c r="I114" i="2"/>
  <c r="H114" i="2"/>
  <c r="G114" i="2"/>
  <c r="G107" i="3" s="1"/>
  <c r="J113" i="2"/>
  <c r="I113" i="2"/>
  <c r="H113" i="2"/>
  <c r="G113" i="2"/>
  <c r="G106" i="3" s="1"/>
  <c r="J110" i="2"/>
  <c r="I110" i="2"/>
  <c r="H110" i="2"/>
  <c r="G110" i="2"/>
  <c r="G103" i="3" s="1"/>
  <c r="J109" i="2"/>
  <c r="M109" i="2" s="1"/>
  <c r="I109" i="2"/>
  <c r="H109" i="2"/>
  <c r="G109" i="2"/>
  <c r="G102" i="3" s="1"/>
  <c r="J107" i="2"/>
  <c r="I107" i="2"/>
  <c r="H107" i="2"/>
  <c r="J106" i="2"/>
  <c r="I106" i="2"/>
  <c r="H106" i="2"/>
  <c r="J105" i="2"/>
  <c r="N105" i="2" s="1"/>
  <c r="I105" i="2"/>
  <c r="H105" i="2"/>
  <c r="G105" i="2"/>
  <c r="G98" i="3" s="1"/>
  <c r="J103" i="2"/>
  <c r="I103" i="2"/>
  <c r="H103" i="2"/>
  <c r="J101" i="2"/>
  <c r="I101" i="2"/>
  <c r="H101" i="2"/>
  <c r="J100" i="2"/>
  <c r="I100" i="2"/>
  <c r="H100" i="2"/>
  <c r="J99" i="2"/>
  <c r="I99" i="2"/>
  <c r="H99" i="2"/>
  <c r="J98" i="2"/>
  <c r="I98" i="2"/>
  <c r="H98" i="2"/>
  <c r="J96" i="2"/>
  <c r="I96" i="2"/>
  <c r="H96" i="2"/>
  <c r="J95" i="2"/>
  <c r="I95" i="2"/>
  <c r="H95" i="2"/>
  <c r="J94" i="2"/>
  <c r="I94" i="2"/>
  <c r="H94" i="2"/>
  <c r="J93" i="2"/>
  <c r="N93" i="2" s="1"/>
  <c r="I93" i="2"/>
  <c r="H93" i="2"/>
  <c r="J92" i="2"/>
  <c r="I92" i="2"/>
  <c r="H92" i="2"/>
  <c r="J91" i="2"/>
  <c r="I91" i="2"/>
  <c r="H91" i="2"/>
  <c r="J90" i="2"/>
  <c r="N90" i="2" s="1"/>
  <c r="I90" i="2"/>
  <c r="H90" i="2"/>
  <c r="J89" i="2"/>
  <c r="I89" i="2"/>
  <c r="H89" i="2"/>
  <c r="J88" i="2"/>
  <c r="I88" i="2"/>
  <c r="H88" i="2"/>
  <c r="J87" i="2"/>
  <c r="N87" i="2" s="1"/>
  <c r="I87" i="2"/>
  <c r="H87" i="2"/>
  <c r="J86" i="2"/>
  <c r="I86" i="2"/>
  <c r="H86" i="2"/>
  <c r="J85" i="2"/>
  <c r="I85" i="2"/>
  <c r="H85" i="2"/>
  <c r="J84" i="2"/>
  <c r="I84" i="2"/>
  <c r="H84" i="2"/>
  <c r="G84" i="2"/>
  <c r="G77" i="3" s="1"/>
  <c r="J83" i="2"/>
  <c r="I83" i="2"/>
  <c r="H83" i="2"/>
  <c r="J82" i="2"/>
  <c r="I82" i="2"/>
  <c r="H82" i="2"/>
  <c r="J80" i="2"/>
  <c r="I80" i="2"/>
  <c r="H80" i="2"/>
  <c r="J79" i="2"/>
  <c r="N79" i="2" s="1"/>
  <c r="I79" i="2"/>
  <c r="H79" i="2"/>
  <c r="G79" i="2"/>
  <c r="G72" i="3" s="1"/>
  <c r="J78" i="2"/>
  <c r="I78" i="2"/>
  <c r="H78" i="2"/>
  <c r="J77" i="2"/>
  <c r="I77" i="2"/>
  <c r="H77" i="2"/>
  <c r="J76" i="2"/>
  <c r="N76" i="2" s="1"/>
  <c r="I76" i="2"/>
  <c r="H76" i="2"/>
  <c r="G76" i="2"/>
  <c r="G69" i="3" s="1"/>
  <c r="J75" i="2"/>
  <c r="I75" i="2"/>
  <c r="H75" i="2"/>
  <c r="J74" i="2"/>
  <c r="I74" i="2"/>
  <c r="H74" i="2"/>
  <c r="J73" i="2"/>
  <c r="M73" i="2" s="1"/>
  <c r="I73" i="2"/>
  <c r="H73" i="2"/>
  <c r="G73" i="2"/>
  <c r="G66" i="3" s="1"/>
  <c r="J72" i="2"/>
  <c r="I72" i="2"/>
  <c r="H72" i="2"/>
  <c r="J71" i="2"/>
  <c r="I71" i="2"/>
  <c r="H71" i="2"/>
  <c r="G71" i="2"/>
  <c r="G64" i="3" s="1"/>
  <c r="J70" i="2"/>
  <c r="I70" i="2"/>
  <c r="H70" i="2"/>
  <c r="G70" i="2"/>
  <c r="G63" i="3" s="1"/>
  <c r="J69" i="2"/>
  <c r="M69" i="2" s="1"/>
  <c r="I69" i="2"/>
  <c r="H69" i="2"/>
  <c r="J68" i="2"/>
  <c r="I68" i="2"/>
  <c r="H68" i="2"/>
  <c r="J67" i="2"/>
  <c r="I67" i="2"/>
  <c r="H67" i="2"/>
  <c r="J66" i="2"/>
  <c r="I66" i="2"/>
  <c r="H66" i="2"/>
  <c r="J65" i="2"/>
  <c r="I65" i="2"/>
  <c r="H65" i="2"/>
  <c r="J64" i="2"/>
  <c r="I64" i="2"/>
  <c r="H64" i="2"/>
  <c r="J63" i="2"/>
  <c r="I63" i="2"/>
  <c r="H63" i="2"/>
  <c r="J62" i="2"/>
  <c r="I62" i="2"/>
  <c r="H62" i="2"/>
  <c r="J61" i="2"/>
  <c r="I61" i="2"/>
  <c r="H61" i="2"/>
  <c r="J60" i="2"/>
  <c r="I60" i="2"/>
  <c r="H60" i="2"/>
  <c r="J59" i="2"/>
  <c r="I59" i="2"/>
  <c r="H59" i="2"/>
  <c r="J58" i="2"/>
  <c r="I58" i="2"/>
  <c r="H58" i="2"/>
  <c r="J57" i="2"/>
  <c r="I57" i="2"/>
  <c r="H57" i="2"/>
  <c r="J56" i="2"/>
  <c r="M56" i="2" s="1"/>
  <c r="I56" i="2"/>
  <c r="H56" i="2"/>
  <c r="J55" i="2"/>
  <c r="I55" i="2"/>
  <c r="H55" i="2"/>
  <c r="J54" i="2"/>
  <c r="I54" i="2"/>
  <c r="H54" i="2"/>
  <c r="J53" i="2"/>
  <c r="I53" i="2"/>
  <c r="H53" i="2"/>
  <c r="J52" i="2"/>
  <c r="I52" i="2"/>
  <c r="H52" i="2"/>
  <c r="J51" i="2"/>
  <c r="I51" i="2"/>
  <c r="H51" i="2"/>
  <c r="J50" i="2"/>
  <c r="I50" i="2"/>
  <c r="H50" i="2"/>
  <c r="J49" i="2"/>
  <c r="I49" i="2"/>
  <c r="H49" i="2"/>
  <c r="J48" i="2"/>
  <c r="I48" i="2"/>
  <c r="H48" i="2"/>
  <c r="G48" i="2"/>
  <c r="G41" i="3" s="1"/>
  <c r="J47" i="2"/>
  <c r="I47" i="2"/>
  <c r="H47" i="2"/>
  <c r="J46" i="2"/>
  <c r="I46" i="2"/>
  <c r="H46" i="2"/>
  <c r="J45" i="2"/>
  <c r="I45" i="2"/>
  <c r="H45" i="2"/>
  <c r="G45" i="2"/>
  <c r="G38" i="3" s="1"/>
  <c r="J44" i="2"/>
  <c r="I44" i="2"/>
  <c r="H44" i="2"/>
  <c r="J43" i="2"/>
  <c r="I43" i="2"/>
  <c r="H43" i="2"/>
  <c r="J42" i="2"/>
  <c r="I42" i="2"/>
  <c r="H42" i="2"/>
  <c r="G42" i="2"/>
  <c r="G35" i="3" s="1"/>
  <c r="J41" i="2"/>
  <c r="I41" i="2"/>
  <c r="H41" i="2"/>
  <c r="J40" i="2"/>
  <c r="I40" i="2"/>
  <c r="H40" i="2"/>
  <c r="J39" i="2"/>
  <c r="I39" i="2"/>
  <c r="H39" i="2"/>
  <c r="G39" i="2"/>
  <c r="G32" i="3" s="1"/>
  <c r="J38" i="2"/>
  <c r="I38" i="2"/>
  <c r="H38" i="2"/>
  <c r="J37" i="2"/>
  <c r="I37" i="2"/>
  <c r="H37" i="2"/>
  <c r="G37" i="2"/>
  <c r="G30" i="3" s="1"/>
  <c r="J36" i="2"/>
  <c r="I36" i="2"/>
  <c r="H36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G31" i="2"/>
  <c r="G24" i="3" s="1"/>
  <c r="J30" i="2"/>
  <c r="I30" i="2"/>
  <c r="H30" i="2"/>
  <c r="G30" i="2"/>
  <c r="G23" i="3" s="1"/>
  <c r="J29" i="2"/>
  <c r="I29" i="2"/>
  <c r="H29" i="2"/>
  <c r="J28" i="2"/>
  <c r="I28" i="2"/>
  <c r="H28" i="2"/>
  <c r="G28" i="2"/>
  <c r="G21" i="3" s="1"/>
  <c r="J27" i="2"/>
  <c r="I27" i="2"/>
  <c r="H27" i="2"/>
  <c r="J26" i="2"/>
  <c r="I26" i="2"/>
  <c r="H26" i="2"/>
  <c r="G26" i="2"/>
  <c r="G19" i="3" s="1"/>
  <c r="J25" i="2"/>
  <c r="I25" i="2"/>
  <c r="H25" i="2"/>
  <c r="G25" i="2"/>
  <c r="G18" i="3" s="1"/>
  <c r="J23" i="2"/>
  <c r="I23" i="2"/>
  <c r="H23" i="2"/>
  <c r="J22" i="2"/>
  <c r="I22" i="2"/>
  <c r="H22" i="2"/>
  <c r="G22" i="2"/>
  <c r="G15" i="3" s="1"/>
  <c r="J21" i="2"/>
  <c r="M21" i="2" s="1"/>
  <c r="I21" i="2"/>
  <c r="H21" i="2"/>
  <c r="J20" i="2"/>
  <c r="I20" i="2"/>
  <c r="H20" i="2"/>
  <c r="G20" i="2"/>
  <c r="G13" i="3" s="1"/>
  <c r="J18" i="2"/>
  <c r="I18" i="2"/>
  <c r="H18" i="2"/>
  <c r="G18" i="2"/>
  <c r="G11" i="3" s="1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G12" i="2"/>
  <c r="G5" i="3" s="1"/>
  <c r="J11" i="2"/>
  <c r="I11" i="2"/>
  <c r="H11" i="2"/>
  <c r="G11" i="2"/>
  <c r="G4" i="3" s="1"/>
  <c r="J10" i="2"/>
  <c r="I10" i="2"/>
  <c r="H10" i="2"/>
  <c r="G10" i="2"/>
  <c r="G3" i="3" s="1"/>
  <c r="I9" i="2"/>
  <c r="H9" i="2"/>
  <c r="H2" i="3" s="1"/>
  <c r="G9" i="2"/>
  <c r="G2" i="3" s="1"/>
  <c r="M171" i="2" l="1"/>
  <c r="M167" i="2"/>
  <c r="M363" i="2"/>
  <c r="M272" i="2"/>
  <c r="M343" i="2"/>
  <c r="M279" i="2"/>
  <c r="M264" i="2"/>
  <c r="M254" i="2"/>
  <c r="M251" i="2"/>
  <c r="M250" i="2"/>
  <c r="N236" i="2"/>
  <c r="M245" i="2"/>
  <c r="M229" i="2"/>
  <c r="M226" i="2"/>
  <c r="M214" i="2"/>
  <c r="M218" i="2"/>
  <c r="M221" i="2"/>
  <c r="M207" i="2"/>
  <c r="M204" i="2"/>
  <c r="M201" i="2"/>
  <c r="M198" i="2"/>
  <c r="M196" i="2"/>
  <c r="N190" i="2"/>
  <c r="M191" i="2"/>
  <c r="M177" i="2"/>
  <c r="M175" i="2"/>
  <c r="N162" i="2"/>
  <c r="M157" i="2"/>
  <c r="M153" i="2"/>
  <c r="M151" i="2"/>
  <c r="M148" i="2"/>
  <c r="M141" i="2"/>
  <c r="N144" i="2"/>
  <c r="M134" i="2"/>
  <c r="M125" i="2"/>
  <c r="M117" i="2"/>
  <c r="M115" i="2"/>
  <c r="M112" i="2"/>
  <c r="M111" i="2"/>
  <c r="M108" i="2"/>
  <c r="M104" i="2"/>
  <c r="M102" i="2"/>
  <c r="M97" i="2"/>
  <c r="M81" i="2"/>
  <c r="M19" i="2"/>
  <c r="M128" i="2"/>
  <c r="N128" i="2"/>
  <c r="M329" i="2"/>
  <c r="M185" i="2"/>
  <c r="M77" i="2"/>
  <c r="N164" i="2"/>
  <c r="M156" i="2"/>
  <c r="N138" i="2"/>
  <c r="M281" i="2"/>
  <c r="N192" i="2"/>
  <c r="M241" i="2"/>
  <c r="M210" i="2"/>
  <c r="M146" i="2"/>
  <c r="N252" i="2"/>
  <c r="N146" i="2"/>
  <c r="M139" i="2"/>
  <c r="N215" i="2"/>
  <c r="M352" i="2"/>
  <c r="N139" i="2"/>
  <c r="N355" i="2"/>
  <c r="M298" i="2"/>
  <c r="N342" i="2"/>
  <c r="M152" i="2"/>
  <c r="N152" i="2"/>
  <c r="M310" i="2"/>
  <c r="M149" i="2"/>
  <c r="N169" i="2"/>
  <c r="M292" i="2"/>
  <c r="M215" i="2"/>
  <c r="M252" i="2"/>
  <c r="M267" i="2"/>
  <c r="N298" i="2"/>
  <c r="M318" i="2"/>
  <c r="N344" i="2"/>
  <c r="M212" i="2"/>
  <c r="M124" i="2"/>
  <c r="M106" i="2"/>
  <c r="N124" i="2"/>
  <c r="N158" i="2"/>
  <c r="M186" i="2"/>
  <c r="N222" i="2"/>
  <c r="N106" i="2"/>
  <c r="M243" i="2"/>
  <c r="M331" i="2"/>
  <c r="N362" i="2"/>
  <c r="M105" i="2"/>
  <c r="M110" i="2"/>
  <c r="N118" i="2"/>
  <c r="N126" i="2"/>
  <c r="M138" i="2"/>
  <c r="N156" i="2"/>
  <c r="M347" i="2"/>
  <c r="M192" i="2"/>
  <c r="M220" i="2"/>
  <c r="M262" i="2"/>
  <c r="M320" i="2"/>
  <c r="M80" i="2"/>
  <c r="M136" i="2"/>
  <c r="N220" i="2"/>
  <c r="N262" i="2"/>
  <c r="N320" i="2"/>
  <c r="N136" i="2"/>
  <c r="M199" i="2"/>
  <c r="M358" i="2"/>
  <c r="M316" i="2"/>
  <c r="N332" i="2"/>
  <c r="M364" i="2"/>
  <c r="M160" i="2"/>
  <c r="N212" i="2"/>
  <c r="N308" i="2"/>
  <c r="N316" i="2"/>
  <c r="M335" i="2"/>
  <c r="M346" i="2"/>
  <c r="N166" i="2"/>
  <c r="N17" i="2"/>
  <c r="N21" i="2"/>
  <c r="N210" i="2"/>
  <c r="M224" i="2"/>
  <c r="N243" i="2"/>
  <c r="N267" i="2"/>
  <c r="M306" i="2"/>
  <c r="N224" i="2"/>
  <c r="N306" i="2"/>
  <c r="M118" i="2"/>
  <c r="M126" i="2"/>
  <c r="N208" i="2"/>
  <c r="M222" i="2"/>
  <c r="M265" i="2"/>
  <c r="N284" i="2"/>
  <c r="M24" i="2"/>
  <c r="M79" i="2"/>
  <c r="N116" i="2"/>
  <c r="N154" i="2"/>
  <c r="N181" i="2"/>
  <c r="N227" i="2"/>
  <c r="N239" i="2"/>
  <c r="N269" i="2"/>
  <c r="N282" i="2"/>
  <c r="N322" i="2"/>
  <c r="N330" i="2"/>
  <c r="N340" i="2"/>
  <c r="M164" i="2"/>
  <c r="M166" i="2"/>
  <c r="M169" i="2"/>
  <c r="M173" i="2"/>
  <c r="N179" i="2"/>
  <c r="M208" i="2"/>
  <c r="M350" i="2"/>
  <c r="M354" i="2"/>
  <c r="M359" i="2"/>
  <c r="M219" i="2"/>
  <c r="M223" i="2"/>
  <c r="M225" i="2"/>
  <c r="N265" i="2"/>
  <c r="M285" i="2"/>
  <c r="N318" i="2"/>
  <c r="M333" i="2"/>
  <c r="N219" i="2"/>
  <c r="N223" i="2"/>
  <c r="N225" i="2"/>
  <c r="M357" i="2"/>
  <c r="M113" i="2"/>
  <c r="M121" i="2"/>
  <c r="M135" i="2"/>
  <c r="M140" i="2"/>
  <c r="M143" i="2"/>
  <c r="M339" i="2"/>
  <c r="N113" i="2"/>
  <c r="N121" i="2"/>
  <c r="N135" i="2"/>
  <c r="N140" i="2"/>
  <c r="N143" i="2"/>
  <c r="N160" i="2"/>
  <c r="M163" i="2"/>
  <c r="M165" i="2"/>
  <c r="M168" i="2"/>
  <c r="M170" i="2"/>
  <c r="M172" i="2"/>
  <c r="M217" i="2"/>
  <c r="N233" i="2"/>
  <c r="M296" i="2"/>
  <c r="M311" i="2"/>
  <c r="M353" i="2"/>
  <c r="M360" i="2"/>
  <c r="M366" i="2"/>
  <c r="M131" i="2"/>
  <c r="M158" i="2"/>
  <c r="N163" i="2"/>
  <c r="N165" i="2"/>
  <c r="N168" i="2"/>
  <c r="N170" i="2"/>
  <c r="N172" i="2"/>
  <c r="N194" i="2"/>
  <c r="N217" i="2"/>
  <c r="M231" i="2"/>
  <c r="M286" i="2"/>
  <c r="M294" i="2"/>
  <c r="N296" i="2"/>
  <c r="M334" i="2"/>
  <c r="N131" i="2"/>
  <c r="N231" i="2"/>
  <c r="N294" i="2"/>
  <c r="N99" i="2"/>
  <c r="N14" i="2"/>
  <c r="N18" i="2"/>
  <c r="N12" i="2"/>
  <c r="N22" i="2"/>
  <c r="N15" i="2"/>
  <c r="N10" i="2"/>
  <c r="N20" i="2"/>
  <c r="N23" i="2"/>
  <c r="N16" i="2"/>
  <c r="M116" i="2"/>
  <c r="M154" i="2"/>
  <c r="M181" i="2"/>
  <c r="M227" i="2"/>
  <c r="M239" i="2"/>
  <c r="N241" i="2"/>
  <c r="N258" i="2"/>
  <c r="M269" i="2"/>
  <c r="M282" i="2"/>
  <c r="N292" i="2"/>
  <c r="M299" i="2"/>
  <c r="M322" i="2"/>
  <c r="M356" i="2"/>
  <c r="N103" i="2"/>
  <c r="N122" i="2"/>
  <c r="N188" i="2"/>
  <c r="N206" i="2"/>
  <c r="N259" i="2"/>
  <c r="M259" i="2"/>
  <c r="N31" i="2"/>
  <c r="N33" i="2"/>
  <c r="N35" i="2"/>
  <c r="N38" i="2"/>
  <c r="N40" i="2"/>
  <c r="N42" i="2"/>
  <c r="N44" i="2"/>
  <c r="N46" i="2"/>
  <c r="N48" i="2"/>
  <c r="N50" i="2"/>
  <c r="N52" i="2"/>
  <c r="N54" i="2"/>
  <c r="N56" i="2"/>
  <c r="N58" i="2"/>
  <c r="N60" i="2"/>
  <c r="N62" i="2"/>
  <c r="N64" i="2"/>
  <c r="N66" i="2"/>
  <c r="N69" i="2"/>
  <c r="N71" i="2"/>
  <c r="N73" i="2"/>
  <c r="N75" i="2"/>
  <c r="N77" i="2"/>
  <c r="N101" i="2"/>
  <c r="M103" i="2"/>
  <c r="N120" i="2"/>
  <c r="M122" i="2"/>
  <c r="M174" i="2"/>
  <c r="M188" i="2"/>
  <c r="M202" i="2"/>
  <c r="N205" i="2"/>
  <c r="M206" i="2"/>
  <c r="M237" i="2"/>
  <c r="M249" i="2"/>
  <c r="M9" i="2"/>
  <c r="M11" i="2"/>
  <c r="M13" i="2"/>
  <c r="M15" i="2"/>
  <c r="M17" i="2"/>
  <c r="M18" i="2"/>
  <c r="M23" i="2"/>
  <c r="M82" i="2"/>
  <c r="M85" i="2"/>
  <c r="M87" i="2"/>
  <c r="M89" i="2"/>
  <c r="M91" i="2"/>
  <c r="M93" i="2"/>
  <c r="M95" i="2"/>
  <c r="M101" i="2"/>
  <c r="N119" i="2"/>
  <c r="M120" i="2"/>
  <c r="N174" i="2"/>
  <c r="N184" i="2"/>
  <c r="N202" i="2"/>
  <c r="N237" i="2"/>
  <c r="N247" i="2"/>
  <c r="N249" i="2"/>
  <c r="N280" i="2"/>
  <c r="M280" i="2"/>
  <c r="N82" i="2"/>
  <c r="N85" i="2"/>
  <c r="N89" i="2"/>
  <c r="N91" i="2"/>
  <c r="N95" i="2"/>
  <c r="N98" i="2"/>
  <c r="N150" i="2"/>
  <c r="N182" i="2"/>
  <c r="M184" i="2"/>
  <c r="M195" i="2"/>
  <c r="N199" i="2"/>
  <c r="M233" i="2"/>
  <c r="N244" i="2"/>
  <c r="M247" i="2"/>
  <c r="M98" i="2"/>
  <c r="N110" i="2"/>
  <c r="N114" i="2"/>
  <c r="M150" i="2"/>
  <c r="N180" i="2"/>
  <c r="M182" i="2"/>
  <c r="M194" i="2"/>
  <c r="N195" i="2"/>
  <c r="N242" i="2"/>
  <c r="N133" i="2"/>
  <c r="N147" i="2"/>
  <c r="N161" i="2"/>
  <c r="N178" i="2"/>
  <c r="N240" i="2"/>
  <c r="M260" i="2"/>
  <c r="M29" i="2"/>
  <c r="M30" i="2"/>
  <c r="M32" i="2"/>
  <c r="M34" i="2"/>
  <c r="M36" i="2"/>
  <c r="M37" i="2"/>
  <c r="M39" i="2"/>
  <c r="M41" i="2"/>
  <c r="M43" i="2"/>
  <c r="M45" i="2"/>
  <c r="M47" i="2"/>
  <c r="M49" i="2"/>
  <c r="M51" i="2"/>
  <c r="M53" i="2"/>
  <c r="M55" i="2"/>
  <c r="M57" i="2"/>
  <c r="M59" i="2"/>
  <c r="M61" i="2"/>
  <c r="M63" i="2"/>
  <c r="M65" i="2"/>
  <c r="M67" i="2"/>
  <c r="M68" i="2"/>
  <c r="M70" i="2"/>
  <c r="M72" i="2"/>
  <c r="M74" i="2"/>
  <c r="M76" i="2"/>
  <c r="M78" i="2"/>
  <c r="N132" i="2"/>
  <c r="M133" i="2"/>
  <c r="N159" i="2"/>
  <c r="N176" i="2"/>
  <c r="N203" i="2"/>
  <c r="N238" i="2"/>
  <c r="N260" i="2"/>
  <c r="N29" i="2"/>
  <c r="N30" i="2"/>
  <c r="N32" i="2"/>
  <c r="N34" i="2"/>
  <c r="N36" i="2"/>
  <c r="N37" i="2"/>
  <c r="N39" i="2"/>
  <c r="N41" i="2"/>
  <c r="N43" i="2"/>
  <c r="N45" i="2"/>
  <c r="N47" i="2"/>
  <c r="N49" i="2"/>
  <c r="N51" i="2"/>
  <c r="N53" i="2"/>
  <c r="N55" i="2"/>
  <c r="N57" i="2"/>
  <c r="N59" i="2"/>
  <c r="N61" i="2"/>
  <c r="N63" i="2"/>
  <c r="N65" i="2"/>
  <c r="N67" i="2"/>
  <c r="N68" i="2"/>
  <c r="N70" i="2"/>
  <c r="N72" i="2"/>
  <c r="N74" i="2"/>
  <c r="N78" i="2"/>
  <c r="N80" i="2"/>
  <c r="N130" i="2"/>
  <c r="M132" i="2"/>
  <c r="M145" i="2"/>
  <c r="M159" i="2"/>
  <c r="M176" i="2"/>
  <c r="M187" i="2"/>
  <c r="N200" i="2"/>
  <c r="M203" i="2"/>
  <c r="N235" i="2"/>
  <c r="N248" i="2"/>
  <c r="M258" i="2"/>
  <c r="M26" i="2"/>
  <c r="M28" i="2"/>
  <c r="N26" i="2"/>
  <c r="N28" i="2"/>
  <c r="I2" i="3"/>
  <c r="M31" i="2"/>
  <c r="M33" i="2"/>
  <c r="M35" i="2"/>
  <c r="M38" i="2"/>
  <c r="M40" i="2"/>
  <c r="M42" i="2"/>
  <c r="M44" i="2"/>
  <c r="M46" i="2"/>
  <c r="M48" i="2"/>
  <c r="M50" i="2"/>
  <c r="M52" i="2"/>
  <c r="M54" i="2"/>
  <c r="M58" i="2"/>
  <c r="M60" i="2"/>
  <c r="M62" i="2"/>
  <c r="M64" i="2"/>
  <c r="M66" i="2"/>
  <c r="M71" i="2"/>
  <c r="M75" i="2"/>
  <c r="N9" i="2"/>
  <c r="N11" i="2"/>
  <c r="N13" i="2"/>
  <c r="M25" i="2"/>
  <c r="M27" i="2"/>
  <c r="N25" i="2"/>
  <c r="N27" i="2"/>
  <c r="M10" i="2"/>
  <c r="M12" i="2"/>
  <c r="M14" i="2"/>
  <c r="M16" i="2"/>
  <c r="M20" i="2"/>
  <c r="M22" i="2"/>
  <c r="M83" i="2"/>
  <c r="M84" i="2"/>
  <c r="M86" i="2"/>
  <c r="M88" i="2"/>
  <c r="M90" i="2"/>
  <c r="M92" i="2"/>
  <c r="M94" i="2"/>
  <c r="M96" i="2"/>
  <c r="M100" i="2"/>
  <c r="N129" i="2"/>
  <c r="M130" i="2"/>
  <c r="N142" i="2"/>
  <c r="N155" i="2"/>
  <c r="N187" i="2"/>
  <c r="N197" i="2"/>
  <c r="N216" i="2"/>
  <c r="N234" i="2"/>
  <c r="N256" i="2"/>
  <c r="N83" i="2"/>
  <c r="N84" i="2"/>
  <c r="N86" i="2"/>
  <c r="N88" i="2"/>
  <c r="N92" i="2"/>
  <c r="N94" i="2"/>
  <c r="N96" i="2"/>
  <c r="M99" i="2"/>
  <c r="N100" i="2"/>
  <c r="N109" i="2"/>
  <c r="N127" i="2"/>
  <c r="M129" i="2"/>
  <c r="M142" i="2"/>
  <c r="M155" i="2"/>
  <c r="M183" i="2"/>
  <c r="N185" i="2"/>
  <c r="M197" i="2"/>
  <c r="N213" i="2"/>
  <c r="M216" i="2"/>
  <c r="N232" i="2"/>
  <c r="M234" i="2"/>
  <c r="M246" i="2"/>
  <c r="M256" i="2"/>
  <c r="N263" i="2"/>
  <c r="N107" i="2"/>
  <c r="N183" i="2"/>
  <c r="N193" i="2"/>
  <c r="N211" i="2"/>
  <c r="N230" i="2"/>
  <c r="N246" i="2"/>
  <c r="M255" i="2"/>
  <c r="N261" i="2"/>
  <c r="M263" i="2"/>
  <c r="N278" i="2"/>
  <c r="M278" i="2"/>
  <c r="M107" i="2"/>
  <c r="N123" i="2"/>
  <c r="N149" i="2"/>
  <c r="M179" i="2"/>
  <c r="N189" i="2"/>
  <c r="M193" i="2"/>
  <c r="N209" i="2"/>
  <c r="M211" i="2"/>
  <c r="N228" i="2"/>
  <c r="M230" i="2"/>
  <c r="N255" i="2"/>
  <c r="M261" i="2"/>
  <c r="N303" i="2"/>
  <c r="N327" i="2"/>
  <c r="M290" i="2"/>
  <c r="N301" i="2"/>
  <c r="M303" i="2"/>
  <c r="M314" i="2"/>
  <c r="N325" i="2"/>
  <c r="M327" i="2"/>
  <c r="M338" i="2"/>
  <c r="N270" i="2"/>
  <c r="M276" i="2"/>
  <c r="M288" i="2"/>
  <c r="N290" i="2"/>
  <c r="M301" i="2"/>
  <c r="M312" i="2"/>
  <c r="N314" i="2"/>
  <c r="N323" i="2"/>
  <c r="M325" i="2"/>
  <c r="M336" i="2"/>
  <c r="M349" i="2"/>
  <c r="M368" i="2"/>
  <c r="N288" i="2"/>
  <c r="N297" i="2"/>
  <c r="N312" i="2"/>
  <c r="N321" i="2"/>
  <c r="N266" i="2"/>
  <c r="M268" i="2"/>
  <c r="M284" i="2"/>
  <c r="N286" i="2"/>
  <c r="N295" i="2"/>
  <c r="M297" i="2"/>
  <c r="M308" i="2"/>
  <c r="N310" i="2"/>
  <c r="N319" i="2"/>
  <c r="M321" i="2"/>
  <c r="M345" i="2"/>
  <c r="M365" i="2"/>
  <c r="N293" i="2"/>
  <c r="N317" i="2"/>
  <c r="N291" i="2"/>
  <c r="M293" i="2"/>
  <c r="M304" i="2"/>
  <c r="M317" i="2"/>
  <c r="M328" i="2"/>
  <c r="M341" i="2"/>
  <c r="M351" i="2"/>
  <c r="M361" i="2"/>
  <c r="M277" i="2"/>
  <c r="M291" i="2"/>
  <c r="M302" i="2"/>
  <c r="N304" i="2"/>
  <c r="N313" i="2"/>
  <c r="M315" i="2"/>
  <c r="M326" i="2"/>
  <c r="N328" i="2"/>
  <c r="N257" i="2"/>
  <c r="M271" i="2"/>
  <c r="N277" i="2"/>
  <c r="N287" i="2"/>
  <c r="M289" i="2"/>
  <c r="M300" i="2"/>
  <c r="N302" i="2"/>
  <c r="M313" i="2"/>
  <c r="M324" i="2"/>
  <c r="N326" i="2"/>
  <c r="M337" i="2"/>
  <c r="M348" i="2"/>
  <c r="M367" i="2"/>
  <c r="N271" i="2"/>
  <c r="N300" i="2"/>
  <c r="N309" i="2"/>
  <c r="N324" i="2"/>
  <c r="N253" i="2"/>
  <c r="N283" i="2"/>
  <c r="N307" i="2"/>
  <c r="N305" i="2"/>
</calcChain>
</file>

<file path=xl/sharedStrings.xml><?xml version="1.0" encoding="utf-8"?>
<sst xmlns="http://schemas.openxmlformats.org/spreadsheetml/2006/main" count="4882" uniqueCount="1780">
  <si>
    <t>XX kommuns avfallstaxa – fullständig kalkyl (intäkter)</t>
  </si>
  <si>
    <t>Matriser expanderas: en rad per (Taxapunkt × Variant). §6: Taxapunkt kompletteras med Avfallskod, UN-nummer blir Variant och Enhet tas från enhetskolumn.</t>
  </si>
  <si>
    <t>Paragraf</t>
  </si>
  <si>
    <t>Paragrafnamn</t>
  </si>
  <si>
    <t>Taxapunkt</t>
  </si>
  <si>
    <t>Variant</t>
  </si>
  <si>
    <t>Enhet</t>
  </si>
  <si>
    <t>Taxakod</t>
  </si>
  <si>
    <t>Föreslagen Taxa</t>
  </si>
  <si>
    <t>Taxabeskrivning</t>
  </si>
  <si>
    <t>Faktor</t>
  </si>
  <si>
    <t>Aktuellt pris (exkl m)</t>
  </si>
  <si>
    <t>Föreslaget pris</t>
  </si>
  <si>
    <t>Antal</t>
  </si>
  <si>
    <t>Pris kr (inkl.)</t>
  </si>
  <si>
    <t>Intäkt (kr) exkl</t>
  </si>
  <si>
    <t>§2.1 Grundavgift</t>
  </si>
  <si>
    <t>§2.1</t>
  </si>
  <si>
    <t>Grundavgift</t>
  </si>
  <si>
    <t>En- och tvåbostadshus</t>
  </si>
  <si>
    <t>st/år</t>
  </si>
  <si>
    <t>Fritidshus</t>
  </si>
  <si>
    <t>GRUNDFRI</t>
  </si>
  <si>
    <t>Verksamhet</t>
  </si>
  <si>
    <t>Lägenhet i flerbostadshus</t>
  </si>
  <si>
    <t>GRUNDFLB</t>
  </si>
  <si>
    <t>Lägenhet för specialändamål</t>
  </si>
  <si>
    <t>Anläggning</t>
  </si>
  <si>
    <t>Säsongsbaserad uppställningsplats</t>
  </si>
  <si>
    <t>Campingstuga/-lägenhet</t>
  </si>
  <si>
    <t>Administrativ avgift vid beviljad dispens om uppehåll i hämtning eller eget omhändertagande av avfall under kommunalt ansvar</t>
  </si>
  <si>
    <t>§2.2.1 Hämtningsavgift per år för en- och tvåbostadshus</t>
  </si>
  <si>
    <t>§2.2.1</t>
  </si>
  <si>
    <t>Hämtningsavgift per år för en- och tvåbostadshus</t>
  </si>
  <si>
    <t>Kärl 240 l (mat-/restavfall)</t>
  </si>
  <si>
    <t>Hämtning var 14:e dag</t>
  </si>
  <si>
    <t>KÄ240RM26</t>
  </si>
  <si>
    <t>Hämtning månadsvis</t>
  </si>
  <si>
    <t>Extrakärl 190 l (restavfall)</t>
  </si>
  <si>
    <t>KÄ190XRM26</t>
  </si>
  <si>
    <t>§2.2.2</t>
  </si>
  <si>
    <t>Hämtningsavgift per år för fritidshus</t>
  </si>
  <si>
    <t>KÄ240RM26FRI</t>
  </si>
  <si>
    <t>KÄ190XRM26FRI</t>
  </si>
  <si>
    <t>Kärl 370 l (papper-/plastförpackningar)</t>
  </si>
  <si>
    <t>Kostnadsfritt</t>
  </si>
  <si>
    <t>§2.2.3 Gemensam uppsamlingsplats inom hämtningsområde X</t>
  </si>
  <si>
    <t>§2.2.3</t>
  </si>
  <si>
    <t>Gemensam uppsamlingsplats inom hämtningsområde X</t>
  </si>
  <si>
    <t>Gemensam uppsamlingsplats för mat-/restavfall</t>
  </si>
  <si>
    <t>GEMUPPFRI</t>
  </si>
  <si>
    <t>Gemensam uppsamlingsplats för förpackningar</t>
  </si>
  <si>
    <t>Extra digital licens (årskostnad)</t>
  </si>
  <si>
    <t>Fysisk nyckel, kallad fob (engångskostnad)</t>
  </si>
  <si>
    <t>st/tillfälle</t>
  </si>
  <si>
    <t>Byte av telefonnummer kopplat till licens</t>
  </si>
  <si>
    <t>Kostnad för öppning av behållare</t>
  </si>
  <si>
    <t>§2.2.4</t>
  </si>
  <si>
    <t>Hämtningsavgift per år för flerbostadshus</t>
  </si>
  <si>
    <t>Hämtning varje vecka</t>
  </si>
  <si>
    <t>KÄ240RM52FV</t>
  </si>
  <si>
    <t>KÄ240RM26FV</t>
  </si>
  <si>
    <t>KÄ240RM12FV</t>
  </si>
  <si>
    <t>Kärl 370 l (restavfall)</t>
  </si>
  <si>
    <t>KÄ370RE26FV</t>
  </si>
  <si>
    <t>Kärl 660 l (restavfall)</t>
  </si>
  <si>
    <t>KÄ660RE52FV</t>
  </si>
  <si>
    <t>KÄ660RE26FV</t>
  </si>
  <si>
    <t>Kärl 140 l (matavfall)</t>
  </si>
  <si>
    <t>KÄ140MA52FV</t>
  </si>
  <si>
    <t>KÄ140MA26FV</t>
  </si>
  <si>
    <t>Kärl 190 l (förpackningar)</t>
  </si>
  <si>
    <t>Kärl 370 l (förpackningar)</t>
  </si>
  <si>
    <t>KÄ370FP26FV</t>
  </si>
  <si>
    <t>Kärl 660 l (förpackningar)</t>
  </si>
  <si>
    <t>Kärl 190 l (tidningar och returpapper)</t>
  </si>
  <si>
    <t>KÄ190TI26FV</t>
  </si>
  <si>
    <t>Kärl 370 l (tidningar och returpapper)</t>
  </si>
  <si>
    <t>Bottentömmande behållare (mat-/restavfall, förpackningar)</t>
  </si>
  <si>
    <t>Avgift per tömning</t>
  </si>
  <si>
    <t>st/tömning</t>
  </si>
  <si>
    <t>MBRMFPFV</t>
  </si>
  <si>
    <t>Tillägg för två tömningar per vecka</t>
  </si>
  <si>
    <t>MBRMFP2VFV</t>
  </si>
  <si>
    <t>Gemensam uppsamlingsplats för mat-/restavfall, förpackningar</t>
  </si>
  <si>
    <t>Avgift per lägenhet</t>
  </si>
  <si>
    <t>lägenhet/år</t>
  </si>
  <si>
    <t>GEMUPPMRFPFLB</t>
  </si>
  <si>
    <t>§2.2.5</t>
  </si>
  <si>
    <t>Hämtningsavgift per år för verksamheter</t>
  </si>
  <si>
    <t>Lastväxlarflak (restavfall)</t>
  </si>
  <si>
    <t>LVREFV</t>
  </si>
  <si>
    <t>Bottentömmande behållare (mat-/restavfall)</t>
  </si>
  <si>
    <t>MBRM2VFV</t>
  </si>
  <si>
    <t>§2.2.6 Hämtningsavgift per år för verksamhet inom detaljhandeln med beviljad hantering av kommunalt avfall</t>
  </si>
  <si>
    <t>§2.2.6</t>
  </si>
  <si>
    <t>Hämtningsavgift per år för verksamhet inom detaljhandeln med beviljad hantering av kommunalt avfall</t>
  </si>
  <si>
    <t>KÄ240RM26DH</t>
  </si>
  <si>
    <t>MBRM2VDH</t>
  </si>
  <si>
    <t>§2.2.7 Verksamheter med beviljad hantering av förbrukat matfett, kontorspapper eller returpapper</t>
  </si>
  <si>
    <t>§2.2.7</t>
  </si>
  <si>
    <t>Verksamheter med beviljad hantering av förbrukat matfett, kontorspapper eller returpapper</t>
  </si>
  <si>
    <t>Kärl 140 l (kontors-/returpapper)</t>
  </si>
  <si>
    <t>KÄ140TI</t>
  </si>
  <si>
    <t>Egen överlämning av förbrukat matfett enligt anvisning</t>
  </si>
  <si>
    <t>EGENMATFETT</t>
  </si>
  <si>
    <t>§2.3 Rörlig avgift (gäller ej gemensam uppsamlingsplats)</t>
  </si>
  <si>
    <t>Rörlig avgift (gäller ej gemensam uppsamlingsplats)</t>
  </si>
  <si>
    <t>Viktavgift matavfall</t>
  </si>
  <si>
    <t>kr/kg</t>
  </si>
  <si>
    <t>Viktavgift restavfall</t>
  </si>
  <si>
    <t>§2.4.1 Fakturaavgift</t>
  </si>
  <si>
    <t>§2.4.1</t>
  </si>
  <si>
    <t>§2.4.2 Överviktsavgift kärl</t>
  </si>
  <si>
    <t>§2.4.2</t>
  </si>
  <si>
    <t>Överviktsavgift kärl</t>
  </si>
  <si>
    <t>Delat kärl 240 l restavfall</t>
  </si>
  <si>
    <t>Över 40 kg</t>
  </si>
  <si>
    <t>Extra kärl 140 l matavfall</t>
  </si>
  <si>
    <t>Över 60 kg</t>
  </si>
  <si>
    <t>Kärl 370 l restavfall</t>
  </si>
  <si>
    <t>Kärl 660 l restavfall</t>
  </si>
  <si>
    <t>Över 100 kg</t>
  </si>
  <si>
    <t>§2.4.3 Överfull behållare</t>
  </si>
  <si>
    <t>§2.4.3</t>
  </si>
  <si>
    <t>Överfull behållare</t>
  </si>
  <si>
    <t>Överfullt kärl</t>
  </si>
  <si>
    <t>st/tillfälle/behållare</t>
  </si>
  <si>
    <t>Överfull bottentömmande behållare</t>
  </si>
  <si>
    <t>§2.4.4 Byte av trasigt kärl</t>
  </si>
  <si>
    <t>§2.4.4</t>
  </si>
  <si>
    <t>Byte av trasigt kärl</t>
  </si>
  <si>
    <t>Byte av trasigt kärl vid oaktsamhet</t>
  </si>
  <si>
    <t>st/kärl</t>
  </si>
  <si>
    <t>§2.4.5 Byte av abonnemang</t>
  </si>
  <si>
    <t>§2.4.5</t>
  </si>
  <si>
    <t>Byte av abonnemang</t>
  </si>
  <si>
    <t>Byte/återtag av kärl en (1) ggr/år</t>
  </si>
  <si>
    <t>140–240 liter</t>
  </si>
  <si>
    <t>370–660 liter</t>
  </si>
  <si>
    <t>Ytterligare byte av kärl under kalenderåret</t>
  </si>
  <si>
    <t>§2.4.6 Felsorteringsavgift</t>
  </si>
  <si>
    <t>§2.4.6</t>
  </si>
  <si>
    <t>Felsorteringsavgift</t>
  </si>
  <si>
    <t>Kärl</t>
  </si>
  <si>
    <t>Bottentömmande behållare</t>
  </si>
  <si>
    <t>§2.4.7 Dragväg och avfallsutrymmen</t>
  </si>
  <si>
    <t>§2.4.7</t>
  </si>
  <si>
    <t>Dragväg och avfallsutrymmen</t>
  </si>
  <si>
    <t>Kärl 140-660 L</t>
  </si>
  <si>
    <t>10-20</t>
  </si>
  <si>
    <t>20-30</t>
  </si>
  <si>
    <t>Låst dörr, med kod</t>
  </si>
  <si>
    <t>§2.4.8 Evenemang och andra tillfälliga händelser</t>
  </si>
  <si>
    <t>§2.4.8</t>
  </si>
  <si>
    <t>Evenemang och andra tillfälliga händelser</t>
  </si>
  <si>
    <t>Kärl 140 l matavfall</t>
  </si>
  <si>
    <t>st/period</t>
  </si>
  <si>
    <t>§2.4.9 Budning av mat- och restavfall</t>
  </si>
  <si>
    <t>§2.4.9</t>
  </si>
  <si>
    <t>Budning av mat- och restavfall</t>
  </si>
  <si>
    <t>Sidlastande fordon</t>
  </si>
  <si>
    <t>Bottentömmande fordon</t>
  </si>
  <si>
    <t>§2.4.10 Betalsäck och akutsäck</t>
  </si>
  <si>
    <t>§2.4.10</t>
  </si>
  <si>
    <t>Betalsäck och akutsäck</t>
  </si>
  <si>
    <t>Betalsäck</t>
  </si>
  <si>
    <t>st/säck</t>
  </si>
  <si>
    <t>§2.4.11 Tillbehör</t>
  </si>
  <si>
    <t>§2.4.11</t>
  </si>
  <si>
    <t>Tillbehör</t>
  </si>
  <si>
    <t>Matavfallspåsar 22 L</t>
  </si>
  <si>
    <t>bunt</t>
  </si>
  <si>
    <t>Gravitationslås till kärl</t>
  </si>
  <si>
    <t>st</t>
  </si>
  <si>
    <t>Extra nyckel till gravitationslås</t>
  </si>
  <si>
    <t>§2.5.1 Budning för fastighetsnära hämtning av kommunalt avfall</t>
  </si>
  <si>
    <t>§2.5.1</t>
  </si>
  <si>
    <t>Budning för fastighetsnära hämtning av kommunalt avfall</t>
  </si>
  <si>
    <t>Kommunalt avfall</t>
  </si>
  <si>
    <t>Farligt avfall (ej uppmärkt)</t>
  </si>
  <si>
    <t>Farligt avfall (uppmärkt)</t>
  </si>
  <si>
    <t>Ordinarie tömning slam</t>
  </si>
  <si>
    <t>Mellan 3 m3 och 6 m3</t>
  </si>
  <si>
    <t>kr/tömning</t>
  </si>
  <si>
    <t>Mellan 6 m3 och 9 m3</t>
  </si>
  <si>
    <t>Tillägg per m3 över 9 m3</t>
  </si>
  <si>
    <t>kr/m3</t>
  </si>
  <si>
    <t>Bad-, disk- och tvättbrunn upp till 3 m3</t>
  </si>
  <si>
    <t>§3.2 Tilläggstjänster slam</t>
  </si>
  <si>
    <t>Tilläggstjänster slam</t>
  </si>
  <si>
    <t>Dragning av extra slang vid 25-35 m</t>
  </si>
  <si>
    <t>kr/tillfälle</t>
  </si>
  <si>
    <t>Dragning av extra slang vid 36-45 m</t>
  </si>
  <si>
    <t>Hantering av brunnslock som väger 15-25 kg</t>
  </si>
  <si>
    <t>Krav på information om tömningstid</t>
  </si>
  <si>
    <t>Krav på närvaro vid specificerad tömningstid</t>
  </si>
  <si>
    <t>Hantering av kod för kodlås vid slamtömning</t>
  </si>
  <si>
    <t>Hetvattentvätt med spolbil, timersättning</t>
  </si>
  <si>
    <t>Avgift om tömning ej kan utföras pga. hinder, bristande transportväg, betonglock, lock tyngre än 25 kg eller vägran</t>
  </si>
  <si>
    <t>Tömning av extra tank/brunn i samband med ordinarie/budad tömning upp till 5 m3</t>
  </si>
  <si>
    <t>§3.3 Övriga avgifter och tillägg slam</t>
  </si>
  <si>
    <t>Övriga avgifter och tillägg slam</t>
  </si>
  <si>
    <t>Budning inom ordinarie tömningsperiod (1 maj- 31 oktober)</t>
  </si>
  <si>
    <t>Inom 24 timmar</t>
  </si>
  <si>
    <t>Budning utanför ordinarie tömningsperiod (1 nov – 30 april)</t>
  </si>
  <si>
    <t>Inom 7 arbetsdagar</t>
  </si>
  <si>
    <t>Tömning av toalettvagnar eller liknande</t>
  </si>
  <si>
    <t>Framkörningsavgift då ordinarie tömning inte skett på grund av hinder, abonnenten vägrar, bristfällig väg eller annat</t>
  </si>
  <si>
    <t>Sen anmälan om förändringar av tömningsintervall. Om förändring, nyanmälan eller avbokning av slamtömning meddelas efter 1 april innevarande år.</t>
  </si>
  <si>
    <t>§3.4 Latrinbehållare</t>
  </si>
  <si>
    <t>Latrinbehållare</t>
  </si>
  <si>
    <t>Latrinbehållare 37 liter inkl. mottagning och behandling</t>
  </si>
  <si>
    <t>§4.1 Budad hämtning fosforfilter</t>
  </si>
  <si>
    <t>Budad hämtning fosforfilter</t>
  </si>
  <si>
    <t>Filtermassor upp till 500 kg</t>
  </si>
  <si>
    <t>Budad hämtning inom sju (7) arbetsdagar</t>
  </si>
  <si>
    <t>Filtermassor 500-1000 kg</t>
  </si>
  <si>
    <t>Tillägg för transport och behandlingskostnad</t>
  </si>
  <si>
    <t>§4.2 Tilläggstjänster fosforfilter</t>
  </si>
  <si>
    <t>Tilläggstjänster fosforfilter</t>
  </si>
  <si>
    <t>Krav på information om hämtningstid</t>
  </si>
  <si>
    <t>Krav på närvaro vid specificerad hämtningstid</t>
  </si>
  <si>
    <t>Hantering av kod för kodlås</t>
  </si>
  <si>
    <t>Avgift om hämtning ej kan utföras pga hinder, bristande väg eller vägran</t>
  </si>
  <si>
    <t>§5.1 Ordinarie tömning av fettavskiljare</t>
  </si>
  <si>
    <t>Ordinarie tömning av fettavskiljare</t>
  </si>
  <si>
    <t>Upp till 3 m3</t>
  </si>
  <si>
    <t>Tömning, transport och behandling av fettavskiljare/tank enligt anmält tömningsintervall</t>
  </si>
  <si>
    <t>Över 6 m3</t>
  </si>
  <si>
    <t>§5.2 Tilläggstjänster fettavskiljare</t>
  </si>
  <si>
    <t>Tilläggstjänster fettavskiljare</t>
  </si>
  <si>
    <t>Dragning av extra slang vid 5-25 m</t>
  </si>
  <si>
    <t>Hantering av kod för kodlås vid tömning</t>
  </si>
  <si>
    <t>Silikontätning per lock</t>
  </si>
  <si>
    <t>Avgift om tömning ej kan utföras pga hinder, bristande transportväg, betonglock, lock tyngre än 25 kg eller vägran</t>
  </si>
  <si>
    <t>Tömning av extra tank i samband med ordinarie/budad tömning upp till 5 m3</t>
  </si>
  <si>
    <t>§5.3 Övriga avgifter och tillägg fettavskiljare</t>
  </si>
  <si>
    <t>Övriga avgifter och tillägg fettavskiljare</t>
  </si>
  <si>
    <t>Inom 48 timmar</t>
  </si>
  <si>
    <t>Budning utanför ordinarie tömningsperiod</t>
  </si>
  <si>
    <t>Inom 8 arbetsdagar</t>
  </si>
  <si>
    <t>Sen anmälan om förändringar av tömningsintervall. Om förändring, nyanmälan eller avbokning av tömning meddelas efter 1 april innevarande år.</t>
  </si>
  <si>
    <t>§6.1.1 Inpassering på ÅVC</t>
  </si>
  <si>
    <t>§6.1.1</t>
  </si>
  <si>
    <t>Inpassering på ÅVC</t>
  </si>
  <si>
    <t>Verksamheter</t>
  </si>
  <si>
    <t>kr/besök</t>
  </si>
  <si>
    <t>Övriga abonnemangstyper</t>
  </si>
  <si>
    <t>Vågkort</t>
  </si>
  <si>
    <t>Borttappat vågkort</t>
  </si>
  <si>
    <t>§6.1.2 Hanteringsavgifter för avfall inlämnat på återvinningscentral</t>
  </si>
  <si>
    <t>§6.1.2</t>
  </si>
  <si>
    <t>Hanteringsavgifter för avfall inlämnat på återvinningscentral</t>
  </si>
  <si>
    <t>Träavfall – obehandlat, utan tapet, plastmatta, tjärpapp</t>
  </si>
  <si>
    <t>Träavfall – behandlat, utan tapet, plastmatta, tjärpapp</t>
  </si>
  <si>
    <t>Tryckimpregnerat trä (inkl pall)</t>
  </si>
  <si>
    <t>Tegel</t>
  </si>
  <si>
    <t>Fönster med karm</t>
  </si>
  <si>
    <t>Isolering utan innehåll av asbest</t>
  </si>
  <si>
    <t>Kvistar och grenar</t>
  </si>
  <si>
    <t>Kr/l</t>
  </si>
  <si>
    <t>Kr/Kg</t>
  </si>
  <si>
    <t>12</t>
  </si>
  <si>
    <t>§6.1.3</t>
  </si>
  <si>
    <t>Hyra av container</t>
  </si>
  <si>
    <t>Container 3 m3</t>
  </si>
  <si>
    <t>st/dygn</t>
  </si>
  <si>
    <t>Container 5 m3</t>
  </si>
  <si>
    <t>Container 8 m3</t>
  </si>
  <si>
    <t>§6.1.4</t>
  </si>
  <si>
    <t>Tillägg och avgifter</t>
  </si>
  <si>
    <t>MBRMFV</t>
  </si>
  <si>
    <t>MBRMDH</t>
  </si>
  <si>
    <t>Egen överlämning av förbrukat kontors-/returpapper enligt anvisning</t>
  </si>
  <si>
    <t>EGENKONTRET</t>
  </si>
  <si>
    <t>Pris (kr)</t>
  </si>
  <si>
    <t>Intäkt (kr)</t>
  </si>
  <si>
    <t>1,5-10</t>
  </si>
  <si>
    <t>Kontroll</t>
  </si>
  <si>
    <t>Resultat</t>
  </si>
  <si>
    <t>Status</t>
  </si>
  <si>
    <t>intRecnum</t>
  </si>
  <si>
    <t>strTaxekod</t>
  </si>
  <si>
    <t>strTaxebenamning</t>
  </si>
  <si>
    <t>strProdukt</t>
  </si>
  <si>
    <t>strDelProdukt</t>
  </si>
  <si>
    <t>bytDelradnr</t>
  </si>
  <si>
    <t>strFaktor</t>
  </si>
  <si>
    <t>strTaxedelAvser</t>
  </si>
  <si>
    <t>strEntreprenorkod</t>
  </si>
  <si>
    <t>strRenhDistrKod</t>
  </si>
  <si>
    <t>curNuvarandePris</t>
  </si>
  <si>
    <t>datNuvarandePrisDatum</t>
  </si>
  <si>
    <t>bolPrisPerTomning</t>
  </si>
  <si>
    <t>strAvvikandeFormel</t>
  </si>
  <si>
    <t>bolPriserInklMoms</t>
  </si>
  <si>
    <t>bytMomskod</t>
  </si>
  <si>
    <t>strFormel</t>
  </si>
  <si>
    <t>A</t>
  </si>
  <si>
    <t>AVLOPP BOSTADSHUS</t>
  </si>
  <si>
    <t>VA</t>
  </si>
  <si>
    <t>AVL</t>
  </si>
  <si>
    <t>ÅRPR</t>
  </si>
  <si>
    <t>Avlopp bostadshus</t>
  </si>
  <si>
    <t>-</t>
  </si>
  <si>
    <t>AF</t>
  </si>
  <si>
    <t>AVLOPP FRITIDSHUS</t>
  </si>
  <si>
    <t>Avlopp fritidshus</t>
  </si>
  <si>
    <t>AFC</t>
  </si>
  <si>
    <t>AVLOPP FRITIDSHUS CAMPING</t>
  </si>
  <si>
    <t>ÅRKV</t>
  </si>
  <si>
    <t>KETT</t>
  </si>
  <si>
    <t>AKUT</t>
  </si>
  <si>
    <t>EXTRAAVGIFT AKUT SLAMTÖMNING</t>
  </si>
  <si>
    <t>RENH</t>
  </si>
  <si>
    <t>SLAM</t>
  </si>
  <si>
    <t>KVAN</t>
  </si>
  <si>
    <t>Extraavg akut slamtömning</t>
  </si>
  <si>
    <t>ANTL</t>
  </si>
  <si>
    <t>AKUTSÄCK</t>
  </si>
  <si>
    <t>Avgift för akutsäck</t>
  </si>
  <si>
    <t>HUSH</t>
  </si>
  <si>
    <t>AMOAVISER</t>
  </si>
  <si>
    <t>Amorteringsplanavisering</t>
  </si>
  <si>
    <t>AMOPLAN</t>
  </si>
  <si>
    <t>Amorteringsplan</t>
  </si>
  <si>
    <t>AMORÄNTA</t>
  </si>
  <si>
    <t>Amorteringsplanränta</t>
  </si>
  <si>
    <t>AMOUPP</t>
  </si>
  <si>
    <t>Amorteringsplansuppläggning</t>
  </si>
  <si>
    <t>ANL03SL</t>
  </si>
  <si>
    <t>Tömning slamanläggning</t>
  </si>
  <si>
    <t>Tömning av slamanläggning</t>
  </si>
  <si>
    <t>ANL36SL</t>
  </si>
  <si>
    <t>Tömning slamanläggning 3,1-6 m³</t>
  </si>
  <si>
    <t>Tömning av slamanlägg. 3,1-6</t>
  </si>
  <si>
    <t>ANLSLBASTÖM</t>
  </si>
  <si>
    <t>Tömning slam från Reningsverksbassäng</t>
  </si>
  <si>
    <t>ANLÖ6SL</t>
  </si>
  <si>
    <t>Tömning slamanläggning över 6 m³</t>
  </si>
  <si>
    <t>Tömning av slamanlägg över 6 m³</t>
  </si>
  <si>
    <t>AOBF</t>
  </si>
  <si>
    <t>A, OBEBYGGD FAST. INOM DETALJPLAN</t>
  </si>
  <si>
    <t>Avlopp obebygg inom detaljp</t>
  </si>
  <si>
    <t>AVSLUTA_TJÄNST</t>
  </si>
  <si>
    <t>Dummy för avslut av tjänst via order</t>
  </si>
  <si>
    <t>Avslut av tjänst</t>
  </si>
  <si>
    <t>0</t>
  </si>
  <si>
    <t>BASSLORDKOM</t>
  </si>
  <si>
    <t>Reningsverksbassäng, slam. Ord. tur Kommunal</t>
  </si>
  <si>
    <t>ANTB</t>
  </si>
  <si>
    <t>BDT03SLBUD</t>
  </si>
  <si>
    <t>BDT 0-3 m³, slam. Budning</t>
  </si>
  <si>
    <t>BDT03SLORD</t>
  </si>
  <si>
    <t>BDT 0-3 m³, slam. Ordinarie tur</t>
  </si>
  <si>
    <t>BDT 0-3 m³, slam. Ord. tur</t>
  </si>
  <si>
    <t>BDT36SLBUD</t>
  </si>
  <si>
    <t>BDT 3,1-6 m³, slam. Budning</t>
  </si>
  <si>
    <t>BDT36SLORD</t>
  </si>
  <si>
    <t>BDT 3,1-6 m³, slam. Ord. tur</t>
  </si>
  <si>
    <t>BDTÖ6SLBUD</t>
  </si>
  <si>
    <t>BDT över 6 m³, slam. Budning</t>
  </si>
  <si>
    <t>BDTÖ6SLORD</t>
  </si>
  <si>
    <t>BDT över 6 m³, slam. Ord. tur</t>
  </si>
  <si>
    <t>BEHASKA</t>
  </si>
  <si>
    <t>Behandlingsavgift Aska</t>
  </si>
  <si>
    <t>CONT</t>
  </si>
  <si>
    <t>KBM</t>
  </si>
  <si>
    <t>BEHREST</t>
  </si>
  <si>
    <t>Behandlingsavgift Restavfall</t>
  </si>
  <si>
    <t>VITO</t>
  </si>
  <si>
    <t>BEHSLAM</t>
  </si>
  <si>
    <t>Behandlingsavgift Slam</t>
  </si>
  <si>
    <t>BEHSLAMSTAT</t>
  </si>
  <si>
    <t>Behandlingsavgift Slam Statistik</t>
  </si>
  <si>
    <t>BETALSÄCK</t>
  </si>
  <si>
    <t>Betalsäck, pris per säck</t>
  </si>
  <si>
    <t>BINI1000</t>
  </si>
  <si>
    <t>Bini 1000 lastväxlare-</t>
  </si>
  <si>
    <t>EXT</t>
  </si>
  <si>
    <t>Bini 1000 lastväxlare</t>
  </si>
  <si>
    <t>TIMT</t>
  </si>
  <si>
    <t>BINI500</t>
  </si>
  <si>
    <t>Bini 610/500</t>
  </si>
  <si>
    <t>BRN03SLBUD</t>
  </si>
  <si>
    <t>Brunn 0-3 m³, slam. Budning</t>
  </si>
  <si>
    <t>BRN03SLORD</t>
  </si>
  <si>
    <t>Brunn 0-3 m³, slam. Ord. tur</t>
  </si>
  <si>
    <t>BRN36SLBUD</t>
  </si>
  <si>
    <t>Brunn 3,1-6 m³, slam. Budning</t>
  </si>
  <si>
    <t>BRN36SLORD</t>
  </si>
  <si>
    <t>Brunn 3,1-6 m³, slam. Ord. tur</t>
  </si>
  <si>
    <t>Brunn över 6 m³, slam. Ord. tur</t>
  </si>
  <si>
    <t>BRNÖ6SLBUD</t>
  </si>
  <si>
    <t>Brunn över 6 m³, slam. Budning</t>
  </si>
  <si>
    <t>BRNÖ6SLORD</t>
  </si>
  <si>
    <t>BRÄNNBART</t>
  </si>
  <si>
    <t>Brännbart avfall</t>
  </si>
  <si>
    <t>BYGG</t>
  </si>
  <si>
    <t>BS</t>
  </si>
  <si>
    <t>Byte av sopkärl</t>
  </si>
  <si>
    <t>CONT10ASBUD</t>
  </si>
  <si>
    <t>Container 10m3 Aska</t>
  </si>
  <si>
    <t>CONT12_6FREBUD</t>
  </si>
  <si>
    <t>Container 12m3 6-fack Restavfall</t>
  </si>
  <si>
    <t>Container 12m3 6-fack</t>
  </si>
  <si>
    <t>CONT12SLBUD</t>
  </si>
  <si>
    <t>Container 12 m3, Slam</t>
  </si>
  <si>
    <t>DE190</t>
  </si>
  <si>
    <t>190 L KÄRL DELAT</t>
  </si>
  <si>
    <t>Sophämtning delat 190 l kärl</t>
  </si>
  <si>
    <t>DRÖJRÄNTA</t>
  </si>
  <si>
    <t>Dröjsmålsränta</t>
  </si>
  <si>
    <t>EVEKÄ140MA</t>
  </si>
  <si>
    <t>Evenemangskärl 140 L, matavfall</t>
  </si>
  <si>
    <t>EVEKÄ190RE</t>
  </si>
  <si>
    <t>Evenemangskärl 190 L, restavfall</t>
  </si>
  <si>
    <t>EVEKÄ660RE</t>
  </si>
  <si>
    <t>Evenemangskärl 660 L, restavfall</t>
  </si>
  <si>
    <t>EVENEMANG</t>
  </si>
  <si>
    <t>Tjänsttaxa för tillfälliga evenemangskärl</t>
  </si>
  <si>
    <t>Tjänsttaxa för evenemangskärl</t>
  </si>
  <si>
    <t>EXTRA</t>
  </si>
  <si>
    <t>Efteranmälan slamtömning</t>
  </si>
  <si>
    <t>Förseningsavgift efteranmälan</t>
  </si>
  <si>
    <t>FARLIGTBUD</t>
  </si>
  <si>
    <t>Budning av farligt avfall, pris per tillfälle</t>
  </si>
  <si>
    <t>FELSORT</t>
  </si>
  <si>
    <t>Felsorteringsavgift, pris per tillfälle och kärl</t>
  </si>
  <si>
    <t>FILMBESIKT</t>
  </si>
  <si>
    <t>Filmning/besiktning</t>
  </si>
  <si>
    <t>FJ</t>
  </si>
  <si>
    <t>FJÄRRVÄRME</t>
  </si>
  <si>
    <t>FÖRB</t>
  </si>
  <si>
    <t>Fjärrvärme</t>
  </si>
  <si>
    <t>FRAMKAVG</t>
  </si>
  <si>
    <t>Framkörningsavgift</t>
  </si>
  <si>
    <t>FRIFAKTURA</t>
  </si>
  <si>
    <t>Fri faktura, standard</t>
  </si>
  <si>
    <t>FRIKV</t>
  </si>
  <si>
    <t>FRI KVANTITET</t>
  </si>
  <si>
    <t>AD</t>
  </si>
  <si>
    <t>FRIUT</t>
  </si>
  <si>
    <t>FRITT UTFÖRANDE</t>
  </si>
  <si>
    <t>FRUSEN</t>
  </si>
  <si>
    <t>BYTE AV FRUSEN MÄTARE</t>
  </si>
  <si>
    <t>Byte av frusen mätare</t>
  </si>
  <si>
    <t>GEMKÄFRI</t>
  </si>
  <si>
    <t>Gemensam uppsamlingsplats med eget kärl, fritidshus</t>
  </si>
  <si>
    <t>Hämtningavgift gemensam uppsamlingsplats, eget kärl</t>
  </si>
  <si>
    <t>Viktavgift rest- matavfall kr/kg</t>
  </si>
  <si>
    <t>VIKG</t>
  </si>
  <si>
    <t>GEMLIPFRI</t>
  </si>
  <si>
    <t>Gemensam uppsamlingsplats (LIP), fritidshus</t>
  </si>
  <si>
    <t>LIP, mat- och restavfall</t>
  </si>
  <si>
    <t>FAST</t>
  </si>
  <si>
    <t>GEMNYCKEL3</t>
  </si>
  <si>
    <t>Telefonnyckel nr 3 Gemlipfri</t>
  </si>
  <si>
    <t>GEMNYCKEL4</t>
  </si>
  <si>
    <t>Telefonnyckel nr 4 Gemlipfri</t>
  </si>
  <si>
    <t>GEMNYCKELTAGG</t>
  </si>
  <si>
    <t>Tagg Gemlipfri</t>
  </si>
  <si>
    <t>GM</t>
  </si>
  <si>
    <t>GRUND OCH MÄTARAVGIFT</t>
  </si>
  <si>
    <t>Grund och mätaravgift</t>
  </si>
  <si>
    <t>GROVAVFALL</t>
  </si>
  <si>
    <t>Grovavfall/organiskt avfall, storkompost (verksamhet)</t>
  </si>
  <si>
    <t>Grovavfall/organiskt avfall, storkompost</t>
  </si>
  <si>
    <t>GROVBUD</t>
  </si>
  <si>
    <t>Budning av grovavfall, pris per tillfälle</t>
  </si>
  <si>
    <t>Grundavgift per lägenhet, flerbostadshus</t>
  </si>
  <si>
    <t>Grundavgift per lägenhet</t>
  </si>
  <si>
    <t>LÄGH</t>
  </si>
  <si>
    <t>Grundavgift fritidshus</t>
  </si>
  <si>
    <t>Grundavg. renhåll. fritid</t>
  </si>
  <si>
    <t>GRUNDFÖR1</t>
  </si>
  <si>
    <t>Grundavgift nivå 1, små/medel</t>
  </si>
  <si>
    <t>Grundavgift nivå 1</t>
  </si>
  <si>
    <t>GRUNDFÖR2</t>
  </si>
  <si>
    <t>Grundavgift nivå 2, större företag</t>
  </si>
  <si>
    <t>Grundavgift nivå 2</t>
  </si>
  <si>
    <t>GRUNDLOK</t>
  </si>
  <si>
    <t>Grundavgift lokaler, föreningar etc.</t>
  </si>
  <si>
    <t>GRUNDLÄG</t>
  </si>
  <si>
    <t>Grundavgift, tvåbostadshus</t>
  </si>
  <si>
    <t>GRUNDPER</t>
  </si>
  <si>
    <t>Grundavgift permanentboende</t>
  </si>
  <si>
    <t>Grundavgift renhållning perm.</t>
  </si>
  <si>
    <t>GRUNDPERM</t>
  </si>
  <si>
    <t>Grundavgift permanentboende *ska upphöra*</t>
  </si>
  <si>
    <t>H120</t>
  </si>
  <si>
    <t>120 L KÄRL 14-DAG. HÄMTN.</t>
  </si>
  <si>
    <t>14-dagars hämtning 120 l kärl</t>
  </si>
  <si>
    <t>H190</t>
  </si>
  <si>
    <t>190 L KÄRL 14-DAG. HÄMTN.</t>
  </si>
  <si>
    <t>14-dagars hämtning 190 l kärl</t>
  </si>
  <si>
    <t>H190TT</t>
  </si>
  <si>
    <t>190 L KÄRL tillf tjänst</t>
  </si>
  <si>
    <t>H370</t>
  </si>
  <si>
    <t>370 L KÄRL 14-DAG. HÄMTN.</t>
  </si>
  <si>
    <t>14-dagars hämtning 370 l kärl</t>
  </si>
  <si>
    <t>H660</t>
  </si>
  <si>
    <t>660 L KÄRL 14-DAG. HÄMTN.</t>
  </si>
  <si>
    <t>14-dagars hämtning 660 l kärl</t>
  </si>
  <si>
    <t>HCO03</t>
  </si>
  <si>
    <t>Hyra container 3 m³</t>
  </si>
  <si>
    <t>HCO05</t>
  </si>
  <si>
    <t>Hyra container 5 m³</t>
  </si>
  <si>
    <t>HCO08</t>
  </si>
  <si>
    <t>Hyra container 8 m³</t>
  </si>
  <si>
    <t>HF120</t>
  </si>
  <si>
    <t>120 L KÄRL FRITIDSHUS</t>
  </si>
  <si>
    <t>HF190</t>
  </si>
  <si>
    <t>190 L KÄRL FRITIDSHUS</t>
  </si>
  <si>
    <t>HF190T</t>
  </si>
  <si>
    <t>HF370</t>
  </si>
  <si>
    <t>370 L KÄRL FRITIDSHUS</t>
  </si>
  <si>
    <t>HU120</t>
  </si>
  <si>
    <t>120 L KÄRL UTAN GRUNDAVGIFT</t>
  </si>
  <si>
    <t>Sophämtning 120 l kärl</t>
  </si>
  <si>
    <t>HU190</t>
  </si>
  <si>
    <t>190 L KÄRL UTAN GRUNDAVGIFT</t>
  </si>
  <si>
    <t>Sophämtning 190 l kärl</t>
  </si>
  <si>
    <t>HU370</t>
  </si>
  <si>
    <t>370 L KÄRL UTAN GRUNDAVGIFT</t>
  </si>
  <si>
    <t>Sophämtning 370 l kärl</t>
  </si>
  <si>
    <t>HU660</t>
  </si>
  <si>
    <t>660 L KÄRL UTAN GRUNDAVGIFT</t>
  </si>
  <si>
    <t>Sophämtning 660 l kärl</t>
  </si>
  <si>
    <t>HUF120</t>
  </si>
  <si>
    <t>120 L KÄRL FRITIDSHUS UTAN GRUNDAVG.</t>
  </si>
  <si>
    <t>Sophämtning 120 lit kärl</t>
  </si>
  <si>
    <t>HUF370</t>
  </si>
  <si>
    <t>370 L KÄRL FRITIDSHUS UTAN GRUNDAVG.</t>
  </si>
  <si>
    <t>HÄMTFARLIGT</t>
  </si>
  <si>
    <t>Hämtning av farligt avfall hos hushåll (max 25 kg)</t>
  </si>
  <si>
    <t>Hämtning av farligt avfall, pris per tillfälle</t>
  </si>
  <si>
    <t>INERTAVFALL</t>
  </si>
  <si>
    <t>Inert avfall. Tex klinker, porslin, toalettstolar</t>
  </si>
  <si>
    <t>INKASSO</t>
  </si>
  <si>
    <t>Inkassoavgift</t>
  </si>
  <si>
    <t>KREDGRUNDPER</t>
  </si>
  <si>
    <t>Kreditering av grundavgifter april/maj 2023</t>
  </si>
  <si>
    <t>Kärl 140 L, matavfall. Var 14:e dag. FLB/VHT</t>
  </si>
  <si>
    <t>Kärl 140 L matavfall FLB/VHT</t>
  </si>
  <si>
    <t>Viktavgift matavfall kr/kg</t>
  </si>
  <si>
    <t>VIKG,MAX60</t>
  </si>
  <si>
    <t>Vikt över 60 kg, matavfall</t>
  </si>
  <si>
    <t>VIKG-60,MIN0</t>
  </si>
  <si>
    <t>KÄ140MA26FV_old</t>
  </si>
  <si>
    <t>Kärlavgift 140 L kärl, matavfall. Var 14:e dag</t>
  </si>
  <si>
    <t>Viktavgift restavfall kr/kg</t>
  </si>
  <si>
    <t>KÄ140MAEXTRA</t>
  </si>
  <si>
    <t>Kärlavgift för extra kärl 140 L, matavfall. Var 14:e dag</t>
  </si>
  <si>
    <t>Extra kärl 140 L, matavfall</t>
  </si>
  <si>
    <t>KÄ140REEXTRA</t>
  </si>
  <si>
    <t>Kärlavgift för extra kärl 140 L, restavfall. Var 14:e dag</t>
  </si>
  <si>
    <t>Extra kärl 140 L, restavfall</t>
  </si>
  <si>
    <t>Vikt över 60 kg, restavfall</t>
  </si>
  <si>
    <t>KÄ240RK26</t>
  </si>
  <si>
    <t>Tvåfackskärl, rest/kompost.</t>
  </si>
  <si>
    <t>Kärl 240L , restavfall/kompost</t>
  </si>
  <si>
    <t>Tvåfackskärl , rest/matavfall.</t>
  </si>
  <si>
    <t>Tvåfackskärl, rest/mat FLB/VHT</t>
  </si>
  <si>
    <t>Kärl 240L , rest/mat FLB/VHT</t>
  </si>
  <si>
    <t>Kärl 370 L, rest. FLB/VHT</t>
  </si>
  <si>
    <t>Kärl 370 L kärl, rest. FLB/VHT</t>
  </si>
  <si>
    <t>Avgift över 60 kg, restavfall</t>
  </si>
  <si>
    <t>Kärl 660 L, rest. FLB/VHT</t>
  </si>
  <si>
    <t>KÄ660ÖVRIGT</t>
  </si>
  <si>
    <t>Kärl 660 kommunens egna kärl för tex akutsäck</t>
  </si>
  <si>
    <t>KÄRLBYTE240</t>
  </si>
  <si>
    <t>Byte/återtag av behållare 140–240 L, 1 ggr/år</t>
  </si>
  <si>
    <t>KÄRLBYTE660</t>
  </si>
  <si>
    <t>Byte/återtag av behållare 370–660 L, 1 ggr/år</t>
  </si>
  <si>
    <t>KÄRLBYTEFLER</t>
  </si>
  <si>
    <t>L</t>
  </si>
  <si>
    <t>EXTRA SLANG &gt; 5 M</t>
  </si>
  <si>
    <t>Extra slang &gt; 5 m</t>
  </si>
  <si>
    <t>LATRINBEHÅLL</t>
  </si>
  <si>
    <t>Avgift för latrinbehållare</t>
  </si>
  <si>
    <t>MANLASTBIL</t>
  </si>
  <si>
    <t>MAN Lastbil- externa tjänster</t>
  </si>
  <si>
    <t>MAN Lastbil</t>
  </si>
  <si>
    <t>MB1400GF</t>
  </si>
  <si>
    <t>Tömning Markbehållare 1.4 m³, glas färgat. Tjänsttaxa</t>
  </si>
  <si>
    <t>ÅVS</t>
  </si>
  <si>
    <t>Tömning Markbehållare 1.4 m³, glas färgat.</t>
  </si>
  <si>
    <t>MB1400GFTÖM</t>
  </si>
  <si>
    <t>MB1400GO</t>
  </si>
  <si>
    <t>Tömning Markbehållare 1.4 m³, glas ofärgat. Tjänsttaxa</t>
  </si>
  <si>
    <t>Tömning Markbehållare 1.4 m³, glas ofärgat.</t>
  </si>
  <si>
    <t>MB1400GOTÖM</t>
  </si>
  <si>
    <t>TTömning Markbehållare 1.4 m³, glas ofärgat.</t>
  </si>
  <si>
    <t>MB1400MA</t>
  </si>
  <si>
    <t>Tömning Markbehållare 1.4 m³, matavfall. Tjänsttaxa</t>
  </si>
  <si>
    <t>Tömning Markbehållare 1.4 m³, matavfall.</t>
  </si>
  <si>
    <t>MB1400MATÖM</t>
  </si>
  <si>
    <t>Tömning Markbehållare 1.4 m³, matavfall</t>
  </si>
  <si>
    <t>MB1400ME</t>
  </si>
  <si>
    <t>Tömning Markbehållare 1.4 m³, metallförpackningar. Tjänsttaxa</t>
  </si>
  <si>
    <t>Tömning Markbehållare 1.4 m³, metallförpackningar.</t>
  </si>
  <si>
    <t>MB1400METÖM</t>
  </si>
  <si>
    <t>MB1400TI</t>
  </si>
  <si>
    <t>Tömning Markbehållare 1.4 m³, tidningar. Tjänsttaxa</t>
  </si>
  <si>
    <t>Tömning Markbehållare 1.4 m³, tidningar.</t>
  </si>
  <si>
    <t>MB1400TITÖM</t>
  </si>
  <si>
    <t>MB1400TÖM</t>
  </si>
  <si>
    <t>MB2600PA</t>
  </si>
  <si>
    <t>Tömning Markbehållare 2,6 m³, pappersförpackningar. Tjänsttaxa</t>
  </si>
  <si>
    <t>Tömning Markbehållare 2,6 m³, pappersförpackningar.</t>
  </si>
  <si>
    <t>MB2600PATÖM</t>
  </si>
  <si>
    <t>MB2600PL</t>
  </si>
  <si>
    <t>Tömning Markbehållare 2,6 m³, plastförpackning. Tjänsttaxa</t>
  </si>
  <si>
    <t>Tömning Markbehållare 2,6 m³, plastförpackning.</t>
  </si>
  <si>
    <t>MB2600PLTÖM</t>
  </si>
  <si>
    <t>MB2600RE</t>
  </si>
  <si>
    <t>Tömning Markbehållare 2,6 m³, restavfall. Tjänsttaxa</t>
  </si>
  <si>
    <t>Tömning Markbehållare 2,6 m³, restavfall.</t>
  </si>
  <si>
    <t>MB2600RETÖM</t>
  </si>
  <si>
    <t>MBSPRINTER</t>
  </si>
  <si>
    <t>MB Sprinter- externa tjänster</t>
  </si>
  <si>
    <t>MB Sprinter</t>
  </si>
  <si>
    <t>METALLSKROT</t>
  </si>
  <si>
    <t>Metallskrot- rent</t>
  </si>
  <si>
    <t>MF1</t>
  </si>
  <si>
    <t>Miljöfarligt avfall nivå , små/medel företag</t>
  </si>
  <si>
    <t>Miljöfarligt avfall nivå 1</t>
  </si>
  <si>
    <t>MF2</t>
  </si>
  <si>
    <t>Miljöfarligt avfall nivå 2, större företag</t>
  </si>
  <si>
    <t>Miljöfarligt avfall nivå 2</t>
  </si>
  <si>
    <t>MRV03SLBUD</t>
  </si>
  <si>
    <t>Minireningsverk 0-3 m³, slam. Budning</t>
  </si>
  <si>
    <t>MRV03SLORD</t>
  </si>
  <si>
    <t>Minireningsverk 0-3 m³, slam. Ordinarie tur</t>
  </si>
  <si>
    <t>MRV36SLBUD</t>
  </si>
  <si>
    <t>Minireningsverk 3,1-6 m³, slam. Budning</t>
  </si>
  <si>
    <t>MRV36SLORD</t>
  </si>
  <si>
    <t>Minireningsverk 3,1-6 m³, slam. Ordinarie tur</t>
  </si>
  <si>
    <t>MRVÖ6SLBUD</t>
  </si>
  <si>
    <t>Minireningsverk över 6 m³, slam. Budning</t>
  </si>
  <si>
    <t>MRVÖ6SLORD</t>
  </si>
  <si>
    <t>Minireningsverk över 6 m³, slam. Ordinarie tur</t>
  </si>
  <si>
    <t>NYRFID</t>
  </si>
  <si>
    <t>Mottagarantjänstför okänt RFID</t>
  </si>
  <si>
    <t>NYTJÄNST</t>
  </si>
  <si>
    <t>Dummytaxa, ny tjänst via ändringsorder</t>
  </si>
  <si>
    <t>OA</t>
  </si>
  <si>
    <t>OBEBOTT AVLOPP</t>
  </si>
  <si>
    <t>Obebott, avlopp</t>
  </si>
  <si>
    <t>OMKLASS</t>
  </si>
  <si>
    <t>Omklassning av felsorterad container</t>
  </si>
  <si>
    <t>ORTRASIGTKÄRL</t>
  </si>
  <si>
    <t>Orderrad för trasigt kärl, byta/laga</t>
  </si>
  <si>
    <t>OV</t>
  </si>
  <si>
    <t>OBEBOTT VATTEN</t>
  </si>
  <si>
    <t>VATT</t>
  </si>
  <si>
    <t>Obebott, vatten</t>
  </si>
  <si>
    <t>OVA</t>
  </si>
  <si>
    <t>OBEBOTT VA</t>
  </si>
  <si>
    <t>Obebott, vatten och avlopp</t>
  </si>
  <si>
    <t>PERSONAL</t>
  </si>
  <si>
    <t>Personal- externa tjänster</t>
  </si>
  <si>
    <t>Personal</t>
  </si>
  <si>
    <t>PERSONBIL</t>
  </si>
  <si>
    <t>Personbil- externa tjänster</t>
  </si>
  <si>
    <t>Personbil</t>
  </si>
  <si>
    <t>PÅMINN</t>
  </si>
  <si>
    <t>Påminnelsavgift</t>
  </si>
  <si>
    <t>RES</t>
  </si>
  <si>
    <t>660 L RESURSKÄRL</t>
  </si>
  <si>
    <t>Tömning av resurskärl</t>
  </si>
  <si>
    <t>RESTSKULD</t>
  </si>
  <si>
    <t>Restskuld</t>
  </si>
  <si>
    <t>RHTILLAV</t>
  </si>
  <si>
    <t>Renh, tillägg-avdrag</t>
  </si>
  <si>
    <t>SAMAM</t>
  </si>
  <si>
    <t>SAMLINGSKÄRL AMMARNÄS</t>
  </si>
  <si>
    <t>Sophämtning samlingskärl</t>
  </si>
  <si>
    <t>SAML</t>
  </si>
  <si>
    <t>SAMLINGSKÄRL</t>
  </si>
  <si>
    <t>SAMLB</t>
  </si>
  <si>
    <t>FRITIDSHUS BRÄSKAFORS</t>
  </si>
  <si>
    <t>SAMLF</t>
  </si>
  <si>
    <t>SAMLINGSKÄRL FRITIDSHUS</t>
  </si>
  <si>
    <t>SLAKUT</t>
  </si>
  <si>
    <t>Slam, tillägg för akut tömning</t>
  </si>
  <si>
    <t>Tillägg för akut tömning</t>
  </si>
  <si>
    <t>Tömning av slambrunn</t>
  </si>
  <si>
    <t>SLAM3</t>
  </si>
  <si>
    <t>SLAM MER ÄN 3 kbm</t>
  </si>
  <si>
    <t>SLAM3D</t>
  </si>
  <si>
    <t>Slam3 dummy</t>
  </si>
  <si>
    <t>Slam &gt;3 kbm</t>
  </si>
  <si>
    <t>SLNG</t>
  </si>
  <si>
    <t>SLAM6</t>
  </si>
  <si>
    <t>SLAMBRUNN ÖVER 6 KBM</t>
  </si>
  <si>
    <t>Tömn av slambrunn över 6 kbm</t>
  </si>
  <si>
    <t>SLAM6D</t>
  </si>
  <si>
    <t>Slam6 dummy</t>
  </si>
  <si>
    <t>Slam &gt;6 kbm</t>
  </si>
  <si>
    <t>SLAMD</t>
  </si>
  <si>
    <t>Slam dummy</t>
  </si>
  <si>
    <t>Slam &lt;3 kbm</t>
  </si>
  <si>
    <t>SlamInfo</t>
  </si>
  <si>
    <t>Slanglängd</t>
  </si>
  <si>
    <t>SLAMTUNNA</t>
  </si>
  <si>
    <t>Rolba slamtunna- externa tjänster</t>
  </si>
  <si>
    <t>Rolba slamtunna</t>
  </si>
  <si>
    <t>SLAVROP</t>
  </si>
  <si>
    <t>Slam, tillägg för avropad/budad tömning</t>
  </si>
  <si>
    <t>Tillägg för avropad/budad tömning</t>
  </si>
  <si>
    <t>SLAVSTEG</t>
  </si>
  <si>
    <t>Slam, avgift avsteg från gällande abonnemang</t>
  </si>
  <si>
    <t>Avgift avsteg från gällande abonnemang</t>
  </si>
  <si>
    <t>SLFRAMKÖR</t>
  </si>
  <si>
    <t>Slam, framkörningsavgift</t>
  </si>
  <si>
    <t>Framkörningsavgift slam</t>
  </si>
  <si>
    <t>SLMEDDELANDE</t>
  </si>
  <si>
    <t>Avgift för ej uppfyllt meddelaransvar</t>
  </si>
  <si>
    <t>SLSLANG</t>
  </si>
  <si>
    <t>Slam, tillägg för slangdragning</t>
  </si>
  <si>
    <t>SLSLANGSTAT</t>
  </si>
  <si>
    <t>SLT03SLBUD</t>
  </si>
  <si>
    <t>Sluten tank 0-3 m³, slam. Budning</t>
  </si>
  <si>
    <t>Sluten tank 0-3 m³, slam. Bud</t>
  </si>
  <si>
    <t>SLT03SLORD</t>
  </si>
  <si>
    <t>Sluten tank 0-3 m³, slam. Ordinarie tur</t>
  </si>
  <si>
    <t>Sluten tank 0-3 m³, slam. Ord</t>
  </si>
  <si>
    <t>SLT36SLBUD</t>
  </si>
  <si>
    <t>Sluten tank 3,1-6 m³, slam. Budning</t>
  </si>
  <si>
    <t>Sluten tank 3,1-6 m³, slam. Bud</t>
  </si>
  <si>
    <t>SLT36SLORD</t>
  </si>
  <si>
    <t>Sluten tank 3,1-6 m³, slam. Ordinarie tur</t>
  </si>
  <si>
    <t>Sluten tank 3,1-6 m³, slam. Ord</t>
  </si>
  <si>
    <t>SLTIMTID</t>
  </si>
  <si>
    <t>Slam, tillägg timtid för tömning överstigande 1 timme</t>
  </si>
  <si>
    <t>Tömning överstigande 1 timme</t>
  </si>
  <si>
    <t>SLTOAVAGN</t>
  </si>
  <si>
    <t>Tömning av toalettvagn eller liknande</t>
  </si>
  <si>
    <t>SLTUNGTLOCK</t>
  </si>
  <si>
    <t>Lyft av tungt brunnslock över 15 kg</t>
  </si>
  <si>
    <t>SLTÖ6SLBUD</t>
  </si>
  <si>
    <t>Sluten tank över 6 m³, slam. Budning</t>
  </si>
  <si>
    <t>Sluten tank över 6 m³, slam. Bud</t>
  </si>
  <si>
    <t>SLTÖ6SLORD</t>
  </si>
  <si>
    <t>Sluten tank över 6 m³, slam. Ordinarie tur</t>
  </si>
  <si>
    <t>Sluten tank över 6 m³, slam. Ord</t>
  </si>
  <si>
    <t>SORTERING</t>
  </si>
  <si>
    <t>Material till sortering (Ej farligt avfall och elavfall)</t>
  </si>
  <si>
    <t>Material till sortering</t>
  </si>
  <si>
    <t>SPOLVAGN</t>
  </si>
  <si>
    <t>Spolvagn- externa tjänster</t>
  </si>
  <si>
    <t>Spolvagn</t>
  </si>
  <si>
    <t>TEST 370VV</t>
  </si>
  <si>
    <t>370 L KÄRL/14 DGR 2-DELAT PAPPER OCH PLAST</t>
  </si>
  <si>
    <t>Kärl 370 L kärl test papper plast</t>
  </si>
  <si>
    <t>X</t>
  </si>
  <si>
    <t>Kärl 370 L kärl test viktavgift papper plast</t>
  </si>
  <si>
    <t>TEST240METE13</t>
  </si>
  <si>
    <t>240L 2- delat kärl/4:e vecka metall, textil TEST</t>
  </si>
  <si>
    <t>240 L kärl/4:e vecka metall textil TEST</t>
  </si>
  <si>
    <t>240 L kärl viktavgift metall textil TEST</t>
  </si>
  <si>
    <t>TEST240OFFG13</t>
  </si>
  <si>
    <t>240 2-DELAT KÄRL/4:E VECKA FÄRGAT O OFÄRGAT GLAS TEST</t>
  </si>
  <si>
    <t>240 l kärl/4 vecka test glas färgat ofärgata</t>
  </si>
  <si>
    <t>240 l viktavgift färgat ofärgat test</t>
  </si>
  <si>
    <t>TILLGODO</t>
  </si>
  <si>
    <t>Kreditavdrag</t>
  </si>
  <si>
    <t>KRED</t>
  </si>
  <si>
    <t>TRÄBEHANDL</t>
  </si>
  <si>
    <t>Träavfall- behandlat utan tapet, plastmatta, tjärpapp</t>
  </si>
  <si>
    <t>Träavfall- behandlat</t>
  </si>
  <si>
    <t>TRÄDGÅRDBUD</t>
  </si>
  <si>
    <t>Budning av trädgårdsavfall, pris per tillfälle</t>
  </si>
  <si>
    <t>TRÄRENT</t>
  </si>
  <si>
    <t>Träavfall- rent utan tapet, plastmatta, tjärpapp</t>
  </si>
  <si>
    <t>Träavfall- rent</t>
  </si>
  <si>
    <t>Tungt lock</t>
  </si>
  <si>
    <t>Lyft av tung lock över 15 kilo slam</t>
  </si>
  <si>
    <t>UJ1500GF</t>
  </si>
  <si>
    <t>Underjordsbehållare 1,5 m³, glas färgat. Tjänsttaxa</t>
  </si>
  <si>
    <t>Underjordsbehållare 1,5 m³, glas färgat</t>
  </si>
  <si>
    <t>UJ1500GFTÖM</t>
  </si>
  <si>
    <t>Tömning underjordsbehållare 1,5 m³, glasförp färgat</t>
  </si>
  <si>
    <t>UJ1500GO</t>
  </si>
  <si>
    <t>Underjordsbehållare 1,5 m³, glas ofärgat. Tjänsttaxa</t>
  </si>
  <si>
    <t>Underjordsbehållare 1,5 m³, glas ofärgat</t>
  </si>
  <si>
    <t>UJ1500GOTÖM</t>
  </si>
  <si>
    <t>Tömning underjordsbehållare 1,5 m³, glasförp ofärgat</t>
  </si>
  <si>
    <t>UJ1500ME</t>
  </si>
  <si>
    <t>Underjordsbehållare 1,5 m³, metallförpackningar. Tjänsttaxa</t>
  </si>
  <si>
    <t>Underjordsbehållare 1,5 m³, metallförpackningar</t>
  </si>
  <si>
    <t>UJ1500METÖM</t>
  </si>
  <si>
    <t>Tömning underjordsbehållare 1,5 m³, metallförpackningar</t>
  </si>
  <si>
    <t>UJ1500TI</t>
  </si>
  <si>
    <t>Underjordsbehållare 1,5 m³, tidningar. Tjänsttaxa</t>
  </si>
  <si>
    <t>Underjordsbehållare 1,5 m³, tidningar</t>
  </si>
  <si>
    <t>UJ1500TITÖM</t>
  </si>
  <si>
    <t>Tömning underjordsbehållare 1,5 m³, tidningar</t>
  </si>
  <si>
    <t>UJ3200PL</t>
  </si>
  <si>
    <t>Underjordsbehållare 3,2 m³, plastförpackningar. Tjänsttaxa</t>
  </si>
  <si>
    <t>Underjordsbehållare 3,2 m³, plastförpackningar</t>
  </si>
  <si>
    <t>UJ3200PLTÖM</t>
  </si>
  <si>
    <t>Tömning underjordsbehållare 3,2 m³, plastförpackningar</t>
  </si>
  <si>
    <t>UJ3200RE</t>
  </si>
  <si>
    <t>Underjordsbehållare 3,2 m³, restavfall. Tjänsttaxa</t>
  </si>
  <si>
    <t>Underjordsbehållare 3,2 m³, restavfall</t>
  </si>
  <si>
    <t>UJ3200RETÖM</t>
  </si>
  <si>
    <t>Tömning underjordsbehållare 3,2 m³, restavfall</t>
  </si>
  <si>
    <t>UJ5000PA</t>
  </si>
  <si>
    <t>Underjordsbehållare 5 m³, pappersförpackningar. Tjänsttaxa</t>
  </si>
  <si>
    <t>Underjordsbehållare 5 m³, pappersförpackningar</t>
  </si>
  <si>
    <t>UJ5000PATÖM</t>
  </si>
  <si>
    <t>Tömning underjordsbehållare 5 m³, pappersförpackningar</t>
  </si>
  <si>
    <t>UJ5000PL</t>
  </si>
  <si>
    <t>Underjordsbehållare 5 m³, plastförpackningar. Tjänsttaxa</t>
  </si>
  <si>
    <t>Underjordsbehållare 5 m³, plastförpackningar</t>
  </si>
  <si>
    <t>UJ5000PLTÖM</t>
  </si>
  <si>
    <t>Tömning underjordsbehållare 5 m³, plastförpackningar</t>
  </si>
  <si>
    <t>UJ800MA</t>
  </si>
  <si>
    <t>Underjordsbehållare 0,8 m³, matavfall. Tjänsttaxa</t>
  </si>
  <si>
    <t>Underjordsbehållare 0,8 m³, matavfall</t>
  </si>
  <si>
    <t>UJ800MATÖM</t>
  </si>
  <si>
    <t>Tömning underjordsbehållare 0,8 m³, matavfall</t>
  </si>
  <si>
    <t>UTEDASS</t>
  </si>
  <si>
    <t>Utedass</t>
  </si>
  <si>
    <t>V</t>
  </si>
  <si>
    <t>VATTEN BOSTADSHUS</t>
  </si>
  <si>
    <t>Vatten bostadshus</t>
  </si>
  <si>
    <t>VA-AVGIFTER</t>
  </si>
  <si>
    <t>Förbrukning</t>
  </si>
  <si>
    <t>VAF</t>
  </si>
  <si>
    <t>VA-ENDAST FÖRBRUKNING</t>
  </si>
  <si>
    <t>VAFP</t>
  </si>
  <si>
    <t>VA FRITIDSHUS PARHUS</t>
  </si>
  <si>
    <t>Vatten och avlopp</t>
  </si>
  <si>
    <t>VAK</t>
  </si>
  <si>
    <t>VA MAX 200 kvm</t>
  </si>
  <si>
    <t>VAK2</t>
  </si>
  <si>
    <t>VA MER ÄN 200 kvm</t>
  </si>
  <si>
    <t>Extra avgift per 100kvm över 200kvm</t>
  </si>
  <si>
    <t>KVM</t>
  </si>
  <si>
    <t>VAL2</t>
  </si>
  <si>
    <t>VA HÖGST 2 LÄGENHETER</t>
  </si>
  <si>
    <t>VAL3</t>
  </si>
  <si>
    <t>VA MER ÄN 2 LÄGENHETER</t>
  </si>
  <si>
    <t>Vatten och avlopp mer än 2 lgh</t>
  </si>
  <si>
    <t>KBMV</t>
  </si>
  <si>
    <t>VAOB</t>
  </si>
  <si>
    <t>PERMANENTHUS, OBEBOTT LÄNGRE ÄN 3 MÅN</t>
  </si>
  <si>
    <t>Vatten avlopp obebott</t>
  </si>
  <si>
    <t>VAOBF</t>
  </si>
  <si>
    <t>VA, OBEBYGGD FASTIGHET INOM DETALJLAGT OMRÅDE</t>
  </si>
  <si>
    <t>VA inom detaljplan obebyggd</t>
  </si>
  <si>
    <t>VATILLAV</t>
  </si>
  <si>
    <t>VA, tillägg-avdrag</t>
  </si>
  <si>
    <t>VAUM</t>
  </si>
  <si>
    <t>VA Permanentboende</t>
  </si>
  <si>
    <t>VA Fast avgift - permanentbo.</t>
  </si>
  <si>
    <t>VAUMC</t>
  </si>
  <si>
    <t>VA FRITIDSHUS CAMPING</t>
  </si>
  <si>
    <t>Fast avgift camping</t>
  </si>
  <si>
    <t>Extra för varje stuga</t>
  </si>
  <si>
    <t>STUG</t>
  </si>
  <si>
    <t>VAUMF</t>
  </si>
  <si>
    <t>VA FRITIDSHUS</t>
  </si>
  <si>
    <t>Fast avgift va fritidshus</t>
  </si>
  <si>
    <t>VF</t>
  </si>
  <si>
    <t>VATTEN FRITIDSHUS</t>
  </si>
  <si>
    <t>Vatten fritidshus</t>
  </si>
  <si>
    <t>VIKTGF</t>
  </si>
  <si>
    <t>Vikt, glasförpackningar färgat</t>
  </si>
  <si>
    <t>VIKTGO</t>
  </si>
  <si>
    <t>Vikt, glasförpackningar ofärgat</t>
  </si>
  <si>
    <t>VIKTMA</t>
  </si>
  <si>
    <t>Vikt, matavfall</t>
  </si>
  <si>
    <t>VIKTMAREST</t>
  </si>
  <si>
    <t>Vikt hushållsavfall ma/rest</t>
  </si>
  <si>
    <t>Viktavgift hushållsavfall</t>
  </si>
  <si>
    <t>VIKTMAT</t>
  </si>
  <si>
    <t>Tvåfackskärl 240 liter viktavgift</t>
  </si>
  <si>
    <t>VIKTME</t>
  </si>
  <si>
    <t>Vikt, metallförpackningar</t>
  </si>
  <si>
    <t>VIKTPA</t>
  </si>
  <si>
    <t>Vikt, pappersförpackningar</t>
  </si>
  <si>
    <t>VIKTPL</t>
  </si>
  <si>
    <t>Vikt, plastförpackningar</t>
  </si>
  <si>
    <t>VIKTRE</t>
  </si>
  <si>
    <t>Vikt, restavfall</t>
  </si>
  <si>
    <t>VIKTREST</t>
  </si>
  <si>
    <t>Tvåfackskärl, viktavgift rest</t>
  </si>
  <si>
    <t>VIKTTI</t>
  </si>
  <si>
    <t>Vikt, tidningar</t>
  </si>
  <si>
    <t>VOBF</t>
  </si>
  <si>
    <t>V, OBEBYGGD FASTIGHET</t>
  </si>
  <si>
    <t>Vatten obebygg. inom detaljp.</t>
  </si>
  <si>
    <t>VOLVOL60G</t>
  </si>
  <si>
    <t>Volvo L60G- externa tjänster</t>
  </si>
  <si>
    <t>Volvo L60G</t>
  </si>
  <si>
    <t>ÄNDRING</t>
  </si>
  <si>
    <t>Ändring på kund</t>
  </si>
  <si>
    <t>Fakturaavgift</t>
  </si>
  <si>
    <t>Källfil Word</t>
  </si>
  <si>
    <t>Förslag till taxestruktur mall ASN 2026-03-13 v2(2).docx</t>
  </si>
  <si>
    <t>Källfil Excel</t>
  </si>
  <si>
    <t>Avfallstaxa_redigerbar_korrigerad_tom_2_2_6(1).xlsx</t>
  </si>
  <si>
    <t>Åtgärd</t>
  </si>
  <si>
    <t>Taxepunkter har byggts om så att varje prisfält i Word motsvarar en egen rad i Excel.</t>
  </si>
  <si>
    <t>Antal rader i Taxepunkter efter korrigering</t>
  </si>
  <si>
    <t>Tillagda/korrigerade huvudområden</t>
  </si>
  <si>
    <t>Kommentar</t>
  </si>
  <si>
    <t>Saknad paragraf byggd med samtliga 15 prispunkter.</t>
  </si>
  <si>
    <t>Saknad paragraf byggd med 3 prispunkter.</t>
  </si>
  <si>
    <t>§2.2.1–§2.2.2</t>
  </si>
  <si>
    <t>Rader delade upp per hämtningsintervall enligt Word.</t>
  </si>
  <si>
    <t>§2.4.1–§2.4.11</t>
  </si>
  <si>
    <t>Tidigare §2.6.* och separata 2.4/2.5 har byggts om enligt Word-numrering.</t>
  </si>
  <si>
    <t>Budning för fastighetsnära hämtning flyttad från tidigare §2.7.4 till Word-strukturen.</t>
  </si>
  <si>
    <t>§3–§5</t>
  </si>
  <si>
    <t>Saknade rader för tillägg per m3, extra tank/brunn, latrin, fosforfilter och fettavskiljare har lagts till enligt Word.</t>
  </si>
  <si>
    <t>§6.1.1–§6.1.4</t>
  </si>
  <si>
    <t>ÅVC-struktur byggd enligt Word-numrering; befintliga §6- och tidigare §2.7-rader har bevarats under §6.</t>
  </si>
  <si>
    <t>Obs</t>
  </si>
  <si>
    <t>Taxakod/pris har bara bevarats där befintlig rad kunde matchas. Nya rader saknar taxakod/pris tills ni fyller i dessa.</t>
  </si>
  <si>
    <t>Källparagraf</t>
  </si>
  <si>
    <t>Källpunkt</t>
  </si>
  <si>
    <t>Rad i Taxepunkter</t>
  </si>
  <si>
    <t>Wordtext</t>
  </si>
  <si>
    <t>Matchmetod</t>
  </si>
  <si>
    <t>FöreslagenTaxekod</t>
  </si>
  <si>
    <t>Taxepunkt</t>
  </si>
  <si>
    <t>DR20</t>
  </si>
  <si>
    <t>Typ</t>
  </si>
  <si>
    <t>Taxa_Saknas</t>
  </si>
  <si>
    <t>BTMRFV</t>
  </si>
  <si>
    <t>OK</t>
  </si>
  <si>
    <t>Tolkning</t>
  </si>
  <si>
    <t>Taxa_från_edp</t>
  </si>
  <si>
    <t>Taxekod_Tolkning</t>
  </si>
  <si>
    <t>Taxepunkter</t>
  </si>
  <si>
    <t>DH</t>
  </si>
  <si>
    <t>Område</t>
  </si>
  <si>
    <t>Dokumentation</t>
  </si>
  <si>
    <t>Självdokumentation</t>
  </si>
  <si>
    <t>Datavalidering</t>
  </si>
  <si>
    <t>Automationsmall</t>
  </si>
  <si>
    <t>Border-standard</t>
  </si>
  <si>
    <t>Flerbostadshus</t>
  </si>
  <si>
    <t>Koddel</t>
  </si>
  <si>
    <t>Betydelse</t>
  </si>
  <si>
    <t>Exempel</t>
  </si>
  <si>
    <t>Första förekomst</t>
  </si>
  <si>
    <t>Källa</t>
  </si>
  <si>
    <t>KÄ</t>
  </si>
  <si>
    <t>Prefix</t>
  </si>
  <si>
    <t>Taxa_från_edp rad 234 / strTaxekod KÄ240RM26</t>
  </si>
  <si>
    <t>strTaxekod + strTaxebenamning</t>
  </si>
  <si>
    <t>Bekräftad</t>
  </si>
  <si>
    <t>MB</t>
  </si>
  <si>
    <t>Markbehållare eller underjordsbehållare</t>
  </si>
  <si>
    <t>MB3200RE26</t>
  </si>
  <si>
    <t>Taxa_från_edp rad 211 / 271</t>
  </si>
  <si>
    <t>strTaxebenamning + användarbekräftelse</t>
  </si>
  <si>
    <t>Kan omfatta både mark- och underjordsbehållare.</t>
  </si>
  <si>
    <t>BTMR</t>
  </si>
  <si>
    <t>Kodstruktur</t>
  </si>
  <si>
    <t>Bottentömmande behållare, mat-/restavfall</t>
  </si>
  <si>
    <t>Taxa_Saknas / föreslagen struktur</t>
  </si>
  <si>
    <t>Användarbekräftelse</t>
  </si>
  <si>
    <t>Används för nya föreslagna taxor när EDP-träff saknas.</t>
  </si>
  <si>
    <t>LVRE</t>
  </si>
  <si>
    <t>Lastväxlarflak, restavfall</t>
  </si>
  <si>
    <t>RM</t>
  </si>
  <si>
    <t>Avfallsslag</t>
  </si>
  <si>
    <t>Rest-/matavfall</t>
  </si>
  <si>
    <t>strTaxebenamning: rest/matavfall</t>
  </si>
  <si>
    <t>RK</t>
  </si>
  <si>
    <t>Restavfall/kompost</t>
  </si>
  <si>
    <t>Taxa_från_edp rad 232 / strTaxekod KÄ240RK26</t>
  </si>
  <si>
    <t>strTaxebenamning: restavfall/kompost</t>
  </si>
  <si>
    <t>RE</t>
  </si>
  <si>
    <t>Restavfall</t>
  </si>
  <si>
    <t>Taxa_från_edp rad 242 / strTaxekod KÄ370RE26FV</t>
  </si>
  <si>
    <t>strTaxebenamning + strTaxedelAvser</t>
  </si>
  <si>
    <t>MA</t>
  </si>
  <si>
    <t>Matavfall</t>
  </si>
  <si>
    <t>Taxa_från_edp rad 221 / strTaxekod KÄ140MA52FV</t>
  </si>
  <si>
    <t>TI</t>
  </si>
  <si>
    <t>Tidningar/returpapper</t>
  </si>
  <si>
    <t>Används där EDP-träff saknas för tidningar/returpapper.</t>
  </si>
  <si>
    <t>FP</t>
  </si>
  <si>
    <t>Förpackningar</t>
  </si>
  <si>
    <t>Används där EDP-träff saknas för förpackningar.</t>
  </si>
  <si>
    <t>XRM</t>
  </si>
  <si>
    <t>Avfallsslag/kärltyp</t>
  </si>
  <si>
    <t>Extrakärl rest-/matavfall</t>
  </si>
  <si>
    <t>Taxa_från_edp rad 226 / strTaxekod KÄ190XRM26</t>
  </si>
  <si>
    <t>strTaxebenamning: extrakärl, rest/matavfall</t>
  </si>
  <si>
    <t>140</t>
  </si>
  <si>
    <t>Volym</t>
  </si>
  <si>
    <t>140 liter</t>
  </si>
  <si>
    <t>Taxa_från_edp rad 216 / strTaxekod KÄ140MA26FV</t>
  </si>
  <si>
    <t>190</t>
  </si>
  <si>
    <t>190 liter / 120–190 liter för extrakärl</t>
  </si>
  <si>
    <t>240</t>
  </si>
  <si>
    <t>240 liter</t>
  </si>
  <si>
    <t>370</t>
  </si>
  <si>
    <t>370 liter</t>
  </si>
  <si>
    <t>660</t>
  </si>
  <si>
    <t>660 liter</t>
  </si>
  <si>
    <t>Taxa_från_edp rad 254 / strTaxekod KÄ660RE26FV</t>
  </si>
  <si>
    <t>26</t>
  </si>
  <si>
    <t>Frekvens</t>
  </si>
  <si>
    <t>Var 14:e dag / 26 tömningar per år</t>
  </si>
  <si>
    <t>52</t>
  </si>
  <si>
    <t>Varje vecka / 52 tömningar per år</t>
  </si>
  <si>
    <t>Taxa_från_edp rad 31 / strTaxekod KÄ240RM52FV</t>
  </si>
  <si>
    <t>Månadsvis / 12 tömningar per år</t>
  </si>
  <si>
    <t>Härledd från kodmönster och Word</t>
  </si>
  <si>
    <t>Härledd</t>
  </si>
  <si>
    <t>Finns inte som säker EDP-träff i genomgången hittills.</t>
  </si>
  <si>
    <t>FRI</t>
  </si>
  <si>
    <t>Suffix</t>
  </si>
  <si>
    <t>Taxa_från_edp rad 236 / strTaxekod KÄ240RM26FRI</t>
  </si>
  <si>
    <t>FV</t>
  </si>
  <si>
    <t>Flerbostadshus eller verksamhet</t>
  </si>
  <si>
    <t>Taxa_från_edp rad 259 / strTaxekod KÄ660RE52FV</t>
  </si>
  <si>
    <t>strTaxebenamning: FLB/VHT + användarbekräftelse</t>
  </si>
  <si>
    <t>Samma FV-taxekod kan användas både för flerbostadshus och verksamhet om övriga villkor stämmer.</t>
  </si>
  <si>
    <t>FLB</t>
  </si>
  <si>
    <t>Förkortning i benämning</t>
  </si>
  <si>
    <t>FLB/VHT</t>
  </si>
  <si>
    <t>Taxa_från_edp, flera rader</t>
  </si>
  <si>
    <t>Förekommer i strTaxebenamning, inte nödvändigtvis som egen koddel.</t>
  </si>
  <si>
    <t>VHT</t>
  </si>
  <si>
    <t>SL</t>
  </si>
  <si>
    <t>Prefix/kategori</t>
  </si>
  <si>
    <t>Slam</t>
  </si>
  <si>
    <t>SLBUDFOS</t>
  </si>
  <si>
    <t>Taxa_från_edp rad 133 / strTaxekod SLBUDFOS</t>
  </si>
  <si>
    <t>strDelProdukt + strTaxebenamning</t>
  </si>
  <si>
    <t>ÅVC</t>
  </si>
  <si>
    <t>Kategori</t>
  </si>
  <si>
    <t>Återvinningscentral</t>
  </si>
  <si>
    <t>ASBEST</t>
  </si>
  <si>
    <t>Taxa_från_edp rad 66 / strDelProdukt ÅVC</t>
  </si>
  <si>
    <t>TÖM</t>
  </si>
  <si>
    <t>Tömning</t>
  </si>
  <si>
    <t>MB3200TÖM</t>
  </si>
  <si>
    <t>Taxa_från_edp rad 211 / strTaxekod MB3200TÖM</t>
  </si>
  <si>
    <t>Kvantitet</t>
  </si>
  <si>
    <t>Taxa_från_edp rad 2</t>
  </si>
  <si>
    <t>kvantitetskoder + strFaktor</t>
  </si>
  <si>
    <t>Årskvantitet</t>
  </si>
  <si>
    <t>Taxa_från_edp rad 216</t>
  </si>
  <si>
    <t>Årspris</t>
  </si>
  <si>
    <t>Taxa_från_edp VA-rader</t>
  </si>
  <si>
    <t>UPFÖ</t>
  </si>
  <si>
    <t>Uppskattad förbrukning</t>
  </si>
  <si>
    <t>Antal behållare</t>
  </si>
  <si>
    <t>Taxa_från_edp, kärlrader</t>
  </si>
  <si>
    <t>kvantitetskoder + strFormel</t>
  </si>
  <si>
    <t>Övriga antal / antal tillfällen</t>
  </si>
  <si>
    <t>Taxa_från_edp, t.ex. FELSORT</t>
  </si>
  <si>
    <t>Fast avgift</t>
  </si>
  <si>
    <t>Taxa_från_edp rad 215 GEMUPPFRI</t>
  </si>
  <si>
    <t>Lägenheter</t>
  </si>
  <si>
    <t>Vikt i kilo</t>
  </si>
  <si>
    <t>Taxa_från_edp flera viktavgifter</t>
  </si>
  <si>
    <t>DR10</t>
  </si>
  <si>
    <t>Dragväg 1,5–10 meter</t>
  </si>
  <si>
    <t>Taxa_från_edp kärlrader</t>
  </si>
  <si>
    <t>strTaxedelAvser + strFormel</t>
  </si>
  <si>
    <t>Dragväg 10,1–20 meter</t>
  </si>
  <si>
    <t>KBMÖ</t>
  </si>
  <si>
    <t>Kubikmeter övrigt</t>
  </si>
  <si>
    <t>Taxa_från_edp ÅVC-rader</t>
  </si>
  <si>
    <t>KBMS</t>
  </si>
  <si>
    <t>Kubikmeter slam</t>
  </si>
  <si>
    <t>Taxa_från_edp slamrader</t>
  </si>
  <si>
    <t>Detaljhandel med beviljad hantering av kommunalt avfall</t>
  </si>
  <si>
    <t>Används för §2.2.6. Ska inte använda FV eftersom detaljhandel inte räknas som vanlig verksamhet/flerbostad i denna taxa.</t>
  </si>
  <si>
    <t>Föreslagen kodstruktur</t>
  </si>
  <si>
    <t>Bottentömmande/markbehållare för mat-/restavfall och förpackningar, flerbostad/verksamhet</t>
  </si>
  <si>
    <t>Taxa_Saknas §2.2.4</t>
  </si>
  <si>
    <t>Projektregel MB + Word</t>
  </si>
  <si>
    <t>Föreslagen</t>
  </si>
  <si>
    <t>Ersätter tidigare BTMR-struktur.</t>
  </si>
  <si>
    <t>Tillägg för två tömningar per vecka för bottentömmande/markbehållare, flerbostad/verksamhet</t>
  </si>
  <si>
    <t>Föreslagen funktionskod</t>
  </si>
  <si>
    <t>Gemensam uppsamlingsplats för mat-/restavfall och förpackningar per lägenhet, flerbostadshus</t>
  </si>
  <si>
    <t>Word + jämförelse med GEMUPPFÖRPFLB</t>
  </si>
  <si>
    <t>Befintlig GEMUPPFÖRPFLB avser endast förpackning enligt EDP, därför används inte som bekräftad taxekod.</t>
  </si>
  <si>
    <t>Bottentömmande/markbehållare för mat-/restavfall, flerbostad/verksamhet</t>
  </si>
  <si>
    <t>Taxa_Saknas §2.2.5</t>
  </si>
  <si>
    <t>Lastväxlarflak restavfall, flerbostad/verksamhet</t>
  </si>
  <si>
    <t>Projektregel LV + Word</t>
  </si>
  <si>
    <t>Projektregel</t>
  </si>
  <si>
    <t>Ska inte behandlas som FV.</t>
  </si>
  <si>
    <t>Bottentömmande/markbehållare för mat-/restavfall, detaljhandel</t>
  </si>
  <si>
    <t>Taxa_Saknas §2.2.6</t>
  </si>
  <si>
    <t>Projektregel MB + DH</t>
  </si>
  <si>
    <t>Ersätter tidigare BTMRDH.</t>
  </si>
  <si>
    <t>Tillägg två tömningar per vecka för bottentömmande/markbehållare, detaljhandel</t>
  </si>
  <si>
    <t>Ersätter tidigare BTMR2VDH.</t>
  </si>
  <si>
    <t>Kärl 140 l för kontors-/returpapper</t>
  </si>
  <si>
    <t>Taxa_Saknas §2.2.7</t>
  </si>
  <si>
    <t>Word + TI-regel</t>
  </si>
  <si>
    <t>TI är sedan tidigare bekräftat för tidningar/returpapper.</t>
  </si>
  <si>
    <t>Word</t>
  </si>
  <si>
    <t>KONTRET</t>
  </si>
  <si>
    <t>Avfallsslag/funktionsdel</t>
  </si>
  <si>
    <t>Kontors-/returpapper</t>
  </si>
  <si>
    <t>Prislista ASN – kärltömning och kärlhyra</t>
  </si>
  <si>
    <t>Avser marknadstjänster och/eller kommunens andrahandsansvar. Tjänsten ska särredovisas och inte belasta avfallstaxan eller taxekollektivet.</t>
  </si>
  <si>
    <t>Beräkningsgrund</t>
  </si>
  <si>
    <t>Full självkostnad med intern ersättning till taxekollektivet</t>
  </si>
  <si>
    <t>Moms</t>
  </si>
  <si>
    <t>Ändra moms här</t>
  </si>
  <si>
    <t>Post</t>
  </si>
  <si>
    <t>Exkl. moms</t>
  </si>
  <si>
    <t>Inkl. moms</t>
  </si>
  <si>
    <t>Intern kalkyltimme sopbil inkl. chaufför och OH</t>
  </si>
  <si>
    <t>Kärltömning 140–240 liter, ordinarie tur/intervall</t>
  </si>
  <si>
    <t>Kärltömning 370 liter, ordinarie tur/intervall</t>
  </si>
  <si>
    <t>Kärltömning 660 liter, ordinarie tur/intervall</t>
  </si>
  <si>
    <t>Extra/avvikande tömning utanför planerad rutt</t>
  </si>
  <si>
    <t>Kärlhyra 140 liter</t>
  </si>
  <si>
    <t>Kärlhyra 190 liter</t>
  </si>
  <si>
    <t>Kärlhyra 240 liter</t>
  </si>
  <si>
    <t>Kärlhyra 370 liter</t>
  </si>
  <si>
    <t>Kärlhyra 660 liter</t>
  </si>
  <si>
    <t>Utkörning/utställning av kärl 140–240</t>
  </si>
  <si>
    <t>Utkörning/utställning av kärl 370–660</t>
  </si>
  <si>
    <t>Byte av kärlstorlek på kundens begäran</t>
  </si>
  <si>
    <t>Hemtagning/avslut av kärl</t>
  </si>
  <si>
    <t>ABP</t>
  </si>
  <si>
    <t>Debiteras separat enligt faktisk kostnad</t>
  </si>
  <si>
    <t>Regel</t>
  </si>
  <si>
    <t>DH-priser är unika för detaljhandel och får inte användas i beräkningsmodeller för andra taxor.</t>
  </si>
  <si>
    <t>Prislista DH.xlsx</t>
  </si>
  <si>
    <t>Kod</t>
  </si>
  <si>
    <t>Källa/kommentar</t>
  </si>
  <si>
    <t>Användarens fil/uppgift + Taxa_från_edp strFaktor</t>
  </si>
  <si>
    <t>Kvantitetskoder + Taxa_från_edp strFaktor</t>
  </si>
  <si>
    <t>Användarens uppgift + Taxa_från_edp strFaktor</t>
  </si>
  <si>
    <t>Taxa_från_edp strFormel</t>
  </si>
  <si>
    <t>Taxa_från_edp strFormel/strTaxedelAvser</t>
  </si>
  <si>
    <t>Avfallstaxa – självdokumenterande masterfil</t>
  </si>
  <si>
    <t>Syfte</t>
  </si>
  <si>
    <t>Bygga och kvalitetssäkra Taxepunkter från Word, EDP och kompletterande prislistor.</t>
  </si>
  <si>
    <t>Fas 1</t>
  </si>
  <si>
    <t>Word → Excel: pågår. Word styr struktur, Taxepunkter byggs successivt, Taxa_Saknas byggs successivt.</t>
  </si>
  <si>
    <t>Fas 2</t>
  </si>
  <si>
    <t>Excel → Word: ej påbörjad. Ska hanteras separat senare. Regler för Fas 1 får inte blandas med Fas 2.</t>
  </si>
  <si>
    <t>Taxepunkter är under uppbyggnad. Arbetet är genomfört till och med §2.2.6 med kända justeringar.</t>
  </si>
  <si>
    <t>Viktig princip</t>
  </si>
  <si>
    <t>Arbetsboken ska kunna återanvändas med ny Taxa_från_edp från annat verksamhetssystem genom att läsa regler, källdokument, lexikon och beslutslogg.</t>
  </si>
  <si>
    <t>ID</t>
  </si>
  <si>
    <t>Beskrivning</t>
  </si>
  <si>
    <t>R001</t>
  </si>
  <si>
    <t>Fasindelning</t>
  </si>
  <si>
    <t>Projektet består av två separata faser: Fas 1 Word → Excel och Fas 2 Excel → Word. De får inte blandas.</t>
  </si>
  <si>
    <t>R002</t>
  </si>
  <si>
    <t>Word styr struktur i Fas 1</t>
  </si>
  <si>
    <t>Alla taxepunkter, rader och kostnadsfria tjänster som finns i Word ska finnas i Taxepunkter.</t>
  </si>
  <si>
    <t>R003</t>
  </si>
  <si>
    <t>Taxepunkter byggs successivt</t>
  </si>
  <si>
    <t>Taxepunkter är en arbetsflik under uppbyggnad och får inte ersättas med importdata.</t>
  </si>
  <si>
    <t>R004</t>
  </si>
  <si>
    <t>Kolumn Taxakod innehåller endast bekräftad exakt strTaxekod från Taxa_från_edp.</t>
  </si>
  <si>
    <t>R005</t>
  </si>
  <si>
    <t>Ingen påhittad Taxakod</t>
  </si>
  <si>
    <t>Om match finns i Taxa_från_edp används exakt strTaxekod. Hitta inte på egen kod om EDP-kod finns.</t>
  </si>
  <si>
    <t>R006</t>
  </si>
  <si>
    <t>Visar Taxakod om den är bekräftad, annars föreslagen taxa från Taxa_Saknas.</t>
  </si>
  <si>
    <t>R007</t>
  </si>
  <si>
    <t>Aktuellt pris</t>
  </si>
  <si>
    <t>Aktuellt pris (exkl moms) hämtas alltid från Taxa_från_edp och får aldrig redigeras manuellt.</t>
  </si>
  <si>
    <t>R008</t>
  </si>
  <si>
    <t>Får fyllas manuellt/beräknas som arbetspris när Aktuellt pris saknas. Detta är inte EDP-pris.</t>
  </si>
  <si>
    <t>R009</t>
  </si>
  <si>
    <t>DH-priser</t>
  </si>
  <si>
    <t>Prislista DH används endast för detaljhandel och får aldrig användas för beräkningsmodeller för andra taxor.</t>
  </si>
  <si>
    <t>R010</t>
  </si>
  <si>
    <t>Innehåller saknade eller föreslagna taxor med samma EDP-kolumner som Taxa_från_edp samt arbetskolumner.</t>
  </si>
  <si>
    <t>R011</t>
  </si>
  <si>
    <t>intRecnum i Taxa_Saknas</t>
  </si>
  <si>
    <t>intRecnum = radnummer i Taxepunkter för felsökning, inte EDP:s original-ID.</t>
  </si>
  <si>
    <t>R012</t>
  </si>
  <si>
    <t>Taxepunkt i Taxa_Saknas</t>
  </si>
  <si>
    <t>Taxepunkt = Paragrafnamn / Taxapunkt.</t>
  </si>
  <si>
    <t>R013</t>
  </si>
  <si>
    <t>Matchningsordning</t>
  </si>
  <si>
    <t>Sök först strTaxekod, sedan strTaxebenamning, strTaxedelAvser och strFaktor/strFormel.</t>
  </si>
  <si>
    <t>R014</t>
  </si>
  <si>
    <t>FV betyder flerbostadshus eller verksamhet och kan återanvändas om övriga villkor stämmer.</t>
  </si>
  <si>
    <t>R015</t>
  </si>
  <si>
    <t>DH betyder detaljhandel med beviljad hantering av kommunalt avfall. §2.2.6 använder DH, inte FV.</t>
  </si>
  <si>
    <t>R016</t>
  </si>
  <si>
    <t>MB används för markbehållare eller underjordsbehållare och ska användas som prefix för bottentömmande behållare.</t>
  </si>
  <si>
    <t>R017</t>
  </si>
  <si>
    <t>LV</t>
  </si>
  <si>
    <t>LV används för lastväxlarflak.</t>
  </si>
  <si>
    <t>R018</t>
  </si>
  <si>
    <t>GEMUPP</t>
  </si>
  <si>
    <t>GEMUPP används för gemensam uppsamlingsplats.</t>
  </si>
  <si>
    <t>R019</t>
  </si>
  <si>
    <t>FOB</t>
  </si>
  <si>
    <t>FOB används för fysisk nyckel/fob.</t>
  </si>
  <si>
    <t>R020</t>
  </si>
  <si>
    <t>Kostnadsfria rader</t>
  </si>
  <si>
    <t>Kostnadsfri rad ska finnas i Taxepunkter, men pris ska fortfarande hämtas från Taxa_från_edp om bekräftad taxekod finns.</t>
  </si>
  <si>
    <t>R021</t>
  </si>
  <si>
    <t>Kostnadsfria rader i Taxepunkter</t>
  </si>
  <si>
    <t>Rader som i Word anges som kostnadsfria ska finnas i Taxepunkter med Variant = Kostnadsfritt. Aktuellt pris får ändå inte fyllas manuellt.</t>
  </si>
  <si>
    <t>R022</t>
  </si>
  <si>
    <t>Kostnadsfria rader i Taxa_Saknas</t>
  </si>
  <si>
    <t>Om kostnadsfri tjänst saknar bekräftad EDP-taxa ska den läggas i Taxa_Saknas med föreslagen taxekod och utan manuellt Aktuellt pris.</t>
  </si>
  <si>
    <t>R023</t>
  </si>
  <si>
    <t>Underrubriker i Taxepunkter</t>
  </si>
  <si>
    <t>Rader där kolumn A innehåller paragraf + rubriktext och B:E är tomma ska behandlas som underrubriker. De ska vara sammanslagna över A:E och enfärgade.</t>
  </si>
  <si>
    <t>R024</t>
  </si>
  <si>
    <t>Vanliga taxerader i Taxepunkter</t>
  </si>
  <si>
    <t>Rader där A:E innehåller uppdelad information, t.ex. Paragraf, Paragrafnamn, Taxapunkt, Variant och Enhet, ska inte vara sammanslagna och A:E ska ha vit bakgrund.</t>
  </si>
  <si>
    <t>Steg</t>
  </si>
  <si>
    <t>Arbetsmoment</t>
  </si>
  <si>
    <t>Läs Projektöversikt</t>
  </si>
  <si>
    <t>Identifiera om arbetet gäller Fas 1 Word→Excel eller Fas 2 Excel→Word.</t>
  </si>
  <si>
    <t>Läs Projektregler</t>
  </si>
  <si>
    <t>Följ reglerna innan några ändringar görs.</t>
  </si>
  <si>
    <t>Läs Källdokument</t>
  </si>
  <si>
    <t>Kontrollera vilka importflikar och externa filer som krävs.</t>
  </si>
  <si>
    <t>Läs Taxekod_Tolkning</t>
  </si>
  <si>
    <t>Använd lexikonet för prefix, suffix, koddelar, strFaktor och strFormel.</t>
  </si>
  <si>
    <t>Importera/ersätt Taxa_från_edp</t>
  </si>
  <si>
    <t>Om ny EDP-export används ska endast importfliken bytas, inte arbetsflikarna.</t>
  </si>
  <si>
    <t>Kontrollera Word mot Taxepunkter</t>
  </si>
  <si>
    <t>Lägg till saknade rader från Word, inklusive kostnadsfria rader.</t>
  </si>
  <si>
    <t>Matcha mot Taxa_från_edp</t>
  </si>
  <si>
    <t>Använd matchningsordningen strTaxekod → strTaxebenamning → strTaxedelAvser → strFaktor.</t>
  </si>
  <si>
    <t>Uppdatera Taxa_Saknas</t>
  </si>
  <si>
    <t>Alla saknade/osäkra taxor ska dokumenteras med intRecnum = Taxepunkter-rad.</t>
  </si>
  <si>
    <t>Uppdatera Föreslagen Taxa</t>
  </si>
  <si>
    <t>Kolumnen hämtar bekräftad Taxakod eller förslag från Taxa_Saknas.</t>
  </si>
  <si>
    <t>Fyll Föreslaget pris vid behov</t>
  </si>
  <si>
    <t>Aktuellt pris får aldrig ändras. Föreslaget pris används bara som arbetspris.</t>
  </si>
  <si>
    <t>Dokumentera beslut</t>
  </si>
  <si>
    <t>Uppdatera Beslutslogg och Kontrollrapport.</t>
  </si>
  <si>
    <t>Vänta med Excel→Word</t>
  </si>
  <si>
    <t>Prisöverföring till Word hanteras i senare separat fas.</t>
  </si>
  <si>
    <t>Källa/flik</t>
  </si>
  <si>
    <t>Obligatorisk</t>
  </si>
  <si>
    <t>Funktion</t>
  </si>
  <si>
    <t>Får ersättas vid ny körning</t>
  </si>
  <si>
    <t>Word taxedokument (.docx)</t>
  </si>
  <si>
    <t>Ja</t>
  </si>
  <si>
    <t>Juridisk/strukturell källa för Taxepunkter</t>
  </si>
  <si>
    <t>Ska importeras/läsas vid ny taxemall. Nuvarande Word ligger ej som komplett filflik i Excel.</t>
  </si>
  <si>
    <t>Bekräftade taxekoder, benämningar, faktorer, formler och priser</t>
  </si>
  <si>
    <t>Enda källa för Aktuellt pris. Får bytas mot ny export.</t>
  </si>
  <si>
    <t>Källa_Prislista_DH</t>
  </si>
  <si>
    <t>Ja om DH finns</t>
  </si>
  <si>
    <t>Unik prislista för detaljhandel</t>
  </si>
  <si>
    <t>Får endast användas för DH och aldrig för andra beräkningsmodeller.</t>
  </si>
  <si>
    <t>Källa_Kvantitetskoder</t>
  </si>
  <si>
    <t>Referens för strFaktor/strFormel</t>
  </si>
  <si>
    <t>Används för tolkning, inte för pris.</t>
  </si>
  <si>
    <t>Arbetsflik som byggs från Word + EDP</t>
  </si>
  <si>
    <t>Nej</t>
  </si>
  <si>
    <t>Under uppbyggnad och ska inte ersättas.</t>
  </si>
  <si>
    <t>Saknade/föreslagna taxor</t>
  </si>
  <si>
    <t>Lexikon över koddelar</t>
  </si>
  <si>
    <t>Byggs successivt.</t>
  </si>
  <si>
    <t>Projektregler/Arbetsflöde/Beslutslogg</t>
  </si>
  <si>
    <t>Behövs för framtida promptning.</t>
  </si>
  <si>
    <t>Instruktion till ChatGPT för fortsatt arbete</t>
  </si>
  <si>
    <t>1. Läs flikarna 01_Projektöversikt, 02_Projektregler, 03_Arbetsflöde, 04_Källdokument, Taxekod_Tolkning och Beslutslogg innan du ändrar något.</t>
  </si>
  <si>
    <t>2. Arbetet är i Fas 1 Word → Excel tills annat uttryckligen anges. Regler för Excel → Word ska inte användas ännu.</t>
  </si>
  <si>
    <t>3. Taxepunkter är en arbetsflik under uppbyggnad. Den ska byggas från Word och Taxa_från_edp, inte ersättas.</t>
  </si>
  <si>
    <t>4. Alla rader i Word, även kostnadsfria rader, ska finnas i Taxepunkter.</t>
  </si>
  <si>
    <t>5. Taxakod får endast innehålla bekräftad exakt strTaxekod från Taxa_från_edp.</t>
  </si>
  <si>
    <t>6. Aktuellt pris får aldrig redigeras manuellt. Det hämtas från Taxa_från_edp.</t>
  </si>
  <si>
    <t>7. Föreslagen Taxa visar Taxakod om bekräftad, annars förslag från Taxa_Saknas.</t>
  </si>
  <si>
    <t>8. Föreslaget pris kan användas som arbetspris när Aktuellt pris saknas. DH-priser får bara användas för DH.</t>
  </si>
  <si>
    <t>9. Matcha taxor via strTaxekod, strTaxebenamning, strTaxedelAvser, strFaktor och strFormel.</t>
  </si>
  <si>
    <t>10. Om taxan saknas: lägg i Taxa_Saknas med intRecnum = radnumret i Taxepunkter.</t>
  </si>
  <si>
    <t>11. Uppdatera Taxekod_Tolkning när nya koddelar identifieras.</t>
  </si>
  <si>
    <t>12. Dokumentera nya beslut i Beslutslogg och resultat i Kontrollrapport.</t>
  </si>
  <si>
    <t>13. Kostnadsfria rader i Word ska alltid finnas i Taxepunkter och vid saknad EDP-taxa även i Taxa_Saknas.</t>
  </si>
  <si>
    <t>14. Sätt aldrig Aktuellt pris manuellt till 0. Pris hämtas bara från Taxa_från_edp; använd Föreslaget pris endast som arbetskolumn vid behov.</t>
  </si>
  <si>
    <t>Excel → Word är inte påbörjad</t>
  </si>
  <si>
    <t>Denna fas ska hanteras separat senare.</t>
  </si>
  <si>
    <t>Preliminära principer: Word-text får inte ändras, endast prisfält/XX kr ska uppdateras från rätt rad i Taxepunkter.</t>
  </si>
  <si>
    <t>Regler för Word → Excel får inte användas som regler för Excel → Word utan ny genomgång.</t>
  </si>
  <si>
    <t>Delprojekt</t>
  </si>
  <si>
    <t>Progress/Kommentar</t>
  </si>
  <si>
    <t>Under uppbyggnad</t>
  </si>
  <si>
    <t>Kontrollerad till och med §2.2.6; fortsättning återstår.</t>
  </si>
  <si>
    <t>Fylls löpande med saknade taxor och förslag.</t>
  </si>
  <si>
    <t>Lexikon påbörjat och uppdateras löpande.</t>
  </si>
  <si>
    <t>Word → Excel</t>
  </si>
  <si>
    <t>Pågår</t>
  </si>
  <si>
    <t>Fas 1.</t>
  </si>
  <si>
    <t>Excel → Word</t>
  </si>
  <si>
    <t>Ej påbörjad</t>
  </si>
  <si>
    <t>Fas 2 hanteras separat senare.</t>
  </si>
  <si>
    <t>DH-prislogik</t>
  </si>
  <si>
    <t>Fastställd</t>
  </si>
  <si>
    <t>DH-priser är fristående och får inte användas för andra modeller.</t>
  </si>
  <si>
    <t>Åtgärdat</t>
  </si>
  <si>
    <t>Tre kostnadsfria rader från Word har lagts till i Taxepunkter och Taxa_Saknas.</t>
  </si>
  <si>
    <t>Kolumn</t>
  </si>
  <si>
    <t>Rubrik</t>
  </si>
  <si>
    <t>Källa/beroende</t>
  </si>
  <si>
    <t>Formel/regel för en normalrad</t>
  </si>
  <si>
    <t>Får ändras manuellt</t>
  </si>
  <si>
    <t>Manuell</t>
  </si>
  <si>
    <t>Anges utifrån paragraf i Word.</t>
  </si>
  <si>
    <t>B</t>
  </si>
  <si>
    <t>Anges utifrån rubrik i Word.</t>
  </si>
  <si>
    <t>C</t>
  </si>
  <si>
    <t>Anges utifrån raden/tjänsten i Word.</t>
  </si>
  <si>
    <t>D</t>
  </si>
  <si>
    <t>Anger t.ex. Hämtning varje vecka, Avgift per tömning, var 14:e dag.</t>
  </si>
  <si>
    <t>E</t>
  </si>
  <si>
    <t>Word/bedömning</t>
  </si>
  <si>
    <t>Anger debiteringsenhet, t.ex. st/år, st/tömning, kg.</t>
  </si>
  <si>
    <t>F</t>
  </si>
  <si>
    <t>Manuell med dropdown</t>
  </si>
  <si>
    <t>Endast bekräftad exakt strTaxekod från Taxa_från_edp.</t>
  </si>
  <si>
    <t>G</t>
  </si>
  <si>
    <t>Automatisk</t>
  </si>
  <si>
    <t>Taxakod + Taxa_Saknas</t>
  </si>
  <si>
    <t>H</t>
  </si>
  <si>
    <t>Taxa_från_edp[strTaxebenamning]</t>
  </si>
  <si>
    <t>Slår upp Taxakod i Taxa_från_edp kolumn strTaxekod och returnerar strTaxebenamning.</t>
  </si>
  <si>
    <t>I</t>
  </si>
  <si>
    <t>Taxa_från_edp[strFaktor]</t>
  </si>
  <si>
    <t>Slår upp Taxakod och returnerar strFaktor.</t>
  </si>
  <si>
    <t>J</t>
  </si>
  <si>
    <t>Taxa_från_edp[curNuvarandePris]</t>
  </si>
  <si>
    <t>Slår upp Taxakod och returnerar aktuellt pris exkl. moms. Får aldrig redigeras manuellt.</t>
  </si>
  <si>
    <t>K</t>
  </si>
  <si>
    <t>Manuell/beräknad arbetskolumn</t>
  </si>
  <si>
    <t>Projektdata/DH-prislista/bedömning</t>
  </si>
  <si>
    <t>Används bara när Aktuellt pris saknas. DH-priser får endast användas för DH.</t>
  </si>
  <si>
    <t>Taxevolym/bedömning</t>
  </si>
  <si>
    <t>Anges vid behov för intäktsberäkning.</t>
  </si>
  <si>
    <t>M</t>
  </si>
  <si>
    <t>J eller K + moms</t>
  </si>
  <si>
    <t>N</t>
  </si>
  <si>
    <t>J/K och L</t>
  </si>
  <si>
    <t>Beroende</t>
  </si>
  <si>
    <t>F påverkar G/H/I/J</t>
  </si>
  <si>
    <t>Taxakod styr föreslagen taxa, taxabeskrivning, faktor och aktuellt pris.</t>
  </si>
  <si>
    <t>G hämtar från Taxa_Saknas</t>
  </si>
  <si>
    <t>Om Taxakod saknas används intRecnum/radnummer för att hämta föreslagen taxa.</t>
  </si>
  <si>
    <t>J är låst principmässigt</t>
  </si>
  <si>
    <t>Aktuellt pris är alltid EDP-pris och får inte ändras manuellt.</t>
  </si>
  <si>
    <t>K är arbetspris</t>
  </si>
  <si>
    <t>Föreslaget pris används endast som arbetsunderlag när J saknas.</t>
  </si>
  <si>
    <t>Radtyp</t>
  </si>
  <si>
    <t>Kännetecken</t>
  </si>
  <si>
    <t>Format</t>
  </si>
  <si>
    <t>Underrubrik</t>
  </si>
  <si>
    <t>Endast kolumn A har text, B:E är tomma</t>
  </si>
  <si>
    <t>A:E sammanslaget, enfärgad ljusblå rad</t>
  </si>
  <si>
    <t>Används för avsnittsrubriker</t>
  </si>
  <si>
    <t>Taxerad</t>
  </si>
  <si>
    <t>A:E innehåller uppdelade fält</t>
  </si>
  <si>
    <t>A:E ej sammanslaget, vit bakgrund</t>
  </si>
  <si>
    <t>Används för faktiska taxepunkter</t>
  </si>
  <si>
    <t>§2.1 | Grundavgift | En- och tvåbostadshus | st/år</t>
  </si>
  <si>
    <t>Datum</t>
  </si>
  <si>
    <t>Beslut</t>
  </si>
  <si>
    <t>Konsekvens</t>
  </si>
  <si>
    <t>2026-07-02</t>
  </si>
  <si>
    <t>FV betyder flerbostadshus eller verksamhet</t>
  </si>
  <si>
    <t>FV-taxor kan återanvändas mellan §2.2.4 och §2.2.5 om övriga villkor matchar.</t>
  </si>
  <si>
    <t>DH införs som suffix för detaljhandel</t>
  </si>
  <si>
    <t>§2.2.6 ska använda DH och inte FV.</t>
  </si>
  <si>
    <t>MB används för bottentömmande behållare</t>
  </si>
  <si>
    <t>BTMR ska inte användas som framtida standardförslag.</t>
  </si>
  <si>
    <t>Aktuellt pris hämtas bara från Taxa_från_edp</t>
  </si>
  <si>
    <t>Priskolumnen får inte redigeras manuellt.</t>
  </si>
  <si>
    <t>Föreslaget pris får användas som arbetspris</t>
  </si>
  <si>
    <t>Ny kolumn efter Aktuellt pris.</t>
  </si>
  <si>
    <t>DH-prislista är fristående</t>
  </si>
  <si>
    <t>DH-priser får inte användas som jämförelse för andra taxor.</t>
  </si>
  <si>
    <t>Taxepunkter är under uppbyggnad</t>
  </si>
  <si>
    <t>Fliken är arbetsflik och får inte ersättas.</t>
  </si>
  <si>
    <t>Fas 2 Excel→Word hanteras separat</t>
  </si>
  <si>
    <t>Nuvarande regler gäller Word→Excel.</t>
  </si>
  <si>
    <t>2026-07-07</t>
  </si>
  <si>
    <t>v0.9.4 Taxepunkter facit</t>
  </si>
  <si>
    <t>Fyllde 52 befintliga Taxepunkter-rader med saknad Taxakod från Taxa_Saknas och lade till 9 saknade rader längst ned i Taxepunkter. Taxa_från_edp ändrades inte.</t>
  </si>
  <si>
    <t>Färgtyp</t>
  </si>
  <si>
    <t>Hex</t>
  </si>
  <si>
    <t>Användning</t>
  </si>
  <si>
    <t>#1F4E78</t>
  </si>
  <si>
    <t>Tabellrubriker och huvudrubriker</t>
  </si>
  <si>
    <t>Rad 1/5 i arbets- och dokumentationsflikar</t>
  </si>
  <si>
    <t>Manuell inmatning</t>
  </si>
  <si>
    <t>#FFF2CC</t>
  </si>
  <si>
    <t>Fält som får fyllas manuellt</t>
  </si>
  <si>
    <t>Taxepunkter A–F, L samt Taxa_Saknas arbetskolumner</t>
  </si>
  <si>
    <t>Automatisk uppslagning</t>
  </si>
  <si>
    <t>#DDEBF7</t>
  </si>
  <si>
    <t>Formler och uppslag mot Taxa_från_edp</t>
  </si>
  <si>
    <t>Taxepunkter H–J</t>
  </si>
  <si>
    <t>Förslag</t>
  </si>
  <si>
    <t>#FCE4D6</t>
  </si>
  <si>
    <t>Föreslagna taxekoder och arbetspris</t>
  </si>
  <si>
    <t>Taxepunkter G och K, Taxa_Saknas FöreslagenTaxekod</t>
  </si>
  <si>
    <t>Beräkning</t>
  </si>
  <si>
    <t>#E2F0D9</t>
  </si>
  <si>
    <t>Beräknade värden</t>
  </si>
  <si>
    <t>Taxepunkter M–N</t>
  </si>
  <si>
    <t>Kontroll krävs</t>
  </si>
  <si>
    <t>#F4CCCC</t>
  </si>
  <si>
    <t>Fel, saknad match eller manuellt beslut</t>
  </si>
  <si>
    <t>Kontrollrapport och statusrader</t>
  </si>
  <si>
    <t>#E7E6E6</t>
  </si>
  <si>
    <t>Regel- och dokumentationsflikar</t>
  </si>
  <si>
    <t>Projektregler, Arbetsflöde, Dokumentation_*</t>
  </si>
  <si>
    <t>Import/referens</t>
  </si>
  <si>
    <t>#D9EAD3</t>
  </si>
  <si>
    <t>Importerade eller externa källflikar</t>
  </si>
  <si>
    <t>Taxa_från_edp, Källa_Prislista_DH</t>
  </si>
  <si>
    <t>Värde</t>
  </si>
  <si>
    <t>Rutnätslinjer</t>
  </si>
  <si>
    <t>#D9D9D9</t>
  </si>
  <si>
    <t>Alla celler i använda tabellområden</t>
  </si>
  <si>
    <t>Tunn ljusgrå kant runt varje cell, både inne i och runt tabellen.</t>
  </si>
  <si>
    <t>Ytterkant</t>
  </si>
  <si>
    <t>#7F7F7F</t>
  </si>
  <si>
    <t>Runt hela tabellområden</t>
  </si>
  <si>
    <t>Tunn mörkare grå kant runt tabellens ytterkant.</t>
  </si>
  <si>
    <t>Rubrikrad</t>
  </si>
  <si>
    <t>Rubrikrader</t>
  </si>
  <si>
    <t>Rubrikrad får mörkblå fyllning och konsekvent rutnät.</t>
  </si>
  <si>
    <t>Underrubrik i Taxepunkter</t>
  </si>
  <si>
    <t>#BDD7EE</t>
  </si>
  <si>
    <t>Rader där A har paragraf+text och B:E är tomma</t>
  </si>
  <si>
    <t>A:E sammanslaget, hela raden färgad och samma rutnät.</t>
  </si>
  <si>
    <t>Regel/användning</t>
  </si>
  <si>
    <t>Arbetskolumn</t>
  </si>
  <si>
    <t>Word/Taxepunkter</t>
  </si>
  <si>
    <t>Paragraf där raden hör hemma.</t>
  </si>
  <si>
    <t>Granskningslista</t>
  </si>
  <si>
    <t>Punktnummer i löpande Word-Excel-kontroll om tillgängligt.</t>
  </si>
  <si>
    <t>Radnummer i Taxepunkter för felsökning.</t>
  </si>
  <si>
    <t>Kort beskrivning av texten/raden i Word.</t>
  </si>
  <si>
    <t>Projektet</t>
  </si>
  <si>
    <t>Saknas i EDP, osäker, åtgärdad, etc.</t>
  </si>
  <si>
    <t>Hur förslaget togs fram: strTaxebenamning, strTaxedelAvser, kodregel, etc.</t>
  </si>
  <si>
    <t>Taxekod_Tolkning/projektregler</t>
  </si>
  <si>
    <t>Taxekod som föreslås om ingen bekräftad EDP-kod finns.</t>
  </si>
  <si>
    <t>Arbetsnyckel</t>
  </si>
  <si>
    <t>Ska vara radnumret i Taxepunkter, inte EDP:s intRecnum.</t>
  </si>
  <si>
    <t>Paragrafnamn / Taxapunkt.</t>
  </si>
  <si>
    <t>J:Y</t>
  </si>
  <si>
    <t>EDP-kolumner</t>
  </si>
  <si>
    <t>Importstruktur</t>
  </si>
  <si>
    <t>Samma struktur som Taxa_från_edp för att kunna skapa/importera nya taxor.</t>
  </si>
  <si>
    <t>Ja, men följ EDP-format</t>
  </si>
  <si>
    <t>Rad 72:200</t>
  </si>
  <si>
    <t>Input 1</t>
  </si>
  <si>
    <t>Fyll kolumn C med radnummer från Taxepunkter.</t>
  </si>
  <si>
    <t>Input 2</t>
  </si>
  <si>
    <t>Kodregler</t>
  </si>
  <si>
    <t>Fyll kolumn G med föreslagen taxekod.</t>
  </si>
  <si>
    <t>Automatiskt</t>
  </si>
  <si>
    <t>Övriga fält</t>
  </si>
  <si>
    <t>Formler</t>
  </si>
  <si>
    <t>Taxepunkter + standardvärden</t>
  </si>
  <si>
    <t>Kolumner A, D:F, H:Y fylls automatiskt utifrån C och G.</t>
  </si>
  <si>
    <t>Nej/vid behov</t>
  </si>
  <si>
    <t>Användning i projektet</t>
  </si>
  <si>
    <t>EDP:s interna rad-ID</t>
  </si>
  <si>
    <t>Läses som källdata men används inte som nyckel i Taxa_Saknas.</t>
  </si>
  <si>
    <t>Primär nyckel för bekräftade taxor</t>
  </si>
  <si>
    <t>Taxakod i Taxepunkter måste vara exakt värdet härifrån.</t>
  </si>
  <si>
    <t>Matchning och dokumentation</t>
  </si>
  <si>
    <t>Kontrolleras alltid innan nya taxor föreslås.</t>
  </si>
  <si>
    <t>EDP-produkt</t>
  </si>
  <si>
    <t>Behålls vid förslag i Taxa_Saknas där möjligt.</t>
  </si>
  <si>
    <t>EDP-delprodukt</t>
  </si>
  <si>
    <t>Används för kategori, t.ex. HUSH, ÅVC, SLAM.</t>
  </si>
  <si>
    <t>Delrad i EDP-taxa</t>
  </si>
  <si>
    <t>Nya föreslagna taxor får ofta 1 om endast en grundrad skapas.</t>
  </si>
  <si>
    <t>Faktor/beräkningsgrund</t>
  </si>
  <si>
    <t>Tolkning hämtas från Källa_Kvantitetskoder och Taxekod_Tolkning.</t>
  </si>
  <si>
    <t>Viktig matchningskolumn</t>
  </si>
  <si>
    <t>Används före frågor ställs. Ofta tydligast för vad delraden avser.</t>
  </si>
  <si>
    <t>Aktuellt pris exkl. moms</t>
  </si>
  <si>
    <t>Enda källa till Aktuellt pris i Taxepunkter. Får inte ändras manuellt.</t>
  </si>
  <si>
    <t>Q</t>
  </si>
  <si>
    <t>Beräkningsformel/faktor</t>
  </si>
  <si>
    <t>Används för att förstå enhet och beräkning, t.ex. ANTB, VIKG, DR10.</t>
  </si>
  <si>
    <t>Kontrollpunkt</t>
  </si>
  <si>
    <t>Åtgärd/kommentar</t>
  </si>
  <si>
    <t>Flikstruktur</t>
  </si>
  <si>
    <t>Inventerad</t>
  </si>
  <si>
    <t>Flikarna är klassade i dokumentationsflikar, importflikar, arbetsflikar och rapportflikar.</t>
  </si>
  <si>
    <t>Översiktligt kontrollerad</t>
  </si>
  <si>
    <t>Ingen #REF! hittad. #NAME? kan visas i artifact_tool pga XLOOKUP/evalueringsstöd men formler finns kvar.</t>
  </si>
  <si>
    <t>Taxepunkter kolumnstruktur</t>
  </si>
  <si>
    <t>Kontrollerad</t>
  </si>
  <si>
    <t>A:N används med Taxakod, Föreslagen Taxa, Aktuellt pris och Föreslaget pris.</t>
  </si>
  <si>
    <t>Taxa_Saknas struktur</t>
  </si>
  <si>
    <t>Arbetskolumner + EDP-kolumner är dokumenterade.</t>
  </si>
  <si>
    <t>Åtgärdad</t>
  </si>
  <si>
    <t>Tre saknade kostnadsfria rader är tillagda i Taxepunkter och Taxa_Saknas.</t>
  </si>
  <si>
    <t>Regel dokumenterad</t>
  </si>
  <si>
    <t>Aktuellt pris hämtas endast från Taxa_från_edp.</t>
  </si>
  <si>
    <t>Källa_Prislista_DH får bara användas för detaljhandel.</t>
  </si>
  <si>
    <t>Färgstandard</t>
  </si>
  <si>
    <t>Skapad</t>
  </si>
  <si>
    <t>Färgstandard-flik finns och färger är tillämpade på centrala flikar.</t>
  </si>
  <si>
    <t>Ej fullrevision</t>
  </si>
  <si>
    <t>Dropdown i Taxakod bör kontrolleras mer detaljerat i nästa revision.</t>
  </si>
  <si>
    <t>Nästa revision</t>
  </si>
  <si>
    <t>Villkorsstyrd formatering</t>
  </si>
  <si>
    <t>Inventeras i nästa tekniska revision vid behov.</t>
  </si>
  <si>
    <t>Rader med endast text i kolumn A har formaterats som sammanslagna underrubriker A:E.</t>
  </si>
  <si>
    <t>Taxerader A:E</t>
  </si>
  <si>
    <t>Vanliga taxerader har vit bakgrund i A:E.</t>
  </si>
  <si>
    <t>Taxepunkter G</t>
  </si>
  <si>
    <t>Visar Taxakod om F finns, annars XLOOKUP mot Taxa_Saknas intRecnum/H och FöreslagenTaxekod/G.</t>
  </si>
  <si>
    <t>Taxepunkter H</t>
  </si>
  <si>
    <t>Hämtas från Taxa_från_edp strTaxebenamning via Taxakod.</t>
  </si>
  <si>
    <t>Taxepunkter I</t>
  </si>
  <si>
    <t>Hämtas från Taxa_från_edp strFaktor via Taxakod.</t>
  </si>
  <si>
    <t>Taxepunkter J</t>
  </si>
  <si>
    <t>Hämtas från Taxa_från_edp curNuvarandePris via Taxakod. Ska inte redigeras manuellt.</t>
  </si>
  <si>
    <t>Taxepunkter M</t>
  </si>
  <si>
    <t>Pris inkl. moms</t>
  </si>
  <si>
    <t>Beräknar J*1,25 eller K*1,25 om J saknas.</t>
  </si>
  <si>
    <t>Taxepunkter N</t>
  </si>
  <si>
    <t>Intäkt exkl. moms</t>
  </si>
  <si>
    <t>Beräknar L*J eller L*K om J saknas.</t>
  </si>
  <si>
    <t>Taxepunkter F</t>
  </si>
  <si>
    <t>Dropdown mot Taxa_från_edp!$B$2:$B$371 tillagd på F7:F370.</t>
  </si>
  <si>
    <t>Taxa_Saknas 72:200</t>
  </si>
  <si>
    <t>Fyll Rad i Taxepunkter i C och FöreslagenTaxekod i G. Övriga fält fylls med formler.</t>
  </si>
  <si>
    <t>Fält</t>
  </si>
  <si>
    <t>Masterversion</t>
  </si>
  <si>
    <t>v0.9.4_draft_sorsele_edp</t>
  </si>
  <si>
    <t>Draft</t>
  </si>
  <si>
    <t>Baserad på</t>
  </si>
  <si>
    <t>ArbetsExcel_Reference_v0.9.4_taxepunkter_facit.xlsx</t>
  </si>
  <si>
    <t>EDP-export inläst</t>
  </si>
  <si>
    <t>Sorsele taxor.xlsx</t>
  </si>
  <si>
    <t>EDP-flik</t>
  </si>
  <si>
    <t>EDP-rader inklusive header</t>
  </si>
  <si>
    <t>EDP-datarader</t>
  </si>
  <si>
    <t>Ändring</t>
  </si>
  <si>
    <t>Taxa_från_edp har ersatts med Sorseles EDP-export. Taxepunkter behålls från facitversionen.</t>
  </si>
  <si>
    <t>Viktig regel</t>
  </si>
  <si>
    <t>Taxa_från_edp är facit och får aldrig ändras automatiskt.</t>
  </si>
  <si>
    <t>Standardtaxor används endast som beslutsstöd.</t>
  </si>
  <si>
    <t>Denna fil är draft och inte låst v1.0.</t>
  </si>
  <si>
    <t>Importerad fil</t>
  </si>
  <si>
    <t>Blad1!A2:Q278</t>
  </si>
  <si>
    <t>Målflik</t>
  </si>
  <si>
    <t>Header</t>
  </si>
  <si>
    <t>Rad 2 i Sorsele-exporten har lagts på rad 1 i Taxa_från_edp</t>
  </si>
  <si>
    <t>Datarader</t>
  </si>
  <si>
    <t>Första taxekod</t>
  </si>
  <si>
    <t>Sista taxekod</t>
  </si>
  <si>
    <t>Behållna från facitversionen</t>
  </si>
  <si>
    <t>Ersatt med Sorsele</t>
  </si>
  <si>
    <t>§2.2.2 Hämtningsavgift per år för fritidshus inom hämtningsområde X</t>
  </si>
  <si>
    <t>§2 Avgifter och tjänster – en- och tvåbostadshus, fritidshus, verksamhet, lägenhet och anläggning</t>
  </si>
  <si>
    <t>§2.2 Årlig hämtningsavgift per abonnemangstyp</t>
  </si>
  <si>
    <t>§2.2.4 Hämtningsavgift per år för flerbostadshus inom hämtningsområde X</t>
  </si>
  <si>
    <t>§2.2.5 Hämtningsavgift per år för verksamheter inom hämtningsområde X</t>
  </si>
  <si>
    <t xml:space="preserve">Egen överlämning av förbrukat kontors-/returpapper enligt anvisning </t>
  </si>
  <si>
    <t>§2.1.1 Grundavgifter</t>
  </si>
  <si>
    <t>§2.1 Grundavgifter</t>
  </si>
  <si>
    <t>§2.3.1 Rörlig avgift (gäller ej gemensam uppsamlingsplats)</t>
  </si>
  <si>
    <t>§2.3.1</t>
  </si>
  <si>
    <t>Lyftavgift kärl</t>
  </si>
  <si>
    <t>§2.4 Tillägg och avgifter för avfall</t>
  </si>
  <si>
    <t>Avgift per faktura</t>
  </si>
  <si>
    <t>kr/st</t>
  </si>
  <si>
    <t>Delat kärl 240 l matavfall</t>
  </si>
  <si>
    <t>Extra kärl 140-190 l restavfall</t>
  </si>
  <si>
    <t>Byte av trasigt kärl vid tömning</t>
  </si>
  <si>
    <t>Avfallsport eller dörr</t>
  </si>
  <si>
    <t>Kärl 190 l restavfall</t>
  </si>
  <si>
    <t>Bottemtömmande behållare</t>
  </si>
  <si>
    <t>Tömningsavgift per behållare</t>
  </si>
  <si>
    <t>Akutsäck</t>
  </si>
  <si>
    <t>Matavfallspåsar 9 L</t>
  </si>
  <si>
    <t>§2.5 Övrigt avfall under kommunalt ansvar från hushåll</t>
  </si>
  <si>
    <t>Avisering</t>
  </si>
  <si>
    <t>§3 Tömning av slam</t>
  </si>
  <si>
    <t>§3.1.1</t>
  </si>
  <si>
    <t>§3.2.1</t>
  </si>
  <si>
    <t>§3.1 Tömning slam</t>
  </si>
  <si>
    <t>§3.1.1 Ordinarie tömning slam</t>
  </si>
  <si>
    <t>§3.2.1 Tilläggstjänster slam</t>
  </si>
  <si>
    <t>Dragning av extra slang vid 46-55 m</t>
  </si>
  <si>
    <t>§3.3.1 Budningskostnad av brunn och tank</t>
  </si>
  <si>
    <t>§3.3.2 Budningskostnad av brunn och tank</t>
  </si>
  <si>
    <t>§3.3.1</t>
  </si>
  <si>
    <t>§3.3.2</t>
  </si>
  <si>
    <t>§3.4.1 Latrinbehållare</t>
  </si>
  <si>
    <t>§3.4.1</t>
  </si>
  <si>
    <t>Köp av engångsbehållare för latrin</t>
  </si>
  <si>
    <t>§4 Hämtning av fosforfilter</t>
  </si>
  <si>
    <t>§4.1.1 Budad hämtning fosforfilter</t>
  </si>
  <si>
    <t>§4.1.1</t>
  </si>
  <si>
    <t>§4.2.1 Tilläggstjänster fosforfilter</t>
  </si>
  <si>
    <t>§4.2.1</t>
  </si>
  <si>
    <t>§5 Tömning av fettavskiljare</t>
  </si>
  <si>
    <t>§5.1.1 Ordinarie tömning av fettavskiljare</t>
  </si>
  <si>
    <t>§5.2.1 Tilläggstjänster fettavskiljare</t>
  </si>
  <si>
    <t>§5.2.1</t>
  </si>
  <si>
    <t>§5.1.1</t>
  </si>
  <si>
    <t>Krav på närvaro vid specifiserad tömningstid</t>
  </si>
  <si>
    <t>§5.3.1 Övriga avgifter och tillägg fettavskiljare</t>
  </si>
  <si>
    <t>§5.3.1</t>
  </si>
  <si>
    <t>§6 Avfall inlämnat på återvinningscentral</t>
  </si>
  <si>
    <t>§6.1.1 Avgifter vid ÅVC</t>
  </si>
  <si>
    <t>Ej redovisad ankomst till ÅVC för avlämning av verksamhetsavfall</t>
  </si>
  <si>
    <t>Ej redovisad eller fel redovisad fraktion av avfall</t>
  </si>
  <si>
    <t>kr/fraktion</t>
  </si>
  <si>
    <t>Avfall till energiåtervinning (240 L sopsäck)</t>
  </si>
  <si>
    <t>Avfall till energiåtervinning</t>
  </si>
  <si>
    <t>Skrymmande avfall till energiåtervinning större än 20x20x80</t>
  </si>
  <si>
    <t>Betong, lättbetong</t>
  </si>
  <si>
    <t>Gips, gipsskivor</t>
  </si>
  <si>
    <t>Fönster- och planglas utan karm</t>
  </si>
  <si>
    <t>Plast</t>
  </si>
  <si>
    <t>Klinker, keramik, porslin</t>
  </si>
  <si>
    <t>Handfat</t>
  </si>
  <si>
    <t>WC stolar</t>
  </si>
  <si>
    <t>Metall</t>
  </si>
  <si>
    <t>Textilier</t>
  </si>
  <si>
    <t>Fiskeredskap</t>
  </si>
  <si>
    <t>Jord</t>
  </si>
  <si>
    <t>Sten</t>
  </si>
  <si>
    <t>Stubbar rötter för krossning</t>
  </si>
  <si>
    <t>Flera fraktioner för egen sortering på ramp max 2 m3</t>
  </si>
  <si>
    <t>Osorterat avfall till sortering ej innehåll av farligt avfall eller elavfall</t>
  </si>
  <si>
    <t>Tonerkassetter, utan elektronik/chip</t>
  </si>
  <si>
    <t>170204*</t>
  </si>
  <si>
    <t>§6.1.3 Tillägg för farligt avfall</t>
  </si>
  <si>
    <t>Oljeemulsion, emballerat</t>
  </si>
  <si>
    <t>Oljeavskiljarslam</t>
  </si>
  <si>
    <t>Förorenad olja innehållande PCB</t>
  </si>
  <si>
    <t>Diesel</t>
  </si>
  <si>
    <t>Bensinrester</t>
  </si>
  <si>
    <t>Hydralslang, med/utan koppling</t>
  </si>
  <si>
    <t>Förpackningar, tömde ej rengjorda</t>
  </si>
  <si>
    <t>Oljeavfall, fast osorterat emba</t>
  </si>
  <si>
    <t>Absorbermedel, filtermaterial</t>
  </si>
  <si>
    <t>Oljefilter</t>
  </si>
  <si>
    <t>Bromsvätska</t>
  </si>
  <si>
    <t>Transformator, kondensator med PCB</t>
  </si>
  <si>
    <t>Fogskum</t>
  </si>
  <si>
    <t>Halon</t>
  </si>
  <si>
    <t>Koldioxid</t>
  </si>
  <si>
    <t>Brandsläckare</t>
  </si>
  <si>
    <t>Helium</t>
  </si>
  <si>
    <t>Tändare</t>
  </si>
  <si>
    <t>Syrgas</t>
  </si>
  <si>
    <t>Oxiderande fast ämne/vätska</t>
  </si>
  <si>
    <t>Klorex</t>
  </si>
  <si>
    <t>Aerosoler isocyanat, bekämpning</t>
  </si>
  <si>
    <t>Gasol inkl tub</t>
  </si>
  <si>
    <t>Gasol, blå programmet</t>
  </si>
  <si>
    <t>Giftig organisk vätska</t>
  </si>
  <si>
    <t>Småkemikalier, ej Hg-haltiga</t>
  </si>
  <si>
    <t>Giftig oorganisk vätska</t>
  </si>
  <si>
    <t>Oxidationsmedel, flytande</t>
  </si>
  <si>
    <t>Asbest, emballerat</t>
  </si>
  <si>
    <t>Smittförande avfall</t>
  </si>
  <si>
    <t>Lösningsmedel</t>
  </si>
  <si>
    <t>Väteperoxid</t>
  </si>
  <si>
    <t>Flourvätesyra</t>
  </si>
  <si>
    <t>Svavelsyra</t>
  </si>
  <si>
    <t>Salpetersyra</t>
  </si>
  <si>
    <t>Surt oorganisk fast ämne</t>
  </si>
  <si>
    <t>Surt organisk fast ämne</t>
  </si>
  <si>
    <t>Surt oorganisk vätska</t>
  </si>
  <si>
    <t>Surt organisk vätska</t>
  </si>
  <si>
    <t>Ammoniaklösning</t>
  </si>
  <si>
    <t>Alkaliskt avfall fast</t>
  </si>
  <si>
    <t>Basiskt organiskt fast/flytande</t>
  </si>
  <si>
    <t>Fotokemikalier</t>
  </si>
  <si>
    <t>Bekämpningsmedel aerosoler</t>
  </si>
  <si>
    <t>Bekämpningsmedel fast</t>
  </si>
  <si>
    <t>Bekämpningsmedel flytande</t>
  </si>
  <si>
    <t>Kvicksilverhaltigt avfall</t>
  </si>
  <si>
    <t>Kvicksilver i föremål</t>
  </si>
  <si>
    <t>Oljehaltigt avfall (ej PCB)</t>
  </si>
  <si>
    <t>Olja förorenad (ej PCB)</t>
  </si>
  <si>
    <t>Färg-, lack-, limburkar lösning</t>
  </si>
  <si>
    <t>Färg-, lack-, limburkar lösning aerosoler</t>
  </si>
  <si>
    <t>Isocyanater</t>
  </si>
  <si>
    <t>Härdare metyl- etylketonperoxid</t>
  </si>
  <si>
    <t>Härdare dibenzoylperoxid</t>
  </si>
  <si>
    <t>Färg-,lack-, limburkar vattenbaserade</t>
  </si>
  <si>
    <t>Tensida alkaliska flytande avfall</t>
  </si>
  <si>
    <t>Rengöring/vaskmedel fast</t>
  </si>
  <si>
    <t>Alkaliska flytande avfall</t>
  </si>
  <si>
    <t>Cytotoxiska läkemedel, cytostat</t>
  </si>
  <si>
    <t>Rökdetektor med andra isotoper</t>
  </si>
  <si>
    <t>Rökdetektor med Am 241</t>
  </si>
  <si>
    <t>120109*</t>
  </si>
  <si>
    <t>130301*</t>
  </si>
  <si>
    <t>130508*</t>
  </si>
  <si>
    <t>130701*</t>
  </si>
  <si>
    <t>130702*</t>
  </si>
  <si>
    <t>130899*</t>
  </si>
  <si>
    <t>150110*</t>
  </si>
  <si>
    <t>150202*</t>
  </si>
  <si>
    <t>160107*</t>
  </si>
  <si>
    <t>160113*</t>
  </si>
  <si>
    <t>160209*</t>
  </si>
  <si>
    <t>160504*</t>
  </si>
  <si>
    <t>160506*</t>
  </si>
  <si>
    <t>160904*</t>
  </si>
  <si>
    <t>170601*</t>
  </si>
  <si>
    <t>180103*</t>
  </si>
  <si>
    <t>200113*</t>
  </si>
  <si>
    <t>200114*</t>
  </si>
  <si>
    <t>200115*</t>
  </si>
  <si>
    <t>200117*</t>
  </si>
  <si>
    <t>200119*</t>
  </si>
  <si>
    <t>200121*</t>
  </si>
  <si>
    <t>200126*</t>
  </si>
  <si>
    <t>200127*</t>
  </si>
  <si>
    <t>200129*</t>
  </si>
  <si>
    <t>200131*</t>
  </si>
  <si>
    <t>200135*</t>
  </si>
  <si>
    <t>Batterier stav, pencell</t>
  </si>
  <si>
    <t>200133*</t>
  </si>
  <si>
    <t>Batterier lithium</t>
  </si>
  <si>
    <t>200134*</t>
  </si>
  <si>
    <t>Bil-, mcbatteri med bly</t>
  </si>
  <si>
    <t>160601*</t>
  </si>
  <si>
    <t>Glödlampor</t>
  </si>
  <si>
    <t>200136*</t>
  </si>
  <si>
    <t>Lysrör</t>
  </si>
  <si>
    <t xml:space="preserve">Elavfall, små elektronik </t>
  </si>
  <si>
    <t>El-avfall fast installation</t>
  </si>
  <si>
    <t>El-avfall kabel</t>
  </si>
  <si>
    <t>Toner, färgpatron med elektronik</t>
  </si>
  <si>
    <t>080307*</t>
  </si>
  <si>
    <t>Toner, färgpatron utan elektronik</t>
  </si>
  <si>
    <t>Tv, radio, skärm, skrivare utan färgpatron</t>
  </si>
  <si>
    <t>Kyl-, frysskåp, -box</t>
  </si>
  <si>
    <t>200123*</t>
  </si>
  <si>
    <t>Kyl-, frysskåp, -box från verksamhet</t>
  </si>
  <si>
    <t>Spis, tvätt-, diskmaskin</t>
  </si>
  <si>
    <t>Spis, tvätt-, diskmaskin från verksamhet</t>
  </si>
  <si>
    <t>§6.1.4 Tillägg för el-avfall</t>
  </si>
  <si>
    <t>Se farligt avfall</t>
  </si>
  <si>
    <t>Kr/St</t>
  </si>
  <si>
    <t>Ej pris</t>
  </si>
  <si>
    <t>Ätbart fett/frityrolja</t>
  </si>
  <si>
    <t>Kr/besök</t>
  </si>
  <si>
    <t>kr/l</t>
  </si>
  <si>
    <t>§6.1.5 Hyra av container</t>
  </si>
  <si>
    <t>§6.1.5</t>
  </si>
  <si>
    <t>§6.1.6 Tillägg och avgifter</t>
  </si>
  <si>
    <t>§6.1.6</t>
  </si>
  <si>
    <t>Okänt farligt avfall säkerhetsdatablad saknas</t>
  </si>
  <si>
    <t>ombud för registrering av El-kretsen avlämnarintyg i Hämtplatsportalen</t>
  </si>
  <si>
    <t>Ombud för rapportering av farligt avfall i Avfallsregistret</t>
  </si>
  <si>
    <t>Administrativ rapporteringsavgift till Avfallsregistret</t>
  </si>
  <si>
    <t>Tilägg per m3 över 3m3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</si>
</sst>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#\ ##,000"/>
  </numFmts>
  <fonts count="13" x14ac:knownFonts="1">
    <font>
      <sz val="11"/>
      <color theme="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Times New Roman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D9D9D9"/>
      </right>
      <top style="thin">
        <color rgb="FF7F7F7F"/>
      </top>
      <bottom style="thin">
        <color rgb="FFD9D9D9"/>
      </bottom>
      <diagonal/>
    </border>
    <border>
      <left style="thin">
        <color rgb="FFD9D9D9"/>
      </left>
      <right style="thin">
        <color rgb="FF7F7F7F"/>
      </right>
      <top style="thin">
        <color rgb="FF7F7F7F"/>
      </top>
      <bottom style="thin">
        <color rgb="FFD9D9D9"/>
      </bottom>
      <diagonal/>
    </border>
    <border>
      <left style="thin">
        <color rgb="FF7F7F7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7F7F7F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D9D9D9"/>
      </right>
      <top style="thin">
        <color rgb="FFD9D9D9"/>
      </top>
      <bottom style="thin">
        <color rgb="FF7F7F7F"/>
      </bottom>
      <diagonal/>
    </border>
    <border>
      <left style="thin">
        <color rgb="FFD9D9D9"/>
      </left>
      <right style="thin">
        <color rgb="FF7F7F7F"/>
      </right>
      <top style="thin">
        <color rgb="FFD9D9D9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7F7F7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7F7F7F"/>
      </bottom>
      <diagonal/>
    </border>
    <border>
      <left style="thin">
        <color rgb="FF7F7F7F"/>
      </left>
      <right style="thin">
        <color rgb="FFD9D9D9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D9D9D9"/>
      </top>
      <bottom style="thin">
        <color rgb="FF7F7F7F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7F7F7F"/>
      </top>
      <bottom style="thin">
        <color rgb="FFD9D9D9"/>
      </bottom>
      <diagonal/>
    </border>
    <border>
      <left/>
      <right style="thin">
        <color rgb="FFD9D9D9"/>
      </right>
      <top style="thin">
        <color rgb="FF7F7F7F"/>
      </top>
      <bottom style="thin">
        <color rgb="FFD9D9D9"/>
      </bottom>
      <diagonal/>
    </border>
    <border>
      <left/>
      <right style="thin">
        <color rgb="FFD9D9D9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1"/>
  </cellStyleXfs>
  <cellXfs count="158">
    <xf numFmtId="0" fontId="0" fillId="0" borderId="0" xfId="0" applyBorder="1"/>
    <xf numFmtId="0" fontId="0" fillId="0" borderId="0" xfId="0" applyBorder="1" applyAlignment="1">
      <alignment wrapText="1"/>
    </xf>
    <xf numFmtId="0" fontId="0" fillId="10" borderId="0" xfId="0" applyFill="1" applyBorder="1"/>
    <xf numFmtId="0" fontId="3" fillId="7" borderId="0" xfId="0" applyFont="1" applyFill="1" applyBorder="1" applyAlignment="1">
      <alignment wrapText="1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3" xfId="0" applyBorder="1" applyAlignment="1">
      <alignment wrapText="1"/>
    </xf>
    <xf numFmtId="0" fontId="0" fillId="3" borderId="3" xfId="0" applyFill="1" applyBorder="1"/>
    <xf numFmtId="0" fontId="0" fillId="9" borderId="3" xfId="0" applyFill="1" applyBorder="1"/>
    <xf numFmtId="0" fontId="0" fillId="8" borderId="3" xfId="0" applyFill="1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0" fillId="0" borderId="8" xfId="0" applyBorder="1"/>
    <xf numFmtId="0" fontId="0" fillId="0" borderId="11" xfId="0" applyBorder="1"/>
    <xf numFmtId="0" fontId="0" fillId="0" borderId="9" xfId="0" applyBorder="1"/>
    <xf numFmtId="164" fontId="0" fillId="0" borderId="3" xfId="0" applyNumberFormat="1" applyBorder="1"/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9" borderId="3" xfId="0" applyFill="1" applyBorder="1" applyAlignment="1">
      <alignment vertical="top" wrapText="1"/>
    </xf>
    <xf numFmtId="0" fontId="0" fillId="8" borderId="3" xfId="0" applyFill="1" applyBorder="1" applyAlignment="1">
      <alignment vertical="top" wrapText="1"/>
    </xf>
    <xf numFmtId="164" fontId="0" fillId="8" borderId="3" xfId="0" applyNumberFormat="1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8" borderId="7" xfId="0" applyFill="1" applyBorder="1" applyAlignment="1">
      <alignment vertical="top" wrapText="1"/>
    </xf>
    <xf numFmtId="0" fontId="0" fillId="3" borderId="6" xfId="0" applyFill="1" applyBorder="1"/>
    <xf numFmtId="0" fontId="0" fillId="8" borderId="7" xfId="0" applyFill="1" applyBorder="1"/>
    <xf numFmtId="0" fontId="0" fillId="3" borderId="8" xfId="0" applyFill="1" applyBorder="1"/>
    <xf numFmtId="0" fontId="0" fillId="3" borderId="11" xfId="0" applyFill="1" applyBorder="1"/>
    <xf numFmtId="0" fontId="0" fillId="9" borderId="11" xfId="0" applyFill="1" applyBorder="1"/>
    <xf numFmtId="0" fontId="0" fillId="8" borderId="11" xfId="0" applyFill="1" applyBorder="1"/>
    <xf numFmtId="0" fontId="0" fillId="8" borderId="9" xfId="0" applyFill="1" applyBorder="1"/>
    <xf numFmtId="0" fontId="3" fillId="4" borderId="3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3" fillId="4" borderId="4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0" fillId="8" borderId="6" xfId="0" applyFill="1" applyBorder="1"/>
    <xf numFmtId="0" fontId="0" fillId="8" borderId="8" xfId="0" applyFill="1" applyBorder="1"/>
    <xf numFmtId="165" fontId="0" fillId="0" borderId="3" xfId="0" applyNumberFormat="1" applyBorder="1"/>
    <xf numFmtId="165" fontId="4" fillId="5" borderId="3" xfId="0" applyNumberFormat="1" applyFont="1" applyFill="1" applyBorder="1"/>
    <xf numFmtId="165" fontId="0" fillId="0" borderId="7" xfId="0" applyNumberFormat="1" applyBorder="1"/>
    <xf numFmtId="0" fontId="4" fillId="5" borderId="6" xfId="0" applyFont="1" applyFill="1" applyBorder="1"/>
    <xf numFmtId="165" fontId="4" fillId="5" borderId="7" xfId="0" applyNumberFormat="1" applyFont="1" applyFill="1" applyBorder="1"/>
    <xf numFmtId="0" fontId="0" fillId="10" borderId="3" xfId="0" applyFill="1" applyBorder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0" borderId="11" xfId="0" applyFill="1" applyBorder="1"/>
    <xf numFmtId="0" fontId="3" fillId="4" borderId="15" xfId="0" applyFont="1" applyFill="1" applyBorder="1" applyAlignment="1">
      <alignment wrapText="1"/>
    </xf>
    <xf numFmtId="0" fontId="0" fillId="10" borderId="16" xfId="0" applyFill="1" applyBorder="1"/>
    <xf numFmtId="0" fontId="0" fillId="10" borderId="17" xfId="0" applyFill="1" applyBorder="1"/>
    <xf numFmtId="0" fontId="3" fillId="4" borderId="3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11" borderId="12" xfId="0" applyFont="1" applyFill="1" applyBorder="1" applyAlignment="1">
      <alignment horizontal="center" vertical="center" wrapText="1"/>
    </xf>
    <xf numFmtId="0" fontId="3" fillId="11" borderId="13" xfId="0" applyFont="1" applyFill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horizontal="center" vertical="center" wrapText="1"/>
    </xf>
    <xf numFmtId="0" fontId="5" fillId="11" borderId="14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top" wrapText="1"/>
    </xf>
    <xf numFmtId="0" fontId="8" fillId="12" borderId="3" xfId="0" applyFont="1" applyFill="1" applyBorder="1" applyAlignment="1">
      <alignment horizontal="left" vertical="top" wrapText="1"/>
    </xf>
    <xf numFmtId="0" fontId="7" fillId="12" borderId="3" xfId="0" applyFont="1" applyFill="1" applyBorder="1" applyAlignment="1">
      <alignment horizontal="left" vertical="top"/>
    </xf>
    <xf numFmtId="0" fontId="3" fillId="11" borderId="4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0" fillId="3" borderId="4" xfId="0" applyFill="1" applyBorder="1"/>
    <xf numFmtId="0" fontId="0" fillId="3" borderId="10" xfId="0" applyFill="1" applyBorder="1"/>
    <xf numFmtId="0" fontId="0" fillId="9" borderId="10" xfId="0" applyFill="1" applyBorder="1"/>
    <xf numFmtId="0" fontId="0" fillId="8" borderId="10" xfId="0" applyFill="1" applyBorder="1"/>
    <xf numFmtId="0" fontId="0" fillId="8" borderId="5" xfId="0" applyFill="1" applyBorder="1"/>
    <xf numFmtId="0" fontId="9" fillId="18" borderId="3" xfId="0" applyFont="1" applyFill="1" applyBorder="1" applyAlignment="1">
      <alignment horizontal="left" vertical="top" wrapText="1"/>
    </xf>
    <xf numFmtId="0" fontId="9" fillId="18" borderId="3" xfId="0" applyFont="1" applyFill="1" applyBorder="1" applyAlignment="1">
      <alignment horizontal="left" vertical="top"/>
    </xf>
    <xf numFmtId="0" fontId="3" fillId="19" borderId="0" xfId="0" applyFont="1" applyFill="1" applyBorder="1" applyAlignment="1">
      <alignment horizontal="center" wrapText="1"/>
    </xf>
    <xf numFmtId="0" fontId="4" fillId="20" borderId="0" xfId="0" applyFont="1" applyFill="1" applyBorder="1" applyAlignment="1">
      <alignment wrapText="1"/>
    </xf>
    <xf numFmtId="0" fontId="6" fillId="13" borderId="1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3" xfId="0" applyBorder="1" applyAlignment="1">
      <alignment wrapText="1"/>
    </xf>
    <xf numFmtId="0" fontId="1" fillId="0" borderId="10" xfId="0" applyFont="1" applyBorder="1" applyAlignment="1">
      <alignment horizontal="left" vertical="center" wrapText="1"/>
    </xf>
    <xf numFmtId="0" fontId="0" fillId="0" borderId="20" xfId="0" applyBorder="1"/>
    <xf numFmtId="0" fontId="0" fillId="0" borderId="21" xfId="0" applyBorder="1"/>
    <xf numFmtId="0" fontId="0" fillId="0" borderId="1" xfId="0" applyBorder="1"/>
    <xf numFmtId="0" fontId="6" fillId="21" borderId="12" xfId="0" applyFont="1" applyFill="1" applyBorder="1" applyAlignment="1">
      <alignment horizontal="left" vertical="center" wrapText="1"/>
    </xf>
    <xf numFmtId="0" fontId="0" fillId="21" borderId="2" xfId="0" applyFill="1" applyBorder="1"/>
    <xf numFmtId="0" fontId="0" fillId="21" borderId="22" xfId="0" applyFill="1" applyBorder="1"/>
    <xf numFmtId="0" fontId="7" fillId="18" borderId="3" xfId="0" applyFont="1" applyFill="1" applyBorder="1" applyAlignment="1">
      <alignment horizontal="left" vertical="top" wrapText="1"/>
    </xf>
    <xf numFmtId="0" fontId="6" fillId="22" borderId="12" xfId="0" applyFont="1" applyFill="1" applyBorder="1" applyAlignment="1">
      <alignment horizontal="left" vertical="center" wrapText="1"/>
    </xf>
    <xf numFmtId="0" fontId="0" fillId="22" borderId="2" xfId="0" applyFill="1" applyBorder="1"/>
    <xf numFmtId="0" fontId="0" fillId="22" borderId="22" xfId="0" applyFill="1" applyBorder="1"/>
    <xf numFmtId="0" fontId="10" fillId="12" borderId="3" xfId="0" applyFont="1" applyFill="1" applyBorder="1" applyAlignment="1">
      <alignment horizontal="left" vertical="top" wrapText="1"/>
    </xf>
    <xf numFmtId="0" fontId="11" fillId="13" borderId="12" xfId="0" applyFont="1" applyFill="1" applyBorder="1" applyAlignment="1">
      <alignment horizontal="left" vertical="center" wrapText="1"/>
    </xf>
    <xf numFmtId="0" fontId="11" fillId="13" borderId="12" xfId="0" applyFont="1" applyFill="1" applyBorder="1" applyAlignment="1">
      <alignment horizontal="left" vertical="center"/>
    </xf>
    <xf numFmtId="0" fontId="10" fillId="12" borderId="3" xfId="0" applyFont="1" applyFill="1" applyBorder="1" applyAlignment="1">
      <alignment horizontal="left" vertical="top"/>
    </xf>
    <xf numFmtId="0" fontId="10" fillId="18" borderId="3" xfId="0" applyFont="1" applyFill="1" applyBorder="1" applyAlignment="1">
      <alignment horizontal="left" vertical="top"/>
    </xf>
    <xf numFmtId="0" fontId="3" fillId="11" borderId="13" xfId="0" applyFont="1" applyFill="1" applyBorder="1" applyAlignment="1">
      <alignment horizontal="center" wrapText="1"/>
    </xf>
    <xf numFmtId="0" fontId="0" fillId="14" borderId="3" xfId="0" applyFill="1" applyBorder="1" applyAlignment="1">
      <alignment horizontal="center" wrapText="1"/>
    </xf>
    <xf numFmtId="0" fontId="4" fillId="14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6" fillId="21" borderId="12" xfId="0" applyFont="1" applyFill="1" applyBorder="1" applyAlignment="1">
      <alignment horizontal="center"/>
    </xf>
    <xf numFmtId="0" fontId="6" fillId="13" borderId="12" xfId="0" applyFont="1" applyFill="1" applyBorder="1" applyAlignment="1">
      <alignment horizontal="center"/>
    </xf>
    <xf numFmtId="0" fontId="6" fillId="13" borderId="12" xfId="0" applyFont="1" applyFill="1" applyBorder="1" applyAlignment="1">
      <alignment horizontal="center" wrapText="1"/>
    </xf>
    <xf numFmtId="0" fontId="0" fillId="14" borderId="3" xfId="0" applyFill="1" applyBorder="1" applyAlignment="1">
      <alignment horizontal="center"/>
    </xf>
    <xf numFmtId="0" fontId="0" fillId="15" borderId="3" xfId="0" applyFill="1" applyBorder="1" applyAlignment="1">
      <alignment horizontal="center" wrapText="1"/>
    </xf>
    <xf numFmtId="0" fontId="4" fillId="15" borderId="3" xfId="0" applyFont="1" applyFill="1" applyBorder="1" applyAlignment="1">
      <alignment horizontal="center" wrapText="1"/>
    </xf>
    <xf numFmtId="0" fontId="4" fillId="9" borderId="3" xfId="0" applyFont="1" applyFill="1" applyBorder="1" applyAlignment="1">
      <alignment horizontal="center" wrapText="1"/>
    </xf>
    <xf numFmtId="0" fontId="0" fillId="9" borderId="3" xfId="0" applyFill="1" applyBorder="1" applyAlignment="1">
      <alignment horizontal="center" wrapText="1"/>
    </xf>
    <xf numFmtId="0" fontId="6" fillId="21" borderId="13" xfId="0" applyFont="1" applyFill="1" applyBorder="1" applyAlignment="1">
      <alignment horizontal="center"/>
    </xf>
    <xf numFmtId="0" fontId="6" fillId="13" borderId="13" xfId="0" applyFont="1" applyFill="1" applyBorder="1" applyAlignment="1">
      <alignment horizontal="center"/>
    </xf>
    <xf numFmtId="0" fontId="6" fillId="13" borderId="13" xfId="0" applyFont="1" applyFill="1" applyBorder="1" applyAlignment="1">
      <alignment horizontal="center" wrapText="1"/>
    </xf>
    <xf numFmtId="0" fontId="0" fillId="15" borderId="3" xfId="0" applyFill="1" applyBorder="1" applyAlignment="1">
      <alignment horizontal="center"/>
    </xf>
    <xf numFmtId="0" fontId="3" fillId="11" borderId="13" xfId="0" applyFont="1" applyFill="1" applyBorder="1" applyAlignment="1">
      <alignment horizontal="center"/>
    </xf>
    <xf numFmtId="0" fontId="3" fillId="11" borderId="14" xfId="0" applyFont="1" applyFill="1" applyBorder="1" applyAlignment="1">
      <alignment horizontal="center"/>
    </xf>
    <xf numFmtId="0" fontId="0" fillId="16" borderId="3" xfId="0" applyFill="1" applyBorder="1" applyAlignment="1">
      <alignment horizontal="center" wrapText="1"/>
    </xf>
    <xf numFmtId="165" fontId="0" fillId="16" borderId="3" xfId="0" applyNumberFormat="1" applyFill="1" applyBorder="1" applyAlignment="1">
      <alignment horizontal="center" wrapText="1"/>
    </xf>
    <xf numFmtId="0" fontId="4" fillId="16" borderId="3" xfId="0" applyFont="1" applyFill="1" applyBorder="1" applyAlignment="1">
      <alignment horizontal="center" wrapText="1"/>
    </xf>
    <xf numFmtId="165" fontId="4" fillId="16" borderId="3" xfId="0" applyNumberFormat="1" applyFont="1" applyFill="1" applyBorder="1" applyAlignment="1">
      <alignment horizontal="center" wrapText="1"/>
    </xf>
    <xf numFmtId="0" fontId="4" fillId="8" borderId="3" xfId="0" applyFont="1" applyFill="1" applyBorder="1" applyAlignment="1">
      <alignment horizontal="center" wrapText="1"/>
    </xf>
    <xf numFmtId="165" fontId="4" fillId="8" borderId="3" xfId="0" applyNumberFormat="1" applyFont="1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  <xf numFmtId="165" fontId="0" fillId="8" borderId="3" xfId="0" applyNumberFormat="1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22" borderId="12" xfId="0" applyFont="1" applyFill="1" applyBorder="1" applyAlignment="1">
      <alignment horizontal="center" wrapText="1"/>
    </xf>
    <xf numFmtId="0" fontId="0" fillId="22" borderId="2" xfId="0" applyFill="1" applyBorder="1" applyAlignment="1">
      <alignment horizontal="center"/>
    </xf>
    <xf numFmtId="0" fontId="0" fillId="22" borderId="22" xfId="0" applyFill="1" applyBorder="1" applyAlignment="1">
      <alignment horizontal="center"/>
    </xf>
    <xf numFmtId="0" fontId="6" fillId="22" borderId="13" xfId="0" applyFont="1" applyFill="1" applyBorder="1" applyAlignment="1">
      <alignment horizontal="center"/>
    </xf>
    <xf numFmtId="0" fontId="6" fillId="22" borderId="14" xfId="0" applyFont="1" applyFill="1" applyBorder="1" applyAlignment="1">
      <alignment horizontal="center"/>
    </xf>
    <xf numFmtId="0" fontId="6" fillId="21" borderId="14" xfId="0" applyFont="1" applyFill="1" applyBorder="1" applyAlignment="1">
      <alignment horizontal="center"/>
    </xf>
    <xf numFmtId="0" fontId="6" fillId="13" borderId="14" xfId="0" applyFont="1" applyFill="1" applyBorder="1" applyAlignment="1">
      <alignment horizontal="center"/>
    </xf>
    <xf numFmtId="165" fontId="0" fillId="15" borderId="3" xfId="0" applyNumberFormat="1" applyFill="1" applyBorder="1" applyAlignment="1">
      <alignment horizontal="center" wrapText="1"/>
    </xf>
    <xf numFmtId="165" fontId="0" fillId="14" borderId="3" xfId="0" applyNumberFormat="1" applyFill="1" applyBorder="1" applyAlignment="1">
      <alignment horizontal="center" wrapText="1"/>
    </xf>
    <xf numFmtId="0" fontId="0" fillId="17" borderId="3" xfId="0" applyFill="1" applyBorder="1" applyAlignment="1">
      <alignment horizontal="center"/>
    </xf>
    <xf numFmtId="0" fontId="0" fillId="17" borderId="7" xfId="0" applyFill="1" applyBorder="1" applyAlignment="1">
      <alignment horizontal="center"/>
    </xf>
    <xf numFmtId="165" fontId="6" fillId="13" borderId="13" xfId="0" applyNumberFormat="1" applyFont="1" applyFill="1" applyBorder="1" applyAlignment="1">
      <alignment horizontal="center" wrapText="1"/>
    </xf>
    <xf numFmtId="165" fontId="4" fillId="15" borderId="3" xfId="0" applyNumberFormat="1" applyFont="1" applyFill="1" applyBorder="1" applyAlignment="1">
      <alignment horizontal="center" wrapText="1"/>
    </xf>
    <xf numFmtId="165" fontId="4" fillId="14" borderId="3" xfId="0" applyNumberFormat="1" applyFont="1" applyFill="1" applyBorder="1" applyAlignment="1">
      <alignment horizontal="center" wrapText="1"/>
    </xf>
    <xf numFmtId="165" fontId="4" fillId="9" borderId="3" xfId="0" applyNumberFormat="1" applyFont="1" applyFill="1" applyBorder="1" applyAlignment="1">
      <alignment horizontal="center" wrapText="1"/>
    </xf>
    <xf numFmtId="165" fontId="4" fillId="3" borderId="3" xfId="0" applyNumberFormat="1" applyFont="1" applyFill="1" applyBorder="1" applyAlignment="1">
      <alignment horizontal="center" wrapText="1"/>
    </xf>
    <xf numFmtId="0" fontId="0" fillId="6" borderId="3" xfId="0" applyFill="1" applyBorder="1" applyAlignment="1">
      <alignment horizontal="center"/>
    </xf>
    <xf numFmtId="165" fontId="0" fillId="9" borderId="3" xfId="0" applyNumberFormat="1" applyFill="1" applyBorder="1" applyAlignment="1">
      <alignment horizontal="center" wrapText="1"/>
    </xf>
    <xf numFmtId="165" fontId="0" fillId="3" borderId="3" xfId="0" applyNumberFormat="1" applyFill="1" applyBorder="1" applyAlignment="1">
      <alignment horizontal="center" wrapText="1"/>
    </xf>
    <xf numFmtId="0" fontId="0" fillId="16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8"/>
  <sheetViews>
    <sheetView tabSelected="1" workbookViewId="0">
      <selection activeCell="G253" sqref="G253"/>
    </sheetView>
  </sheetViews>
  <sheetFormatPr defaultRowHeight="15" x14ac:dyDescent="0.25"/>
  <cols>
    <col min="1" max="1" width="14" customWidth="1"/>
    <col min="2" max="2" width="57.5703125" customWidth="1"/>
    <col min="3" max="3" width="68.28515625" customWidth="1"/>
    <col min="4" max="4" width="34.28515625" customWidth="1"/>
    <col min="5" max="5" width="14" customWidth="1"/>
    <col min="6" max="6" width="18" style="110" customWidth="1"/>
    <col min="7" max="7" width="20" style="110" customWidth="1"/>
    <col min="8" max="8" width="34" style="110" customWidth="1"/>
    <col min="9" max="11" width="18" style="110" customWidth="1"/>
    <col min="12" max="12" width="12" style="110" customWidth="1"/>
    <col min="13" max="13" width="16" style="110" customWidth="1"/>
    <col min="14" max="14" width="18" style="110" customWidth="1"/>
  </cols>
  <sheetData>
    <row r="1" spans="1:14" ht="18.75" customHeight="1" x14ac:dyDescent="0.25">
      <c r="A1" s="11"/>
      <c r="B1" s="89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1"/>
      <c r="M1" s="134"/>
      <c r="N1" s="135"/>
    </row>
    <row r="2" spans="1:14" x14ac:dyDescent="0.25">
      <c r="A2" s="12"/>
      <c r="B2" s="88" t="s">
        <v>1</v>
      </c>
      <c r="C2" s="86"/>
      <c r="D2" s="86"/>
      <c r="E2" s="86"/>
      <c r="F2" s="86"/>
      <c r="G2" s="86"/>
      <c r="H2" s="86"/>
      <c r="I2" s="86"/>
      <c r="J2" s="86"/>
      <c r="K2" s="86"/>
      <c r="L2" s="87"/>
      <c r="M2" s="136"/>
      <c r="N2" s="137"/>
    </row>
    <row r="3" spans="1:14" x14ac:dyDescent="0.25">
      <c r="A3" s="12"/>
      <c r="B3" s="7"/>
      <c r="C3" s="7"/>
      <c r="D3" s="7"/>
      <c r="E3" s="7"/>
      <c r="F3" s="111"/>
      <c r="G3" s="111"/>
      <c r="H3" s="111"/>
      <c r="I3" s="111"/>
      <c r="J3" s="111"/>
      <c r="K3" s="111"/>
      <c r="L3" s="111"/>
      <c r="M3" s="136"/>
      <c r="N3" s="137"/>
    </row>
    <row r="4" spans="1:14" x14ac:dyDescent="0.25">
      <c r="A4" s="12"/>
      <c r="B4" s="7"/>
      <c r="C4" s="7"/>
      <c r="D4" s="7"/>
      <c r="E4" s="7"/>
      <c r="F4" s="111"/>
      <c r="G4" s="111"/>
      <c r="H4" s="111"/>
      <c r="I4" s="111"/>
      <c r="J4" s="111"/>
      <c r="K4" s="111"/>
      <c r="L4" s="111"/>
      <c r="M4" s="136"/>
      <c r="N4" s="137"/>
    </row>
    <row r="5" spans="1:14" ht="24" customHeight="1" x14ac:dyDescent="0.25">
      <c r="A5" s="62" t="s">
        <v>2</v>
      </c>
      <c r="B5" s="63" t="s">
        <v>3</v>
      </c>
      <c r="C5" s="63" t="s">
        <v>4</v>
      </c>
      <c r="D5" s="63" t="s">
        <v>5</v>
      </c>
      <c r="E5" s="63" t="s">
        <v>6</v>
      </c>
      <c r="F5" s="105" t="s">
        <v>7</v>
      </c>
      <c r="G5" s="105" t="s">
        <v>8</v>
      </c>
      <c r="H5" s="105" t="s">
        <v>9</v>
      </c>
      <c r="I5" s="105" t="s">
        <v>10</v>
      </c>
      <c r="J5" s="105" t="s">
        <v>11</v>
      </c>
      <c r="K5" s="105" t="s">
        <v>12</v>
      </c>
      <c r="L5" s="105" t="s">
        <v>13</v>
      </c>
      <c r="M5" s="124" t="s">
        <v>14</v>
      </c>
      <c r="N5" s="125" t="s">
        <v>15</v>
      </c>
    </row>
    <row r="6" spans="1:14" ht="21.95" customHeight="1" x14ac:dyDescent="0.25">
      <c r="A6" s="97" t="s">
        <v>1577</v>
      </c>
      <c r="B6" s="98"/>
      <c r="C6" s="98"/>
      <c r="D6" s="98"/>
      <c r="E6" s="99"/>
      <c r="F6" s="138"/>
      <c r="G6" s="139"/>
      <c r="H6" s="139"/>
      <c r="I6" s="139"/>
      <c r="J6" s="140"/>
      <c r="K6" s="141"/>
      <c r="L6" s="141"/>
      <c r="M6" s="141"/>
      <c r="N6" s="142"/>
    </row>
    <row r="7" spans="1:14" ht="21.95" customHeight="1" x14ac:dyDescent="0.25">
      <c r="A7" s="93" t="s">
        <v>1583</v>
      </c>
      <c r="B7" s="94"/>
      <c r="C7" s="94"/>
      <c r="D7" s="94"/>
      <c r="E7" s="95"/>
      <c r="F7" s="112"/>
      <c r="G7" s="120"/>
      <c r="H7" s="120"/>
      <c r="I7" s="120"/>
      <c r="J7" s="120"/>
      <c r="K7" s="120"/>
      <c r="L7" s="120"/>
      <c r="M7" s="120"/>
      <c r="N7" s="143"/>
    </row>
    <row r="8" spans="1:14" ht="21.95" customHeight="1" x14ac:dyDescent="0.25">
      <c r="A8" s="83" t="s">
        <v>1582</v>
      </c>
      <c r="B8" s="84"/>
      <c r="C8" s="84"/>
      <c r="D8" s="84"/>
      <c r="E8" s="85"/>
      <c r="F8" s="113"/>
      <c r="G8" s="121"/>
      <c r="H8" s="121"/>
      <c r="I8" s="121"/>
      <c r="J8" s="121"/>
      <c r="K8" s="121"/>
      <c r="L8" s="121"/>
      <c r="M8" s="121"/>
      <c r="N8" s="144"/>
    </row>
    <row r="9" spans="1:14" x14ac:dyDescent="0.25">
      <c r="A9" s="68" t="s">
        <v>17</v>
      </c>
      <c r="B9" s="68" t="s">
        <v>18</v>
      </c>
      <c r="C9" s="68" t="s">
        <v>19</v>
      </c>
      <c r="D9" s="68"/>
      <c r="E9" s="68" t="s">
        <v>20</v>
      </c>
      <c r="F9" s="106" t="s">
        <v>486</v>
      </c>
      <c r="G9" s="116" t="str">
        <f>IF($F9&lt;&gt;"",$F9,IFERROR(_xlfn.XLOOKUP(ROW(),Taxa_Saknas!$H:$H,Taxa_Saknas!$G:$G),""))</f>
        <v>GRUNDPER</v>
      </c>
      <c r="H9" s="126" t="str">
        <f>IF($F9&lt;&gt;"",IFERROR(_xlfn.XLOOKUP($F9,Taxa_från_edp!$B:$B,Taxa_från_edp!C:C),""),"")</f>
        <v>Grundavgift permanentboende</v>
      </c>
      <c r="I9" s="127" t="str">
        <f>IF($F9&lt;&gt;"",IFERROR(_xlfn.XLOOKUP($F9,Taxa_från_edp!$B:$B,Taxa_från_edp!G:G),""),"")</f>
        <v>ÅRPR</v>
      </c>
      <c r="J9" s="127">
        <f>IF($F9&lt;&gt;"",IFERROR(_xlfn.XLOOKUP($F9,Taxa_från_edp!$B:$B,Taxa_från_edp!K:K),""),"")</f>
        <v>1280</v>
      </c>
      <c r="K9" s="145"/>
      <c r="L9" s="146"/>
      <c r="M9" s="147">
        <f t="shared" ref="M9:M67" si="0">IFERROR(IF(J9&lt;&gt;"",J9*1.25,IF(K9&lt;&gt;"",K9*1.25,"")),"")</f>
        <v>1600</v>
      </c>
      <c r="N9" s="148">
        <f t="shared" ref="N9:N67" si="1">IFERROR(IF(J9&lt;&gt;"",L9*J9,IF(K9&lt;&gt;"",L9*K9,"")),"")</f>
        <v>0</v>
      </c>
    </row>
    <row r="10" spans="1:14" x14ac:dyDescent="0.25">
      <c r="A10" s="68" t="s">
        <v>17</v>
      </c>
      <c r="B10" s="68" t="s">
        <v>18</v>
      </c>
      <c r="C10" s="68" t="s">
        <v>21</v>
      </c>
      <c r="D10" s="68"/>
      <c r="E10" s="68" t="s">
        <v>20</v>
      </c>
      <c r="F10" s="106" t="s">
        <v>22</v>
      </c>
      <c r="G10" s="116" t="str">
        <f>IF($F10&lt;&gt;"",$F10,IFERROR(_xlfn.XLOOKUP(ROW(),Taxa_Saknas!$H:$H,Taxa_Saknas!$G:$G),""))</f>
        <v>GRUNDFRI</v>
      </c>
      <c r="H10" s="126" t="str">
        <f>IF($F10&lt;&gt;"",IFERROR(_xlfn.XLOOKUP($F10,Taxa_från_edp!$B:$B,Taxa_från_edp!C:C),""),"")</f>
        <v>Grundavgift fritidshus</v>
      </c>
      <c r="I10" s="127" t="str">
        <f>IF($F10&lt;&gt;"",IFERROR(_xlfn.XLOOKUP($F10,Taxa_från_edp!$B:$B,Taxa_från_edp!G:G),""),"")</f>
        <v>ÅRPR</v>
      </c>
      <c r="J10" s="127">
        <f>IF($F10&lt;&gt;"",IFERROR(_xlfn.XLOOKUP($F10,Taxa_från_edp!$B:$B,Taxa_från_edp!K:K),""),"")</f>
        <v>1040</v>
      </c>
      <c r="K10" s="145"/>
      <c r="L10" s="146"/>
      <c r="M10" s="147">
        <f t="shared" si="0"/>
        <v>1300</v>
      </c>
      <c r="N10" s="148">
        <f t="shared" si="1"/>
        <v>0</v>
      </c>
    </row>
    <row r="11" spans="1:14" x14ac:dyDescent="0.25">
      <c r="A11" s="68" t="s">
        <v>17</v>
      </c>
      <c r="B11" s="68" t="s">
        <v>18</v>
      </c>
      <c r="C11" s="68" t="s">
        <v>23</v>
      </c>
      <c r="D11" s="68"/>
      <c r="E11" s="68" t="s">
        <v>20</v>
      </c>
      <c r="F11" s="106" t="s">
        <v>484</v>
      </c>
      <c r="G11" s="116" t="str">
        <f>IF($F11&lt;&gt;"",$F11,IFERROR(_xlfn.XLOOKUP(ROW(),Taxa_Saknas!$H:$H,Taxa_Saknas!$G:$G),""))</f>
        <v>GRUNDLÄG</v>
      </c>
      <c r="H11" s="126" t="str">
        <f>IF($F11&lt;&gt;"",IFERROR(_xlfn.XLOOKUP($F11,Taxa_från_edp!$B:$B,Taxa_från_edp!C:C),""),"")</f>
        <v>Grundavgift, tvåbostadshus</v>
      </c>
      <c r="I11" s="127" t="str">
        <f>IF($F11&lt;&gt;"",IFERROR(_xlfn.XLOOKUP($F11,Taxa_från_edp!$B:$B,Taxa_från_edp!G:G),""),"")</f>
        <v>ÅRKV</v>
      </c>
      <c r="J11" s="127">
        <f>IF($F11&lt;&gt;"",IFERROR(_xlfn.XLOOKUP($F11,Taxa_från_edp!$B:$B,Taxa_från_edp!K:K),""),"")</f>
        <v>680</v>
      </c>
      <c r="K11" s="145"/>
      <c r="L11" s="146"/>
      <c r="M11" s="147">
        <f t="shared" si="0"/>
        <v>850</v>
      </c>
      <c r="N11" s="148">
        <f t="shared" si="1"/>
        <v>0</v>
      </c>
    </row>
    <row r="12" spans="1:14" ht="30" x14ac:dyDescent="0.25">
      <c r="A12" s="68" t="s">
        <v>17</v>
      </c>
      <c r="B12" s="68" t="s">
        <v>18</v>
      </c>
      <c r="C12" s="68" t="s">
        <v>24</v>
      </c>
      <c r="D12" s="68"/>
      <c r="E12" s="68" t="s">
        <v>20</v>
      </c>
      <c r="F12" s="106" t="s">
        <v>25</v>
      </c>
      <c r="G12" s="116" t="str">
        <f>IF($F12&lt;&gt;"",$F12,IFERROR(_xlfn.XLOOKUP(ROW(),Taxa_Saknas!$H:$H,Taxa_Saknas!$G:$G),""))</f>
        <v>GRUNDFLB</v>
      </c>
      <c r="H12" s="126" t="str">
        <f>IF($F12&lt;&gt;"",IFERROR(_xlfn.XLOOKUP($F12,Taxa_från_edp!$B:$B,Taxa_från_edp!C:C),""),"")</f>
        <v>Grundavgift per lägenhet, flerbostadshus</v>
      </c>
      <c r="I12" s="127" t="str">
        <f>IF($F12&lt;&gt;"",IFERROR(_xlfn.XLOOKUP($F12,Taxa_från_edp!$B:$B,Taxa_från_edp!G:G),""),"")</f>
        <v>ÅRKV</v>
      </c>
      <c r="J12" s="127">
        <f>IF($F12&lt;&gt;"",IFERROR(_xlfn.XLOOKUP($F12,Taxa_från_edp!$B:$B,Taxa_från_edp!K:K),""),"")</f>
        <v>562.5</v>
      </c>
      <c r="K12" s="145"/>
      <c r="L12" s="146"/>
      <c r="M12" s="147">
        <f t="shared" si="0"/>
        <v>703.125</v>
      </c>
      <c r="N12" s="148">
        <f t="shared" si="1"/>
        <v>0</v>
      </c>
    </row>
    <row r="13" spans="1:14" x14ac:dyDescent="0.25">
      <c r="A13" s="68" t="s">
        <v>17</v>
      </c>
      <c r="B13" s="68" t="s">
        <v>18</v>
      </c>
      <c r="C13" s="68" t="s">
        <v>26</v>
      </c>
      <c r="D13" s="68"/>
      <c r="E13" s="68" t="s">
        <v>20</v>
      </c>
      <c r="F13" s="106"/>
      <c r="G13" s="116"/>
      <c r="H13" s="126" t="str">
        <f>IF($F13&lt;&gt;"",IFERROR(_xlfn.XLOOKUP($F13,Taxa_från_edp!$B:$B,Taxa_från_edp!C:C),""),"")</f>
        <v/>
      </c>
      <c r="I13" s="127" t="str">
        <f>IF($F13&lt;&gt;"",IFERROR(_xlfn.XLOOKUP($F13,Taxa_från_edp!$B:$B,Taxa_från_edp!G:G),""),"")</f>
        <v/>
      </c>
      <c r="J13" s="127" t="str">
        <f>IF($F13&lt;&gt;"",IFERROR(_xlfn.XLOOKUP($F13,Taxa_från_edp!$B:$B,Taxa_från_edp!K:K),""),"")</f>
        <v/>
      </c>
      <c r="K13" s="145"/>
      <c r="L13" s="146"/>
      <c r="M13" s="147" t="str">
        <f t="shared" si="0"/>
        <v/>
      </c>
      <c r="N13" s="148" t="str">
        <f t="shared" si="1"/>
        <v/>
      </c>
    </row>
    <row r="14" spans="1:14" x14ac:dyDescent="0.25">
      <c r="A14" s="68" t="s">
        <v>17</v>
      </c>
      <c r="B14" s="68" t="s">
        <v>18</v>
      </c>
      <c r="C14" s="68" t="s">
        <v>27</v>
      </c>
      <c r="D14" s="68"/>
      <c r="E14" s="68" t="s">
        <v>20</v>
      </c>
      <c r="F14" s="106"/>
      <c r="G14" s="116"/>
      <c r="H14" s="126" t="str">
        <f>IF($F14&lt;&gt;"",IFERROR(_xlfn.XLOOKUP($F14,Taxa_från_edp!$B:$B,Taxa_från_edp!C:C),""),"")</f>
        <v/>
      </c>
      <c r="I14" s="127" t="str">
        <f>IF($F14&lt;&gt;"",IFERROR(_xlfn.XLOOKUP($F14,Taxa_från_edp!$B:$B,Taxa_från_edp!G:G),""),"")</f>
        <v/>
      </c>
      <c r="J14" s="127" t="str">
        <f>IF($F14&lt;&gt;"",IFERROR(_xlfn.XLOOKUP($F14,Taxa_från_edp!$B:$B,Taxa_från_edp!K:K),""),"")</f>
        <v/>
      </c>
      <c r="K14" s="145"/>
      <c r="L14" s="146"/>
      <c r="M14" s="147" t="str">
        <f t="shared" si="0"/>
        <v/>
      </c>
      <c r="N14" s="148" t="str">
        <f t="shared" si="1"/>
        <v/>
      </c>
    </row>
    <row r="15" spans="1:14" x14ac:dyDescent="0.25">
      <c r="A15" s="68" t="s">
        <v>17</v>
      </c>
      <c r="B15" s="68" t="s">
        <v>18</v>
      </c>
      <c r="C15" s="68" t="s">
        <v>28</v>
      </c>
      <c r="D15" s="68"/>
      <c r="E15" s="68" t="s">
        <v>20</v>
      </c>
      <c r="F15" s="106"/>
      <c r="G15" s="116"/>
      <c r="H15" s="126" t="str">
        <f>IF($F15&lt;&gt;"",IFERROR(_xlfn.XLOOKUP($F15,Taxa_från_edp!$B:$B,Taxa_från_edp!C:C),""),"")</f>
        <v/>
      </c>
      <c r="I15" s="127" t="str">
        <f>IF($F15&lt;&gt;"",IFERROR(_xlfn.XLOOKUP($F15,Taxa_från_edp!$B:$B,Taxa_från_edp!G:G),""),"")</f>
        <v/>
      </c>
      <c r="J15" s="127" t="str">
        <f>IF($F15&lt;&gt;"",IFERROR(_xlfn.XLOOKUP($F15,Taxa_från_edp!$B:$B,Taxa_från_edp!K:K),""),"")</f>
        <v/>
      </c>
      <c r="K15" s="145"/>
      <c r="L15" s="146"/>
      <c r="M15" s="147" t="str">
        <f t="shared" si="0"/>
        <v/>
      </c>
      <c r="N15" s="148" t="str">
        <f t="shared" si="1"/>
        <v/>
      </c>
    </row>
    <row r="16" spans="1:14" x14ac:dyDescent="0.25">
      <c r="A16" s="68" t="s">
        <v>17</v>
      </c>
      <c r="B16" s="68" t="s">
        <v>18</v>
      </c>
      <c r="C16" s="68" t="s">
        <v>29</v>
      </c>
      <c r="D16" s="68"/>
      <c r="E16" s="68" t="s">
        <v>20</v>
      </c>
      <c r="F16" s="106"/>
      <c r="G16" s="116"/>
      <c r="H16" s="126" t="str">
        <f>IF($F16&lt;&gt;"",IFERROR(_xlfn.XLOOKUP($F16,Taxa_från_edp!$B:$B,Taxa_från_edp!C:C),""),"")</f>
        <v/>
      </c>
      <c r="I16" s="127" t="str">
        <f>IF($F16&lt;&gt;"",IFERROR(_xlfn.XLOOKUP($F16,Taxa_från_edp!$B:$B,Taxa_från_edp!G:G),""),"")</f>
        <v/>
      </c>
      <c r="J16" s="127" t="str">
        <f>IF($F16&lt;&gt;"",IFERROR(_xlfn.XLOOKUP($F16,Taxa_från_edp!$B:$B,Taxa_från_edp!K:K),""),"")</f>
        <v/>
      </c>
      <c r="K16" s="145"/>
      <c r="L16" s="146"/>
      <c r="M16" s="147" t="str">
        <f t="shared" si="0"/>
        <v/>
      </c>
      <c r="N16" s="148" t="str">
        <f t="shared" si="1"/>
        <v/>
      </c>
    </row>
    <row r="17" spans="1:14" ht="45" customHeight="1" x14ac:dyDescent="0.25">
      <c r="A17" s="68" t="s">
        <v>17</v>
      </c>
      <c r="B17" s="68" t="s">
        <v>18</v>
      </c>
      <c r="C17" s="69" t="s">
        <v>30</v>
      </c>
      <c r="D17" s="68"/>
      <c r="E17" s="68" t="s">
        <v>20</v>
      </c>
      <c r="F17" s="106"/>
      <c r="G17" s="116"/>
      <c r="H17" s="126" t="str">
        <f>IF($F17&lt;&gt;"",IFERROR(_xlfn.XLOOKUP($F17,Taxa_från_edp!$B:$B,Taxa_från_edp!C:C),""),"")</f>
        <v/>
      </c>
      <c r="I17" s="127" t="str">
        <f>IF($F17&lt;&gt;"",IFERROR(_xlfn.XLOOKUP($F17,Taxa_från_edp!$B:$B,Taxa_från_edp!G:G),""),"")</f>
        <v/>
      </c>
      <c r="J17" s="127" t="str">
        <f>IF($F17&lt;&gt;"",IFERROR(_xlfn.XLOOKUP($F17,Taxa_från_edp!$B:$B,Taxa_från_edp!K:K),""),"")</f>
        <v/>
      </c>
      <c r="K17" s="145"/>
      <c r="L17" s="146"/>
      <c r="M17" s="147" t="str">
        <f t="shared" si="0"/>
        <v/>
      </c>
      <c r="N17" s="148" t="str">
        <f t="shared" si="1"/>
        <v/>
      </c>
    </row>
    <row r="18" spans="1:14" ht="21.95" customHeight="1" x14ac:dyDescent="0.25">
      <c r="A18" s="93" t="s">
        <v>1578</v>
      </c>
      <c r="B18" s="94"/>
      <c r="C18" s="94"/>
      <c r="D18" s="94"/>
      <c r="E18" s="95"/>
      <c r="F18" s="112"/>
      <c r="G18" s="120" t="str">
        <f>IF($F18&lt;&gt;"",$F18,IFERROR(_xlfn.XLOOKUP(ROW(),Taxa_Saknas!$H:$H,Taxa_Saknas!$G:$G),""))</f>
        <v/>
      </c>
      <c r="H18" s="120" t="str">
        <f>IF($F18&lt;&gt;"",IFERROR(_xlfn.XLOOKUP($F18,Taxa_från_edp!$B:$B,Taxa_från_edp!C:C),""),"")</f>
        <v/>
      </c>
      <c r="I18" s="120" t="str">
        <f>IF($F18&lt;&gt;"",IFERROR(_xlfn.XLOOKUP($F18,Taxa_från_edp!$B:$B,Taxa_från_edp!G:G),""),"")</f>
        <v/>
      </c>
      <c r="J18" s="120" t="str">
        <f>IF($F18&lt;&gt;"",IFERROR(_xlfn.XLOOKUP($F18,Taxa_från_edp!$B:$B,Taxa_från_edp!K:K),""),"")</f>
        <v/>
      </c>
      <c r="K18" s="120"/>
      <c r="L18" s="120"/>
      <c r="M18" s="120" t="str">
        <f t="shared" si="0"/>
        <v/>
      </c>
      <c r="N18" s="143" t="str">
        <f t="shared" si="1"/>
        <v/>
      </c>
    </row>
    <row r="19" spans="1:14" ht="21.95" customHeight="1" x14ac:dyDescent="0.25">
      <c r="A19" s="83" t="s">
        <v>31</v>
      </c>
      <c r="B19" s="84"/>
      <c r="C19" s="84"/>
      <c r="D19" s="84"/>
      <c r="E19" s="85"/>
      <c r="F19" s="114"/>
      <c r="G19" s="122" t="str">
        <f>IF($F19&lt;&gt;"",$F19,IFERROR(_xlfn.XLOOKUP(ROW(),Taxa_Saknas!$H:$H,Taxa_Saknas!$G:$G),""))</f>
        <v/>
      </c>
      <c r="H19" s="122" t="str">
        <f>IF($F19&lt;&gt;"",IFERROR(_xlfn.XLOOKUP($F19,Taxa_från_edp!$B:$B,Taxa_från_edp!C:C),""),"")</f>
        <v/>
      </c>
      <c r="I19" s="149" t="str">
        <f>IF($F19&lt;&gt;"",IFERROR(_xlfn.XLOOKUP($F19,Taxa_från_edp!$B:$B,Taxa_från_edp!G:G),""),"")</f>
        <v/>
      </c>
      <c r="J19" s="149" t="str">
        <f>IF($F19&lt;&gt;"",IFERROR(_xlfn.XLOOKUP($F19,Taxa_från_edp!$B:$B,Taxa_från_edp!K:K),""),"")</f>
        <v/>
      </c>
      <c r="K19" s="149"/>
      <c r="L19" s="149"/>
      <c r="M19" s="121" t="str">
        <f t="shared" ref="M19" si="2">IFERROR(IF(J19&lt;&gt;"",J19*1.25,IF(K19&lt;&gt;"",K19*1.25,"")),"")</f>
        <v/>
      </c>
      <c r="N19" s="144" t="str">
        <f t="shared" ref="N19" si="3">IFERROR(IF(J19&lt;&gt;"",L19*J19,IF(K19&lt;&gt;"",L19*K19,"")),"")</f>
        <v/>
      </c>
    </row>
    <row r="20" spans="1:14" ht="30" customHeight="1" x14ac:dyDescent="0.25">
      <c r="A20" s="68" t="s">
        <v>32</v>
      </c>
      <c r="B20" s="68" t="s">
        <v>33</v>
      </c>
      <c r="C20" s="68" t="s">
        <v>34</v>
      </c>
      <c r="D20" s="68" t="s">
        <v>35</v>
      </c>
      <c r="E20" s="68" t="s">
        <v>20</v>
      </c>
      <c r="F20" s="106" t="s">
        <v>36</v>
      </c>
      <c r="G20" s="116" t="str">
        <f>IF($F20&lt;&gt;"",$F20,IFERROR(_xlfn.XLOOKUP(ROW(),Taxa_Saknas!$H:$H,Taxa_Saknas!$G:$G),""))</f>
        <v>KÄ240RM26</v>
      </c>
      <c r="H20" s="126" t="str">
        <f>IF($F20&lt;&gt;"",IFERROR(_xlfn.XLOOKUP($F20,Taxa_från_edp!$B:$B,Taxa_från_edp!C:C),""),"")</f>
        <v>Tvåfackskärl , rest/matavfall.</v>
      </c>
      <c r="I20" s="127" t="str">
        <f>IF($F20&lt;&gt;"",IFERROR(_xlfn.XLOOKUP($F20,Taxa_från_edp!$B:$B,Taxa_från_edp!G:G),""),"")</f>
        <v>ÅRKV</v>
      </c>
      <c r="J20" s="127">
        <f>IF($F20&lt;&gt;"",IFERROR(_xlfn.XLOOKUP($F20,Taxa_från_edp!$B:$B,Taxa_från_edp!K:K),""),"")</f>
        <v>640</v>
      </c>
      <c r="K20" s="145"/>
      <c r="L20" s="146"/>
      <c r="M20" s="147">
        <f t="shared" si="0"/>
        <v>800</v>
      </c>
      <c r="N20" s="148">
        <f t="shared" si="1"/>
        <v>0</v>
      </c>
    </row>
    <row r="21" spans="1:14" ht="30" customHeight="1" x14ac:dyDescent="0.25">
      <c r="A21" s="68" t="s">
        <v>32</v>
      </c>
      <c r="B21" s="68" t="s">
        <v>33</v>
      </c>
      <c r="C21" s="68" t="s">
        <v>34</v>
      </c>
      <c r="D21" s="68" t="s">
        <v>37</v>
      </c>
      <c r="E21" s="68" t="s">
        <v>20</v>
      </c>
      <c r="F21" s="106"/>
      <c r="G21" s="116"/>
      <c r="H21" s="126" t="str">
        <f>IF($F21&lt;&gt;"",IFERROR(_xlfn.XLOOKUP($F21,Taxa_från_edp!$B:$B,Taxa_från_edp!C:C),""),"")</f>
        <v/>
      </c>
      <c r="I21" s="127" t="str">
        <f>IF($F21&lt;&gt;"",IFERROR(_xlfn.XLOOKUP($F21,Taxa_från_edp!$B:$B,Taxa_från_edp!G:G),""),"")</f>
        <v/>
      </c>
      <c r="J21" s="127" t="str">
        <f>IF($F21&lt;&gt;"",IFERROR(_xlfn.XLOOKUP($F21,Taxa_från_edp!$B:$B,Taxa_från_edp!K:K),""),"")</f>
        <v/>
      </c>
      <c r="K21" s="145"/>
      <c r="L21" s="146"/>
      <c r="M21" s="147" t="str">
        <f t="shared" si="0"/>
        <v/>
      </c>
      <c r="N21" s="148" t="str">
        <f t="shared" si="1"/>
        <v/>
      </c>
    </row>
    <row r="22" spans="1:14" ht="30" customHeight="1" x14ac:dyDescent="0.25">
      <c r="A22" s="68" t="s">
        <v>32</v>
      </c>
      <c r="B22" s="68" t="s">
        <v>33</v>
      </c>
      <c r="C22" s="68" t="s">
        <v>38</v>
      </c>
      <c r="D22" s="68" t="s">
        <v>35</v>
      </c>
      <c r="E22" s="68" t="s">
        <v>20</v>
      </c>
      <c r="F22" s="106" t="s">
        <v>39</v>
      </c>
      <c r="G22" s="116" t="str">
        <f>IF($F22&lt;&gt;"",$F22,IFERROR(_xlfn.XLOOKUP(ROW(),Taxa_Saknas!$H:$H,Taxa_Saknas!$G:$G),""))</f>
        <v>KÄ190XRM26</v>
      </c>
      <c r="H22" s="126" t="str">
        <f>IF($F22&lt;&gt;"",IFERROR(_xlfn.XLOOKUP($F22,Taxa_från_edp!$B:$B,Taxa_från_edp!C:C),""),"")</f>
        <v/>
      </c>
      <c r="I22" s="127" t="str">
        <f>IF($F22&lt;&gt;"",IFERROR(_xlfn.XLOOKUP($F22,Taxa_från_edp!$B:$B,Taxa_från_edp!G:G),""),"")</f>
        <v/>
      </c>
      <c r="J22" s="127" t="str">
        <f>IF($F22&lt;&gt;"",IFERROR(_xlfn.XLOOKUP($F22,Taxa_från_edp!$B:$B,Taxa_från_edp!K:K),""),"")</f>
        <v/>
      </c>
      <c r="K22" s="145"/>
      <c r="L22" s="146"/>
      <c r="M22" s="147" t="str">
        <f t="shared" si="0"/>
        <v/>
      </c>
      <c r="N22" s="148" t="str">
        <f t="shared" si="1"/>
        <v/>
      </c>
    </row>
    <row r="23" spans="1:14" ht="30" customHeight="1" x14ac:dyDescent="0.25">
      <c r="A23" s="68" t="s">
        <v>32</v>
      </c>
      <c r="B23" s="68" t="s">
        <v>33</v>
      </c>
      <c r="C23" s="68" t="s">
        <v>38</v>
      </c>
      <c r="D23" s="68" t="s">
        <v>37</v>
      </c>
      <c r="E23" s="68" t="s">
        <v>20</v>
      </c>
      <c r="F23" s="106"/>
      <c r="G23" s="116"/>
      <c r="H23" s="126" t="str">
        <f>IF($F23&lt;&gt;"",IFERROR(_xlfn.XLOOKUP($F23,Taxa_från_edp!$B:$B,Taxa_från_edp!C:C),""),"")</f>
        <v/>
      </c>
      <c r="I23" s="127" t="str">
        <f>IF($F23&lt;&gt;"",IFERROR(_xlfn.XLOOKUP($F23,Taxa_från_edp!$B:$B,Taxa_från_edp!G:G),""),"")</f>
        <v/>
      </c>
      <c r="J23" s="127" t="str">
        <f>IF($F23&lt;&gt;"",IFERROR(_xlfn.XLOOKUP($F23,Taxa_från_edp!$B:$B,Taxa_från_edp!K:K),""),"")</f>
        <v/>
      </c>
      <c r="K23" s="145"/>
      <c r="L23" s="146"/>
      <c r="M23" s="147" t="str">
        <f t="shared" si="0"/>
        <v/>
      </c>
      <c r="N23" s="148" t="str">
        <f t="shared" si="1"/>
        <v/>
      </c>
    </row>
    <row r="24" spans="1:14" ht="30" customHeight="1" x14ac:dyDescent="0.25">
      <c r="A24" s="68" t="s">
        <v>32</v>
      </c>
      <c r="B24" s="68" t="s">
        <v>33</v>
      </c>
      <c r="C24" s="68" t="s">
        <v>44</v>
      </c>
      <c r="D24" s="68" t="s">
        <v>45</v>
      </c>
      <c r="E24" s="68" t="s">
        <v>20</v>
      </c>
      <c r="F24" s="106"/>
      <c r="G24" s="116"/>
      <c r="H24" s="126" t="str">
        <f>IF($F24&lt;&gt;"",IFERROR(_xlfn.XLOOKUP($F24,Taxa_från_edp!$B:$B,Taxa_från_edp!C:C),""),"")</f>
        <v/>
      </c>
      <c r="I24" s="127" t="str">
        <f>IF($F24&lt;&gt;"",IFERROR(_xlfn.XLOOKUP($F24,Taxa_från_edp!$B:$B,Taxa_från_edp!G:G),""),"")</f>
        <v/>
      </c>
      <c r="J24" s="127" t="str">
        <f>IF($F24&lt;&gt;"",IFERROR(_xlfn.XLOOKUP($F24,Taxa_från_edp!$B:$B,Taxa_från_edp!K:K),""),"")</f>
        <v/>
      </c>
      <c r="K24" s="145"/>
      <c r="L24" s="146"/>
      <c r="M24" s="147" t="str">
        <f t="shared" ref="M24" si="4">IFERROR(IF(J24&lt;&gt;"",J24*1.25,IF(K24&lt;&gt;"",K24*1.25,"")),"")</f>
        <v/>
      </c>
      <c r="N24" s="148" t="str">
        <f t="shared" ref="N24" si="5">IFERROR(IF(J24&lt;&gt;"",L24*J24,IF(K24&lt;&gt;"",L24*K24,"")),"")</f>
        <v/>
      </c>
    </row>
    <row r="25" spans="1:14" ht="21.95" customHeight="1" x14ac:dyDescent="0.25">
      <c r="A25" s="83" t="s">
        <v>1576</v>
      </c>
      <c r="B25" s="84"/>
      <c r="C25" s="84"/>
      <c r="D25" s="84"/>
      <c r="E25" s="85"/>
      <c r="F25" s="114"/>
      <c r="G25" s="122" t="str">
        <f>IF($F25&lt;&gt;"",$F25,IFERROR(_xlfn.XLOOKUP(ROW(),Taxa_Saknas!$H:$H,Taxa_Saknas!$G:$G),""))</f>
        <v/>
      </c>
      <c r="H25" s="122" t="str">
        <f>IF($F25&lt;&gt;"",IFERROR(_xlfn.XLOOKUP($F25,Taxa_från_edp!$B:$B,Taxa_från_edp!C:C),""),"")</f>
        <v/>
      </c>
      <c r="I25" s="149" t="str">
        <f>IF($F25&lt;&gt;"",IFERROR(_xlfn.XLOOKUP($F25,Taxa_från_edp!$B:$B,Taxa_från_edp!G:G),""),"")</f>
        <v/>
      </c>
      <c r="J25" s="149" t="str">
        <f>IF($F25&lt;&gt;"",IFERROR(_xlfn.XLOOKUP($F25,Taxa_från_edp!$B:$B,Taxa_från_edp!K:K),""),"")</f>
        <v/>
      </c>
      <c r="K25" s="149"/>
      <c r="L25" s="149"/>
      <c r="M25" s="121" t="str">
        <f t="shared" si="0"/>
        <v/>
      </c>
      <c r="N25" s="144" t="str">
        <f t="shared" si="1"/>
        <v/>
      </c>
    </row>
    <row r="26" spans="1:14" ht="45" customHeight="1" x14ac:dyDescent="0.25">
      <c r="A26" s="68" t="s">
        <v>40</v>
      </c>
      <c r="B26" s="68" t="s">
        <v>41</v>
      </c>
      <c r="C26" s="68" t="s">
        <v>34</v>
      </c>
      <c r="D26" s="68" t="s">
        <v>35</v>
      </c>
      <c r="E26" s="68" t="s">
        <v>20</v>
      </c>
      <c r="F26" s="106" t="s">
        <v>36</v>
      </c>
      <c r="G26" s="116" t="str">
        <f>IF($F26&lt;&gt;"",$F26,IFERROR(_xlfn.XLOOKUP(ROW(),Taxa_Saknas!$H:$H,Taxa_Saknas!$G:$G),""))</f>
        <v>KÄ240RM26</v>
      </c>
      <c r="H26" s="126" t="str">
        <f>IF($F26&lt;&gt;"",IFERROR(_xlfn.XLOOKUP($F26,Taxa_från_edp!$B:$B,Taxa_från_edp!C:C),""),"")</f>
        <v>Tvåfackskärl , rest/matavfall.</v>
      </c>
      <c r="I26" s="127" t="str">
        <f>IF($F26&lt;&gt;"",IFERROR(_xlfn.XLOOKUP($F26,Taxa_från_edp!$B:$B,Taxa_från_edp!G:G),""),"")</f>
        <v>ÅRKV</v>
      </c>
      <c r="J26" s="127">
        <f>IF($F26&lt;&gt;"",IFERROR(_xlfn.XLOOKUP($F26,Taxa_från_edp!$B:$B,Taxa_från_edp!K:K),""),"")</f>
        <v>640</v>
      </c>
      <c r="K26" s="145"/>
      <c r="L26" s="146"/>
      <c r="M26" s="147">
        <f t="shared" si="0"/>
        <v>800</v>
      </c>
      <c r="N26" s="148">
        <f t="shared" si="1"/>
        <v>0</v>
      </c>
    </row>
    <row r="27" spans="1:14" ht="45" customHeight="1" x14ac:dyDescent="0.25">
      <c r="A27" s="68" t="s">
        <v>40</v>
      </c>
      <c r="B27" s="68" t="s">
        <v>41</v>
      </c>
      <c r="C27" s="68" t="s">
        <v>34</v>
      </c>
      <c r="D27" s="68" t="s">
        <v>37</v>
      </c>
      <c r="E27" s="68" t="s">
        <v>20</v>
      </c>
      <c r="F27" s="106"/>
      <c r="G27" s="116"/>
      <c r="H27" s="126" t="str">
        <f>IF($F27&lt;&gt;"",IFERROR(_xlfn.XLOOKUP($F27,Taxa_från_edp!$B:$B,Taxa_från_edp!C:C),""),"")</f>
        <v/>
      </c>
      <c r="I27" s="127" t="str">
        <f>IF($F27&lt;&gt;"",IFERROR(_xlfn.XLOOKUP($F27,Taxa_från_edp!$B:$B,Taxa_från_edp!G:G),""),"")</f>
        <v/>
      </c>
      <c r="J27" s="127" t="str">
        <f>IF($F27&lt;&gt;"",IFERROR(_xlfn.XLOOKUP($F27,Taxa_från_edp!$B:$B,Taxa_från_edp!K:K),""),"")</f>
        <v/>
      </c>
      <c r="K27" s="145"/>
      <c r="L27" s="146"/>
      <c r="M27" s="147" t="str">
        <f t="shared" si="0"/>
        <v/>
      </c>
      <c r="N27" s="148" t="str">
        <f t="shared" si="1"/>
        <v/>
      </c>
    </row>
    <row r="28" spans="1:14" ht="45" customHeight="1" x14ac:dyDescent="0.25">
      <c r="A28" s="68" t="s">
        <v>40</v>
      </c>
      <c r="B28" s="68" t="s">
        <v>41</v>
      </c>
      <c r="C28" s="68" t="s">
        <v>38</v>
      </c>
      <c r="D28" s="68" t="s">
        <v>35</v>
      </c>
      <c r="E28" s="68" t="s">
        <v>20</v>
      </c>
      <c r="F28" s="106" t="s">
        <v>43</v>
      </c>
      <c r="G28" s="116" t="str">
        <f>IF($F28&lt;&gt;"",$F28,IFERROR(_xlfn.XLOOKUP(ROW(),Taxa_Saknas!$H:$H,Taxa_Saknas!$G:$G),""))</f>
        <v>KÄ190XRM26FRI</v>
      </c>
      <c r="H28" s="126" t="str">
        <f>IF($F28&lt;&gt;"",IFERROR(_xlfn.XLOOKUP($F28,Taxa_från_edp!$B:$B,Taxa_från_edp!C:C),""),"")</f>
        <v/>
      </c>
      <c r="I28" s="127" t="str">
        <f>IF($F28&lt;&gt;"",IFERROR(_xlfn.XLOOKUP($F28,Taxa_från_edp!$B:$B,Taxa_från_edp!G:G),""),"")</f>
        <v/>
      </c>
      <c r="J28" s="127" t="str">
        <f>IF($F28&lt;&gt;"",IFERROR(_xlfn.XLOOKUP($F28,Taxa_från_edp!$B:$B,Taxa_från_edp!K:K),""),"")</f>
        <v/>
      </c>
      <c r="K28" s="145"/>
      <c r="L28" s="146"/>
      <c r="M28" s="147" t="str">
        <f t="shared" si="0"/>
        <v/>
      </c>
      <c r="N28" s="148" t="str">
        <f t="shared" si="1"/>
        <v/>
      </c>
    </row>
    <row r="29" spans="1:14" ht="30" customHeight="1" x14ac:dyDescent="0.25">
      <c r="A29" s="68" t="s">
        <v>40</v>
      </c>
      <c r="B29" s="68" t="s">
        <v>41</v>
      </c>
      <c r="C29" s="68" t="s">
        <v>44</v>
      </c>
      <c r="D29" s="68" t="s">
        <v>45</v>
      </c>
      <c r="E29" s="68" t="s">
        <v>20</v>
      </c>
      <c r="F29" s="107"/>
      <c r="G29" s="117"/>
      <c r="H29" s="128" t="str">
        <f>IF($F29&lt;&gt;"",IFERROR(_xlfn.XLOOKUP($F29,Taxa_från_edp!$B:$B,Taxa_från_edp!C:C),""),"")</f>
        <v/>
      </c>
      <c r="I29" s="129" t="str">
        <f>IF($F29&lt;&gt;"",IFERROR(_xlfn.XLOOKUP($F29,Taxa_från_edp!$B:$B,Taxa_från_edp!G:G),""),"")</f>
        <v/>
      </c>
      <c r="J29" s="129" t="str">
        <f>IF($F29&lt;&gt;"",IFERROR(_xlfn.XLOOKUP($F29,Taxa_från_edp!$B:$B,Taxa_från_edp!K:K),""),"")</f>
        <v/>
      </c>
      <c r="K29" s="150"/>
      <c r="L29" s="151"/>
      <c r="M29" s="147" t="str">
        <f t="shared" si="0"/>
        <v/>
      </c>
      <c r="N29" s="148" t="str">
        <f t="shared" si="1"/>
        <v/>
      </c>
    </row>
    <row r="30" spans="1:14" ht="21.95" customHeight="1" x14ac:dyDescent="0.25">
      <c r="A30" s="83" t="s">
        <v>46</v>
      </c>
      <c r="B30" s="84"/>
      <c r="C30" s="84"/>
      <c r="D30" s="84"/>
      <c r="E30" s="85"/>
      <c r="F30" s="114"/>
      <c r="G30" s="122" t="str">
        <f>IF($F30&lt;&gt;"",$F30,IFERROR(_xlfn.XLOOKUP(ROW(),Taxa_Saknas!$H:$H,Taxa_Saknas!$G:$G),""))</f>
        <v/>
      </c>
      <c r="H30" s="122" t="str">
        <f>IF($F30&lt;&gt;"",IFERROR(_xlfn.XLOOKUP($F30,Taxa_från_edp!$B:$B,Taxa_från_edp!C:C),""),"")</f>
        <v/>
      </c>
      <c r="I30" s="149" t="str">
        <f>IF($F30&lt;&gt;"",IFERROR(_xlfn.XLOOKUP($F30,Taxa_från_edp!$B:$B,Taxa_från_edp!G:G),""),"")</f>
        <v/>
      </c>
      <c r="J30" s="149" t="str">
        <f>IF($F30&lt;&gt;"",IFERROR(_xlfn.XLOOKUP($F30,Taxa_från_edp!$B:$B,Taxa_från_edp!K:K),""),"")</f>
        <v/>
      </c>
      <c r="K30" s="149"/>
      <c r="L30" s="149"/>
      <c r="M30" s="121" t="str">
        <f t="shared" si="0"/>
        <v/>
      </c>
      <c r="N30" s="144" t="str">
        <f t="shared" si="1"/>
        <v/>
      </c>
    </row>
    <row r="31" spans="1:14" ht="30" customHeight="1" x14ac:dyDescent="0.25">
      <c r="A31" s="68" t="s">
        <v>47</v>
      </c>
      <c r="B31" s="68" t="s">
        <v>48</v>
      </c>
      <c r="C31" s="68" t="s">
        <v>49</v>
      </c>
      <c r="D31" s="68"/>
      <c r="E31" s="68" t="s">
        <v>20</v>
      </c>
      <c r="F31" s="106" t="s">
        <v>50</v>
      </c>
      <c r="G31" s="116" t="str">
        <f>IF($F31&lt;&gt;"",$F31,IFERROR(_xlfn.XLOOKUP(ROW(),Taxa_Saknas!$H:$H,Taxa_Saknas!$G:$G),""))</f>
        <v>GEMUPPFRI</v>
      </c>
      <c r="H31" s="126" t="str">
        <f>IF($F31&lt;&gt;"",IFERROR(_xlfn.XLOOKUP($F31,Taxa_från_edp!$B:$B,Taxa_från_edp!C:C),""),"")</f>
        <v/>
      </c>
      <c r="I31" s="127" t="str">
        <f>IF($F31&lt;&gt;"",IFERROR(_xlfn.XLOOKUP($F31,Taxa_från_edp!$B:$B,Taxa_från_edp!G:G),""),"")</f>
        <v/>
      </c>
      <c r="J31" s="127" t="str">
        <f>IF($F31&lt;&gt;"",IFERROR(_xlfn.XLOOKUP($F31,Taxa_från_edp!$B:$B,Taxa_från_edp!K:K),""),"")</f>
        <v/>
      </c>
      <c r="K31" s="145"/>
      <c r="L31" s="146"/>
      <c r="M31" s="147" t="str">
        <f t="shared" si="0"/>
        <v/>
      </c>
      <c r="N31" s="148" t="str">
        <f t="shared" si="1"/>
        <v/>
      </c>
    </row>
    <row r="32" spans="1:14" ht="30" customHeight="1" x14ac:dyDescent="0.25">
      <c r="A32" s="68" t="s">
        <v>47</v>
      </c>
      <c r="B32" s="68" t="s">
        <v>48</v>
      </c>
      <c r="C32" s="68" t="s">
        <v>51</v>
      </c>
      <c r="D32" s="68" t="s">
        <v>45</v>
      </c>
      <c r="E32" s="68" t="s">
        <v>20</v>
      </c>
      <c r="F32" s="106"/>
      <c r="G32" s="116"/>
      <c r="H32" s="126" t="str">
        <f>IF($F32&lt;&gt;"",IFERROR(_xlfn.XLOOKUP($F32,Taxa_från_edp!$B:$B,Taxa_från_edp!C:C),""),"")</f>
        <v/>
      </c>
      <c r="I32" s="127" t="str">
        <f>IF($F32&lt;&gt;"",IFERROR(_xlfn.XLOOKUP($F32,Taxa_från_edp!$B:$B,Taxa_från_edp!G:G),""),"")</f>
        <v/>
      </c>
      <c r="J32" s="127" t="str">
        <f>IF($F32&lt;&gt;"",IFERROR(_xlfn.XLOOKUP($F32,Taxa_från_edp!$B:$B,Taxa_från_edp!K:K),""),"")</f>
        <v/>
      </c>
      <c r="K32" s="145"/>
      <c r="L32" s="146"/>
      <c r="M32" s="147" t="str">
        <f t="shared" si="0"/>
        <v/>
      </c>
      <c r="N32" s="148" t="str">
        <f t="shared" si="1"/>
        <v/>
      </c>
    </row>
    <row r="33" spans="1:14" ht="30" customHeight="1" x14ac:dyDescent="0.25">
      <c r="A33" s="68" t="s">
        <v>47</v>
      </c>
      <c r="B33" s="68" t="s">
        <v>48</v>
      </c>
      <c r="C33" s="68" t="s">
        <v>52</v>
      </c>
      <c r="D33" s="68"/>
      <c r="E33" s="68" t="s">
        <v>20</v>
      </c>
      <c r="F33" s="106"/>
      <c r="G33" s="116"/>
      <c r="H33" s="126" t="str">
        <f>IF($F33&lt;&gt;"",IFERROR(_xlfn.XLOOKUP($F33,Taxa_från_edp!$B:$B,Taxa_från_edp!C:C),""),"")</f>
        <v/>
      </c>
      <c r="I33" s="127" t="str">
        <f>IF($F33&lt;&gt;"",IFERROR(_xlfn.XLOOKUP($F33,Taxa_från_edp!$B:$B,Taxa_från_edp!G:G),""),"")</f>
        <v/>
      </c>
      <c r="J33" s="127" t="str">
        <f>IF($F33&lt;&gt;"",IFERROR(_xlfn.XLOOKUP($F33,Taxa_från_edp!$B:$B,Taxa_från_edp!K:K),""),"")</f>
        <v/>
      </c>
      <c r="K33" s="145"/>
      <c r="L33" s="146"/>
      <c r="M33" s="147" t="str">
        <f t="shared" si="0"/>
        <v/>
      </c>
      <c r="N33" s="148" t="str">
        <f t="shared" si="1"/>
        <v/>
      </c>
    </row>
    <row r="34" spans="1:14" ht="30" customHeight="1" x14ac:dyDescent="0.25">
      <c r="A34" s="68" t="s">
        <v>47</v>
      </c>
      <c r="B34" s="68" t="s">
        <v>48</v>
      </c>
      <c r="C34" s="68" t="s">
        <v>53</v>
      </c>
      <c r="D34" s="68"/>
      <c r="E34" s="68" t="s">
        <v>54</v>
      </c>
      <c r="F34" s="107"/>
      <c r="G34" s="117"/>
      <c r="H34" s="128" t="str">
        <f>IF($F34&lt;&gt;"",IFERROR(_xlfn.XLOOKUP($F34,Taxa_från_edp!$B:$B,Taxa_från_edp!C:C),""),"")</f>
        <v/>
      </c>
      <c r="I34" s="129" t="str">
        <f>IF($F34&lt;&gt;"",IFERROR(_xlfn.XLOOKUP($F34,Taxa_från_edp!$B:$B,Taxa_från_edp!G:G),""),"")</f>
        <v/>
      </c>
      <c r="J34" s="129" t="str">
        <f>IF($F34&lt;&gt;"",IFERROR(_xlfn.XLOOKUP($F34,Taxa_från_edp!$B:$B,Taxa_från_edp!K:K),""),"")</f>
        <v/>
      </c>
      <c r="K34" s="150"/>
      <c r="L34" s="151"/>
      <c r="M34" s="147" t="str">
        <f t="shared" si="0"/>
        <v/>
      </c>
      <c r="N34" s="148" t="str">
        <f t="shared" si="1"/>
        <v/>
      </c>
    </row>
    <row r="35" spans="1:14" ht="30" customHeight="1" x14ac:dyDescent="0.25">
      <c r="A35" s="68" t="s">
        <v>47</v>
      </c>
      <c r="B35" s="68" t="s">
        <v>48</v>
      </c>
      <c r="C35" s="68" t="s">
        <v>55</v>
      </c>
      <c r="D35" s="68"/>
      <c r="E35" s="68" t="s">
        <v>54</v>
      </c>
      <c r="F35" s="107"/>
      <c r="G35" s="117"/>
      <c r="H35" s="128" t="str">
        <f>IF($F35&lt;&gt;"",IFERROR(_xlfn.XLOOKUP($F35,Taxa_från_edp!$B:$B,Taxa_från_edp!C:C),""),"")</f>
        <v/>
      </c>
      <c r="I35" s="129" t="str">
        <f>IF($F35&lt;&gt;"",IFERROR(_xlfn.XLOOKUP($F35,Taxa_från_edp!$B:$B,Taxa_från_edp!G:G),""),"")</f>
        <v/>
      </c>
      <c r="J35" s="129" t="str">
        <f>IF($F35&lt;&gt;"",IFERROR(_xlfn.XLOOKUP($F35,Taxa_från_edp!$B:$B,Taxa_från_edp!K:K),""),"")</f>
        <v/>
      </c>
      <c r="K35" s="150"/>
      <c r="L35" s="151"/>
      <c r="M35" s="147" t="str">
        <f t="shared" si="0"/>
        <v/>
      </c>
      <c r="N35" s="148" t="str">
        <f t="shared" si="1"/>
        <v/>
      </c>
    </row>
    <row r="36" spans="1:14" ht="30" customHeight="1" x14ac:dyDescent="0.25">
      <c r="A36" s="68" t="s">
        <v>47</v>
      </c>
      <c r="B36" s="68" t="s">
        <v>48</v>
      </c>
      <c r="C36" s="68" t="s">
        <v>56</v>
      </c>
      <c r="D36" s="68"/>
      <c r="E36" s="68" t="s">
        <v>54</v>
      </c>
      <c r="F36" s="106"/>
      <c r="G36" s="116"/>
      <c r="H36" s="126" t="str">
        <f>IF($F36&lt;&gt;"",IFERROR(_xlfn.XLOOKUP($F36,Taxa_från_edp!$B:$B,Taxa_från_edp!C:C),""),"")</f>
        <v/>
      </c>
      <c r="I36" s="127" t="str">
        <f>IF($F36&lt;&gt;"",IFERROR(_xlfn.XLOOKUP($F36,Taxa_från_edp!$B:$B,Taxa_från_edp!G:G),""),"")</f>
        <v/>
      </c>
      <c r="J36" s="127" t="str">
        <f>IF($F36&lt;&gt;"",IFERROR(_xlfn.XLOOKUP($F36,Taxa_från_edp!$B:$B,Taxa_från_edp!K:K),""),"")</f>
        <v/>
      </c>
      <c r="K36" s="145"/>
      <c r="L36" s="146"/>
      <c r="M36" s="147" t="str">
        <f t="shared" si="0"/>
        <v/>
      </c>
      <c r="N36" s="148" t="str">
        <f t="shared" si="1"/>
        <v/>
      </c>
    </row>
    <row r="37" spans="1:14" ht="21.95" customHeight="1" x14ac:dyDescent="0.25">
      <c r="A37" s="83" t="s">
        <v>1579</v>
      </c>
      <c r="B37" s="84"/>
      <c r="C37" s="84"/>
      <c r="D37" s="84"/>
      <c r="E37" s="85"/>
      <c r="F37" s="114"/>
      <c r="G37" s="122" t="str">
        <f>IF($F37&lt;&gt;"",$F37,IFERROR(_xlfn.XLOOKUP(ROW(),Taxa_Saknas!$H:$H,Taxa_Saknas!$G:$G),""))</f>
        <v/>
      </c>
      <c r="H37" s="122" t="str">
        <f>IF($F37&lt;&gt;"",IFERROR(_xlfn.XLOOKUP($F37,Taxa_från_edp!$B:$B,Taxa_från_edp!C:C),""),"")</f>
        <v/>
      </c>
      <c r="I37" s="149" t="str">
        <f>IF($F37&lt;&gt;"",IFERROR(_xlfn.XLOOKUP($F37,Taxa_från_edp!$B:$B,Taxa_från_edp!G:G),""),"")</f>
        <v/>
      </c>
      <c r="J37" s="149" t="str">
        <f>IF($F37&lt;&gt;"",IFERROR(_xlfn.XLOOKUP($F37,Taxa_från_edp!$B:$B,Taxa_från_edp!K:K),""),"")</f>
        <v/>
      </c>
      <c r="K37" s="149"/>
      <c r="L37" s="149"/>
      <c r="M37" s="121" t="str">
        <f t="shared" si="0"/>
        <v/>
      </c>
      <c r="N37" s="144" t="str">
        <f t="shared" si="1"/>
        <v/>
      </c>
    </row>
    <row r="38" spans="1:14" ht="30" customHeight="1" x14ac:dyDescent="0.25">
      <c r="A38" s="68" t="s">
        <v>57</v>
      </c>
      <c r="B38" s="68" t="s">
        <v>58</v>
      </c>
      <c r="C38" s="68" t="s">
        <v>34</v>
      </c>
      <c r="D38" s="68" t="s">
        <v>59</v>
      </c>
      <c r="E38" s="68" t="s">
        <v>20</v>
      </c>
      <c r="F38" s="106"/>
      <c r="G38" s="116"/>
      <c r="H38" s="126" t="str">
        <f>IF($F38&lt;&gt;"",IFERROR(_xlfn.XLOOKUP($F38,Taxa_från_edp!$B:$B,Taxa_från_edp!C:C),""),"")</f>
        <v/>
      </c>
      <c r="I38" s="127" t="str">
        <f>IF($F38&lt;&gt;"",IFERROR(_xlfn.XLOOKUP($F38,Taxa_från_edp!$B:$B,Taxa_från_edp!G:G),""),"")</f>
        <v/>
      </c>
      <c r="J38" s="127" t="str">
        <f>IF($F38&lt;&gt;"",IFERROR(_xlfn.XLOOKUP($F38,Taxa_från_edp!$B:$B,Taxa_från_edp!K:K),""),"")</f>
        <v/>
      </c>
      <c r="K38" s="145"/>
      <c r="L38" s="146"/>
      <c r="M38" s="147" t="str">
        <f t="shared" si="0"/>
        <v/>
      </c>
      <c r="N38" s="148" t="str">
        <f t="shared" si="1"/>
        <v/>
      </c>
    </row>
    <row r="39" spans="1:14" ht="30" customHeight="1" x14ac:dyDescent="0.25">
      <c r="A39" s="68" t="s">
        <v>57</v>
      </c>
      <c r="B39" s="68" t="s">
        <v>58</v>
      </c>
      <c r="C39" s="68" t="s">
        <v>34</v>
      </c>
      <c r="D39" s="68" t="s">
        <v>35</v>
      </c>
      <c r="E39" s="68" t="s">
        <v>20</v>
      </c>
      <c r="F39" s="106" t="s">
        <v>61</v>
      </c>
      <c r="G39" s="116" t="str">
        <f>IF($F39&lt;&gt;"",$F39,IFERROR(_xlfn.XLOOKUP(ROW(),Taxa_Saknas!$H:$H,Taxa_Saknas!$G:$G),""))</f>
        <v>KÄ240RM26FV</v>
      </c>
      <c r="H39" s="126" t="str">
        <f>IF($F39&lt;&gt;"",IFERROR(_xlfn.XLOOKUP($F39,Taxa_från_edp!$B:$B,Taxa_från_edp!C:C),""),"")</f>
        <v>Tvåfackskärl, rest/mat FLB/VHT</v>
      </c>
      <c r="I39" s="127" t="str">
        <f>IF($F39&lt;&gt;"",IFERROR(_xlfn.XLOOKUP($F39,Taxa_från_edp!$B:$B,Taxa_från_edp!G:G),""),"")</f>
        <v>ÅRKV</v>
      </c>
      <c r="J39" s="127">
        <f>IF($F39&lt;&gt;"",IFERROR(_xlfn.XLOOKUP($F39,Taxa_från_edp!$B:$B,Taxa_från_edp!K:K),""),"")</f>
        <v>640</v>
      </c>
      <c r="K39" s="145"/>
      <c r="L39" s="146"/>
      <c r="M39" s="147">
        <f t="shared" si="0"/>
        <v>800</v>
      </c>
      <c r="N39" s="148">
        <f t="shared" si="1"/>
        <v>0</v>
      </c>
    </row>
    <row r="40" spans="1:14" ht="30" customHeight="1" x14ac:dyDescent="0.25">
      <c r="A40" s="68" t="s">
        <v>57</v>
      </c>
      <c r="B40" s="68" t="s">
        <v>58</v>
      </c>
      <c r="C40" s="68" t="s">
        <v>34</v>
      </c>
      <c r="D40" s="68" t="s">
        <v>37</v>
      </c>
      <c r="E40" s="68" t="s">
        <v>20</v>
      </c>
      <c r="F40" s="106"/>
      <c r="G40" s="116"/>
      <c r="H40" s="126" t="str">
        <f>IF($F40&lt;&gt;"",IFERROR(_xlfn.XLOOKUP($F40,Taxa_från_edp!$B:$B,Taxa_från_edp!C:C),""),"")</f>
        <v/>
      </c>
      <c r="I40" s="127" t="str">
        <f>IF($F40&lt;&gt;"",IFERROR(_xlfn.XLOOKUP($F40,Taxa_från_edp!$B:$B,Taxa_från_edp!G:G),""),"")</f>
        <v/>
      </c>
      <c r="J40" s="127" t="str">
        <f>IF($F40&lt;&gt;"",IFERROR(_xlfn.XLOOKUP($F40,Taxa_från_edp!$B:$B,Taxa_från_edp!K:K),""),"")</f>
        <v/>
      </c>
      <c r="K40" s="145"/>
      <c r="L40" s="146"/>
      <c r="M40" s="147" t="str">
        <f t="shared" si="0"/>
        <v/>
      </c>
      <c r="N40" s="148" t="str">
        <f t="shared" si="1"/>
        <v/>
      </c>
    </row>
    <row r="41" spans="1:14" ht="30" customHeight="1" x14ac:dyDescent="0.25">
      <c r="A41" s="68" t="s">
        <v>57</v>
      </c>
      <c r="B41" s="68" t="s">
        <v>58</v>
      </c>
      <c r="C41" s="68" t="s">
        <v>63</v>
      </c>
      <c r="D41" s="68" t="s">
        <v>59</v>
      </c>
      <c r="E41" s="68" t="s">
        <v>20</v>
      </c>
      <c r="F41" s="106"/>
      <c r="G41" s="116"/>
      <c r="H41" s="126" t="str">
        <f>IF($F41&lt;&gt;"",IFERROR(_xlfn.XLOOKUP($F41,Taxa_från_edp!$B:$B,Taxa_från_edp!C:C),""),"")</f>
        <v/>
      </c>
      <c r="I41" s="127" t="str">
        <f>IF($F41&lt;&gt;"",IFERROR(_xlfn.XLOOKUP($F41,Taxa_från_edp!$B:$B,Taxa_från_edp!G:G),""),"")</f>
        <v/>
      </c>
      <c r="J41" s="127" t="str">
        <f>IF($F41&lt;&gt;"",IFERROR(_xlfn.XLOOKUP($F41,Taxa_från_edp!$B:$B,Taxa_från_edp!K:K),""),"")</f>
        <v/>
      </c>
      <c r="K41" s="145"/>
      <c r="L41" s="146"/>
      <c r="M41" s="147" t="str">
        <f t="shared" si="0"/>
        <v/>
      </c>
      <c r="N41" s="148" t="str">
        <f t="shared" si="1"/>
        <v/>
      </c>
    </row>
    <row r="42" spans="1:14" ht="30" customHeight="1" x14ac:dyDescent="0.25">
      <c r="A42" s="68" t="s">
        <v>57</v>
      </c>
      <c r="B42" s="68" t="s">
        <v>58</v>
      </c>
      <c r="C42" s="68" t="s">
        <v>63</v>
      </c>
      <c r="D42" s="68" t="s">
        <v>35</v>
      </c>
      <c r="E42" s="68" t="s">
        <v>20</v>
      </c>
      <c r="F42" s="106" t="s">
        <v>64</v>
      </c>
      <c r="G42" s="116" t="str">
        <f>IF($F42&lt;&gt;"",$F42,IFERROR(_xlfn.XLOOKUP(ROW(),Taxa_Saknas!$H:$H,Taxa_Saknas!$G:$G),""))</f>
        <v>KÄ370RE26FV</v>
      </c>
      <c r="H42" s="126" t="str">
        <f>IF($F42&lt;&gt;"",IFERROR(_xlfn.XLOOKUP($F42,Taxa_från_edp!$B:$B,Taxa_från_edp!C:C),""),"")</f>
        <v>Kärl 370 L, rest. FLB/VHT</v>
      </c>
      <c r="I42" s="127" t="str">
        <f>IF($F42&lt;&gt;"",IFERROR(_xlfn.XLOOKUP($F42,Taxa_från_edp!$B:$B,Taxa_från_edp!G:G),""),"")</f>
        <v>ÅRKV</v>
      </c>
      <c r="J42" s="127">
        <f>IF($F42&lt;&gt;"",IFERROR(_xlfn.XLOOKUP($F42,Taxa_från_edp!$B:$B,Taxa_från_edp!K:K),""),"")</f>
        <v>800</v>
      </c>
      <c r="K42" s="145"/>
      <c r="L42" s="146"/>
      <c r="M42" s="147">
        <f t="shared" si="0"/>
        <v>1000</v>
      </c>
      <c r="N42" s="148">
        <f t="shared" si="1"/>
        <v>0</v>
      </c>
    </row>
    <row r="43" spans="1:14" ht="30" customHeight="1" x14ac:dyDescent="0.25">
      <c r="A43" s="68" t="s">
        <v>57</v>
      </c>
      <c r="B43" s="68" t="s">
        <v>58</v>
      </c>
      <c r="C43" s="68" t="s">
        <v>63</v>
      </c>
      <c r="D43" s="68" t="s">
        <v>37</v>
      </c>
      <c r="E43" s="68" t="s">
        <v>20</v>
      </c>
      <c r="F43" s="106"/>
      <c r="G43" s="116"/>
      <c r="H43" s="126" t="str">
        <f>IF($F43&lt;&gt;"",IFERROR(_xlfn.XLOOKUP($F43,Taxa_från_edp!$B:$B,Taxa_från_edp!C:C),""),"")</f>
        <v/>
      </c>
      <c r="I43" s="127" t="str">
        <f>IF($F43&lt;&gt;"",IFERROR(_xlfn.XLOOKUP($F43,Taxa_från_edp!$B:$B,Taxa_från_edp!G:G),""),"")</f>
        <v/>
      </c>
      <c r="J43" s="127" t="str">
        <f>IF($F43&lt;&gt;"",IFERROR(_xlfn.XLOOKUP($F43,Taxa_från_edp!$B:$B,Taxa_från_edp!K:K),""),"")</f>
        <v/>
      </c>
      <c r="K43" s="145"/>
      <c r="L43" s="146"/>
      <c r="M43" s="147" t="str">
        <f t="shared" si="0"/>
        <v/>
      </c>
      <c r="N43" s="148" t="str">
        <f t="shared" si="1"/>
        <v/>
      </c>
    </row>
    <row r="44" spans="1:14" ht="30" customHeight="1" x14ac:dyDescent="0.25">
      <c r="A44" s="68" t="s">
        <v>57</v>
      </c>
      <c r="B44" s="68" t="s">
        <v>58</v>
      </c>
      <c r="C44" s="68" t="s">
        <v>65</v>
      </c>
      <c r="D44" s="68" t="s">
        <v>59</v>
      </c>
      <c r="E44" s="68" t="s">
        <v>20</v>
      </c>
      <c r="F44" s="106"/>
      <c r="G44" s="116"/>
      <c r="H44" s="126" t="str">
        <f>IF($F44&lt;&gt;"",IFERROR(_xlfn.XLOOKUP($F44,Taxa_från_edp!$B:$B,Taxa_från_edp!C:C),""),"")</f>
        <v/>
      </c>
      <c r="I44" s="127" t="str">
        <f>IF($F44&lt;&gt;"",IFERROR(_xlfn.XLOOKUP($F44,Taxa_från_edp!$B:$B,Taxa_från_edp!G:G),""),"")</f>
        <v/>
      </c>
      <c r="J44" s="127" t="str">
        <f>IF($F44&lt;&gt;"",IFERROR(_xlfn.XLOOKUP($F44,Taxa_från_edp!$B:$B,Taxa_från_edp!K:K),""),"")</f>
        <v/>
      </c>
      <c r="K44" s="145"/>
      <c r="L44" s="146"/>
      <c r="M44" s="147" t="str">
        <f t="shared" si="0"/>
        <v/>
      </c>
      <c r="N44" s="148" t="str">
        <f t="shared" si="1"/>
        <v/>
      </c>
    </row>
    <row r="45" spans="1:14" ht="30" customHeight="1" x14ac:dyDescent="0.25">
      <c r="A45" s="68" t="s">
        <v>57</v>
      </c>
      <c r="B45" s="68" t="s">
        <v>58</v>
      </c>
      <c r="C45" s="68" t="s">
        <v>65</v>
      </c>
      <c r="D45" s="68" t="s">
        <v>35</v>
      </c>
      <c r="E45" s="68" t="s">
        <v>20</v>
      </c>
      <c r="F45" s="106" t="s">
        <v>67</v>
      </c>
      <c r="G45" s="116" t="str">
        <f>IF($F45&lt;&gt;"",$F45,IFERROR(_xlfn.XLOOKUP(ROW(),Taxa_Saknas!$H:$H,Taxa_Saknas!$G:$G),""))</f>
        <v>KÄ660RE26FV</v>
      </c>
      <c r="H45" s="126" t="str">
        <f>IF($F45&lt;&gt;"",IFERROR(_xlfn.XLOOKUP($F45,Taxa_från_edp!$B:$B,Taxa_från_edp!C:C),""),"")</f>
        <v>Kärl 660 L, rest. FLB/VHT</v>
      </c>
      <c r="I45" s="127" t="str">
        <f>IF($F45&lt;&gt;"",IFERROR(_xlfn.XLOOKUP($F45,Taxa_från_edp!$B:$B,Taxa_från_edp!G:G),""),"")</f>
        <v>ÅRKV</v>
      </c>
      <c r="J45" s="127">
        <f>IF($F45&lt;&gt;"",IFERROR(_xlfn.XLOOKUP($F45,Taxa_från_edp!$B:$B,Taxa_från_edp!K:K),""),"")</f>
        <v>1040</v>
      </c>
      <c r="K45" s="145"/>
      <c r="L45" s="146"/>
      <c r="M45" s="147">
        <f t="shared" si="0"/>
        <v>1300</v>
      </c>
      <c r="N45" s="148">
        <f t="shared" si="1"/>
        <v>0</v>
      </c>
    </row>
    <row r="46" spans="1:14" ht="30" customHeight="1" x14ac:dyDescent="0.25">
      <c r="A46" s="68" t="s">
        <v>57</v>
      </c>
      <c r="B46" s="68" t="s">
        <v>58</v>
      </c>
      <c r="C46" s="68" t="s">
        <v>65</v>
      </c>
      <c r="D46" s="68" t="s">
        <v>37</v>
      </c>
      <c r="E46" s="68" t="s">
        <v>20</v>
      </c>
      <c r="F46" s="106"/>
      <c r="G46" s="116"/>
      <c r="H46" s="126" t="str">
        <f>IF($F46&lt;&gt;"",IFERROR(_xlfn.XLOOKUP($F46,Taxa_från_edp!$B:$B,Taxa_från_edp!C:C),""),"")</f>
        <v/>
      </c>
      <c r="I46" s="127" t="str">
        <f>IF($F46&lt;&gt;"",IFERROR(_xlfn.XLOOKUP($F46,Taxa_från_edp!$B:$B,Taxa_från_edp!G:G),""),"")</f>
        <v/>
      </c>
      <c r="J46" s="127" t="str">
        <f>IF($F46&lt;&gt;"",IFERROR(_xlfn.XLOOKUP($F46,Taxa_från_edp!$B:$B,Taxa_från_edp!K:K),""),"")</f>
        <v/>
      </c>
      <c r="K46" s="145"/>
      <c r="L46" s="146"/>
      <c r="M46" s="147" t="str">
        <f t="shared" si="0"/>
        <v/>
      </c>
      <c r="N46" s="148" t="str">
        <f t="shared" si="1"/>
        <v/>
      </c>
    </row>
    <row r="47" spans="1:14" ht="30" customHeight="1" x14ac:dyDescent="0.25">
      <c r="A47" s="68" t="s">
        <v>57</v>
      </c>
      <c r="B47" s="68" t="s">
        <v>58</v>
      </c>
      <c r="C47" s="68" t="s">
        <v>68</v>
      </c>
      <c r="D47" s="68" t="s">
        <v>59</v>
      </c>
      <c r="E47" s="68" t="s">
        <v>20</v>
      </c>
      <c r="F47" s="106"/>
      <c r="G47" s="116"/>
      <c r="H47" s="126" t="str">
        <f>IF($F47&lt;&gt;"",IFERROR(_xlfn.XLOOKUP($F47,Taxa_från_edp!$B:$B,Taxa_från_edp!C:C),""),"")</f>
        <v/>
      </c>
      <c r="I47" s="127" t="str">
        <f>IF($F47&lt;&gt;"",IFERROR(_xlfn.XLOOKUP($F47,Taxa_från_edp!$B:$B,Taxa_från_edp!G:G),""),"")</f>
        <v/>
      </c>
      <c r="J47" s="127" t="str">
        <f>IF($F47&lt;&gt;"",IFERROR(_xlfn.XLOOKUP($F47,Taxa_från_edp!$B:$B,Taxa_från_edp!K:K),""),"")</f>
        <v/>
      </c>
      <c r="K47" s="145"/>
      <c r="L47" s="146"/>
      <c r="M47" s="147" t="str">
        <f t="shared" si="0"/>
        <v/>
      </c>
      <c r="N47" s="148" t="str">
        <f t="shared" si="1"/>
        <v/>
      </c>
    </row>
    <row r="48" spans="1:14" ht="30" customHeight="1" x14ac:dyDescent="0.25">
      <c r="A48" s="68" t="s">
        <v>57</v>
      </c>
      <c r="B48" s="68" t="s">
        <v>58</v>
      </c>
      <c r="C48" s="68" t="s">
        <v>68</v>
      </c>
      <c r="D48" s="68" t="s">
        <v>35</v>
      </c>
      <c r="E48" s="68" t="s">
        <v>20</v>
      </c>
      <c r="F48" s="106" t="s">
        <v>70</v>
      </c>
      <c r="G48" s="116" t="str">
        <f>IF($F48&lt;&gt;"",$F48,IFERROR(_xlfn.XLOOKUP(ROW(),Taxa_Saknas!$H:$H,Taxa_Saknas!$G:$G),""))</f>
        <v>KÄ140MA26FV</v>
      </c>
      <c r="H48" s="126" t="str">
        <f>IF($F48&lt;&gt;"",IFERROR(_xlfn.XLOOKUP($F48,Taxa_från_edp!$B:$B,Taxa_från_edp!C:C),""),"")</f>
        <v>Kärl 140 L, matavfall. Var 14:e dag. FLB/VHT</v>
      </c>
      <c r="I48" s="127" t="str">
        <f>IF($F48&lt;&gt;"",IFERROR(_xlfn.XLOOKUP($F48,Taxa_från_edp!$B:$B,Taxa_från_edp!G:G),""),"")</f>
        <v>ÅRKV</v>
      </c>
      <c r="J48" s="127">
        <f>IF($F48&lt;&gt;"",IFERROR(_xlfn.XLOOKUP($F48,Taxa_från_edp!$B:$B,Taxa_från_edp!K:K),""),"")</f>
        <v>500</v>
      </c>
      <c r="K48" s="145"/>
      <c r="L48" s="146"/>
      <c r="M48" s="147">
        <f t="shared" si="0"/>
        <v>625</v>
      </c>
      <c r="N48" s="148">
        <f t="shared" si="1"/>
        <v>0</v>
      </c>
    </row>
    <row r="49" spans="1:14" ht="30" customHeight="1" x14ac:dyDescent="0.25">
      <c r="A49" s="68" t="s">
        <v>57</v>
      </c>
      <c r="B49" s="68" t="s">
        <v>58</v>
      </c>
      <c r="C49" s="68" t="s">
        <v>68</v>
      </c>
      <c r="D49" s="68" t="s">
        <v>37</v>
      </c>
      <c r="E49" s="68" t="s">
        <v>20</v>
      </c>
      <c r="F49" s="106"/>
      <c r="G49" s="116"/>
      <c r="H49" s="126" t="str">
        <f>IF($F49&lt;&gt;"",IFERROR(_xlfn.XLOOKUP($F49,Taxa_från_edp!$B:$B,Taxa_från_edp!C:C),""),"")</f>
        <v/>
      </c>
      <c r="I49" s="127" t="str">
        <f>IF($F49&lt;&gt;"",IFERROR(_xlfn.XLOOKUP($F49,Taxa_från_edp!$B:$B,Taxa_från_edp!G:G),""),"")</f>
        <v/>
      </c>
      <c r="J49" s="127" t="str">
        <f>IF($F49&lt;&gt;"",IFERROR(_xlfn.XLOOKUP($F49,Taxa_från_edp!$B:$B,Taxa_från_edp!K:K),""),"")</f>
        <v/>
      </c>
      <c r="K49" s="145"/>
      <c r="L49" s="146"/>
      <c r="M49" s="147" t="str">
        <f t="shared" si="0"/>
        <v/>
      </c>
      <c r="N49" s="148" t="str">
        <f t="shared" si="1"/>
        <v/>
      </c>
    </row>
    <row r="50" spans="1:14" ht="30" customHeight="1" x14ac:dyDescent="0.25">
      <c r="A50" s="68" t="s">
        <v>57</v>
      </c>
      <c r="B50" s="68" t="s">
        <v>58</v>
      </c>
      <c r="C50" s="68" t="s">
        <v>71</v>
      </c>
      <c r="D50" s="68" t="s">
        <v>59</v>
      </c>
      <c r="E50" s="68" t="s">
        <v>20</v>
      </c>
      <c r="F50" s="106"/>
      <c r="G50" s="116"/>
      <c r="H50" s="126" t="str">
        <f>IF($F50&lt;&gt;"",IFERROR(_xlfn.XLOOKUP($F50,Taxa_från_edp!$B:$B,Taxa_från_edp!C:C),""),"")</f>
        <v/>
      </c>
      <c r="I50" s="127" t="str">
        <f>IF($F50&lt;&gt;"",IFERROR(_xlfn.XLOOKUP($F50,Taxa_från_edp!$B:$B,Taxa_från_edp!G:G),""),"")</f>
        <v/>
      </c>
      <c r="J50" s="127" t="str">
        <f>IF($F50&lt;&gt;"",IFERROR(_xlfn.XLOOKUP($F50,Taxa_från_edp!$B:$B,Taxa_från_edp!K:K),""),"")</f>
        <v/>
      </c>
      <c r="K50" s="145"/>
      <c r="L50" s="146"/>
      <c r="M50" s="147" t="str">
        <f t="shared" si="0"/>
        <v/>
      </c>
      <c r="N50" s="148" t="str">
        <f t="shared" si="1"/>
        <v/>
      </c>
    </row>
    <row r="51" spans="1:14" ht="30" customHeight="1" x14ac:dyDescent="0.25">
      <c r="A51" s="68" t="s">
        <v>57</v>
      </c>
      <c r="B51" s="68" t="s">
        <v>58</v>
      </c>
      <c r="C51" s="68" t="s">
        <v>71</v>
      </c>
      <c r="D51" s="68" t="s">
        <v>35</v>
      </c>
      <c r="E51" s="68" t="s">
        <v>20</v>
      </c>
      <c r="F51" s="106"/>
      <c r="G51" s="116"/>
      <c r="H51" s="126" t="str">
        <f>IF($F51&lt;&gt;"",IFERROR(_xlfn.XLOOKUP($F51,Taxa_från_edp!$B:$B,Taxa_från_edp!C:C),""),"")</f>
        <v/>
      </c>
      <c r="I51" s="127" t="str">
        <f>IF($F51&lt;&gt;"",IFERROR(_xlfn.XLOOKUP($F51,Taxa_från_edp!$B:$B,Taxa_från_edp!G:G),""),"")</f>
        <v/>
      </c>
      <c r="J51" s="127" t="str">
        <f>IF($F51&lt;&gt;"",IFERROR(_xlfn.XLOOKUP($F51,Taxa_från_edp!$B:$B,Taxa_från_edp!K:K),""),"")</f>
        <v/>
      </c>
      <c r="K51" s="145"/>
      <c r="L51" s="146"/>
      <c r="M51" s="147" t="str">
        <f t="shared" si="0"/>
        <v/>
      </c>
      <c r="N51" s="148" t="str">
        <f t="shared" si="1"/>
        <v/>
      </c>
    </row>
    <row r="52" spans="1:14" ht="30" customHeight="1" x14ac:dyDescent="0.25">
      <c r="A52" s="68" t="s">
        <v>57</v>
      </c>
      <c r="B52" s="68" t="s">
        <v>58</v>
      </c>
      <c r="C52" s="68" t="s">
        <v>71</v>
      </c>
      <c r="D52" s="68" t="s">
        <v>37</v>
      </c>
      <c r="E52" s="68" t="s">
        <v>20</v>
      </c>
      <c r="F52" s="106"/>
      <c r="G52" s="116"/>
      <c r="H52" s="126" t="str">
        <f>IF($F52&lt;&gt;"",IFERROR(_xlfn.XLOOKUP($F52,Taxa_från_edp!$B:$B,Taxa_från_edp!C:C),""),"")</f>
        <v/>
      </c>
      <c r="I52" s="127" t="str">
        <f>IF($F52&lt;&gt;"",IFERROR(_xlfn.XLOOKUP($F52,Taxa_från_edp!$B:$B,Taxa_från_edp!G:G),""),"")</f>
        <v/>
      </c>
      <c r="J52" s="127" t="str">
        <f>IF($F52&lt;&gt;"",IFERROR(_xlfn.XLOOKUP($F52,Taxa_från_edp!$B:$B,Taxa_från_edp!K:K),""),"")</f>
        <v/>
      </c>
      <c r="K52" s="145"/>
      <c r="L52" s="146"/>
      <c r="M52" s="147" t="str">
        <f t="shared" si="0"/>
        <v/>
      </c>
      <c r="N52" s="148" t="str">
        <f t="shared" si="1"/>
        <v/>
      </c>
    </row>
    <row r="53" spans="1:14" ht="30" customHeight="1" x14ac:dyDescent="0.25">
      <c r="A53" s="68" t="s">
        <v>57</v>
      </c>
      <c r="B53" s="68" t="s">
        <v>58</v>
      </c>
      <c r="C53" s="68" t="s">
        <v>72</v>
      </c>
      <c r="D53" s="68" t="s">
        <v>59</v>
      </c>
      <c r="E53" s="68" t="s">
        <v>20</v>
      </c>
      <c r="F53" s="106"/>
      <c r="G53" s="116"/>
      <c r="H53" s="126" t="str">
        <f>IF($F53&lt;&gt;"",IFERROR(_xlfn.XLOOKUP($F53,Taxa_från_edp!$B:$B,Taxa_från_edp!C:C),""),"")</f>
        <v/>
      </c>
      <c r="I53" s="127" t="str">
        <f>IF($F53&lt;&gt;"",IFERROR(_xlfn.XLOOKUP($F53,Taxa_från_edp!$B:$B,Taxa_från_edp!G:G),""),"")</f>
        <v/>
      </c>
      <c r="J53" s="127" t="str">
        <f>IF($F53&lt;&gt;"",IFERROR(_xlfn.XLOOKUP($F53,Taxa_från_edp!$B:$B,Taxa_från_edp!K:K),""),"")</f>
        <v/>
      </c>
      <c r="K53" s="145"/>
      <c r="L53" s="146"/>
      <c r="M53" s="147" t="str">
        <f t="shared" si="0"/>
        <v/>
      </c>
      <c r="N53" s="148" t="str">
        <f t="shared" si="1"/>
        <v/>
      </c>
    </row>
    <row r="54" spans="1:14" ht="30" customHeight="1" x14ac:dyDescent="0.25">
      <c r="A54" s="68" t="s">
        <v>57</v>
      </c>
      <c r="B54" s="68" t="s">
        <v>58</v>
      </c>
      <c r="C54" s="68" t="s">
        <v>72</v>
      </c>
      <c r="D54" s="68" t="s">
        <v>35</v>
      </c>
      <c r="E54" s="68" t="s">
        <v>20</v>
      </c>
      <c r="F54" s="106"/>
      <c r="G54" s="116"/>
      <c r="H54" s="126" t="str">
        <f>IF($F54&lt;&gt;"",IFERROR(_xlfn.XLOOKUP($F54,Taxa_från_edp!$B:$B,Taxa_från_edp!C:C),""),"")</f>
        <v/>
      </c>
      <c r="I54" s="127" t="str">
        <f>IF($F54&lt;&gt;"",IFERROR(_xlfn.XLOOKUP($F54,Taxa_från_edp!$B:$B,Taxa_från_edp!G:G),""),"")</f>
        <v/>
      </c>
      <c r="J54" s="127" t="str">
        <f>IF($F54&lt;&gt;"",IFERROR(_xlfn.XLOOKUP($F54,Taxa_från_edp!$B:$B,Taxa_från_edp!K:K),""),"")</f>
        <v/>
      </c>
      <c r="K54" s="145"/>
      <c r="L54" s="146"/>
      <c r="M54" s="147" t="str">
        <f t="shared" si="0"/>
        <v/>
      </c>
      <c r="N54" s="148" t="str">
        <f t="shared" si="1"/>
        <v/>
      </c>
    </row>
    <row r="55" spans="1:14" ht="30" customHeight="1" x14ac:dyDescent="0.25">
      <c r="A55" s="68" t="s">
        <v>57</v>
      </c>
      <c r="B55" s="68" t="s">
        <v>58</v>
      </c>
      <c r="C55" s="68" t="s">
        <v>72</v>
      </c>
      <c r="D55" s="68" t="s">
        <v>37</v>
      </c>
      <c r="E55" s="68" t="s">
        <v>20</v>
      </c>
      <c r="F55" s="106"/>
      <c r="G55" s="116"/>
      <c r="H55" s="126" t="str">
        <f>IF($F55&lt;&gt;"",IFERROR(_xlfn.XLOOKUP($F55,Taxa_från_edp!$B:$B,Taxa_från_edp!C:C),""),"")</f>
        <v/>
      </c>
      <c r="I55" s="127" t="str">
        <f>IF($F55&lt;&gt;"",IFERROR(_xlfn.XLOOKUP($F55,Taxa_från_edp!$B:$B,Taxa_från_edp!G:G),""),"")</f>
        <v/>
      </c>
      <c r="J55" s="127" t="str">
        <f>IF($F55&lt;&gt;"",IFERROR(_xlfn.XLOOKUP($F55,Taxa_från_edp!$B:$B,Taxa_från_edp!K:K),""),"")</f>
        <v/>
      </c>
      <c r="K55" s="145"/>
      <c r="L55" s="146"/>
      <c r="M55" s="147" t="str">
        <f t="shared" si="0"/>
        <v/>
      </c>
      <c r="N55" s="148" t="str">
        <f t="shared" si="1"/>
        <v/>
      </c>
    </row>
    <row r="56" spans="1:14" ht="30" customHeight="1" x14ac:dyDescent="0.25">
      <c r="A56" s="68" t="s">
        <v>57</v>
      </c>
      <c r="B56" s="68" t="s">
        <v>58</v>
      </c>
      <c r="C56" s="68" t="s">
        <v>74</v>
      </c>
      <c r="D56" s="68" t="s">
        <v>59</v>
      </c>
      <c r="E56" s="68" t="s">
        <v>20</v>
      </c>
      <c r="F56" s="106"/>
      <c r="G56" s="116"/>
      <c r="H56" s="126" t="str">
        <f>IF($F56&lt;&gt;"",IFERROR(_xlfn.XLOOKUP($F56,Taxa_från_edp!$B:$B,Taxa_från_edp!C:C),""),"")</f>
        <v/>
      </c>
      <c r="I56" s="127" t="str">
        <f>IF($F56&lt;&gt;"",IFERROR(_xlfn.XLOOKUP($F56,Taxa_från_edp!$B:$B,Taxa_från_edp!G:G),""),"")</f>
        <v/>
      </c>
      <c r="J56" s="127" t="str">
        <f>IF($F56&lt;&gt;"",IFERROR(_xlfn.XLOOKUP($F56,Taxa_från_edp!$B:$B,Taxa_från_edp!K:K),""),"")</f>
        <v/>
      </c>
      <c r="K56" s="145"/>
      <c r="L56" s="146"/>
      <c r="M56" s="147" t="str">
        <f t="shared" si="0"/>
        <v/>
      </c>
      <c r="N56" s="148" t="str">
        <f t="shared" si="1"/>
        <v/>
      </c>
    </row>
    <row r="57" spans="1:14" ht="30" customHeight="1" x14ac:dyDescent="0.25">
      <c r="A57" s="68" t="s">
        <v>57</v>
      </c>
      <c r="B57" s="68" t="s">
        <v>58</v>
      </c>
      <c r="C57" s="68" t="s">
        <v>74</v>
      </c>
      <c r="D57" s="68" t="s">
        <v>35</v>
      </c>
      <c r="E57" s="68" t="s">
        <v>20</v>
      </c>
      <c r="F57" s="106"/>
      <c r="G57" s="116"/>
      <c r="H57" s="126" t="str">
        <f>IF($F57&lt;&gt;"",IFERROR(_xlfn.XLOOKUP($F57,Taxa_från_edp!$B:$B,Taxa_från_edp!C:C),""),"")</f>
        <v/>
      </c>
      <c r="I57" s="127" t="str">
        <f>IF($F57&lt;&gt;"",IFERROR(_xlfn.XLOOKUP($F57,Taxa_från_edp!$B:$B,Taxa_från_edp!G:G),""),"")</f>
        <v/>
      </c>
      <c r="J57" s="127" t="str">
        <f>IF($F57&lt;&gt;"",IFERROR(_xlfn.XLOOKUP($F57,Taxa_från_edp!$B:$B,Taxa_från_edp!K:K),""),"")</f>
        <v/>
      </c>
      <c r="K57" s="145"/>
      <c r="L57" s="146"/>
      <c r="M57" s="147" t="str">
        <f t="shared" si="0"/>
        <v/>
      </c>
      <c r="N57" s="148" t="str">
        <f t="shared" si="1"/>
        <v/>
      </c>
    </row>
    <row r="58" spans="1:14" ht="30" customHeight="1" x14ac:dyDescent="0.25">
      <c r="A58" s="68" t="s">
        <v>57</v>
      </c>
      <c r="B58" s="68" t="s">
        <v>58</v>
      </c>
      <c r="C58" s="68" t="s">
        <v>74</v>
      </c>
      <c r="D58" s="68" t="s">
        <v>37</v>
      </c>
      <c r="E58" s="68" t="s">
        <v>20</v>
      </c>
      <c r="F58" s="106"/>
      <c r="G58" s="116"/>
      <c r="H58" s="126" t="str">
        <f>IF($F58&lt;&gt;"",IFERROR(_xlfn.XLOOKUP($F58,Taxa_från_edp!$B:$B,Taxa_från_edp!C:C),""),"")</f>
        <v/>
      </c>
      <c r="I58" s="127" t="str">
        <f>IF($F58&lt;&gt;"",IFERROR(_xlfn.XLOOKUP($F58,Taxa_från_edp!$B:$B,Taxa_från_edp!G:G),""),"")</f>
        <v/>
      </c>
      <c r="J58" s="127" t="str">
        <f>IF($F58&lt;&gt;"",IFERROR(_xlfn.XLOOKUP($F58,Taxa_från_edp!$B:$B,Taxa_från_edp!K:K),""),"")</f>
        <v/>
      </c>
      <c r="K58" s="145"/>
      <c r="L58" s="146"/>
      <c r="M58" s="147" t="str">
        <f t="shared" si="0"/>
        <v/>
      </c>
      <c r="N58" s="148" t="str">
        <f t="shared" si="1"/>
        <v/>
      </c>
    </row>
    <row r="59" spans="1:14" ht="30" customHeight="1" x14ac:dyDescent="0.25">
      <c r="A59" s="68" t="s">
        <v>57</v>
      </c>
      <c r="B59" s="68" t="s">
        <v>58</v>
      </c>
      <c r="C59" s="68" t="s">
        <v>75</v>
      </c>
      <c r="D59" s="68" t="s">
        <v>59</v>
      </c>
      <c r="E59" s="68" t="s">
        <v>20</v>
      </c>
      <c r="F59" s="106"/>
      <c r="G59" s="116"/>
      <c r="H59" s="126" t="str">
        <f>IF($F59&lt;&gt;"",IFERROR(_xlfn.XLOOKUP($F59,Taxa_från_edp!$B:$B,Taxa_från_edp!C:C),""),"")</f>
        <v/>
      </c>
      <c r="I59" s="127" t="str">
        <f>IF($F59&lt;&gt;"",IFERROR(_xlfn.XLOOKUP($F59,Taxa_från_edp!$B:$B,Taxa_från_edp!G:G),""),"")</f>
        <v/>
      </c>
      <c r="J59" s="127" t="str">
        <f>IF($F59&lt;&gt;"",IFERROR(_xlfn.XLOOKUP($F59,Taxa_från_edp!$B:$B,Taxa_från_edp!K:K),""),"")</f>
        <v/>
      </c>
      <c r="K59" s="145"/>
      <c r="L59" s="146"/>
      <c r="M59" s="147" t="str">
        <f t="shared" si="0"/>
        <v/>
      </c>
      <c r="N59" s="148" t="str">
        <f t="shared" si="1"/>
        <v/>
      </c>
    </row>
    <row r="60" spans="1:14" ht="30" customHeight="1" x14ac:dyDescent="0.25">
      <c r="A60" s="68" t="s">
        <v>57</v>
      </c>
      <c r="B60" s="68" t="s">
        <v>58</v>
      </c>
      <c r="C60" s="68" t="s">
        <v>75</v>
      </c>
      <c r="D60" s="68" t="s">
        <v>35</v>
      </c>
      <c r="E60" s="68" t="s">
        <v>20</v>
      </c>
      <c r="F60" s="106"/>
      <c r="G60" s="116"/>
      <c r="H60" s="126" t="str">
        <f>IF($F60&lt;&gt;"",IFERROR(_xlfn.XLOOKUP($F60,Taxa_från_edp!$B:$B,Taxa_från_edp!C:C),""),"")</f>
        <v/>
      </c>
      <c r="I60" s="127" t="str">
        <f>IF($F60&lt;&gt;"",IFERROR(_xlfn.XLOOKUP($F60,Taxa_från_edp!$B:$B,Taxa_från_edp!G:G),""),"")</f>
        <v/>
      </c>
      <c r="J60" s="127" t="str">
        <f>IF($F60&lt;&gt;"",IFERROR(_xlfn.XLOOKUP($F60,Taxa_från_edp!$B:$B,Taxa_från_edp!K:K),""),"")</f>
        <v/>
      </c>
      <c r="K60" s="145"/>
      <c r="L60" s="146"/>
      <c r="M60" s="147" t="str">
        <f t="shared" si="0"/>
        <v/>
      </c>
      <c r="N60" s="148" t="str">
        <f t="shared" si="1"/>
        <v/>
      </c>
    </row>
    <row r="61" spans="1:14" ht="30" customHeight="1" x14ac:dyDescent="0.25">
      <c r="A61" s="68" t="s">
        <v>57</v>
      </c>
      <c r="B61" s="68" t="s">
        <v>58</v>
      </c>
      <c r="C61" s="68" t="s">
        <v>75</v>
      </c>
      <c r="D61" s="68" t="s">
        <v>37</v>
      </c>
      <c r="E61" s="68" t="s">
        <v>20</v>
      </c>
      <c r="F61" s="106"/>
      <c r="G61" s="116"/>
      <c r="H61" s="126" t="str">
        <f>IF($F61&lt;&gt;"",IFERROR(_xlfn.XLOOKUP($F61,Taxa_från_edp!$B:$B,Taxa_från_edp!C:C),""),"")</f>
        <v/>
      </c>
      <c r="I61" s="127" t="str">
        <f>IF($F61&lt;&gt;"",IFERROR(_xlfn.XLOOKUP($F61,Taxa_från_edp!$B:$B,Taxa_från_edp!G:G),""),"")</f>
        <v/>
      </c>
      <c r="J61" s="127" t="str">
        <f>IF($F61&lt;&gt;"",IFERROR(_xlfn.XLOOKUP($F61,Taxa_från_edp!$B:$B,Taxa_från_edp!K:K),""),"")</f>
        <v/>
      </c>
      <c r="K61" s="145"/>
      <c r="L61" s="146"/>
      <c r="M61" s="147" t="str">
        <f t="shared" si="0"/>
        <v/>
      </c>
      <c r="N61" s="148" t="str">
        <f t="shared" si="1"/>
        <v/>
      </c>
    </row>
    <row r="62" spans="1:14" ht="30" customHeight="1" x14ac:dyDescent="0.25">
      <c r="A62" s="68" t="s">
        <v>57</v>
      </c>
      <c r="B62" s="68" t="s">
        <v>58</v>
      </c>
      <c r="C62" s="68" t="s">
        <v>77</v>
      </c>
      <c r="D62" s="68" t="s">
        <v>59</v>
      </c>
      <c r="E62" s="68" t="s">
        <v>20</v>
      </c>
      <c r="F62" s="106"/>
      <c r="G62" s="116"/>
      <c r="H62" s="126" t="str">
        <f>IF($F62&lt;&gt;"",IFERROR(_xlfn.XLOOKUP($F62,Taxa_från_edp!$B:$B,Taxa_från_edp!C:C),""),"")</f>
        <v/>
      </c>
      <c r="I62" s="127" t="str">
        <f>IF($F62&lt;&gt;"",IFERROR(_xlfn.XLOOKUP($F62,Taxa_från_edp!$B:$B,Taxa_från_edp!G:G),""),"")</f>
        <v/>
      </c>
      <c r="J62" s="127" t="str">
        <f>IF($F62&lt;&gt;"",IFERROR(_xlfn.XLOOKUP($F62,Taxa_från_edp!$B:$B,Taxa_från_edp!K:K),""),"")</f>
        <v/>
      </c>
      <c r="K62" s="145"/>
      <c r="L62" s="146"/>
      <c r="M62" s="147" t="str">
        <f t="shared" si="0"/>
        <v/>
      </c>
      <c r="N62" s="148" t="str">
        <f t="shared" si="1"/>
        <v/>
      </c>
    </row>
    <row r="63" spans="1:14" ht="30" customHeight="1" x14ac:dyDescent="0.25">
      <c r="A63" s="68" t="s">
        <v>57</v>
      </c>
      <c r="B63" s="68" t="s">
        <v>58</v>
      </c>
      <c r="C63" s="68" t="s">
        <v>77</v>
      </c>
      <c r="D63" s="68" t="s">
        <v>35</v>
      </c>
      <c r="E63" s="68" t="s">
        <v>20</v>
      </c>
      <c r="F63" s="106"/>
      <c r="G63" s="116"/>
      <c r="H63" s="126" t="str">
        <f>IF($F63&lt;&gt;"",IFERROR(_xlfn.XLOOKUP($F63,Taxa_från_edp!$B:$B,Taxa_från_edp!C:C),""),"")</f>
        <v/>
      </c>
      <c r="I63" s="127" t="str">
        <f>IF($F63&lt;&gt;"",IFERROR(_xlfn.XLOOKUP($F63,Taxa_från_edp!$B:$B,Taxa_från_edp!G:G),""),"")</f>
        <v/>
      </c>
      <c r="J63" s="127" t="str">
        <f>IF($F63&lt;&gt;"",IFERROR(_xlfn.XLOOKUP($F63,Taxa_från_edp!$B:$B,Taxa_från_edp!K:K),""),"")</f>
        <v/>
      </c>
      <c r="K63" s="145"/>
      <c r="L63" s="146"/>
      <c r="M63" s="147" t="str">
        <f t="shared" si="0"/>
        <v/>
      </c>
      <c r="N63" s="148" t="str">
        <f t="shared" si="1"/>
        <v/>
      </c>
    </row>
    <row r="64" spans="1:14" ht="30" customHeight="1" x14ac:dyDescent="0.25">
      <c r="A64" s="68" t="s">
        <v>57</v>
      </c>
      <c r="B64" s="68" t="s">
        <v>58</v>
      </c>
      <c r="C64" s="68" t="s">
        <v>77</v>
      </c>
      <c r="D64" s="68" t="s">
        <v>37</v>
      </c>
      <c r="E64" s="68" t="s">
        <v>20</v>
      </c>
      <c r="F64" s="106"/>
      <c r="G64" s="116"/>
      <c r="H64" s="126" t="str">
        <f>IF($F64&lt;&gt;"",IFERROR(_xlfn.XLOOKUP($F64,Taxa_från_edp!$B:$B,Taxa_från_edp!C:C),""),"")</f>
        <v/>
      </c>
      <c r="I64" s="127" t="str">
        <f>IF($F64&lt;&gt;"",IFERROR(_xlfn.XLOOKUP($F64,Taxa_från_edp!$B:$B,Taxa_från_edp!G:G),""),"")</f>
        <v/>
      </c>
      <c r="J64" s="127" t="str">
        <f>IF($F64&lt;&gt;"",IFERROR(_xlfn.XLOOKUP($F64,Taxa_från_edp!$B:$B,Taxa_från_edp!K:K),""),"")</f>
        <v/>
      </c>
      <c r="K64" s="145"/>
      <c r="L64" s="146"/>
      <c r="M64" s="147" t="str">
        <f t="shared" si="0"/>
        <v/>
      </c>
      <c r="N64" s="148" t="str">
        <f t="shared" si="1"/>
        <v/>
      </c>
    </row>
    <row r="65" spans="1:14" ht="30" customHeight="1" x14ac:dyDescent="0.25">
      <c r="A65" s="68" t="s">
        <v>57</v>
      </c>
      <c r="B65" s="68" t="s">
        <v>58</v>
      </c>
      <c r="C65" s="68" t="s">
        <v>78</v>
      </c>
      <c r="D65" s="68" t="s">
        <v>79</v>
      </c>
      <c r="E65" s="68" t="s">
        <v>80</v>
      </c>
      <c r="F65" s="107"/>
      <c r="G65" s="117"/>
      <c r="H65" s="128" t="str">
        <f>IF($F65&lt;&gt;"",IFERROR(_xlfn.XLOOKUP($F65,Taxa_från_edp!$B:$B,Taxa_från_edp!C:C),""),"")</f>
        <v/>
      </c>
      <c r="I65" s="129" t="str">
        <f>IF($F65&lt;&gt;"",IFERROR(_xlfn.XLOOKUP($F65,Taxa_från_edp!$B:$B,Taxa_från_edp!G:G),""),"")</f>
        <v/>
      </c>
      <c r="J65" s="129" t="str">
        <f>IF($F65&lt;&gt;"",IFERROR(_xlfn.XLOOKUP($F65,Taxa_från_edp!$B:$B,Taxa_från_edp!K:K),""),"")</f>
        <v/>
      </c>
      <c r="K65" s="150"/>
      <c r="L65" s="151"/>
      <c r="M65" s="147" t="str">
        <f t="shared" si="0"/>
        <v/>
      </c>
      <c r="N65" s="148" t="str">
        <f t="shared" si="1"/>
        <v/>
      </c>
    </row>
    <row r="66" spans="1:14" ht="30" customHeight="1" x14ac:dyDescent="0.25">
      <c r="A66" s="68" t="s">
        <v>57</v>
      </c>
      <c r="B66" s="68" t="s">
        <v>58</v>
      </c>
      <c r="C66" s="68" t="s">
        <v>78</v>
      </c>
      <c r="D66" s="68" t="s">
        <v>82</v>
      </c>
      <c r="E66" s="68" t="s">
        <v>80</v>
      </c>
      <c r="F66" s="107"/>
      <c r="G66" s="117"/>
      <c r="H66" s="128" t="str">
        <f>IF($F66&lt;&gt;"",IFERROR(_xlfn.XLOOKUP($F66,Taxa_från_edp!$B:$B,Taxa_från_edp!C:C),""),"")</f>
        <v/>
      </c>
      <c r="I66" s="129" t="str">
        <f>IF($F66&lt;&gt;"",IFERROR(_xlfn.XLOOKUP($F66,Taxa_från_edp!$B:$B,Taxa_från_edp!G:G),""),"")</f>
        <v/>
      </c>
      <c r="J66" s="129" t="str">
        <f>IF($F66&lt;&gt;"",IFERROR(_xlfn.XLOOKUP($F66,Taxa_från_edp!$B:$B,Taxa_från_edp!K:K),""),"")</f>
        <v/>
      </c>
      <c r="K66" s="150"/>
      <c r="L66" s="151"/>
      <c r="M66" s="147" t="str">
        <f t="shared" si="0"/>
        <v/>
      </c>
      <c r="N66" s="148" t="str">
        <f t="shared" si="1"/>
        <v/>
      </c>
    </row>
    <row r="67" spans="1:14" ht="30" customHeight="1" x14ac:dyDescent="0.25">
      <c r="A67" s="68" t="s">
        <v>57</v>
      </c>
      <c r="B67" s="68" t="s">
        <v>58</v>
      </c>
      <c r="C67" s="68" t="s">
        <v>84</v>
      </c>
      <c r="D67" s="68" t="s">
        <v>85</v>
      </c>
      <c r="E67" s="68" t="s">
        <v>86</v>
      </c>
      <c r="F67" s="106"/>
      <c r="G67" s="116"/>
      <c r="H67" s="126" t="str">
        <f>IF($F67&lt;&gt;"",IFERROR(_xlfn.XLOOKUP($F67,Taxa_från_edp!$B:$B,Taxa_från_edp!C:C),""),"")</f>
        <v/>
      </c>
      <c r="I67" s="127" t="str">
        <f>IF($F67&lt;&gt;"",IFERROR(_xlfn.XLOOKUP($F67,Taxa_från_edp!$B:$B,Taxa_från_edp!G:G),""),"")</f>
        <v/>
      </c>
      <c r="J67" s="127" t="str">
        <f>IF($F67&lt;&gt;"",IFERROR(_xlfn.XLOOKUP($F67,Taxa_från_edp!$B:$B,Taxa_från_edp!K:K),""),"")</f>
        <v/>
      </c>
      <c r="K67" s="145"/>
      <c r="L67" s="146"/>
      <c r="M67" s="147" t="str">
        <f t="shared" si="0"/>
        <v/>
      </c>
      <c r="N67" s="148" t="str">
        <f t="shared" si="1"/>
        <v/>
      </c>
    </row>
    <row r="68" spans="1:14" ht="21.95" customHeight="1" x14ac:dyDescent="0.25">
      <c r="A68" s="83" t="s">
        <v>1580</v>
      </c>
      <c r="B68" s="84"/>
      <c r="C68" s="84"/>
      <c r="D68" s="84"/>
      <c r="E68" s="85"/>
      <c r="F68" s="114"/>
      <c r="G68" s="122"/>
      <c r="H68" s="122" t="str">
        <f>IF($F68&lt;&gt;"",IFERROR(_xlfn.XLOOKUP($F68,Taxa_från_edp!$B:$B,Taxa_från_edp!C:C),""),"")</f>
        <v/>
      </c>
      <c r="I68" s="149" t="str">
        <f>IF($F68&lt;&gt;"",IFERROR(_xlfn.XLOOKUP($F68,Taxa_från_edp!$B:$B,Taxa_från_edp!G:G),""),"")</f>
        <v/>
      </c>
      <c r="J68" s="149" t="str">
        <f>IF($F68&lt;&gt;"",IFERROR(_xlfn.XLOOKUP($F68,Taxa_från_edp!$B:$B,Taxa_från_edp!K:K),""),"")</f>
        <v/>
      </c>
      <c r="K68" s="149"/>
      <c r="L68" s="149"/>
      <c r="M68" s="121" t="str">
        <f t="shared" ref="M68:M127" si="6">IFERROR(IF(J68&lt;&gt;"",J68*1.25,IF(K68&lt;&gt;"",K68*1.25,"")),"")</f>
        <v/>
      </c>
      <c r="N68" s="144" t="str">
        <f t="shared" ref="N68:N127" si="7">IFERROR(IF(J68&lt;&gt;"",L68*J68,IF(K68&lt;&gt;"",L68*K68,"")),"")</f>
        <v/>
      </c>
    </row>
    <row r="69" spans="1:14" ht="30" customHeight="1" x14ac:dyDescent="0.25">
      <c r="A69" s="68" t="s">
        <v>88</v>
      </c>
      <c r="B69" s="68" t="s">
        <v>89</v>
      </c>
      <c r="C69" s="68" t="s">
        <v>34</v>
      </c>
      <c r="D69" s="68" t="s">
        <v>59</v>
      </c>
      <c r="E69" s="68" t="s">
        <v>20</v>
      </c>
      <c r="F69" s="106"/>
      <c r="G69" s="116"/>
      <c r="H69" s="126" t="str">
        <f>IF($F69&lt;&gt;"",IFERROR(_xlfn.XLOOKUP($F69,Taxa_från_edp!$B:$B,Taxa_från_edp!C:C),""),"")</f>
        <v/>
      </c>
      <c r="I69" s="127" t="str">
        <f>IF($F69&lt;&gt;"",IFERROR(_xlfn.XLOOKUP($F69,Taxa_från_edp!$B:$B,Taxa_från_edp!G:G),""),"")</f>
        <v/>
      </c>
      <c r="J69" s="127" t="str">
        <f>IF($F69&lt;&gt;"",IFERROR(_xlfn.XLOOKUP($F69,Taxa_från_edp!$B:$B,Taxa_från_edp!K:K),""),"")</f>
        <v/>
      </c>
      <c r="K69" s="145"/>
      <c r="L69" s="146"/>
      <c r="M69" s="147" t="str">
        <f t="shared" si="6"/>
        <v/>
      </c>
      <c r="N69" s="148" t="str">
        <f t="shared" si="7"/>
        <v/>
      </c>
    </row>
    <row r="70" spans="1:14" ht="30" customHeight="1" x14ac:dyDescent="0.25">
      <c r="A70" s="68" t="s">
        <v>88</v>
      </c>
      <c r="B70" s="68" t="s">
        <v>89</v>
      </c>
      <c r="C70" s="68" t="s">
        <v>34</v>
      </c>
      <c r="D70" s="68" t="s">
        <v>35</v>
      </c>
      <c r="E70" s="68" t="s">
        <v>20</v>
      </c>
      <c r="F70" s="106" t="s">
        <v>61</v>
      </c>
      <c r="G70" s="116" t="str">
        <f>IF($F70&lt;&gt;"",$F70,IFERROR(_xlfn.XLOOKUP(ROW(),Taxa_Saknas!$H:$H,Taxa_Saknas!$G:$G),""))</f>
        <v>KÄ240RM26FV</v>
      </c>
      <c r="H70" s="126" t="str">
        <f>IF($F70&lt;&gt;"",IFERROR(_xlfn.XLOOKUP($F70,Taxa_från_edp!$B:$B,Taxa_från_edp!C:C),""),"")</f>
        <v>Tvåfackskärl, rest/mat FLB/VHT</v>
      </c>
      <c r="I70" s="127" t="str">
        <f>IF($F70&lt;&gt;"",IFERROR(_xlfn.XLOOKUP($F70,Taxa_från_edp!$B:$B,Taxa_från_edp!G:G),""),"")</f>
        <v>ÅRKV</v>
      </c>
      <c r="J70" s="127">
        <f>IF($F70&lt;&gt;"",IFERROR(_xlfn.XLOOKUP($F70,Taxa_från_edp!$B:$B,Taxa_från_edp!K:K),""),"")</f>
        <v>640</v>
      </c>
      <c r="K70" s="145"/>
      <c r="L70" s="146"/>
      <c r="M70" s="147">
        <f t="shared" si="6"/>
        <v>800</v>
      </c>
      <c r="N70" s="148">
        <f t="shared" si="7"/>
        <v>0</v>
      </c>
    </row>
    <row r="71" spans="1:14" ht="30" customHeight="1" x14ac:dyDescent="0.25">
      <c r="A71" s="68" t="s">
        <v>88</v>
      </c>
      <c r="B71" s="68" t="s">
        <v>89</v>
      </c>
      <c r="C71" s="68" t="s">
        <v>34</v>
      </c>
      <c r="D71" s="68" t="s">
        <v>37</v>
      </c>
      <c r="E71" s="68" t="s">
        <v>20</v>
      </c>
      <c r="F71" s="106"/>
      <c r="G71" s="116" t="str">
        <f>IF($F71&lt;&gt;"",$F71,IFERROR(_xlfn.XLOOKUP(ROW(),Taxa_Saknas!$H:$H,Taxa_Saknas!$G:$G),""))</f>
        <v/>
      </c>
      <c r="H71" s="126" t="str">
        <f>IF($F71&lt;&gt;"",IFERROR(_xlfn.XLOOKUP($F71,Taxa_från_edp!$B:$B,Taxa_från_edp!C:C),""),"")</f>
        <v/>
      </c>
      <c r="I71" s="127" t="str">
        <f>IF($F71&lt;&gt;"",IFERROR(_xlfn.XLOOKUP($F71,Taxa_från_edp!$B:$B,Taxa_från_edp!G:G),""),"")</f>
        <v/>
      </c>
      <c r="J71" s="127" t="str">
        <f>IF($F71&lt;&gt;"",IFERROR(_xlfn.XLOOKUP($F71,Taxa_från_edp!$B:$B,Taxa_från_edp!K:K),""),"")</f>
        <v/>
      </c>
      <c r="K71" s="145"/>
      <c r="L71" s="146"/>
      <c r="M71" s="147" t="str">
        <f t="shared" si="6"/>
        <v/>
      </c>
      <c r="N71" s="148" t="str">
        <f t="shared" si="7"/>
        <v/>
      </c>
    </row>
    <row r="72" spans="1:14" ht="30" customHeight="1" x14ac:dyDescent="0.25">
      <c r="A72" s="68" t="s">
        <v>88</v>
      </c>
      <c r="B72" s="68" t="s">
        <v>89</v>
      </c>
      <c r="C72" s="68" t="s">
        <v>63</v>
      </c>
      <c r="D72" s="68" t="s">
        <v>59</v>
      </c>
      <c r="E72" s="68" t="s">
        <v>20</v>
      </c>
      <c r="F72" s="106"/>
      <c r="G72" s="116"/>
      <c r="H72" s="126" t="str">
        <f>IF($F72&lt;&gt;"",IFERROR(_xlfn.XLOOKUP($F72,Taxa_från_edp!$B:$B,Taxa_från_edp!C:C),""),"")</f>
        <v/>
      </c>
      <c r="I72" s="127" t="str">
        <f>IF($F72&lt;&gt;"",IFERROR(_xlfn.XLOOKUP($F72,Taxa_från_edp!$B:$B,Taxa_från_edp!G:G),""),"")</f>
        <v/>
      </c>
      <c r="J72" s="127" t="str">
        <f>IF($F72&lt;&gt;"",IFERROR(_xlfn.XLOOKUP($F72,Taxa_från_edp!$B:$B,Taxa_från_edp!K:K),""),"")</f>
        <v/>
      </c>
      <c r="K72" s="145"/>
      <c r="L72" s="146"/>
      <c r="M72" s="147" t="str">
        <f t="shared" si="6"/>
        <v/>
      </c>
      <c r="N72" s="148" t="str">
        <f t="shared" si="7"/>
        <v/>
      </c>
    </row>
    <row r="73" spans="1:14" ht="30" customHeight="1" x14ac:dyDescent="0.25">
      <c r="A73" s="68" t="s">
        <v>88</v>
      </c>
      <c r="B73" s="68" t="s">
        <v>89</v>
      </c>
      <c r="C73" s="68" t="s">
        <v>63</v>
      </c>
      <c r="D73" s="68" t="s">
        <v>35</v>
      </c>
      <c r="E73" s="68" t="s">
        <v>20</v>
      </c>
      <c r="F73" s="106" t="s">
        <v>64</v>
      </c>
      <c r="G73" s="116" t="str">
        <f>IF($F73&lt;&gt;"",$F73,IFERROR(_xlfn.XLOOKUP(ROW(),Taxa_Saknas!$H:$H,Taxa_Saknas!$G:$G),""))</f>
        <v>KÄ370RE26FV</v>
      </c>
      <c r="H73" s="126" t="str">
        <f>IF($F73&lt;&gt;"",IFERROR(_xlfn.XLOOKUP($F73,Taxa_från_edp!$B:$B,Taxa_från_edp!C:C),""),"")</f>
        <v>Kärl 370 L, rest. FLB/VHT</v>
      </c>
      <c r="I73" s="127" t="str">
        <f>IF($F73&lt;&gt;"",IFERROR(_xlfn.XLOOKUP($F73,Taxa_från_edp!$B:$B,Taxa_från_edp!G:G),""),"")</f>
        <v>ÅRKV</v>
      </c>
      <c r="J73" s="127">
        <f>IF($F73&lt;&gt;"",IFERROR(_xlfn.XLOOKUP($F73,Taxa_från_edp!$B:$B,Taxa_från_edp!K:K),""),"")</f>
        <v>800</v>
      </c>
      <c r="K73" s="145"/>
      <c r="L73" s="146"/>
      <c r="M73" s="147">
        <f t="shared" si="6"/>
        <v>1000</v>
      </c>
      <c r="N73" s="148">
        <f t="shared" si="7"/>
        <v>0</v>
      </c>
    </row>
    <row r="74" spans="1:14" x14ac:dyDescent="0.25">
      <c r="A74" s="68" t="s">
        <v>88</v>
      </c>
      <c r="B74" s="68" t="s">
        <v>89</v>
      </c>
      <c r="C74" s="68" t="s">
        <v>63</v>
      </c>
      <c r="D74" s="68" t="s">
        <v>37</v>
      </c>
      <c r="E74" s="68" t="s">
        <v>20</v>
      </c>
      <c r="F74" s="106"/>
      <c r="G74" s="116"/>
      <c r="H74" s="126" t="str">
        <f>IF($F74&lt;&gt;"",IFERROR(_xlfn.XLOOKUP($F74,Taxa_från_edp!$B:$B,Taxa_från_edp!C:C),""),"")</f>
        <v/>
      </c>
      <c r="I74" s="127" t="str">
        <f>IF($F74&lt;&gt;"",IFERROR(_xlfn.XLOOKUP($F74,Taxa_från_edp!$B:$B,Taxa_från_edp!G:G),""),"")</f>
        <v/>
      </c>
      <c r="J74" s="127" t="str">
        <f>IF($F74&lt;&gt;"",IFERROR(_xlfn.XLOOKUP($F74,Taxa_från_edp!$B:$B,Taxa_från_edp!K:K),""),"")</f>
        <v/>
      </c>
      <c r="K74" s="145"/>
      <c r="L74" s="146"/>
      <c r="M74" s="147" t="str">
        <f t="shared" si="6"/>
        <v/>
      </c>
      <c r="N74" s="148" t="str">
        <f t="shared" si="7"/>
        <v/>
      </c>
    </row>
    <row r="75" spans="1:14" x14ac:dyDescent="0.25">
      <c r="A75" s="68" t="s">
        <v>88</v>
      </c>
      <c r="B75" s="68" t="s">
        <v>89</v>
      </c>
      <c r="C75" s="68" t="s">
        <v>65</v>
      </c>
      <c r="D75" s="68" t="s">
        <v>59</v>
      </c>
      <c r="E75" s="68" t="s">
        <v>20</v>
      </c>
      <c r="F75" s="106"/>
      <c r="G75" s="116"/>
      <c r="H75" s="126" t="str">
        <f>IF($F75&lt;&gt;"",IFERROR(_xlfn.XLOOKUP($F75,Taxa_från_edp!$B:$B,Taxa_från_edp!C:C),""),"")</f>
        <v/>
      </c>
      <c r="I75" s="127" t="str">
        <f>IF($F75&lt;&gt;"",IFERROR(_xlfn.XLOOKUP($F75,Taxa_från_edp!$B:$B,Taxa_från_edp!G:G),""),"")</f>
        <v/>
      </c>
      <c r="J75" s="127" t="str">
        <f>IF($F75&lt;&gt;"",IFERROR(_xlfn.XLOOKUP($F75,Taxa_från_edp!$B:$B,Taxa_från_edp!K:K),""),"")</f>
        <v/>
      </c>
      <c r="K75" s="145"/>
      <c r="L75" s="146"/>
      <c r="M75" s="147" t="str">
        <f t="shared" si="6"/>
        <v/>
      </c>
      <c r="N75" s="148" t="str">
        <f t="shared" si="7"/>
        <v/>
      </c>
    </row>
    <row r="76" spans="1:14" x14ac:dyDescent="0.25">
      <c r="A76" s="68" t="s">
        <v>88</v>
      </c>
      <c r="B76" s="68" t="s">
        <v>89</v>
      </c>
      <c r="C76" s="68" t="s">
        <v>65</v>
      </c>
      <c r="D76" s="68" t="s">
        <v>35</v>
      </c>
      <c r="E76" s="68" t="s">
        <v>20</v>
      </c>
      <c r="F76" s="106" t="s">
        <v>67</v>
      </c>
      <c r="G76" s="116" t="str">
        <f>IF($F76&lt;&gt;"",$F76,IFERROR(_xlfn.XLOOKUP(ROW(),Taxa_Saknas!$H:$H,Taxa_Saknas!$G:$G),""))</f>
        <v>KÄ660RE26FV</v>
      </c>
      <c r="H76" s="126" t="str">
        <f>IF($F76&lt;&gt;"",IFERROR(_xlfn.XLOOKUP($F76,Taxa_från_edp!$B:$B,Taxa_från_edp!C:C),""),"")</f>
        <v>Kärl 660 L, rest. FLB/VHT</v>
      </c>
      <c r="I76" s="127" t="str">
        <f>IF($F76&lt;&gt;"",IFERROR(_xlfn.XLOOKUP($F76,Taxa_från_edp!$B:$B,Taxa_från_edp!G:G),""),"")</f>
        <v>ÅRKV</v>
      </c>
      <c r="J76" s="127">
        <f>IF($F76&lt;&gt;"",IFERROR(_xlfn.XLOOKUP($F76,Taxa_från_edp!$B:$B,Taxa_från_edp!K:K),""),"")</f>
        <v>1040</v>
      </c>
      <c r="K76" s="145"/>
      <c r="L76" s="146"/>
      <c r="M76" s="147">
        <f t="shared" si="6"/>
        <v>1300</v>
      </c>
      <c r="N76" s="148">
        <f t="shared" si="7"/>
        <v>0</v>
      </c>
    </row>
    <row r="77" spans="1:14" x14ac:dyDescent="0.25">
      <c r="A77" s="68" t="s">
        <v>88</v>
      </c>
      <c r="B77" s="68" t="s">
        <v>89</v>
      </c>
      <c r="C77" s="68" t="s">
        <v>65</v>
      </c>
      <c r="D77" s="68" t="s">
        <v>37</v>
      </c>
      <c r="E77" s="68" t="s">
        <v>20</v>
      </c>
      <c r="F77" s="106"/>
      <c r="G77" s="116"/>
      <c r="H77" s="126" t="str">
        <f>IF($F77&lt;&gt;"",IFERROR(_xlfn.XLOOKUP($F77,Taxa_från_edp!$B:$B,Taxa_från_edp!C:C),""),"")</f>
        <v/>
      </c>
      <c r="I77" s="127" t="str">
        <f>IF($F77&lt;&gt;"",IFERROR(_xlfn.XLOOKUP($F77,Taxa_från_edp!$B:$B,Taxa_från_edp!G:G),""),"")</f>
        <v/>
      </c>
      <c r="J77" s="127" t="str">
        <f>IF($F77&lt;&gt;"",IFERROR(_xlfn.XLOOKUP($F77,Taxa_från_edp!$B:$B,Taxa_från_edp!K:K),""),"")</f>
        <v/>
      </c>
      <c r="K77" s="145"/>
      <c r="L77" s="146"/>
      <c r="M77" s="147" t="str">
        <f t="shared" si="6"/>
        <v/>
      </c>
      <c r="N77" s="148" t="str">
        <f t="shared" si="7"/>
        <v/>
      </c>
    </row>
    <row r="78" spans="1:14" x14ac:dyDescent="0.25">
      <c r="A78" s="68" t="s">
        <v>88</v>
      </c>
      <c r="B78" s="68" t="s">
        <v>89</v>
      </c>
      <c r="C78" s="68" t="s">
        <v>68</v>
      </c>
      <c r="D78" s="68" t="s">
        <v>59</v>
      </c>
      <c r="E78" s="68" t="s">
        <v>20</v>
      </c>
      <c r="F78" s="106"/>
      <c r="G78" s="116"/>
      <c r="H78" s="126" t="str">
        <f>IF($F78&lt;&gt;"",IFERROR(_xlfn.XLOOKUP($F78,Taxa_från_edp!$B:$B,Taxa_från_edp!C:C),""),"")</f>
        <v/>
      </c>
      <c r="I78" s="127" t="str">
        <f>IF($F78&lt;&gt;"",IFERROR(_xlfn.XLOOKUP($F78,Taxa_från_edp!$B:$B,Taxa_från_edp!G:G),""),"")</f>
        <v/>
      </c>
      <c r="J78" s="127" t="str">
        <f>IF($F78&lt;&gt;"",IFERROR(_xlfn.XLOOKUP($F78,Taxa_från_edp!$B:$B,Taxa_från_edp!K:K),""),"")</f>
        <v/>
      </c>
      <c r="K78" s="145"/>
      <c r="L78" s="146"/>
      <c r="M78" s="147" t="str">
        <f t="shared" si="6"/>
        <v/>
      </c>
      <c r="N78" s="148" t="str">
        <f t="shared" si="7"/>
        <v/>
      </c>
    </row>
    <row r="79" spans="1:14" ht="30" x14ac:dyDescent="0.25">
      <c r="A79" s="68" t="s">
        <v>88</v>
      </c>
      <c r="B79" s="68" t="s">
        <v>89</v>
      </c>
      <c r="C79" s="68" t="s">
        <v>68</v>
      </c>
      <c r="D79" s="68" t="s">
        <v>35</v>
      </c>
      <c r="E79" s="68" t="s">
        <v>20</v>
      </c>
      <c r="F79" s="106" t="s">
        <v>70</v>
      </c>
      <c r="G79" s="116" t="str">
        <f>IF($F79&lt;&gt;"",$F79,IFERROR(_xlfn.XLOOKUP(ROW(),Taxa_Saknas!$H:$H,Taxa_Saknas!$G:$G),""))</f>
        <v>KÄ140MA26FV</v>
      </c>
      <c r="H79" s="126" t="str">
        <f>IF($F79&lt;&gt;"",IFERROR(_xlfn.XLOOKUP($F79,Taxa_från_edp!$B:$B,Taxa_från_edp!C:C),""),"")</f>
        <v>Kärl 140 L, matavfall. Var 14:e dag. FLB/VHT</v>
      </c>
      <c r="I79" s="127" t="str">
        <f>IF($F79&lt;&gt;"",IFERROR(_xlfn.XLOOKUP($F79,Taxa_från_edp!$B:$B,Taxa_från_edp!G:G),""),"")</f>
        <v>ÅRKV</v>
      </c>
      <c r="J79" s="127">
        <f>IF($F79&lt;&gt;"",IFERROR(_xlfn.XLOOKUP($F79,Taxa_från_edp!$B:$B,Taxa_från_edp!K:K),""),"")</f>
        <v>500</v>
      </c>
      <c r="K79" s="145"/>
      <c r="L79" s="146"/>
      <c r="M79" s="147">
        <f t="shared" si="6"/>
        <v>625</v>
      </c>
      <c r="N79" s="148">
        <f t="shared" si="7"/>
        <v>0</v>
      </c>
    </row>
    <row r="80" spans="1:14" x14ac:dyDescent="0.25">
      <c r="A80" s="68" t="s">
        <v>88</v>
      </c>
      <c r="B80" s="68" t="s">
        <v>89</v>
      </c>
      <c r="C80" s="68" t="s">
        <v>68</v>
      </c>
      <c r="D80" s="68" t="s">
        <v>37</v>
      </c>
      <c r="E80" s="68" t="s">
        <v>20</v>
      </c>
      <c r="F80" s="106"/>
      <c r="G80" s="116"/>
      <c r="H80" s="126" t="str">
        <f>IF($F80&lt;&gt;"",IFERROR(_xlfn.XLOOKUP($F80,Taxa_från_edp!$B:$B,Taxa_från_edp!C:C),""),"")</f>
        <v/>
      </c>
      <c r="I80" s="127" t="str">
        <f>IF($F80&lt;&gt;"",IFERROR(_xlfn.XLOOKUP($F80,Taxa_från_edp!$B:$B,Taxa_från_edp!G:G),""),"")</f>
        <v/>
      </c>
      <c r="J80" s="127" t="str">
        <f>IF($F80&lt;&gt;"",IFERROR(_xlfn.XLOOKUP($F80,Taxa_från_edp!$B:$B,Taxa_från_edp!K:K),""),"")</f>
        <v/>
      </c>
      <c r="K80" s="145"/>
      <c r="L80" s="146"/>
      <c r="M80" s="147" t="str">
        <f t="shared" si="6"/>
        <v/>
      </c>
      <c r="N80" s="148" t="str">
        <f t="shared" si="7"/>
        <v/>
      </c>
    </row>
    <row r="81" spans="1:14" ht="45" customHeight="1" x14ac:dyDescent="0.25">
      <c r="A81" s="68" t="s">
        <v>88</v>
      </c>
      <c r="B81" s="68" t="s">
        <v>89</v>
      </c>
      <c r="C81" s="68" t="s">
        <v>92</v>
      </c>
      <c r="D81" s="68" t="s">
        <v>79</v>
      </c>
      <c r="E81" s="68" t="s">
        <v>80</v>
      </c>
      <c r="F81" s="106"/>
      <c r="G81" s="116"/>
      <c r="H81" s="126" t="str">
        <f>IF($F81&lt;&gt;"",IFERROR(_xlfn.XLOOKUP($F81,Taxa_från_edp!$B:$B,Taxa_från_edp!C:C),""),"")</f>
        <v/>
      </c>
      <c r="I81" s="127" t="str">
        <f>IF($F81&lt;&gt;"",IFERROR(_xlfn.XLOOKUP($F81,Taxa_från_edp!$B:$B,Taxa_från_edp!G:G),""),"")</f>
        <v/>
      </c>
      <c r="J81" s="127" t="str">
        <f>IF($F81&lt;&gt;"",IFERROR(_xlfn.XLOOKUP($F81,Taxa_från_edp!$B:$B,Taxa_från_edp!K:K),""),"")</f>
        <v/>
      </c>
      <c r="K81" s="145"/>
      <c r="L81" s="146"/>
      <c r="M81" s="147" t="str">
        <f t="shared" ref="M81" si="8">IFERROR(IF(J81&lt;&gt;"",J81*1.25,IF(K81&lt;&gt;"",K81*1.25,"")),"")</f>
        <v/>
      </c>
      <c r="N81" s="148" t="str">
        <f t="shared" ref="N81" si="9">IFERROR(IF(J81&lt;&gt;"",L81*J81,IF(K81&lt;&gt;"",L81*K81,"")),"")</f>
        <v/>
      </c>
    </row>
    <row r="82" spans="1:14" ht="180" customHeight="1" x14ac:dyDescent="0.25">
      <c r="A82" s="68" t="s">
        <v>88</v>
      </c>
      <c r="B82" s="68" t="s">
        <v>89</v>
      </c>
      <c r="C82" s="68" t="s">
        <v>90</v>
      </c>
      <c r="D82" s="68" t="s">
        <v>79</v>
      </c>
      <c r="E82" s="68" t="s">
        <v>80</v>
      </c>
      <c r="F82" s="107"/>
      <c r="G82" s="117"/>
      <c r="H82" s="128" t="str">
        <f>IF($F82&lt;&gt;"",IFERROR(_xlfn.XLOOKUP($F82,Taxa_från_edp!$B:$B,Taxa_från_edp!C:C),""),"")</f>
        <v/>
      </c>
      <c r="I82" s="129" t="str">
        <f>IF($F82&lt;&gt;"",IFERROR(_xlfn.XLOOKUP($F82,Taxa_från_edp!$B:$B,Taxa_från_edp!G:G),""),"")</f>
        <v/>
      </c>
      <c r="J82" s="129" t="str">
        <f>IF($F82&lt;&gt;"",IFERROR(_xlfn.XLOOKUP($F82,Taxa_från_edp!$B:$B,Taxa_från_edp!K:K),""),"")</f>
        <v/>
      </c>
      <c r="K82" s="150"/>
      <c r="L82" s="151"/>
      <c r="M82" s="147" t="str">
        <f t="shared" si="6"/>
        <v/>
      </c>
      <c r="N82" s="148" t="str">
        <f t="shared" si="7"/>
        <v/>
      </c>
    </row>
    <row r="83" spans="1:14" ht="45" customHeight="1" x14ac:dyDescent="0.25">
      <c r="A83" s="68" t="s">
        <v>88</v>
      </c>
      <c r="B83" s="68" t="s">
        <v>89</v>
      </c>
      <c r="C83" s="68" t="s">
        <v>92</v>
      </c>
      <c r="D83" s="68" t="s">
        <v>82</v>
      </c>
      <c r="E83" s="68" t="s">
        <v>80</v>
      </c>
      <c r="F83" s="106"/>
      <c r="G83" s="116"/>
      <c r="H83" s="126" t="str">
        <f>IF($F83&lt;&gt;"",IFERROR(_xlfn.XLOOKUP($F83,Taxa_från_edp!$B:$B,Taxa_från_edp!C:C),""),"")</f>
        <v/>
      </c>
      <c r="I83" s="127" t="str">
        <f>IF($F83&lt;&gt;"",IFERROR(_xlfn.XLOOKUP($F83,Taxa_från_edp!$B:$B,Taxa_från_edp!G:G),""),"")</f>
        <v/>
      </c>
      <c r="J83" s="127" t="str">
        <f>IF($F83&lt;&gt;"",IFERROR(_xlfn.XLOOKUP($F83,Taxa_från_edp!$B:$B,Taxa_från_edp!K:K),""),"")</f>
        <v/>
      </c>
      <c r="K83" s="145"/>
      <c r="L83" s="146"/>
      <c r="M83" s="147" t="str">
        <f t="shared" si="6"/>
        <v/>
      </c>
      <c r="N83" s="148" t="str">
        <f t="shared" si="7"/>
        <v/>
      </c>
    </row>
    <row r="84" spans="1:14" ht="21.95" customHeight="1" x14ac:dyDescent="0.25">
      <c r="A84" s="83" t="s">
        <v>94</v>
      </c>
      <c r="B84" s="84"/>
      <c r="C84" s="84"/>
      <c r="D84" s="84"/>
      <c r="E84" s="85"/>
      <c r="F84" s="114"/>
      <c r="G84" s="122" t="str">
        <f>IF($F84&lt;&gt;"",$F84,IFERROR(_xlfn.XLOOKUP(ROW(),Taxa_Saknas!$H:$H,Taxa_Saknas!$G:$G),""))</f>
        <v/>
      </c>
      <c r="H84" s="122" t="str">
        <f>IF($F84&lt;&gt;"",IFERROR(_xlfn.XLOOKUP($F84,Taxa_från_edp!$B:$B,Taxa_från_edp!C:C),""),"")</f>
        <v/>
      </c>
      <c r="I84" s="149" t="str">
        <f>IF($F84&lt;&gt;"",IFERROR(_xlfn.XLOOKUP($F84,Taxa_från_edp!$B:$B,Taxa_från_edp!G:G),""),"")</f>
        <v/>
      </c>
      <c r="J84" s="149" t="str">
        <f>IF($F84&lt;&gt;"",IFERROR(_xlfn.XLOOKUP($F84,Taxa_från_edp!$B:$B,Taxa_från_edp!K:K),""),"")</f>
        <v/>
      </c>
      <c r="K84" s="149"/>
      <c r="L84" s="149"/>
      <c r="M84" s="121" t="str">
        <f t="shared" si="6"/>
        <v/>
      </c>
      <c r="N84" s="144" t="str">
        <f t="shared" si="7"/>
        <v/>
      </c>
    </row>
    <row r="85" spans="1:14" ht="45" customHeight="1" x14ac:dyDescent="0.25">
      <c r="A85" s="68" t="s">
        <v>95</v>
      </c>
      <c r="B85" s="68" t="s">
        <v>96</v>
      </c>
      <c r="C85" s="68" t="s">
        <v>34</v>
      </c>
      <c r="D85" s="68" t="s">
        <v>59</v>
      </c>
      <c r="E85" s="68" t="s">
        <v>20</v>
      </c>
      <c r="F85" s="106"/>
      <c r="G85" s="116"/>
      <c r="H85" s="126" t="str">
        <f>IF($F85&lt;&gt;"",IFERROR(_xlfn.XLOOKUP($F85,Taxa_från_edp!$B:$B,Taxa_från_edp!C:C),""),"")</f>
        <v/>
      </c>
      <c r="I85" s="127" t="str">
        <f>IF($F85&lt;&gt;"",IFERROR(_xlfn.XLOOKUP($F85,Taxa_från_edp!$B:$B,Taxa_från_edp!G:G),""),"")</f>
        <v/>
      </c>
      <c r="J85" s="127" t="str">
        <f>IF($F85&lt;&gt;"",IFERROR(_xlfn.XLOOKUP($F85,Taxa_från_edp!$B:$B,Taxa_från_edp!K:K),""),"")</f>
        <v/>
      </c>
      <c r="K85" s="145"/>
      <c r="L85" s="146"/>
      <c r="M85" s="147" t="str">
        <f t="shared" si="6"/>
        <v/>
      </c>
      <c r="N85" s="148" t="str">
        <f t="shared" si="7"/>
        <v/>
      </c>
    </row>
    <row r="86" spans="1:14" ht="45" customHeight="1" x14ac:dyDescent="0.25">
      <c r="A86" s="68" t="s">
        <v>95</v>
      </c>
      <c r="B86" s="68" t="s">
        <v>96</v>
      </c>
      <c r="C86" s="68" t="s">
        <v>34</v>
      </c>
      <c r="D86" s="68" t="s">
        <v>35</v>
      </c>
      <c r="E86" s="68" t="s">
        <v>20</v>
      </c>
      <c r="F86" s="106"/>
      <c r="G86" s="116"/>
      <c r="H86" s="126" t="str">
        <f>IF($F86&lt;&gt;"",IFERROR(_xlfn.XLOOKUP($F86,Taxa_från_edp!$B:$B,Taxa_från_edp!C:C),""),"")</f>
        <v/>
      </c>
      <c r="I86" s="127" t="str">
        <f>IF($F86&lt;&gt;"",IFERROR(_xlfn.XLOOKUP($F86,Taxa_från_edp!$B:$B,Taxa_från_edp!G:G),""),"")</f>
        <v/>
      </c>
      <c r="J86" s="127" t="str">
        <f>IF($F86&lt;&gt;"",IFERROR(_xlfn.XLOOKUP($F86,Taxa_från_edp!$B:$B,Taxa_från_edp!K:K),""),"")</f>
        <v/>
      </c>
      <c r="K86" s="145"/>
      <c r="L86" s="146"/>
      <c r="M86" s="147" t="str">
        <f t="shared" si="6"/>
        <v/>
      </c>
      <c r="N86" s="148" t="str">
        <f t="shared" si="7"/>
        <v/>
      </c>
    </row>
    <row r="87" spans="1:14" ht="45" customHeight="1" x14ac:dyDescent="0.25">
      <c r="A87" s="68" t="s">
        <v>95</v>
      </c>
      <c r="B87" s="68" t="s">
        <v>96</v>
      </c>
      <c r="C87" s="68" t="s">
        <v>34</v>
      </c>
      <c r="D87" s="68" t="s">
        <v>37</v>
      </c>
      <c r="E87" s="68" t="s">
        <v>20</v>
      </c>
      <c r="F87" s="106"/>
      <c r="G87" s="116"/>
      <c r="H87" s="126" t="str">
        <f>IF($F87&lt;&gt;"",IFERROR(_xlfn.XLOOKUP($F87,Taxa_från_edp!$B:$B,Taxa_från_edp!C:C),""),"")</f>
        <v/>
      </c>
      <c r="I87" s="127" t="str">
        <f>IF($F87&lt;&gt;"",IFERROR(_xlfn.XLOOKUP($F87,Taxa_från_edp!$B:$B,Taxa_från_edp!G:G),""),"")</f>
        <v/>
      </c>
      <c r="J87" s="127" t="str">
        <f>IF($F87&lt;&gt;"",IFERROR(_xlfn.XLOOKUP($F87,Taxa_från_edp!$B:$B,Taxa_från_edp!K:K),""),"")</f>
        <v/>
      </c>
      <c r="K87" s="145"/>
      <c r="L87" s="146"/>
      <c r="M87" s="147" t="str">
        <f t="shared" si="6"/>
        <v/>
      </c>
      <c r="N87" s="148" t="str">
        <f t="shared" si="7"/>
        <v/>
      </c>
    </row>
    <row r="88" spans="1:14" ht="45" customHeight="1" x14ac:dyDescent="0.25">
      <c r="A88" s="68" t="s">
        <v>95</v>
      </c>
      <c r="B88" s="68" t="s">
        <v>96</v>
      </c>
      <c r="C88" s="68" t="s">
        <v>63</v>
      </c>
      <c r="D88" s="68" t="s">
        <v>59</v>
      </c>
      <c r="E88" s="68" t="s">
        <v>20</v>
      </c>
      <c r="F88" s="106"/>
      <c r="G88" s="116"/>
      <c r="H88" s="126" t="str">
        <f>IF($F88&lt;&gt;"",IFERROR(_xlfn.XLOOKUP($F88,Taxa_från_edp!$B:$B,Taxa_från_edp!C:C),""),"")</f>
        <v/>
      </c>
      <c r="I88" s="127" t="str">
        <f>IF($F88&lt;&gt;"",IFERROR(_xlfn.XLOOKUP($F88,Taxa_från_edp!$B:$B,Taxa_från_edp!G:G),""),"")</f>
        <v/>
      </c>
      <c r="J88" s="127" t="str">
        <f>IF($F88&lt;&gt;"",IFERROR(_xlfn.XLOOKUP($F88,Taxa_från_edp!$B:$B,Taxa_från_edp!K:K),""),"")</f>
        <v/>
      </c>
      <c r="K88" s="145"/>
      <c r="L88" s="146"/>
      <c r="M88" s="147" t="str">
        <f t="shared" si="6"/>
        <v/>
      </c>
      <c r="N88" s="148" t="str">
        <f t="shared" si="7"/>
        <v/>
      </c>
    </row>
    <row r="89" spans="1:14" ht="45" customHeight="1" x14ac:dyDescent="0.25">
      <c r="A89" s="68" t="s">
        <v>95</v>
      </c>
      <c r="B89" s="68" t="s">
        <v>96</v>
      </c>
      <c r="C89" s="68" t="s">
        <v>63</v>
      </c>
      <c r="D89" s="68" t="s">
        <v>35</v>
      </c>
      <c r="E89" s="68" t="s">
        <v>20</v>
      </c>
      <c r="F89" s="106"/>
      <c r="G89" s="116"/>
      <c r="H89" s="126" t="str">
        <f>IF($F89&lt;&gt;"",IFERROR(_xlfn.XLOOKUP($F89,Taxa_från_edp!$B:$B,Taxa_från_edp!C:C),""),"")</f>
        <v/>
      </c>
      <c r="I89" s="127" t="str">
        <f>IF($F89&lt;&gt;"",IFERROR(_xlfn.XLOOKUP($F89,Taxa_från_edp!$B:$B,Taxa_från_edp!G:G),""),"")</f>
        <v/>
      </c>
      <c r="J89" s="127" t="str">
        <f>IF($F89&lt;&gt;"",IFERROR(_xlfn.XLOOKUP($F89,Taxa_från_edp!$B:$B,Taxa_från_edp!K:K),""),"")</f>
        <v/>
      </c>
      <c r="K89" s="145"/>
      <c r="L89" s="146"/>
      <c r="M89" s="147" t="str">
        <f t="shared" si="6"/>
        <v/>
      </c>
      <c r="N89" s="148" t="str">
        <f t="shared" si="7"/>
        <v/>
      </c>
    </row>
    <row r="90" spans="1:14" ht="45" customHeight="1" x14ac:dyDescent="0.25">
      <c r="A90" s="68" t="s">
        <v>95</v>
      </c>
      <c r="B90" s="68" t="s">
        <v>96</v>
      </c>
      <c r="C90" s="68" t="s">
        <v>63</v>
      </c>
      <c r="D90" s="68" t="s">
        <v>37</v>
      </c>
      <c r="E90" s="68" t="s">
        <v>20</v>
      </c>
      <c r="F90" s="106"/>
      <c r="G90" s="116"/>
      <c r="H90" s="126" t="str">
        <f>IF($F90&lt;&gt;"",IFERROR(_xlfn.XLOOKUP($F90,Taxa_från_edp!$B:$B,Taxa_från_edp!C:C),""),"")</f>
        <v/>
      </c>
      <c r="I90" s="127" t="str">
        <f>IF($F90&lt;&gt;"",IFERROR(_xlfn.XLOOKUP($F90,Taxa_från_edp!$B:$B,Taxa_från_edp!G:G),""),"")</f>
        <v/>
      </c>
      <c r="J90" s="127" t="str">
        <f>IF($F90&lt;&gt;"",IFERROR(_xlfn.XLOOKUP($F90,Taxa_från_edp!$B:$B,Taxa_från_edp!K:K),""),"")</f>
        <v/>
      </c>
      <c r="K90" s="145"/>
      <c r="L90" s="146"/>
      <c r="M90" s="147" t="str">
        <f t="shared" si="6"/>
        <v/>
      </c>
      <c r="N90" s="148" t="str">
        <f t="shared" si="7"/>
        <v/>
      </c>
    </row>
    <row r="91" spans="1:14" ht="45" customHeight="1" x14ac:dyDescent="0.25">
      <c r="A91" s="68" t="s">
        <v>95</v>
      </c>
      <c r="B91" s="68" t="s">
        <v>96</v>
      </c>
      <c r="C91" s="68" t="s">
        <v>65</v>
      </c>
      <c r="D91" s="68" t="s">
        <v>59</v>
      </c>
      <c r="E91" s="68" t="s">
        <v>20</v>
      </c>
      <c r="F91" s="106"/>
      <c r="G91" s="116"/>
      <c r="H91" s="126" t="str">
        <f>IF($F91&lt;&gt;"",IFERROR(_xlfn.XLOOKUP($F91,Taxa_från_edp!$B:$B,Taxa_från_edp!C:C),""),"")</f>
        <v/>
      </c>
      <c r="I91" s="127" t="str">
        <f>IF($F91&lt;&gt;"",IFERROR(_xlfn.XLOOKUP($F91,Taxa_från_edp!$B:$B,Taxa_från_edp!G:G),""),"")</f>
        <v/>
      </c>
      <c r="J91" s="127" t="str">
        <f>IF($F91&lt;&gt;"",IFERROR(_xlfn.XLOOKUP($F91,Taxa_från_edp!$B:$B,Taxa_från_edp!K:K),""),"")</f>
        <v/>
      </c>
      <c r="K91" s="145"/>
      <c r="L91" s="146"/>
      <c r="M91" s="147" t="str">
        <f t="shared" si="6"/>
        <v/>
      </c>
      <c r="N91" s="148" t="str">
        <f t="shared" si="7"/>
        <v/>
      </c>
    </row>
    <row r="92" spans="1:14" ht="45" customHeight="1" x14ac:dyDescent="0.25">
      <c r="A92" s="68" t="s">
        <v>95</v>
      </c>
      <c r="B92" s="68" t="s">
        <v>96</v>
      </c>
      <c r="C92" s="68" t="s">
        <v>65</v>
      </c>
      <c r="D92" s="68" t="s">
        <v>35</v>
      </c>
      <c r="E92" s="68" t="s">
        <v>20</v>
      </c>
      <c r="F92" s="106"/>
      <c r="G92" s="116"/>
      <c r="H92" s="126" t="str">
        <f>IF($F92&lt;&gt;"",IFERROR(_xlfn.XLOOKUP($F92,Taxa_från_edp!$B:$B,Taxa_från_edp!C:C),""),"")</f>
        <v/>
      </c>
      <c r="I92" s="127" t="str">
        <f>IF($F92&lt;&gt;"",IFERROR(_xlfn.XLOOKUP($F92,Taxa_från_edp!$B:$B,Taxa_från_edp!G:G),""),"")</f>
        <v/>
      </c>
      <c r="J92" s="127" t="str">
        <f>IF($F92&lt;&gt;"",IFERROR(_xlfn.XLOOKUP($F92,Taxa_från_edp!$B:$B,Taxa_från_edp!K:K),""),"")</f>
        <v/>
      </c>
      <c r="K92" s="145"/>
      <c r="L92" s="146"/>
      <c r="M92" s="147" t="str">
        <f t="shared" si="6"/>
        <v/>
      </c>
      <c r="N92" s="148" t="str">
        <f t="shared" si="7"/>
        <v/>
      </c>
    </row>
    <row r="93" spans="1:14" ht="45" customHeight="1" x14ac:dyDescent="0.25">
      <c r="A93" s="68" t="s">
        <v>95</v>
      </c>
      <c r="B93" s="68" t="s">
        <v>96</v>
      </c>
      <c r="C93" s="68" t="s">
        <v>65</v>
      </c>
      <c r="D93" s="68" t="s">
        <v>37</v>
      </c>
      <c r="E93" s="68" t="s">
        <v>20</v>
      </c>
      <c r="F93" s="106"/>
      <c r="G93" s="116"/>
      <c r="H93" s="126" t="str">
        <f>IF($F93&lt;&gt;"",IFERROR(_xlfn.XLOOKUP($F93,Taxa_från_edp!$B:$B,Taxa_från_edp!C:C),""),"")</f>
        <v/>
      </c>
      <c r="I93" s="127" t="str">
        <f>IF($F93&lt;&gt;"",IFERROR(_xlfn.XLOOKUP($F93,Taxa_från_edp!$B:$B,Taxa_från_edp!G:G),""),"")</f>
        <v/>
      </c>
      <c r="J93" s="127" t="str">
        <f>IF($F93&lt;&gt;"",IFERROR(_xlfn.XLOOKUP($F93,Taxa_från_edp!$B:$B,Taxa_från_edp!K:K),""),"")</f>
        <v/>
      </c>
      <c r="K93" s="145"/>
      <c r="L93" s="146"/>
      <c r="M93" s="147" t="str">
        <f t="shared" si="6"/>
        <v/>
      </c>
      <c r="N93" s="148" t="str">
        <f t="shared" si="7"/>
        <v/>
      </c>
    </row>
    <row r="94" spans="1:14" ht="45" customHeight="1" x14ac:dyDescent="0.25">
      <c r="A94" s="68" t="s">
        <v>95</v>
      </c>
      <c r="B94" s="68" t="s">
        <v>96</v>
      </c>
      <c r="C94" s="68" t="s">
        <v>68</v>
      </c>
      <c r="D94" s="68" t="s">
        <v>59</v>
      </c>
      <c r="E94" s="68" t="s">
        <v>20</v>
      </c>
      <c r="F94" s="106"/>
      <c r="G94" s="116"/>
      <c r="H94" s="126" t="str">
        <f>IF($F94&lt;&gt;"",IFERROR(_xlfn.XLOOKUP($F94,Taxa_från_edp!$B:$B,Taxa_från_edp!C:C),""),"")</f>
        <v/>
      </c>
      <c r="I94" s="127" t="str">
        <f>IF($F94&lt;&gt;"",IFERROR(_xlfn.XLOOKUP($F94,Taxa_från_edp!$B:$B,Taxa_från_edp!G:G),""),"")</f>
        <v/>
      </c>
      <c r="J94" s="127" t="str">
        <f>IF($F94&lt;&gt;"",IFERROR(_xlfn.XLOOKUP($F94,Taxa_från_edp!$B:$B,Taxa_från_edp!K:K),""),"")</f>
        <v/>
      </c>
      <c r="K94" s="145"/>
      <c r="L94" s="146"/>
      <c r="M94" s="147" t="str">
        <f t="shared" si="6"/>
        <v/>
      </c>
      <c r="N94" s="148" t="str">
        <f t="shared" si="7"/>
        <v/>
      </c>
    </row>
    <row r="95" spans="1:14" ht="45" customHeight="1" x14ac:dyDescent="0.25">
      <c r="A95" s="68" t="s">
        <v>95</v>
      </c>
      <c r="B95" s="68" t="s">
        <v>96</v>
      </c>
      <c r="C95" s="68" t="s">
        <v>68</v>
      </c>
      <c r="D95" s="69" t="s">
        <v>35</v>
      </c>
      <c r="E95" s="68" t="s">
        <v>20</v>
      </c>
      <c r="F95" s="106"/>
      <c r="G95" s="116"/>
      <c r="H95" s="126" t="str">
        <f>IF($F95&lt;&gt;"",IFERROR(_xlfn.XLOOKUP($F95,Taxa_från_edp!$B:$B,Taxa_från_edp!C:C),""),"")</f>
        <v/>
      </c>
      <c r="I95" s="127" t="str">
        <f>IF($F95&lt;&gt;"",IFERROR(_xlfn.XLOOKUP($F95,Taxa_från_edp!$B:$B,Taxa_från_edp!G:G),""),"")</f>
        <v/>
      </c>
      <c r="J95" s="127" t="str">
        <f>IF($F95&lt;&gt;"",IFERROR(_xlfn.XLOOKUP($F95,Taxa_från_edp!$B:$B,Taxa_från_edp!K:K),""),"")</f>
        <v/>
      </c>
      <c r="K95" s="145"/>
      <c r="L95" s="146"/>
      <c r="M95" s="147" t="str">
        <f t="shared" si="6"/>
        <v/>
      </c>
      <c r="N95" s="148" t="str">
        <f t="shared" si="7"/>
        <v/>
      </c>
    </row>
    <row r="96" spans="1:14" ht="45" customHeight="1" x14ac:dyDescent="0.25">
      <c r="A96" s="68" t="s">
        <v>95</v>
      </c>
      <c r="B96" s="68" t="s">
        <v>96</v>
      </c>
      <c r="C96" s="68" t="s">
        <v>68</v>
      </c>
      <c r="D96" s="69" t="s">
        <v>37</v>
      </c>
      <c r="E96" s="68" t="s">
        <v>20</v>
      </c>
      <c r="F96" s="106"/>
      <c r="G96" s="116"/>
      <c r="H96" s="126" t="str">
        <f>IF($F96&lt;&gt;"",IFERROR(_xlfn.XLOOKUP($F96,Taxa_från_edp!$B:$B,Taxa_från_edp!C:C),""),"")</f>
        <v/>
      </c>
      <c r="I96" s="127" t="str">
        <f>IF($F96&lt;&gt;"",IFERROR(_xlfn.XLOOKUP($F96,Taxa_från_edp!$B:$B,Taxa_från_edp!G:G),""),"")</f>
        <v/>
      </c>
      <c r="J96" s="127" t="str">
        <f>IF($F96&lt;&gt;"",IFERROR(_xlfn.XLOOKUP($F96,Taxa_från_edp!$B:$B,Taxa_från_edp!K:K),""),"")</f>
        <v/>
      </c>
      <c r="K96" s="145"/>
      <c r="L96" s="146"/>
      <c r="M96" s="147" t="str">
        <f t="shared" si="6"/>
        <v/>
      </c>
      <c r="N96" s="148" t="str">
        <f t="shared" si="7"/>
        <v/>
      </c>
    </row>
    <row r="97" spans="1:14" ht="45" customHeight="1" x14ac:dyDescent="0.25">
      <c r="A97" s="68" t="s">
        <v>95</v>
      </c>
      <c r="B97" s="68" t="s">
        <v>96</v>
      </c>
      <c r="C97" s="68" t="s">
        <v>92</v>
      </c>
      <c r="D97" s="68" t="s">
        <v>79</v>
      </c>
      <c r="E97" s="68" t="s">
        <v>80</v>
      </c>
      <c r="F97" s="106"/>
      <c r="G97" s="116"/>
      <c r="H97" s="126" t="str">
        <f>IF($F97&lt;&gt;"",IFERROR(_xlfn.XLOOKUP($F97,Taxa_från_edp!$B:$B,Taxa_från_edp!C:C),""),"")</f>
        <v/>
      </c>
      <c r="I97" s="127" t="str">
        <f>IF($F97&lt;&gt;"",IFERROR(_xlfn.XLOOKUP($F97,Taxa_från_edp!$B:$B,Taxa_från_edp!G:G),""),"")</f>
        <v/>
      </c>
      <c r="J97" s="127" t="str">
        <f>IF($F97&lt;&gt;"",IFERROR(_xlfn.XLOOKUP($F97,Taxa_från_edp!$B:$B,Taxa_från_edp!K:K),""),"")</f>
        <v/>
      </c>
      <c r="K97" s="145"/>
      <c r="L97" s="146"/>
      <c r="M97" s="147" t="str">
        <f t="shared" ref="M97" si="10">IFERROR(IF(J97&lt;&gt;"",J97*1.25,IF(K97&lt;&gt;"",K97*1.25,"")),"")</f>
        <v/>
      </c>
      <c r="N97" s="148" t="str">
        <f t="shared" ref="N97" si="11">IFERROR(IF(J97&lt;&gt;"",L97*J97,IF(K97&lt;&gt;"",L97*K97,"")),"")</f>
        <v/>
      </c>
    </row>
    <row r="98" spans="1:14" ht="150" customHeight="1" x14ac:dyDescent="0.25">
      <c r="A98" s="68" t="s">
        <v>95</v>
      </c>
      <c r="B98" s="68" t="s">
        <v>96</v>
      </c>
      <c r="C98" s="68" t="s">
        <v>90</v>
      </c>
      <c r="D98" s="68" t="s">
        <v>79</v>
      </c>
      <c r="E98" s="68" t="s">
        <v>80</v>
      </c>
      <c r="F98" s="107"/>
      <c r="G98" s="117"/>
      <c r="H98" s="128" t="str">
        <f>IF($F98&lt;&gt;"",IFERROR(_xlfn.XLOOKUP($F98,Taxa_från_edp!$B:$B,Taxa_från_edp!C:C),""),"")</f>
        <v/>
      </c>
      <c r="I98" s="129" t="str">
        <f>IF($F98&lt;&gt;"",IFERROR(_xlfn.XLOOKUP($F98,Taxa_från_edp!$B:$B,Taxa_från_edp!G:G),""),"")</f>
        <v/>
      </c>
      <c r="J98" s="129" t="str">
        <f>IF($F98&lt;&gt;"",IFERROR(_xlfn.XLOOKUP($F98,Taxa_från_edp!$B:$B,Taxa_från_edp!K:K),""),"")</f>
        <v/>
      </c>
      <c r="K98" s="150"/>
      <c r="L98" s="151"/>
      <c r="M98" s="147" t="str">
        <f t="shared" si="6"/>
        <v/>
      </c>
      <c r="N98" s="148" t="str">
        <f t="shared" si="7"/>
        <v/>
      </c>
    </row>
    <row r="99" spans="1:14" ht="45" customHeight="1" x14ac:dyDescent="0.25">
      <c r="A99" s="68" t="s">
        <v>95</v>
      </c>
      <c r="B99" s="68" t="s">
        <v>96</v>
      </c>
      <c r="C99" s="68" t="s">
        <v>92</v>
      </c>
      <c r="D99" s="68" t="s">
        <v>82</v>
      </c>
      <c r="E99" s="68" t="s">
        <v>80</v>
      </c>
      <c r="F99" s="106"/>
      <c r="G99" s="116"/>
      <c r="H99" s="126" t="str">
        <f>IF($F99&lt;&gt;"",IFERROR(_xlfn.XLOOKUP($F99,Taxa_från_edp!$B:$B,Taxa_från_edp!C:C),""),"")</f>
        <v/>
      </c>
      <c r="I99" s="127" t="str">
        <f>IF($F99&lt;&gt;"",IFERROR(_xlfn.XLOOKUP($F99,Taxa_från_edp!$B:$B,Taxa_från_edp!G:G),""),"")</f>
        <v/>
      </c>
      <c r="J99" s="127" t="str">
        <f>IF($F99&lt;&gt;"",IFERROR(_xlfn.XLOOKUP($F99,Taxa_från_edp!$B:$B,Taxa_från_edp!K:K),""),"")</f>
        <v/>
      </c>
      <c r="K99" s="145"/>
      <c r="L99" s="146"/>
      <c r="M99" s="147" t="str">
        <f t="shared" si="6"/>
        <v/>
      </c>
      <c r="N99" s="148" t="str">
        <f t="shared" si="7"/>
        <v/>
      </c>
    </row>
    <row r="100" spans="1:14" ht="21.95" customHeight="1" x14ac:dyDescent="0.25">
      <c r="A100" s="83" t="s">
        <v>99</v>
      </c>
      <c r="B100" s="84"/>
      <c r="C100" s="84"/>
      <c r="D100" s="84"/>
      <c r="E100" s="85"/>
      <c r="F100" s="114"/>
      <c r="G100" s="122"/>
      <c r="H100" s="122" t="str">
        <f>IF($F100&lt;&gt;"",IFERROR(_xlfn.XLOOKUP($F100,Taxa_från_edp!$B:$B,Taxa_från_edp!C:C),""),"")</f>
        <v/>
      </c>
      <c r="I100" s="149" t="str">
        <f>IF($F100&lt;&gt;"",IFERROR(_xlfn.XLOOKUP($F100,Taxa_från_edp!$B:$B,Taxa_från_edp!G:G),""),"")</f>
        <v/>
      </c>
      <c r="J100" s="149" t="str">
        <f>IF($F100&lt;&gt;"",IFERROR(_xlfn.XLOOKUP($F100,Taxa_från_edp!$B:$B,Taxa_från_edp!K:K),""),"")</f>
        <v/>
      </c>
      <c r="K100" s="149"/>
      <c r="L100" s="149"/>
      <c r="M100" s="121" t="str">
        <f t="shared" si="6"/>
        <v/>
      </c>
      <c r="N100" s="144" t="str">
        <f t="shared" si="7"/>
        <v/>
      </c>
    </row>
    <row r="101" spans="1:14" ht="30" x14ac:dyDescent="0.25">
      <c r="A101" s="79" t="s">
        <v>100</v>
      </c>
      <c r="B101" s="79" t="s">
        <v>101</v>
      </c>
      <c r="C101" s="79" t="s">
        <v>102</v>
      </c>
      <c r="D101" s="68" t="s">
        <v>79</v>
      </c>
      <c r="E101" s="68" t="s">
        <v>80</v>
      </c>
      <c r="F101" s="108"/>
      <c r="G101" s="118"/>
      <c r="H101" s="130" t="str">
        <f>IF($F101&lt;&gt;"",IFERROR(_xlfn.XLOOKUP($F101,Taxa_från_edp!$B:$B,Taxa_från_edp!C:C),""),"")</f>
        <v/>
      </c>
      <c r="I101" s="131" t="str">
        <f>IF($F101&lt;&gt;"",IFERROR(_xlfn.XLOOKUP($F101,Taxa_från_edp!$B:$B,Taxa_från_edp!G:G),""),"")</f>
        <v/>
      </c>
      <c r="J101" s="131" t="str">
        <f>IF($F101&lt;&gt;"",IFERROR(_xlfn.XLOOKUP($F101,Taxa_från_edp!$B:$B,Taxa_från_edp!K:K),""),"")</f>
        <v/>
      </c>
      <c r="K101" s="152"/>
      <c r="L101" s="153"/>
      <c r="M101" s="154" t="str">
        <f t="shared" si="6"/>
        <v/>
      </c>
      <c r="N101" s="154" t="str">
        <f t="shared" si="7"/>
        <v/>
      </c>
    </row>
    <row r="102" spans="1:14" ht="30" customHeight="1" x14ac:dyDescent="0.25">
      <c r="A102" s="79" t="s">
        <v>100</v>
      </c>
      <c r="B102" s="79" t="s">
        <v>101</v>
      </c>
      <c r="C102" s="96" t="s">
        <v>1581</v>
      </c>
      <c r="D102" s="68" t="s">
        <v>79</v>
      </c>
      <c r="E102" s="68" t="s">
        <v>80</v>
      </c>
      <c r="F102" s="109"/>
      <c r="G102" s="119"/>
      <c r="H102" s="132" t="str">
        <f>IF($F102&lt;&gt;"",IFERROR(_xlfn.XLOOKUP($F102,Taxa_från_edp!$B:$B,Taxa_från_edp!C:C),""),"")</f>
        <v/>
      </c>
      <c r="I102" s="133" t="str">
        <f>IF($F102&lt;&gt;"",IFERROR(_xlfn.XLOOKUP($F102,Taxa_från_edp!$B:$B,Taxa_från_edp!G:G),""),"")</f>
        <v/>
      </c>
      <c r="J102" s="133" t="str">
        <f>IF($F102&lt;&gt;"",IFERROR(_xlfn.XLOOKUP($F102,Taxa_från_edp!$B:$B,Taxa_från_edp!K:K),""),"")</f>
        <v/>
      </c>
      <c r="K102" s="155"/>
      <c r="L102" s="156"/>
      <c r="M102" s="154" t="str">
        <f t="shared" ref="M102" si="12">IFERROR(IF(J102&lt;&gt;"",J102*1.25,IF(K102&lt;&gt;"",K102*1.25,"")),"")</f>
        <v/>
      </c>
      <c r="N102" s="154" t="str">
        <f t="shared" ref="N102" si="13">IFERROR(IF(J102&lt;&gt;"",L102*J102,IF(K102&lt;&gt;"",L102*K102,"")),"")</f>
        <v/>
      </c>
    </row>
    <row r="103" spans="1:14" ht="30" customHeight="1" x14ac:dyDescent="0.25">
      <c r="A103" s="79" t="s">
        <v>100</v>
      </c>
      <c r="B103" s="79" t="s">
        <v>101</v>
      </c>
      <c r="C103" s="79" t="s">
        <v>104</v>
      </c>
      <c r="D103" s="68" t="s">
        <v>79</v>
      </c>
      <c r="E103" s="68" t="s">
        <v>80</v>
      </c>
      <c r="F103" s="109"/>
      <c r="G103" s="119"/>
      <c r="H103" s="132" t="str">
        <f>IF($F103&lt;&gt;"",IFERROR(_xlfn.XLOOKUP($F103,Taxa_från_edp!$B:$B,Taxa_från_edp!C:C),""),"")</f>
        <v/>
      </c>
      <c r="I103" s="133" t="str">
        <f>IF($F103&lt;&gt;"",IFERROR(_xlfn.XLOOKUP($F103,Taxa_från_edp!$B:$B,Taxa_från_edp!G:G),""),"")</f>
        <v/>
      </c>
      <c r="J103" s="133" t="str">
        <f>IF($F103&lt;&gt;"",IFERROR(_xlfn.XLOOKUP($F103,Taxa_från_edp!$B:$B,Taxa_från_edp!K:K),""),"")</f>
        <v/>
      </c>
      <c r="K103" s="155"/>
      <c r="L103" s="156"/>
      <c r="M103" s="154" t="str">
        <f t="shared" si="6"/>
        <v/>
      </c>
      <c r="N103" s="154" t="str">
        <f t="shared" si="7"/>
        <v/>
      </c>
    </row>
    <row r="104" spans="1:14" ht="21.95" customHeight="1" x14ac:dyDescent="0.25">
      <c r="A104" s="93" t="s">
        <v>106</v>
      </c>
      <c r="B104" s="94"/>
      <c r="C104" s="94"/>
      <c r="D104" s="94"/>
      <c r="E104" s="95"/>
      <c r="F104" s="112"/>
      <c r="G104" s="120" t="str">
        <f>IF($F104&lt;&gt;"",$F104,IFERROR(_xlfn.XLOOKUP(ROW(),Taxa_Saknas!$H:$H,Taxa_Saknas!$G:$G),""))</f>
        <v/>
      </c>
      <c r="H104" s="120" t="str">
        <f>IF($F104&lt;&gt;"",IFERROR(_xlfn.XLOOKUP($F104,Taxa_från_edp!$B:$B,Taxa_från_edp!C:C),""),"")</f>
        <v/>
      </c>
      <c r="I104" s="120" t="str">
        <f>IF($F104&lt;&gt;"",IFERROR(_xlfn.XLOOKUP($F104,Taxa_från_edp!$B:$B,Taxa_från_edp!G:G),""),"")</f>
        <v/>
      </c>
      <c r="J104" s="120" t="str">
        <f>IF($F104&lt;&gt;"",IFERROR(_xlfn.XLOOKUP($F104,Taxa_från_edp!$B:$B,Taxa_från_edp!K:K),""),"")</f>
        <v/>
      </c>
      <c r="K104" s="120"/>
      <c r="L104" s="120"/>
      <c r="M104" s="120" t="str">
        <f t="shared" si="6"/>
        <v/>
      </c>
      <c r="N104" s="143" t="str">
        <f t="shared" si="7"/>
        <v/>
      </c>
    </row>
    <row r="105" spans="1:14" ht="21.95" customHeight="1" x14ac:dyDescent="0.25">
      <c r="A105" s="83" t="s">
        <v>1584</v>
      </c>
      <c r="B105" s="84"/>
      <c r="C105" s="84"/>
      <c r="D105" s="84"/>
      <c r="E105" s="85"/>
      <c r="F105" s="113"/>
      <c r="G105" s="121" t="str">
        <f>IF($F105&lt;&gt;"",$F105,IFERROR(_xlfn.XLOOKUP(ROW(),Taxa_Saknas!$H:$H,Taxa_Saknas!$G:$G),""))</f>
        <v/>
      </c>
      <c r="H105" s="121" t="str">
        <f>IF($F105&lt;&gt;"",IFERROR(_xlfn.XLOOKUP($F105,Taxa_från_edp!$B:$B,Taxa_från_edp!C:C),""),"")</f>
        <v/>
      </c>
      <c r="I105" s="121" t="str">
        <f>IF($F105&lt;&gt;"",IFERROR(_xlfn.XLOOKUP($F105,Taxa_från_edp!$B:$B,Taxa_från_edp!G:G),""),"")</f>
        <v/>
      </c>
      <c r="J105" s="121" t="str">
        <f>IF($F105&lt;&gt;"",IFERROR(_xlfn.XLOOKUP($F105,Taxa_från_edp!$B:$B,Taxa_från_edp!K:K),""),"")</f>
        <v/>
      </c>
      <c r="K105" s="121"/>
      <c r="L105" s="121"/>
      <c r="M105" s="121" t="str">
        <f t="shared" si="6"/>
        <v/>
      </c>
      <c r="N105" s="144" t="str">
        <f t="shared" si="7"/>
        <v/>
      </c>
    </row>
    <row r="106" spans="1:14" ht="30" customHeight="1" x14ac:dyDescent="0.25">
      <c r="A106" s="68" t="s">
        <v>1585</v>
      </c>
      <c r="B106" s="68" t="s">
        <v>107</v>
      </c>
      <c r="C106" s="68" t="s">
        <v>108</v>
      </c>
      <c r="D106" s="68"/>
      <c r="E106" s="68" t="s">
        <v>109</v>
      </c>
      <c r="F106" s="107" t="s">
        <v>881</v>
      </c>
      <c r="G106" s="117"/>
      <c r="H106" s="128" t="str">
        <f>IF($F106&lt;&gt;"",IFERROR(_xlfn.XLOOKUP($F106,Taxa_från_edp!$B:$B,Taxa_från_edp!C:C),""),"")</f>
        <v>Tvåfackskärl 240 liter viktavgift</v>
      </c>
      <c r="I106" s="129" t="str">
        <f>IF($F106&lt;&gt;"",IFERROR(_xlfn.XLOOKUP($F106,Taxa_från_edp!$B:$B,Taxa_från_edp!G:G),""),"")</f>
        <v>KVAN</v>
      </c>
      <c r="J106" s="129">
        <f>IF($F106&lt;&gt;"",IFERROR(_xlfn.XLOOKUP($F106,Taxa_från_edp!$B:$B,Taxa_från_edp!K:K),""),"")</f>
        <v>2.2400000000000002</v>
      </c>
      <c r="K106" s="150"/>
      <c r="L106" s="151"/>
      <c r="M106" s="147">
        <f t="shared" si="6"/>
        <v>2.8000000000000003</v>
      </c>
      <c r="N106" s="148">
        <f t="shared" si="7"/>
        <v>0</v>
      </c>
    </row>
    <row r="107" spans="1:14" ht="30" customHeight="1" x14ac:dyDescent="0.25">
      <c r="A107" s="68" t="s">
        <v>1585</v>
      </c>
      <c r="B107" s="68" t="s">
        <v>107</v>
      </c>
      <c r="C107" s="68" t="s">
        <v>110</v>
      </c>
      <c r="D107" s="68"/>
      <c r="E107" s="68" t="s">
        <v>109</v>
      </c>
      <c r="F107" s="107" t="s">
        <v>891</v>
      </c>
      <c r="G107" s="117"/>
      <c r="H107" s="128" t="str">
        <f>IF($F107&lt;&gt;"",IFERROR(_xlfn.XLOOKUP($F107,Taxa_från_edp!$B:$B,Taxa_från_edp!C:C),""),"")</f>
        <v>Tvåfackskärl, viktavgift rest</v>
      </c>
      <c r="I107" s="129" t="str">
        <f>IF($F107&lt;&gt;"",IFERROR(_xlfn.XLOOKUP($F107,Taxa_från_edp!$B:$B,Taxa_från_edp!G:G),""),"")</f>
        <v>KVAN</v>
      </c>
      <c r="J107" s="129">
        <f>IF($F107&lt;&gt;"",IFERROR(_xlfn.XLOOKUP($F107,Taxa_från_edp!$B:$B,Taxa_från_edp!K:K),""),"")</f>
        <v>4.4000000000000004</v>
      </c>
      <c r="K107" s="150"/>
      <c r="L107" s="151"/>
      <c r="M107" s="147">
        <f t="shared" si="6"/>
        <v>5.5</v>
      </c>
      <c r="N107" s="148">
        <f t="shared" si="7"/>
        <v>0</v>
      </c>
    </row>
    <row r="108" spans="1:14" ht="30" customHeight="1" x14ac:dyDescent="0.25">
      <c r="A108" s="68" t="s">
        <v>1585</v>
      </c>
      <c r="B108" s="68" t="s">
        <v>107</v>
      </c>
      <c r="C108" s="68" t="s">
        <v>1586</v>
      </c>
      <c r="D108" s="68"/>
      <c r="E108" s="68" t="s">
        <v>80</v>
      </c>
      <c r="F108" s="107"/>
      <c r="G108" s="117"/>
      <c r="H108" s="128" t="str">
        <f>IF($F108&lt;&gt;"",IFERROR(_xlfn.XLOOKUP($F108,Taxa_från_edp!$B:$B,Taxa_från_edp!C:C),""),"")</f>
        <v/>
      </c>
      <c r="I108" s="129" t="str">
        <f>IF($F108&lt;&gt;"",IFERROR(_xlfn.XLOOKUP($F108,Taxa_från_edp!$B:$B,Taxa_från_edp!G:G),""),"")</f>
        <v/>
      </c>
      <c r="J108" s="129" t="str">
        <f>IF($F108&lt;&gt;"",IFERROR(_xlfn.XLOOKUP($F108,Taxa_från_edp!$B:$B,Taxa_från_edp!K:K),""),"")</f>
        <v/>
      </c>
      <c r="K108" s="150"/>
      <c r="L108" s="151"/>
      <c r="M108" s="147" t="str">
        <f t="shared" ref="M108" si="14">IFERROR(IF(J108&lt;&gt;"",J108*1.25,IF(K108&lt;&gt;"",K108*1.25,"")),"")</f>
        <v/>
      </c>
      <c r="N108" s="148" t="str">
        <f t="shared" ref="N108" si="15">IFERROR(IF(J108&lt;&gt;"",L108*J108,IF(K108&lt;&gt;"",L108*K108,"")),"")</f>
        <v/>
      </c>
    </row>
    <row r="109" spans="1:14" ht="21.95" customHeight="1" x14ac:dyDescent="0.25">
      <c r="A109" s="93" t="s">
        <v>1587</v>
      </c>
      <c r="B109" s="94"/>
      <c r="C109" s="94"/>
      <c r="D109" s="94"/>
      <c r="E109" s="95"/>
      <c r="F109" s="112"/>
      <c r="G109" s="120" t="str">
        <f>IF($F109&lt;&gt;"",$F109,IFERROR(_xlfn.XLOOKUP(ROW(),Taxa_Saknas!$H:$H,Taxa_Saknas!$G:$G),""))</f>
        <v/>
      </c>
      <c r="H109" s="120" t="str">
        <f>IF($F109&lt;&gt;"",IFERROR(_xlfn.XLOOKUP($F109,Taxa_från_edp!$B:$B,Taxa_från_edp!C:C),""),"")</f>
        <v/>
      </c>
      <c r="I109" s="120" t="str">
        <f>IF($F109&lt;&gt;"",IFERROR(_xlfn.XLOOKUP($F109,Taxa_från_edp!$B:$B,Taxa_från_edp!G:G),""),"")</f>
        <v/>
      </c>
      <c r="J109" s="120" t="str">
        <f>IF($F109&lt;&gt;"",IFERROR(_xlfn.XLOOKUP($F109,Taxa_från_edp!$B:$B,Taxa_från_edp!K:K),""),"")</f>
        <v/>
      </c>
      <c r="K109" s="120"/>
      <c r="L109" s="120"/>
      <c r="M109" s="120" t="str">
        <f t="shared" si="6"/>
        <v/>
      </c>
      <c r="N109" s="143" t="str">
        <f t="shared" si="7"/>
        <v/>
      </c>
    </row>
    <row r="110" spans="1:14" ht="21.95" customHeight="1" x14ac:dyDescent="0.25">
      <c r="A110" s="83" t="s">
        <v>111</v>
      </c>
      <c r="B110" s="84"/>
      <c r="C110" s="84"/>
      <c r="D110" s="84"/>
      <c r="E110" s="85"/>
      <c r="F110" s="114"/>
      <c r="G110" s="122" t="str">
        <f>IF($F110&lt;&gt;"",$F110,IFERROR(_xlfn.XLOOKUP(ROW(),Taxa_Saknas!$H:$H,Taxa_Saknas!$G:$G),""))</f>
        <v/>
      </c>
      <c r="H110" s="122" t="str">
        <f>IF($F110&lt;&gt;"",IFERROR(_xlfn.XLOOKUP($F110,Taxa_från_edp!$B:$B,Taxa_från_edp!C:C),""),"")</f>
        <v/>
      </c>
      <c r="I110" s="149" t="str">
        <f>IF($F110&lt;&gt;"",IFERROR(_xlfn.XLOOKUP($F110,Taxa_från_edp!$B:$B,Taxa_från_edp!G:G),""),"")</f>
        <v/>
      </c>
      <c r="J110" s="149" t="str">
        <f>IF($F110&lt;&gt;"",IFERROR(_xlfn.XLOOKUP($F110,Taxa_från_edp!$B:$B,Taxa_från_edp!K:K),""),"")</f>
        <v/>
      </c>
      <c r="K110" s="149"/>
      <c r="L110" s="149"/>
      <c r="M110" s="121" t="str">
        <f t="shared" si="6"/>
        <v/>
      </c>
      <c r="N110" s="144" t="str">
        <f t="shared" si="7"/>
        <v/>
      </c>
    </row>
    <row r="111" spans="1:14" ht="45" customHeight="1" x14ac:dyDescent="0.25">
      <c r="A111" s="68" t="s">
        <v>112</v>
      </c>
      <c r="B111" s="68" t="s">
        <v>903</v>
      </c>
      <c r="C111" s="68" t="s">
        <v>903</v>
      </c>
      <c r="D111" s="68" t="s">
        <v>1588</v>
      </c>
      <c r="E111" s="68" t="s">
        <v>1589</v>
      </c>
      <c r="F111" s="106"/>
      <c r="G111" s="116" t="str">
        <f>IF($F111&lt;&gt;"",$F111,IFERROR(_xlfn.XLOOKUP(ROW(),Taxa_Saknas!$H:$H,Taxa_Saknas!$G:$G),""))</f>
        <v/>
      </c>
      <c r="H111" s="126" t="str">
        <f>IF($F111&lt;&gt;"",IFERROR(_xlfn.XLOOKUP($F111,Taxa_från_edp!$B:$B,Taxa_från_edp!C:C),""),"")</f>
        <v/>
      </c>
      <c r="I111" s="127" t="str">
        <f>IF($F111&lt;&gt;"",IFERROR(_xlfn.XLOOKUP($F111,Taxa_från_edp!$B:$B,Taxa_från_edp!G:G),""),"")</f>
        <v/>
      </c>
      <c r="J111" s="127" t="str">
        <f>IF($F111&lt;&gt;"",IFERROR(_xlfn.XLOOKUP($F111,Taxa_från_edp!$B:$B,Taxa_från_edp!K:K),""),"")</f>
        <v/>
      </c>
      <c r="K111" s="145"/>
      <c r="L111" s="146"/>
      <c r="M111" s="147" t="str">
        <f t="shared" ref="M111" si="16">IFERROR(IF(J111&lt;&gt;"",J111*1.25,IF(K111&lt;&gt;"",K111*1.25,"")),"")</f>
        <v/>
      </c>
      <c r="N111" s="148" t="str">
        <f t="shared" ref="N111" si="17">IFERROR(IF(J111&lt;&gt;"",L111*J111,IF(K111&lt;&gt;"",L111*K111,"")),"")</f>
        <v/>
      </c>
    </row>
    <row r="112" spans="1:14" ht="45" customHeight="1" x14ac:dyDescent="0.25">
      <c r="A112" s="68" t="s">
        <v>112</v>
      </c>
      <c r="B112" s="68" t="s">
        <v>903</v>
      </c>
      <c r="C112" s="68" t="s">
        <v>903</v>
      </c>
      <c r="D112" s="68" t="s">
        <v>1588</v>
      </c>
      <c r="E112" s="68" t="s">
        <v>1589</v>
      </c>
      <c r="F112" s="106"/>
      <c r="G112" s="116" t="str">
        <f>IF($F112&lt;&gt;"",$F112,IFERROR(_xlfn.XLOOKUP(ROW(),Taxa_Saknas!$H:$H,Taxa_Saknas!$G:$G),""))</f>
        <v/>
      </c>
      <c r="H112" s="126" t="str">
        <f>IF($F112&lt;&gt;"",IFERROR(_xlfn.XLOOKUP($F112,Taxa_från_edp!$B:$B,Taxa_från_edp!C:C),""),"")</f>
        <v/>
      </c>
      <c r="I112" s="127" t="str">
        <f>IF($F112&lt;&gt;"",IFERROR(_xlfn.XLOOKUP($F112,Taxa_från_edp!$B:$B,Taxa_från_edp!G:G),""),"")</f>
        <v/>
      </c>
      <c r="J112" s="127" t="str">
        <f>IF($F112&lt;&gt;"",IFERROR(_xlfn.XLOOKUP($F112,Taxa_från_edp!$B:$B,Taxa_från_edp!K:K),""),"")</f>
        <v/>
      </c>
      <c r="K112" s="145"/>
      <c r="L112" s="146"/>
      <c r="M112" s="147" t="str">
        <f t="shared" ref="M112" si="18">IFERROR(IF(J112&lt;&gt;"",J112*1.25,IF(K112&lt;&gt;"",K112*1.25,"")),"")</f>
        <v/>
      </c>
      <c r="N112" s="148" t="str">
        <f t="shared" ref="N112" si="19">IFERROR(IF(J112&lt;&gt;"",L112*J112,IF(K112&lt;&gt;"",L112*K112,"")),"")</f>
        <v/>
      </c>
    </row>
    <row r="113" spans="1:14" ht="21.95" customHeight="1" x14ac:dyDescent="0.25">
      <c r="A113" s="83" t="s">
        <v>113</v>
      </c>
      <c r="B113" s="84"/>
      <c r="C113" s="84"/>
      <c r="D113" s="84"/>
      <c r="E113" s="85"/>
      <c r="F113" s="114"/>
      <c r="G113" s="122" t="str">
        <f>IF($F113&lt;&gt;"",$F113,IFERROR(_xlfn.XLOOKUP(ROW(),Taxa_Saknas!$H:$H,Taxa_Saknas!$G:$G),""))</f>
        <v/>
      </c>
      <c r="H113" s="122" t="str">
        <f>IF($F113&lt;&gt;"",IFERROR(_xlfn.XLOOKUP($F113,Taxa_från_edp!$B:$B,Taxa_från_edp!C:C),""),"")</f>
        <v/>
      </c>
      <c r="I113" s="149" t="str">
        <f>IF($F113&lt;&gt;"",IFERROR(_xlfn.XLOOKUP($F113,Taxa_från_edp!$B:$B,Taxa_från_edp!G:G),""),"")</f>
        <v/>
      </c>
      <c r="J113" s="149" t="str">
        <f>IF($F113&lt;&gt;"",IFERROR(_xlfn.XLOOKUP($F113,Taxa_från_edp!$B:$B,Taxa_från_edp!K:K),""),"")</f>
        <v/>
      </c>
      <c r="K113" s="149"/>
      <c r="L113" s="149"/>
      <c r="M113" s="121" t="str">
        <f t="shared" si="6"/>
        <v/>
      </c>
      <c r="N113" s="144" t="str">
        <f t="shared" si="7"/>
        <v/>
      </c>
    </row>
    <row r="114" spans="1:14" ht="45" customHeight="1" x14ac:dyDescent="0.25">
      <c r="A114" s="68" t="s">
        <v>114</v>
      </c>
      <c r="B114" s="68" t="s">
        <v>115</v>
      </c>
      <c r="C114" s="68" t="s">
        <v>116</v>
      </c>
      <c r="D114" s="68" t="s">
        <v>117</v>
      </c>
      <c r="E114" s="68" t="s">
        <v>109</v>
      </c>
      <c r="F114" s="106"/>
      <c r="G114" s="116" t="str">
        <f>IF($F114&lt;&gt;"",$F114,IFERROR(_xlfn.XLOOKUP(ROW(),Taxa_Saknas!$H:$H,Taxa_Saknas!$G:$G),""))</f>
        <v/>
      </c>
      <c r="H114" s="126" t="str">
        <f>IF($F114&lt;&gt;"",IFERROR(_xlfn.XLOOKUP($F114,Taxa_från_edp!$B:$B,Taxa_från_edp!C:C),""),"")</f>
        <v/>
      </c>
      <c r="I114" s="127" t="str">
        <f>IF($F114&lt;&gt;"",IFERROR(_xlfn.XLOOKUP($F114,Taxa_från_edp!$B:$B,Taxa_från_edp!G:G),""),"")</f>
        <v/>
      </c>
      <c r="J114" s="127" t="str">
        <f>IF($F114&lt;&gt;"",IFERROR(_xlfn.XLOOKUP($F114,Taxa_från_edp!$B:$B,Taxa_från_edp!K:K),""),"")</f>
        <v/>
      </c>
      <c r="K114" s="145"/>
      <c r="L114" s="146"/>
      <c r="M114" s="147" t="str">
        <f t="shared" si="6"/>
        <v/>
      </c>
      <c r="N114" s="148" t="str">
        <f t="shared" si="7"/>
        <v/>
      </c>
    </row>
    <row r="115" spans="1:14" ht="45" customHeight="1" x14ac:dyDescent="0.25">
      <c r="A115" s="68" t="s">
        <v>114</v>
      </c>
      <c r="B115" s="68" t="s">
        <v>115</v>
      </c>
      <c r="C115" s="68" t="s">
        <v>1590</v>
      </c>
      <c r="D115" s="68" t="s">
        <v>117</v>
      </c>
      <c r="E115" s="68" t="s">
        <v>109</v>
      </c>
      <c r="F115" s="106"/>
      <c r="G115" s="116" t="str">
        <f>IF($F115&lt;&gt;"",$F115,IFERROR(_xlfn.XLOOKUP(ROW(),Taxa_Saknas!$H:$H,Taxa_Saknas!$G:$G),""))</f>
        <v/>
      </c>
      <c r="H115" s="126" t="str">
        <f>IF($F115&lt;&gt;"",IFERROR(_xlfn.XLOOKUP($F115,Taxa_från_edp!$B:$B,Taxa_från_edp!C:C),""),"")</f>
        <v/>
      </c>
      <c r="I115" s="127" t="str">
        <f>IF($F115&lt;&gt;"",IFERROR(_xlfn.XLOOKUP($F115,Taxa_från_edp!$B:$B,Taxa_från_edp!G:G),""),"")</f>
        <v/>
      </c>
      <c r="J115" s="127" t="str">
        <f>IF($F115&lt;&gt;"",IFERROR(_xlfn.XLOOKUP($F115,Taxa_från_edp!$B:$B,Taxa_från_edp!K:K),""),"")</f>
        <v/>
      </c>
      <c r="K115" s="145"/>
      <c r="L115" s="146"/>
      <c r="M115" s="147" t="str">
        <f t="shared" ref="M115" si="20">IFERROR(IF(J115&lt;&gt;"",J115*1.25,IF(K115&lt;&gt;"",K115*1.25,"")),"")</f>
        <v/>
      </c>
      <c r="N115" s="148" t="str">
        <f t="shared" ref="N115" si="21">IFERROR(IF(J115&lt;&gt;"",L115*J115,IF(K115&lt;&gt;"",L115*K115,"")),"")</f>
        <v/>
      </c>
    </row>
    <row r="116" spans="1:14" ht="45" customHeight="1" x14ac:dyDescent="0.25">
      <c r="A116" s="68" t="s">
        <v>114</v>
      </c>
      <c r="B116" s="68" t="s">
        <v>115</v>
      </c>
      <c r="C116" s="68" t="s">
        <v>118</v>
      </c>
      <c r="D116" s="68" t="s">
        <v>119</v>
      </c>
      <c r="E116" s="68" t="s">
        <v>109</v>
      </c>
      <c r="F116" s="106"/>
      <c r="G116" s="116" t="str">
        <f>IF($F116&lt;&gt;"",$F116,IFERROR(_xlfn.XLOOKUP(ROW(),Taxa_Saknas!$H:$H,Taxa_Saknas!$G:$G),""))</f>
        <v/>
      </c>
      <c r="H116" s="126" t="str">
        <f>IF($F116&lt;&gt;"",IFERROR(_xlfn.XLOOKUP($F116,Taxa_från_edp!$B:$B,Taxa_från_edp!C:C),""),"")</f>
        <v/>
      </c>
      <c r="I116" s="127" t="str">
        <f>IF($F116&lt;&gt;"",IFERROR(_xlfn.XLOOKUP($F116,Taxa_från_edp!$B:$B,Taxa_från_edp!G:G),""),"")</f>
        <v/>
      </c>
      <c r="J116" s="127" t="str">
        <f>IF($F116&lt;&gt;"",IFERROR(_xlfn.XLOOKUP($F116,Taxa_från_edp!$B:$B,Taxa_från_edp!K:K),""),"")</f>
        <v/>
      </c>
      <c r="K116" s="145"/>
      <c r="L116" s="146"/>
      <c r="M116" s="147" t="str">
        <f t="shared" si="6"/>
        <v/>
      </c>
      <c r="N116" s="148" t="str">
        <f t="shared" si="7"/>
        <v/>
      </c>
    </row>
    <row r="117" spans="1:14" ht="45" customHeight="1" x14ac:dyDescent="0.25">
      <c r="A117" s="68" t="s">
        <v>114</v>
      </c>
      <c r="B117" s="68" t="s">
        <v>115</v>
      </c>
      <c r="C117" s="68" t="s">
        <v>1591</v>
      </c>
      <c r="D117" s="68" t="s">
        <v>119</v>
      </c>
      <c r="E117" s="68" t="s">
        <v>109</v>
      </c>
      <c r="F117" s="106"/>
      <c r="G117" s="116" t="str">
        <f>IF($F117&lt;&gt;"",$F117,IFERROR(_xlfn.XLOOKUP(ROW(),Taxa_Saknas!$H:$H,Taxa_Saknas!$G:$G),""))</f>
        <v/>
      </c>
      <c r="H117" s="126" t="str">
        <f>IF($F117&lt;&gt;"",IFERROR(_xlfn.XLOOKUP($F117,Taxa_från_edp!$B:$B,Taxa_från_edp!C:C),""),"")</f>
        <v/>
      </c>
      <c r="I117" s="127" t="str">
        <f>IF($F117&lt;&gt;"",IFERROR(_xlfn.XLOOKUP($F117,Taxa_från_edp!$B:$B,Taxa_från_edp!G:G),""),"")</f>
        <v/>
      </c>
      <c r="J117" s="127" t="str">
        <f>IF($F117&lt;&gt;"",IFERROR(_xlfn.XLOOKUP($F117,Taxa_från_edp!$B:$B,Taxa_från_edp!K:K),""),"")</f>
        <v/>
      </c>
      <c r="K117" s="145"/>
      <c r="L117" s="146"/>
      <c r="M117" s="147" t="str">
        <f t="shared" ref="M117" si="22">IFERROR(IF(J117&lt;&gt;"",J117*1.25,IF(K117&lt;&gt;"",K117*1.25,"")),"")</f>
        <v/>
      </c>
      <c r="N117" s="148" t="str">
        <f t="shared" ref="N117" si="23">IFERROR(IF(J117&lt;&gt;"",L117*J117,IF(K117&lt;&gt;"",L117*K117,"")),"")</f>
        <v/>
      </c>
    </row>
    <row r="118" spans="1:14" ht="45" customHeight="1" x14ac:dyDescent="0.25">
      <c r="A118" s="68" t="s">
        <v>114</v>
      </c>
      <c r="B118" s="68" t="s">
        <v>115</v>
      </c>
      <c r="C118" s="68" t="s">
        <v>120</v>
      </c>
      <c r="D118" s="68" t="s">
        <v>119</v>
      </c>
      <c r="E118" s="68" t="s">
        <v>109</v>
      </c>
      <c r="F118" s="107"/>
      <c r="G118" s="117" t="str">
        <f>IF($F118&lt;&gt;"",$F118,IFERROR(_xlfn.XLOOKUP(ROW(),Taxa_Saknas!$H:$H,Taxa_Saknas!$G:$G),""))</f>
        <v/>
      </c>
      <c r="H118" s="128" t="str">
        <f>IF($F118&lt;&gt;"",IFERROR(_xlfn.XLOOKUP($F118,Taxa_från_edp!$B:$B,Taxa_från_edp!C:C),""),"")</f>
        <v/>
      </c>
      <c r="I118" s="129" t="str">
        <f>IF($F118&lt;&gt;"",IFERROR(_xlfn.XLOOKUP($F118,Taxa_från_edp!$B:$B,Taxa_från_edp!G:G),""),"")</f>
        <v/>
      </c>
      <c r="J118" s="129" t="str">
        <f>IF($F118&lt;&gt;"",IFERROR(_xlfn.XLOOKUP($F118,Taxa_från_edp!$B:$B,Taxa_från_edp!K:K),""),"")</f>
        <v/>
      </c>
      <c r="K118" s="150"/>
      <c r="L118" s="151"/>
      <c r="M118" s="147" t="str">
        <f t="shared" si="6"/>
        <v/>
      </c>
      <c r="N118" s="148" t="str">
        <f t="shared" si="7"/>
        <v/>
      </c>
    </row>
    <row r="119" spans="1:14" ht="45" customHeight="1" x14ac:dyDescent="0.25">
      <c r="A119" s="68" t="s">
        <v>114</v>
      </c>
      <c r="B119" s="68" t="s">
        <v>115</v>
      </c>
      <c r="C119" s="68" t="s">
        <v>121</v>
      </c>
      <c r="D119" s="68" t="s">
        <v>122</v>
      </c>
      <c r="E119" s="68" t="s">
        <v>109</v>
      </c>
      <c r="F119" s="106"/>
      <c r="G119" s="116" t="str">
        <f>IF($F119&lt;&gt;"",$F119,IFERROR(_xlfn.XLOOKUP(ROW(),Taxa_Saknas!$H:$H,Taxa_Saknas!$G:$G),""))</f>
        <v/>
      </c>
      <c r="H119" s="126" t="str">
        <f>IF($F119&lt;&gt;"",IFERROR(_xlfn.XLOOKUP($F119,Taxa_från_edp!$B:$B,Taxa_från_edp!C:C),""),"")</f>
        <v/>
      </c>
      <c r="I119" s="127" t="str">
        <f>IF($F119&lt;&gt;"",IFERROR(_xlfn.XLOOKUP($F119,Taxa_från_edp!$B:$B,Taxa_från_edp!G:G),""),"")</f>
        <v/>
      </c>
      <c r="J119" s="127" t="str">
        <f>IF($F119&lt;&gt;"",IFERROR(_xlfn.XLOOKUP($F119,Taxa_från_edp!$B:$B,Taxa_från_edp!K:K),""),"")</f>
        <v/>
      </c>
      <c r="K119" s="145"/>
      <c r="L119" s="146"/>
      <c r="M119" s="147" t="str">
        <f t="shared" si="6"/>
        <v/>
      </c>
      <c r="N119" s="148" t="str">
        <f t="shared" si="7"/>
        <v/>
      </c>
    </row>
    <row r="120" spans="1:14" ht="21.95" customHeight="1" x14ac:dyDescent="0.25">
      <c r="A120" s="83" t="s">
        <v>123</v>
      </c>
      <c r="B120" s="84"/>
      <c r="C120" s="84"/>
      <c r="D120" s="84"/>
      <c r="E120" s="85"/>
      <c r="F120" s="114"/>
      <c r="G120" s="122" t="str">
        <f>IF($F120&lt;&gt;"",$F120,IFERROR(_xlfn.XLOOKUP(ROW(),Taxa_Saknas!$H:$H,Taxa_Saknas!$G:$G),""))</f>
        <v/>
      </c>
      <c r="H120" s="122" t="str">
        <f>IF($F120&lt;&gt;"",IFERROR(_xlfn.XLOOKUP($F120,Taxa_från_edp!$B:$B,Taxa_från_edp!C:C),""),"")</f>
        <v/>
      </c>
      <c r="I120" s="149" t="str">
        <f>IF($F120&lt;&gt;"",IFERROR(_xlfn.XLOOKUP($F120,Taxa_från_edp!$B:$B,Taxa_från_edp!G:G),""),"")</f>
        <v/>
      </c>
      <c r="J120" s="149" t="str">
        <f>IF($F120&lt;&gt;"",IFERROR(_xlfn.XLOOKUP($F120,Taxa_från_edp!$B:$B,Taxa_från_edp!K:K),""),"")</f>
        <v/>
      </c>
      <c r="K120" s="149"/>
      <c r="L120" s="149"/>
      <c r="M120" s="121" t="str">
        <f t="shared" si="6"/>
        <v/>
      </c>
      <c r="N120" s="144" t="str">
        <f t="shared" si="7"/>
        <v/>
      </c>
    </row>
    <row r="121" spans="1:14" ht="45" customHeight="1" x14ac:dyDescent="0.25">
      <c r="A121" s="68" t="s">
        <v>124</v>
      </c>
      <c r="B121" s="68" t="s">
        <v>125</v>
      </c>
      <c r="C121" s="68" t="s">
        <v>126</v>
      </c>
      <c r="D121" s="68"/>
      <c r="E121" s="68" t="s">
        <v>127</v>
      </c>
      <c r="F121" s="107"/>
      <c r="G121" s="117" t="str">
        <f>IF($F121&lt;&gt;"",$F121,IFERROR(_xlfn.XLOOKUP(ROW(),Taxa_Saknas!$H:$H,Taxa_Saknas!$G:$G),""))</f>
        <v/>
      </c>
      <c r="H121" s="128" t="str">
        <f>IF($F121&lt;&gt;"",IFERROR(_xlfn.XLOOKUP($F121,Taxa_från_edp!$B:$B,Taxa_från_edp!C:C),""),"")</f>
        <v/>
      </c>
      <c r="I121" s="129" t="str">
        <f>IF($F121&lt;&gt;"",IFERROR(_xlfn.XLOOKUP($F121,Taxa_från_edp!$B:$B,Taxa_från_edp!G:G),""),"")</f>
        <v/>
      </c>
      <c r="J121" s="129" t="str">
        <f>IF($F121&lt;&gt;"",IFERROR(_xlfn.XLOOKUP($F121,Taxa_från_edp!$B:$B,Taxa_från_edp!K:K),""),"")</f>
        <v/>
      </c>
      <c r="K121" s="150"/>
      <c r="L121" s="151"/>
      <c r="M121" s="147" t="str">
        <f t="shared" si="6"/>
        <v/>
      </c>
      <c r="N121" s="148" t="str">
        <f t="shared" si="7"/>
        <v/>
      </c>
    </row>
    <row r="122" spans="1:14" ht="45" customHeight="1" x14ac:dyDescent="0.25">
      <c r="A122" s="68" t="s">
        <v>124</v>
      </c>
      <c r="B122" s="68" t="s">
        <v>125</v>
      </c>
      <c r="C122" s="68" t="s">
        <v>128</v>
      </c>
      <c r="D122" s="68"/>
      <c r="E122" s="68" t="s">
        <v>127</v>
      </c>
      <c r="F122" s="106"/>
      <c r="G122" s="116" t="str">
        <f>IF($F122&lt;&gt;"",$F122,IFERROR(_xlfn.XLOOKUP(ROW(),Taxa_Saknas!$H:$H,Taxa_Saknas!$G:$G),""))</f>
        <v/>
      </c>
      <c r="H122" s="126" t="str">
        <f>IF($F122&lt;&gt;"",IFERROR(_xlfn.XLOOKUP($F122,Taxa_från_edp!$B:$B,Taxa_från_edp!C:C),""),"")</f>
        <v/>
      </c>
      <c r="I122" s="127" t="str">
        <f>IF($F122&lt;&gt;"",IFERROR(_xlfn.XLOOKUP($F122,Taxa_från_edp!$B:$B,Taxa_från_edp!G:G),""),"")</f>
        <v/>
      </c>
      <c r="J122" s="127" t="str">
        <f>IF($F122&lt;&gt;"",IFERROR(_xlfn.XLOOKUP($F122,Taxa_från_edp!$B:$B,Taxa_från_edp!K:K),""),"")</f>
        <v/>
      </c>
      <c r="K122" s="145"/>
      <c r="L122" s="146"/>
      <c r="M122" s="147" t="str">
        <f t="shared" si="6"/>
        <v/>
      </c>
      <c r="N122" s="148" t="str">
        <f t="shared" si="7"/>
        <v/>
      </c>
    </row>
    <row r="123" spans="1:14" ht="21.95" customHeight="1" x14ac:dyDescent="0.25">
      <c r="A123" s="83" t="s">
        <v>129</v>
      </c>
      <c r="B123" s="84"/>
      <c r="C123" s="84"/>
      <c r="D123" s="84"/>
      <c r="E123" s="85"/>
      <c r="F123" s="114"/>
      <c r="G123" s="122" t="str">
        <f>IF($F123&lt;&gt;"",$F123,IFERROR(_xlfn.XLOOKUP(ROW(),Taxa_Saknas!$H:$H,Taxa_Saknas!$G:$G),""))</f>
        <v/>
      </c>
      <c r="H123" s="122" t="str">
        <f>IF($F123&lt;&gt;"",IFERROR(_xlfn.XLOOKUP($F123,Taxa_från_edp!$B:$B,Taxa_från_edp!C:C),""),"")</f>
        <v/>
      </c>
      <c r="I123" s="149" t="str">
        <f>IF($F123&lt;&gt;"",IFERROR(_xlfn.XLOOKUP($F123,Taxa_från_edp!$B:$B,Taxa_från_edp!G:G),""),"")</f>
        <v/>
      </c>
      <c r="J123" s="149" t="str">
        <f>IF($F123&lt;&gt;"",IFERROR(_xlfn.XLOOKUP($F123,Taxa_från_edp!$B:$B,Taxa_från_edp!K:K),""),"")</f>
        <v/>
      </c>
      <c r="K123" s="149"/>
      <c r="L123" s="149"/>
      <c r="M123" s="121" t="str">
        <f t="shared" si="6"/>
        <v/>
      </c>
      <c r="N123" s="144" t="str">
        <f t="shared" si="7"/>
        <v/>
      </c>
    </row>
    <row r="124" spans="1:14" ht="45" customHeight="1" x14ac:dyDescent="0.25">
      <c r="A124" s="68" t="s">
        <v>130</v>
      </c>
      <c r="B124" s="68" t="s">
        <v>131</v>
      </c>
      <c r="C124" s="68" t="s">
        <v>132</v>
      </c>
      <c r="D124" s="68"/>
      <c r="E124" s="68" t="s">
        <v>133</v>
      </c>
      <c r="F124" s="106"/>
      <c r="G124" s="116" t="str">
        <f>IF($F124&lt;&gt;"",$F124,IFERROR(_xlfn.XLOOKUP(ROW(),Taxa_Saknas!$H:$H,Taxa_Saknas!$G:$G),""))</f>
        <v/>
      </c>
      <c r="H124" s="126" t="str">
        <f>IF($F124&lt;&gt;"",IFERROR(_xlfn.XLOOKUP($F124,Taxa_från_edp!$B:$B,Taxa_från_edp!C:C),""),"")</f>
        <v/>
      </c>
      <c r="I124" s="127" t="str">
        <f>IF($F124&lt;&gt;"",IFERROR(_xlfn.XLOOKUP($F124,Taxa_från_edp!$B:$B,Taxa_från_edp!G:G),""),"")</f>
        <v/>
      </c>
      <c r="J124" s="127" t="str">
        <f>IF($F124&lt;&gt;"",IFERROR(_xlfn.XLOOKUP($F124,Taxa_från_edp!$B:$B,Taxa_från_edp!K:K),""),"")</f>
        <v/>
      </c>
      <c r="K124" s="145"/>
      <c r="L124" s="146"/>
      <c r="M124" s="147" t="str">
        <f t="shared" si="6"/>
        <v/>
      </c>
      <c r="N124" s="148" t="str">
        <f t="shared" si="7"/>
        <v/>
      </c>
    </row>
    <row r="125" spans="1:14" ht="45" customHeight="1" x14ac:dyDescent="0.25">
      <c r="A125" s="68" t="s">
        <v>130</v>
      </c>
      <c r="B125" s="68" t="s">
        <v>131</v>
      </c>
      <c r="C125" s="68" t="s">
        <v>1592</v>
      </c>
      <c r="D125" s="68"/>
      <c r="E125" s="68" t="s">
        <v>133</v>
      </c>
      <c r="F125" s="106"/>
      <c r="G125" s="116" t="str">
        <f>IF($F125&lt;&gt;"",$F125,IFERROR(_xlfn.XLOOKUP(ROW(),Taxa_Saknas!$H:$H,Taxa_Saknas!$G:$G),""))</f>
        <v/>
      </c>
      <c r="H125" s="126" t="str">
        <f>IF($F125&lt;&gt;"",IFERROR(_xlfn.XLOOKUP($F125,Taxa_från_edp!$B:$B,Taxa_från_edp!C:C),""),"")</f>
        <v/>
      </c>
      <c r="I125" s="127" t="str">
        <f>IF($F125&lt;&gt;"",IFERROR(_xlfn.XLOOKUP($F125,Taxa_från_edp!$B:$B,Taxa_från_edp!G:G),""),"")</f>
        <v/>
      </c>
      <c r="J125" s="127" t="str">
        <f>IF($F125&lt;&gt;"",IFERROR(_xlfn.XLOOKUP($F125,Taxa_från_edp!$B:$B,Taxa_från_edp!K:K),""),"")</f>
        <v/>
      </c>
      <c r="K125" s="145"/>
      <c r="L125" s="146"/>
      <c r="M125" s="147" t="str">
        <f t="shared" ref="M125" si="24">IFERROR(IF(J125&lt;&gt;"",J125*1.25,IF(K125&lt;&gt;"",K125*1.25,"")),"")</f>
        <v/>
      </c>
      <c r="N125" s="148" t="str">
        <f t="shared" ref="N125" si="25">IFERROR(IF(J125&lt;&gt;"",L125*J125,IF(K125&lt;&gt;"",L125*K125,"")),"")</f>
        <v/>
      </c>
    </row>
    <row r="126" spans="1:14" ht="21.95" customHeight="1" x14ac:dyDescent="0.25">
      <c r="A126" s="83" t="s">
        <v>134</v>
      </c>
      <c r="B126" s="84"/>
      <c r="C126" s="84"/>
      <c r="D126" s="84"/>
      <c r="E126" s="85"/>
      <c r="F126" s="114"/>
      <c r="G126" s="122" t="str">
        <f>IF($F126&lt;&gt;"",$F126,IFERROR(_xlfn.XLOOKUP(ROW(),Taxa_Saknas!$H:$H,Taxa_Saknas!$G:$G),""))</f>
        <v/>
      </c>
      <c r="H126" s="122" t="str">
        <f>IF($F126&lt;&gt;"",IFERROR(_xlfn.XLOOKUP($F126,Taxa_från_edp!$B:$B,Taxa_från_edp!C:C),""),"")</f>
        <v/>
      </c>
      <c r="I126" s="149" t="str">
        <f>IF($F126&lt;&gt;"",IFERROR(_xlfn.XLOOKUP($F126,Taxa_från_edp!$B:$B,Taxa_från_edp!G:G),""),"")</f>
        <v/>
      </c>
      <c r="J126" s="149" t="str">
        <f>IF($F126&lt;&gt;"",IFERROR(_xlfn.XLOOKUP($F126,Taxa_från_edp!$B:$B,Taxa_från_edp!K:K),""),"")</f>
        <v/>
      </c>
      <c r="K126" s="149"/>
      <c r="L126" s="149"/>
      <c r="M126" s="121" t="str">
        <f t="shared" si="6"/>
        <v/>
      </c>
      <c r="N126" s="144" t="str">
        <f t="shared" si="7"/>
        <v/>
      </c>
    </row>
    <row r="127" spans="1:14" ht="45" customHeight="1" x14ac:dyDescent="0.25">
      <c r="A127" s="68" t="s">
        <v>135</v>
      </c>
      <c r="B127" s="68" t="s">
        <v>136</v>
      </c>
      <c r="C127" s="68" t="s">
        <v>137</v>
      </c>
      <c r="D127" s="68" t="s">
        <v>138</v>
      </c>
      <c r="E127" s="68" t="s">
        <v>133</v>
      </c>
      <c r="F127" s="107"/>
      <c r="G127" s="117" t="str">
        <f>IF($F127&lt;&gt;"",$F127,IFERROR(_xlfn.XLOOKUP(ROW(),Taxa_Saknas!$H:$H,Taxa_Saknas!$G:$G),""))</f>
        <v/>
      </c>
      <c r="H127" s="128" t="str">
        <f>IF($F127&lt;&gt;"",IFERROR(_xlfn.XLOOKUP($F127,Taxa_från_edp!$B:$B,Taxa_från_edp!C:C),""),"")</f>
        <v/>
      </c>
      <c r="I127" s="129" t="str">
        <f>IF($F127&lt;&gt;"",IFERROR(_xlfn.XLOOKUP($F127,Taxa_från_edp!$B:$B,Taxa_från_edp!G:G),""),"")</f>
        <v/>
      </c>
      <c r="J127" s="129" t="str">
        <f>IF($F127&lt;&gt;"",IFERROR(_xlfn.XLOOKUP($F127,Taxa_från_edp!$B:$B,Taxa_från_edp!K:K),""),"")</f>
        <v/>
      </c>
      <c r="K127" s="150"/>
      <c r="L127" s="151"/>
      <c r="M127" s="147" t="str">
        <f t="shared" si="6"/>
        <v/>
      </c>
      <c r="N127" s="148" t="str">
        <f t="shared" si="7"/>
        <v/>
      </c>
    </row>
    <row r="128" spans="1:14" ht="45" customHeight="1" x14ac:dyDescent="0.25">
      <c r="A128" s="68" t="s">
        <v>135</v>
      </c>
      <c r="B128" s="68" t="s">
        <v>136</v>
      </c>
      <c r="C128" s="68" t="s">
        <v>137</v>
      </c>
      <c r="D128" s="68" t="s">
        <v>139</v>
      </c>
      <c r="E128" s="68" t="s">
        <v>133</v>
      </c>
      <c r="F128" s="107"/>
      <c r="G128" s="117" t="str">
        <f>IF($F128&lt;&gt;"",$F128,IFERROR(_xlfn.XLOOKUP(ROW(),Taxa_Saknas!$H:$H,Taxa_Saknas!$G:$G),""))</f>
        <v/>
      </c>
      <c r="H128" s="128" t="str">
        <f>IF($F128&lt;&gt;"",IFERROR(_xlfn.XLOOKUP($F128,Taxa_från_edp!$B:$B,Taxa_från_edp!C:C),""),"")</f>
        <v/>
      </c>
      <c r="I128" s="129" t="str">
        <f>IF($F128&lt;&gt;"",IFERROR(_xlfn.XLOOKUP($F128,Taxa_från_edp!$B:$B,Taxa_från_edp!G:G),""),"")</f>
        <v/>
      </c>
      <c r="J128" s="129" t="str">
        <f>IF($F128&lt;&gt;"",IFERROR(_xlfn.XLOOKUP($F128,Taxa_från_edp!$B:$B,Taxa_från_edp!K:K),""),"")</f>
        <v/>
      </c>
      <c r="K128" s="150"/>
      <c r="L128" s="151"/>
      <c r="M128" s="147" t="str">
        <f t="shared" ref="M128:M186" si="26">IFERROR(IF(J128&lt;&gt;"",J128*1.25,IF(K128&lt;&gt;"",K128*1.25,"")),"")</f>
        <v/>
      </c>
      <c r="N128" s="148" t="str">
        <f t="shared" ref="N128:N186" si="27">IFERROR(IF(J128&lt;&gt;"",L128*J128,IF(K128&lt;&gt;"",L128*K128,"")),"")</f>
        <v/>
      </c>
    </row>
    <row r="129" spans="1:14" ht="45" customHeight="1" x14ac:dyDescent="0.25">
      <c r="A129" s="68" t="s">
        <v>135</v>
      </c>
      <c r="B129" s="68" t="s">
        <v>136</v>
      </c>
      <c r="C129" s="68" t="s">
        <v>140</v>
      </c>
      <c r="D129" s="68"/>
      <c r="E129" s="68" t="s">
        <v>133</v>
      </c>
      <c r="F129" s="106"/>
      <c r="G129" s="116" t="str">
        <f>IF($F129&lt;&gt;"",$F129,IFERROR(_xlfn.XLOOKUP(ROW(),Taxa_Saknas!$H:$H,Taxa_Saknas!$G:$G),""))</f>
        <v/>
      </c>
      <c r="H129" s="126" t="str">
        <f>IF($F129&lt;&gt;"",IFERROR(_xlfn.XLOOKUP($F129,Taxa_från_edp!$B:$B,Taxa_från_edp!C:C),""),"")</f>
        <v/>
      </c>
      <c r="I129" s="127" t="str">
        <f>IF($F129&lt;&gt;"",IFERROR(_xlfn.XLOOKUP($F129,Taxa_från_edp!$B:$B,Taxa_från_edp!G:G),""),"")</f>
        <v/>
      </c>
      <c r="J129" s="127" t="str">
        <f>IF($F129&lt;&gt;"",IFERROR(_xlfn.XLOOKUP($F129,Taxa_från_edp!$B:$B,Taxa_från_edp!K:K),""),"")</f>
        <v/>
      </c>
      <c r="K129" s="145"/>
      <c r="L129" s="146"/>
      <c r="M129" s="147" t="str">
        <f t="shared" si="26"/>
        <v/>
      </c>
      <c r="N129" s="148" t="str">
        <f t="shared" si="27"/>
        <v/>
      </c>
    </row>
    <row r="130" spans="1:14" ht="21.95" customHeight="1" x14ac:dyDescent="0.25">
      <c r="A130" s="83" t="s">
        <v>141</v>
      </c>
      <c r="B130" s="84"/>
      <c r="C130" s="84"/>
      <c r="D130" s="84"/>
      <c r="E130" s="85"/>
      <c r="F130" s="114"/>
      <c r="G130" s="122" t="str">
        <f>IF($F130&lt;&gt;"",$F130,IFERROR(_xlfn.XLOOKUP(ROW(),Taxa_Saknas!$H:$H,Taxa_Saknas!$G:$G),""))</f>
        <v/>
      </c>
      <c r="H130" s="122" t="str">
        <f>IF($F130&lt;&gt;"",IFERROR(_xlfn.XLOOKUP($F130,Taxa_från_edp!$B:$B,Taxa_från_edp!C:C),""),"")</f>
        <v/>
      </c>
      <c r="I130" s="149" t="str">
        <f>IF($F130&lt;&gt;"",IFERROR(_xlfn.XLOOKUP($F130,Taxa_från_edp!$B:$B,Taxa_från_edp!G:G),""),"")</f>
        <v/>
      </c>
      <c r="J130" s="149" t="str">
        <f>IF($F130&lt;&gt;"",IFERROR(_xlfn.XLOOKUP($F130,Taxa_från_edp!$B:$B,Taxa_från_edp!K:K),""),"")</f>
        <v/>
      </c>
      <c r="K130" s="149"/>
      <c r="L130" s="149"/>
      <c r="M130" s="121" t="str">
        <f t="shared" si="26"/>
        <v/>
      </c>
      <c r="N130" s="144" t="str">
        <f t="shared" si="27"/>
        <v/>
      </c>
    </row>
    <row r="131" spans="1:14" ht="45" customHeight="1" x14ac:dyDescent="0.25">
      <c r="A131" s="68" t="s">
        <v>142</v>
      </c>
      <c r="B131" s="68" t="s">
        <v>143</v>
      </c>
      <c r="C131" s="68" t="s">
        <v>144</v>
      </c>
      <c r="D131" s="68"/>
      <c r="E131" s="68" t="s">
        <v>54</v>
      </c>
      <c r="F131" s="107" t="s">
        <v>428</v>
      </c>
      <c r="G131" s="117" t="str">
        <f>IF($F131&lt;&gt;"",$F131,IFERROR(_xlfn.XLOOKUP(ROW(),Taxa_Saknas!$H:$H,Taxa_Saknas!$G:$G),""))</f>
        <v>FELSORT</v>
      </c>
      <c r="H131" s="128" t="str">
        <f>IF($F131&lt;&gt;"",IFERROR(_xlfn.XLOOKUP($F131,Taxa_från_edp!$B:$B,Taxa_från_edp!C:C),""),"")</f>
        <v>Felsorteringsavgift, pris per tillfälle och kärl</v>
      </c>
      <c r="I131" s="129" t="str">
        <f>IF($F131&lt;&gt;"",IFERROR(_xlfn.XLOOKUP($F131,Taxa_från_edp!$B:$B,Taxa_från_edp!G:G),""),"")</f>
        <v>KVAN</v>
      </c>
      <c r="J131" s="129">
        <f>IF($F131&lt;&gt;"",IFERROR(_xlfn.XLOOKUP($F131,Taxa_från_edp!$B:$B,Taxa_från_edp!K:K),""),"")</f>
        <v>400</v>
      </c>
      <c r="K131" s="150"/>
      <c r="L131" s="151"/>
      <c r="M131" s="147">
        <f t="shared" si="26"/>
        <v>500</v>
      </c>
      <c r="N131" s="148">
        <f t="shared" si="27"/>
        <v>0</v>
      </c>
    </row>
    <row r="132" spans="1:14" ht="45" customHeight="1" x14ac:dyDescent="0.25">
      <c r="A132" s="68" t="s">
        <v>142</v>
      </c>
      <c r="B132" s="68" t="s">
        <v>143</v>
      </c>
      <c r="C132" s="68" t="s">
        <v>145</v>
      </c>
      <c r="D132" s="68"/>
      <c r="E132" s="68" t="s">
        <v>54</v>
      </c>
      <c r="F132" s="106" t="s">
        <v>428</v>
      </c>
      <c r="G132" s="116" t="str">
        <f>IF($F132&lt;&gt;"",$F132,IFERROR(_xlfn.XLOOKUP(ROW(),Taxa_Saknas!$H:$H,Taxa_Saknas!$G:$G),""))</f>
        <v>FELSORT</v>
      </c>
      <c r="H132" s="126" t="str">
        <f>IF($F132&lt;&gt;"",IFERROR(_xlfn.XLOOKUP($F132,Taxa_från_edp!$B:$B,Taxa_från_edp!C:C),""),"")</f>
        <v>Felsorteringsavgift, pris per tillfälle och kärl</v>
      </c>
      <c r="I132" s="127" t="str">
        <f>IF($F132&lt;&gt;"",IFERROR(_xlfn.XLOOKUP($F132,Taxa_från_edp!$B:$B,Taxa_från_edp!G:G),""),"")</f>
        <v>KVAN</v>
      </c>
      <c r="J132" s="127">
        <f>IF($F132&lt;&gt;"",IFERROR(_xlfn.XLOOKUP($F132,Taxa_från_edp!$B:$B,Taxa_från_edp!K:K),""),"")</f>
        <v>400</v>
      </c>
      <c r="K132" s="145"/>
      <c r="L132" s="146"/>
      <c r="M132" s="147">
        <f t="shared" si="26"/>
        <v>500</v>
      </c>
      <c r="N132" s="148">
        <f t="shared" si="27"/>
        <v>0</v>
      </c>
    </row>
    <row r="133" spans="1:14" ht="21.95" customHeight="1" x14ac:dyDescent="0.25">
      <c r="A133" s="83" t="s">
        <v>146</v>
      </c>
      <c r="B133" s="84"/>
      <c r="C133" s="84"/>
      <c r="D133" s="84"/>
      <c r="E133" s="85"/>
      <c r="F133" s="114"/>
      <c r="G133" s="122" t="str">
        <f>IF($F133&lt;&gt;"",$F133,IFERROR(_xlfn.XLOOKUP(ROW(),Taxa_Saknas!$H:$H,Taxa_Saknas!$G:$G),""))</f>
        <v/>
      </c>
      <c r="H133" s="122" t="str">
        <f>IF($F133&lt;&gt;"",IFERROR(_xlfn.XLOOKUP($F133,Taxa_från_edp!$B:$B,Taxa_från_edp!C:C),""),"")</f>
        <v/>
      </c>
      <c r="I133" s="149" t="str">
        <f>IF($F133&lt;&gt;"",IFERROR(_xlfn.XLOOKUP($F133,Taxa_från_edp!$B:$B,Taxa_från_edp!G:G),""),"")</f>
        <v/>
      </c>
      <c r="J133" s="149" t="str">
        <f>IF($F133&lt;&gt;"",IFERROR(_xlfn.XLOOKUP($F133,Taxa_från_edp!$B:$B,Taxa_från_edp!K:K),""),"")</f>
        <v/>
      </c>
      <c r="K133" s="149"/>
      <c r="L133" s="149"/>
      <c r="M133" s="121" t="str">
        <f t="shared" si="26"/>
        <v/>
      </c>
      <c r="N133" s="144" t="str">
        <f t="shared" si="27"/>
        <v/>
      </c>
    </row>
    <row r="134" spans="1:14" x14ac:dyDescent="0.25">
      <c r="A134" s="68" t="s">
        <v>147</v>
      </c>
      <c r="B134" s="68" t="s">
        <v>148</v>
      </c>
      <c r="C134" s="68" t="s">
        <v>149</v>
      </c>
      <c r="D134" s="68" t="s">
        <v>278</v>
      </c>
      <c r="E134" s="68" t="s">
        <v>20</v>
      </c>
      <c r="F134" s="106"/>
      <c r="G134" s="116" t="str">
        <f>IF($F134&lt;&gt;"",$F134,IFERROR(_xlfn.XLOOKUP(ROW(),Taxa_Saknas!$H:$H,Taxa_Saknas!$G:$G),""))</f>
        <v/>
      </c>
      <c r="H134" s="126" t="str">
        <f>IF($F134&lt;&gt;"",IFERROR(_xlfn.XLOOKUP($F134,Taxa_från_edp!$B:$B,Taxa_från_edp!C:C),""),"")</f>
        <v/>
      </c>
      <c r="I134" s="127" t="str">
        <f>IF($F134&lt;&gt;"",IFERROR(_xlfn.XLOOKUP($F134,Taxa_från_edp!$B:$B,Taxa_från_edp!G:G),""),"")</f>
        <v/>
      </c>
      <c r="J134" s="127" t="str">
        <f>IF($F134&lt;&gt;"",IFERROR(_xlfn.XLOOKUP($F134,Taxa_från_edp!$B:$B,Taxa_från_edp!K:K),""),"")</f>
        <v/>
      </c>
      <c r="K134" s="145"/>
      <c r="L134" s="146"/>
      <c r="M134" s="147" t="str">
        <f t="shared" ref="M134" si="28">IFERROR(IF(J134&lt;&gt;"",J134*1.25,IF(K134&lt;&gt;"",K134*1.25,"")),"")</f>
        <v/>
      </c>
      <c r="N134" s="148" t="str">
        <f t="shared" ref="N134" si="29">IFERROR(IF(J134&lt;&gt;"",L134*J134,IF(K134&lt;&gt;"",L134*K134,"")),"")</f>
        <v/>
      </c>
    </row>
    <row r="135" spans="1:14" x14ac:dyDescent="0.25">
      <c r="A135" s="68" t="s">
        <v>147</v>
      </c>
      <c r="B135" s="68" t="s">
        <v>148</v>
      </c>
      <c r="C135" s="68" t="s">
        <v>149</v>
      </c>
      <c r="D135" s="68" t="s">
        <v>150</v>
      </c>
      <c r="E135" s="68" t="s">
        <v>20</v>
      </c>
      <c r="F135" s="106"/>
      <c r="G135" s="116" t="str">
        <f>IF($F135&lt;&gt;"",$F135,IFERROR(_xlfn.XLOOKUP(ROW(),Taxa_Saknas!$H:$H,Taxa_Saknas!$G:$G),""))</f>
        <v/>
      </c>
      <c r="H135" s="126" t="str">
        <f>IF($F135&lt;&gt;"",IFERROR(_xlfn.XLOOKUP($F135,Taxa_från_edp!$B:$B,Taxa_från_edp!C:C),""),"")</f>
        <v/>
      </c>
      <c r="I135" s="127" t="str">
        <f>IF($F135&lt;&gt;"",IFERROR(_xlfn.XLOOKUP($F135,Taxa_från_edp!$B:$B,Taxa_från_edp!G:G),""),"")</f>
        <v/>
      </c>
      <c r="J135" s="127" t="str">
        <f>IF($F135&lt;&gt;"",IFERROR(_xlfn.XLOOKUP($F135,Taxa_från_edp!$B:$B,Taxa_från_edp!K:K),""),"")</f>
        <v/>
      </c>
      <c r="K135" s="145"/>
      <c r="L135" s="146"/>
      <c r="M135" s="147" t="str">
        <f t="shared" si="26"/>
        <v/>
      </c>
      <c r="N135" s="148" t="str">
        <f t="shared" si="27"/>
        <v/>
      </c>
    </row>
    <row r="136" spans="1:14" x14ac:dyDescent="0.25">
      <c r="A136" s="68" t="s">
        <v>147</v>
      </c>
      <c r="B136" s="68" t="s">
        <v>148</v>
      </c>
      <c r="C136" s="68" t="s">
        <v>149</v>
      </c>
      <c r="D136" s="68" t="s">
        <v>151</v>
      </c>
      <c r="E136" s="68" t="s">
        <v>20</v>
      </c>
      <c r="F136" s="107"/>
      <c r="G136" s="117" t="str">
        <f>IF($F136&lt;&gt;"",$F136,IFERROR(_xlfn.XLOOKUP(ROW(),Taxa_Saknas!$H:$H,Taxa_Saknas!$G:$G),""))</f>
        <v/>
      </c>
      <c r="H136" s="128" t="str">
        <f>IF($F136&lt;&gt;"",IFERROR(_xlfn.XLOOKUP($F136,Taxa_från_edp!$B:$B,Taxa_från_edp!C:C),""),"")</f>
        <v/>
      </c>
      <c r="I136" s="129" t="str">
        <f>IF($F136&lt;&gt;"",IFERROR(_xlfn.XLOOKUP($F136,Taxa_från_edp!$B:$B,Taxa_från_edp!G:G),""),"")</f>
        <v/>
      </c>
      <c r="J136" s="129" t="str">
        <f>IF($F136&lt;&gt;"",IFERROR(_xlfn.XLOOKUP($F136,Taxa_från_edp!$B:$B,Taxa_från_edp!K:K),""),"")</f>
        <v/>
      </c>
      <c r="K136" s="150"/>
      <c r="L136" s="151"/>
      <c r="M136" s="147" t="str">
        <f t="shared" si="26"/>
        <v/>
      </c>
      <c r="N136" s="148" t="str">
        <f t="shared" si="27"/>
        <v/>
      </c>
    </row>
    <row r="137" spans="1:14" s="92" customFormat="1" x14ac:dyDescent="0.25">
      <c r="A137" s="68" t="s">
        <v>147</v>
      </c>
      <c r="B137" s="68" t="s">
        <v>148</v>
      </c>
      <c r="C137" s="68" t="s">
        <v>1593</v>
      </c>
      <c r="D137" s="68"/>
      <c r="E137" s="68" t="s">
        <v>20</v>
      </c>
      <c r="F137" s="107"/>
      <c r="G137" s="117"/>
      <c r="H137" s="128"/>
      <c r="I137" s="129"/>
      <c r="J137" s="129"/>
      <c r="K137" s="150"/>
      <c r="L137" s="151"/>
      <c r="M137" s="147"/>
      <c r="N137" s="148"/>
    </row>
    <row r="138" spans="1:14" x14ac:dyDescent="0.25">
      <c r="A138" s="68" t="s">
        <v>147</v>
      </c>
      <c r="B138" s="68" t="s">
        <v>148</v>
      </c>
      <c r="C138" s="68" t="s">
        <v>152</v>
      </c>
      <c r="D138" s="68"/>
      <c r="E138" s="68" t="s">
        <v>20</v>
      </c>
      <c r="F138" s="106"/>
      <c r="G138" s="116" t="str">
        <f>IF($F138&lt;&gt;"",$F138,IFERROR(_xlfn.XLOOKUP(ROW(),Taxa_Saknas!$H:$H,Taxa_Saknas!$G:$G),""))</f>
        <v/>
      </c>
      <c r="H138" s="126" t="str">
        <f>IF($F138&lt;&gt;"",IFERROR(_xlfn.XLOOKUP($F138,Taxa_från_edp!$B:$B,Taxa_från_edp!C:C),""),"")</f>
        <v/>
      </c>
      <c r="I138" s="127" t="str">
        <f>IF($F138&lt;&gt;"",IFERROR(_xlfn.XLOOKUP($F138,Taxa_från_edp!$B:$B,Taxa_från_edp!G:G),""),"")</f>
        <v/>
      </c>
      <c r="J138" s="127" t="str">
        <f>IF($F138&lt;&gt;"",IFERROR(_xlfn.XLOOKUP($F138,Taxa_från_edp!$B:$B,Taxa_från_edp!K:K),""),"")</f>
        <v/>
      </c>
      <c r="K138" s="145"/>
      <c r="L138" s="146"/>
      <c r="M138" s="147" t="str">
        <f t="shared" si="26"/>
        <v/>
      </c>
      <c r="N138" s="148" t="str">
        <f t="shared" si="27"/>
        <v/>
      </c>
    </row>
    <row r="139" spans="1:14" ht="21.95" customHeight="1" x14ac:dyDescent="0.25">
      <c r="A139" s="83" t="s">
        <v>153</v>
      </c>
      <c r="B139" s="84"/>
      <c r="C139" s="84"/>
      <c r="D139" s="84"/>
      <c r="E139" s="85"/>
      <c r="F139" s="114"/>
      <c r="G139" s="122" t="str">
        <f>IF($F139&lt;&gt;"",$F139,IFERROR(_xlfn.XLOOKUP(ROW(),Taxa_Saknas!$H:$H,Taxa_Saknas!$G:$G),""))</f>
        <v/>
      </c>
      <c r="H139" s="122" t="str">
        <f>IF($F139&lt;&gt;"",IFERROR(_xlfn.XLOOKUP($F139,Taxa_från_edp!$B:$B,Taxa_från_edp!C:C),""),"")</f>
        <v/>
      </c>
      <c r="I139" s="149" t="str">
        <f>IF($F139&lt;&gt;"",IFERROR(_xlfn.XLOOKUP($F139,Taxa_från_edp!$B:$B,Taxa_från_edp!G:G),""),"")</f>
        <v/>
      </c>
      <c r="J139" s="149" t="str">
        <f>IF($F139&lt;&gt;"",IFERROR(_xlfn.XLOOKUP($F139,Taxa_från_edp!$B:$B,Taxa_från_edp!K:K),""),"")</f>
        <v/>
      </c>
      <c r="K139" s="149"/>
      <c r="L139" s="149"/>
      <c r="M139" s="121" t="str">
        <f t="shared" si="26"/>
        <v/>
      </c>
      <c r="N139" s="144" t="str">
        <f t="shared" si="27"/>
        <v/>
      </c>
    </row>
    <row r="140" spans="1:14" x14ac:dyDescent="0.25">
      <c r="A140" s="68" t="s">
        <v>154</v>
      </c>
      <c r="B140" s="68" t="s">
        <v>155</v>
      </c>
      <c r="C140" s="68" t="s">
        <v>156</v>
      </c>
      <c r="D140" s="68"/>
      <c r="E140" s="68" t="s">
        <v>157</v>
      </c>
      <c r="F140" s="106"/>
      <c r="G140" s="116" t="str">
        <f>IF($F140&lt;&gt;"",$F140,IFERROR(_xlfn.XLOOKUP(ROW(),Taxa_Saknas!$H:$H,Taxa_Saknas!$G:$G),""))</f>
        <v/>
      </c>
      <c r="H140" s="126" t="str">
        <f>IF($F140&lt;&gt;"",IFERROR(_xlfn.XLOOKUP($F140,Taxa_från_edp!$B:$B,Taxa_från_edp!C:C),""),"")</f>
        <v/>
      </c>
      <c r="I140" s="127" t="str">
        <f>IF($F140&lt;&gt;"",IFERROR(_xlfn.XLOOKUP($F140,Taxa_från_edp!$B:$B,Taxa_från_edp!G:G),""),"")</f>
        <v/>
      </c>
      <c r="J140" s="127" t="str">
        <f>IF($F140&lt;&gt;"",IFERROR(_xlfn.XLOOKUP($F140,Taxa_från_edp!$B:$B,Taxa_från_edp!K:K),""),"")</f>
        <v/>
      </c>
      <c r="K140" s="145"/>
      <c r="L140" s="146"/>
      <c r="M140" s="147" t="str">
        <f t="shared" si="26"/>
        <v/>
      </c>
      <c r="N140" s="148" t="str">
        <f t="shared" si="27"/>
        <v/>
      </c>
    </row>
    <row r="141" spans="1:14" x14ac:dyDescent="0.25">
      <c r="A141" s="68" t="s">
        <v>154</v>
      </c>
      <c r="B141" s="68" t="s">
        <v>155</v>
      </c>
      <c r="C141" s="68" t="s">
        <v>1594</v>
      </c>
      <c r="D141" s="68"/>
      <c r="E141" s="68" t="s">
        <v>157</v>
      </c>
      <c r="F141" s="106"/>
      <c r="G141" s="116" t="str">
        <f>IF($F141&lt;&gt;"",$F141,IFERROR(_xlfn.XLOOKUP(ROW(),Taxa_Saknas!$H:$H,Taxa_Saknas!$G:$G),""))</f>
        <v/>
      </c>
      <c r="H141" s="126" t="str">
        <f>IF($F141&lt;&gt;"",IFERROR(_xlfn.XLOOKUP($F141,Taxa_från_edp!$B:$B,Taxa_från_edp!C:C),""),"")</f>
        <v/>
      </c>
      <c r="I141" s="127" t="str">
        <f>IF($F141&lt;&gt;"",IFERROR(_xlfn.XLOOKUP($F141,Taxa_från_edp!$B:$B,Taxa_från_edp!G:G),""),"")</f>
        <v/>
      </c>
      <c r="J141" s="127" t="str">
        <f>IF($F141&lt;&gt;"",IFERROR(_xlfn.XLOOKUP($F141,Taxa_från_edp!$B:$B,Taxa_från_edp!K:K),""),"")</f>
        <v/>
      </c>
      <c r="K141" s="145"/>
      <c r="L141" s="146"/>
      <c r="M141" s="147" t="str">
        <f t="shared" ref="M141" si="30">IFERROR(IF(J141&lt;&gt;"",J141*1.25,IF(K141&lt;&gt;"",K141*1.25,"")),"")</f>
        <v/>
      </c>
      <c r="N141" s="148" t="str">
        <f t="shared" ref="N141" si="31">IFERROR(IF(J141&lt;&gt;"",L141*J141,IF(K141&lt;&gt;"",L141*K141,"")),"")</f>
        <v/>
      </c>
    </row>
    <row r="142" spans="1:14" ht="45" customHeight="1" x14ac:dyDescent="0.25">
      <c r="A142" s="68" t="s">
        <v>154</v>
      </c>
      <c r="B142" s="68" t="s">
        <v>155</v>
      </c>
      <c r="C142" s="68" t="s">
        <v>120</v>
      </c>
      <c r="D142" s="68"/>
      <c r="E142" s="68" t="s">
        <v>157</v>
      </c>
      <c r="F142" s="107"/>
      <c r="G142" s="117" t="str">
        <f>IF($F142&lt;&gt;"",$F142,IFERROR(_xlfn.XLOOKUP(ROW(),Taxa_Saknas!$H:$H,Taxa_Saknas!$G:$G),""))</f>
        <v/>
      </c>
      <c r="H142" s="128" t="str">
        <f>IF($F142&lt;&gt;"",IFERROR(_xlfn.XLOOKUP($F142,Taxa_från_edp!$B:$B,Taxa_från_edp!C:C),""),"")</f>
        <v/>
      </c>
      <c r="I142" s="129" t="str">
        <f>IF($F142&lt;&gt;"",IFERROR(_xlfn.XLOOKUP($F142,Taxa_från_edp!$B:$B,Taxa_från_edp!G:G),""),"")</f>
        <v/>
      </c>
      <c r="J142" s="129" t="str">
        <f>IF($F142&lt;&gt;"",IFERROR(_xlfn.XLOOKUP($F142,Taxa_från_edp!$B:$B,Taxa_från_edp!K:K),""),"")</f>
        <v/>
      </c>
      <c r="K142" s="150"/>
      <c r="L142" s="151"/>
      <c r="M142" s="147" t="str">
        <f t="shared" si="26"/>
        <v/>
      </c>
      <c r="N142" s="148" t="str">
        <f t="shared" si="27"/>
        <v/>
      </c>
    </row>
    <row r="143" spans="1:14" ht="45" customHeight="1" x14ac:dyDescent="0.25">
      <c r="A143" s="68" t="s">
        <v>154</v>
      </c>
      <c r="B143" s="68" t="s">
        <v>155</v>
      </c>
      <c r="C143" s="68" t="s">
        <v>121</v>
      </c>
      <c r="D143" s="68"/>
      <c r="E143" s="68" t="s">
        <v>157</v>
      </c>
      <c r="F143" s="107"/>
      <c r="G143" s="117" t="str">
        <f>IF($F143&lt;&gt;"",$F143,IFERROR(_xlfn.XLOOKUP(ROW(),Taxa_Saknas!$H:$H,Taxa_Saknas!$G:$G),""))</f>
        <v/>
      </c>
      <c r="H143" s="128" t="str">
        <f>IF($F143&lt;&gt;"",IFERROR(_xlfn.XLOOKUP($F143,Taxa_från_edp!$B:$B,Taxa_från_edp!C:C),""),"")</f>
        <v/>
      </c>
      <c r="I143" s="129" t="str">
        <f>IF($F143&lt;&gt;"",IFERROR(_xlfn.XLOOKUP($F143,Taxa_från_edp!$B:$B,Taxa_från_edp!G:G),""),"")</f>
        <v/>
      </c>
      <c r="J143" s="129" t="str">
        <f>IF($F143&lt;&gt;"",IFERROR(_xlfn.XLOOKUP($F143,Taxa_från_edp!$B:$B,Taxa_från_edp!K:K),""),"")</f>
        <v/>
      </c>
      <c r="K143" s="150"/>
      <c r="L143" s="151"/>
      <c r="M143" s="147" t="str">
        <f t="shared" si="26"/>
        <v/>
      </c>
      <c r="N143" s="148" t="str">
        <f t="shared" si="27"/>
        <v/>
      </c>
    </row>
    <row r="144" spans="1:14" ht="45" customHeight="1" x14ac:dyDescent="0.25">
      <c r="A144" s="68" t="s">
        <v>154</v>
      </c>
      <c r="B144" s="68" t="s">
        <v>155</v>
      </c>
      <c r="C144" s="68" t="s">
        <v>1595</v>
      </c>
      <c r="D144" s="68"/>
      <c r="E144" s="68" t="s">
        <v>157</v>
      </c>
      <c r="F144" s="107"/>
      <c r="G144" s="117" t="str">
        <f>IF($F144&lt;&gt;"",$F144,IFERROR(_xlfn.XLOOKUP(ROW(),Taxa_Saknas!$H:$H,Taxa_Saknas!$G:$G),""))</f>
        <v/>
      </c>
      <c r="H144" s="128" t="str">
        <f>IF($F144&lt;&gt;"",IFERROR(_xlfn.XLOOKUP($F144,Taxa_från_edp!$B:$B,Taxa_från_edp!C:C),""),"")</f>
        <v/>
      </c>
      <c r="I144" s="129" t="str">
        <f>IF($F144&lt;&gt;"",IFERROR(_xlfn.XLOOKUP($F144,Taxa_från_edp!$B:$B,Taxa_från_edp!G:G),""),"")</f>
        <v/>
      </c>
      <c r="J144" s="129" t="str">
        <f>IF($F144&lt;&gt;"",IFERROR(_xlfn.XLOOKUP($F144,Taxa_från_edp!$B:$B,Taxa_från_edp!K:K),""),"")</f>
        <v/>
      </c>
      <c r="K144" s="150"/>
      <c r="L144" s="151"/>
      <c r="M144" s="147" t="str">
        <f t="shared" ref="M144" si="32">IFERROR(IF(J144&lt;&gt;"",J144*1.25,IF(K144&lt;&gt;"",K144*1.25,"")),"")</f>
        <v/>
      </c>
      <c r="N144" s="148" t="str">
        <f t="shared" ref="N144" si="33">IFERROR(IF(J144&lt;&gt;"",L144*J144,IF(K144&lt;&gt;"",L144*K144,"")),"")</f>
        <v/>
      </c>
    </row>
    <row r="145" spans="1:14" ht="21.95" customHeight="1" x14ac:dyDescent="0.25">
      <c r="A145" s="83" t="s">
        <v>158</v>
      </c>
      <c r="B145" s="84"/>
      <c r="C145" s="84"/>
      <c r="D145" s="84"/>
      <c r="E145" s="85"/>
      <c r="F145" s="113"/>
      <c r="G145" s="121" t="str">
        <f>IF($F145&lt;&gt;"",$F145,IFERROR(_xlfn.XLOOKUP(ROW(),Taxa_Saknas!$H:$H,Taxa_Saknas!$G:$G),""))</f>
        <v/>
      </c>
      <c r="H145" s="121" t="str">
        <f>IF($F145&lt;&gt;"",IFERROR(_xlfn.XLOOKUP($F145,Taxa_från_edp!$B:$B,Taxa_från_edp!C:C),""),"")</f>
        <v/>
      </c>
      <c r="I145" s="121" t="str">
        <f>IF($F145&lt;&gt;"",IFERROR(_xlfn.XLOOKUP($F145,Taxa_från_edp!$B:$B,Taxa_från_edp!G:G),""),"")</f>
        <v/>
      </c>
      <c r="J145" s="121" t="str">
        <f>IF($F145&lt;&gt;"",IFERROR(_xlfn.XLOOKUP($F145,Taxa_från_edp!$B:$B,Taxa_från_edp!K:K),""),"")</f>
        <v/>
      </c>
      <c r="K145" s="121"/>
      <c r="L145" s="121"/>
      <c r="M145" s="121" t="str">
        <f t="shared" si="26"/>
        <v/>
      </c>
      <c r="N145" s="144" t="str">
        <f t="shared" si="27"/>
        <v/>
      </c>
    </row>
    <row r="146" spans="1:14" x14ac:dyDescent="0.25">
      <c r="A146" s="68" t="s">
        <v>159</v>
      </c>
      <c r="B146" s="68" t="s">
        <v>160</v>
      </c>
      <c r="C146" s="68" t="s">
        <v>161</v>
      </c>
      <c r="D146" s="68"/>
      <c r="E146" s="68" t="s">
        <v>54</v>
      </c>
      <c r="F146" s="107"/>
      <c r="G146" s="117" t="str">
        <f>IF($F146&lt;&gt;"",$F146,IFERROR(_xlfn.XLOOKUP(ROW(),Taxa_Saknas!$H:$H,Taxa_Saknas!$G:$G),""))</f>
        <v/>
      </c>
      <c r="H146" s="128" t="str">
        <f>IF($F146&lt;&gt;"",IFERROR(_xlfn.XLOOKUP($F146,Taxa_från_edp!$B:$B,Taxa_från_edp!C:C),""),"")</f>
        <v/>
      </c>
      <c r="I146" s="129" t="str">
        <f>IF($F146&lt;&gt;"",IFERROR(_xlfn.XLOOKUP($F146,Taxa_från_edp!$B:$B,Taxa_från_edp!G:G),""),"")</f>
        <v/>
      </c>
      <c r="J146" s="129" t="str">
        <f>IF($F146&lt;&gt;"",IFERROR(_xlfn.XLOOKUP($F146,Taxa_från_edp!$B:$B,Taxa_från_edp!K:K),""),"")</f>
        <v/>
      </c>
      <c r="K146" s="150"/>
      <c r="L146" s="151"/>
      <c r="M146" s="147" t="str">
        <f t="shared" si="26"/>
        <v/>
      </c>
      <c r="N146" s="148" t="str">
        <f t="shared" si="27"/>
        <v/>
      </c>
    </row>
    <row r="147" spans="1:14" ht="60" customHeight="1" x14ac:dyDescent="0.25">
      <c r="A147" s="68" t="s">
        <v>159</v>
      </c>
      <c r="B147" s="68" t="s">
        <v>160</v>
      </c>
      <c r="C147" s="68" t="s">
        <v>162</v>
      </c>
      <c r="D147" s="68"/>
      <c r="E147" s="68" t="s">
        <v>54</v>
      </c>
      <c r="F147" s="107"/>
      <c r="G147" s="117" t="str">
        <f>IF($F147&lt;&gt;"",$F147,IFERROR(_xlfn.XLOOKUP(ROW(),Taxa_Saknas!$H:$H,Taxa_Saknas!$G:$G),""))</f>
        <v/>
      </c>
      <c r="H147" s="128" t="str">
        <f>IF($F147&lt;&gt;"",IFERROR(_xlfn.XLOOKUP($F147,Taxa_från_edp!$B:$B,Taxa_från_edp!C:C),""),"")</f>
        <v/>
      </c>
      <c r="I147" s="129" t="str">
        <f>IF($F147&lt;&gt;"",IFERROR(_xlfn.XLOOKUP($F147,Taxa_från_edp!$B:$B,Taxa_från_edp!G:G),""),"")</f>
        <v/>
      </c>
      <c r="J147" s="129" t="str">
        <f>IF($F147&lt;&gt;"",IFERROR(_xlfn.XLOOKUP($F147,Taxa_från_edp!$B:$B,Taxa_från_edp!K:K),""),"")</f>
        <v/>
      </c>
      <c r="K147" s="150"/>
      <c r="L147" s="151"/>
      <c r="M147" s="147" t="str">
        <f t="shared" si="26"/>
        <v/>
      </c>
      <c r="N147" s="148" t="str">
        <f t="shared" si="27"/>
        <v/>
      </c>
    </row>
    <row r="148" spans="1:14" ht="60" customHeight="1" x14ac:dyDescent="0.25">
      <c r="A148" s="68" t="s">
        <v>159</v>
      </c>
      <c r="B148" s="68" t="s">
        <v>160</v>
      </c>
      <c r="C148" s="68" t="s">
        <v>1596</v>
      </c>
      <c r="D148" s="68"/>
      <c r="E148" s="68" t="s">
        <v>54</v>
      </c>
      <c r="F148" s="107"/>
      <c r="G148" s="117" t="str">
        <f>IF($F148&lt;&gt;"",$F148,IFERROR(_xlfn.XLOOKUP(ROW(),Taxa_Saknas!$H:$H,Taxa_Saknas!$G:$G),""))</f>
        <v/>
      </c>
      <c r="H148" s="128" t="str">
        <f>IF($F148&lt;&gt;"",IFERROR(_xlfn.XLOOKUP($F148,Taxa_från_edp!$B:$B,Taxa_från_edp!C:C),""),"")</f>
        <v/>
      </c>
      <c r="I148" s="129" t="str">
        <f>IF($F148&lt;&gt;"",IFERROR(_xlfn.XLOOKUP($F148,Taxa_från_edp!$B:$B,Taxa_från_edp!G:G),""),"")</f>
        <v/>
      </c>
      <c r="J148" s="129" t="str">
        <f>IF($F148&lt;&gt;"",IFERROR(_xlfn.XLOOKUP($F148,Taxa_från_edp!$B:$B,Taxa_från_edp!K:K),""),"")</f>
        <v/>
      </c>
      <c r="K148" s="150"/>
      <c r="L148" s="151"/>
      <c r="M148" s="147" t="str">
        <f t="shared" ref="M148" si="34">IFERROR(IF(J148&lt;&gt;"",J148*1.25,IF(K148&lt;&gt;"",K148*1.25,"")),"")</f>
        <v/>
      </c>
      <c r="N148" s="148" t="str">
        <f t="shared" ref="N148" si="35">IFERROR(IF(J148&lt;&gt;"",L148*J148,IF(K148&lt;&gt;"",L148*K148,"")),"")</f>
        <v/>
      </c>
    </row>
    <row r="149" spans="1:14" ht="21.95" customHeight="1" x14ac:dyDescent="0.25">
      <c r="A149" s="83" t="s">
        <v>163</v>
      </c>
      <c r="B149" s="84"/>
      <c r="C149" s="84"/>
      <c r="D149" s="84"/>
      <c r="E149" s="85"/>
      <c r="F149" s="114"/>
      <c r="G149" s="122" t="str">
        <f>IF($F149&lt;&gt;"",$F149,IFERROR(_xlfn.XLOOKUP(ROW(),Taxa_Saknas!$H:$H,Taxa_Saknas!$G:$G),""))</f>
        <v/>
      </c>
      <c r="H149" s="122" t="str">
        <f>IF($F149&lt;&gt;"",IFERROR(_xlfn.XLOOKUP($F149,Taxa_från_edp!$B:$B,Taxa_från_edp!C:C),""),"")</f>
        <v/>
      </c>
      <c r="I149" s="149" t="str">
        <f>IF($F149&lt;&gt;"",IFERROR(_xlfn.XLOOKUP($F149,Taxa_från_edp!$B:$B,Taxa_från_edp!G:G),""),"")</f>
        <v/>
      </c>
      <c r="J149" s="149" t="str">
        <f>IF($F149&lt;&gt;"",IFERROR(_xlfn.XLOOKUP($F149,Taxa_från_edp!$B:$B,Taxa_från_edp!K:K),""),"")</f>
        <v/>
      </c>
      <c r="K149" s="149"/>
      <c r="L149" s="149"/>
      <c r="M149" s="121" t="str">
        <f t="shared" si="26"/>
        <v/>
      </c>
      <c r="N149" s="144" t="str">
        <f t="shared" si="27"/>
        <v/>
      </c>
    </row>
    <row r="150" spans="1:14" ht="30" customHeight="1" x14ac:dyDescent="0.25">
      <c r="A150" s="68" t="s">
        <v>164</v>
      </c>
      <c r="B150" s="68" t="s">
        <v>165</v>
      </c>
      <c r="C150" s="68" t="s">
        <v>166</v>
      </c>
      <c r="D150" s="68"/>
      <c r="E150" s="68" t="s">
        <v>167</v>
      </c>
      <c r="F150" s="107" t="s">
        <v>376</v>
      </c>
      <c r="G150" s="117" t="str">
        <f>IF($F150&lt;&gt;"",$F150,IFERROR(_xlfn.XLOOKUP(ROW(),Taxa_Saknas!$H:$H,Taxa_Saknas!$G:$G),""))</f>
        <v>BETALSÄCK</v>
      </c>
      <c r="H150" s="128" t="str">
        <f>IF($F150&lt;&gt;"",IFERROR(_xlfn.XLOOKUP($F150,Taxa_från_edp!$B:$B,Taxa_från_edp!C:C),""),"")</f>
        <v>Betalsäck, pris per säck</v>
      </c>
      <c r="I150" s="129" t="str">
        <f>IF($F150&lt;&gt;"",IFERROR(_xlfn.XLOOKUP($F150,Taxa_från_edp!$B:$B,Taxa_från_edp!G:G),""),"")</f>
        <v>KVAN</v>
      </c>
      <c r="J150" s="129">
        <f>IF($F150&lt;&gt;"",IFERROR(_xlfn.XLOOKUP($F150,Taxa_från_edp!$B:$B,Taxa_från_edp!K:K),""),"")</f>
        <v>128</v>
      </c>
      <c r="K150" s="150"/>
      <c r="L150" s="151"/>
      <c r="M150" s="147">
        <f t="shared" si="26"/>
        <v>160</v>
      </c>
      <c r="N150" s="148">
        <f t="shared" si="27"/>
        <v>0</v>
      </c>
    </row>
    <row r="151" spans="1:14" ht="30" customHeight="1" x14ac:dyDescent="0.25">
      <c r="A151" s="68" t="s">
        <v>164</v>
      </c>
      <c r="B151" s="68" t="s">
        <v>165</v>
      </c>
      <c r="C151" s="68" t="s">
        <v>1597</v>
      </c>
      <c r="D151" s="68"/>
      <c r="E151" s="68" t="s">
        <v>167</v>
      </c>
      <c r="F151" s="107" t="s">
        <v>320</v>
      </c>
      <c r="G151" s="117" t="str">
        <f>IF($F151&lt;&gt;"",$F151,IFERROR(_xlfn.XLOOKUP(ROW(),Taxa_Saknas!$H:$H,Taxa_Saknas!$G:$G),""))</f>
        <v>AKUTSÄCK</v>
      </c>
      <c r="H151" s="128" t="str">
        <f>IF($F151&lt;&gt;"",IFERROR(_xlfn.XLOOKUP($F151,Taxa_från_edp!$B:$B,Taxa_från_edp!C:C),""),"")</f>
        <v>Avgift för akutsäck</v>
      </c>
      <c r="I151" s="129" t="str">
        <f>IF($F151&lt;&gt;"",IFERROR(_xlfn.XLOOKUP($F151,Taxa_från_edp!$B:$B,Taxa_från_edp!G:G),""),"")</f>
        <v>KVAN</v>
      </c>
      <c r="J151" s="129">
        <f>IF($F151&lt;&gt;"",IFERROR(_xlfn.XLOOKUP($F151,Taxa_från_edp!$B:$B,Taxa_från_edp!K:K),""),"")</f>
        <v>160</v>
      </c>
      <c r="K151" s="150"/>
      <c r="L151" s="151"/>
      <c r="M151" s="147">
        <f t="shared" ref="M151" si="36">IFERROR(IF(J151&lt;&gt;"",J151*1.25,IF(K151&lt;&gt;"",K151*1.25,"")),"")</f>
        <v>200</v>
      </c>
      <c r="N151" s="148">
        <f t="shared" ref="N151" si="37">IFERROR(IF(J151&lt;&gt;"",L151*J151,IF(K151&lt;&gt;"",L151*K151,"")),"")</f>
        <v>0</v>
      </c>
    </row>
    <row r="152" spans="1:14" ht="21.95" customHeight="1" x14ac:dyDescent="0.25">
      <c r="A152" s="83" t="s">
        <v>168</v>
      </c>
      <c r="B152" s="84"/>
      <c r="C152" s="84"/>
      <c r="D152" s="84"/>
      <c r="E152" s="85"/>
      <c r="F152" s="114"/>
      <c r="G152" s="122" t="str">
        <f>IF($F152&lt;&gt;"",$F152,IFERROR(_xlfn.XLOOKUP(ROW(),Taxa_Saknas!$H:$H,Taxa_Saknas!$G:$G),""))</f>
        <v/>
      </c>
      <c r="H152" s="122" t="str">
        <f>IF($F152&lt;&gt;"",IFERROR(_xlfn.XLOOKUP($F152,Taxa_från_edp!$B:$B,Taxa_från_edp!C:C),""),"")</f>
        <v/>
      </c>
      <c r="I152" s="149" t="str">
        <f>IF($F152&lt;&gt;"",IFERROR(_xlfn.XLOOKUP($F152,Taxa_från_edp!$B:$B,Taxa_från_edp!G:G),""),"")</f>
        <v/>
      </c>
      <c r="J152" s="149" t="str">
        <f>IF($F152&lt;&gt;"",IFERROR(_xlfn.XLOOKUP($F152,Taxa_från_edp!$B:$B,Taxa_från_edp!K:K),""),"")</f>
        <v/>
      </c>
      <c r="K152" s="149"/>
      <c r="L152" s="149"/>
      <c r="M152" s="121" t="str">
        <f t="shared" si="26"/>
        <v/>
      </c>
      <c r="N152" s="144" t="str">
        <f t="shared" si="27"/>
        <v/>
      </c>
    </row>
    <row r="153" spans="1:14" x14ac:dyDescent="0.25">
      <c r="A153" s="68" t="s">
        <v>169</v>
      </c>
      <c r="B153" s="68" t="s">
        <v>170</v>
      </c>
      <c r="C153" s="68" t="s">
        <v>1598</v>
      </c>
      <c r="D153" s="68"/>
      <c r="E153" s="68" t="s">
        <v>172</v>
      </c>
      <c r="F153" s="107"/>
      <c r="G153" s="117" t="str">
        <f>IF($F153&lt;&gt;"",$F153,IFERROR(_xlfn.XLOOKUP(ROW(),Taxa_Saknas!$H:$H,Taxa_Saknas!$G:$G),""))</f>
        <v/>
      </c>
      <c r="H153" s="128" t="str">
        <f>IF($F153&lt;&gt;"",IFERROR(_xlfn.XLOOKUP($F153,Taxa_från_edp!$B:$B,Taxa_från_edp!C:C),""),"")</f>
        <v/>
      </c>
      <c r="I153" s="129" t="str">
        <f>IF($F153&lt;&gt;"",IFERROR(_xlfn.XLOOKUP($F153,Taxa_från_edp!$B:$B,Taxa_från_edp!G:G),""),"")</f>
        <v/>
      </c>
      <c r="J153" s="129" t="str">
        <f>IF($F153&lt;&gt;"",IFERROR(_xlfn.XLOOKUP($F153,Taxa_från_edp!$B:$B,Taxa_från_edp!K:K),""),"")</f>
        <v/>
      </c>
      <c r="K153" s="150"/>
      <c r="L153" s="151"/>
      <c r="M153" s="147" t="str">
        <f t="shared" ref="M153" si="38">IFERROR(IF(J153&lt;&gt;"",J153*1.25,IF(K153&lt;&gt;"",K153*1.25,"")),"")</f>
        <v/>
      </c>
      <c r="N153" s="148" t="str">
        <f t="shared" ref="N153" si="39">IFERROR(IF(J153&lt;&gt;"",L153*J153,IF(K153&lt;&gt;"",L153*K153,"")),"")</f>
        <v/>
      </c>
    </row>
    <row r="154" spans="1:14" x14ac:dyDescent="0.25">
      <c r="A154" s="68" t="s">
        <v>169</v>
      </c>
      <c r="B154" s="68" t="s">
        <v>170</v>
      </c>
      <c r="C154" s="68" t="s">
        <v>171</v>
      </c>
      <c r="D154" s="68"/>
      <c r="E154" s="68" t="s">
        <v>172</v>
      </c>
      <c r="F154" s="107"/>
      <c r="G154" s="117" t="str">
        <f>IF($F154&lt;&gt;"",$F154,IFERROR(_xlfn.XLOOKUP(ROW(),Taxa_Saknas!$H:$H,Taxa_Saknas!$G:$G),""))</f>
        <v/>
      </c>
      <c r="H154" s="128" t="str">
        <f>IF($F154&lt;&gt;"",IFERROR(_xlfn.XLOOKUP($F154,Taxa_från_edp!$B:$B,Taxa_från_edp!C:C),""),"")</f>
        <v/>
      </c>
      <c r="I154" s="129" t="str">
        <f>IF($F154&lt;&gt;"",IFERROR(_xlfn.XLOOKUP($F154,Taxa_från_edp!$B:$B,Taxa_från_edp!G:G),""),"")</f>
        <v/>
      </c>
      <c r="J154" s="129" t="str">
        <f>IF($F154&lt;&gt;"",IFERROR(_xlfn.XLOOKUP($F154,Taxa_från_edp!$B:$B,Taxa_från_edp!K:K),""),"")</f>
        <v/>
      </c>
      <c r="K154" s="150"/>
      <c r="L154" s="151"/>
      <c r="M154" s="147" t="str">
        <f t="shared" si="26"/>
        <v/>
      </c>
      <c r="N154" s="148" t="str">
        <f t="shared" si="27"/>
        <v/>
      </c>
    </row>
    <row r="155" spans="1:14" ht="105" customHeight="1" x14ac:dyDescent="0.25">
      <c r="A155" s="68" t="s">
        <v>169</v>
      </c>
      <c r="B155" s="68" t="s">
        <v>170</v>
      </c>
      <c r="C155" s="68" t="s">
        <v>173</v>
      </c>
      <c r="D155" s="68"/>
      <c r="E155" s="68" t="s">
        <v>174</v>
      </c>
      <c r="F155" s="107"/>
      <c r="G155" s="117" t="str">
        <f>IF($F155&lt;&gt;"",$F155,IFERROR(_xlfn.XLOOKUP(ROW(),Taxa_Saknas!$H:$H,Taxa_Saknas!$G:$G),""))</f>
        <v/>
      </c>
      <c r="H155" s="128" t="str">
        <f>IF($F155&lt;&gt;"",IFERROR(_xlfn.XLOOKUP($F155,Taxa_från_edp!$B:$B,Taxa_från_edp!C:C),""),"")</f>
        <v/>
      </c>
      <c r="I155" s="129" t="str">
        <f>IF($F155&lt;&gt;"",IFERROR(_xlfn.XLOOKUP($F155,Taxa_från_edp!$B:$B,Taxa_från_edp!G:G),""),"")</f>
        <v/>
      </c>
      <c r="J155" s="129" t="str">
        <f>IF($F155&lt;&gt;"",IFERROR(_xlfn.XLOOKUP($F155,Taxa_från_edp!$B:$B,Taxa_från_edp!K:K),""),"")</f>
        <v/>
      </c>
      <c r="K155" s="150"/>
      <c r="L155" s="151"/>
      <c r="M155" s="147" t="str">
        <f t="shared" si="26"/>
        <v/>
      </c>
      <c r="N155" s="148" t="str">
        <f t="shared" si="27"/>
        <v/>
      </c>
    </row>
    <row r="156" spans="1:14" ht="30" customHeight="1" x14ac:dyDescent="0.25">
      <c r="A156" s="68" t="s">
        <v>169</v>
      </c>
      <c r="B156" s="68" t="s">
        <v>170</v>
      </c>
      <c r="C156" s="68" t="s">
        <v>175</v>
      </c>
      <c r="D156" s="68"/>
      <c r="E156" s="68" t="s">
        <v>174</v>
      </c>
      <c r="F156" s="106"/>
      <c r="G156" s="116" t="str">
        <f>IF($F156&lt;&gt;"",$F156,IFERROR(_xlfn.XLOOKUP(ROW(),Taxa_Saknas!$H:$H,Taxa_Saknas!$G:$G),""))</f>
        <v/>
      </c>
      <c r="H156" s="126" t="str">
        <f>IF($F156&lt;&gt;"",IFERROR(_xlfn.XLOOKUP($F156,Taxa_från_edp!$B:$B,Taxa_från_edp!C:C),""),"")</f>
        <v/>
      </c>
      <c r="I156" s="127" t="str">
        <f>IF($F156&lt;&gt;"",IFERROR(_xlfn.XLOOKUP($F156,Taxa_från_edp!$B:$B,Taxa_från_edp!G:G),""),"")</f>
        <v/>
      </c>
      <c r="J156" s="127" t="str">
        <f>IF($F156&lt;&gt;"",IFERROR(_xlfn.XLOOKUP($F156,Taxa_från_edp!$B:$B,Taxa_från_edp!K:K),""),"")</f>
        <v/>
      </c>
      <c r="K156" s="145"/>
      <c r="L156" s="146"/>
      <c r="M156" s="147" t="str">
        <f t="shared" si="26"/>
        <v/>
      </c>
      <c r="N156" s="148" t="str">
        <f t="shared" si="27"/>
        <v/>
      </c>
    </row>
    <row r="157" spans="1:14" ht="21.95" customHeight="1" x14ac:dyDescent="0.25">
      <c r="A157" s="93" t="s">
        <v>1599</v>
      </c>
      <c r="B157" s="94"/>
      <c r="C157" s="94"/>
      <c r="D157" s="94"/>
      <c r="E157" s="95"/>
      <c r="F157" s="112"/>
      <c r="G157" s="120" t="str">
        <f>IF($F157&lt;&gt;"",$F157,IFERROR(_xlfn.XLOOKUP(ROW(),Taxa_Saknas!$H:$H,Taxa_Saknas!$G:$G),""))</f>
        <v/>
      </c>
      <c r="H157" s="120" t="str">
        <f>IF($F157&lt;&gt;"",IFERROR(_xlfn.XLOOKUP($F157,Taxa_från_edp!$B:$B,Taxa_från_edp!C:C),""),"")</f>
        <v/>
      </c>
      <c r="I157" s="120" t="str">
        <f>IF($F157&lt;&gt;"",IFERROR(_xlfn.XLOOKUP($F157,Taxa_från_edp!$B:$B,Taxa_från_edp!G:G),""),"")</f>
        <v/>
      </c>
      <c r="J157" s="120" t="str">
        <f>IF($F157&lt;&gt;"",IFERROR(_xlfn.XLOOKUP($F157,Taxa_från_edp!$B:$B,Taxa_från_edp!K:K),""),"")</f>
        <v/>
      </c>
      <c r="K157" s="120"/>
      <c r="L157" s="120"/>
      <c r="M157" s="120" t="str">
        <f t="shared" ref="M157" si="40">IFERROR(IF(J157&lt;&gt;"",J157*1.25,IF(K157&lt;&gt;"",K157*1.25,"")),"")</f>
        <v/>
      </c>
      <c r="N157" s="143" t="str">
        <f t="shared" ref="N157" si="41">IFERROR(IF(J157&lt;&gt;"",L157*J157,IF(K157&lt;&gt;"",L157*K157,"")),"")</f>
        <v/>
      </c>
    </row>
    <row r="158" spans="1:14" ht="21.95" customHeight="1" x14ac:dyDescent="0.25">
      <c r="A158" s="83" t="s">
        <v>176</v>
      </c>
      <c r="B158" s="84"/>
      <c r="C158" s="84"/>
      <c r="D158" s="84"/>
      <c r="E158" s="85"/>
      <c r="F158" s="114"/>
      <c r="G158" s="122" t="str">
        <f>IF($F158&lt;&gt;"",$F158,IFERROR(_xlfn.XLOOKUP(ROW(),Taxa_Saknas!$H:$H,Taxa_Saknas!$G:$G),""))</f>
        <v/>
      </c>
      <c r="H158" s="122" t="str">
        <f>IF($F158&lt;&gt;"",IFERROR(_xlfn.XLOOKUP($F158,Taxa_från_edp!$B:$B,Taxa_från_edp!C:C),""),"")</f>
        <v/>
      </c>
      <c r="I158" s="149" t="str">
        <f>IF($F158&lt;&gt;"",IFERROR(_xlfn.XLOOKUP($F158,Taxa_från_edp!$B:$B,Taxa_från_edp!G:G),""),"")</f>
        <v/>
      </c>
      <c r="J158" s="149" t="str">
        <f>IF($F158&lt;&gt;"",IFERROR(_xlfn.XLOOKUP($F158,Taxa_från_edp!$B:$B,Taxa_från_edp!K:K),""),"")</f>
        <v/>
      </c>
      <c r="K158" s="149"/>
      <c r="L158" s="149"/>
      <c r="M158" s="121" t="str">
        <f t="shared" si="26"/>
        <v/>
      </c>
      <c r="N158" s="144" t="str">
        <f t="shared" si="27"/>
        <v/>
      </c>
    </row>
    <row r="159" spans="1:14" ht="30" customHeight="1" x14ac:dyDescent="0.25">
      <c r="A159" s="68" t="s">
        <v>177</v>
      </c>
      <c r="B159" s="68" t="s">
        <v>178</v>
      </c>
      <c r="C159" s="68" t="s">
        <v>179</v>
      </c>
      <c r="D159" s="68"/>
      <c r="E159" s="68" t="s">
        <v>54</v>
      </c>
      <c r="F159" s="106"/>
      <c r="G159" s="116" t="str">
        <f>IF($F159&lt;&gt;"",$F159,IFERROR(_xlfn.XLOOKUP(ROW(),Taxa_Saknas!$H:$H,Taxa_Saknas!$G:$G),""))</f>
        <v/>
      </c>
      <c r="H159" s="126" t="str">
        <f>IF($F159&lt;&gt;"",IFERROR(_xlfn.XLOOKUP($F159,Taxa_från_edp!$B:$B,Taxa_från_edp!C:C),""),"")</f>
        <v/>
      </c>
      <c r="I159" s="127" t="str">
        <f>IF($F159&lt;&gt;"",IFERROR(_xlfn.XLOOKUP($F159,Taxa_från_edp!$B:$B,Taxa_från_edp!G:G),""),"")</f>
        <v/>
      </c>
      <c r="J159" s="127" t="str">
        <f>IF($F159&lt;&gt;"",IFERROR(_xlfn.XLOOKUP($F159,Taxa_från_edp!$B:$B,Taxa_från_edp!K:K),""),"")</f>
        <v/>
      </c>
      <c r="K159" s="145"/>
      <c r="L159" s="146"/>
      <c r="M159" s="147" t="str">
        <f t="shared" si="26"/>
        <v/>
      </c>
      <c r="N159" s="148" t="str">
        <f t="shared" si="27"/>
        <v/>
      </c>
    </row>
    <row r="160" spans="1:14" x14ac:dyDescent="0.25">
      <c r="A160" s="68" t="s">
        <v>177</v>
      </c>
      <c r="B160" s="68" t="s">
        <v>178</v>
      </c>
      <c r="C160" s="68" t="s">
        <v>180</v>
      </c>
      <c r="D160" s="68"/>
      <c r="E160" s="68" t="s">
        <v>54</v>
      </c>
      <c r="F160" s="107"/>
      <c r="G160" s="117" t="str">
        <f>IF($F160&lt;&gt;"",$F160,IFERROR(_xlfn.XLOOKUP(ROW(),Taxa_Saknas!$H:$H,Taxa_Saknas!$G:$G),""))</f>
        <v/>
      </c>
      <c r="H160" s="128" t="str">
        <f>IF($F160&lt;&gt;"",IFERROR(_xlfn.XLOOKUP($F160,Taxa_från_edp!$B:$B,Taxa_från_edp!C:C),""),"")</f>
        <v/>
      </c>
      <c r="I160" s="129" t="str">
        <f>IF($F160&lt;&gt;"",IFERROR(_xlfn.XLOOKUP($F160,Taxa_från_edp!$B:$B,Taxa_från_edp!G:G),""),"")</f>
        <v/>
      </c>
      <c r="J160" s="129" t="str">
        <f>IF($F160&lt;&gt;"",IFERROR(_xlfn.XLOOKUP($F160,Taxa_från_edp!$B:$B,Taxa_från_edp!K:K),""),"")</f>
        <v/>
      </c>
      <c r="K160" s="150"/>
      <c r="L160" s="151"/>
      <c r="M160" s="147" t="str">
        <f t="shared" si="26"/>
        <v/>
      </c>
      <c r="N160" s="148" t="str">
        <f t="shared" si="27"/>
        <v/>
      </c>
    </row>
    <row r="161" spans="1:14" ht="30" customHeight="1" x14ac:dyDescent="0.25">
      <c r="A161" s="68" t="s">
        <v>177</v>
      </c>
      <c r="B161" s="68" t="s">
        <v>178</v>
      </c>
      <c r="C161" s="68" t="s">
        <v>181</v>
      </c>
      <c r="D161" s="68"/>
      <c r="E161" s="68" t="s">
        <v>54</v>
      </c>
      <c r="F161" s="107"/>
      <c r="G161" s="117" t="str">
        <f>IF($F161&lt;&gt;"",$F161,IFERROR(_xlfn.XLOOKUP(ROW(),Taxa_Saknas!$H:$H,Taxa_Saknas!$G:$G),""))</f>
        <v/>
      </c>
      <c r="H161" s="128" t="str">
        <f>IF($F161&lt;&gt;"",IFERROR(_xlfn.XLOOKUP($F161,Taxa_från_edp!$B:$B,Taxa_från_edp!C:C),""),"")</f>
        <v/>
      </c>
      <c r="I161" s="129" t="str">
        <f>IF($F161&lt;&gt;"",IFERROR(_xlfn.XLOOKUP($F161,Taxa_från_edp!$B:$B,Taxa_från_edp!G:G),""),"")</f>
        <v/>
      </c>
      <c r="J161" s="129" t="str">
        <f>IF($F161&lt;&gt;"",IFERROR(_xlfn.XLOOKUP($F161,Taxa_från_edp!$B:$B,Taxa_från_edp!K:K),""),"")</f>
        <v/>
      </c>
      <c r="K161" s="150"/>
      <c r="L161" s="151"/>
      <c r="M161" s="147" t="str">
        <f t="shared" si="26"/>
        <v/>
      </c>
      <c r="N161" s="148" t="str">
        <f t="shared" si="27"/>
        <v/>
      </c>
    </row>
    <row r="162" spans="1:14" ht="30" customHeight="1" x14ac:dyDescent="0.25">
      <c r="A162" s="68" t="s">
        <v>177</v>
      </c>
      <c r="B162" s="68" t="s">
        <v>1600</v>
      </c>
      <c r="C162" s="68" t="s">
        <v>181</v>
      </c>
      <c r="D162" s="68"/>
      <c r="E162" s="68" t="s">
        <v>54</v>
      </c>
      <c r="F162" s="107"/>
      <c r="G162" s="117" t="str">
        <f>IF($F162&lt;&gt;"",$F162,IFERROR(_xlfn.XLOOKUP(ROW(),Taxa_Saknas!$H:$H,Taxa_Saknas!$G:$G),""))</f>
        <v/>
      </c>
      <c r="H162" s="128" t="str">
        <f>IF($F162&lt;&gt;"",IFERROR(_xlfn.XLOOKUP($F162,Taxa_från_edp!$B:$B,Taxa_från_edp!C:C),""),"")</f>
        <v/>
      </c>
      <c r="I162" s="129" t="str">
        <f>IF($F162&lt;&gt;"",IFERROR(_xlfn.XLOOKUP($F162,Taxa_från_edp!$B:$B,Taxa_från_edp!G:G),""),"")</f>
        <v/>
      </c>
      <c r="J162" s="129" t="str">
        <f>IF($F162&lt;&gt;"",IFERROR(_xlfn.XLOOKUP($F162,Taxa_från_edp!$B:$B,Taxa_från_edp!K:K),""),"")</f>
        <v/>
      </c>
      <c r="K162" s="150"/>
      <c r="L162" s="151"/>
      <c r="M162" s="147" t="str">
        <f t="shared" ref="M162" si="42">IFERROR(IF(J162&lt;&gt;"",J162*1.25,IF(K162&lt;&gt;"",K162*1.25,"")),"")</f>
        <v/>
      </c>
      <c r="N162" s="148" t="str">
        <f t="shared" ref="N162" si="43">IFERROR(IF(J162&lt;&gt;"",L162*J162,IF(K162&lt;&gt;"",L162*K162,"")),"")</f>
        <v/>
      </c>
    </row>
    <row r="163" spans="1:14" ht="21.95" customHeight="1" x14ac:dyDescent="0.25">
      <c r="A163" s="97" t="s">
        <v>1601</v>
      </c>
      <c r="B163" s="98"/>
      <c r="C163" s="98"/>
      <c r="D163" s="98"/>
      <c r="E163" s="99"/>
      <c r="F163" s="138"/>
      <c r="G163" s="139" t="str">
        <f>IF($F163&lt;&gt;"",$F163,IFERROR(_xlfn.XLOOKUP(ROW(),Taxa_Saknas!$H:$H,Taxa_Saknas!$G:$G),""))</f>
        <v/>
      </c>
      <c r="H163" s="139" t="str">
        <f>IF($F163&lt;&gt;"",IFERROR(_xlfn.XLOOKUP($F163,Taxa_från_edp!$B:$B,Taxa_från_edp!C:C),""),"")</f>
        <v/>
      </c>
      <c r="I163" s="139" t="str">
        <f>IF($F163&lt;&gt;"",IFERROR(_xlfn.XLOOKUP($F163,Taxa_från_edp!$B:$B,Taxa_från_edp!G:G),""),"")</f>
        <v/>
      </c>
      <c r="J163" s="140" t="str">
        <f>IF($F163&lt;&gt;"",IFERROR(_xlfn.XLOOKUP($F163,Taxa_från_edp!$B:$B,Taxa_från_edp!K:K),""),"")</f>
        <v/>
      </c>
      <c r="K163" s="141"/>
      <c r="L163" s="141"/>
      <c r="M163" s="141" t="str">
        <f t="shared" si="26"/>
        <v/>
      </c>
      <c r="N163" s="142" t="str">
        <f t="shared" si="27"/>
        <v/>
      </c>
    </row>
    <row r="164" spans="1:14" ht="21.95" customHeight="1" x14ac:dyDescent="0.25">
      <c r="A164" s="93" t="s">
        <v>1604</v>
      </c>
      <c r="B164" s="94"/>
      <c r="C164" s="94"/>
      <c r="D164" s="94"/>
      <c r="E164" s="95"/>
      <c r="F164" s="112"/>
      <c r="G164" s="120" t="str">
        <f>IF($F164&lt;&gt;"",$F164,IFERROR(_xlfn.XLOOKUP(ROW(),Taxa_Saknas!$H:$H,Taxa_Saknas!$G:$G),""))</f>
        <v/>
      </c>
      <c r="H164" s="120" t="str">
        <f>IF($F164&lt;&gt;"",IFERROR(_xlfn.XLOOKUP($F164,Taxa_från_edp!$B:$B,Taxa_från_edp!C:C),""),"")</f>
        <v/>
      </c>
      <c r="I164" s="120" t="str">
        <f>IF($F164&lt;&gt;"",IFERROR(_xlfn.XLOOKUP($F164,Taxa_från_edp!$B:$B,Taxa_från_edp!G:G),""),"")</f>
        <v/>
      </c>
      <c r="J164" s="120" t="str">
        <f>IF($F164&lt;&gt;"",IFERROR(_xlfn.XLOOKUP($F164,Taxa_från_edp!$B:$B,Taxa_från_edp!K:K),""),"")</f>
        <v/>
      </c>
      <c r="K164" s="120"/>
      <c r="L164" s="120"/>
      <c r="M164" s="120" t="str">
        <f t="shared" si="26"/>
        <v/>
      </c>
      <c r="N164" s="143" t="str">
        <f t="shared" si="27"/>
        <v/>
      </c>
    </row>
    <row r="165" spans="1:14" ht="21.95" customHeight="1" x14ac:dyDescent="0.25">
      <c r="A165" s="83" t="s">
        <v>1605</v>
      </c>
      <c r="B165" s="84"/>
      <c r="C165" s="84"/>
      <c r="D165" s="84"/>
      <c r="E165" s="85"/>
      <c r="F165" s="114"/>
      <c r="G165" s="122" t="str">
        <f>IF($F165&lt;&gt;"",$F165,IFERROR(_xlfn.XLOOKUP(ROW(),Taxa_Saknas!$H:$H,Taxa_Saknas!$G:$G),""))</f>
        <v/>
      </c>
      <c r="H165" s="122" t="str">
        <f>IF($F165&lt;&gt;"",IFERROR(_xlfn.XLOOKUP($F165,Taxa_från_edp!$B:$B,Taxa_från_edp!C:C),""),"")</f>
        <v/>
      </c>
      <c r="I165" s="149" t="str">
        <f>IF($F165&lt;&gt;"",IFERROR(_xlfn.XLOOKUP($F165,Taxa_från_edp!$B:$B,Taxa_från_edp!G:G),""),"")</f>
        <v/>
      </c>
      <c r="J165" s="149" t="str">
        <f>IF($F165&lt;&gt;"",IFERROR(_xlfn.XLOOKUP($F165,Taxa_från_edp!$B:$B,Taxa_från_edp!K:K),""),"")</f>
        <v/>
      </c>
      <c r="K165" s="149"/>
      <c r="L165" s="149"/>
      <c r="M165" s="121" t="str">
        <f t="shared" si="26"/>
        <v/>
      </c>
      <c r="N165" s="144" t="str">
        <f t="shared" si="27"/>
        <v/>
      </c>
    </row>
    <row r="166" spans="1:14" ht="30" customHeight="1" x14ac:dyDescent="0.25">
      <c r="A166" s="68" t="s">
        <v>1602</v>
      </c>
      <c r="B166" s="68" t="s">
        <v>182</v>
      </c>
      <c r="C166" s="100" t="s">
        <v>227</v>
      </c>
      <c r="D166" s="68"/>
      <c r="E166" s="68" t="s">
        <v>184</v>
      </c>
      <c r="F166" s="106" t="s">
        <v>387</v>
      </c>
      <c r="G166" s="116" t="str">
        <f>IF($F166&lt;&gt;"",$F166,IFERROR(_xlfn.XLOOKUP(ROW(),Taxa_Saknas!$H:$H,Taxa_Saknas!$G:$G),""))</f>
        <v>BRN03SLORD</v>
      </c>
      <c r="H166" s="126" t="str">
        <f>IF($F166&lt;&gt;"",IFERROR(_xlfn.XLOOKUP($F166,Taxa_från_edp!$B:$B,Taxa_från_edp!C:C),""),"")</f>
        <v>Brunn 0-3 m³, slam. Ord. tur</v>
      </c>
      <c r="I166" s="127" t="str">
        <f>IF($F166&lt;&gt;"",IFERROR(_xlfn.XLOOKUP($F166,Taxa_från_edp!$B:$B,Taxa_från_edp!G:G),""),"")</f>
        <v>ÅRKV</v>
      </c>
      <c r="J166" s="127">
        <f>IF($F166&lt;&gt;"",IFERROR(_xlfn.XLOOKUP($F166,Taxa_från_edp!$B:$B,Taxa_från_edp!K:K),""),"")</f>
        <v>0</v>
      </c>
      <c r="K166" s="145"/>
      <c r="L166" s="146"/>
      <c r="M166" s="147">
        <f t="shared" si="26"/>
        <v>0</v>
      </c>
      <c r="N166" s="148">
        <f t="shared" si="27"/>
        <v>0</v>
      </c>
    </row>
    <row r="167" spans="1:14" ht="30" customHeight="1" x14ac:dyDescent="0.25">
      <c r="A167" s="68" t="s">
        <v>1602</v>
      </c>
      <c r="B167" s="68" t="s">
        <v>182</v>
      </c>
      <c r="C167" s="68" t="s">
        <v>183</v>
      </c>
      <c r="D167" s="68"/>
      <c r="E167" s="68" t="s">
        <v>184</v>
      </c>
      <c r="F167" s="106" t="s">
        <v>359</v>
      </c>
      <c r="G167" s="116" t="str">
        <f>IF($F167&lt;&gt;"",$F167,IFERROR(_xlfn.XLOOKUP(ROW(),Taxa_Saknas!$H:$H,Taxa_Saknas!$G:$G),""))</f>
        <v>BDT36SLORD</v>
      </c>
      <c r="H167" s="126" t="str">
        <f>IF($F167&lt;&gt;"",IFERROR(_xlfn.XLOOKUP($F167,Taxa_från_edp!$B:$B,Taxa_från_edp!C:C),""),"")</f>
        <v>BDT 3,1-6 m³, slam. Ord. tur</v>
      </c>
      <c r="I167" s="127" t="str">
        <f>IF($F167&lt;&gt;"",IFERROR(_xlfn.XLOOKUP($F167,Taxa_från_edp!$B:$B,Taxa_från_edp!G:G),""),"")</f>
        <v>ÅRKV</v>
      </c>
      <c r="J167" s="127">
        <f>IF($F167&lt;&gt;"",IFERROR(_xlfn.XLOOKUP($F167,Taxa_från_edp!$B:$B,Taxa_från_edp!K:K),""),"")</f>
        <v>0</v>
      </c>
      <c r="K167" s="145"/>
      <c r="L167" s="146"/>
      <c r="M167" s="147">
        <f t="shared" ref="M167" si="44">IFERROR(IF(J167&lt;&gt;"",J167*1.25,IF(K167&lt;&gt;"",K167*1.25,"")),"")</f>
        <v>0</v>
      </c>
      <c r="N167" s="148">
        <f t="shared" ref="N167" si="45">IFERROR(IF(J167&lt;&gt;"",L167*J167,IF(K167&lt;&gt;"",L167*K167,"")),"")</f>
        <v>0</v>
      </c>
    </row>
    <row r="168" spans="1:14" ht="30" customHeight="1" x14ac:dyDescent="0.25">
      <c r="A168" s="68" t="s">
        <v>1602</v>
      </c>
      <c r="B168" s="68" t="s">
        <v>182</v>
      </c>
      <c r="C168" s="68" t="s">
        <v>185</v>
      </c>
      <c r="D168" s="68"/>
      <c r="E168" s="68" t="s">
        <v>184</v>
      </c>
      <c r="F168" s="106" t="s">
        <v>396</v>
      </c>
      <c r="G168" s="116" t="str">
        <f>IF($F168&lt;&gt;"",$F168,IFERROR(_xlfn.XLOOKUP(ROW(),Taxa_Saknas!$H:$H,Taxa_Saknas!$G:$G),""))</f>
        <v>BRNÖ6SLORD</v>
      </c>
      <c r="H168" s="126" t="str">
        <f>IF($F168&lt;&gt;"",IFERROR(_xlfn.XLOOKUP($F168,Taxa_från_edp!$B:$B,Taxa_från_edp!C:C),""),"")</f>
        <v>Brunn över 6 m³, slam. Ord. tur</v>
      </c>
      <c r="I168" s="127" t="str">
        <f>IF($F168&lt;&gt;"",IFERROR(_xlfn.XLOOKUP($F168,Taxa_från_edp!$B:$B,Taxa_från_edp!G:G),""),"")</f>
        <v>ÅRKV</v>
      </c>
      <c r="J168" s="127">
        <f>IF($F168&lt;&gt;"",IFERROR(_xlfn.XLOOKUP($F168,Taxa_från_edp!$B:$B,Taxa_från_edp!K:K),""),"")</f>
        <v>0</v>
      </c>
      <c r="K168" s="145"/>
      <c r="L168" s="146"/>
      <c r="M168" s="147">
        <f t="shared" si="26"/>
        <v>0</v>
      </c>
      <c r="N168" s="148">
        <f t="shared" si="27"/>
        <v>0</v>
      </c>
    </row>
    <row r="169" spans="1:14" ht="30" customHeight="1" x14ac:dyDescent="0.25">
      <c r="A169" s="68" t="s">
        <v>1602</v>
      </c>
      <c r="B169" s="68" t="s">
        <v>182</v>
      </c>
      <c r="C169" s="68" t="s">
        <v>186</v>
      </c>
      <c r="D169" s="68"/>
      <c r="E169" s="68" t="s">
        <v>187</v>
      </c>
      <c r="F169" s="107"/>
      <c r="G169" s="117" t="str">
        <f>IF($F169&lt;&gt;"",$F169,IFERROR(_xlfn.XLOOKUP(ROW(),Taxa_Saknas!$H:$H,Taxa_Saknas!$G:$G),""))</f>
        <v/>
      </c>
      <c r="H169" s="128" t="str">
        <f>IF($F169&lt;&gt;"",IFERROR(_xlfn.XLOOKUP($F169,Taxa_från_edp!$B:$B,Taxa_från_edp!C:C),""),"")</f>
        <v/>
      </c>
      <c r="I169" s="129" t="str">
        <f>IF($F169&lt;&gt;"",IFERROR(_xlfn.XLOOKUP($F169,Taxa_från_edp!$B:$B,Taxa_från_edp!G:G),""),"")</f>
        <v/>
      </c>
      <c r="J169" s="129" t="str">
        <f>IF($F169&lt;&gt;"",IFERROR(_xlfn.XLOOKUP($F169,Taxa_från_edp!$B:$B,Taxa_från_edp!K:K),""),"")</f>
        <v/>
      </c>
      <c r="K169" s="150"/>
      <c r="L169" s="151"/>
      <c r="M169" s="147" t="str">
        <f t="shared" si="26"/>
        <v/>
      </c>
      <c r="N169" s="148" t="str">
        <f t="shared" si="27"/>
        <v/>
      </c>
    </row>
    <row r="170" spans="1:14" ht="30" customHeight="1" x14ac:dyDescent="0.25">
      <c r="A170" s="68" t="s">
        <v>1602</v>
      </c>
      <c r="B170" s="68" t="s">
        <v>182</v>
      </c>
      <c r="C170" s="68" t="s">
        <v>188</v>
      </c>
      <c r="D170" s="68"/>
      <c r="E170" s="68" t="s">
        <v>184</v>
      </c>
      <c r="F170" s="107" t="s">
        <v>354</v>
      </c>
      <c r="G170" s="117" t="str">
        <f>IF($F170&lt;&gt;"",$F170,IFERROR(_xlfn.XLOOKUP(ROW(),Taxa_Saknas!$H:$H,Taxa_Saknas!$G:$G),""))</f>
        <v>BDT03SLORD</v>
      </c>
      <c r="H170" s="128" t="str">
        <f>IF($F170&lt;&gt;"",IFERROR(_xlfn.XLOOKUP($F170,Taxa_från_edp!$B:$B,Taxa_från_edp!C:C),""),"")</f>
        <v>BDT 0-3 m³, slam. Ordinarie tur</v>
      </c>
      <c r="I170" s="129" t="str">
        <f>IF($F170&lt;&gt;"",IFERROR(_xlfn.XLOOKUP($F170,Taxa_från_edp!$B:$B,Taxa_från_edp!G:G),""),"")</f>
        <v>ÅRKV</v>
      </c>
      <c r="J170" s="129">
        <f>IF($F170&lt;&gt;"",IFERROR(_xlfn.XLOOKUP($F170,Taxa_från_edp!$B:$B,Taxa_från_edp!K:K),""),"")</f>
        <v>1420</v>
      </c>
      <c r="K170" s="150"/>
      <c r="L170" s="151"/>
      <c r="M170" s="147">
        <f t="shared" si="26"/>
        <v>1775</v>
      </c>
      <c r="N170" s="148">
        <f t="shared" si="27"/>
        <v>0</v>
      </c>
    </row>
    <row r="171" spans="1:14" ht="30" customHeight="1" x14ac:dyDescent="0.25">
      <c r="A171" s="68" t="s">
        <v>1602</v>
      </c>
      <c r="B171" s="68" t="s">
        <v>182</v>
      </c>
      <c r="C171" s="100" t="s">
        <v>1779</v>
      </c>
      <c r="D171" s="68"/>
      <c r="E171" s="100" t="s">
        <v>187</v>
      </c>
      <c r="F171" s="107"/>
      <c r="G171" s="117" t="str">
        <f>IF($F171&lt;&gt;"",$F171,IFERROR(_xlfn.XLOOKUP(ROW(),Taxa_Saknas!$H:$H,Taxa_Saknas!$G:$G),""))</f>
        <v/>
      </c>
      <c r="H171" s="128" t="str">
        <f>IF($F171&lt;&gt;"",IFERROR(_xlfn.XLOOKUP($F171,Taxa_från_edp!$B:$B,Taxa_från_edp!C:C),""),"")</f>
        <v/>
      </c>
      <c r="I171" s="129" t="str">
        <f>IF($F171&lt;&gt;"",IFERROR(_xlfn.XLOOKUP($F171,Taxa_från_edp!$B:$B,Taxa_från_edp!G:G),""),"")</f>
        <v/>
      </c>
      <c r="J171" s="129" t="str">
        <f>IF($F171&lt;&gt;"",IFERROR(_xlfn.XLOOKUP($F171,Taxa_från_edp!$B:$B,Taxa_från_edp!K:K),""),"")</f>
        <v/>
      </c>
      <c r="K171" s="150"/>
      <c r="L171" s="151"/>
      <c r="M171" s="147" t="str">
        <f t="shared" ref="M171" si="46">IFERROR(IF(J171&lt;&gt;"",J171*1.25,IF(K171&lt;&gt;"",K171*1.25,"")),"")</f>
        <v/>
      </c>
      <c r="N171" s="148" t="str">
        <f t="shared" ref="N171" si="47">IFERROR(IF(J171&lt;&gt;"",L171*J171,IF(K171&lt;&gt;"",L171*K171,"")),"")</f>
        <v/>
      </c>
    </row>
    <row r="172" spans="1:14" ht="21.95" customHeight="1" x14ac:dyDescent="0.25">
      <c r="A172" s="93" t="s">
        <v>189</v>
      </c>
      <c r="B172" s="94"/>
      <c r="C172" s="94"/>
      <c r="D172" s="94"/>
      <c r="E172" s="95"/>
      <c r="F172" s="112"/>
      <c r="G172" s="120" t="str">
        <f>IF($F172&lt;&gt;"",$F172,IFERROR(_xlfn.XLOOKUP(ROW(),Taxa_Saknas!$H:$H,Taxa_Saknas!$G:$G),""))</f>
        <v/>
      </c>
      <c r="H172" s="120" t="str">
        <f>IF($F172&lt;&gt;"",IFERROR(_xlfn.XLOOKUP($F172,Taxa_från_edp!$B:$B,Taxa_från_edp!C:C),""),"")</f>
        <v/>
      </c>
      <c r="I172" s="120" t="str">
        <f>IF($F172&lt;&gt;"",IFERROR(_xlfn.XLOOKUP($F172,Taxa_från_edp!$B:$B,Taxa_från_edp!G:G),""),"")</f>
        <v/>
      </c>
      <c r="J172" s="120" t="str">
        <f>IF($F172&lt;&gt;"",IFERROR(_xlfn.XLOOKUP($F172,Taxa_från_edp!$B:$B,Taxa_från_edp!K:K),""),"")</f>
        <v/>
      </c>
      <c r="K172" s="120"/>
      <c r="L172" s="120"/>
      <c r="M172" s="120" t="str">
        <f t="shared" si="26"/>
        <v/>
      </c>
      <c r="N172" s="143" t="str">
        <f t="shared" si="27"/>
        <v/>
      </c>
    </row>
    <row r="173" spans="1:14" ht="21.95" customHeight="1" x14ac:dyDescent="0.25">
      <c r="A173" s="83" t="s">
        <v>1606</v>
      </c>
      <c r="B173" s="84"/>
      <c r="C173" s="84"/>
      <c r="D173" s="84"/>
      <c r="E173" s="85"/>
      <c r="F173" s="113"/>
      <c r="G173" s="121" t="str">
        <f>IF($F173&lt;&gt;"",$F173,IFERROR(_xlfn.XLOOKUP(ROW(),Taxa_Saknas!$H:$H,Taxa_Saknas!$G:$G),""))</f>
        <v/>
      </c>
      <c r="H173" s="121" t="str">
        <f>IF($F173&lt;&gt;"",IFERROR(_xlfn.XLOOKUP($F173,Taxa_från_edp!$B:$B,Taxa_från_edp!C:C),""),"")</f>
        <v/>
      </c>
      <c r="I173" s="121" t="str">
        <f>IF($F173&lt;&gt;"",IFERROR(_xlfn.XLOOKUP($F173,Taxa_från_edp!$B:$B,Taxa_från_edp!G:G),""),"")</f>
        <v/>
      </c>
      <c r="J173" s="121" t="str">
        <f>IF($F173&lt;&gt;"",IFERROR(_xlfn.XLOOKUP($F173,Taxa_från_edp!$B:$B,Taxa_från_edp!K:K),""),"")</f>
        <v/>
      </c>
      <c r="K173" s="121"/>
      <c r="L173" s="121"/>
      <c r="M173" s="121" t="str">
        <f t="shared" si="26"/>
        <v/>
      </c>
      <c r="N173" s="144" t="str">
        <f t="shared" si="27"/>
        <v/>
      </c>
    </row>
    <row r="174" spans="1:14" x14ac:dyDescent="0.25">
      <c r="A174" s="68" t="s">
        <v>1603</v>
      </c>
      <c r="B174" s="68" t="s">
        <v>190</v>
      </c>
      <c r="C174" s="68" t="s">
        <v>232</v>
      </c>
      <c r="D174" s="68"/>
      <c r="E174" s="68" t="s">
        <v>192</v>
      </c>
      <c r="F174" s="106"/>
      <c r="G174" s="116" t="str">
        <f>IF($F174&lt;&gt;"",$F174,IFERROR(_xlfn.XLOOKUP(ROW(),Taxa_Saknas!$H:$H,Taxa_Saknas!$G:$G),""))</f>
        <v/>
      </c>
      <c r="H174" s="126" t="str">
        <f>IF($F174&lt;&gt;"",IFERROR(_xlfn.XLOOKUP($F174,Taxa_från_edp!$B:$B,Taxa_från_edp!C:C),""),"")</f>
        <v/>
      </c>
      <c r="I174" s="127" t="str">
        <f>IF($F174&lt;&gt;"",IFERROR(_xlfn.XLOOKUP($F174,Taxa_från_edp!$B:$B,Taxa_från_edp!G:G),""),"")</f>
        <v/>
      </c>
      <c r="J174" s="127" t="str">
        <f>IF($F174&lt;&gt;"",IFERROR(_xlfn.XLOOKUP($F174,Taxa_från_edp!$B:$B,Taxa_från_edp!K:K),""),"")</f>
        <v/>
      </c>
      <c r="K174" s="145"/>
      <c r="L174" s="146"/>
      <c r="M174" s="147" t="str">
        <f t="shared" si="26"/>
        <v/>
      </c>
      <c r="N174" s="148" t="str">
        <f t="shared" si="27"/>
        <v/>
      </c>
    </row>
    <row r="175" spans="1:14" x14ac:dyDescent="0.25">
      <c r="A175" s="68" t="s">
        <v>1603</v>
      </c>
      <c r="B175" s="68" t="s">
        <v>190</v>
      </c>
      <c r="C175" s="68" t="s">
        <v>191</v>
      </c>
      <c r="D175" s="68"/>
      <c r="E175" s="68" t="s">
        <v>192</v>
      </c>
      <c r="F175" s="106"/>
      <c r="G175" s="116" t="str">
        <f>IF($F175&lt;&gt;"",$F175,IFERROR(_xlfn.XLOOKUP(ROW(),Taxa_Saknas!$H:$H,Taxa_Saknas!$G:$G),""))</f>
        <v/>
      </c>
      <c r="H175" s="126" t="str">
        <f>IF($F175&lt;&gt;"",IFERROR(_xlfn.XLOOKUP($F175,Taxa_från_edp!$B:$B,Taxa_från_edp!C:C),""),"")</f>
        <v/>
      </c>
      <c r="I175" s="127" t="str">
        <f>IF($F175&lt;&gt;"",IFERROR(_xlfn.XLOOKUP($F175,Taxa_från_edp!$B:$B,Taxa_från_edp!G:G),""),"")</f>
        <v/>
      </c>
      <c r="J175" s="127" t="str">
        <f>IF($F175&lt;&gt;"",IFERROR(_xlfn.XLOOKUP($F175,Taxa_från_edp!$B:$B,Taxa_från_edp!K:K),""),"")</f>
        <v/>
      </c>
      <c r="K175" s="145"/>
      <c r="L175" s="146"/>
      <c r="M175" s="147" t="str">
        <f t="shared" ref="M175" si="48">IFERROR(IF(J175&lt;&gt;"",J175*1.25,IF(K175&lt;&gt;"",K175*1.25,"")),"")</f>
        <v/>
      </c>
      <c r="N175" s="148" t="str">
        <f t="shared" ref="N175" si="49">IFERROR(IF(J175&lt;&gt;"",L175*J175,IF(K175&lt;&gt;"",L175*K175,"")),"")</f>
        <v/>
      </c>
    </row>
    <row r="176" spans="1:14" x14ac:dyDescent="0.25">
      <c r="A176" s="68" t="s">
        <v>1603</v>
      </c>
      <c r="B176" s="68" t="s">
        <v>190</v>
      </c>
      <c r="C176" s="68" t="s">
        <v>193</v>
      </c>
      <c r="D176" s="68"/>
      <c r="E176" s="68" t="s">
        <v>192</v>
      </c>
      <c r="F176" s="106"/>
      <c r="G176" s="116" t="str">
        <f>IF($F176&lt;&gt;"",$F176,IFERROR(_xlfn.XLOOKUP(ROW(),Taxa_Saknas!$H:$H,Taxa_Saknas!$G:$G),""))</f>
        <v/>
      </c>
      <c r="H176" s="126" t="str">
        <f>IF($F176&lt;&gt;"",IFERROR(_xlfn.XLOOKUP($F176,Taxa_från_edp!$B:$B,Taxa_från_edp!C:C),""),"")</f>
        <v/>
      </c>
      <c r="I176" s="127" t="str">
        <f>IF($F176&lt;&gt;"",IFERROR(_xlfn.XLOOKUP($F176,Taxa_från_edp!$B:$B,Taxa_från_edp!G:G),""),"")</f>
        <v/>
      </c>
      <c r="J176" s="127" t="str">
        <f>IF($F176&lt;&gt;"",IFERROR(_xlfn.XLOOKUP($F176,Taxa_från_edp!$B:$B,Taxa_från_edp!K:K),""),"")</f>
        <v/>
      </c>
      <c r="K176" s="145"/>
      <c r="L176" s="146"/>
      <c r="M176" s="147" t="str">
        <f t="shared" si="26"/>
        <v/>
      </c>
      <c r="N176" s="148" t="str">
        <f t="shared" si="27"/>
        <v/>
      </c>
    </row>
    <row r="177" spans="1:14" x14ac:dyDescent="0.25">
      <c r="A177" s="68" t="s">
        <v>1603</v>
      </c>
      <c r="B177" s="68" t="s">
        <v>190</v>
      </c>
      <c r="C177" s="68" t="s">
        <v>1607</v>
      </c>
      <c r="D177" s="68"/>
      <c r="E177" s="68" t="s">
        <v>192</v>
      </c>
      <c r="F177" s="106"/>
      <c r="G177" s="116" t="str">
        <f>IF($F177&lt;&gt;"",$F177,IFERROR(_xlfn.XLOOKUP(ROW(),Taxa_Saknas!$H:$H,Taxa_Saknas!$G:$G),""))</f>
        <v/>
      </c>
      <c r="H177" s="126" t="str">
        <f>IF($F177&lt;&gt;"",IFERROR(_xlfn.XLOOKUP($F177,Taxa_från_edp!$B:$B,Taxa_från_edp!C:C),""),"")</f>
        <v/>
      </c>
      <c r="I177" s="127" t="str">
        <f>IF($F177&lt;&gt;"",IFERROR(_xlfn.XLOOKUP($F177,Taxa_från_edp!$B:$B,Taxa_från_edp!G:G),""),"")</f>
        <v/>
      </c>
      <c r="J177" s="127" t="str">
        <f>IF($F177&lt;&gt;"",IFERROR(_xlfn.XLOOKUP($F177,Taxa_från_edp!$B:$B,Taxa_från_edp!K:K),""),"")</f>
        <v/>
      </c>
      <c r="K177" s="145"/>
      <c r="L177" s="146"/>
      <c r="M177" s="147" t="str">
        <f t="shared" ref="M177" si="50">IFERROR(IF(J177&lt;&gt;"",J177*1.25,IF(K177&lt;&gt;"",K177*1.25,"")),"")</f>
        <v/>
      </c>
      <c r="N177" s="148" t="str">
        <f t="shared" ref="N177" si="51">IFERROR(IF(J177&lt;&gt;"",L177*J177,IF(K177&lt;&gt;"",L177*K177,"")),"")</f>
        <v/>
      </c>
    </row>
    <row r="178" spans="1:14" x14ac:dyDescent="0.25">
      <c r="A178" s="68" t="s">
        <v>1603</v>
      </c>
      <c r="B178" s="68" t="s">
        <v>190</v>
      </c>
      <c r="C178" s="68" t="s">
        <v>194</v>
      </c>
      <c r="D178" s="68"/>
      <c r="E178" s="68" t="s">
        <v>192</v>
      </c>
      <c r="F178" s="106"/>
      <c r="G178" s="116" t="str">
        <f>IF($F178&lt;&gt;"",$F178,IFERROR(_xlfn.XLOOKUP(ROW(),Taxa_Saknas!$H:$H,Taxa_Saknas!$G:$G),""))</f>
        <v/>
      </c>
      <c r="H178" s="126" t="str">
        <f>IF($F178&lt;&gt;"",IFERROR(_xlfn.XLOOKUP($F178,Taxa_från_edp!$B:$B,Taxa_från_edp!C:C),""),"")</f>
        <v/>
      </c>
      <c r="I178" s="127" t="str">
        <f>IF($F178&lt;&gt;"",IFERROR(_xlfn.XLOOKUP($F178,Taxa_från_edp!$B:$B,Taxa_från_edp!G:G),""),"")</f>
        <v/>
      </c>
      <c r="J178" s="127" t="str">
        <f>IF($F178&lt;&gt;"",IFERROR(_xlfn.XLOOKUP($F178,Taxa_från_edp!$B:$B,Taxa_från_edp!K:K),""),"")</f>
        <v/>
      </c>
      <c r="K178" s="145"/>
      <c r="L178" s="146"/>
      <c r="M178" s="147" t="str">
        <f t="shared" si="26"/>
        <v/>
      </c>
      <c r="N178" s="148" t="str">
        <f t="shared" si="27"/>
        <v/>
      </c>
    </row>
    <row r="179" spans="1:14" x14ac:dyDescent="0.25">
      <c r="A179" s="68" t="s">
        <v>1603</v>
      </c>
      <c r="B179" s="68" t="s">
        <v>190</v>
      </c>
      <c r="C179" s="68" t="s">
        <v>195</v>
      </c>
      <c r="D179" s="68"/>
      <c r="E179" s="68" t="s">
        <v>192</v>
      </c>
      <c r="F179" s="106"/>
      <c r="G179" s="116" t="str">
        <f>IF($F179&lt;&gt;"",$F179,IFERROR(_xlfn.XLOOKUP(ROW(),Taxa_Saknas!$H:$H,Taxa_Saknas!$G:$G),""))</f>
        <v/>
      </c>
      <c r="H179" s="126" t="str">
        <f>IF($F179&lt;&gt;"",IFERROR(_xlfn.XLOOKUP($F179,Taxa_från_edp!$B:$B,Taxa_från_edp!C:C),""),"")</f>
        <v/>
      </c>
      <c r="I179" s="127" t="str">
        <f>IF($F179&lt;&gt;"",IFERROR(_xlfn.XLOOKUP($F179,Taxa_från_edp!$B:$B,Taxa_från_edp!G:G),""),"")</f>
        <v/>
      </c>
      <c r="J179" s="127" t="str">
        <f>IF($F179&lt;&gt;"",IFERROR(_xlfn.XLOOKUP($F179,Taxa_från_edp!$B:$B,Taxa_från_edp!K:K),""),"")</f>
        <v/>
      </c>
      <c r="K179" s="145"/>
      <c r="L179" s="146"/>
      <c r="M179" s="147" t="str">
        <f t="shared" si="26"/>
        <v/>
      </c>
      <c r="N179" s="148" t="str">
        <f t="shared" si="27"/>
        <v/>
      </c>
    </row>
    <row r="180" spans="1:14" ht="45" customHeight="1" x14ac:dyDescent="0.25">
      <c r="A180" s="68" t="s">
        <v>1603</v>
      </c>
      <c r="B180" s="68" t="s">
        <v>190</v>
      </c>
      <c r="C180" s="68" t="s">
        <v>196</v>
      </c>
      <c r="D180" s="68"/>
      <c r="E180" s="68" t="s">
        <v>192</v>
      </c>
      <c r="F180" s="106"/>
      <c r="G180" s="116" t="str">
        <f>IF($F180&lt;&gt;"",$F180,IFERROR(_xlfn.XLOOKUP(ROW(),Taxa_Saknas!$H:$H,Taxa_Saknas!$G:$G),""))</f>
        <v/>
      </c>
      <c r="H180" s="126" t="str">
        <f>IF($F180&lt;&gt;"",IFERROR(_xlfn.XLOOKUP($F180,Taxa_från_edp!$B:$B,Taxa_från_edp!C:C),""),"")</f>
        <v/>
      </c>
      <c r="I180" s="127" t="str">
        <f>IF($F180&lt;&gt;"",IFERROR(_xlfn.XLOOKUP($F180,Taxa_från_edp!$B:$B,Taxa_från_edp!G:G),""),"")</f>
        <v/>
      </c>
      <c r="J180" s="127" t="str">
        <f>IF($F180&lt;&gt;"",IFERROR(_xlfn.XLOOKUP($F180,Taxa_från_edp!$B:$B,Taxa_från_edp!K:K),""),"")</f>
        <v/>
      </c>
      <c r="K180" s="145"/>
      <c r="L180" s="146"/>
      <c r="M180" s="147" t="str">
        <f t="shared" si="26"/>
        <v/>
      </c>
      <c r="N180" s="148" t="str">
        <f t="shared" si="27"/>
        <v/>
      </c>
    </row>
    <row r="181" spans="1:14" ht="30" customHeight="1" x14ac:dyDescent="0.25">
      <c r="A181" s="68" t="s">
        <v>1603</v>
      </c>
      <c r="B181" s="68" t="s">
        <v>190</v>
      </c>
      <c r="C181" s="68" t="s">
        <v>197</v>
      </c>
      <c r="D181" s="68"/>
      <c r="E181" s="68" t="s">
        <v>192</v>
      </c>
      <c r="F181" s="106"/>
      <c r="G181" s="116" t="str">
        <f>IF($F181&lt;&gt;"",$F181,IFERROR(_xlfn.XLOOKUP(ROW(),Taxa_Saknas!$H:$H,Taxa_Saknas!$G:$G),""))</f>
        <v/>
      </c>
      <c r="H181" s="126" t="str">
        <f>IF($F181&lt;&gt;"",IFERROR(_xlfn.XLOOKUP($F181,Taxa_från_edp!$B:$B,Taxa_från_edp!C:C),""),"")</f>
        <v/>
      </c>
      <c r="I181" s="127" t="str">
        <f>IF($F181&lt;&gt;"",IFERROR(_xlfn.XLOOKUP($F181,Taxa_från_edp!$B:$B,Taxa_från_edp!G:G),""),"")</f>
        <v/>
      </c>
      <c r="J181" s="127" t="str">
        <f>IF($F181&lt;&gt;"",IFERROR(_xlfn.XLOOKUP($F181,Taxa_från_edp!$B:$B,Taxa_från_edp!K:K),""),"")</f>
        <v/>
      </c>
      <c r="K181" s="145"/>
      <c r="L181" s="146"/>
      <c r="M181" s="147" t="str">
        <f t="shared" si="26"/>
        <v/>
      </c>
      <c r="N181" s="148" t="str">
        <f t="shared" si="27"/>
        <v/>
      </c>
    </row>
    <row r="182" spans="1:14" x14ac:dyDescent="0.25">
      <c r="A182" s="68" t="s">
        <v>1603</v>
      </c>
      <c r="B182" s="68" t="s">
        <v>190</v>
      </c>
      <c r="C182" s="68" t="s">
        <v>198</v>
      </c>
      <c r="D182" s="68"/>
      <c r="E182" s="68" t="s">
        <v>192</v>
      </c>
      <c r="F182" s="107"/>
      <c r="G182" s="117" t="str">
        <f>IF($F182&lt;&gt;"",$F182,IFERROR(_xlfn.XLOOKUP(ROW(),Taxa_Saknas!$H:$H,Taxa_Saknas!$G:$G),""))</f>
        <v/>
      </c>
      <c r="H182" s="128" t="str">
        <f>IF($F182&lt;&gt;"",IFERROR(_xlfn.XLOOKUP($F182,Taxa_från_edp!$B:$B,Taxa_från_edp!C:C),""),"")</f>
        <v/>
      </c>
      <c r="I182" s="129" t="str">
        <f>IF($F182&lt;&gt;"",IFERROR(_xlfn.XLOOKUP($F182,Taxa_från_edp!$B:$B,Taxa_från_edp!G:G),""),"")</f>
        <v/>
      </c>
      <c r="J182" s="129" t="str">
        <f>IF($F182&lt;&gt;"",IFERROR(_xlfn.XLOOKUP($F182,Taxa_från_edp!$B:$B,Taxa_från_edp!K:K),""),"")</f>
        <v/>
      </c>
      <c r="K182" s="150"/>
      <c r="L182" s="151"/>
      <c r="M182" s="147" t="str">
        <f t="shared" si="26"/>
        <v/>
      </c>
      <c r="N182" s="148" t="str">
        <f t="shared" si="27"/>
        <v/>
      </c>
    </row>
    <row r="183" spans="1:14" ht="45" customHeight="1" x14ac:dyDescent="0.25">
      <c r="A183" s="68" t="s">
        <v>1603</v>
      </c>
      <c r="B183" s="68" t="s">
        <v>190</v>
      </c>
      <c r="C183" s="68" t="s">
        <v>199</v>
      </c>
      <c r="D183" s="68"/>
      <c r="E183" s="68" t="s">
        <v>192</v>
      </c>
      <c r="F183" s="107"/>
      <c r="G183" s="117" t="str">
        <f>IF($F183&lt;&gt;"",$F183,IFERROR(_xlfn.XLOOKUP(ROW(),Taxa_Saknas!$H:$H,Taxa_Saknas!$G:$G),""))</f>
        <v/>
      </c>
      <c r="H183" s="128" t="str">
        <f>IF($F183&lt;&gt;"",IFERROR(_xlfn.XLOOKUP($F183,Taxa_från_edp!$B:$B,Taxa_från_edp!C:C),""),"")</f>
        <v/>
      </c>
      <c r="I183" s="129" t="str">
        <f>IF($F183&lt;&gt;"",IFERROR(_xlfn.XLOOKUP($F183,Taxa_från_edp!$B:$B,Taxa_från_edp!G:G),""),"")</f>
        <v/>
      </c>
      <c r="J183" s="129" t="str">
        <f>IF($F183&lt;&gt;"",IFERROR(_xlfn.XLOOKUP($F183,Taxa_från_edp!$B:$B,Taxa_från_edp!K:K),""),"")</f>
        <v/>
      </c>
      <c r="K183" s="150"/>
      <c r="L183" s="151"/>
      <c r="M183" s="147" t="str">
        <f t="shared" si="26"/>
        <v/>
      </c>
      <c r="N183" s="148" t="str">
        <f t="shared" si="27"/>
        <v/>
      </c>
    </row>
    <row r="184" spans="1:14" ht="30" customHeight="1" x14ac:dyDescent="0.25">
      <c r="A184" s="68" t="s">
        <v>1603</v>
      </c>
      <c r="B184" s="68" t="s">
        <v>190</v>
      </c>
      <c r="C184" s="68" t="s">
        <v>200</v>
      </c>
      <c r="D184" s="68"/>
      <c r="E184" s="68" t="s">
        <v>192</v>
      </c>
      <c r="F184" s="106"/>
      <c r="G184" s="116" t="str">
        <f>IF($F184&lt;&gt;"",$F184,IFERROR(_xlfn.XLOOKUP(ROW(),Taxa_Saknas!$H:$H,Taxa_Saknas!$G:$G),""))</f>
        <v/>
      </c>
      <c r="H184" s="126" t="str">
        <f>IF($F184&lt;&gt;"",IFERROR(_xlfn.XLOOKUP($F184,Taxa_från_edp!$B:$B,Taxa_från_edp!C:C),""),"")</f>
        <v/>
      </c>
      <c r="I184" s="127" t="str">
        <f>IF($F184&lt;&gt;"",IFERROR(_xlfn.XLOOKUP($F184,Taxa_från_edp!$B:$B,Taxa_från_edp!G:G),""),"")</f>
        <v/>
      </c>
      <c r="J184" s="127" t="str">
        <f>IF($F184&lt;&gt;"",IFERROR(_xlfn.XLOOKUP($F184,Taxa_från_edp!$B:$B,Taxa_från_edp!K:K),""),"")</f>
        <v/>
      </c>
      <c r="K184" s="145"/>
      <c r="L184" s="146"/>
      <c r="M184" s="147" t="str">
        <f t="shared" si="26"/>
        <v/>
      </c>
      <c r="N184" s="148" t="str">
        <f t="shared" si="27"/>
        <v/>
      </c>
    </row>
    <row r="185" spans="1:14" ht="21.95" customHeight="1" x14ac:dyDescent="0.25">
      <c r="A185" s="93" t="s">
        <v>201</v>
      </c>
      <c r="B185" s="94"/>
      <c r="C185" s="94"/>
      <c r="D185" s="94"/>
      <c r="E185" s="95"/>
      <c r="F185" s="112"/>
      <c r="G185" s="120" t="str">
        <f>IF($F185&lt;&gt;"",$F185,IFERROR(_xlfn.XLOOKUP(ROW(),Taxa_Saknas!$H:$H,Taxa_Saknas!$G:$G),""))</f>
        <v/>
      </c>
      <c r="H185" s="120" t="str">
        <f>IF($F185&lt;&gt;"",IFERROR(_xlfn.XLOOKUP($F185,Taxa_från_edp!$B:$B,Taxa_från_edp!C:C),""),"")</f>
        <v/>
      </c>
      <c r="I185" s="120" t="str">
        <f>IF($F185&lt;&gt;"",IFERROR(_xlfn.XLOOKUP($F185,Taxa_från_edp!$B:$B,Taxa_från_edp!G:G),""),"")</f>
        <v/>
      </c>
      <c r="J185" s="120" t="str">
        <f>IF($F185&lt;&gt;"",IFERROR(_xlfn.XLOOKUP($F185,Taxa_från_edp!$B:$B,Taxa_från_edp!K:K),""),"")</f>
        <v/>
      </c>
      <c r="K185" s="120"/>
      <c r="L185" s="120"/>
      <c r="M185" s="120" t="str">
        <f t="shared" si="26"/>
        <v/>
      </c>
      <c r="N185" s="143" t="str">
        <f t="shared" si="27"/>
        <v/>
      </c>
    </row>
    <row r="186" spans="1:14" ht="21.95" customHeight="1" x14ac:dyDescent="0.25">
      <c r="A186" s="83" t="s">
        <v>1608</v>
      </c>
      <c r="B186" s="84"/>
      <c r="C186" s="84"/>
      <c r="D186" s="84"/>
      <c r="E186" s="85"/>
      <c r="F186" s="113"/>
      <c r="G186" s="121" t="str">
        <f>IF($F186&lt;&gt;"",$F186,IFERROR(_xlfn.XLOOKUP(ROW(),Taxa_Saknas!$H:$H,Taxa_Saknas!$G:$G),""))</f>
        <v/>
      </c>
      <c r="H186" s="121" t="str">
        <f>IF($F186&lt;&gt;"",IFERROR(_xlfn.XLOOKUP($F186,Taxa_från_edp!$B:$B,Taxa_från_edp!C:C),""),"")</f>
        <v/>
      </c>
      <c r="I186" s="121" t="str">
        <f>IF($F186&lt;&gt;"",IFERROR(_xlfn.XLOOKUP($F186,Taxa_från_edp!$B:$B,Taxa_från_edp!G:G),""),"")</f>
        <v/>
      </c>
      <c r="J186" s="121" t="str">
        <f>IF($F186&lt;&gt;"",IFERROR(_xlfn.XLOOKUP($F186,Taxa_från_edp!$B:$B,Taxa_från_edp!K:K),""),"")</f>
        <v/>
      </c>
      <c r="K186" s="121"/>
      <c r="L186" s="121"/>
      <c r="M186" s="121" t="str">
        <f t="shared" si="26"/>
        <v/>
      </c>
      <c r="N186" s="144" t="str">
        <f t="shared" si="27"/>
        <v/>
      </c>
    </row>
    <row r="187" spans="1:14" ht="30" customHeight="1" x14ac:dyDescent="0.25">
      <c r="A187" s="68" t="s">
        <v>1610</v>
      </c>
      <c r="B187" s="68" t="s">
        <v>202</v>
      </c>
      <c r="C187" s="68" t="s">
        <v>203</v>
      </c>
      <c r="D187" s="68" t="s">
        <v>204</v>
      </c>
      <c r="E187" s="68" t="s">
        <v>192</v>
      </c>
      <c r="F187" s="106"/>
      <c r="G187" s="116" t="str">
        <f>IF($F187&lt;&gt;"",$F187,IFERROR(_xlfn.XLOOKUP(ROW(),Taxa_Saknas!$H:$H,Taxa_Saknas!$G:$G),""))</f>
        <v/>
      </c>
      <c r="H187" s="126" t="str">
        <f>IF($F187&lt;&gt;"",IFERROR(_xlfn.XLOOKUP($F187,Taxa_från_edp!$B:$B,Taxa_från_edp!C:C),""),"")</f>
        <v/>
      </c>
      <c r="I187" s="127" t="str">
        <f>IF($F187&lt;&gt;"",IFERROR(_xlfn.XLOOKUP($F187,Taxa_från_edp!$B:$B,Taxa_från_edp!G:G),""),"")</f>
        <v/>
      </c>
      <c r="J187" s="127" t="str">
        <f>IF($F187&lt;&gt;"",IFERROR(_xlfn.XLOOKUP($F187,Taxa_från_edp!$B:$B,Taxa_från_edp!K:K),""),"")</f>
        <v/>
      </c>
      <c r="K187" s="145"/>
      <c r="L187" s="146"/>
      <c r="M187" s="147" t="str">
        <f t="shared" ref="M187:M256" si="52">IFERROR(IF(J187&lt;&gt;"",J187*1.25,IF(K187&lt;&gt;"",K187*1.25,"")),"")</f>
        <v/>
      </c>
      <c r="N187" s="148" t="str">
        <f t="shared" ref="N187:N256" si="53">IFERROR(IF(J187&lt;&gt;"",L187*J187,IF(K187&lt;&gt;"",L187*K187,"")),"")</f>
        <v/>
      </c>
    </row>
    <row r="188" spans="1:14" ht="30" customHeight="1" x14ac:dyDescent="0.25">
      <c r="A188" s="68" t="s">
        <v>1610</v>
      </c>
      <c r="B188" s="68" t="s">
        <v>202</v>
      </c>
      <c r="C188" s="68" t="s">
        <v>205</v>
      </c>
      <c r="D188" s="68" t="s">
        <v>204</v>
      </c>
      <c r="E188" s="68" t="s">
        <v>192</v>
      </c>
      <c r="F188" s="106" t="s">
        <v>313</v>
      </c>
      <c r="G188" s="116" t="str">
        <f>IF($F188&lt;&gt;"",$F188,IFERROR(_xlfn.XLOOKUP(ROW(),Taxa_Saknas!$H:$H,Taxa_Saknas!$G:$G),""))</f>
        <v>AKUT</v>
      </c>
      <c r="H188" s="126" t="str">
        <f>IF($F188&lt;&gt;"",IFERROR(_xlfn.XLOOKUP($F188,Taxa_från_edp!$B:$B,Taxa_från_edp!C:C),""),"")</f>
        <v>EXTRAAVGIFT AKUT SLAMTÖMNING</v>
      </c>
      <c r="I188" s="127" t="str">
        <f>IF($F188&lt;&gt;"",IFERROR(_xlfn.XLOOKUP($F188,Taxa_från_edp!$B:$B,Taxa_från_edp!G:G),""),"")</f>
        <v>KVAN</v>
      </c>
      <c r="J188" s="127">
        <f>IF($F188&lt;&gt;"",IFERROR(_xlfn.XLOOKUP($F188,Taxa_från_edp!$B:$B,Taxa_från_edp!K:K),""),"")</f>
        <v>640</v>
      </c>
      <c r="K188" s="145"/>
      <c r="L188" s="146"/>
      <c r="M188" s="147">
        <f t="shared" si="52"/>
        <v>800</v>
      </c>
      <c r="N188" s="148">
        <f t="shared" si="53"/>
        <v>0</v>
      </c>
    </row>
    <row r="189" spans="1:14" ht="30" customHeight="1" x14ac:dyDescent="0.25">
      <c r="A189" s="68" t="s">
        <v>1610</v>
      </c>
      <c r="B189" s="68" t="s">
        <v>202</v>
      </c>
      <c r="C189" s="68" t="s">
        <v>203</v>
      </c>
      <c r="D189" s="68" t="s">
        <v>206</v>
      </c>
      <c r="E189" s="68" t="s">
        <v>192</v>
      </c>
      <c r="F189" s="106"/>
      <c r="G189" s="116" t="str">
        <f>IF($F189&lt;&gt;"",$F189,IFERROR(_xlfn.XLOOKUP(ROW(),Taxa_Saknas!$H:$H,Taxa_Saknas!$G:$G),""))</f>
        <v/>
      </c>
      <c r="H189" s="126" t="str">
        <f>IF($F189&lt;&gt;"",IFERROR(_xlfn.XLOOKUP($F189,Taxa_från_edp!$B:$B,Taxa_från_edp!C:C),""),"")</f>
        <v/>
      </c>
      <c r="I189" s="127" t="str">
        <f>IF($F189&lt;&gt;"",IFERROR(_xlfn.XLOOKUP($F189,Taxa_från_edp!$B:$B,Taxa_från_edp!G:G),""),"")</f>
        <v/>
      </c>
      <c r="J189" s="127" t="str">
        <f>IF($F189&lt;&gt;"",IFERROR(_xlfn.XLOOKUP($F189,Taxa_från_edp!$B:$B,Taxa_från_edp!K:K),""),"")</f>
        <v/>
      </c>
      <c r="K189" s="145"/>
      <c r="L189" s="146"/>
      <c r="M189" s="147" t="str">
        <f t="shared" si="52"/>
        <v/>
      </c>
      <c r="N189" s="148" t="str">
        <f t="shared" si="53"/>
        <v/>
      </c>
    </row>
    <row r="190" spans="1:14" ht="30" customHeight="1" x14ac:dyDescent="0.25">
      <c r="A190" s="68" t="s">
        <v>1610</v>
      </c>
      <c r="B190" s="68" t="s">
        <v>202</v>
      </c>
      <c r="C190" s="68" t="s">
        <v>205</v>
      </c>
      <c r="D190" s="68" t="s">
        <v>206</v>
      </c>
      <c r="E190" s="68" t="s">
        <v>192</v>
      </c>
      <c r="F190" s="106"/>
      <c r="G190" s="116" t="str">
        <f>IF($F190&lt;&gt;"",$F190,IFERROR(_xlfn.XLOOKUP(ROW(),Taxa_Saknas!$H:$H,Taxa_Saknas!$G:$G),""))</f>
        <v/>
      </c>
      <c r="H190" s="126" t="str">
        <f>IF($F190&lt;&gt;"",IFERROR(_xlfn.XLOOKUP($F190,Taxa_från_edp!$B:$B,Taxa_från_edp!C:C),""),"")</f>
        <v/>
      </c>
      <c r="I190" s="127" t="str">
        <f>IF($F190&lt;&gt;"",IFERROR(_xlfn.XLOOKUP($F190,Taxa_från_edp!$B:$B,Taxa_från_edp!G:G),""),"")</f>
        <v/>
      </c>
      <c r="J190" s="127" t="str">
        <f>IF($F190&lt;&gt;"",IFERROR(_xlfn.XLOOKUP($F190,Taxa_från_edp!$B:$B,Taxa_från_edp!K:K),""),"")</f>
        <v/>
      </c>
      <c r="K190" s="145"/>
      <c r="L190" s="146"/>
      <c r="M190" s="147" t="str">
        <f t="shared" ref="M190:M191" si="54">IFERROR(IF(J190&lt;&gt;"",J190*1.25,IF(K190&lt;&gt;"",K190*1.25,"")),"")</f>
        <v/>
      </c>
      <c r="N190" s="148" t="str">
        <f t="shared" ref="N190:N191" si="55">IFERROR(IF(J190&lt;&gt;"",L190*J190,IF(K190&lt;&gt;"",L190*K190,"")),"")</f>
        <v/>
      </c>
    </row>
    <row r="191" spans="1:14" ht="21.95" customHeight="1" x14ac:dyDescent="0.25">
      <c r="A191" s="83" t="s">
        <v>1609</v>
      </c>
      <c r="B191" s="84"/>
      <c r="C191" s="84"/>
      <c r="D191" s="84"/>
      <c r="E191" s="85"/>
      <c r="F191" s="113"/>
      <c r="G191" s="121" t="str">
        <f>IF($F191&lt;&gt;"",$F191,IFERROR(_xlfn.XLOOKUP(ROW(),Taxa_Saknas!$H:$H,Taxa_Saknas!$G:$G),""))</f>
        <v/>
      </c>
      <c r="H191" s="121" t="str">
        <f>IF($F191&lt;&gt;"",IFERROR(_xlfn.XLOOKUP($F191,Taxa_från_edp!$B:$B,Taxa_från_edp!C:C),""),"")</f>
        <v/>
      </c>
      <c r="I191" s="121" t="str">
        <f>IF($F191&lt;&gt;"",IFERROR(_xlfn.XLOOKUP($F191,Taxa_från_edp!$B:$B,Taxa_från_edp!G:G),""),"")</f>
        <v/>
      </c>
      <c r="J191" s="121" t="str">
        <f>IF($F191&lt;&gt;"",IFERROR(_xlfn.XLOOKUP($F191,Taxa_från_edp!$B:$B,Taxa_från_edp!K:K),""),"")</f>
        <v/>
      </c>
      <c r="K191" s="121"/>
      <c r="L191" s="121"/>
      <c r="M191" s="121" t="str">
        <f t="shared" si="54"/>
        <v/>
      </c>
      <c r="N191" s="144" t="str">
        <f t="shared" si="55"/>
        <v/>
      </c>
    </row>
    <row r="192" spans="1:14" ht="30" customHeight="1" x14ac:dyDescent="0.25">
      <c r="A192" s="68" t="s">
        <v>1611</v>
      </c>
      <c r="B192" s="68" t="s">
        <v>202</v>
      </c>
      <c r="C192" s="68" t="s">
        <v>207</v>
      </c>
      <c r="D192" s="68"/>
      <c r="E192" s="68" t="s">
        <v>192</v>
      </c>
      <c r="F192" s="107"/>
      <c r="G192" s="117" t="str">
        <f>IF($F192&lt;&gt;"",$F192,IFERROR(_xlfn.XLOOKUP(ROW(),Taxa_Saknas!$H:$H,Taxa_Saknas!$G:$G),""))</f>
        <v/>
      </c>
      <c r="H192" s="128" t="str">
        <f>IF($F192&lt;&gt;"",IFERROR(_xlfn.XLOOKUP($F192,Taxa_från_edp!$B:$B,Taxa_från_edp!C:C),""),"")</f>
        <v/>
      </c>
      <c r="I192" s="129" t="str">
        <f>IF($F192&lt;&gt;"",IFERROR(_xlfn.XLOOKUP($F192,Taxa_från_edp!$B:$B,Taxa_från_edp!G:G),""),"")</f>
        <v/>
      </c>
      <c r="J192" s="129" t="str">
        <f>IF($F192&lt;&gt;"",IFERROR(_xlfn.XLOOKUP($F192,Taxa_från_edp!$B:$B,Taxa_från_edp!K:K),""),"")</f>
        <v/>
      </c>
      <c r="K192" s="150"/>
      <c r="L192" s="151"/>
      <c r="M192" s="147" t="str">
        <f t="shared" si="52"/>
        <v/>
      </c>
      <c r="N192" s="148" t="str">
        <f t="shared" si="53"/>
        <v/>
      </c>
    </row>
    <row r="193" spans="1:14" ht="30" customHeight="1" x14ac:dyDescent="0.25">
      <c r="A193" s="68" t="s">
        <v>1611</v>
      </c>
      <c r="B193" s="68" t="s">
        <v>202</v>
      </c>
      <c r="C193" s="68" t="s">
        <v>208</v>
      </c>
      <c r="D193" s="68"/>
      <c r="E193" s="68" t="s">
        <v>192</v>
      </c>
      <c r="F193" s="107" t="s">
        <v>436</v>
      </c>
      <c r="G193" s="117" t="str">
        <f>IF($F193&lt;&gt;"",$F193,IFERROR(_xlfn.XLOOKUP(ROW(),Taxa_Saknas!$H:$H,Taxa_Saknas!$G:$G),""))</f>
        <v>FRAMKAVG</v>
      </c>
      <c r="H193" s="128" t="str">
        <f>IF($F193&lt;&gt;"",IFERROR(_xlfn.XLOOKUP($F193,Taxa_från_edp!$B:$B,Taxa_från_edp!C:C),""),"")</f>
        <v>Framkörningsavgift</v>
      </c>
      <c r="I193" s="129" t="str">
        <f>IF($F193&lt;&gt;"",IFERROR(_xlfn.XLOOKUP($F193,Taxa_från_edp!$B:$B,Taxa_från_edp!G:G),""),"")</f>
        <v>KVAN</v>
      </c>
      <c r="J193" s="129">
        <f>IF($F193&lt;&gt;"",IFERROR(_xlfn.XLOOKUP($F193,Taxa_från_edp!$B:$B,Taxa_från_edp!K:K),""),"")</f>
        <v>652</v>
      </c>
      <c r="K193" s="150"/>
      <c r="L193" s="151"/>
      <c r="M193" s="147">
        <f t="shared" si="52"/>
        <v>815</v>
      </c>
      <c r="N193" s="148">
        <f t="shared" si="53"/>
        <v>0</v>
      </c>
    </row>
    <row r="194" spans="1:14" ht="30" customHeight="1" x14ac:dyDescent="0.25">
      <c r="A194" s="68" t="s">
        <v>1611</v>
      </c>
      <c r="B194" s="68" t="s">
        <v>202</v>
      </c>
      <c r="C194" s="68" t="s">
        <v>209</v>
      </c>
      <c r="D194" s="68"/>
      <c r="E194" s="68" t="s">
        <v>192</v>
      </c>
      <c r="F194" s="106"/>
      <c r="G194" s="116" t="str">
        <f>IF($F194&lt;&gt;"",$F194,IFERROR(_xlfn.XLOOKUP(ROW(),Taxa_Saknas!$H:$H,Taxa_Saknas!$G:$G),""))</f>
        <v/>
      </c>
      <c r="H194" s="126" t="str">
        <f>IF($F194&lt;&gt;"",IFERROR(_xlfn.XLOOKUP($F194,Taxa_från_edp!$B:$B,Taxa_från_edp!C:C),""),"")</f>
        <v/>
      </c>
      <c r="I194" s="127" t="str">
        <f>IF($F194&lt;&gt;"",IFERROR(_xlfn.XLOOKUP($F194,Taxa_från_edp!$B:$B,Taxa_från_edp!G:G),""),"")</f>
        <v/>
      </c>
      <c r="J194" s="127" t="str">
        <f>IF($F194&lt;&gt;"",IFERROR(_xlfn.XLOOKUP($F194,Taxa_från_edp!$B:$B,Taxa_från_edp!K:K),""),"")</f>
        <v/>
      </c>
      <c r="K194" s="145"/>
      <c r="L194" s="146"/>
      <c r="M194" s="147" t="str">
        <f t="shared" si="52"/>
        <v/>
      </c>
      <c r="N194" s="148" t="str">
        <f t="shared" si="53"/>
        <v/>
      </c>
    </row>
    <row r="195" spans="1:14" ht="21.95" customHeight="1" x14ac:dyDescent="0.25">
      <c r="A195" s="93" t="s">
        <v>210</v>
      </c>
      <c r="B195" s="94"/>
      <c r="C195" s="94"/>
      <c r="D195" s="94"/>
      <c r="E195" s="95"/>
      <c r="F195" s="112"/>
      <c r="G195" s="120" t="str">
        <f>IF($F195&lt;&gt;"",$F195,IFERROR(_xlfn.XLOOKUP(ROW(),Taxa_Saknas!$H:$H,Taxa_Saknas!$G:$G),""))</f>
        <v/>
      </c>
      <c r="H195" s="120" t="str">
        <f>IF($F195&lt;&gt;"",IFERROR(_xlfn.XLOOKUP($F195,Taxa_från_edp!$B:$B,Taxa_från_edp!C:C),""),"")</f>
        <v/>
      </c>
      <c r="I195" s="120" t="str">
        <f>IF($F195&lt;&gt;"",IFERROR(_xlfn.XLOOKUP($F195,Taxa_från_edp!$B:$B,Taxa_från_edp!G:G),""),"")</f>
        <v/>
      </c>
      <c r="J195" s="120" t="str">
        <f>IF($F195&lt;&gt;"",IFERROR(_xlfn.XLOOKUP($F195,Taxa_från_edp!$B:$B,Taxa_från_edp!K:K),""),"")</f>
        <v/>
      </c>
      <c r="K195" s="120"/>
      <c r="L195" s="120"/>
      <c r="M195" s="120" t="str">
        <f t="shared" si="52"/>
        <v/>
      </c>
      <c r="N195" s="143" t="str">
        <f t="shared" si="53"/>
        <v/>
      </c>
    </row>
    <row r="196" spans="1:14" ht="21.95" customHeight="1" x14ac:dyDescent="0.25">
      <c r="A196" s="83" t="s">
        <v>1612</v>
      </c>
      <c r="B196" s="84"/>
      <c r="C196" s="84"/>
      <c r="D196" s="84"/>
      <c r="E196" s="85"/>
      <c r="F196" s="114"/>
      <c r="G196" s="122" t="str">
        <f>IF($F196&lt;&gt;"",$F196,IFERROR(_xlfn.XLOOKUP(ROW(),Taxa_Saknas!$H:$H,Taxa_Saknas!$G:$G),""))</f>
        <v/>
      </c>
      <c r="H196" s="122" t="str">
        <f>IF($F196&lt;&gt;"",IFERROR(_xlfn.XLOOKUP($F196,Taxa_från_edp!$B:$B,Taxa_från_edp!C:C),""),"")</f>
        <v/>
      </c>
      <c r="I196" s="149" t="str">
        <f>IF($F196&lt;&gt;"",IFERROR(_xlfn.XLOOKUP($F196,Taxa_från_edp!$B:$B,Taxa_från_edp!G:G),""),"")</f>
        <v/>
      </c>
      <c r="J196" s="149" t="str">
        <f>IF($F196&lt;&gt;"",IFERROR(_xlfn.XLOOKUP($F196,Taxa_från_edp!$B:$B,Taxa_från_edp!K:K),""),"")</f>
        <v/>
      </c>
      <c r="K196" s="149"/>
      <c r="L196" s="149"/>
      <c r="M196" s="121" t="str">
        <f t="shared" ref="M196" si="56">IFERROR(IF(J196&lt;&gt;"",J196*1.25,IF(K196&lt;&gt;"",K196*1.25,"")),"")</f>
        <v/>
      </c>
      <c r="N196" s="144" t="str">
        <f t="shared" ref="N196" si="57">IFERROR(IF(J196&lt;&gt;"",L196*J196,IF(K196&lt;&gt;"",L196*K196,"")),"")</f>
        <v/>
      </c>
    </row>
    <row r="197" spans="1:14" ht="30" customHeight="1" x14ac:dyDescent="0.25">
      <c r="A197" s="68" t="s">
        <v>1613</v>
      </c>
      <c r="B197" s="68" t="s">
        <v>211</v>
      </c>
      <c r="C197" s="68" t="s">
        <v>212</v>
      </c>
      <c r="D197" s="68"/>
      <c r="E197" s="68" t="s">
        <v>174</v>
      </c>
      <c r="F197" s="106" t="s">
        <v>580</v>
      </c>
      <c r="G197" s="116" t="str">
        <f>IF($F197&lt;&gt;"",$F197,IFERROR(_xlfn.XLOOKUP(ROW(),Taxa_Saknas!$H:$H,Taxa_Saknas!$G:$G),""))</f>
        <v>LATRINBEHÅLL</v>
      </c>
      <c r="H197" s="126" t="str">
        <f>IF($F197&lt;&gt;"",IFERROR(_xlfn.XLOOKUP($F197,Taxa_från_edp!$B:$B,Taxa_från_edp!C:C),""),"")</f>
        <v>Avgift för latrinbehållare</v>
      </c>
      <c r="I197" s="127" t="str">
        <f>IF($F197&lt;&gt;"",IFERROR(_xlfn.XLOOKUP($F197,Taxa_från_edp!$B:$B,Taxa_från_edp!G:G),""),"")</f>
        <v>KVAN</v>
      </c>
      <c r="J197" s="127">
        <f>IF($F197&lt;&gt;"",IFERROR(_xlfn.XLOOKUP($F197,Taxa_från_edp!$B:$B,Taxa_från_edp!K:K),""),"")</f>
        <v>360</v>
      </c>
      <c r="K197" s="145"/>
      <c r="L197" s="146"/>
      <c r="M197" s="147">
        <f t="shared" si="52"/>
        <v>450</v>
      </c>
      <c r="N197" s="148">
        <f t="shared" si="53"/>
        <v>0</v>
      </c>
    </row>
    <row r="198" spans="1:14" ht="30" customHeight="1" x14ac:dyDescent="0.25">
      <c r="A198" s="68" t="s">
        <v>1613</v>
      </c>
      <c r="B198" s="68" t="s">
        <v>211</v>
      </c>
      <c r="C198" s="68" t="s">
        <v>1614</v>
      </c>
      <c r="D198" s="68"/>
      <c r="E198" s="68" t="s">
        <v>174</v>
      </c>
      <c r="F198" s="106"/>
      <c r="G198" s="116" t="str">
        <f>IF($F198&lt;&gt;"",$F198,IFERROR(_xlfn.XLOOKUP(ROW(),Taxa_Saknas!$H:$H,Taxa_Saknas!$G:$G),""))</f>
        <v/>
      </c>
      <c r="H198" s="126" t="str">
        <f>IF($F198&lt;&gt;"",IFERROR(_xlfn.XLOOKUP($F198,Taxa_från_edp!$B:$B,Taxa_från_edp!C:C),""),"")</f>
        <v/>
      </c>
      <c r="I198" s="127" t="str">
        <f>IF($F198&lt;&gt;"",IFERROR(_xlfn.XLOOKUP($F198,Taxa_från_edp!$B:$B,Taxa_från_edp!G:G),""),"")</f>
        <v/>
      </c>
      <c r="J198" s="127" t="str">
        <f>IF($F198&lt;&gt;"",IFERROR(_xlfn.XLOOKUP($F198,Taxa_från_edp!$B:$B,Taxa_från_edp!K:K),""),"")</f>
        <v/>
      </c>
      <c r="K198" s="145"/>
      <c r="L198" s="146"/>
      <c r="M198" s="147" t="str">
        <f t="shared" ref="M198" si="58">IFERROR(IF(J198&lt;&gt;"",J198*1.25,IF(K198&lt;&gt;"",K198*1.25,"")),"")</f>
        <v/>
      </c>
      <c r="N198" s="148" t="str">
        <f t="shared" ref="N198" si="59">IFERROR(IF(J198&lt;&gt;"",L198*J198,IF(K198&lt;&gt;"",L198*K198,"")),"")</f>
        <v/>
      </c>
    </row>
    <row r="199" spans="1:14" ht="21.95" customHeight="1" x14ac:dyDescent="0.25">
      <c r="A199" s="97" t="s">
        <v>1615</v>
      </c>
      <c r="B199" s="98"/>
      <c r="C199" s="98"/>
      <c r="D199" s="98"/>
      <c r="E199" s="99"/>
      <c r="F199" s="138"/>
      <c r="G199" s="139" t="str">
        <f>IF($F199&lt;&gt;"",$F199,IFERROR(_xlfn.XLOOKUP(ROW(),Taxa_Saknas!$H:$H,Taxa_Saknas!$G:$G),""))</f>
        <v/>
      </c>
      <c r="H199" s="139" t="str">
        <f>IF($F199&lt;&gt;"",IFERROR(_xlfn.XLOOKUP($F199,Taxa_från_edp!$B:$B,Taxa_från_edp!C:C),""),"")</f>
        <v/>
      </c>
      <c r="I199" s="139" t="str">
        <f>IF($F199&lt;&gt;"",IFERROR(_xlfn.XLOOKUP($F199,Taxa_från_edp!$B:$B,Taxa_från_edp!G:G),""),"")</f>
        <v/>
      </c>
      <c r="J199" s="140" t="str">
        <f>IF($F199&lt;&gt;"",IFERROR(_xlfn.XLOOKUP($F199,Taxa_från_edp!$B:$B,Taxa_från_edp!K:K),""),"")</f>
        <v/>
      </c>
      <c r="K199" s="141"/>
      <c r="L199" s="141"/>
      <c r="M199" s="141" t="str">
        <f t="shared" si="52"/>
        <v/>
      </c>
      <c r="N199" s="142" t="str">
        <f t="shared" si="53"/>
        <v/>
      </c>
    </row>
    <row r="200" spans="1:14" ht="21.95" customHeight="1" x14ac:dyDescent="0.25">
      <c r="A200" s="93" t="s">
        <v>213</v>
      </c>
      <c r="B200" s="94"/>
      <c r="C200" s="94"/>
      <c r="D200" s="94"/>
      <c r="E200" s="95"/>
      <c r="F200" s="112"/>
      <c r="G200" s="120" t="str">
        <f>IF($F200&lt;&gt;"",$F200,IFERROR(_xlfn.XLOOKUP(ROW(),Taxa_Saknas!$H:$H,Taxa_Saknas!$G:$G),""))</f>
        <v/>
      </c>
      <c r="H200" s="120" t="str">
        <f>IF($F200&lt;&gt;"",IFERROR(_xlfn.XLOOKUP($F200,Taxa_från_edp!$B:$B,Taxa_från_edp!C:C),""),"")</f>
        <v/>
      </c>
      <c r="I200" s="120" t="str">
        <f>IF($F200&lt;&gt;"",IFERROR(_xlfn.XLOOKUP($F200,Taxa_från_edp!$B:$B,Taxa_från_edp!G:G),""),"")</f>
        <v/>
      </c>
      <c r="J200" s="120" t="str">
        <f>IF($F200&lt;&gt;"",IFERROR(_xlfn.XLOOKUP($F200,Taxa_från_edp!$B:$B,Taxa_från_edp!K:K),""),"")</f>
        <v/>
      </c>
      <c r="K200" s="120"/>
      <c r="L200" s="120"/>
      <c r="M200" s="120" t="str">
        <f t="shared" si="52"/>
        <v/>
      </c>
      <c r="N200" s="143" t="str">
        <f t="shared" si="53"/>
        <v/>
      </c>
    </row>
    <row r="201" spans="1:14" ht="21.95" customHeight="1" x14ac:dyDescent="0.25">
      <c r="A201" s="83" t="s">
        <v>1616</v>
      </c>
      <c r="B201" s="84"/>
      <c r="C201" s="84"/>
      <c r="D201" s="84"/>
      <c r="E201" s="85"/>
      <c r="F201" s="114"/>
      <c r="G201" s="122" t="str">
        <f>IF($F201&lt;&gt;"",$F201,IFERROR(_xlfn.XLOOKUP(ROW(),Taxa_Saknas!$H:$H,Taxa_Saknas!$G:$G),""))</f>
        <v/>
      </c>
      <c r="H201" s="122" t="str">
        <f>IF($F201&lt;&gt;"",IFERROR(_xlfn.XLOOKUP($F201,Taxa_från_edp!$B:$B,Taxa_från_edp!C:C),""),"")</f>
        <v/>
      </c>
      <c r="I201" s="149" t="str">
        <f>IF($F201&lt;&gt;"",IFERROR(_xlfn.XLOOKUP($F201,Taxa_från_edp!$B:$B,Taxa_från_edp!G:G),""),"")</f>
        <v/>
      </c>
      <c r="J201" s="149" t="str">
        <f>IF($F201&lt;&gt;"",IFERROR(_xlfn.XLOOKUP($F201,Taxa_från_edp!$B:$B,Taxa_från_edp!K:K),""),"")</f>
        <v/>
      </c>
      <c r="K201" s="149"/>
      <c r="L201" s="149"/>
      <c r="M201" s="121" t="str">
        <f t="shared" ref="M201" si="60">IFERROR(IF(J201&lt;&gt;"",J201*1.25,IF(K201&lt;&gt;"",K201*1.25,"")),"")</f>
        <v/>
      </c>
      <c r="N201" s="144" t="str">
        <f t="shared" ref="N201" si="61">IFERROR(IF(J201&lt;&gt;"",L201*J201,IF(K201&lt;&gt;"",L201*K201,"")),"")</f>
        <v/>
      </c>
    </row>
    <row r="202" spans="1:14" ht="30" customHeight="1" x14ac:dyDescent="0.25">
      <c r="A202" s="100" t="s">
        <v>1617</v>
      </c>
      <c r="B202" s="68" t="s">
        <v>214</v>
      </c>
      <c r="C202" s="68" t="s">
        <v>215</v>
      </c>
      <c r="D202" s="68" t="s">
        <v>216</v>
      </c>
      <c r="E202" s="68" t="s">
        <v>192</v>
      </c>
      <c r="F202" s="106"/>
      <c r="G202" s="116" t="str">
        <f>IF($F202&lt;&gt;"",$F202,IFERROR(_xlfn.XLOOKUP(ROW(),Taxa_Saknas!$H:$H,Taxa_Saknas!$G:$G),""))</f>
        <v/>
      </c>
      <c r="H202" s="126" t="str">
        <f>IF($F202&lt;&gt;"",IFERROR(_xlfn.XLOOKUP($F202,Taxa_från_edp!$B:$B,Taxa_från_edp!C:C),""),"")</f>
        <v/>
      </c>
      <c r="I202" s="127" t="str">
        <f>IF($F202&lt;&gt;"",IFERROR(_xlfn.XLOOKUP($F202,Taxa_från_edp!$B:$B,Taxa_från_edp!G:G),""),"")</f>
        <v/>
      </c>
      <c r="J202" s="127" t="str">
        <f>IF($F202&lt;&gt;"",IFERROR(_xlfn.XLOOKUP($F202,Taxa_från_edp!$B:$B,Taxa_från_edp!K:K),""),"")</f>
        <v/>
      </c>
      <c r="K202" s="145"/>
      <c r="L202" s="146"/>
      <c r="M202" s="147" t="str">
        <f t="shared" si="52"/>
        <v/>
      </c>
      <c r="N202" s="148" t="str">
        <f t="shared" si="53"/>
        <v/>
      </c>
    </row>
    <row r="203" spans="1:14" ht="30" customHeight="1" x14ac:dyDescent="0.25">
      <c r="A203" s="100" t="s">
        <v>1617</v>
      </c>
      <c r="B203" s="68" t="s">
        <v>214</v>
      </c>
      <c r="C203" s="68" t="s">
        <v>217</v>
      </c>
      <c r="D203" s="68" t="s">
        <v>216</v>
      </c>
      <c r="E203" s="68" t="s">
        <v>192</v>
      </c>
      <c r="F203" s="107"/>
      <c r="G203" s="117" t="str">
        <f>IF($F203&lt;&gt;"",$F203,IFERROR(_xlfn.XLOOKUP(ROW(),Taxa_Saknas!$H:$H,Taxa_Saknas!$G:$G),""))</f>
        <v/>
      </c>
      <c r="H203" s="128" t="str">
        <f>IF($F203&lt;&gt;"",IFERROR(_xlfn.XLOOKUP($F203,Taxa_från_edp!$B:$B,Taxa_från_edp!C:C),""),"")</f>
        <v/>
      </c>
      <c r="I203" s="129" t="str">
        <f>IF($F203&lt;&gt;"",IFERROR(_xlfn.XLOOKUP($F203,Taxa_från_edp!$B:$B,Taxa_från_edp!G:G),""),"")</f>
        <v/>
      </c>
      <c r="J203" s="129" t="str">
        <f>IF($F203&lt;&gt;"",IFERROR(_xlfn.XLOOKUP($F203,Taxa_från_edp!$B:$B,Taxa_från_edp!K:K),""),"")</f>
        <v/>
      </c>
      <c r="K203" s="150"/>
      <c r="L203" s="151"/>
      <c r="M203" s="147" t="str">
        <f t="shared" si="52"/>
        <v/>
      </c>
      <c r="N203" s="148" t="str">
        <f t="shared" si="53"/>
        <v/>
      </c>
    </row>
    <row r="204" spans="1:14" ht="30" x14ac:dyDescent="0.25">
      <c r="A204" s="100" t="s">
        <v>1617</v>
      </c>
      <c r="B204" s="68" t="s">
        <v>214</v>
      </c>
      <c r="C204" s="68" t="s">
        <v>215</v>
      </c>
      <c r="D204" s="68" t="s">
        <v>218</v>
      </c>
      <c r="E204" s="68" t="s">
        <v>192</v>
      </c>
      <c r="F204" s="106"/>
      <c r="G204" s="116" t="str">
        <f>IF($F204&lt;&gt;"",$F204,IFERROR(_xlfn.XLOOKUP(ROW(),Taxa_Saknas!$H:$H,Taxa_Saknas!$G:$G),""))</f>
        <v/>
      </c>
      <c r="H204" s="126" t="str">
        <f>IF($F204&lt;&gt;"",IFERROR(_xlfn.XLOOKUP($F204,Taxa_från_edp!$B:$B,Taxa_från_edp!C:C),""),"")</f>
        <v/>
      </c>
      <c r="I204" s="127" t="str">
        <f>IF($F204&lt;&gt;"",IFERROR(_xlfn.XLOOKUP($F204,Taxa_från_edp!$B:$B,Taxa_från_edp!G:G),""),"")</f>
        <v/>
      </c>
      <c r="J204" s="127" t="str">
        <f>IF($F204&lt;&gt;"",IFERROR(_xlfn.XLOOKUP($F204,Taxa_från_edp!$B:$B,Taxa_från_edp!K:K),""),"")</f>
        <v/>
      </c>
      <c r="K204" s="145"/>
      <c r="L204" s="146"/>
      <c r="M204" s="147" t="str">
        <f t="shared" ref="M204" si="62">IFERROR(IF(J204&lt;&gt;"",J204*1.25,IF(K204&lt;&gt;"",K204*1.25,"")),"")</f>
        <v/>
      </c>
      <c r="N204" s="148" t="str">
        <f t="shared" ref="N204" si="63">IFERROR(IF(J204&lt;&gt;"",L204*J204,IF(K204&lt;&gt;"",L204*K204,"")),"")</f>
        <v/>
      </c>
    </row>
    <row r="205" spans="1:14" ht="30" x14ac:dyDescent="0.25">
      <c r="A205" s="100" t="s">
        <v>1617</v>
      </c>
      <c r="B205" s="68" t="s">
        <v>214</v>
      </c>
      <c r="C205" s="68" t="s">
        <v>217</v>
      </c>
      <c r="D205" s="68" t="s">
        <v>218</v>
      </c>
      <c r="E205" s="68" t="s">
        <v>192</v>
      </c>
      <c r="F205" s="106"/>
      <c r="G205" s="116" t="str">
        <f>IF($F205&lt;&gt;"",$F205,IFERROR(_xlfn.XLOOKUP(ROW(),Taxa_Saknas!$H:$H,Taxa_Saknas!$G:$G),""))</f>
        <v/>
      </c>
      <c r="H205" s="126" t="str">
        <f>IF($F205&lt;&gt;"",IFERROR(_xlfn.XLOOKUP($F205,Taxa_från_edp!$B:$B,Taxa_från_edp!C:C),""),"")</f>
        <v/>
      </c>
      <c r="I205" s="127" t="str">
        <f>IF($F205&lt;&gt;"",IFERROR(_xlfn.XLOOKUP($F205,Taxa_från_edp!$B:$B,Taxa_från_edp!G:G),""),"")</f>
        <v/>
      </c>
      <c r="J205" s="127" t="str">
        <f>IF($F205&lt;&gt;"",IFERROR(_xlfn.XLOOKUP($F205,Taxa_från_edp!$B:$B,Taxa_från_edp!K:K),""),"")</f>
        <v/>
      </c>
      <c r="K205" s="145"/>
      <c r="L205" s="146"/>
      <c r="M205" s="147" t="str">
        <f t="shared" si="52"/>
        <v/>
      </c>
      <c r="N205" s="148" t="str">
        <f t="shared" si="53"/>
        <v/>
      </c>
    </row>
    <row r="206" spans="1:14" ht="21.95" customHeight="1" x14ac:dyDescent="0.25">
      <c r="A206" s="93" t="s">
        <v>219</v>
      </c>
      <c r="B206" s="94"/>
      <c r="C206" s="94"/>
      <c r="D206" s="94"/>
      <c r="E206" s="95"/>
      <c r="F206" s="112"/>
      <c r="G206" s="120" t="str">
        <f>IF($F206&lt;&gt;"",$F206,IFERROR(_xlfn.XLOOKUP(ROW(),Taxa_Saknas!$H:$H,Taxa_Saknas!$G:$G),""))</f>
        <v/>
      </c>
      <c r="H206" s="120" t="str">
        <f>IF($F206&lt;&gt;"",IFERROR(_xlfn.XLOOKUP($F206,Taxa_från_edp!$B:$B,Taxa_från_edp!C:C),""),"")</f>
        <v/>
      </c>
      <c r="I206" s="120" t="str">
        <f>IF($F206&lt;&gt;"",IFERROR(_xlfn.XLOOKUP($F206,Taxa_från_edp!$B:$B,Taxa_från_edp!G:G),""),"")</f>
        <v/>
      </c>
      <c r="J206" s="120" t="str">
        <f>IF($F206&lt;&gt;"",IFERROR(_xlfn.XLOOKUP($F206,Taxa_från_edp!$B:$B,Taxa_från_edp!K:K),""),"")</f>
        <v/>
      </c>
      <c r="K206" s="120"/>
      <c r="L206" s="120"/>
      <c r="M206" s="120" t="str">
        <f t="shared" si="52"/>
        <v/>
      </c>
      <c r="N206" s="143" t="str">
        <f t="shared" si="53"/>
        <v/>
      </c>
    </row>
    <row r="207" spans="1:14" ht="21.95" customHeight="1" x14ac:dyDescent="0.25">
      <c r="A207" s="101" t="s">
        <v>1618</v>
      </c>
      <c r="B207" s="84"/>
      <c r="C207" s="84"/>
      <c r="D207" s="84"/>
      <c r="E207" s="85"/>
      <c r="F207" s="114"/>
      <c r="G207" s="122" t="str">
        <f>IF($F207&lt;&gt;"",$F207,IFERROR(_xlfn.XLOOKUP(ROW(),Taxa_Saknas!$H:$H,Taxa_Saknas!$G:$G),""))</f>
        <v/>
      </c>
      <c r="H207" s="122" t="str">
        <f>IF($F207&lt;&gt;"",IFERROR(_xlfn.XLOOKUP($F207,Taxa_från_edp!$B:$B,Taxa_från_edp!C:C),""),"")</f>
        <v/>
      </c>
      <c r="I207" s="149" t="str">
        <f>IF($F207&lt;&gt;"",IFERROR(_xlfn.XLOOKUP($F207,Taxa_från_edp!$B:$B,Taxa_från_edp!G:G),""),"")</f>
        <v/>
      </c>
      <c r="J207" s="149" t="str">
        <f>IF($F207&lt;&gt;"",IFERROR(_xlfn.XLOOKUP($F207,Taxa_från_edp!$B:$B,Taxa_från_edp!K:K),""),"")</f>
        <v/>
      </c>
      <c r="K207" s="149"/>
      <c r="L207" s="149"/>
      <c r="M207" s="121" t="str">
        <f t="shared" ref="M207" si="64">IFERROR(IF(J207&lt;&gt;"",J207*1.25,IF(K207&lt;&gt;"",K207*1.25,"")),"")</f>
        <v/>
      </c>
      <c r="N207" s="144" t="str">
        <f t="shared" ref="N207" si="65">IFERROR(IF(J207&lt;&gt;"",L207*J207,IF(K207&lt;&gt;"",L207*K207,"")),"")</f>
        <v/>
      </c>
    </row>
    <row r="208" spans="1:14" ht="30" customHeight="1" x14ac:dyDescent="0.25">
      <c r="A208" s="100" t="s">
        <v>1619</v>
      </c>
      <c r="B208" s="68" t="s">
        <v>220</v>
      </c>
      <c r="C208" s="68" t="s">
        <v>221</v>
      </c>
      <c r="D208" s="68"/>
      <c r="E208" s="68" t="s">
        <v>192</v>
      </c>
      <c r="F208" s="106"/>
      <c r="G208" s="116" t="str">
        <f>IF($F208&lt;&gt;"",$F208,IFERROR(_xlfn.XLOOKUP(ROW(),Taxa_Saknas!$H:$H,Taxa_Saknas!$G:$G),""))</f>
        <v/>
      </c>
      <c r="H208" s="126" t="str">
        <f>IF($F208&lt;&gt;"",IFERROR(_xlfn.XLOOKUP($F208,Taxa_från_edp!$B:$B,Taxa_från_edp!C:C),""),"")</f>
        <v/>
      </c>
      <c r="I208" s="127" t="str">
        <f>IF($F208&lt;&gt;"",IFERROR(_xlfn.XLOOKUP($F208,Taxa_från_edp!$B:$B,Taxa_från_edp!G:G),""),"")</f>
        <v/>
      </c>
      <c r="J208" s="127" t="str">
        <f>IF($F208&lt;&gt;"",IFERROR(_xlfn.XLOOKUP($F208,Taxa_från_edp!$B:$B,Taxa_från_edp!K:K),""),"")</f>
        <v/>
      </c>
      <c r="K208" s="145"/>
      <c r="L208" s="146"/>
      <c r="M208" s="147" t="str">
        <f t="shared" si="52"/>
        <v/>
      </c>
      <c r="N208" s="148" t="str">
        <f t="shared" si="53"/>
        <v/>
      </c>
    </row>
    <row r="209" spans="1:14" x14ac:dyDescent="0.25">
      <c r="A209" s="100" t="s">
        <v>1619</v>
      </c>
      <c r="B209" s="68" t="s">
        <v>220</v>
      </c>
      <c r="C209" s="68" t="s">
        <v>222</v>
      </c>
      <c r="D209" s="68"/>
      <c r="E209" s="68" t="s">
        <v>192</v>
      </c>
      <c r="F209" s="107"/>
      <c r="G209" s="117" t="str">
        <f>IF($F209&lt;&gt;"",$F209,IFERROR(_xlfn.XLOOKUP(ROW(),Taxa_Saknas!$H:$H,Taxa_Saknas!$G:$G),""))</f>
        <v/>
      </c>
      <c r="H209" s="128" t="str">
        <f>IF($F209&lt;&gt;"",IFERROR(_xlfn.XLOOKUP($F209,Taxa_från_edp!$B:$B,Taxa_från_edp!C:C),""),"")</f>
        <v/>
      </c>
      <c r="I209" s="129" t="str">
        <f>IF($F209&lt;&gt;"",IFERROR(_xlfn.XLOOKUP($F209,Taxa_från_edp!$B:$B,Taxa_från_edp!G:G),""),"")</f>
        <v/>
      </c>
      <c r="J209" s="129" t="str">
        <f>IF($F209&lt;&gt;"",IFERROR(_xlfn.XLOOKUP($F209,Taxa_från_edp!$B:$B,Taxa_från_edp!K:K),""),"")</f>
        <v/>
      </c>
      <c r="K209" s="150"/>
      <c r="L209" s="151"/>
      <c r="M209" s="147" t="str">
        <f t="shared" si="52"/>
        <v/>
      </c>
      <c r="N209" s="148" t="str">
        <f t="shared" si="53"/>
        <v/>
      </c>
    </row>
    <row r="210" spans="1:14" ht="75" customHeight="1" x14ac:dyDescent="0.25">
      <c r="A210" s="100" t="s">
        <v>1619</v>
      </c>
      <c r="B210" s="68" t="s">
        <v>220</v>
      </c>
      <c r="C210" s="68" t="s">
        <v>223</v>
      </c>
      <c r="D210" s="68"/>
      <c r="E210" s="68" t="s">
        <v>192</v>
      </c>
      <c r="F210" s="107"/>
      <c r="G210" s="117" t="str">
        <f>IF($F210&lt;&gt;"",$F210,IFERROR(_xlfn.XLOOKUP(ROW(),Taxa_Saknas!$H:$H,Taxa_Saknas!$G:$G),""))</f>
        <v/>
      </c>
      <c r="H210" s="128" t="str">
        <f>IF($F210&lt;&gt;"",IFERROR(_xlfn.XLOOKUP($F210,Taxa_från_edp!$B:$B,Taxa_från_edp!C:C),""),"")</f>
        <v/>
      </c>
      <c r="I210" s="129" t="str">
        <f>IF($F210&lt;&gt;"",IFERROR(_xlfn.XLOOKUP($F210,Taxa_från_edp!$B:$B,Taxa_från_edp!G:G),""),"")</f>
        <v/>
      </c>
      <c r="J210" s="129" t="str">
        <f>IF($F210&lt;&gt;"",IFERROR(_xlfn.XLOOKUP($F210,Taxa_från_edp!$B:$B,Taxa_från_edp!K:K),""),"")</f>
        <v/>
      </c>
      <c r="K210" s="150"/>
      <c r="L210" s="151"/>
      <c r="M210" s="147" t="str">
        <f t="shared" si="52"/>
        <v/>
      </c>
      <c r="N210" s="148" t="str">
        <f t="shared" si="53"/>
        <v/>
      </c>
    </row>
    <row r="211" spans="1:14" ht="45" customHeight="1" x14ac:dyDescent="0.25">
      <c r="A211" s="100" t="s">
        <v>1619</v>
      </c>
      <c r="B211" s="68" t="s">
        <v>220</v>
      </c>
      <c r="C211" s="68" t="s">
        <v>224</v>
      </c>
      <c r="D211" s="68"/>
      <c r="E211" s="68" t="s">
        <v>192</v>
      </c>
      <c r="F211" s="106"/>
      <c r="G211" s="116" t="str">
        <f>IF($F211&lt;&gt;"",$F211,IFERROR(_xlfn.XLOOKUP(ROW(),Taxa_Saknas!$H:$H,Taxa_Saknas!$G:$G),""))</f>
        <v/>
      </c>
      <c r="H211" s="126" t="str">
        <f>IF($F211&lt;&gt;"",IFERROR(_xlfn.XLOOKUP($F211,Taxa_från_edp!$B:$B,Taxa_från_edp!C:C),""),"")</f>
        <v/>
      </c>
      <c r="I211" s="127" t="str">
        <f>IF($F211&lt;&gt;"",IFERROR(_xlfn.XLOOKUP($F211,Taxa_från_edp!$B:$B,Taxa_från_edp!G:G),""),"")</f>
        <v/>
      </c>
      <c r="J211" s="127" t="str">
        <f>IF($F211&lt;&gt;"",IFERROR(_xlfn.XLOOKUP($F211,Taxa_från_edp!$B:$B,Taxa_från_edp!K:K),""),"")</f>
        <v/>
      </c>
      <c r="K211" s="145"/>
      <c r="L211" s="146"/>
      <c r="M211" s="147" t="str">
        <f t="shared" si="52"/>
        <v/>
      </c>
      <c r="N211" s="148" t="str">
        <f t="shared" si="53"/>
        <v/>
      </c>
    </row>
    <row r="212" spans="1:14" ht="21.95" customHeight="1" x14ac:dyDescent="0.25">
      <c r="A212" s="97" t="s">
        <v>1620</v>
      </c>
      <c r="B212" s="98"/>
      <c r="C212" s="98"/>
      <c r="D212" s="98"/>
      <c r="E212" s="99"/>
      <c r="F212" s="138"/>
      <c r="G212" s="139" t="str">
        <f>IF($F212&lt;&gt;"",$F212,IFERROR(_xlfn.XLOOKUP(ROW(),Taxa_Saknas!$H:$H,Taxa_Saknas!$G:$G),""))</f>
        <v/>
      </c>
      <c r="H212" s="139" t="str">
        <f>IF($F212&lt;&gt;"",IFERROR(_xlfn.XLOOKUP($F212,Taxa_från_edp!$B:$B,Taxa_från_edp!C:C),""),"")</f>
        <v/>
      </c>
      <c r="I212" s="139" t="str">
        <f>IF($F212&lt;&gt;"",IFERROR(_xlfn.XLOOKUP($F212,Taxa_från_edp!$B:$B,Taxa_från_edp!G:G),""),"")</f>
        <v/>
      </c>
      <c r="J212" s="140" t="str">
        <f>IF($F212&lt;&gt;"",IFERROR(_xlfn.XLOOKUP($F212,Taxa_från_edp!$B:$B,Taxa_från_edp!K:K),""),"")</f>
        <v/>
      </c>
      <c r="K212" s="141"/>
      <c r="L212" s="141"/>
      <c r="M212" s="141" t="str">
        <f t="shared" si="52"/>
        <v/>
      </c>
      <c r="N212" s="142" t="str">
        <f t="shared" si="53"/>
        <v/>
      </c>
    </row>
    <row r="213" spans="1:14" ht="21.95" customHeight="1" x14ac:dyDescent="0.25">
      <c r="A213" s="93" t="s">
        <v>225</v>
      </c>
      <c r="B213" s="94"/>
      <c r="C213" s="94"/>
      <c r="D213" s="94"/>
      <c r="E213" s="95"/>
      <c r="F213" s="112"/>
      <c r="G213" s="120" t="str">
        <f>IF($F213&lt;&gt;"",$F213,IFERROR(_xlfn.XLOOKUP(ROW(),Taxa_Saknas!$H:$H,Taxa_Saknas!$G:$G),""))</f>
        <v/>
      </c>
      <c r="H213" s="120" t="str">
        <f>IF($F213&lt;&gt;"",IFERROR(_xlfn.XLOOKUP($F213,Taxa_från_edp!$B:$B,Taxa_från_edp!C:C),""),"")</f>
        <v/>
      </c>
      <c r="I213" s="120" t="str">
        <f>IF($F213&lt;&gt;"",IFERROR(_xlfn.XLOOKUP($F213,Taxa_från_edp!$B:$B,Taxa_från_edp!G:G),""),"")</f>
        <v/>
      </c>
      <c r="J213" s="120" t="str">
        <f>IF($F213&lt;&gt;"",IFERROR(_xlfn.XLOOKUP($F213,Taxa_från_edp!$B:$B,Taxa_från_edp!K:K),""),"")</f>
        <v/>
      </c>
      <c r="K213" s="120"/>
      <c r="L213" s="120"/>
      <c r="M213" s="120" t="str">
        <f t="shared" si="52"/>
        <v/>
      </c>
      <c r="N213" s="143" t="str">
        <f t="shared" si="53"/>
        <v/>
      </c>
    </row>
    <row r="214" spans="1:14" ht="21.95" customHeight="1" x14ac:dyDescent="0.25">
      <c r="A214" s="101" t="s">
        <v>1621</v>
      </c>
      <c r="B214" s="84"/>
      <c r="C214" s="84"/>
      <c r="D214" s="84"/>
      <c r="E214" s="85"/>
      <c r="F214" s="114"/>
      <c r="G214" s="122" t="str">
        <f>IF($F214&lt;&gt;"",$F214,IFERROR(_xlfn.XLOOKUP(ROW(),Taxa_Saknas!$H:$H,Taxa_Saknas!$G:$G),""))</f>
        <v/>
      </c>
      <c r="H214" s="122" t="str">
        <f>IF($F214&lt;&gt;"",IFERROR(_xlfn.XLOOKUP($F214,Taxa_från_edp!$B:$B,Taxa_från_edp!C:C),""),"")</f>
        <v/>
      </c>
      <c r="I214" s="149" t="str">
        <f>IF($F214&lt;&gt;"",IFERROR(_xlfn.XLOOKUP($F214,Taxa_från_edp!$B:$B,Taxa_från_edp!G:G),""),"")</f>
        <v/>
      </c>
      <c r="J214" s="149" t="str">
        <f>IF($F214&lt;&gt;"",IFERROR(_xlfn.XLOOKUP($F214,Taxa_från_edp!$B:$B,Taxa_från_edp!K:K),""),"")</f>
        <v/>
      </c>
      <c r="K214" s="149"/>
      <c r="L214" s="149"/>
      <c r="M214" s="121" t="str">
        <f t="shared" ref="M214" si="66">IFERROR(IF(J214&lt;&gt;"",J214*1.25,IF(K214&lt;&gt;"",K214*1.25,"")),"")</f>
        <v/>
      </c>
      <c r="N214" s="144" t="str">
        <f t="shared" ref="N214" si="67">IFERROR(IF(J214&lt;&gt;"",L214*J214,IF(K214&lt;&gt;"",L214*K214,"")),"")</f>
        <v/>
      </c>
    </row>
    <row r="215" spans="1:14" ht="30" customHeight="1" x14ac:dyDescent="0.25">
      <c r="A215" s="100" t="s">
        <v>1624</v>
      </c>
      <c r="B215" s="68" t="s">
        <v>226</v>
      </c>
      <c r="C215" s="68" t="s">
        <v>227</v>
      </c>
      <c r="D215" s="68" t="s">
        <v>228</v>
      </c>
      <c r="E215" s="68" t="s">
        <v>192</v>
      </c>
      <c r="F215" s="106"/>
      <c r="G215" s="116" t="str">
        <f>IF($F215&lt;&gt;"",$F215,IFERROR(_xlfn.XLOOKUP(ROW(),Taxa_Saknas!$H:$H,Taxa_Saknas!$G:$G),""))</f>
        <v/>
      </c>
      <c r="H215" s="126" t="str">
        <f>IF($F215&lt;&gt;"",IFERROR(_xlfn.XLOOKUP($F215,Taxa_från_edp!$B:$B,Taxa_från_edp!C:C),""),"")</f>
        <v/>
      </c>
      <c r="I215" s="127" t="str">
        <f>IF($F215&lt;&gt;"",IFERROR(_xlfn.XLOOKUP($F215,Taxa_från_edp!$B:$B,Taxa_från_edp!G:G),""),"")</f>
        <v/>
      </c>
      <c r="J215" s="127" t="str">
        <f>IF($F215&lt;&gt;"",IFERROR(_xlfn.XLOOKUP($F215,Taxa_från_edp!$B:$B,Taxa_från_edp!K:K),""),"")</f>
        <v/>
      </c>
      <c r="K215" s="145"/>
      <c r="L215" s="146"/>
      <c r="M215" s="147" t="str">
        <f t="shared" si="52"/>
        <v/>
      </c>
      <c r="N215" s="148" t="str">
        <f t="shared" si="53"/>
        <v/>
      </c>
    </row>
    <row r="216" spans="1:14" ht="30" customHeight="1" x14ac:dyDescent="0.25">
      <c r="A216" s="100" t="s">
        <v>1624</v>
      </c>
      <c r="B216" s="68" t="s">
        <v>226</v>
      </c>
      <c r="C216" s="68" t="s">
        <v>183</v>
      </c>
      <c r="D216" s="68" t="s">
        <v>228</v>
      </c>
      <c r="E216" s="68" t="s">
        <v>192</v>
      </c>
      <c r="F216" s="106"/>
      <c r="G216" s="116" t="str">
        <f>IF($F216&lt;&gt;"",$F216,IFERROR(_xlfn.XLOOKUP(ROW(),Taxa_Saknas!$H:$H,Taxa_Saknas!$G:$G),""))</f>
        <v/>
      </c>
      <c r="H216" s="126" t="str">
        <f>IF($F216&lt;&gt;"",IFERROR(_xlfn.XLOOKUP($F216,Taxa_från_edp!$B:$B,Taxa_från_edp!C:C),""),"")</f>
        <v/>
      </c>
      <c r="I216" s="127" t="str">
        <f>IF($F216&lt;&gt;"",IFERROR(_xlfn.XLOOKUP($F216,Taxa_från_edp!$B:$B,Taxa_från_edp!G:G),""),"")</f>
        <v/>
      </c>
      <c r="J216" s="127" t="str">
        <f>IF($F216&lt;&gt;"",IFERROR(_xlfn.XLOOKUP($F216,Taxa_från_edp!$B:$B,Taxa_från_edp!K:K),""),"")</f>
        <v/>
      </c>
      <c r="K216" s="145"/>
      <c r="L216" s="146"/>
      <c r="M216" s="147" t="str">
        <f t="shared" si="52"/>
        <v/>
      </c>
      <c r="N216" s="148" t="str">
        <f t="shared" si="53"/>
        <v/>
      </c>
    </row>
    <row r="217" spans="1:14" ht="30" customHeight="1" x14ac:dyDescent="0.25">
      <c r="A217" s="100" t="s">
        <v>1624</v>
      </c>
      <c r="B217" s="68" t="s">
        <v>226</v>
      </c>
      <c r="C217" s="68" t="s">
        <v>229</v>
      </c>
      <c r="D217" s="68" t="s">
        <v>228</v>
      </c>
      <c r="E217" s="68" t="s">
        <v>192</v>
      </c>
      <c r="F217" s="106"/>
      <c r="G217" s="116" t="str">
        <f>IF($F217&lt;&gt;"",$F217,IFERROR(_xlfn.XLOOKUP(ROW(),Taxa_Saknas!$H:$H,Taxa_Saknas!$G:$G),""))</f>
        <v/>
      </c>
      <c r="H217" s="126" t="str">
        <f>IF($F217&lt;&gt;"",IFERROR(_xlfn.XLOOKUP($F217,Taxa_från_edp!$B:$B,Taxa_från_edp!C:C),""),"")</f>
        <v/>
      </c>
      <c r="I217" s="127" t="str">
        <f>IF($F217&lt;&gt;"",IFERROR(_xlfn.XLOOKUP($F217,Taxa_från_edp!$B:$B,Taxa_från_edp!G:G),""),"")</f>
        <v/>
      </c>
      <c r="J217" s="127" t="str">
        <f>IF($F217&lt;&gt;"",IFERROR(_xlfn.XLOOKUP($F217,Taxa_från_edp!$B:$B,Taxa_från_edp!K:K),""),"")</f>
        <v/>
      </c>
      <c r="K217" s="145"/>
      <c r="L217" s="146"/>
      <c r="M217" s="147" t="str">
        <f t="shared" si="52"/>
        <v/>
      </c>
      <c r="N217" s="148" t="str">
        <f t="shared" si="53"/>
        <v/>
      </c>
    </row>
    <row r="218" spans="1:14" ht="30" customHeight="1" x14ac:dyDescent="0.25">
      <c r="A218" s="100" t="s">
        <v>1624</v>
      </c>
      <c r="B218" s="68" t="s">
        <v>226</v>
      </c>
      <c r="C218" s="68" t="s">
        <v>227</v>
      </c>
      <c r="D218" s="68" t="s">
        <v>218</v>
      </c>
      <c r="E218" s="68" t="s">
        <v>192</v>
      </c>
      <c r="F218" s="107"/>
      <c r="G218" s="117" t="str">
        <f>IF($F218&lt;&gt;"",$F218,IFERROR(_xlfn.XLOOKUP(ROW(),Taxa_Saknas!$H:$H,Taxa_Saknas!$G:$G),""))</f>
        <v/>
      </c>
      <c r="H218" s="128" t="str">
        <f>IF($F218&lt;&gt;"",IFERROR(_xlfn.XLOOKUP($F218,Taxa_från_edp!$B:$B,Taxa_från_edp!C:C),""),"")</f>
        <v/>
      </c>
      <c r="I218" s="129" t="str">
        <f>IF($F218&lt;&gt;"",IFERROR(_xlfn.XLOOKUP($F218,Taxa_från_edp!$B:$B,Taxa_från_edp!G:G),""),"")</f>
        <v/>
      </c>
      <c r="J218" s="129" t="str">
        <f>IF($F218&lt;&gt;"",IFERROR(_xlfn.XLOOKUP($F218,Taxa_från_edp!$B:$B,Taxa_från_edp!K:K),""),"")</f>
        <v/>
      </c>
      <c r="K218" s="150"/>
      <c r="L218" s="151"/>
      <c r="M218" s="147" t="str">
        <f t="shared" ref="M218" si="68">IFERROR(IF(J218&lt;&gt;"",J218*1.25,IF(K218&lt;&gt;"",K218*1.25,"")),"")</f>
        <v/>
      </c>
      <c r="N218" s="148" t="str">
        <f t="shared" ref="N218" si="69">IFERROR(IF(J218&lt;&gt;"",L218*J218,IF(K218&lt;&gt;"",L218*K218,"")),"")</f>
        <v/>
      </c>
    </row>
    <row r="219" spans="1:14" ht="30" customHeight="1" x14ac:dyDescent="0.25">
      <c r="A219" s="100" t="s">
        <v>1624</v>
      </c>
      <c r="B219" s="68" t="s">
        <v>226</v>
      </c>
      <c r="C219" s="68" t="s">
        <v>183</v>
      </c>
      <c r="D219" s="68" t="s">
        <v>218</v>
      </c>
      <c r="E219" s="68" t="s">
        <v>192</v>
      </c>
      <c r="F219" s="107"/>
      <c r="G219" s="117" t="str">
        <f>IF($F219&lt;&gt;"",$F219,IFERROR(_xlfn.XLOOKUP(ROW(),Taxa_Saknas!$H:$H,Taxa_Saknas!$G:$G),""))</f>
        <v/>
      </c>
      <c r="H219" s="128" t="str">
        <f>IF($F219&lt;&gt;"",IFERROR(_xlfn.XLOOKUP($F219,Taxa_från_edp!$B:$B,Taxa_från_edp!C:C),""),"")</f>
        <v/>
      </c>
      <c r="I219" s="129" t="str">
        <f>IF($F219&lt;&gt;"",IFERROR(_xlfn.XLOOKUP($F219,Taxa_från_edp!$B:$B,Taxa_från_edp!G:G),""),"")</f>
        <v/>
      </c>
      <c r="J219" s="129" t="str">
        <f>IF($F219&lt;&gt;"",IFERROR(_xlfn.XLOOKUP($F219,Taxa_från_edp!$B:$B,Taxa_från_edp!K:K),""),"")</f>
        <v/>
      </c>
      <c r="K219" s="150"/>
      <c r="L219" s="151"/>
      <c r="M219" s="147" t="str">
        <f t="shared" si="52"/>
        <v/>
      </c>
      <c r="N219" s="148" t="str">
        <f t="shared" si="53"/>
        <v/>
      </c>
    </row>
    <row r="220" spans="1:14" ht="30" customHeight="1" x14ac:dyDescent="0.25">
      <c r="A220" s="100" t="s">
        <v>1624</v>
      </c>
      <c r="B220" s="68" t="s">
        <v>226</v>
      </c>
      <c r="C220" s="68" t="s">
        <v>229</v>
      </c>
      <c r="D220" s="68" t="s">
        <v>218</v>
      </c>
      <c r="E220" s="68" t="s">
        <v>192</v>
      </c>
      <c r="F220" s="106"/>
      <c r="G220" s="116" t="str">
        <f>IF($F220&lt;&gt;"",$F220,IFERROR(_xlfn.XLOOKUP(ROW(),Taxa_Saknas!$H:$H,Taxa_Saknas!$G:$G),""))</f>
        <v/>
      </c>
      <c r="H220" s="126" t="str">
        <f>IF($F220&lt;&gt;"",IFERROR(_xlfn.XLOOKUP($F220,Taxa_från_edp!$B:$B,Taxa_från_edp!C:C),""),"")</f>
        <v/>
      </c>
      <c r="I220" s="127" t="str">
        <f>IF($F220&lt;&gt;"",IFERROR(_xlfn.XLOOKUP($F220,Taxa_från_edp!$B:$B,Taxa_från_edp!G:G),""),"")</f>
        <v/>
      </c>
      <c r="J220" s="127" t="str">
        <f>IF($F220&lt;&gt;"",IFERROR(_xlfn.XLOOKUP($F220,Taxa_från_edp!$B:$B,Taxa_från_edp!K:K),""),"")</f>
        <v/>
      </c>
      <c r="K220" s="145"/>
      <c r="L220" s="146"/>
      <c r="M220" s="147" t="str">
        <f t="shared" si="52"/>
        <v/>
      </c>
      <c r="N220" s="148" t="str">
        <f t="shared" si="53"/>
        <v/>
      </c>
    </row>
    <row r="221" spans="1:14" ht="21.95" customHeight="1" x14ac:dyDescent="0.25">
      <c r="A221" s="93" t="s">
        <v>230</v>
      </c>
      <c r="B221" s="94"/>
      <c r="C221" s="94"/>
      <c r="D221" s="94"/>
      <c r="E221" s="95"/>
      <c r="F221" s="112"/>
      <c r="G221" s="120" t="str">
        <f>IF($F221&lt;&gt;"",$F221,IFERROR(_xlfn.XLOOKUP(ROW(),Taxa_Saknas!$H:$H,Taxa_Saknas!$G:$G),""))</f>
        <v/>
      </c>
      <c r="H221" s="120" t="str">
        <f>IF($F221&lt;&gt;"",IFERROR(_xlfn.XLOOKUP($F221,Taxa_från_edp!$B:$B,Taxa_från_edp!C:C),""),"")</f>
        <v/>
      </c>
      <c r="I221" s="120" t="str">
        <f>IF($F221&lt;&gt;"",IFERROR(_xlfn.XLOOKUP($F221,Taxa_från_edp!$B:$B,Taxa_från_edp!G:G),""),"")</f>
        <v/>
      </c>
      <c r="J221" s="120" t="str">
        <f>IF($F221&lt;&gt;"",IFERROR(_xlfn.XLOOKUP($F221,Taxa_från_edp!$B:$B,Taxa_från_edp!K:K),""),"")</f>
        <v/>
      </c>
      <c r="K221" s="120"/>
      <c r="L221" s="120"/>
      <c r="M221" s="120" t="str">
        <f t="shared" ref="M221" si="70">IFERROR(IF(J221&lt;&gt;"",J221*1.25,IF(K221&lt;&gt;"",K221*1.25,"")),"")</f>
        <v/>
      </c>
      <c r="N221" s="143" t="str">
        <f t="shared" ref="N221" si="71">IFERROR(IF(J221&lt;&gt;"",L221*J221,IF(K221&lt;&gt;"",L221*K221,"")),"")</f>
        <v/>
      </c>
    </row>
    <row r="222" spans="1:14" ht="21.95" customHeight="1" x14ac:dyDescent="0.25">
      <c r="A222" s="101" t="s">
        <v>1622</v>
      </c>
      <c r="B222" s="84"/>
      <c r="C222" s="84"/>
      <c r="D222" s="84"/>
      <c r="E222" s="85"/>
      <c r="F222" s="114"/>
      <c r="G222" s="122" t="str">
        <f>IF($F222&lt;&gt;"",$F222,IFERROR(_xlfn.XLOOKUP(ROW(),Taxa_Saknas!$H:$H,Taxa_Saknas!$G:$G),""))</f>
        <v/>
      </c>
      <c r="H222" s="122" t="str">
        <f>IF($F222&lt;&gt;"",IFERROR(_xlfn.XLOOKUP($F222,Taxa_från_edp!$B:$B,Taxa_från_edp!C:C),""),"")</f>
        <v/>
      </c>
      <c r="I222" s="149" t="str">
        <f>IF($F222&lt;&gt;"",IFERROR(_xlfn.XLOOKUP($F222,Taxa_från_edp!$B:$B,Taxa_från_edp!G:G),""),"")</f>
        <v/>
      </c>
      <c r="J222" s="149" t="str">
        <f>IF($F222&lt;&gt;"",IFERROR(_xlfn.XLOOKUP($F222,Taxa_från_edp!$B:$B,Taxa_från_edp!K:K),""),"")</f>
        <v/>
      </c>
      <c r="K222" s="149"/>
      <c r="L222" s="149"/>
      <c r="M222" s="121" t="str">
        <f t="shared" si="52"/>
        <v/>
      </c>
      <c r="N222" s="144" t="str">
        <f t="shared" si="53"/>
        <v/>
      </c>
    </row>
    <row r="223" spans="1:14" ht="30" customHeight="1" x14ac:dyDescent="0.25">
      <c r="A223" s="100" t="s">
        <v>1623</v>
      </c>
      <c r="B223" s="68" t="s">
        <v>231</v>
      </c>
      <c r="C223" s="68" t="s">
        <v>232</v>
      </c>
      <c r="D223" s="68"/>
      <c r="E223" s="68" t="s">
        <v>192</v>
      </c>
      <c r="F223" s="106"/>
      <c r="G223" s="116" t="str">
        <f>IF($F223&lt;&gt;"",$F223,IFERROR(_xlfn.XLOOKUP(ROW(),Taxa_Saknas!$H:$H,Taxa_Saknas!$G:$G),""))</f>
        <v/>
      </c>
      <c r="H223" s="126" t="str">
        <f>IF($F223&lt;&gt;"",IFERROR(_xlfn.XLOOKUP($F223,Taxa_från_edp!$B:$B,Taxa_från_edp!C:C),""),"")</f>
        <v/>
      </c>
      <c r="I223" s="127" t="str">
        <f>IF($F223&lt;&gt;"",IFERROR(_xlfn.XLOOKUP($F223,Taxa_från_edp!$B:$B,Taxa_från_edp!G:G),""),"")</f>
        <v/>
      </c>
      <c r="J223" s="127" t="str">
        <f>IF($F223&lt;&gt;"",IFERROR(_xlfn.XLOOKUP($F223,Taxa_från_edp!$B:$B,Taxa_från_edp!K:K),""),"")</f>
        <v/>
      </c>
      <c r="K223" s="145"/>
      <c r="L223" s="146"/>
      <c r="M223" s="147" t="str">
        <f t="shared" si="52"/>
        <v/>
      </c>
      <c r="N223" s="148" t="str">
        <f t="shared" si="53"/>
        <v/>
      </c>
    </row>
    <row r="224" spans="1:14" ht="30" customHeight="1" x14ac:dyDescent="0.25">
      <c r="A224" s="100" t="s">
        <v>1623</v>
      </c>
      <c r="B224" s="68" t="s">
        <v>231</v>
      </c>
      <c r="C224" s="68" t="s">
        <v>191</v>
      </c>
      <c r="D224" s="68"/>
      <c r="E224" s="68" t="s">
        <v>192</v>
      </c>
      <c r="F224" s="106"/>
      <c r="G224" s="116" t="str">
        <f>IF($F224&lt;&gt;"",$F224,IFERROR(_xlfn.XLOOKUP(ROW(),Taxa_Saknas!$H:$H,Taxa_Saknas!$G:$G),""))</f>
        <v/>
      </c>
      <c r="H224" s="126" t="str">
        <f>IF($F224&lt;&gt;"",IFERROR(_xlfn.XLOOKUP($F224,Taxa_från_edp!$B:$B,Taxa_från_edp!C:C),""),"")</f>
        <v/>
      </c>
      <c r="I224" s="127" t="str">
        <f>IF($F224&lt;&gt;"",IFERROR(_xlfn.XLOOKUP($F224,Taxa_från_edp!$B:$B,Taxa_från_edp!G:G),""),"")</f>
        <v/>
      </c>
      <c r="J224" s="127" t="str">
        <f>IF($F224&lt;&gt;"",IFERROR(_xlfn.XLOOKUP($F224,Taxa_från_edp!$B:$B,Taxa_från_edp!K:K),""),"")</f>
        <v/>
      </c>
      <c r="K224" s="145"/>
      <c r="L224" s="146"/>
      <c r="M224" s="147" t="str">
        <f t="shared" si="52"/>
        <v/>
      </c>
      <c r="N224" s="148" t="str">
        <f t="shared" si="53"/>
        <v/>
      </c>
    </row>
    <row r="225" spans="1:14" ht="30" customHeight="1" x14ac:dyDescent="0.25">
      <c r="A225" s="100" t="s">
        <v>1623</v>
      </c>
      <c r="B225" s="68" t="s">
        <v>231</v>
      </c>
      <c r="C225" s="68" t="s">
        <v>193</v>
      </c>
      <c r="D225" s="68"/>
      <c r="E225" s="68" t="s">
        <v>192</v>
      </c>
      <c r="F225" s="106"/>
      <c r="G225" s="116" t="str">
        <f>IF($F225&lt;&gt;"",$F225,IFERROR(_xlfn.XLOOKUP(ROW(),Taxa_Saknas!$H:$H,Taxa_Saknas!$G:$G),""))</f>
        <v/>
      </c>
      <c r="H225" s="126" t="str">
        <f>IF($F225&lt;&gt;"",IFERROR(_xlfn.XLOOKUP($F225,Taxa_från_edp!$B:$B,Taxa_från_edp!C:C),""),"")</f>
        <v/>
      </c>
      <c r="I225" s="127" t="str">
        <f>IF($F225&lt;&gt;"",IFERROR(_xlfn.XLOOKUP($F225,Taxa_från_edp!$B:$B,Taxa_från_edp!G:G),""),"")</f>
        <v/>
      </c>
      <c r="J225" s="127" t="str">
        <f>IF($F225&lt;&gt;"",IFERROR(_xlfn.XLOOKUP($F225,Taxa_från_edp!$B:$B,Taxa_från_edp!K:K),""),"")</f>
        <v/>
      </c>
      <c r="K225" s="145"/>
      <c r="L225" s="146"/>
      <c r="M225" s="147" t="str">
        <f t="shared" si="52"/>
        <v/>
      </c>
      <c r="N225" s="148" t="str">
        <f t="shared" si="53"/>
        <v/>
      </c>
    </row>
    <row r="226" spans="1:14" ht="30" customHeight="1" x14ac:dyDescent="0.25">
      <c r="A226" s="100" t="s">
        <v>1623</v>
      </c>
      <c r="B226" s="68" t="s">
        <v>231</v>
      </c>
      <c r="C226" s="100" t="s">
        <v>1607</v>
      </c>
      <c r="D226" s="68"/>
      <c r="E226" s="68" t="s">
        <v>192</v>
      </c>
      <c r="F226" s="106"/>
      <c r="G226" s="116" t="str">
        <f>IF($F226&lt;&gt;"",$F226,IFERROR(_xlfn.XLOOKUP(ROW(),Taxa_Saknas!$H:$H,Taxa_Saknas!$G:$G),""))</f>
        <v/>
      </c>
      <c r="H226" s="126" t="str">
        <f>IF($F226&lt;&gt;"",IFERROR(_xlfn.XLOOKUP($F226,Taxa_från_edp!$B:$B,Taxa_från_edp!C:C),""),"")</f>
        <v/>
      </c>
      <c r="I226" s="127" t="str">
        <f>IF($F226&lt;&gt;"",IFERROR(_xlfn.XLOOKUP($F226,Taxa_från_edp!$B:$B,Taxa_från_edp!G:G),""),"")</f>
        <v/>
      </c>
      <c r="J226" s="127" t="str">
        <f>IF($F226&lt;&gt;"",IFERROR(_xlfn.XLOOKUP($F226,Taxa_från_edp!$B:$B,Taxa_från_edp!K:K),""),"")</f>
        <v/>
      </c>
      <c r="K226" s="145"/>
      <c r="L226" s="146"/>
      <c r="M226" s="147" t="str">
        <f t="shared" ref="M226" si="72">IFERROR(IF(J226&lt;&gt;"",J226*1.25,IF(K226&lt;&gt;"",K226*1.25,"")),"")</f>
        <v/>
      </c>
      <c r="N226" s="148" t="str">
        <f t="shared" ref="N226" si="73">IFERROR(IF(J226&lt;&gt;"",L226*J226,IF(K226&lt;&gt;"",L226*K226,"")),"")</f>
        <v/>
      </c>
    </row>
    <row r="227" spans="1:14" ht="30" customHeight="1" x14ac:dyDescent="0.25">
      <c r="A227" s="100" t="s">
        <v>1623</v>
      </c>
      <c r="B227" s="68" t="s">
        <v>231</v>
      </c>
      <c r="C227" s="68" t="s">
        <v>194</v>
      </c>
      <c r="D227" s="68"/>
      <c r="E227" s="68" t="s">
        <v>192</v>
      </c>
      <c r="F227" s="106"/>
      <c r="G227" s="116" t="str">
        <f>IF($F227&lt;&gt;"",$F227,IFERROR(_xlfn.XLOOKUP(ROW(),Taxa_Saknas!$H:$H,Taxa_Saknas!$G:$G),""))</f>
        <v/>
      </c>
      <c r="H227" s="126" t="str">
        <f>IF($F227&lt;&gt;"",IFERROR(_xlfn.XLOOKUP($F227,Taxa_från_edp!$B:$B,Taxa_från_edp!C:C),""),"")</f>
        <v/>
      </c>
      <c r="I227" s="127" t="str">
        <f>IF($F227&lt;&gt;"",IFERROR(_xlfn.XLOOKUP($F227,Taxa_från_edp!$B:$B,Taxa_från_edp!G:G),""),"")</f>
        <v/>
      </c>
      <c r="J227" s="127" t="str">
        <f>IF($F227&lt;&gt;"",IFERROR(_xlfn.XLOOKUP($F227,Taxa_från_edp!$B:$B,Taxa_från_edp!K:K),""),"")</f>
        <v/>
      </c>
      <c r="K227" s="145"/>
      <c r="L227" s="146"/>
      <c r="M227" s="147" t="str">
        <f t="shared" si="52"/>
        <v/>
      </c>
      <c r="N227" s="148" t="str">
        <f t="shared" si="53"/>
        <v/>
      </c>
    </row>
    <row r="228" spans="1:14" ht="30" customHeight="1" x14ac:dyDescent="0.25">
      <c r="A228" s="100" t="s">
        <v>1623</v>
      </c>
      <c r="B228" s="68" t="s">
        <v>231</v>
      </c>
      <c r="C228" s="68" t="s">
        <v>195</v>
      </c>
      <c r="D228" s="68"/>
      <c r="E228" s="68" t="s">
        <v>192</v>
      </c>
      <c r="F228" s="106"/>
      <c r="G228" s="116" t="str">
        <f>IF($F228&lt;&gt;"",$F228,IFERROR(_xlfn.XLOOKUP(ROW(),Taxa_Saknas!$H:$H,Taxa_Saknas!$G:$G),""))</f>
        <v/>
      </c>
      <c r="H228" s="126" t="str">
        <f>IF($F228&lt;&gt;"",IFERROR(_xlfn.XLOOKUP($F228,Taxa_från_edp!$B:$B,Taxa_från_edp!C:C),""),"")</f>
        <v/>
      </c>
      <c r="I228" s="127" t="str">
        <f>IF($F228&lt;&gt;"",IFERROR(_xlfn.XLOOKUP($F228,Taxa_från_edp!$B:$B,Taxa_från_edp!G:G),""),"")</f>
        <v/>
      </c>
      <c r="J228" s="127" t="str">
        <f>IF($F228&lt;&gt;"",IFERROR(_xlfn.XLOOKUP($F228,Taxa_från_edp!$B:$B,Taxa_från_edp!K:K),""),"")</f>
        <v/>
      </c>
      <c r="K228" s="145"/>
      <c r="L228" s="146"/>
      <c r="M228" s="147" t="str">
        <f t="shared" si="52"/>
        <v/>
      </c>
      <c r="N228" s="148" t="str">
        <f t="shared" si="53"/>
        <v/>
      </c>
    </row>
    <row r="229" spans="1:14" ht="30" customHeight="1" x14ac:dyDescent="0.25">
      <c r="A229" s="100" t="s">
        <v>1623</v>
      </c>
      <c r="B229" s="68" t="s">
        <v>231</v>
      </c>
      <c r="C229" s="68" t="s">
        <v>1625</v>
      </c>
      <c r="D229" s="68"/>
      <c r="E229" s="68" t="s">
        <v>192</v>
      </c>
      <c r="F229" s="106"/>
      <c r="G229" s="116" t="str">
        <f>IF($F229&lt;&gt;"",$F229,IFERROR(_xlfn.XLOOKUP(ROW(),Taxa_Saknas!$H:$H,Taxa_Saknas!$G:$G),""))</f>
        <v/>
      </c>
      <c r="H229" s="126" t="str">
        <f>IF($F229&lt;&gt;"",IFERROR(_xlfn.XLOOKUP($F229,Taxa_från_edp!$B:$B,Taxa_från_edp!C:C),""),"")</f>
        <v/>
      </c>
      <c r="I229" s="127" t="str">
        <f>IF($F229&lt;&gt;"",IFERROR(_xlfn.XLOOKUP($F229,Taxa_från_edp!$B:$B,Taxa_från_edp!G:G),""),"")</f>
        <v/>
      </c>
      <c r="J229" s="127" t="str">
        <f>IF($F229&lt;&gt;"",IFERROR(_xlfn.XLOOKUP($F229,Taxa_från_edp!$B:$B,Taxa_från_edp!K:K),""),"")</f>
        <v/>
      </c>
      <c r="K229" s="145"/>
      <c r="L229" s="146"/>
      <c r="M229" s="147" t="str">
        <f t="shared" ref="M229" si="74">IFERROR(IF(J229&lt;&gt;"",J229*1.25,IF(K229&lt;&gt;"",K229*1.25,"")),"")</f>
        <v/>
      </c>
      <c r="N229" s="148" t="str">
        <f t="shared" ref="N229" si="75">IFERROR(IF(J229&lt;&gt;"",L229*J229,IF(K229&lt;&gt;"",L229*K229,"")),"")</f>
        <v/>
      </c>
    </row>
    <row r="230" spans="1:14" ht="30" customHeight="1" x14ac:dyDescent="0.25">
      <c r="A230" s="100" t="s">
        <v>1623</v>
      </c>
      <c r="B230" s="68" t="s">
        <v>231</v>
      </c>
      <c r="C230" s="68" t="s">
        <v>233</v>
      </c>
      <c r="D230" s="68"/>
      <c r="E230" s="68" t="s">
        <v>192</v>
      </c>
      <c r="F230" s="106"/>
      <c r="G230" s="116" t="str">
        <f>IF($F230&lt;&gt;"",$F230,IFERROR(_xlfn.XLOOKUP(ROW(),Taxa_Saknas!$H:$H,Taxa_Saknas!$G:$G),""))</f>
        <v/>
      </c>
      <c r="H230" s="126" t="str">
        <f>IF($F230&lt;&gt;"",IFERROR(_xlfn.XLOOKUP($F230,Taxa_från_edp!$B:$B,Taxa_från_edp!C:C),""),"")</f>
        <v/>
      </c>
      <c r="I230" s="127" t="str">
        <f>IF($F230&lt;&gt;"",IFERROR(_xlfn.XLOOKUP($F230,Taxa_från_edp!$B:$B,Taxa_från_edp!G:G),""),"")</f>
        <v/>
      </c>
      <c r="J230" s="127" t="str">
        <f>IF($F230&lt;&gt;"",IFERROR(_xlfn.XLOOKUP($F230,Taxa_från_edp!$B:$B,Taxa_från_edp!K:K),""),"")</f>
        <v/>
      </c>
      <c r="K230" s="145"/>
      <c r="L230" s="146"/>
      <c r="M230" s="147" t="str">
        <f t="shared" si="52"/>
        <v/>
      </c>
      <c r="N230" s="148" t="str">
        <f t="shared" si="53"/>
        <v/>
      </c>
    </row>
    <row r="231" spans="1:14" ht="30" customHeight="1" x14ac:dyDescent="0.25">
      <c r="A231" s="100" t="s">
        <v>1623</v>
      </c>
      <c r="B231" s="68" t="s">
        <v>231</v>
      </c>
      <c r="C231" s="68" t="s">
        <v>198</v>
      </c>
      <c r="D231" s="68"/>
      <c r="E231" s="68" t="s">
        <v>192</v>
      </c>
      <c r="F231" s="106"/>
      <c r="G231" s="116" t="str">
        <f>IF($F231&lt;&gt;"",$F231,IFERROR(_xlfn.XLOOKUP(ROW(),Taxa_Saknas!$H:$H,Taxa_Saknas!$G:$G),""))</f>
        <v/>
      </c>
      <c r="H231" s="126" t="str">
        <f>IF($F231&lt;&gt;"",IFERROR(_xlfn.XLOOKUP($F231,Taxa_från_edp!$B:$B,Taxa_från_edp!C:C),""),"")</f>
        <v/>
      </c>
      <c r="I231" s="127" t="str">
        <f>IF($F231&lt;&gt;"",IFERROR(_xlfn.XLOOKUP($F231,Taxa_från_edp!$B:$B,Taxa_från_edp!G:G),""),"")</f>
        <v/>
      </c>
      <c r="J231" s="127" t="str">
        <f>IF($F231&lt;&gt;"",IFERROR(_xlfn.XLOOKUP($F231,Taxa_från_edp!$B:$B,Taxa_från_edp!K:K),""),"")</f>
        <v/>
      </c>
      <c r="K231" s="145"/>
      <c r="L231" s="146"/>
      <c r="M231" s="147" t="str">
        <f t="shared" si="52"/>
        <v/>
      </c>
      <c r="N231" s="148" t="str">
        <f t="shared" si="53"/>
        <v/>
      </c>
    </row>
    <row r="232" spans="1:14" ht="30" customHeight="1" x14ac:dyDescent="0.25">
      <c r="A232" s="100" t="s">
        <v>1623</v>
      </c>
      <c r="B232" s="68" t="s">
        <v>231</v>
      </c>
      <c r="C232" s="68" t="s">
        <v>234</v>
      </c>
      <c r="D232" s="68"/>
      <c r="E232" s="68" t="s">
        <v>192</v>
      </c>
      <c r="F232" s="107"/>
      <c r="G232" s="117" t="str">
        <f>IF($F232&lt;&gt;"",$F232,IFERROR(_xlfn.XLOOKUP(ROW(),Taxa_Saknas!$H:$H,Taxa_Saknas!$G:$G),""))</f>
        <v/>
      </c>
      <c r="H232" s="128" t="str">
        <f>IF($F232&lt;&gt;"",IFERROR(_xlfn.XLOOKUP($F232,Taxa_från_edp!$B:$B,Taxa_från_edp!C:C),""),"")</f>
        <v/>
      </c>
      <c r="I232" s="129" t="str">
        <f>IF($F232&lt;&gt;"",IFERROR(_xlfn.XLOOKUP($F232,Taxa_från_edp!$B:$B,Taxa_från_edp!G:G),""),"")</f>
        <v/>
      </c>
      <c r="J232" s="129" t="str">
        <f>IF($F232&lt;&gt;"",IFERROR(_xlfn.XLOOKUP($F232,Taxa_från_edp!$B:$B,Taxa_från_edp!K:K),""),"")</f>
        <v/>
      </c>
      <c r="K232" s="150"/>
      <c r="L232" s="151"/>
      <c r="M232" s="147" t="str">
        <f t="shared" si="52"/>
        <v/>
      </c>
      <c r="N232" s="148" t="str">
        <f t="shared" si="53"/>
        <v/>
      </c>
    </row>
    <row r="233" spans="1:14" ht="30" customHeight="1" x14ac:dyDescent="0.25">
      <c r="A233" s="100" t="s">
        <v>1623</v>
      </c>
      <c r="B233" s="68" t="s">
        <v>231</v>
      </c>
      <c r="C233" s="68" t="s">
        <v>235</v>
      </c>
      <c r="D233" s="68"/>
      <c r="E233" s="68" t="s">
        <v>192</v>
      </c>
      <c r="F233" s="107"/>
      <c r="G233" s="117" t="str">
        <f>IF($F233&lt;&gt;"",$F233,IFERROR(_xlfn.XLOOKUP(ROW(),Taxa_Saknas!$H:$H,Taxa_Saknas!$G:$G),""))</f>
        <v/>
      </c>
      <c r="H233" s="128" t="str">
        <f>IF($F233&lt;&gt;"",IFERROR(_xlfn.XLOOKUP($F233,Taxa_från_edp!$B:$B,Taxa_från_edp!C:C),""),"")</f>
        <v/>
      </c>
      <c r="I233" s="129" t="str">
        <f>IF($F233&lt;&gt;"",IFERROR(_xlfn.XLOOKUP($F233,Taxa_från_edp!$B:$B,Taxa_från_edp!G:G),""),"")</f>
        <v/>
      </c>
      <c r="J233" s="129" t="str">
        <f>IF($F233&lt;&gt;"",IFERROR(_xlfn.XLOOKUP($F233,Taxa_från_edp!$B:$B,Taxa_från_edp!K:K),""),"")</f>
        <v/>
      </c>
      <c r="K233" s="150"/>
      <c r="L233" s="151"/>
      <c r="M233" s="147" t="str">
        <f t="shared" si="52"/>
        <v/>
      </c>
      <c r="N233" s="148" t="str">
        <f t="shared" si="53"/>
        <v/>
      </c>
    </row>
    <row r="234" spans="1:14" ht="30" customHeight="1" x14ac:dyDescent="0.25">
      <c r="A234" s="100" t="s">
        <v>1623</v>
      </c>
      <c r="B234" s="68" t="s">
        <v>231</v>
      </c>
      <c r="C234" s="68" t="s">
        <v>236</v>
      </c>
      <c r="D234" s="68"/>
      <c r="E234" s="68" t="s">
        <v>192</v>
      </c>
      <c r="F234" s="106"/>
      <c r="G234" s="116" t="str">
        <f>IF($F234&lt;&gt;"",$F234,IFERROR(_xlfn.XLOOKUP(ROW(),Taxa_Saknas!$H:$H,Taxa_Saknas!$G:$G),""))</f>
        <v/>
      </c>
      <c r="H234" s="126" t="str">
        <f>IF($F234&lt;&gt;"",IFERROR(_xlfn.XLOOKUP($F234,Taxa_från_edp!$B:$B,Taxa_från_edp!C:C),""),"")</f>
        <v/>
      </c>
      <c r="I234" s="127" t="str">
        <f>IF($F234&lt;&gt;"",IFERROR(_xlfn.XLOOKUP($F234,Taxa_från_edp!$B:$B,Taxa_från_edp!G:G),""),"")</f>
        <v/>
      </c>
      <c r="J234" s="127" t="str">
        <f>IF($F234&lt;&gt;"",IFERROR(_xlfn.XLOOKUP($F234,Taxa_från_edp!$B:$B,Taxa_från_edp!K:K),""),"")</f>
        <v/>
      </c>
      <c r="K234" s="145"/>
      <c r="L234" s="146"/>
      <c r="M234" s="147" t="str">
        <f t="shared" si="52"/>
        <v/>
      </c>
      <c r="N234" s="148" t="str">
        <f t="shared" si="53"/>
        <v/>
      </c>
    </row>
    <row r="235" spans="1:14" ht="21.95" customHeight="1" x14ac:dyDescent="0.25">
      <c r="A235" s="93" t="s">
        <v>237</v>
      </c>
      <c r="B235" s="94"/>
      <c r="C235" s="94"/>
      <c r="D235" s="94"/>
      <c r="E235" s="95"/>
      <c r="F235" s="112"/>
      <c r="G235" s="120" t="str">
        <f>IF($F235&lt;&gt;"",$F235,IFERROR(_xlfn.XLOOKUP(ROW(),Taxa_Saknas!$H:$H,Taxa_Saknas!$G:$G),""))</f>
        <v/>
      </c>
      <c r="H235" s="120" t="str">
        <f>IF($F235&lt;&gt;"",IFERROR(_xlfn.XLOOKUP($F235,Taxa_från_edp!$B:$B,Taxa_från_edp!C:C),""),"")</f>
        <v/>
      </c>
      <c r="I235" s="120" t="str">
        <f>IF($F235&lt;&gt;"",IFERROR(_xlfn.XLOOKUP($F235,Taxa_från_edp!$B:$B,Taxa_från_edp!G:G),""),"")</f>
        <v/>
      </c>
      <c r="J235" s="120" t="str">
        <f>IF($F235&lt;&gt;"",IFERROR(_xlfn.XLOOKUP($F235,Taxa_från_edp!$B:$B,Taxa_från_edp!K:K),""),"")</f>
        <v/>
      </c>
      <c r="K235" s="120"/>
      <c r="L235" s="120"/>
      <c r="M235" s="120" t="str">
        <f t="shared" si="52"/>
        <v/>
      </c>
      <c r="N235" s="143" t="str">
        <f t="shared" si="53"/>
        <v/>
      </c>
    </row>
    <row r="236" spans="1:14" ht="21.95" customHeight="1" x14ac:dyDescent="0.25">
      <c r="A236" s="83" t="s">
        <v>1626</v>
      </c>
      <c r="B236" s="84"/>
      <c r="C236" s="84"/>
      <c r="D236" s="84"/>
      <c r="E236" s="85"/>
      <c r="F236" s="114"/>
      <c r="G236" s="122" t="str">
        <f>IF($F236&lt;&gt;"",$F236,IFERROR(_xlfn.XLOOKUP(ROW(),Taxa_Saknas!$H:$H,Taxa_Saknas!$G:$G),""))</f>
        <v/>
      </c>
      <c r="H236" s="122" t="str">
        <f>IF($F236&lt;&gt;"",IFERROR(_xlfn.XLOOKUP($F236,Taxa_från_edp!$B:$B,Taxa_från_edp!C:C),""),"")</f>
        <v/>
      </c>
      <c r="I236" s="149" t="str">
        <f>IF($F236&lt;&gt;"",IFERROR(_xlfn.XLOOKUP($F236,Taxa_från_edp!$B:$B,Taxa_från_edp!G:G),""),"")</f>
        <v/>
      </c>
      <c r="J236" s="149" t="str">
        <f>IF($F236&lt;&gt;"",IFERROR(_xlfn.XLOOKUP($F236,Taxa_från_edp!$B:$B,Taxa_från_edp!K:K),""),"")</f>
        <v/>
      </c>
      <c r="K236" s="149"/>
      <c r="L236" s="149"/>
      <c r="M236" s="121" t="str">
        <f t="shared" ref="M236" si="76">IFERROR(IF(J236&lt;&gt;"",J236*1.25,IF(K236&lt;&gt;"",K236*1.25,"")),"")</f>
        <v/>
      </c>
      <c r="N236" s="144" t="str">
        <f t="shared" ref="N236" si="77">IFERROR(IF(J236&lt;&gt;"",L236*J236,IF(K236&lt;&gt;"",L236*K236,"")),"")</f>
        <v/>
      </c>
    </row>
    <row r="237" spans="1:14" ht="30" customHeight="1" x14ac:dyDescent="0.25">
      <c r="A237" s="68" t="s">
        <v>1627</v>
      </c>
      <c r="B237" s="68" t="s">
        <v>238</v>
      </c>
      <c r="C237" s="68" t="s">
        <v>203</v>
      </c>
      <c r="D237" s="68" t="s">
        <v>239</v>
      </c>
      <c r="E237" s="68" t="s">
        <v>192</v>
      </c>
      <c r="F237" s="106"/>
      <c r="G237" s="116" t="str">
        <f>IF($F237&lt;&gt;"",$F237,IFERROR(_xlfn.XLOOKUP(ROW(),Taxa_Saknas!$H:$H,Taxa_Saknas!$G:$G),""))</f>
        <v/>
      </c>
      <c r="H237" s="126" t="str">
        <f>IF($F237&lt;&gt;"",IFERROR(_xlfn.XLOOKUP($F237,Taxa_från_edp!$B:$B,Taxa_från_edp!C:C),""),"")</f>
        <v/>
      </c>
      <c r="I237" s="127" t="str">
        <f>IF($F237&lt;&gt;"",IFERROR(_xlfn.XLOOKUP($F237,Taxa_från_edp!$B:$B,Taxa_från_edp!G:G),""),"")</f>
        <v/>
      </c>
      <c r="J237" s="127" t="str">
        <f>IF($F237&lt;&gt;"",IFERROR(_xlfn.XLOOKUP($F237,Taxa_från_edp!$B:$B,Taxa_från_edp!K:K),""),"")</f>
        <v/>
      </c>
      <c r="K237" s="145"/>
      <c r="L237" s="146"/>
      <c r="M237" s="147" t="str">
        <f t="shared" si="52"/>
        <v/>
      </c>
      <c r="N237" s="148" t="str">
        <f t="shared" si="53"/>
        <v/>
      </c>
    </row>
    <row r="238" spans="1:14" ht="30" customHeight="1" x14ac:dyDescent="0.25">
      <c r="A238" s="68" t="s">
        <v>1627</v>
      </c>
      <c r="B238" s="68" t="s">
        <v>238</v>
      </c>
      <c r="C238" s="68" t="s">
        <v>240</v>
      </c>
      <c r="D238" s="68" t="s">
        <v>239</v>
      </c>
      <c r="E238" s="68" t="s">
        <v>192</v>
      </c>
      <c r="F238" s="106"/>
      <c r="G238" s="116" t="str">
        <f>IF($F238&lt;&gt;"",$F238,IFERROR(_xlfn.XLOOKUP(ROW(),Taxa_Saknas!$H:$H,Taxa_Saknas!$G:$G),""))</f>
        <v/>
      </c>
      <c r="H238" s="126" t="str">
        <f>IF($F238&lt;&gt;"",IFERROR(_xlfn.XLOOKUP($F238,Taxa_från_edp!$B:$B,Taxa_från_edp!C:C),""),"")</f>
        <v/>
      </c>
      <c r="I238" s="127" t="str">
        <f>IF($F238&lt;&gt;"",IFERROR(_xlfn.XLOOKUP($F238,Taxa_från_edp!$B:$B,Taxa_från_edp!G:G),""),"")</f>
        <v/>
      </c>
      <c r="J238" s="127" t="str">
        <f>IF($F238&lt;&gt;"",IFERROR(_xlfn.XLOOKUP($F238,Taxa_från_edp!$B:$B,Taxa_från_edp!K:K),""),"")</f>
        <v/>
      </c>
      <c r="K238" s="145"/>
      <c r="L238" s="146"/>
      <c r="M238" s="147" t="str">
        <f t="shared" si="52"/>
        <v/>
      </c>
      <c r="N238" s="148" t="str">
        <f t="shared" si="53"/>
        <v/>
      </c>
    </row>
    <row r="239" spans="1:14" ht="30" customHeight="1" x14ac:dyDescent="0.25">
      <c r="A239" s="68" t="s">
        <v>1627</v>
      </c>
      <c r="B239" s="68" t="s">
        <v>238</v>
      </c>
      <c r="C239" s="68" t="s">
        <v>203</v>
      </c>
      <c r="D239" s="68" t="s">
        <v>241</v>
      </c>
      <c r="E239" s="68" t="s">
        <v>192</v>
      </c>
      <c r="F239" s="106"/>
      <c r="G239" s="116" t="str">
        <f>IF($F239&lt;&gt;"",$F239,IFERROR(_xlfn.XLOOKUP(ROW(),Taxa_Saknas!$H:$H,Taxa_Saknas!$G:$G),""))</f>
        <v/>
      </c>
      <c r="H239" s="126" t="str">
        <f>IF($F239&lt;&gt;"",IFERROR(_xlfn.XLOOKUP($F239,Taxa_från_edp!$B:$B,Taxa_från_edp!C:C),""),"")</f>
        <v/>
      </c>
      <c r="I239" s="127" t="str">
        <f>IF($F239&lt;&gt;"",IFERROR(_xlfn.XLOOKUP($F239,Taxa_från_edp!$B:$B,Taxa_från_edp!G:G),""),"")</f>
        <v/>
      </c>
      <c r="J239" s="127" t="str">
        <f>IF($F239&lt;&gt;"",IFERROR(_xlfn.XLOOKUP($F239,Taxa_från_edp!$B:$B,Taxa_från_edp!K:K),""),"")</f>
        <v/>
      </c>
      <c r="K239" s="145"/>
      <c r="L239" s="146"/>
      <c r="M239" s="147" t="str">
        <f t="shared" si="52"/>
        <v/>
      </c>
      <c r="N239" s="148" t="str">
        <f t="shared" si="53"/>
        <v/>
      </c>
    </row>
    <row r="240" spans="1:14" ht="30" customHeight="1" x14ac:dyDescent="0.25">
      <c r="A240" s="68" t="s">
        <v>1627</v>
      </c>
      <c r="B240" s="68" t="s">
        <v>238</v>
      </c>
      <c r="C240" s="68" t="s">
        <v>240</v>
      </c>
      <c r="D240" s="68" t="s">
        <v>241</v>
      </c>
      <c r="E240" s="68" t="s">
        <v>192</v>
      </c>
      <c r="F240" s="107"/>
      <c r="G240" s="117" t="str">
        <f>IF($F240&lt;&gt;"",$F240,IFERROR(_xlfn.XLOOKUP(ROW(),Taxa_Saknas!$H:$H,Taxa_Saknas!$G:$G),""))</f>
        <v/>
      </c>
      <c r="H240" s="128" t="str">
        <f>IF($F240&lt;&gt;"",IFERROR(_xlfn.XLOOKUP($F240,Taxa_från_edp!$B:$B,Taxa_från_edp!C:C),""),"")</f>
        <v/>
      </c>
      <c r="I240" s="129" t="str">
        <f>IF($F240&lt;&gt;"",IFERROR(_xlfn.XLOOKUP($F240,Taxa_från_edp!$B:$B,Taxa_från_edp!G:G),""),"")</f>
        <v/>
      </c>
      <c r="J240" s="129" t="str">
        <f>IF($F240&lt;&gt;"",IFERROR(_xlfn.XLOOKUP($F240,Taxa_från_edp!$B:$B,Taxa_från_edp!K:K),""),"")</f>
        <v/>
      </c>
      <c r="K240" s="150"/>
      <c r="L240" s="151"/>
      <c r="M240" s="147" t="str">
        <f t="shared" si="52"/>
        <v/>
      </c>
      <c r="N240" s="148" t="str">
        <f t="shared" si="53"/>
        <v/>
      </c>
    </row>
    <row r="241" spans="1:14" ht="30" customHeight="1" x14ac:dyDescent="0.25">
      <c r="A241" s="68" t="s">
        <v>1627</v>
      </c>
      <c r="B241" s="68" t="s">
        <v>238</v>
      </c>
      <c r="C241" s="68" t="s">
        <v>208</v>
      </c>
      <c r="D241" s="68"/>
      <c r="E241" s="68" t="s">
        <v>192</v>
      </c>
      <c r="F241" s="107"/>
      <c r="G241" s="117" t="str">
        <f>IF($F241&lt;&gt;"",$F241,IFERROR(_xlfn.XLOOKUP(ROW(),Taxa_Saknas!$H:$H,Taxa_Saknas!$G:$G),""))</f>
        <v/>
      </c>
      <c r="H241" s="128" t="str">
        <f>IF($F241&lt;&gt;"",IFERROR(_xlfn.XLOOKUP($F241,Taxa_från_edp!$B:$B,Taxa_från_edp!C:C),""),"")</f>
        <v/>
      </c>
      <c r="I241" s="129" t="str">
        <f>IF($F241&lt;&gt;"",IFERROR(_xlfn.XLOOKUP($F241,Taxa_från_edp!$B:$B,Taxa_från_edp!G:G),""),"")</f>
        <v/>
      </c>
      <c r="J241" s="129" t="str">
        <f>IF($F241&lt;&gt;"",IFERROR(_xlfn.XLOOKUP($F241,Taxa_från_edp!$B:$B,Taxa_från_edp!K:K),""),"")</f>
        <v/>
      </c>
      <c r="K241" s="150"/>
      <c r="L241" s="151"/>
      <c r="M241" s="147" t="str">
        <f t="shared" si="52"/>
        <v/>
      </c>
      <c r="N241" s="148" t="str">
        <f t="shared" si="53"/>
        <v/>
      </c>
    </row>
    <row r="242" spans="1:14" ht="30" customHeight="1" x14ac:dyDescent="0.25">
      <c r="A242" s="68" t="s">
        <v>1627</v>
      </c>
      <c r="B242" s="68" t="s">
        <v>238</v>
      </c>
      <c r="C242" s="68" t="s">
        <v>242</v>
      </c>
      <c r="D242" s="68"/>
      <c r="E242" s="68" t="s">
        <v>192</v>
      </c>
      <c r="F242" s="106"/>
      <c r="G242" s="116" t="str">
        <f>IF($F242&lt;&gt;"",$F242,IFERROR(_xlfn.XLOOKUP(ROW(),Taxa_Saknas!$H:$H,Taxa_Saknas!$G:$G),""))</f>
        <v/>
      </c>
      <c r="H242" s="126" t="str">
        <f>IF($F242&lt;&gt;"",IFERROR(_xlfn.XLOOKUP($F242,Taxa_från_edp!$B:$B,Taxa_från_edp!C:C),""),"")</f>
        <v/>
      </c>
      <c r="I242" s="127" t="str">
        <f>IF($F242&lt;&gt;"",IFERROR(_xlfn.XLOOKUP($F242,Taxa_från_edp!$B:$B,Taxa_från_edp!G:G),""),"")</f>
        <v/>
      </c>
      <c r="J242" s="127" t="str">
        <f>IF($F242&lt;&gt;"",IFERROR(_xlfn.XLOOKUP($F242,Taxa_från_edp!$B:$B,Taxa_från_edp!K:K),""),"")</f>
        <v/>
      </c>
      <c r="K242" s="145"/>
      <c r="L242" s="146"/>
      <c r="M242" s="147" t="str">
        <f t="shared" si="52"/>
        <v/>
      </c>
      <c r="N242" s="148" t="str">
        <f t="shared" si="53"/>
        <v/>
      </c>
    </row>
    <row r="243" spans="1:14" ht="21.95" customHeight="1" x14ac:dyDescent="0.25">
      <c r="A243" s="97" t="s">
        <v>1628</v>
      </c>
      <c r="B243" s="98"/>
      <c r="C243" s="98"/>
      <c r="D243" s="98"/>
      <c r="E243" s="99"/>
      <c r="F243" s="138"/>
      <c r="G243" s="139" t="str">
        <f>IF($F243&lt;&gt;"",$F243,IFERROR(_xlfn.XLOOKUP(ROW(),Taxa_Saknas!$H:$H,Taxa_Saknas!$G:$G),""))</f>
        <v/>
      </c>
      <c r="H243" s="139" t="str">
        <f>IF($F243&lt;&gt;"",IFERROR(_xlfn.XLOOKUP($F243,Taxa_från_edp!$B:$B,Taxa_från_edp!C:C),""),"")</f>
        <v/>
      </c>
      <c r="I243" s="139" t="str">
        <f>IF($F243&lt;&gt;"",IFERROR(_xlfn.XLOOKUP($F243,Taxa_från_edp!$B:$B,Taxa_från_edp!G:G),""),"")</f>
        <v/>
      </c>
      <c r="J243" s="140" t="str">
        <f>IF($F243&lt;&gt;"",IFERROR(_xlfn.XLOOKUP($F243,Taxa_från_edp!$B:$B,Taxa_från_edp!K:K),""),"")</f>
        <v/>
      </c>
      <c r="K243" s="141"/>
      <c r="L243" s="141"/>
      <c r="M243" s="141" t="str">
        <f t="shared" si="52"/>
        <v/>
      </c>
      <c r="N243" s="142" t="str">
        <f t="shared" si="53"/>
        <v/>
      </c>
    </row>
    <row r="244" spans="1:14" ht="21.95" customHeight="1" x14ac:dyDescent="0.25">
      <c r="A244" s="93" t="s">
        <v>1629</v>
      </c>
      <c r="B244" s="94"/>
      <c r="C244" s="94"/>
      <c r="D244" s="94"/>
      <c r="E244" s="95"/>
      <c r="F244" s="112"/>
      <c r="G244" s="120" t="str">
        <f>IF($F244&lt;&gt;"",$F244,IFERROR(_xlfn.XLOOKUP(ROW(),Taxa_Saknas!$H:$H,Taxa_Saknas!$G:$G),""))</f>
        <v/>
      </c>
      <c r="H244" s="120" t="str">
        <f>IF($F244&lt;&gt;"",IFERROR(_xlfn.XLOOKUP($F244,Taxa_från_edp!$B:$B,Taxa_från_edp!C:C),""),"")</f>
        <v/>
      </c>
      <c r="I244" s="120" t="str">
        <f>IF($F244&lt;&gt;"",IFERROR(_xlfn.XLOOKUP($F244,Taxa_från_edp!$B:$B,Taxa_från_edp!G:G),""),"")</f>
        <v/>
      </c>
      <c r="J244" s="120" t="str">
        <f>IF($F244&lt;&gt;"",IFERROR(_xlfn.XLOOKUP($F244,Taxa_från_edp!$B:$B,Taxa_från_edp!K:K),""),"")</f>
        <v/>
      </c>
      <c r="K244" s="120"/>
      <c r="L244" s="120"/>
      <c r="M244" s="120" t="str">
        <f t="shared" si="52"/>
        <v/>
      </c>
      <c r="N244" s="143" t="str">
        <f t="shared" si="53"/>
        <v/>
      </c>
    </row>
    <row r="245" spans="1:14" ht="21.95" customHeight="1" x14ac:dyDescent="0.25">
      <c r="A245" s="83" t="s">
        <v>243</v>
      </c>
      <c r="B245" s="84"/>
      <c r="C245" s="84"/>
      <c r="D245" s="84"/>
      <c r="E245" s="85"/>
      <c r="F245" s="114"/>
      <c r="G245" s="122" t="str">
        <f>IF($F245&lt;&gt;"",$F245,IFERROR(_xlfn.XLOOKUP(ROW(),Taxa_Saknas!$H:$H,Taxa_Saknas!$G:$G),""))</f>
        <v/>
      </c>
      <c r="H245" s="122" t="str">
        <f>IF($F245&lt;&gt;"",IFERROR(_xlfn.XLOOKUP($F245,Taxa_från_edp!$B:$B,Taxa_från_edp!C:C),""),"")</f>
        <v/>
      </c>
      <c r="I245" s="149" t="str">
        <f>IF($F245&lt;&gt;"",IFERROR(_xlfn.XLOOKUP($F245,Taxa_från_edp!$B:$B,Taxa_från_edp!G:G),""),"")</f>
        <v/>
      </c>
      <c r="J245" s="149" t="str">
        <f>IF($F245&lt;&gt;"",IFERROR(_xlfn.XLOOKUP($F245,Taxa_från_edp!$B:$B,Taxa_från_edp!K:K),""),"")</f>
        <v/>
      </c>
      <c r="K245" s="149"/>
      <c r="L245" s="149"/>
      <c r="M245" s="121" t="str">
        <f t="shared" ref="M245" si="78">IFERROR(IF(J245&lt;&gt;"",J245*1.25,IF(K245&lt;&gt;"",K245*1.25,"")),"")</f>
        <v/>
      </c>
      <c r="N245" s="144" t="str">
        <f t="shared" ref="N245" si="79">IFERROR(IF(J245&lt;&gt;"",L245*J245,IF(K245&lt;&gt;"",L245*K245,"")),"")</f>
        <v/>
      </c>
    </row>
    <row r="246" spans="1:14" ht="30" customHeight="1" x14ac:dyDescent="0.25">
      <c r="A246" s="68" t="s">
        <v>244</v>
      </c>
      <c r="B246" s="68" t="s">
        <v>245</v>
      </c>
      <c r="C246" s="68" t="s">
        <v>246</v>
      </c>
      <c r="D246" s="68"/>
      <c r="E246" s="68" t="s">
        <v>247</v>
      </c>
      <c r="F246" s="106"/>
      <c r="G246" s="116" t="str">
        <f>IF($F246&lt;&gt;"",$F246,IFERROR(_xlfn.XLOOKUP(ROW(),Taxa_Saknas!$H:$H,Taxa_Saknas!$G:$G),""))</f>
        <v/>
      </c>
      <c r="H246" s="126" t="str">
        <f>IF($F246&lt;&gt;"",IFERROR(_xlfn.XLOOKUP($F246,Taxa_från_edp!$B:$B,Taxa_från_edp!C:C),""),"")</f>
        <v/>
      </c>
      <c r="I246" s="127" t="str">
        <f>IF($F246&lt;&gt;"",IFERROR(_xlfn.XLOOKUP($F246,Taxa_från_edp!$B:$B,Taxa_från_edp!G:G),""),"")</f>
        <v/>
      </c>
      <c r="J246" s="127" t="str">
        <f>IF($F246&lt;&gt;"",IFERROR(_xlfn.XLOOKUP($F246,Taxa_från_edp!$B:$B,Taxa_från_edp!K:K),""),"")</f>
        <v/>
      </c>
      <c r="K246" s="145"/>
      <c r="L246" s="146"/>
      <c r="M246" s="147" t="str">
        <f t="shared" si="52"/>
        <v/>
      </c>
      <c r="N246" s="148" t="str">
        <f t="shared" si="53"/>
        <v/>
      </c>
    </row>
    <row r="247" spans="1:14" ht="30" customHeight="1" x14ac:dyDescent="0.25">
      <c r="A247" s="68" t="s">
        <v>244</v>
      </c>
      <c r="B247" s="68" t="s">
        <v>245</v>
      </c>
      <c r="C247" s="68" t="s">
        <v>248</v>
      </c>
      <c r="D247" s="68"/>
      <c r="E247" s="68" t="s">
        <v>247</v>
      </c>
      <c r="F247" s="107"/>
      <c r="G247" s="117" t="str">
        <f>IF($F247&lt;&gt;"",$F247,IFERROR(_xlfn.XLOOKUP(ROW(),Taxa_Saknas!$H:$H,Taxa_Saknas!$G:$G),""))</f>
        <v/>
      </c>
      <c r="H247" s="128" t="str">
        <f>IF($F247&lt;&gt;"",IFERROR(_xlfn.XLOOKUP($F247,Taxa_från_edp!$B:$B,Taxa_från_edp!C:C),""),"")</f>
        <v/>
      </c>
      <c r="I247" s="129" t="str">
        <f>IF($F247&lt;&gt;"",IFERROR(_xlfn.XLOOKUP($F247,Taxa_från_edp!$B:$B,Taxa_från_edp!G:G),""),"")</f>
        <v/>
      </c>
      <c r="J247" s="129" t="str">
        <f>IF($F247&lt;&gt;"",IFERROR(_xlfn.XLOOKUP($F247,Taxa_från_edp!$B:$B,Taxa_från_edp!K:K),""),"")</f>
        <v/>
      </c>
      <c r="K247" s="150"/>
      <c r="L247" s="151"/>
      <c r="M247" s="147" t="str">
        <f t="shared" si="52"/>
        <v/>
      </c>
      <c r="N247" s="148" t="str">
        <f t="shared" si="53"/>
        <v/>
      </c>
    </row>
    <row r="248" spans="1:14" ht="30" customHeight="1" x14ac:dyDescent="0.25">
      <c r="A248" s="68" t="s">
        <v>244</v>
      </c>
      <c r="B248" s="68" t="s">
        <v>245</v>
      </c>
      <c r="C248" s="68" t="s">
        <v>249</v>
      </c>
      <c r="D248" s="68"/>
      <c r="E248" s="68" t="s">
        <v>247</v>
      </c>
      <c r="F248" s="107"/>
      <c r="G248" s="117" t="str">
        <f>IF($F248&lt;&gt;"",$F248,IFERROR(_xlfn.XLOOKUP(ROW(),Taxa_Saknas!$H:$H,Taxa_Saknas!$G:$G),""))</f>
        <v/>
      </c>
      <c r="H248" s="128" t="str">
        <f>IF($F248&lt;&gt;"",IFERROR(_xlfn.XLOOKUP($F248,Taxa_från_edp!$B:$B,Taxa_från_edp!C:C),""),"")</f>
        <v/>
      </c>
      <c r="I248" s="129" t="str">
        <f>IF($F248&lt;&gt;"",IFERROR(_xlfn.XLOOKUP($F248,Taxa_från_edp!$B:$B,Taxa_från_edp!G:G),""),"")</f>
        <v/>
      </c>
      <c r="J248" s="129" t="str">
        <f>IF($F248&lt;&gt;"",IFERROR(_xlfn.XLOOKUP($F248,Taxa_från_edp!$B:$B,Taxa_från_edp!K:K),""),"")</f>
        <v/>
      </c>
      <c r="K248" s="150"/>
      <c r="L248" s="151"/>
      <c r="M248" s="147" t="str">
        <f t="shared" si="52"/>
        <v/>
      </c>
      <c r="N248" s="148" t="str">
        <f t="shared" si="53"/>
        <v/>
      </c>
    </row>
    <row r="249" spans="1:14" ht="30" customHeight="1" x14ac:dyDescent="0.25">
      <c r="A249" s="68" t="s">
        <v>244</v>
      </c>
      <c r="B249" s="68" t="s">
        <v>245</v>
      </c>
      <c r="C249" s="68" t="s">
        <v>250</v>
      </c>
      <c r="D249" s="68"/>
      <c r="E249" s="68" t="s">
        <v>247</v>
      </c>
      <c r="F249" s="106"/>
      <c r="G249" s="116" t="str">
        <f>IF($F249&lt;&gt;"",$F249,IFERROR(_xlfn.XLOOKUP(ROW(),Taxa_Saknas!$H:$H,Taxa_Saknas!$G:$G),""))</f>
        <v/>
      </c>
      <c r="H249" s="126" t="str">
        <f>IF($F249&lt;&gt;"",IFERROR(_xlfn.XLOOKUP($F249,Taxa_från_edp!$B:$B,Taxa_från_edp!C:C),""),"")</f>
        <v/>
      </c>
      <c r="I249" s="127" t="str">
        <f>IF($F249&lt;&gt;"",IFERROR(_xlfn.XLOOKUP($F249,Taxa_från_edp!$B:$B,Taxa_från_edp!G:G),""),"")</f>
        <v/>
      </c>
      <c r="J249" s="127" t="str">
        <f>IF($F249&lt;&gt;"",IFERROR(_xlfn.XLOOKUP($F249,Taxa_från_edp!$B:$B,Taxa_från_edp!K:K),""),"")</f>
        <v/>
      </c>
      <c r="K249" s="145"/>
      <c r="L249" s="146"/>
      <c r="M249" s="147" t="str">
        <f t="shared" si="52"/>
        <v/>
      </c>
      <c r="N249" s="148" t="str">
        <f t="shared" si="53"/>
        <v/>
      </c>
    </row>
    <row r="250" spans="1:14" ht="30" customHeight="1" x14ac:dyDescent="0.25">
      <c r="A250" s="68" t="s">
        <v>244</v>
      </c>
      <c r="B250" s="68" t="s">
        <v>245</v>
      </c>
      <c r="C250" s="100" t="s">
        <v>1630</v>
      </c>
      <c r="D250" s="68"/>
      <c r="E250" s="68" t="s">
        <v>247</v>
      </c>
      <c r="F250" s="106"/>
      <c r="G250" s="116" t="str">
        <f>IF($F250&lt;&gt;"",$F250,IFERROR(_xlfn.XLOOKUP(ROW(),Taxa_Saknas!$H:$H,Taxa_Saknas!$G:$G),""))</f>
        <v/>
      </c>
      <c r="H250" s="126" t="str">
        <f>IF($F250&lt;&gt;"",IFERROR(_xlfn.XLOOKUP($F250,Taxa_från_edp!$B:$B,Taxa_från_edp!C:C),""),"")</f>
        <v/>
      </c>
      <c r="I250" s="127" t="str">
        <f>IF($F250&lt;&gt;"",IFERROR(_xlfn.XLOOKUP($F250,Taxa_från_edp!$B:$B,Taxa_från_edp!G:G),""),"")</f>
        <v/>
      </c>
      <c r="J250" s="127" t="str">
        <f>IF($F250&lt;&gt;"",IFERROR(_xlfn.XLOOKUP($F250,Taxa_från_edp!$B:$B,Taxa_från_edp!K:K),""),"")</f>
        <v/>
      </c>
      <c r="K250" s="145"/>
      <c r="L250" s="146"/>
      <c r="M250" s="147" t="str">
        <f t="shared" ref="M250:M251" si="80">IFERROR(IF(J250&lt;&gt;"",J250*1.25,IF(K250&lt;&gt;"",K250*1.25,"")),"")</f>
        <v/>
      </c>
      <c r="N250" s="148" t="str">
        <f t="shared" ref="N250:N251" si="81">IFERROR(IF(J250&lt;&gt;"",L250*J250,IF(K250&lt;&gt;"",L250*K250,"")),"")</f>
        <v/>
      </c>
    </row>
    <row r="251" spans="1:14" ht="30" customHeight="1" x14ac:dyDescent="0.25">
      <c r="A251" s="68" t="s">
        <v>244</v>
      </c>
      <c r="B251" s="68" t="s">
        <v>245</v>
      </c>
      <c r="C251" s="100" t="s">
        <v>1631</v>
      </c>
      <c r="D251" s="68"/>
      <c r="E251" s="100" t="s">
        <v>1632</v>
      </c>
      <c r="F251" s="106"/>
      <c r="G251" s="116" t="str">
        <f>IF($F251&lt;&gt;"",$F251,IFERROR(_xlfn.XLOOKUP(ROW(),Taxa_Saknas!$H:$H,Taxa_Saknas!$G:$G),""))</f>
        <v/>
      </c>
      <c r="H251" s="126" t="str">
        <f>IF($F251&lt;&gt;"",IFERROR(_xlfn.XLOOKUP($F251,Taxa_från_edp!$B:$B,Taxa_från_edp!C:C),""),"")</f>
        <v/>
      </c>
      <c r="I251" s="127" t="str">
        <f>IF($F251&lt;&gt;"",IFERROR(_xlfn.XLOOKUP($F251,Taxa_från_edp!$B:$B,Taxa_från_edp!G:G),""),"")</f>
        <v/>
      </c>
      <c r="J251" s="127" t="str">
        <f>IF($F251&lt;&gt;"",IFERROR(_xlfn.XLOOKUP($F251,Taxa_från_edp!$B:$B,Taxa_från_edp!K:K),""),"")</f>
        <v/>
      </c>
      <c r="K251" s="145"/>
      <c r="L251" s="146"/>
      <c r="M251" s="147" t="str">
        <f t="shared" si="80"/>
        <v/>
      </c>
      <c r="N251" s="148" t="str">
        <f t="shared" si="81"/>
        <v/>
      </c>
    </row>
    <row r="252" spans="1:14" ht="21.95" customHeight="1" x14ac:dyDescent="0.25">
      <c r="A252" s="83" t="s">
        <v>251</v>
      </c>
      <c r="B252" s="84"/>
      <c r="C252" s="84"/>
      <c r="D252" s="84"/>
      <c r="E252" s="85"/>
      <c r="F252" s="114"/>
      <c r="G252" s="122" t="str">
        <f>IF($F252&lt;&gt;"",$F252,IFERROR(_xlfn.XLOOKUP(ROW(),Taxa_Saknas!$H:$H,Taxa_Saknas!$G:$G),""))</f>
        <v/>
      </c>
      <c r="H252" s="122" t="str">
        <f>IF($F252&lt;&gt;"",IFERROR(_xlfn.XLOOKUP($F252,Taxa_från_edp!$B:$B,Taxa_från_edp!C:C),""),"")</f>
        <v/>
      </c>
      <c r="I252" s="149" t="str">
        <f>IF($F252&lt;&gt;"",IFERROR(_xlfn.XLOOKUP($F252,Taxa_från_edp!$B:$B,Taxa_från_edp!G:G),""),"")</f>
        <v/>
      </c>
      <c r="J252" s="149" t="str">
        <f>IF($F252&lt;&gt;"",IFERROR(_xlfn.XLOOKUP($F252,Taxa_från_edp!$B:$B,Taxa_från_edp!K:K),""),"")</f>
        <v/>
      </c>
      <c r="K252" s="149"/>
      <c r="L252" s="149"/>
      <c r="M252" s="121" t="str">
        <f t="shared" si="52"/>
        <v/>
      </c>
      <c r="N252" s="144" t="str">
        <f t="shared" si="53"/>
        <v/>
      </c>
    </row>
    <row r="253" spans="1:14" ht="30" customHeight="1" x14ac:dyDescent="0.25">
      <c r="A253" s="68" t="s">
        <v>252</v>
      </c>
      <c r="B253" s="68" t="s">
        <v>253</v>
      </c>
      <c r="C253" s="100" t="s">
        <v>1633</v>
      </c>
      <c r="D253" s="68">
        <v>200301</v>
      </c>
      <c r="E253" s="100" t="s">
        <v>1589</v>
      </c>
      <c r="F253" s="106"/>
      <c r="G253" s="116" t="str">
        <f>IF($F253&lt;&gt;"",$F253,IFERROR(_xlfn.XLOOKUP(ROW(),Taxa_Saknas!$H:$H,Taxa_Saknas!$G:$G),""))</f>
        <v/>
      </c>
      <c r="H253" s="126" t="str">
        <f>IF($F253&lt;&gt;"",IFERROR(_xlfn.XLOOKUP($F253,Taxa_från_edp!$B:$B,Taxa_från_edp!C:C),""),"")</f>
        <v/>
      </c>
      <c r="I253" s="127" t="str">
        <f>IF($F253&lt;&gt;"",IFERROR(_xlfn.XLOOKUP($F253,Taxa_från_edp!$B:$B,Taxa_från_edp!G:G),""),"")</f>
        <v/>
      </c>
      <c r="J253" s="127" t="str">
        <f>IF($F253&lt;&gt;"",IFERROR(_xlfn.XLOOKUP($F253,Taxa_från_edp!$B:$B,Taxa_från_edp!K:K),""),"")</f>
        <v/>
      </c>
      <c r="K253" s="145"/>
      <c r="L253" s="146"/>
      <c r="M253" s="147" t="str">
        <f t="shared" si="52"/>
        <v/>
      </c>
      <c r="N253" s="148" t="str">
        <f t="shared" si="53"/>
        <v/>
      </c>
    </row>
    <row r="254" spans="1:14" ht="30" customHeight="1" x14ac:dyDescent="0.25">
      <c r="A254" s="68" t="s">
        <v>252</v>
      </c>
      <c r="B254" s="68" t="s">
        <v>253</v>
      </c>
      <c r="C254" s="100" t="s">
        <v>1634</v>
      </c>
      <c r="D254" s="68">
        <v>200301</v>
      </c>
      <c r="E254" s="100" t="s">
        <v>109</v>
      </c>
      <c r="F254" s="106"/>
      <c r="G254" s="116" t="str">
        <f>IF($F254&lt;&gt;"",$F254,IFERROR(_xlfn.XLOOKUP(ROW(),Taxa_Saknas!$H:$H,Taxa_Saknas!$G:$G),""))</f>
        <v/>
      </c>
      <c r="H254" s="126" t="str">
        <f>IF($F254&lt;&gt;"",IFERROR(_xlfn.XLOOKUP($F254,Taxa_från_edp!$B:$B,Taxa_från_edp!C:C),""),"")</f>
        <v/>
      </c>
      <c r="I254" s="127" t="str">
        <f>IF($F254&lt;&gt;"",IFERROR(_xlfn.XLOOKUP($F254,Taxa_från_edp!$B:$B,Taxa_från_edp!G:G),""),"")</f>
        <v/>
      </c>
      <c r="J254" s="127" t="str">
        <f>IF($F254&lt;&gt;"",IFERROR(_xlfn.XLOOKUP($F254,Taxa_från_edp!$B:$B,Taxa_från_edp!K:K),""),"")</f>
        <v/>
      </c>
      <c r="K254" s="145"/>
      <c r="L254" s="146"/>
      <c r="M254" s="147" t="str">
        <f t="shared" ref="M254" si="82">IFERROR(IF(J254&lt;&gt;"",J254*1.25,IF(K254&lt;&gt;"",K254*1.25,"")),"")</f>
        <v/>
      </c>
      <c r="N254" s="148" t="str">
        <f t="shared" ref="N254" si="83">IFERROR(IF(J254&lt;&gt;"",L254*J254,IF(K254&lt;&gt;"",L254*K254,"")),"")</f>
        <v/>
      </c>
    </row>
    <row r="255" spans="1:14" ht="30" customHeight="1" x14ac:dyDescent="0.25">
      <c r="A255" s="68" t="s">
        <v>252</v>
      </c>
      <c r="B255" s="68" t="s">
        <v>253</v>
      </c>
      <c r="C255" s="100" t="s">
        <v>1635</v>
      </c>
      <c r="D255" s="68">
        <v>200307</v>
      </c>
      <c r="E255" s="100" t="s">
        <v>109</v>
      </c>
      <c r="F255" s="106"/>
      <c r="G255" s="116" t="str">
        <f>IF($F255&lt;&gt;"",$F255,IFERROR(_xlfn.XLOOKUP(ROW(),Taxa_Saknas!$H:$H,Taxa_Saknas!$G:$G),""))</f>
        <v/>
      </c>
      <c r="H255" s="126" t="str">
        <f>IF($F255&lt;&gt;"",IFERROR(_xlfn.XLOOKUP($F255,Taxa_från_edp!$B:$B,Taxa_från_edp!C:C),""),"")</f>
        <v/>
      </c>
      <c r="I255" s="127" t="str">
        <f>IF($F255&lt;&gt;"",IFERROR(_xlfn.XLOOKUP($F255,Taxa_från_edp!$B:$B,Taxa_från_edp!G:G),""),"")</f>
        <v/>
      </c>
      <c r="J255" s="127" t="str">
        <f>IF($F255&lt;&gt;"",IFERROR(_xlfn.XLOOKUP($F255,Taxa_från_edp!$B:$B,Taxa_från_edp!K:K),""),"")</f>
        <v/>
      </c>
      <c r="K255" s="145"/>
      <c r="L255" s="146"/>
      <c r="M255" s="147" t="str">
        <f t="shared" si="52"/>
        <v/>
      </c>
      <c r="N255" s="148" t="str">
        <f t="shared" si="53"/>
        <v/>
      </c>
    </row>
    <row r="256" spans="1:14" ht="30" customHeight="1" x14ac:dyDescent="0.25">
      <c r="A256" s="68" t="s">
        <v>252</v>
      </c>
      <c r="B256" s="68" t="s">
        <v>253</v>
      </c>
      <c r="C256" s="68" t="s">
        <v>254</v>
      </c>
      <c r="D256" s="68">
        <v>170201</v>
      </c>
      <c r="E256" s="100" t="s">
        <v>109</v>
      </c>
      <c r="F256" s="106"/>
      <c r="G256" s="116" t="str">
        <f>IF($F256&lt;&gt;"",$F256,IFERROR(_xlfn.XLOOKUP(ROW(),Taxa_Saknas!$H:$H,Taxa_Saknas!$G:$G),""))</f>
        <v/>
      </c>
      <c r="H256" s="126" t="str">
        <f>IF($F256&lt;&gt;"",IFERROR(_xlfn.XLOOKUP($F256,Taxa_från_edp!$B:$B,Taxa_från_edp!C:C),""),"")</f>
        <v/>
      </c>
      <c r="I256" s="127" t="str">
        <f>IF($F256&lt;&gt;"",IFERROR(_xlfn.XLOOKUP($F256,Taxa_från_edp!$B:$B,Taxa_från_edp!G:G),""),"")</f>
        <v/>
      </c>
      <c r="J256" s="127" t="str">
        <f>IF($F256&lt;&gt;"",IFERROR(_xlfn.XLOOKUP($F256,Taxa_från_edp!$B:$B,Taxa_från_edp!K:K),""),"")</f>
        <v/>
      </c>
      <c r="K256" s="145"/>
      <c r="L256" s="146"/>
      <c r="M256" s="147" t="str">
        <f t="shared" si="52"/>
        <v/>
      </c>
      <c r="N256" s="148" t="str">
        <f t="shared" si="53"/>
        <v/>
      </c>
    </row>
    <row r="257" spans="1:14" ht="30" customHeight="1" x14ac:dyDescent="0.25">
      <c r="A257" s="68" t="s">
        <v>252</v>
      </c>
      <c r="B257" s="68" t="s">
        <v>253</v>
      </c>
      <c r="C257" s="68" t="s">
        <v>255</v>
      </c>
      <c r="D257" s="68">
        <v>170201</v>
      </c>
      <c r="E257" s="100" t="s">
        <v>109</v>
      </c>
      <c r="F257" s="106"/>
      <c r="G257" s="116" t="str">
        <f>IF($F257&lt;&gt;"",$F257,IFERROR(_xlfn.XLOOKUP(ROW(),Taxa_Saknas!$H:$H,Taxa_Saknas!$G:$G),""))</f>
        <v/>
      </c>
      <c r="H257" s="126" t="str">
        <f>IF($F257&lt;&gt;"",IFERROR(_xlfn.XLOOKUP($F257,Taxa_från_edp!$B:$B,Taxa_från_edp!C:C),""),"")</f>
        <v/>
      </c>
      <c r="I257" s="127" t="str">
        <f>IF($F257&lt;&gt;"",IFERROR(_xlfn.XLOOKUP($F257,Taxa_från_edp!$B:$B,Taxa_från_edp!G:G),""),"")</f>
        <v/>
      </c>
      <c r="J257" s="127" t="str">
        <f>IF($F257&lt;&gt;"",IFERROR(_xlfn.XLOOKUP($F257,Taxa_från_edp!$B:$B,Taxa_från_edp!K:K),""),"")</f>
        <v/>
      </c>
      <c r="K257" s="145"/>
      <c r="L257" s="146"/>
      <c r="M257" s="147" t="str">
        <f t="shared" ref="M257:M326" si="84">IFERROR(IF(J257&lt;&gt;"",J257*1.25,IF(K257&lt;&gt;"",K257*1.25,"")),"")</f>
        <v/>
      </c>
      <c r="N257" s="148" t="str">
        <f t="shared" ref="N257:N326" si="85">IFERROR(IF(J257&lt;&gt;"",L257*J257,IF(K257&lt;&gt;"",L257*K257,"")),"")</f>
        <v/>
      </c>
    </row>
    <row r="258" spans="1:14" ht="30" customHeight="1" x14ac:dyDescent="0.25">
      <c r="A258" s="68" t="s">
        <v>252</v>
      </c>
      <c r="B258" s="68" t="s">
        <v>253</v>
      </c>
      <c r="C258" s="68" t="s">
        <v>256</v>
      </c>
      <c r="D258" s="100" t="s">
        <v>1652</v>
      </c>
      <c r="E258" s="100" t="s">
        <v>109</v>
      </c>
      <c r="F258" s="106"/>
      <c r="G258" s="116" t="str">
        <f>IF($F258&lt;&gt;"",$F258,IFERROR(_xlfn.XLOOKUP(ROW(),Taxa_Saknas!$H:$H,Taxa_Saknas!$G:$G),""))</f>
        <v/>
      </c>
      <c r="H258" s="126" t="str">
        <f>IF($F258&lt;&gt;"",IFERROR(_xlfn.XLOOKUP($F258,Taxa_från_edp!$B:$B,Taxa_från_edp!C:C),""),"")</f>
        <v/>
      </c>
      <c r="I258" s="127" t="str">
        <f>IF($F258&lt;&gt;"",IFERROR(_xlfn.XLOOKUP($F258,Taxa_från_edp!$B:$B,Taxa_från_edp!G:G),""),"")</f>
        <v/>
      </c>
      <c r="J258" s="127" t="str">
        <f>IF($F258&lt;&gt;"",IFERROR(_xlfn.XLOOKUP($F258,Taxa_från_edp!$B:$B,Taxa_från_edp!K:K),""),"")</f>
        <v/>
      </c>
      <c r="K258" s="145"/>
      <c r="L258" s="146"/>
      <c r="M258" s="147" t="str">
        <f t="shared" si="84"/>
        <v/>
      </c>
      <c r="N258" s="148" t="str">
        <f t="shared" si="85"/>
        <v/>
      </c>
    </row>
    <row r="259" spans="1:14" ht="30" customHeight="1" x14ac:dyDescent="0.25">
      <c r="A259" s="68" t="s">
        <v>252</v>
      </c>
      <c r="B259" s="68" t="s">
        <v>253</v>
      </c>
      <c r="C259" s="100" t="s">
        <v>1636</v>
      </c>
      <c r="D259" s="68">
        <v>170101</v>
      </c>
      <c r="E259" s="100" t="s">
        <v>109</v>
      </c>
      <c r="F259" s="106"/>
      <c r="G259" s="116" t="str">
        <f>IF($F259&lt;&gt;"",$F259,IFERROR(_xlfn.XLOOKUP(ROW(),Taxa_Saknas!$H:$H,Taxa_Saknas!$G:$G),""))</f>
        <v/>
      </c>
      <c r="H259" s="126" t="str">
        <f>IF($F259&lt;&gt;"",IFERROR(_xlfn.XLOOKUP($F259,Taxa_från_edp!$B:$B,Taxa_från_edp!C:C),""),"")</f>
        <v/>
      </c>
      <c r="I259" s="127" t="str">
        <f>IF($F259&lt;&gt;"",IFERROR(_xlfn.XLOOKUP($F259,Taxa_från_edp!$B:$B,Taxa_från_edp!G:G),""),"")</f>
        <v/>
      </c>
      <c r="J259" s="127" t="str">
        <f>IF($F259&lt;&gt;"",IFERROR(_xlfn.XLOOKUP($F259,Taxa_från_edp!$B:$B,Taxa_från_edp!K:K),""),"")</f>
        <v/>
      </c>
      <c r="K259" s="145"/>
      <c r="L259" s="146"/>
      <c r="M259" s="147" t="str">
        <f t="shared" si="84"/>
        <v/>
      </c>
      <c r="N259" s="148" t="str">
        <f t="shared" si="85"/>
        <v/>
      </c>
    </row>
    <row r="260" spans="1:14" ht="30" customHeight="1" x14ac:dyDescent="0.25">
      <c r="A260" s="68" t="s">
        <v>252</v>
      </c>
      <c r="B260" s="68" t="s">
        <v>253</v>
      </c>
      <c r="C260" s="100" t="s">
        <v>1637</v>
      </c>
      <c r="D260" s="68">
        <v>170802</v>
      </c>
      <c r="E260" s="100" t="s">
        <v>109</v>
      </c>
      <c r="F260" s="106"/>
      <c r="G260" s="116" t="str">
        <f>IF($F260&lt;&gt;"",$F260,IFERROR(_xlfn.XLOOKUP(ROW(),Taxa_Saknas!$H:$H,Taxa_Saknas!$G:$G),""))</f>
        <v/>
      </c>
      <c r="H260" s="126" t="str">
        <f>IF($F260&lt;&gt;"",IFERROR(_xlfn.XLOOKUP($F260,Taxa_från_edp!$B:$B,Taxa_från_edp!C:C),""),"")</f>
        <v/>
      </c>
      <c r="I260" s="127" t="str">
        <f>IF($F260&lt;&gt;"",IFERROR(_xlfn.XLOOKUP($F260,Taxa_från_edp!$B:$B,Taxa_från_edp!G:G),""),"")</f>
        <v/>
      </c>
      <c r="J260" s="127" t="str">
        <f>IF($F260&lt;&gt;"",IFERROR(_xlfn.XLOOKUP($F260,Taxa_från_edp!$B:$B,Taxa_från_edp!K:K),""),"")</f>
        <v/>
      </c>
      <c r="K260" s="145"/>
      <c r="L260" s="146"/>
      <c r="M260" s="147" t="str">
        <f t="shared" si="84"/>
        <v/>
      </c>
      <c r="N260" s="148" t="str">
        <f t="shared" si="85"/>
        <v/>
      </c>
    </row>
    <row r="261" spans="1:14" ht="30" customHeight="1" x14ac:dyDescent="0.25">
      <c r="A261" s="68" t="s">
        <v>252</v>
      </c>
      <c r="B261" s="68" t="s">
        <v>253</v>
      </c>
      <c r="C261" s="68" t="s">
        <v>257</v>
      </c>
      <c r="D261" s="68">
        <v>170102</v>
      </c>
      <c r="E261" s="100" t="s">
        <v>109</v>
      </c>
      <c r="F261" s="106"/>
      <c r="G261" s="116" t="str">
        <f>IF($F261&lt;&gt;"",$F261,IFERROR(_xlfn.XLOOKUP(ROW(),Taxa_Saknas!$H:$H,Taxa_Saknas!$G:$G),""))</f>
        <v/>
      </c>
      <c r="H261" s="126" t="str">
        <f>IF($F261&lt;&gt;"",IFERROR(_xlfn.XLOOKUP($F261,Taxa_från_edp!$B:$B,Taxa_från_edp!C:C),""),"")</f>
        <v/>
      </c>
      <c r="I261" s="127" t="str">
        <f>IF($F261&lt;&gt;"",IFERROR(_xlfn.XLOOKUP($F261,Taxa_från_edp!$B:$B,Taxa_från_edp!G:G),""),"")</f>
        <v/>
      </c>
      <c r="J261" s="127" t="str">
        <f>IF($F261&lt;&gt;"",IFERROR(_xlfn.XLOOKUP($F261,Taxa_från_edp!$B:$B,Taxa_från_edp!K:K),""),"")</f>
        <v/>
      </c>
      <c r="K261" s="145"/>
      <c r="L261" s="146"/>
      <c r="M261" s="147" t="str">
        <f t="shared" si="84"/>
        <v/>
      </c>
      <c r="N261" s="148" t="str">
        <f t="shared" si="85"/>
        <v/>
      </c>
    </row>
    <row r="262" spans="1:14" ht="30" customHeight="1" x14ac:dyDescent="0.25">
      <c r="A262" s="68" t="s">
        <v>252</v>
      </c>
      <c r="B262" s="68" t="s">
        <v>253</v>
      </c>
      <c r="C262" s="100" t="s">
        <v>1638</v>
      </c>
      <c r="D262" s="68">
        <v>170202</v>
      </c>
      <c r="E262" s="100" t="s">
        <v>109</v>
      </c>
      <c r="F262" s="106"/>
      <c r="G262" s="116" t="str">
        <f>IF($F262&lt;&gt;"",$F262,IFERROR(_xlfn.XLOOKUP(ROW(),Taxa_Saknas!$H:$H,Taxa_Saknas!$G:$G),""))</f>
        <v/>
      </c>
      <c r="H262" s="126" t="str">
        <f>IF($F262&lt;&gt;"",IFERROR(_xlfn.XLOOKUP($F262,Taxa_från_edp!$B:$B,Taxa_från_edp!C:C),""),"")</f>
        <v/>
      </c>
      <c r="I262" s="127" t="str">
        <f>IF($F262&lt;&gt;"",IFERROR(_xlfn.XLOOKUP($F262,Taxa_från_edp!$B:$B,Taxa_från_edp!G:G),""),"")</f>
        <v/>
      </c>
      <c r="J262" s="127" t="str">
        <f>IF($F262&lt;&gt;"",IFERROR(_xlfn.XLOOKUP($F262,Taxa_från_edp!$B:$B,Taxa_från_edp!K:K),""),"")</f>
        <v/>
      </c>
      <c r="K262" s="145"/>
      <c r="L262" s="146"/>
      <c r="M262" s="147" t="str">
        <f t="shared" si="84"/>
        <v/>
      </c>
      <c r="N262" s="148" t="str">
        <f t="shared" si="85"/>
        <v/>
      </c>
    </row>
    <row r="263" spans="1:14" ht="30" customHeight="1" x14ac:dyDescent="0.25">
      <c r="A263" s="68" t="s">
        <v>252</v>
      </c>
      <c r="B263" s="68" t="s">
        <v>253</v>
      </c>
      <c r="C263" s="68" t="s">
        <v>258</v>
      </c>
      <c r="D263" s="68"/>
      <c r="E263" s="100" t="s">
        <v>109</v>
      </c>
      <c r="F263" s="106"/>
      <c r="G263" s="116" t="str">
        <f>IF($F263&lt;&gt;"",$F263,IFERROR(_xlfn.XLOOKUP(ROW(),Taxa_Saknas!$H:$H,Taxa_Saknas!$G:$G),""))</f>
        <v/>
      </c>
      <c r="H263" s="126" t="str">
        <f>IF($F263&lt;&gt;"",IFERROR(_xlfn.XLOOKUP($F263,Taxa_från_edp!$B:$B,Taxa_från_edp!C:C),""),"")</f>
        <v/>
      </c>
      <c r="I263" s="127" t="str">
        <f>IF($F263&lt;&gt;"",IFERROR(_xlfn.XLOOKUP($F263,Taxa_från_edp!$B:$B,Taxa_från_edp!G:G),""),"")</f>
        <v/>
      </c>
      <c r="J263" s="127" t="str">
        <f>IF($F263&lt;&gt;"",IFERROR(_xlfn.XLOOKUP($F263,Taxa_från_edp!$B:$B,Taxa_från_edp!K:K),""),"")</f>
        <v/>
      </c>
      <c r="K263" s="145"/>
      <c r="L263" s="146"/>
      <c r="M263" s="147" t="str">
        <f t="shared" si="84"/>
        <v/>
      </c>
      <c r="N263" s="148" t="str">
        <f t="shared" si="85"/>
        <v/>
      </c>
    </row>
    <row r="264" spans="1:14" ht="30" customHeight="1" x14ac:dyDescent="0.25">
      <c r="A264" s="68" t="s">
        <v>252</v>
      </c>
      <c r="B264" s="68" t="s">
        <v>253</v>
      </c>
      <c r="C264" s="100" t="s">
        <v>1639</v>
      </c>
      <c r="D264" s="68"/>
      <c r="E264" s="100" t="s">
        <v>109</v>
      </c>
      <c r="F264" s="106"/>
      <c r="G264" s="116" t="str">
        <f>IF($F264&lt;&gt;"",$F264,IFERROR(_xlfn.XLOOKUP(ROW(),Taxa_Saknas!$H:$H,Taxa_Saknas!$G:$G),""))</f>
        <v/>
      </c>
      <c r="H264" s="126" t="str">
        <f>IF($F264&lt;&gt;"",IFERROR(_xlfn.XLOOKUP($F264,Taxa_från_edp!$B:$B,Taxa_från_edp!C:C),""),"")</f>
        <v/>
      </c>
      <c r="I264" s="127" t="str">
        <f>IF($F264&lt;&gt;"",IFERROR(_xlfn.XLOOKUP($F264,Taxa_från_edp!$B:$B,Taxa_från_edp!G:G),""),"")</f>
        <v/>
      </c>
      <c r="J264" s="127" t="str">
        <f>IF($F264&lt;&gt;"",IFERROR(_xlfn.XLOOKUP($F264,Taxa_från_edp!$B:$B,Taxa_från_edp!K:K),""),"")</f>
        <v/>
      </c>
      <c r="K264" s="145"/>
      <c r="L264" s="146"/>
      <c r="M264" s="147" t="str">
        <f t="shared" ref="M264" si="86">IFERROR(IF(J264&lt;&gt;"",J264*1.25,IF(K264&lt;&gt;"",K264*1.25,"")),"")</f>
        <v/>
      </c>
      <c r="N264" s="148" t="str">
        <f t="shared" ref="N264" si="87">IFERROR(IF(J264&lt;&gt;"",L264*J264,IF(K264&lt;&gt;"",L264*K264,"")),"")</f>
        <v/>
      </c>
    </row>
    <row r="265" spans="1:14" ht="30" customHeight="1" x14ac:dyDescent="0.25">
      <c r="A265" s="68" t="s">
        <v>252</v>
      </c>
      <c r="B265" s="68" t="s">
        <v>253</v>
      </c>
      <c r="C265" s="68" t="s">
        <v>259</v>
      </c>
      <c r="D265" s="68">
        <v>170604</v>
      </c>
      <c r="E265" s="100" t="s">
        <v>187</v>
      </c>
      <c r="F265" s="106"/>
      <c r="G265" s="116" t="str">
        <f>IF($F265&lt;&gt;"",$F265,IFERROR(_xlfn.XLOOKUP(ROW(),Taxa_Saknas!$H:$H,Taxa_Saknas!$G:$G),""))</f>
        <v/>
      </c>
      <c r="H265" s="126" t="str">
        <f>IF($F265&lt;&gt;"",IFERROR(_xlfn.XLOOKUP($F265,Taxa_från_edp!$B:$B,Taxa_från_edp!C:C),""),"")</f>
        <v/>
      </c>
      <c r="I265" s="127" t="str">
        <f>IF($F265&lt;&gt;"",IFERROR(_xlfn.XLOOKUP($F265,Taxa_från_edp!$B:$B,Taxa_från_edp!G:G),""),"")</f>
        <v/>
      </c>
      <c r="J265" s="127" t="str">
        <f>IF($F265&lt;&gt;"",IFERROR(_xlfn.XLOOKUP($F265,Taxa_från_edp!$B:$B,Taxa_från_edp!K:K),""),"")</f>
        <v/>
      </c>
      <c r="K265" s="145"/>
      <c r="L265" s="146"/>
      <c r="M265" s="147" t="str">
        <f t="shared" si="84"/>
        <v/>
      </c>
      <c r="N265" s="148" t="str">
        <f t="shared" si="85"/>
        <v/>
      </c>
    </row>
    <row r="266" spans="1:14" ht="30" customHeight="1" x14ac:dyDescent="0.25">
      <c r="A266" s="68" t="s">
        <v>252</v>
      </c>
      <c r="B266" s="68" t="s">
        <v>253</v>
      </c>
      <c r="C266" s="100" t="s">
        <v>1640</v>
      </c>
      <c r="D266" s="68">
        <v>170103</v>
      </c>
      <c r="E266" s="100" t="s">
        <v>109</v>
      </c>
      <c r="F266" s="106"/>
      <c r="G266" s="116" t="str">
        <f>IF($F266&lt;&gt;"",$F266,IFERROR(_xlfn.XLOOKUP(ROW(),Taxa_Saknas!$H:$H,Taxa_Saknas!$G:$G),""))</f>
        <v/>
      </c>
      <c r="H266" s="126" t="str">
        <f>IF($F266&lt;&gt;"",IFERROR(_xlfn.XLOOKUP($F266,Taxa_från_edp!$B:$B,Taxa_från_edp!C:C),""),"")</f>
        <v/>
      </c>
      <c r="I266" s="127" t="str">
        <f>IF($F266&lt;&gt;"",IFERROR(_xlfn.XLOOKUP($F266,Taxa_från_edp!$B:$B,Taxa_från_edp!G:G),""),"")</f>
        <v/>
      </c>
      <c r="J266" s="127" t="str">
        <f>IF($F266&lt;&gt;"",IFERROR(_xlfn.XLOOKUP($F266,Taxa_från_edp!$B:$B,Taxa_från_edp!K:K),""),"")</f>
        <v/>
      </c>
      <c r="K266" s="145"/>
      <c r="L266" s="146"/>
      <c r="M266" s="147" t="str">
        <f t="shared" si="84"/>
        <v/>
      </c>
      <c r="N266" s="148" t="str">
        <f t="shared" si="85"/>
        <v/>
      </c>
    </row>
    <row r="267" spans="1:14" ht="30" customHeight="1" x14ac:dyDescent="0.25">
      <c r="A267" s="68" t="s">
        <v>252</v>
      </c>
      <c r="B267" s="68" t="s">
        <v>253</v>
      </c>
      <c r="C267" s="100" t="s">
        <v>1641</v>
      </c>
      <c r="D267" s="68">
        <v>170103</v>
      </c>
      <c r="E267" s="100" t="s">
        <v>1589</v>
      </c>
      <c r="F267" s="106"/>
      <c r="G267" s="116" t="str">
        <f>IF($F267&lt;&gt;"",$F267,IFERROR(_xlfn.XLOOKUP(ROW(),Taxa_Saknas!$H:$H,Taxa_Saknas!$G:$G),""))</f>
        <v/>
      </c>
      <c r="H267" s="126" t="str">
        <f>IF($F267&lt;&gt;"",IFERROR(_xlfn.XLOOKUP($F267,Taxa_från_edp!$B:$B,Taxa_från_edp!C:C),""),"")</f>
        <v/>
      </c>
      <c r="I267" s="127" t="str">
        <f>IF($F267&lt;&gt;"",IFERROR(_xlfn.XLOOKUP($F267,Taxa_från_edp!$B:$B,Taxa_från_edp!G:G),""),"")</f>
        <v/>
      </c>
      <c r="J267" s="127" t="str">
        <f>IF($F267&lt;&gt;"",IFERROR(_xlfn.XLOOKUP($F267,Taxa_från_edp!$B:$B,Taxa_från_edp!K:K),""),"")</f>
        <v/>
      </c>
      <c r="K267" s="145"/>
      <c r="L267" s="146"/>
      <c r="M267" s="147" t="str">
        <f t="shared" si="84"/>
        <v/>
      </c>
      <c r="N267" s="148" t="str">
        <f t="shared" si="85"/>
        <v/>
      </c>
    </row>
    <row r="268" spans="1:14" ht="30" customHeight="1" x14ac:dyDescent="0.25">
      <c r="A268" s="68" t="s">
        <v>252</v>
      </c>
      <c r="B268" s="68" t="s">
        <v>253</v>
      </c>
      <c r="C268" s="100" t="s">
        <v>1642</v>
      </c>
      <c r="D268" s="68">
        <v>170103</v>
      </c>
      <c r="E268" s="100" t="s">
        <v>1589</v>
      </c>
      <c r="F268" s="106"/>
      <c r="G268" s="116" t="str">
        <f>IF($F268&lt;&gt;"",$F268,IFERROR(_xlfn.XLOOKUP(ROW(),Taxa_Saknas!$H:$H,Taxa_Saknas!$G:$G),""))</f>
        <v/>
      </c>
      <c r="H268" s="126" t="str">
        <f>IF($F268&lt;&gt;"",IFERROR(_xlfn.XLOOKUP($F268,Taxa_från_edp!$B:$B,Taxa_från_edp!C:C),""),"")</f>
        <v/>
      </c>
      <c r="I268" s="127" t="str">
        <f>IF($F268&lt;&gt;"",IFERROR(_xlfn.XLOOKUP($F268,Taxa_från_edp!$B:$B,Taxa_från_edp!G:G),""),"")</f>
        <v/>
      </c>
      <c r="J268" s="127" t="str">
        <f>IF($F268&lt;&gt;"",IFERROR(_xlfn.XLOOKUP($F268,Taxa_från_edp!$B:$B,Taxa_från_edp!K:K),""),"")</f>
        <v/>
      </c>
      <c r="K268" s="145"/>
      <c r="L268" s="146"/>
      <c r="M268" s="147" t="str">
        <f t="shared" si="84"/>
        <v/>
      </c>
      <c r="N268" s="148" t="str">
        <f t="shared" si="85"/>
        <v/>
      </c>
    </row>
    <row r="269" spans="1:14" ht="30" customHeight="1" x14ac:dyDescent="0.25">
      <c r="A269" s="68" t="s">
        <v>252</v>
      </c>
      <c r="B269" s="68" t="s">
        <v>253</v>
      </c>
      <c r="C269" s="100" t="s">
        <v>1643</v>
      </c>
      <c r="D269" s="68">
        <v>200140</v>
      </c>
      <c r="E269" s="100" t="s">
        <v>109</v>
      </c>
      <c r="F269" s="106"/>
      <c r="G269" s="116" t="str">
        <f>IF($F269&lt;&gt;"",$F269,IFERROR(_xlfn.XLOOKUP(ROW(),Taxa_Saknas!$H:$H,Taxa_Saknas!$G:$G),""))</f>
        <v/>
      </c>
      <c r="H269" s="126" t="str">
        <f>IF($F269&lt;&gt;"",IFERROR(_xlfn.XLOOKUP($F269,Taxa_från_edp!$B:$B,Taxa_från_edp!C:C),""),"")</f>
        <v/>
      </c>
      <c r="I269" s="127" t="str">
        <f>IF($F269&lt;&gt;"",IFERROR(_xlfn.XLOOKUP($F269,Taxa_från_edp!$B:$B,Taxa_från_edp!G:G),""),"")</f>
        <v/>
      </c>
      <c r="J269" s="127" t="str">
        <f>IF($F269&lt;&gt;"",IFERROR(_xlfn.XLOOKUP($F269,Taxa_från_edp!$B:$B,Taxa_från_edp!K:K),""),"")</f>
        <v/>
      </c>
      <c r="K269" s="145"/>
      <c r="L269" s="146"/>
      <c r="M269" s="147" t="str">
        <f t="shared" si="84"/>
        <v/>
      </c>
      <c r="N269" s="148" t="str">
        <f t="shared" si="85"/>
        <v/>
      </c>
    </row>
    <row r="270" spans="1:14" ht="30" customHeight="1" x14ac:dyDescent="0.25">
      <c r="A270" s="68" t="s">
        <v>252</v>
      </c>
      <c r="B270" s="68" t="s">
        <v>253</v>
      </c>
      <c r="C270" s="100" t="s">
        <v>1644</v>
      </c>
      <c r="D270" s="68"/>
      <c r="E270" s="100" t="s">
        <v>109</v>
      </c>
      <c r="F270" s="106"/>
      <c r="G270" s="116" t="str">
        <f>IF($F270&lt;&gt;"",$F270,IFERROR(_xlfn.XLOOKUP(ROW(),Taxa_Saknas!$H:$H,Taxa_Saknas!$G:$G),""))</f>
        <v/>
      </c>
      <c r="H270" s="126" t="str">
        <f>IF($F270&lt;&gt;"",IFERROR(_xlfn.XLOOKUP($F270,Taxa_från_edp!$B:$B,Taxa_från_edp!C:C),""),"")</f>
        <v/>
      </c>
      <c r="I270" s="127" t="str">
        <f>IF($F270&lt;&gt;"",IFERROR(_xlfn.XLOOKUP($F270,Taxa_från_edp!$B:$B,Taxa_från_edp!G:G),""),"")</f>
        <v/>
      </c>
      <c r="J270" s="127" t="str">
        <f>IF($F270&lt;&gt;"",IFERROR(_xlfn.XLOOKUP($F270,Taxa_från_edp!$B:$B,Taxa_från_edp!K:K),""),"")</f>
        <v/>
      </c>
      <c r="K270" s="145"/>
      <c r="L270" s="146"/>
      <c r="M270" s="147" t="str">
        <f t="shared" si="84"/>
        <v/>
      </c>
      <c r="N270" s="148" t="str">
        <f t="shared" si="85"/>
        <v/>
      </c>
    </row>
    <row r="271" spans="1:14" ht="30" customHeight="1" x14ac:dyDescent="0.25">
      <c r="A271" s="68" t="s">
        <v>252</v>
      </c>
      <c r="B271" s="68" t="s">
        <v>253</v>
      </c>
      <c r="C271" s="100" t="s">
        <v>1645</v>
      </c>
      <c r="D271" s="68"/>
      <c r="E271" s="100" t="s">
        <v>109</v>
      </c>
      <c r="F271" s="106"/>
      <c r="G271" s="116" t="str">
        <f>IF($F271&lt;&gt;"",$F271,IFERROR(_xlfn.XLOOKUP(ROW(),Taxa_Saknas!$H:$H,Taxa_Saknas!$G:$G),""))</f>
        <v/>
      </c>
      <c r="H271" s="126" t="str">
        <f>IF($F271&lt;&gt;"",IFERROR(_xlfn.XLOOKUP($F271,Taxa_från_edp!$B:$B,Taxa_från_edp!C:C),""),"")</f>
        <v/>
      </c>
      <c r="I271" s="127" t="str">
        <f>IF($F271&lt;&gt;"",IFERROR(_xlfn.XLOOKUP($F271,Taxa_från_edp!$B:$B,Taxa_från_edp!G:G),""),"")</f>
        <v/>
      </c>
      <c r="J271" s="127" t="str">
        <f>IF($F271&lt;&gt;"",IFERROR(_xlfn.XLOOKUP($F271,Taxa_från_edp!$B:$B,Taxa_från_edp!K:K),""),"")</f>
        <v/>
      </c>
      <c r="K271" s="145"/>
      <c r="L271" s="146"/>
      <c r="M271" s="147" t="str">
        <f t="shared" si="84"/>
        <v/>
      </c>
      <c r="N271" s="148" t="str">
        <f t="shared" si="85"/>
        <v/>
      </c>
    </row>
    <row r="272" spans="1:14" ht="30" customHeight="1" x14ac:dyDescent="0.25">
      <c r="A272" s="68" t="s">
        <v>252</v>
      </c>
      <c r="B272" s="68" t="s">
        <v>253</v>
      </c>
      <c r="C272" s="100" t="s">
        <v>1768</v>
      </c>
      <c r="D272" s="68"/>
      <c r="E272" s="100" t="s">
        <v>1770</v>
      </c>
      <c r="F272" s="106"/>
      <c r="G272" s="116" t="str">
        <f>IF($F272&lt;&gt;"",$F272,IFERROR(_xlfn.XLOOKUP(ROW(),Taxa_Saknas!$H:$H,Taxa_Saknas!$G:$G),""))</f>
        <v/>
      </c>
      <c r="H272" s="126" t="str">
        <f>IF($F272&lt;&gt;"",IFERROR(_xlfn.XLOOKUP($F272,Taxa_från_edp!$B:$B,Taxa_från_edp!C:C),""),"")</f>
        <v/>
      </c>
      <c r="I272" s="127" t="str">
        <f>IF($F272&lt;&gt;"",IFERROR(_xlfn.XLOOKUP($F272,Taxa_från_edp!$B:$B,Taxa_från_edp!G:G),""),"")</f>
        <v/>
      </c>
      <c r="J272" s="127" t="str">
        <f>IF($F272&lt;&gt;"",IFERROR(_xlfn.XLOOKUP($F272,Taxa_från_edp!$B:$B,Taxa_från_edp!K:K),""),"")</f>
        <v/>
      </c>
      <c r="K272" s="145"/>
      <c r="L272" s="146"/>
      <c r="M272" s="147" t="str">
        <f t="shared" ref="M272" si="88">IFERROR(IF(J272&lt;&gt;"",J272*1.25,IF(K272&lt;&gt;"",K272*1.25,"")),"")</f>
        <v/>
      </c>
      <c r="N272" s="148" t="str">
        <f t="shared" ref="N272" si="89">IFERROR(IF(J272&lt;&gt;"",L272*J272,IF(K272&lt;&gt;"",L272*K272,"")),"")</f>
        <v/>
      </c>
    </row>
    <row r="273" spans="1:14" s="92" customFormat="1" ht="30" customHeight="1" x14ac:dyDescent="0.25">
      <c r="A273" s="68" t="s">
        <v>252</v>
      </c>
      <c r="B273" s="68" t="s">
        <v>253</v>
      </c>
      <c r="C273" s="100" t="s">
        <v>260</v>
      </c>
      <c r="D273" s="68">
        <v>200201</v>
      </c>
      <c r="E273" s="100" t="s">
        <v>187</v>
      </c>
      <c r="F273" s="106"/>
      <c r="G273" s="116"/>
      <c r="H273" s="126"/>
      <c r="I273" s="127"/>
      <c r="J273" s="127"/>
      <c r="K273" s="145"/>
      <c r="L273" s="146"/>
      <c r="M273" s="147"/>
      <c r="N273" s="148"/>
    </row>
    <row r="274" spans="1:14" s="92" customFormat="1" ht="30" customHeight="1" x14ac:dyDescent="0.25">
      <c r="A274" s="68" t="s">
        <v>252</v>
      </c>
      <c r="B274" s="68" t="s">
        <v>253</v>
      </c>
      <c r="C274" s="100" t="s">
        <v>1646</v>
      </c>
      <c r="D274" s="68"/>
      <c r="E274" s="100" t="s">
        <v>187</v>
      </c>
      <c r="F274" s="106"/>
      <c r="G274" s="116"/>
      <c r="H274" s="126"/>
      <c r="I274" s="127"/>
      <c r="J274" s="127"/>
      <c r="K274" s="145"/>
      <c r="L274" s="146"/>
      <c r="M274" s="147"/>
      <c r="N274" s="148"/>
    </row>
    <row r="275" spans="1:14" s="92" customFormat="1" ht="30" customHeight="1" x14ac:dyDescent="0.25">
      <c r="A275" s="68" t="s">
        <v>252</v>
      </c>
      <c r="B275" s="68" t="s">
        <v>253</v>
      </c>
      <c r="C275" s="100" t="s">
        <v>1647</v>
      </c>
      <c r="D275" s="68"/>
      <c r="E275" s="100" t="s">
        <v>187</v>
      </c>
      <c r="F275" s="106"/>
      <c r="G275" s="116"/>
      <c r="H275" s="126"/>
      <c r="I275" s="127"/>
      <c r="J275" s="127"/>
      <c r="K275" s="145"/>
      <c r="L275" s="146"/>
      <c r="M275" s="147"/>
      <c r="N275" s="148"/>
    </row>
    <row r="276" spans="1:14" ht="30" customHeight="1" x14ac:dyDescent="0.25">
      <c r="A276" s="68" t="s">
        <v>252</v>
      </c>
      <c r="B276" s="68" t="s">
        <v>253</v>
      </c>
      <c r="C276" s="100" t="s">
        <v>1648</v>
      </c>
      <c r="D276" s="68"/>
      <c r="E276" s="100" t="s">
        <v>109</v>
      </c>
      <c r="F276" s="106"/>
      <c r="G276" s="116" t="str">
        <f>IF($F276&lt;&gt;"",$F276,IFERROR(_xlfn.XLOOKUP(ROW(),Taxa_Saknas!$H:$H,Taxa_Saknas!$G:$G),""))</f>
        <v/>
      </c>
      <c r="H276" s="126" t="str">
        <f>IF($F276&lt;&gt;"",IFERROR(_xlfn.XLOOKUP($F276,Taxa_från_edp!$B:$B,Taxa_från_edp!C:C),""),"")</f>
        <v/>
      </c>
      <c r="I276" s="127" t="str">
        <f>IF($F276&lt;&gt;"",IFERROR(_xlfn.XLOOKUP($F276,Taxa_från_edp!$B:$B,Taxa_från_edp!G:G),""),"")</f>
        <v/>
      </c>
      <c r="J276" s="127" t="str">
        <f>IF($F276&lt;&gt;"",IFERROR(_xlfn.XLOOKUP($F276,Taxa_från_edp!$B:$B,Taxa_från_edp!K:K),""),"")</f>
        <v/>
      </c>
      <c r="K276" s="145"/>
      <c r="L276" s="146"/>
      <c r="M276" s="147" t="str">
        <f t="shared" si="84"/>
        <v/>
      </c>
      <c r="N276" s="148" t="str">
        <f t="shared" si="85"/>
        <v/>
      </c>
    </row>
    <row r="277" spans="1:14" ht="30" customHeight="1" x14ac:dyDescent="0.25">
      <c r="A277" s="68" t="s">
        <v>252</v>
      </c>
      <c r="B277" s="68" t="s">
        <v>253</v>
      </c>
      <c r="C277" s="100" t="s">
        <v>1649</v>
      </c>
      <c r="D277" s="68"/>
      <c r="E277" s="100" t="s">
        <v>1769</v>
      </c>
      <c r="F277" s="106"/>
      <c r="G277" s="116" t="str">
        <f>IF($F277&lt;&gt;"",$F277,IFERROR(_xlfn.XLOOKUP(ROW(),Taxa_Saknas!$H:$H,Taxa_Saknas!$G:$G),""))</f>
        <v/>
      </c>
      <c r="H277" s="126" t="str">
        <f>IF($F277&lt;&gt;"",IFERROR(_xlfn.XLOOKUP($F277,Taxa_från_edp!$B:$B,Taxa_från_edp!C:C),""),"")</f>
        <v/>
      </c>
      <c r="I277" s="127" t="str">
        <f>IF($F277&lt;&gt;"",IFERROR(_xlfn.XLOOKUP($F277,Taxa_från_edp!$B:$B,Taxa_från_edp!G:G),""),"")</f>
        <v/>
      </c>
      <c r="J277" s="127" t="str">
        <f>IF($F277&lt;&gt;"",IFERROR(_xlfn.XLOOKUP($F277,Taxa_från_edp!$B:$B,Taxa_från_edp!K:K),""),"")</f>
        <v/>
      </c>
      <c r="K277" s="145"/>
      <c r="L277" s="146"/>
      <c r="M277" s="147" t="str">
        <f t="shared" si="84"/>
        <v/>
      </c>
      <c r="N277" s="148" t="str">
        <f t="shared" si="85"/>
        <v/>
      </c>
    </row>
    <row r="278" spans="1:14" ht="30" customHeight="1" x14ac:dyDescent="0.25">
      <c r="A278" s="68" t="s">
        <v>252</v>
      </c>
      <c r="B278" s="68" t="s">
        <v>253</v>
      </c>
      <c r="C278" s="100" t="s">
        <v>1650</v>
      </c>
      <c r="D278" s="68"/>
      <c r="E278" s="100" t="s">
        <v>1769</v>
      </c>
      <c r="F278" s="106"/>
      <c r="G278" s="116" t="str">
        <f>IF($F278&lt;&gt;"",$F278,IFERROR(_xlfn.XLOOKUP(ROW(),Taxa_Saknas!$H:$H,Taxa_Saknas!$G:$G),""))</f>
        <v/>
      </c>
      <c r="H278" s="126" t="str">
        <f>IF($F278&lt;&gt;"",IFERROR(_xlfn.XLOOKUP($F278,Taxa_från_edp!$B:$B,Taxa_från_edp!C:C),""),"")</f>
        <v/>
      </c>
      <c r="I278" s="127" t="str">
        <f>IF($F278&lt;&gt;"",IFERROR(_xlfn.XLOOKUP($F278,Taxa_från_edp!$B:$B,Taxa_från_edp!G:G),""),"")</f>
        <v/>
      </c>
      <c r="J278" s="127" t="str">
        <f>IF($F278&lt;&gt;"",IFERROR(_xlfn.XLOOKUP($F278,Taxa_från_edp!$B:$B,Taxa_från_edp!K:K),""),"")</f>
        <v/>
      </c>
      <c r="K278" s="145"/>
      <c r="L278" s="146"/>
      <c r="M278" s="147" t="str">
        <f t="shared" si="84"/>
        <v/>
      </c>
      <c r="N278" s="148" t="str">
        <f t="shared" si="85"/>
        <v/>
      </c>
    </row>
    <row r="279" spans="1:14" ht="21.95" customHeight="1" x14ac:dyDescent="0.25">
      <c r="A279" s="101" t="s">
        <v>1653</v>
      </c>
      <c r="B279" s="84"/>
      <c r="C279" s="84"/>
      <c r="D279" s="84"/>
      <c r="E279" s="85"/>
      <c r="F279" s="114"/>
      <c r="G279" s="122" t="str">
        <f>IF($F279&lt;&gt;"",$F279,IFERROR(_xlfn.XLOOKUP(ROW(),Taxa_Saknas!$H:$H,Taxa_Saknas!$G:$G),""))</f>
        <v/>
      </c>
      <c r="H279" s="122" t="str">
        <f>IF($F279&lt;&gt;"",IFERROR(_xlfn.XLOOKUP($F279,Taxa_från_edp!$B:$B,Taxa_från_edp!C:C),""),"")</f>
        <v/>
      </c>
      <c r="I279" s="149" t="str">
        <f>IF($F279&lt;&gt;"",IFERROR(_xlfn.XLOOKUP($F279,Taxa_från_edp!$B:$B,Taxa_från_edp!G:G),""),"")</f>
        <v/>
      </c>
      <c r="J279" s="149" t="str">
        <f>IF($F279&lt;&gt;"",IFERROR(_xlfn.XLOOKUP($F279,Taxa_från_edp!$B:$B,Taxa_från_edp!K:K),""),"")</f>
        <v/>
      </c>
      <c r="K279" s="149"/>
      <c r="L279" s="149"/>
      <c r="M279" s="121" t="str">
        <f t="shared" si="84"/>
        <v/>
      </c>
      <c r="N279" s="144" t="str">
        <f t="shared" si="85"/>
        <v/>
      </c>
    </row>
    <row r="280" spans="1:14" ht="30" customHeight="1" x14ac:dyDescent="0.25">
      <c r="A280" s="100" t="s">
        <v>264</v>
      </c>
      <c r="B280" s="68" t="s">
        <v>253</v>
      </c>
      <c r="C280" s="68" t="s">
        <v>1651</v>
      </c>
      <c r="D280" s="68">
        <v>80307</v>
      </c>
      <c r="E280" s="68" t="s">
        <v>262</v>
      </c>
      <c r="F280" s="106"/>
      <c r="G280" s="116" t="str">
        <f>IF($F280&lt;&gt;"",$F280,IFERROR(_xlfn.XLOOKUP(ROW(),Taxa_Saknas!$H:$H,Taxa_Saknas!$G:$G),""))</f>
        <v/>
      </c>
      <c r="H280" s="126" t="str">
        <f>IF($F280&lt;&gt;"",IFERROR(_xlfn.XLOOKUP($F280,Taxa_från_edp!$B:$B,Taxa_från_edp!C:C),""),"")</f>
        <v/>
      </c>
      <c r="I280" s="127" t="str">
        <f>IF($F280&lt;&gt;"",IFERROR(_xlfn.XLOOKUP($F280,Taxa_från_edp!$B:$B,Taxa_från_edp!G:G),""),"")</f>
        <v/>
      </c>
      <c r="J280" s="127" t="str">
        <f>IF($F280&lt;&gt;"",IFERROR(_xlfn.XLOOKUP($F280,Taxa_från_edp!$B:$B,Taxa_från_edp!K:K),""),"")</f>
        <v/>
      </c>
      <c r="K280" s="145"/>
      <c r="L280" s="146"/>
      <c r="M280" s="147" t="str">
        <f t="shared" si="84"/>
        <v/>
      </c>
      <c r="N280" s="148" t="str">
        <f t="shared" si="85"/>
        <v/>
      </c>
    </row>
    <row r="281" spans="1:14" ht="30" customHeight="1" x14ac:dyDescent="0.25">
      <c r="A281" s="100" t="s">
        <v>264</v>
      </c>
      <c r="B281" s="68" t="s">
        <v>253</v>
      </c>
      <c r="C281" s="68" t="s">
        <v>1654</v>
      </c>
      <c r="D281" s="68" t="s">
        <v>1716</v>
      </c>
      <c r="E281" s="68" t="s">
        <v>262</v>
      </c>
      <c r="F281" s="106"/>
      <c r="G281" s="116" t="str">
        <f>IF($F281&lt;&gt;"",$F281,IFERROR(_xlfn.XLOOKUP(ROW(),Taxa_Saknas!$H:$H,Taxa_Saknas!$G:$G),""))</f>
        <v/>
      </c>
      <c r="H281" s="126" t="str">
        <f>IF($F281&lt;&gt;"",IFERROR(_xlfn.XLOOKUP($F281,Taxa_från_edp!$B:$B,Taxa_från_edp!C:C),""),"")</f>
        <v/>
      </c>
      <c r="I281" s="127" t="str">
        <f>IF($F281&lt;&gt;"",IFERROR(_xlfn.XLOOKUP($F281,Taxa_från_edp!$B:$B,Taxa_från_edp!G:G),""),"")</f>
        <v/>
      </c>
      <c r="J281" s="127" t="str">
        <f>IF($F281&lt;&gt;"",IFERROR(_xlfn.XLOOKUP($F281,Taxa_från_edp!$B:$B,Taxa_från_edp!K:K),""),"")</f>
        <v/>
      </c>
      <c r="K281" s="145"/>
      <c r="L281" s="146"/>
      <c r="M281" s="147" t="str">
        <f t="shared" si="84"/>
        <v/>
      </c>
      <c r="N281" s="148" t="str">
        <f t="shared" si="85"/>
        <v/>
      </c>
    </row>
    <row r="282" spans="1:14" ht="30" customHeight="1" x14ac:dyDescent="0.25">
      <c r="A282" s="100" t="s">
        <v>264</v>
      </c>
      <c r="B282" s="68" t="s">
        <v>253</v>
      </c>
      <c r="C282" s="68" t="s">
        <v>1656</v>
      </c>
      <c r="D282" s="68" t="s">
        <v>1717</v>
      </c>
      <c r="E282" s="68" t="s">
        <v>262</v>
      </c>
      <c r="F282" s="106"/>
      <c r="G282" s="116" t="str">
        <f>IF($F282&lt;&gt;"",$F282,IFERROR(_xlfn.XLOOKUP(ROW(),Taxa_Saknas!$H:$H,Taxa_Saknas!$G:$G),""))</f>
        <v/>
      </c>
      <c r="H282" s="126" t="str">
        <f>IF($F282&lt;&gt;"",IFERROR(_xlfn.XLOOKUP($F282,Taxa_från_edp!$B:$B,Taxa_från_edp!C:C),""),"")</f>
        <v/>
      </c>
      <c r="I282" s="127" t="str">
        <f>IF($F282&lt;&gt;"",IFERROR(_xlfn.XLOOKUP($F282,Taxa_från_edp!$B:$B,Taxa_från_edp!G:G),""),"")</f>
        <v/>
      </c>
      <c r="J282" s="127" t="str">
        <f>IF($F282&lt;&gt;"",IFERROR(_xlfn.XLOOKUP($F282,Taxa_från_edp!$B:$B,Taxa_från_edp!K:K),""),"")</f>
        <v/>
      </c>
      <c r="K282" s="145"/>
      <c r="L282" s="146"/>
      <c r="M282" s="147" t="str">
        <f t="shared" si="84"/>
        <v/>
      </c>
      <c r="N282" s="148" t="str">
        <f t="shared" si="85"/>
        <v/>
      </c>
    </row>
    <row r="283" spans="1:14" ht="30" customHeight="1" x14ac:dyDescent="0.25">
      <c r="A283" s="100" t="s">
        <v>264</v>
      </c>
      <c r="B283" s="68" t="s">
        <v>253</v>
      </c>
      <c r="C283" s="68" t="s">
        <v>1655</v>
      </c>
      <c r="D283" s="68" t="s">
        <v>1718</v>
      </c>
      <c r="E283" s="68" t="s">
        <v>262</v>
      </c>
      <c r="F283" s="106"/>
      <c r="G283" s="116" t="str">
        <f>IF($F283&lt;&gt;"",$F283,IFERROR(_xlfn.XLOOKUP(ROW(),Taxa_Saknas!$H:$H,Taxa_Saknas!$G:$G),""))</f>
        <v/>
      </c>
      <c r="H283" s="126" t="str">
        <f>IF($F283&lt;&gt;"",IFERROR(_xlfn.XLOOKUP($F283,Taxa_från_edp!$B:$B,Taxa_från_edp!C:C),""),"")</f>
        <v/>
      </c>
      <c r="I283" s="127" t="str">
        <f>IF($F283&lt;&gt;"",IFERROR(_xlfn.XLOOKUP($F283,Taxa_från_edp!$B:$B,Taxa_från_edp!G:G),""),"")</f>
        <v/>
      </c>
      <c r="J283" s="127" t="str">
        <f>IF($F283&lt;&gt;"",IFERROR(_xlfn.XLOOKUP($F283,Taxa_från_edp!$B:$B,Taxa_från_edp!K:K),""),"")</f>
        <v/>
      </c>
      <c r="K283" s="145"/>
      <c r="L283" s="146"/>
      <c r="M283" s="147" t="str">
        <f t="shared" si="84"/>
        <v/>
      </c>
      <c r="N283" s="148" t="str">
        <f t="shared" si="85"/>
        <v/>
      </c>
    </row>
    <row r="284" spans="1:14" ht="30" customHeight="1" x14ac:dyDescent="0.25">
      <c r="A284" s="100" t="s">
        <v>264</v>
      </c>
      <c r="B284" s="68" t="s">
        <v>253</v>
      </c>
      <c r="C284" s="68" t="s">
        <v>1657</v>
      </c>
      <c r="D284" s="68" t="s">
        <v>1719</v>
      </c>
      <c r="E284" s="68" t="s">
        <v>262</v>
      </c>
      <c r="F284" s="106"/>
      <c r="G284" s="116" t="str">
        <f>IF($F284&lt;&gt;"",$F284,IFERROR(_xlfn.XLOOKUP(ROW(),Taxa_Saknas!$H:$H,Taxa_Saknas!$G:$G),""))</f>
        <v/>
      </c>
      <c r="H284" s="126" t="str">
        <f>IF($F284&lt;&gt;"",IFERROR(_xlfn.XLOOKUP($F284,Taxa_från_edp!$B:$B,Taxa_från_edp!C:C),""),"")</f>
        <v/>
      </c>
      <c r="I284" s="127" t="str">
        <f>IF($F284&lt;&gt;"",IFERROR(_xlfn.XLOOKUP($F284,Taxa_från_edp!$B:$B,Taxa_från_edp!G:G),""),"")</f>
        <v/>
      </c>
      <c r="J284" s="127" t="str">
        <f>IF($F284&lt;&gt;"",IFERROR(_xlfn.XLOOKUP($F284,Taxa_från_edp!$B:$B,Taxa_från_edp!K:K),""),"")</f>
        <v/>
      </c>
      <c r="K284" s="145"/>
      <c r="L284" s="146"/>
      <c r="M284" s="147" t="str">
        <f t="shared" si="84"/>
        <v/>
      </c>
      <c r="N284" s="148" t="str">
        <f t="shared" si="85"/>
        <v/>
      </c>
    </row>
    <row r="285" spans="1:14" ht="30" customHeight="1" x14ac:dyDescent="0.25">
      <c r="A285" s="100" t="s">
        <v>264</v>
      </c>
      <c r="B285" s="68" t="s">
        <v>253</v>
      </c>
      <c r="C285" s="68" t="s">
        <v>1658</v>
      </c>
      <c r="D285" s="68" t="s">
        <v>1720</v>
      </c>
      <c r="E285" s="68" t="s">
        <v>262</v>
      </c>
      <c r="F285" s="106"/>
      <c r="G285" s="116" t="str">
        <f>IF($F285&lt;&gt;"",$F285,IFERROR(_xlfn.XLOOKUP(ROW(),Taxa_Saknas!$H:$H,Taxa_Saknas!$G:$G),""))</f>
        <v/>
      </c>
      <c r="H285" s="126" t="str">
        <f>IF($F285&lt;&gt;"",IFERROR(_xlfn.XLOOKUP($F285,Taxa_från_edp!$B:$B,Taxa_från_edp!C:C),""),"")</f>
        <v/>
      </c>
      <c r="I285" s="127" t="str">
        <f>IF($F285&lt;&gt;"",IFERROR(_xlfn.XLOOKUP($F285,Taxa_från_edp!$B:$B,Taxa_från_edp!G:G),""),"")</f>
        <v/>
      </c>
      <c r="J285" s="127" t="str">
        <f>IF($F285&lt;&gt;"",IFERROR(_xlfn.XLOOKUP($F285,Taxa_från_edp!$B:$B,Taxa_från_edp!K:K),""),"")</f>
        <v/>
      </c>
      <c r="K285" s="145"/>
      <c r="L285" s="146"/>
      <c r="M285" s="147" t="str">
        <f t="shared" si="84"/>
        <v/>
      </c>
      <c r="N285" s="148" t="str">
        <f t="shared" si="85"/>
        <v/>
      </c>
    </row>
    <row r="286" spans="1:14" ht="30" customHeight="1" x14ac:dyDescent="0.25">
      <c r="A286" s="100" t="s">
        <v>264</v>
      </c>
      <c r="B286" s="68" t="s">
        <v>253</v>
      </c>
      <c r="C286" s="68" t="s">
        <v>1659</v>
      </c>
      <c r="D286" s="68" t="s">
        <v>1721</v>
      </c>
      <c r="E286" s="68" t="s">
        <v>262</v>
      </c>
      <c r="F286" s="106"/>
      <c r="G286" s="116" t="str">
        <f>IF($F286&lt;&gt;"",$F286,IFERROR(_xlfn.XLOOKUP(ROW(),Taxa_Saknas!$H:$H,Taxa_Saknas!$G:$G),""))</f>
        <v/>
      </c>
      <c r="H286" s="126" t="str">
        <f>IF($F286&lt;&gt;"",IFERROR(_xlfn.XLOOKUP($F286,Taxa_från_edp!$B:$B,Taxa_från_edp!C:C),""),"")</f>
        <v/>
      </c>
      <c r="I286" s="127" t="str">
        <f>IF($F286&lt;&gt;"",IFERROR(_xlfn.XLOOKUP($F286,Taxa_från_edp!$B:$B,Taxa_från_edp!G:G),""),"")</f>
        <v/>
      </c>
      <c r="J286" s="127" t="str">
        <f>IF($F286&lt;&gt;"",IFERROR(_xlfn.XLOOKUP($F286,Taxa_från_edp!$B:$B,Taxa_från_edp!K:K),""),"")</f>
        <v/>
      </c>
      <c r="K286" s="145"/>
      <c r="L286" s="146"/>
      <c r="M286" s="147" t="str">
        <f t="shared" si="84"/>
        <v/>
      </c>
      <c r="N286" s="148" t="str">
        <f t="shared" si="85"/>
        <v/>
      </c>
    </row>
    <row r="287" spans="1:14" ht="30" customHeight="1" x14ac:dyDescent="0.25">
      <c r="A287" s="100" t="s">
        <v>264</v>
      </c>
      <c r="B287" s="68" t="s">
        <v>253</v>
      </c>
      <c r="C287" s="68" t="s">
        <v>1660</v>
      </c>
      <c r="D287" s="68" t="s">
        <v>1722</v>
      </c>
      <c r="E287" s="68" t="s">
        <v>262</v>
      </c>
      <c r="F287" s="106"/>
      <c r="G287" s="116" t="str">
        <f>IF($F287&lt;&gt;"",$F287,IFERROR(_xlfn.XLOOKUP(ROW(),Taxa_Saknas!$H:$H,Taxa_Saknas!$G:$G),""))</f>
        <v/>
      </c>
      <c r="H287" s="126" t="str">
        <f>IF($F287&lt;&gt;"",IFERROR(_xlfn.XLOOKUP($F287,Taxa_från_edp!$B:$B,Taxa_från_edp!C:C),""),"")</f>
        <v/>
      </c>
      <c r="I287" s="127" t="str">
        <f>IF($F287&lt;&gt;"",IFERROR(_xlfn.XLOOKUP($F287,Taxa_från_edp!$B:$B,Taxa_från_edp!G:G),""),"")</f>
        <v/>
      </c>
      <c r="J287" s="127" t="str">
        <f>IF($F287&lt;&gt;"",IFERROR(_xlfn.XLOOKUP($F287,Taxa_från_edp!$B:$B,Taxa_från_edp!K:K),""),"")</f>
        <v/>
      </c>
      <c r="K287" s="145"/>
      <c r="L287" s="146"/>
      <c r="M287" s="147" t="str">
        <f t="shared" si="84"/>
        <v/>
      </c>
      <c r="N287" s="148" t="str">
        <f t="shared" si="85"/>
        <v/>
      </c>
    </row>
    <row r="288" spans="1:14" ht="30" customHeight="1" x14ac:dyDescent="0.25">
      <c r="A288" s="100" t="s">
        <v>264</v>
      </c>
      <c r="B288" s="68" t="s">
        <v>253</v>
      </c>
      <c r="C288" s="68" t="s">
        <v>1661</v>
      </c>
      <c r="D288" s="68" t="s">
        <v>1723</v>
      </c>
      <c r="E288" s="68" t="s">
        <v>262</v>
      </c>
      <c r="F288" s="106"/>
      <c r="G288" s="116" t="str">
        <f>IF($F288&lt;&gt;"",$F288,IFERROR(_xlfn.XLOOKUP(ROW(),Taxa_Saknas!$H:$H,Taxa_Saknas!$G:$G),""))</f>
        <v/>
      </c>
      <c r="H288" s="126" t="str">
        <f>IF($F288&lt;&gt;"",IFERROR(_xlfn.XLOOKUP($F288,Taxa_från_edp!$B:$B,Taxa_från_edp!C:C),""),"")</f>
        <v/>
      </c>
      <c r="I288" s="127" t="str">
        <f>IF($F288&lt;&gt;"",IFERROR(_xlfn.XLOOKUP($F288,Taxa_från_edp!$B:$B,Taxa_från_edp!G:G),""),"")</f>
        <v/>
      </c>
      <c r="J288" s="127" t="str">
        <f>IF($F288&lt;&gt;"",IFERROR(_xlfn.XLOOKUP($F288,Taxa_från_edp!$B:$B,Taxa_från_edp!K:K),""),"")</f>
        <v/>
      </c>
      <c r="K288" s="145"/>
      <c r="L288" s="146"/>
      <c r="M288" s="147" t="str">
        <f t="shared" si="84"/>
        <v/>
      </c>
      <c r="N288" s="148" t="str">
        <f t="shared" si="85"/>
        <v/>
      </c>
    </row>
    <row r="289" spans="1:14" ht="30" customHeight="1" x14ac:dyDescent="0.25">
      <c r="A289" s="100" t="s">
        <v>264</v>
      </c>
      <c r="B289" s="68" t="s">
        <v>253</v>
      </c>
      <c r="C289" s="68" t="s">
        <v>1662</v>
      </c>
      <c r="D289" s="68" t="s">
        <v>1723</v>
      </c>
      <c r="E289" s="68" t="s">
        <v>262</v>
      </c>
      <c r="F289" s="106"/>
      <c r="G289" s="116" t="str">
        <f>IF($F289&lt;&gt;"",$F289,IFERROR(_xlfn.XLOOKUP(ROW(),Taxa_Saknas!$H:$H,Taxa_Saknas!$G:$G),""))</f>
        <v/>
      </c>
      <c r="H289" s="126" t="str">
        <f>IF($F289&lt;&gt;"",IFERROR(_xlfn.XLOOKUP($F289,Taxa_från_edp!$B:$B,Taxa_från_edp!C:C),""),"")</f>
        <v/>
      </c>
      <c r="I289" s="127" t="str">
        <f>IF($F289&lt;&gt;"",IFERROR(_xlfn.XLOOKUP($F289,Taxa_från_edp!$B:$B,Taxa_från_edp!G:G),""),"")</f>
        <v/>
      </c>
      <c r="J289" s="127" t="str">
        <f>IF($F289&lt;&gt;"",IFERROR(_xlfn.XLOOKUP($F289,Taxa_från_edp!$B:$B,Taxa_från_edp!K:K),""),"")</f>
        <v/>
      </c>
      <c r="K289" s="145"/>
      <c r="L289" s="146"/>
      <c r="M289" s="147" t="str">
        <f t="shared" si="84"/>
        <v/>
      </c>
      <c r="N289" s="148" t="str">
        <f t="shared" si="85"/>
        <v/>
      </c>
    </row>
    <row r="290" spans="1:14" ht="30" customHeight="1" x14ac:dyDescent="0.25">
      <c r="A290" s="100" t="s">
        <v>264</v>
      </c>
      <c r="B290" s="68" t="s">
        <v>253</v>
      </c>
      <c r="C290" s="68" t="s">
        <v>1663</v>
      </c>
      <c r="D290" s="68" t="s">
        <v>1724</v>
      </c>
      <c r="E290" s="68" t="s">
        <v>262</v>
      </c>
      <c r="F290" s="106"/>
      <c r="G290" s="116" t="str">
        <f>IF($F290&lt;&gt;"",$F290,IFERROR(_xlfn.XLOOKUP(ROW(),Taxa_Saknas!$H:$H,Taxa_Saknas!$G:$G),""))</f>
        <v/>
      </c>
      <c r="H290" s="126" t="str">
        <f>IF($F290&lt;&gt;"",IFERROR(_xlfn.XLOOKUP($F290,Taxa_från_edp!$B:$B,Taxa_från_edp!C:C),""),"")</f>
        <v/>
      </c>
      <c r="I290" s="127" t="str">
        <f>IF($F290&lt;&gt;"",IFERROR(_xlfn.XLOOKUP($F290,Taxa_från_edp!$B:$B,Taxa_från_edp!G:G),""),"")</f>
        <v/>
      </c>
      <c r="J290" s="127" t="str">
        <f>IF($F290&lt;&gt;"",IFERROR(_xlfn.XLOOKUP($F290,Taxa_från_edp!$B:$B,Taxa_från_edp!K:K),""),"")</f>
        <v/>
      </c>
      <c r="K290" s="145"/>
      <c r="L290" s="146"/>
      <c r="M290" s="147" t="str">
        <f t="shared" si="84"/>
        <v/>
      </c>
      <c r="N290" s="148" t="str">
        <f t="shared" si="85"/>
        <v/>
      </c>
    </row>
    <row r="291" spans="1:14" ht="30" customHeight="1" x14ac:dyDescent="0.25">
      <c r="A291" s="100" t="s">
        <v>264</v>
      </c>
      <c r="B291" s="68" t="s">
        <v>253</v>
      </c>
      <c r="C291" s="68" t="s">
        <v>1664</v>
      </c>
      <c r="D291" s="68" t="s">
        <v>1725</v>
      </c>
      <c r="E291" s="68" t="s">
        <v>262</v>
      </c>
      <c r="F291" s="106"/>
      <c r="G291" s="116" t="str">
        <f>IF($F291&lt;&gt;"",$F291,IFERROR(_xlfn.XLOOKUP(ROW(),Taxa_Saknas!$H:$H,Taxa_Saknas!$G:$G),""))</f>
        <v/>
      </c>
      <c r="H291" s="126" t="str">
        <f>IF($F291&lt;&gt;"",IFERROR(_xlfn.XLOOKUP($F291,Taxa_från_edp!$B:$B,Taxa_från_edp!C:C),""),"")</f>
        <v/>
      </c>
      <c r="I291" s="127" t="str">
        <f>IF($F291&lt;&gt;"",IFERROR(_xlfn.XLOOKUP($F291,Taxa_från_edp!$B:$B,Taxa_från_edp!G:G),""),"")</f>
        <v/>
      </c>
      <c r="J291" s="127" t="str">
        <f>IF($F291&lt;&gt;"",IFERROR(_xlfn.XLOOKUP($F291,Taxa_från_edp!$B:$B,Taxa_från_edp!K:K),""),"")</f>
        <v/>
      </c>
      <c r="K291" s="145"/>
      <c r="L291" s="146"/>
      <c r="M291" s="147" t="str">
        <f t="shared" si="84"/>
        <v/>
      </c>
      <c r="N291" s="148" t="str">
        <f t="shared" si="85"/>
        <v/>
      </c>
    </row>
    <row r="292" spans="1:14" ht="30" customHeight="1" x14ac:dyDescent="0.25">
      <c r="A292" s="100" t="s">
        <v>264</v>
      </c>
      <c r="B292" s="68" t="s">
        <v>253</v>
      </c>
      <c r="C292" s="68" t="s">
        <v>1665</v>
      </c>
      <c r="D292" s="68" t="s">
        <v>1726</v>
      </c>
      <c r="E292" s="68" t="s">
        <v>262</v>
      </c>
      <c r="F292" s="106"/>
      <c r="G292" s="116" t="str">
        <f>IF($F292&lt;&gt;"",$F292,IFERROR(_xlfn.XLOOKUP(ROW(),Taxa_Saknas!$H:$H,Taxa_Saknas!$G:$G),""))</f>
        <v/>
      </c>
      <c r="H292" s="126" t="str">
        <f>IF($F292&lt;&gt;"",IFERROR(_xlfn.XLOOKUP($F292,Taxa_från_edp!$B:$B,Taxa_från_edp!C:C),""),"")</f>
        <v/>
      </c>
      <c r="I292" s="127" t="str">
        <f>IF($F292&lt;&gt;"",IFERROR(_xlfn.XLOOKUP($F292,Taxa_från_edp!$B:$B,Taxa_från_edp!G:G),""),"")</f>
        <v/>
      </c>
      <c r="J292" s="127" t="str">
        <f>IF($F292&lt;&gt;"",IFERROR(_xlfn.XLOOKUP($F292,Taxa_från_edp!$B:$B,Taxa_från_edp!K:K),""),"")</f>
        <v/>
      </c>
      <c r="K292" s="145"/>
      <c r="L292" s="146"/>
      <c r="M292" s="147" t="str">
        <f t="shared" si="84"/>
        <v/>
      </c>
      <c r="N292" s="148" t="str">
        <f t="shared" si="85"/>
        <v/>
      </c>
    </row>
    <row r="293" spans="1:14" ht="30" customHeight="1" x14ac:dyDescent="0.25">
      <c r="A293" s="100" t="s">
        <v>264</v>
      </c>
      <c r="B293" s="68" t="s">
        <v>253</v>
      </c>
      <c r="C293" s="68" t="s">
        <v>1666</v>
      </c>
      <c r="D293" s="68" t="s">
        <v>1727</v>
      </c>
      <c r="E293" s="68" t="s">
        <v>262</v>
      </c>
      <c r="F293" s="106"/>
      <c r="G293" s="116" t="str">
        <f>IF($F293&lt;&gt;"",$F293,IFERROR(_xlfn.XLOOKUP(ROW(),Taxa_Saknas!$H:$H,Taxa_Saknas!$G:$G),""))</f>
        <v/>
      </c>
      <c r="H293" s="126" t="str">
        <f>IF($F293&lt;&gt;"",IFERROR(_xlfn.XLOOKUP($F293,Taxa_från_edp!$B:$B,Taxa_från_edp!C:C),""),"")</f>
        <v/>
      </c>
      <c r="I293" s="127" t="str">
        <f>IF($F293&lt;&gt;"",IFERROR(_xlfn.XLOOKUP($F293,Taxa_från_edp!$B:$B,Taxa_från_edp!G:G),""),"")</f>
        <v/>
      </c>
      <c r="J293" s="127" t="str">
        <f>IF($F293&lt;&gt;"",IFERROR(_xlfn.XLOOKUP($F293,Taxa_från_edp!$B:$B,Taxa_från_edp!K:K),""),"")</f>
        <v/>
      </c>
      <c r="K293" s="145"/>
      <c r="L293" s="146"/>
      <c r="M293" s="147" t="str">
        <f t="shared" si="84"/>
        <v/>
      </c>
      <c r="N293" s="148" t="str">
        <f t="shared" si="85"/>
        <v/>
      </c>
    </row>
    <row r="294" spans="1:14" ht="30" customHeight="1" x14ac:dyDescent="0.25">
      <c r="A294" s="100" t="s">
        <v>264</v>
      </c>
      <c r="B294" s="68" t="s">
        <v>253</v>
      </c>
      <c r="C294" s="68" t="s">
        <v>1667</v>
      </c>
      <c r="D294" s="68" t="s">
        <v>1727</v>
      </c>
      <c r="E294" s="68" t="s">
        <v>262</v>
      </c>
      <c r="F294" s="106"/>
      <c r="G294" s="116" t="str">
        <f>IF($F294&lt;&gt;"",$F294,IFERROR(_xlfn.XLOOKUP(ROW(),Taxa_Saknas!$H:$H,Taxa_Saknas!$G:$G),""))</f>
        <v/>
      </c>
      <c r="H294" s="126" t="str">
        <f>IF($F294&lt;&gt;"",IFERROR(_xlfn.XLOOKUP($F294,Taxa_från_edp!$B:$B,Taxa_från_edp!C:C),""),"")</f>
        <v/>
      </c>
      <c r="I294" s="127" t="str">
        <f>IF($F294&lt;&gt;"",IFERROR(_xlfn.XLOOKUP($F294,Taxa_från_edp!$B:$B,Taxa_från_edp!G:G),""),"")</f>
        <v/>
      </c>
      <c r="J294" s="127" t="str">
        <f>IF($F294&lt;&gt;"",IFERROR(_xlfn.XLOOKUP($F294,Taxa_från_edp!$B:$B,Taxa_från_edp!K:K),""),"")</f>
        <v/>
      </c>
      <c r="K294" s="145"/>
      <c r="L294" s="146"/>
      <c r="M294" s="147" t="str">
        <f t="shared" si="84"/>
        <v/>
      </c>
      <c r="N294" s="148" t="str">
        <f t="shared" si="85"/>
        <v/>
      </c>
    </row>
    <row r="295" spans="1:14" ht="30" customHeight="1" x14ac:dyDescent="0.25">
      <c r="A295" s="100" t="s">
        <v>264</v>
      </c>
      <c r="B295" s="68" t="s">
        <v>253</v>
      </c>
      <c r="C295" s="68" t="s">
        <v>1668</v>
      </c>
      <c r="D295" s="68" t="s">
        <v>1727</v>
      </c>
      <c r="E295" s="68" t="s">
        <v>262</v>
      </c>
      <c r="F295" s="106"/>
      <c r="G295" s="116" t="str">
        <f>IF($F295&lt;&gt;"",$F295,IFERROR(_xlfn.XLOOKUP(ROW(),Taxa_Saknas!$H:$H,Taxa_Saknas!$G:$G),""))</f>
        <v/>
      </c>
      <c r="H295" s="126" t="str">
        <f>IF($F295&lt;&gt;"",IFERROR(_xlfn.XLOOKUP($F295,Taxa_från_edp!$B:$B,Taxa_från_edp!C:C),""),"")</f>
        <v/>
      </c>
      <c r="I295" s="127" t="str">
        <f>IF($F295&lt;&gt;"",IFERROR(_xlfn.XLOOKUP($F295,Taxa_från_edp!$B:$B,Taxa_från_edp!G:G),""),"")</f>
        <v/>
      </c>
      <c r="J295" s="127" t="str">
        <f>IF($F295&lt;&gt;"",IFERROR(_xlfn.XLOOKUP($F295,Taxa_från_edp!$B:$B,Taxa_från_edp!K:K),""),"")</f>
        <v/>
      </c>
      <c r="K295" s="145"/>
      <c r="L295" s="146"/>
      <c r="M295" s="147" t="str">
        <f t="shared" si="84"/>
        <v/>
      </c>
      <c r="N295" s="148" t="str">
        <f t="shared" si="85"/>
        <v/>
      </c>
    </row>
    <row r="296" spans="1:14" ht="30" customHeight="1" x14ac:dyDescent="0.25">
      <c r="A296" s="100" t="s">
        <v>264</v>
      </c>
      <c r="B296" s="68" t="s">
        <v>253</v>
      </c>
      <c r="C296" s="68" t="s">
        <v>1669</v>
      </c>
      <c r="D296" s="68" t="s">
        <v>1727</v>
      </c>
      <c r="E296" s="68" t="s">
        <v>262</v>
      </c>
      <c r="F296" s="106"/>
      <c r="G296" s="116" t="str">
        <f>IF($F296&lt;&gt;"",$F296,IFERROR(_xlfn.XLOOKUP(ROW(),Taxa_Saknas!$H:$H,Taxa_Saknas!$G:$G),""))</f>
        <v/>
      </c>
      <c r="H296" s="126" t="str">
        <f>IF($F296&lt;&gt;"",IFERROR(_xlfn.XLOOKUP($F296,Taxa_från_edp!$B:$B,Taxa_från_edp!C:C),""),"")</f>
        <v/>
      </c>
      <c r="I296" s="127" t="str">
        <f>IF($F296&lt;&gt;"",IFERROR(_xlfn.XLOOKUP($F296,Taxa_från_edp!$B:$B,Taxa_från_edp!G:G),""),"")</f>
        <v/>
      </c>
      <c r="J296" s="127" t="str">
        <f>IF($F296&lt;&gt;"",IFERROR(_xlfn.XLOOKUP($F296,Taxa_från_edp!$B:$B,Taxa_från_edp!K:K),""),"")</f>
        <v/>
      </c>
      <c r="K296" s="145"/>
      <c r="L296" s="146"/>
      <c r="M296" s="147" t="str">
        <f t="shared" si="84"/>
        <v/>
      </c>
      <c r="N296" s="148" t="str">
        <f t="shared" si="85"/>
        <v/>
      </c>
    </row>
    <row r="297" spans="1:14" ht="30" customHeight="1" x14ac:dyDescent="0.25">
      <c r="A297" s="100" t="s">
        <v>264</v>
      </c>
      <c r="B297" s="68" t="s">
        <v>253</v>
      </c>
      <c r="C297" s="68" t="s">
        <v>1670</v>
      </c>
      <c r="D297" s="68" t="s">
        <v>1727</v>
      </c>
      <c r="E297" s="68" t="s">
        <v>262</v>
      </c>
      <c r="F297" s="106"/>
      <c r="G297" s="116" t="str">
        <f>IF($F297&lt;&gt;"",$F297,IFERROR(_xlfn.XLOOKUP(ROW(),Taxa_Saknas!$H:$H,Taxa_Saknas!$G:$G),""))</f>
        <v/>
      </c>
      <c r="H297" s="126" t="str">
        <f>IF($F297&lt;&gt;"",IFERROR(_xlfn.XLOOKUP($F297,Taxa_från_edp!$B:$B,Taxa_från_edp!C:C),""),"")</f>
        <v/>
      </c>
      <c r="I297" s="127" t="str">
        <f>IF($F297&lt;&gt;"",IFERROR(_xlfn.XLOOKUP($F297,Taxa_från_edp!$B:$B,Taxa_från_edp!G:G),""),"")</f>
        <v/>
      </c>
      <c r="J297" s="127" t="str">
        <f>IF($F297&lt;&gt;"",IFERROR(_xlfn.XLOOKUP($F297,Taxa_från_edp!$B:$B,Taxa_från_edp!K:K),""),"")</f>
        <v/>
      </c>
      <c r="K297" s="145"/>
      <c r="L297" s="146"/>
      <c r="M297" s="147" t="str">
        <f t="shared" si="84"/>
        <v/>
      </c>
      <c r="N297" s="148" t="str">
        <f t="shared" si="85"/>
        <v/>
      </c>
    </row>
    <row r="298" spans="1:14" ht="30" customHeight="1" x14ac:dyDescent="0.25">
      <c r="A298" s="100" t="s">
        <v>264</v>
      </c>
      <c r="B298" s="68" t="s">
        <v>253</v>
      </c>
      <c r="C298" s="68" t="s">
        <v>1671</v>
      </c>
      <c r="D298" s="68" t="s">
        <v>1727</v>
      </c>
      <c r="E298" s="68" t="s">
        <v>262</v>
      </c>
      <c r="F298" s="106"/>
      <c r="G298" s="116" t="str">
        <f>IF($F298&lt;&gt;"",$F298,IFERROR(_xlfn.XLOOKUP(ROW(),Taxa_Saknas!$H:$H,Taxa_Saknas!$G:$G),""))</f>
        <v/>
      </c>
      <c r="H298" s="126" t="str">
        <f>IF($F298&lt;&gt;"",IFERROR(_xlfn.XLOOKUP($F298,Taxa_från_edp!$B:$B,Taxa_från_edp!C:C),""),"")</f>
        <v/>
      </c>
      <c r="I298" s="127" t="str">
        <f>IF($F298&lt;&gt;"",IFERROR(_xlfn.XLOOKUP($F298,Taxa_från_edp!$B:$B,Taxa_från_edp!G:G),""),"")</f>
        <v/>
      </c>
      <c r="J298" s="127" t="str">
        <f>IF($F298&lt;&gt;"",IFERROR(_xlfn.XLOOKUP($F298,Taxa_från_edp!$B:$B,Taxa_från_edp!K:K),""),"")</f>
        <v/>
      </c>
      <c r="K298" s="145"/>
      <c r="L298" s="146"/>
      <c r="M298" s="147" t="str">
        <f t="shared" si="84"/>
        <v/>
      </c>
      <c r="N298" s="148" t="str">
        <f t="shared" si="85"/>
        <v/>
      </c>
    </row>
    <row r="299" spans="1:14" ht="30" customHeight="1" x14ac:dyDescent="0.25">
      <c r="A299" s="100" t="s">
        <v>264</v>
      </c>
      <c r="B299" s="68" t="s">
        <v>253</v>
      </c>
      <c r="C299" s="68" t="s">
        <v>1672</v>
      </c>
      <c r="D299" s="68" t="s">
        <v>1727</v>
      </c>
      <c r="E299" s="68" t="s">
        <v>262</v>
      </c>
      <c r="F299" s="106"/>
      <c r="G299" s="116" t="str">
        <f>IF($F299&lt;&gt;"",$F299,IFERROR(_xlfn.XLOOKUP(ROW(),Taxa_Saknas!$H:$H,Taxa_Saknas!$G:$G),""))</f>
        <v/>
      </c>
      <c r="H299" s="126" t="str">
        <f>IF($F299&lt;&gt;"",IFERROR(_xlfn.XLOOKUP($F299,Taxa_från_edp!$B:$B,Taxa_från_edp!C:C),""),"")</f>
        <v/>
      </c>
      <c r="I299" s="127" t="str">
        <f>IF($F299&lt;&gt;"",IFERROR(_xlfn.XLOOKUP($F299,Taxa_från_edp!$B:$B,Taxa_från_edp!G:G),""),"")</f>
        <v/>
      </c>
      <c r="J299" s="127" t="str">
        <f>IF($F299&lt;&gt;"",IFERROR(_xlfn.XLOOKUP($F299,Taxa_från_edp!$B:$B,Taxa_från_edp!K:K),""),"")</f>
        <v/>
      </c>
      <c r="K299" s="145"/>
      <c r="L299" s="146"/>
      <c r="M299" s="147" t="str">
        <f t="shared" si="84"/>
        <v/>
      </c>
      <c r="N299" s="148" t="str">
        <f t="shared" si="85"/>
        <v/>
      </c>
    </row>
    <row r="300" spans="1:14" ht="30" customHeight="1" x14ac:dyDescent="0.25">
      <c r="A300" s="100" t="s">
        <v>264</v>
      </c>
      <c r="B300" s="68" t="s">
        <v>253</v>
      </c>
      <c r="C300" s="68" t="s">
        <v>1673</v>
      </c>
      <c r="D300" s="68" t="s">
        <v>1727</v>
      </c>
      <c r="E300" s="68" t="s">
        <v>262</v>
      </c>
      <c r="F300" s="106"/>
      <c r="G300" s="116" t="str">
        <f>IF($F300&lt;&gt;"",$F300,IFERROR(_xlfn.XLOOKUP(ROW(),Taxa_Saknas!$H:$H,Taxa_Saknas!$G:$G),""))</f>
        <v/>
      </c>
      <c r="H300" s="126" t="str">
        <f>IF($F300&lt;&gt;"",IFERROR(_xlfn.XLOOKUP($F300,Taxa_från_edp!$B:$B,Taxa_från_edp!C:C),""),"")</f>
        <v/>
      </c>
      <c r="I300" s="127" t="str">
        <f>IF($F300&lt;&gt;"",IFERROR(_xlfn.XLOOKUP($F300,Taxa_från_edp!$B:$B,Taxa_från_edp!G:G),""),"")</f>
        <v/>
      </c>
      <c r="J300" s="127" t="str">
        <f>IF($F300&lt;&gt;"",IFERROR(_xlfn.XLOOKUP($F300,Taxa_från_edp!$B:$B,Taxa_från_edp!K:K),""),"")</f>
        <v/>
      </c>
      <c r="K300" s="145"/>
      <c r="L300" s="146"/>
      <c r="M300" s="147" t="str">
        <f t="shared" si="84"/>
        <v/>
      </c>
      <c r="N300" s="148" t="str">
        <f t="shared" si="85"/>
        <v/>
      </c>
    </row>
    <row r="301" spans="1:14" ht="30" customHeight="1" x14ac:dyDescent="0.25">
      <c r="A301" s="100" t="s">
        <v>264</v>
      </c>
      <c r="B301" s="68" t="s">
        <v>253</v>
      </c>
      <c r="C301" s="68" t="s">
        <v>1674</v>
      </c>
      <c r="D301" s="68" t="s">
        <v>1727</v>
      </c>
      <c r="E301" s="68" t="s">
        <v>262</v>
      </c>
      <c r="F301" s="106"/>
      <c r="G301" s="116" t="str">
        <f>IF($F301&lt;&gt;"",$F301,IFERROR(_xlfn.XLOOKUP(ROW(),Taxa_Saknas!$H:$H,Taxa_Saknas!$G:$G),""))</f>
        <v/>
      </c>
      <c r="H301" s="126" t="str">
        <f>IF($F301&lt;&gt;"",IFERROR(_xlfn.XLOOKUP($F301,Taxa_från_edp!$B:$B,Taxa_från_edp!C:C),""),"")</f>
        <v/>
      </c>
      <c r="I301" s="127" t="str">
        <f>IF($F301&lt;&gt;"",IFERROR(_xlfn.XLOOKUP($F301,Taxa_från_edp!$B:$B,Taxa_från_edp!G:G),""),"")</f>
        <v/>
      </c>
      <c r="J301" s="127" t="str">
        <f>IF($F301&lt;&gt;"",IFERROR(_xlfn.XLOOKUP($F301,Taxa_från_edp!$B:$B,Taxa_från_edp!K:K),""),"")</f>
        <v/>
      </c>
      <c r="K301" s="145"/>
      <c r="L301" s="146"/>
      <c r="M301" s="147" t="str">
        <f t="shared" si="84"/>
        <v/>
      </c>
      <c r="N301" s="148" t="str">
        <f t="shared" si="85"/>
        <v/>
      </c>
    </row>
    <row r="302" spans="1:14" ht="30" customHeight="1" x14ac:dyDescent="0.25">
      <c r="A302" s="100" t="s">
        <v>264</v>
      </c>
      <c r="B302" s="68" t="s">
        <v>253</v>
      </c>
      <c r="C302" s="68" t="s">
        <v>1675</v>
      </c>
      <c r="D302" s="68" t="s">
        <v>1727</v>
      </c>
      <c r="E302" s="68" t="s">
        <v>262</v>
      </c>
      <c r="F302" s="106"/>
      <c r="G302" s="116" t="str">
        <f>IF($F302&lt;&gt;"",$F302,IFERROR(_xlfn.XLOOKUP(ROW(),Taxa_Saknas!$H:$H,Taxa_Saknas!$G:$G),""))</f>
        <v/>
      </c>
      <c r="H302" s="126" t="str">
        <f>IF($F302&lt;&gt;"",IFERROR(_xlfn.XLOOKUP($F302,Taxa_från_edp!$B:$B,Taxa_från_edp!C:C),""),"")</f>
        <v/>
      </c>
      <c r="I302" s="127" t="str">
        <f>IF($F302&lt;&gt;"",IFERROR(_xlfn.XLOOKUP($F302,Taxa_från_edp!$B:$B,Taxa_från_edp!G:G),""),"")</f>
        <v/>
      </c>
      <c r="J302" s="127" t="str">
        <f>IF($F302&lt;&gt;"",IFERROR(_xlfn.XLOOKUP($F302,Taxa_från_edp!$B:$B,Taxa_från_edp!K:K),""),"")</f>
        <v/>
      </c>
      <c r="K302" s="145"/>
      <c r="L302" s="146"/>
      <c r="M302" s="147" t="str">
        <f t="shared" si="84"/>
        <v/>
      </c>
      <c r="N302" s="148" t="str">
        <f t="shared" si="85"/>
        <v/>
      </c>
    </row>
    <row r="303" spans="1:14" ht="30" customHeight="1" x14ac:dyDescent="0.25">
      <c r="A303" s="100" t="s">
        <v>264</v>
      </c>
      <c r="B303" s="68" t="s">
        <v>253</v>
      </c>
      <c r="C303" s="68" t="s">
        <v>1676</v>
      </c>
      <c r="D303" s="68" t="s">
        <v>1727</v>
      </c>
      <c r="E303" s="68" t="s">
        <v>262</v>
      </c>
      <c r="F303" s="106"/>
      <c r="G303" s="116" t="str">
        <f>IF($F303&lt;&gt;"",$F303,IFERROR(_xlfn.XLOOKUP(ROW(),Taxa_Saknas!$H:$H,Taxa_Saknas!$G:$G),""))</f>
        <v/>
      </c>
      <c r="H303" s="126" t="str">
        <f>IF($F303&lt;&gt;"",IFERROR(_xlfn.XLOOKUP($F303,Taxa_från_edp!$B:$B,Taxa_från_edp!C:C),""),"")</f>
        <v/>
      </c>
      <c r="I303" s="127" t="str">
        <f>IF($F303&lt;&gt;"",IFERROR(_xlfn.XLOOKUP($F303,Taxa_från_edp!$B:$B,Taxa_från_edp!G:G),""),"")</f>
        <v/>
      </c>
      <c r="J303" s="127" t="str">
        <f>IF($F303&lt;&gt;"",IFERROR(_xlfn.XLOOKUP($F303,Taxa_från_edp!$B:$B,Taxa_från_edp!K:K),""),"")</f>
        <v/>
      </c>
      <c r="K303" s="145"/>
      <c r="L303" s="146"/>
      <c r="M303" s="147" t="str">
        <f t="shared" si="84"/>
        <v/>
      </c>
      <c r="N303" s="148" t="str">
        <f t="shared" si="85"/>
        <v/>
      </c>
    </row>
    <row r="304" spans="1:14" ht="30" customHeight="1" x14ac:dyDescent="0.25">
      <c r="A304" s="100" t="s">
        <v>264</v>
      </c>
      <c r="B304" s="68" t="s">
        <v>253</v>
      </c>
      <c r="C304" s="68" t="s">
        <v>1677</v>
      </c>
      <c r="D304" s="68" t="s">
        <v>1727</v>
      </c>
      <c r="E304" s="68" t="s">
        <v>262</v>
      </c>
      <c r="F304" s="106"/>
      <c r="G304" s="116" t="str">
        <f>IF($F304&lt;&gt;"",$F304,IFERROR(_xlfn.XLOOKUP(ROW(),Taxa_Saknas!$H:$H,Taxa_Saknas!$G:$G),""))</f>
        <v/>
      </c>
      <c r="H304" s="126" t="str">
        <f>IF($F304&lt;&gt;"",IFERROR(_xlfn.XLOOKUP($F304,Taxa_från_edp!$B:$B,Taxa_från_edp!C:C),""),"")</f>
        <v/>
      </c>
      <c r="I304" s="127" t="str">
        <f>IF($F304&lt;&gt;"",IFERROR(_xlfn.XLOOKUP($F304,Taxa_från_edp!$B:$B,Taxa_från_edp!G:G),""),"")</f>
        <v/>
      </c>
      <c r="J304" s="127" t="str">
        <f>IF($F304&lt;&gt;"",IFERROR(_xlfn.XLOOKUP($F304,Taxa_från_edp!$B:$B,Taxa_från_edp!K:K),""),"")</f>
        <v/>
      </c>
      <c r="K304" s="145"/>
      <c r="L304" s="146"/>
      <c r="M304" s="147" t="str">
        <f t="shared" si="84"/>
        <v/>
      </c>
      <c r="N304" s="148" t="str">
        <f t="shared" si="85"/>
        <v/>
      </c>
    </row>
    <row r="305" spans="1:14" ht="30" customHeight="1" x14ac:dyDescent="0.25">
      <c r="A305" s="100" t="s">
        <v>264</v>
      </c>
      <c r="B305" s="68" t="s">
        <v>253</v>
      </c>
      <c r="C305" s="68" t="s">
        <v>1678</v>
      </c>
      <c r="D305" s="68" t="s">
        <v>1728</v>
      </c>
      <c r="E305" s="68" t="s">
        <v>262</v>
      </c>
      <c r="F305" s="106"/>
      <c r="G305" s="116" t="str">
        <f>IF($F305&lt;&gt;"",$F305,IFERROR(_xlfn.XLOOKUP(ROW(),Taxa_Saknas!$H:$H,Taxa_Saknas!$G:$G),""))</f>
        <v/>
      </c>
      <c r="H305" s="126" t="str">
        <f>IF($F305&lt;&gt;"",IFERROR(_xlfn.XLOOKUP($F305,Taxa_från_edp!$B:$B,Taxa_från_edp!C:C),""),"")</f>
        <v/>
      </c>
      <c r="I305" s="127" t="str">
        <f>IF($F305&lt;&gt;"",IFERROR(_xlfn.XLOOKUP($F305,Taxa_från_edp!$B:$B,Taxa_från_edp!G:G),""),"")</f>
        <v/>
      </c>
      <c r="J305" s="127" t="str">
        <f>IF($F305&lt;&gt;"",IFERROR(_xlfn.XLOOKUP($F305,Taxa_från_edp!$B:$B,Taxa_från_edp!K:K),""),"")</f>
        <v/>
      </c>
      <c r="K305" s="145"/>
      <c r="L305" s="146"/>
      <c r="M305" s="147" t="str">
        <f t="shared" si="84"/>
        <v/>
      </c>
      <c r="N305" s="148" t="str">
        <f t="shared" si="85"/>
        <v/>
      </c>
    </row>
    <row r="306" spans="1:14" ht="30" customHeight="1" x14ac:dyDescent="0.25">
      <c r="A306" s="100" t="s">
        <v>264</v>
      </c>
      <c r="B306" s="68" t="s">
        <v>253</v>
      </c>
      <c r="C306" s="68" t="s">
        <v>1679</v>
      </c>
      <c r="D306" s="68" t="s">
        <v>1728</v>
      </c>
      <c r="E306" s="68" t="s">
        <v>262</v>
      </c>
      <c r="F306" s="106"/>
      <c r="G306" s="116" t="str">
        <f>IF($F306&lt;&gt;"",$F306,IFERROR(_xlfn.XLOOKUP(ROW(),Taxa_Saknas!$H:$H,Taxa_Saknas!$G:$G),""))</f>
        <v/>
      </c>
      <c r="H306" s="126" t="str">
        <f>IF($F306&lt;&gt;"",IFERROR(_xlfn.XLOOKUP($F306,Taxa_från_edp!$B:$B,Taxa_från_edp!C:C),""),"")</f>
        <v/>
      </c>
      <c r="I306" s="127" t="str">
        <f>IF($F306&lt;&gt;"",IFERROR(_xlfn.XLOOKUP($F306,Taxa_från_edp!$B:$B,Taxa_från_edp!G:G),""),"")</f>
        <v/>
      </c>
      <c r="J306" s="127" t="str">
        <f>IF($F306&lt;&gt;"",IFERROR(_xlfn.XLOOKUP($F306,Taxa_från_edp!$B:$B,Taxa_från_edp!K:K),""),"")</f>
        <v/>
      </c>
      <c r="K306" s="145"/>
      <c r="L306" s="146"/>
      <c r="M306" s="147" t="str">
        <f t="shared" si="84"/>
        <v/>
      </c>
      <c r="N306" s="148" t="str">
        <f t="shared" si="85"/>
        <v/>
      </c>
    </row>
    <row r="307" spans="1:14" ht="30" customHeight="1" x14ac:dyDescent="0.25">
      <c r="A307" s="100" t="s">
        <v>264</v>
      </c>
      <c r="B307" s="68" t="s">
        <v>253</v>
      </c>
      <c r="C307" s="68" t="s">
        <v>1680</v>
      </c>
      <c r="D307" s="68" t="s">
        <v>1728</v>
      </c>
      <c r="E307" s="68" t="s">
        <v>262</v>
      </c>
      <c r="F307" s="106"/>
      <c r="G307" s="116" t="str">
        <f>IF($F307&lt;&gt;"",$F307,IFERROR(_xlfn.XLOOKUP(ROW(),Taxa_Saknas!$H:$H,Taxa_Saknas!$G:$G),""))</f>
        <v/>
      </c>
      <c r="H307" s="126" t="str">
        <f>IF($F307&lt;&gt;"",IFERROR(_xlfn.XLOOKUP($F307,Taxa_från_edp!$B:$B,Taxa_från_edp!C:C),""),"")</f>
        <v/>
      </c>
      <c r="I307" s="127" t="str">
        <f>IF($F307&lt;&gt;"",IFERROR(_xlfn.XLOOKUP($F307,Taxa_från_edp!$B:$B,Taxa_från_edp!G:G),""),"")</f>
        <v/>
      </c>
      <c r="J307" s="127" t="str">
        <f>IF($F307&lt;&gt;"",IFERROR(_xlfn.XLOOKUP($F307,Taxa_från_edp!$B:$B,Taxa_från_edp!K:K),""),"")</f>
        <v/>
      </c>
      <c r="K307" s="145"/>
      <c r="L307" s="146"/>
      <c r="M307" s="147" t="str">
        <f t="shared" si="84"/>
        <v/>
      </c>
      <c r="N307" s="148" t="str">
        <f t="shared" si="85"/>
        <v/>
      </c>
    </row>
    <row r="308" spans="1:14" ht="30" customHeight="1" x14ac:dyDescent="0.25">
      <c r="A308" s="100" t="s">
        <v>264</v>
      </c>
      <c r="B308" s="68" t="s">
        <v>253</v>
      </c>
      <c r="C308" s="68" t="s">
        <v>1681</v>
      </c>
      <c r="D308" s="68" t="s">
        <v>1729</v>
      </c>
      <c r="E308" s="68" t="s">
        <v>262</v>
      </c>
      <c r="F308" s="106"/>
      <c r="G308" s="116" t="str">
        <f>IF($F308&lt;&gt;"",$F308,IFERROR(_xlfn.XLOOKUP(ROW(),Taxa_Saknas!$H:$H,Taxa_Saknas!$G:$G),""))</f>
        <v/>
      </c>
      <c r="H308" s="126" t="str">
        <f>IF($F308&lt;&gt;"",IFERROR(_xlfn.XLOOKUP($F308,Taxa_från_edp!$B:$B,Taxa_från_edp!C:C),""),"")</f>
        <v/>
      </c>
      <c r="I308" s="127" t="str">
        <f>IF($F308&lt;&gt;"",IFERROR(_xlfn.XLOOKUP($F308,Taxa_från_edp!$B:$B,Taxa_från_edp!G:G),""),"")</f>
        <v/>
      </c>
      <c r="J308" s="127" t="str">
        <f>IF($F308&lt;&gt;"",IFERROR(_xlfn.XLOOKUP($F308,Taxa_från_edp!$B:$B,Taxa_från_edp!K:K),""),"")</f>
        <v/>
      </c>
      <c r="K308" s="145"/>
      <c r="L308" s="146"/>
      <c r="M308" s="147" t="str">
        <f t="shared" si="84"/>
        <v/>
      </c>
      <c r="N308" s="148" t="str">
        <f t="shared" si="85"/>
        <v/>
      </c>
    </row>
    <row r="309" spans="1:14" ht="30" customHeight="1" x14ac:dyDescent="0.25">
      <c r="A309" s="100" t="s">
        <v>264</v>
      </c>
      <c r="B309" s="68" t="s">
        <v>253</v>
      </c>
      <c r="C309" s="68" t="s">
        <v>1682</v>
      </c>
      <c r="D309" s="68" t="s">
        <v>1730</v>
      </c>
      <c r="E309" s="68" t="s">
        <v>262</v>
      </c>
      <c r="F309" s="106"/>
      <c r="G309" s="116" t="str">
        <f>IF($F309&lt;&gt;"",$F309,IFERROR(_xlfn.XLOOKUP(ROW(),Taxa_Saknas!$H:$H,Taxa_Saknas!$G:$G),""))</f>
        <v/>
      </c>
      <c r="H309" s="126" t="str">
        <f>IF($F309&lt;&gt;"",IFERROR(_xlfn.XLOOKUP($F309,Taxa_från_edp!$B:$B,Taxa_från_edp!C:C),""),"")</f>
        <v/>
      </c>
      <c r="I309" s="127" t="str">
        <f>IF($F309&lt;&gt;"",IFERROR(_xlfn.XLOOKUP($F309,Taxa_från_edp!$B:$B,Taxa_från_edp!G:G),""),"")</f>
        <v/>
      </c>
      <c r="J309" s="127" t="str">
        <f>IF($F309&lt;&gt;"",IFERROR(_xlfn.XLOOKUP($F309,Taxa_från_edp!$B:$B,Taxa_från_edp!K:K),""),"")</f>
        <v/>
      </c>
      <c r="K309" s="145"/>
      <c r="L309" s="146"/>
      <c r="M309" s="147" t="str">
        <f t="shared" si="84"/>
        <v/>
      </c>
      <c r="N309" s="148" t="str">
        <f t="shared" si="85"/>
        <v/>
      </c>
    </row>
    <row r="310" spans="1:14" ht="30" customHeight="1" x14ac:dyDescent="0.25">
      <c r="A310" s="100" t="s">
        <v>264</v>
      </c>
      <c r="B310" s="68" t="s">
        <v>253</v>
      </c>
      <c r="C310" s="68" t="s">
        <v>1683</v>
      </c>
      <c r="D310" s="68" t="s">
        <v>1731</v>
      </c>
      <c r="E310" s="68" t="s">
        <v>262</v>
      </c>
      <c r="F310" s="106"/>
      <c r="G310" s="116" t="str">
        <f>IF($F310&lt;&gt;"",$F310,IFERROR(_xlfn.XLOOKUP(ROW(),Taxa_Saknas!$H:$H,Taxa_Saknas!$G:$G),""))</f>
        <v/>
      </c>
      <c r="H310" s="126" t="str">
        <f>IF($F310&lt;&gt;"",IFERROR(_xlfn.XLOOKUP($F310,Taxa_från_edp!$B:$B,Taxa_från_edp!C:C),""),"")</f>
        <v/>
      </c>
      <c r="I310" s="127" t="str">
        <f>IF($F310&lt;&gt;"",IFERROR(_xlfn.XLOOKUP($F310,Taxa_från_edp!$B:$B,Taxa_från_edp!G:G),""),"")</f>
        <v/>
      </c>
      <c r="J310" s="127" t="str">
        <f>IF($F310&lt;&gt;"",IFERROR(_xlfn.XLOOKUP($F310,Taxa_från_edp!$B:$B,Taxa_från_edp!K:K),""),"")</f>
        <v/>
      </c>
      <c r="K310" s="145"/>
      <c r="L310" s="146"/>
      <c r="M310" s="147" t="str">
        <f t="shared" si="84"/>
        <v/>
      </c>
      <c r="N310" s="148" t="str">
        <f t="shared" si="85"/>
        <v/>
      </c>
    </row>
    <row r="311" spans="1:14" ht="30" customHeight="1" x14ac:dyDescent="0.25">
      <c r="A311" s="100" t="s">
        <v>264</v>
      </c>
      <c r="B311" s="68" t="s">
        <v>253</v>
      </c>
      <c r="C311" s="68" t="s">
        <v>1684</v>
      </c>
      <c r="D311" s="68" t="s">
        <v>1732</v>
      </c>
      <c r="E311" s="68" t="s">
        <v>262</v>
      </c>
      <c r="F311" s="106"/>
      <c r="G311" s="116" t="str">
        <f>IF($F311&lt;&gt;"",$F311,IFERROR(_xlfn.XLOOKUP(ROW(),Taxa_Saknas!$H:$H,Taxa_Saknas!$G:$G),""))</f>
        <v/>
      </c>
      <c r="H311" s="126" t="str">
        <f>IF($F311&lt;&gt;"",IFERROR(_xlfn.XLOOKUP($F311,Taxa_från_edp!$B:$B,Taxa_från_edp!C:C),""),"")</f>
        <v/>
      </c>
      <c r="I311" s="127" t="str">
        <f>IF($F311&lt;&gt;"",IFERROR(_xlfn.XLOOKUP($F311,Taxa_från_edp!$B:$B,Taxa_från_edp!G:G),""),"")</f>
        <v/>
      </c>
      <c r="J311" s="127" t="str">
        <f>IF($F311&lt;&gt;"",IFERROR(_xlfn.XLOOKUP($F311,Taxa_från_edp!$B:$B,Taxa_från_edp!K:K),""),"")</f>
        <v/>
      </c>
      <c r="K311" s="145"/>
      <c r="L311" s="146"/>
      <c r="M311" s="147" t="str">
        <f t="shared" si="84"/>
        <v/>
      </c>
      <c r="N311" s="148" t="str">
        <f t="shared" si="85"/>
        <v/>
      </c>
    </row>
    <row r="312" spans="1:14" ht="30" customHeight="1" x14ac:dyDescent="0.25">
      <c r="A312" s="100" t="s">
        <v>264</v>
      </c>
      <c r="B312" s="68" t="s">
        <v>253</v>
      </c>
      <c r="C312" s="68" t="s">
        <v>1685</v>
      </c>
      <c r="D312" s="68" t="s">
        <v>1732</v>
      </c>
      <c r="E312" s="68" t="s">
        <v>262</v>
      </c>
      <c r="F312" s="106"/>
      <c r="G312" s="116" t="str">
        <f>IF($F312&lt;&gt;"",$F312,IFERROR(_xlfn.XLOOKUP(ROW(),Taxa_Saknas!$H:$H,Taxa_Saknas!$G:$G),""))</f>
        <v/>
      </c>
      <c r="H312" s="126" t="str">
        <f>IF($F312&lt;&gt;"",IFERROR(_xlfn.XLOOKUP($F312,Taxa_från_edp!$B:$B,Taxa_från_edp!C:C),""),"")</f>
        <v/>
      </c>
      <c r="I312" s="127" t="str">
        <f>IF($F312&lt;&gt;"",IFERROR(_xlfn.XLOOKUP($F312,Taxa_från_edp!$B:$B,Taxa_från_edp!G:G),""),"")</f>
        <v/>
      </c>
      <c r="J312" s="127" t="str">
        <f>IF($F312&lt;&gt;"",IFERROR(_xlfn.XLOOKUP($F312,Taxa_från_edp!$B:$B,Taxa_från_edp!K:K),""),"")</f>
        <v/>
      </c>
      <c r="K312" s="145"/>
      <c r="L312" s="146"/>
      <c r="M312" s="147" t="str">
        <f t="shared" si="84"/>
        <v/>
      </c>
      <c r="N312" s="148" t="str">
        <f t="shared" si="85"/>
        <v/>
      </c>
    </row>
    <row r="313" spans="1:14" ht="30" customHeight="1" x14ac:dyDescent="0.25">
      <c r="A313" s="100" t="s">
        <v>264</v>
      </c>
      <c r="B313" s="68" t="s">
        <v>253</v>
      </c>
      <c r="C313" s="68" t="s">
        <v>1686</v>
      </c>
      <c r="D313" s="68" t="s">
        <v>1733</v>
      </c>
      <c r="E313" s="68" t="s">
        <v>262</v>
      </c>
      <c r="F313" s="106"/>
      <c r="G313" s="116" t="str">
        <f>IF($F313&lt;&gt;"",$F313,IFERROR(_xlfn.XLOOKUP(ROW(),Taxa_Saknas!$H:$H,Taxa_Saknas!$G:$G),""))</f>
        <v/>
      </c>
      <c r="H313" s="126" t="str">
        <f>IF($F313&lt;&gt;"",IFERROR(_xlfn.XLOOKUP($F313,Taxa_från_edp!$B:$B,Taxa_från_edp!C:C),""),"")</f>
        <v/>
      </c>
      <c r="I313" s="127" t="str">
        <f>IF($F313&lt;&gt;"",IFERROR(_xlfn.XLOOKUP($F313,Taxa_från_edp!$B:$B,Taxa_från_edp!G:G),""),"")</f>
        <v/>
      </c>
      <c r="J313" s="127" t="str">
        <f>IF($F313&lt;&gt;"",IFERROR(_xlfn.XLOOKUP($F313,Taxa_från_edp!$B:$B,Taxa_från_edp!K:K),""),"")</f>
        <v/>
      </c>
      <c r="K313" s="145"/>
      <c r="L313" s="146"/>
      <c r="M313" s="147" t="str">
        <f t="shared" si="84"/>
        <v/>
      </c>
      <c r="N313" s="148" t="str">
        <f t="shared" si="85"/>
        <v/>
      </c>
    </row>
    <row r="314" spans="1:14" ht="30" customHeight="1" x14ac:dyDescent="0.25">
      <c r="A314" s="100" t="s">
        <v>264</v>
      </c>
      <c r="B314" s="68" t="s">
        <v>253</v>
      </c>
      <c r="C314" s="68" t="s">
        <v>1687</v>
      </c>
      <c r="D314" s="68" t="s">
        <v>1733</v>
      </c>
      <c r="E314" s="68" t="s">
        <v>262</v>
      </c>
      <c r="F314" s="106"/>
      <c r="G314" s="116" t="str">
        <f>IF($F314&lt;&gt;"",$F314,IFERROR(_xlfn.XLOOKUP(ROW(),Taxa_Saknas!$H:$H,Taxa_Saknas!$G:$G),""))</f>
        <v/>
      </c>
      <c r="H314" s="126" t="str">
        <f>IF($F314&lt;&gt;"",IFERROR(_xlfn.XLOOKUP($F314,Taxa_från_edp!$B:$B,Taxa_från_edp!C:C),""),"")</f>
        <v/>
      </c>
      <c r="I314" s="127" t="str">
        <f>IF($F314&lt;&gt;"",IFERROR(_xlfn.XLOOKUP($F314,Taxa_från_edp!$B:$B,Taxa_från_edp!G:G),""),"")</f>
        <v/>
      </c>
      <c r="J314" s="127" t="str">
        <f>IF($F314&lt;&gt;"",IFERROR(_xlfn.XLOOKUP($F314,Taxa_från_edp!$B:$B,Taxa_från_edp!K:K),""),"")</f>
        <v/>
      </c>
      <c r="K314" s="145"/>
      <c r="L314" s="146"/>
      <c r="M314" s="147" t="str">
        <f t="shared" si="84"/>
        <v/>
      </c>
      <c r="N314" s="148" t="str">
        <f t="shared" si="85"/>
        <v/>
      </c>
    </row>
    <row r="315" spans="1:14" ht="30" customHeight="1" x14ac:dyDescent="0.25">
      <c r="A315" s="100" t="s">
        <v>264</v>
      </c>
      <c r="B315" s="68" t="s">
        <v>253</v>
      </c>
      <c r="C315" s="68" t="s">
        <v>1688</v>
      </c>
      <c r="D315" s="68" t="s">
        <v>1733</v>
      </c>
      <c r="E315" s="68" t="s">
        <v>262</v>
      </c>
      <c r="F315" s="106"/>
      <c r="G315" s="116" t="str">
        <f>IF($F315&lt;&gt;"",$F315,IFERROR(_xlfn.XLOOKUP(ROW(),Taxa_Saknas!$H:$H,Taxa_Saknas!$G:$G),""))</f>
        <v/>
      </c>
      <c r="H315" s="126" t="str">
        <f>IF($F315&lt;&gt;"",IFERROR(_xlfn.XLOOKUP($F315,Taxa_från_edp!$B:$B,Taxa_från_edp!C:C),""),"")</f>
        <v/>
      </c>
      <c r="I315" s="127" t="str">
        <f>IF($F315&lt;&gt;"",IFERROR(_xlfn.XLOOKUP($F315,Taxa_från_edp!$B:$B,Taxa_från_edp!G:G),""),"")</f>
        <v/>
      </c>
      <c r="J315" s="127" t="str">
        <f>IF($F315&lt;&gt;"",IFERROR(_xlfn.XLOOKUP($F315,Taxa_från_edp!$B:$B,Taxa_från_edp!K:K),""),"")</f>
        <v/>
      </c>
      <c r="K315" s="145"/>
      <c r="L315" s="146"/>
      <c r="M315" s="147" t="str">
        <f t="shared" si="84"/>
        <v/>
      </c>
      <c r="N315" s="148" t="str">
        <f t="shared" si="85"/>
        <v/>
      </c>
    </row>
    <row r="316" spans="1:14" ht="30" customHeight="1" x14ac:dyDescent="0.25">
      <c r="A316" s="100" t="s">
        <v>264</v>
      </c>
      <c r="B316" s="68" t="s">
        <v>253</v>
      </c>
      <c r="C316" s="68" t="s">
        <v>1689</v>
      </c>
      <c r="D316" s="68" t="s">
        <v>1733</v>
      </c>
      <c r="E316" s="68" t="s">
        <v>262</v>
      </c>
      <c r="F316" s="106"/>
      <c r="G316" s="116" t="str">
        <f>IF($F316&lt;&gt;"",$F316,IFERROR(_xlfn.XLOOKUP(ROW(),Taxa_Saknas!$H:$H,Taxa_Saknas!$G:$G),""))</f>
        <v/>
      </c>
      <c r="H316" s="126" t="str">
        <f>IF($F316&lt;&gt;"",IFERROR(_xlfn.XLOOKUP($F316,Taxa_från_edp!$B:$B,Taxa_från_edp!C:C),""),"")</f>
        <v/>
      </c>
      <c r="I316" s="127" t="str">
        <f>IF($F316&lt;&gt;"",IFERROR(_xlfn.XLOOKUP($F316,Taxa_från_edp!$B:$B,Taxa_från_edp!G:G),""),"")</f>
        <v/>
      </c>
      <c r="J316" s="127" t="str">
        <f>IF($F316&lt;&gt;"",IFERROR(_xlfn.XLOOKUP($F316,Taxa_från_edp!$B:$B,Taxa_från_edp!K:K),""),"")</f>
        <v/>
      </c>
      <c r="K316" s="145"/>
      <c r="L316" s="146"/>
      <c r="M316" s="147" t="str">
        <f t="shared" si="84"/>
        <v/>
      </c>
      <c r="N316" s="148" t="str">
        <f t="shared" si="85"/>
        <v/>
      </c>
    </row>
    <row r="317" spans="1:14" ht="30" customHeight="1" x14ac:dyDescent="0.25">
      <c r="A317" s="100" t="s">
        <v>264</v>
      </c>
      <c r="B317" s="68" t="s">
        <v>253</v>
      </c>
      <c r="C317" s="68" t="s">
        <v>1690</v>
      </c>
      <c r="D317" s="68" t="s">
        <v>1733</v>
      </c>
      <c r="E317" s="68" t="s">
        <v>262</v>
      </c>
      <c r="F317" s="106"/>
      <c r="G317" s="116" t="str">
        <f>IF($F317&lt;&gt;"",$F317,IFERROR(_xlfn.XLOOKUP(ROW(),Taxa_Saknas!$H:$H,Taxa_Saknas!$G:$G),""))</f>
        <v/>
      </c>
      <c r="H317" s="126" t="str">
        <f>IF($F317&lt;&gt;"",IFERROR(_xlfn.XLOOKUP($F317,Taxa_från_edp!$B:$B,Taxa_från_edp!C:C),""),"")</f>
        <v/>
      </c>
      <c r="I317" s="127" t="str">
        <f>IF($F317&lt;&gt;"",IFERROR(_xlfn.XLOOKUP($F317,Taxa_från_edp!$B:$B,Taxa_från_edp!G:G),""),"")</f>
        <v/>
      </c>
      <c r="J317" s="127" t="str">
        <f>IF($F317&lt;&gt;"",IFERROR(_xlfn.XLOOKUP($F317,Taxa_från_edp!$B:$B,Taxa_från_edp!K:K),""),"")</f>
        <v/>
      </c>
      <c r="K317" s="145"/>
      <c r="L317" s="146"/>
      <c r="M317" s="147" t="str">
        <f t="shared" si="84"/>
        <v/>
      </c>
      <c r="N317" s="148" t="str">
        <f t="shared" si="85"/>
        <v/>
      </c>
    </row>
    <row r="318" spans="1:14" ht="30" customHeight="1" x14ac:dyDescent="0.25">
      <c r="A318" s="100" t="s">
        <v>264</v>
      </c>
      <c r="B318" s="68" t="s">
        <v>253</v>
      </c>
      <c r="C318" s="68" t="s">
        <v>1691</v>
      </c>
      <c r="D318" s="68" t="s">
        <v>1733</v>
      </c>
      <c r="E318" s="68" t="s">
        <v>262</v>
      </c>
      <c r="F318" s="106"/>
      <c r="G318" s="116" t="str">
        <f>IF($F318&lt;&gt;"",$F318,IFERROR(_xlfn.XLOOKUP(ROW(),Taxa_Saknas!$H:$H,Taxa_Saknas!$G:$G),""))</f>
        <v/>
      </c>
      <c r="H318" s="126" t="str">
        <f>IF($F318&lt;&gt;"",IFERROR(_xlfn.XLOOKUP($F318,Taxa_från_edp!$B:$B,Taxa_från_edp!C:C),""),"")</f>
        <v/>
      </c>
      <c r="I318" s="127" t="str">
        <f>IF($F318&lt;&gt;"",IFERROR(_xlfn.XLOOKUP($F318,Taxa_från_edp!$B:$B,Taxa_från_edp!G:G),""),"")</f>
        <v/>
      </c>
      <c r="J318" s="127" t="str">
        <f>IF($F318&lt;&gt;"",IFERROR(_xlfn.XLOOKUP($F318,Taxa_från_edp!$B:$B,Taxa_från_edp!K:K),""),"")</f>
        <v/>
      </c>
      <c r="K318" s="145"/>
      <c r="L318" s="146"/>
      <c r="M318" s="147" t="str">
        <f t="shared" si="84"/>
        <v/>
      </c>
      <c r="N318" s="148" t="str">
        <f t="shared" si="85"/>
        <v/>
      </c>
    </row>
    <row r="319" spans="1:14" ht="30" customHeight="1" x14ac:dyDescent="0.25">
      <c r="A319" s="100" t="s">
        <v>264</v>
      </c>
      <c r="B319" s="68" t="s">
        <v>253</v>
      </c>
      <c r="C319" s="68" t="s">
        <v>1692</v>
      </c>
      <c r="D319" s="68" t="s">
        <v>1733</v>
      </c>
      <c r="E319" s="68" t="s">
        <v>262</v>
      </c>
      <c r="F319" s="106"/>
      <c r="G319" s="116" t="str">
        <f>IF($F319&lt;&gt;"",$F319,IFERROR(_xlfn.XLOOKUP(ROW(),Taxa_Saknas!$H:$H,Taxa_Saknas!$G:$G),""))</f>
        <v/>
      </c>
      <c r="H319" s="126" t="str">
        <f>IF($F319&lt;&gt;"",IFERROR(_xlfn.XLOOKUP($F319,Taxa_från_edp!$B:$B,Taxa_från_edp!C:C),""),"")</f>
        <v/>
      </c>
      <c r="I319" s="127" t="str">
        <f>IF($F319&lt;&gt;"",IFERROR(_xlfn.XLOOKUP($F319,Taxa_från_edp!$B:$B,Taxa_från_edp!G:G),""),"")</f>
        <v/>
      </c>
      <c r="J319" s="127" t="str">
        <f>IF($F319&lt;&gt;"",IFERROR(_xlfn.XLOOKUP($F319,Taxa_från_edp!$B:$B,Taxa_från_edp!K:K),""),"")</f>
        <v/>
      </c>
      <c r="K319" s="145"/>
      <c r="L319" s="146"/>
      <c r="M319" s="147" t="str">
        <f t="shared" si="84"/>
        <v/>
      </c>
      <c r="N319" s="148" t="str">
        <f t="shared" si="85"/>
        <v/>
      </c>
    </row>
    <row r="320" spans="1:14" ht="30" customHeight="1" x14ac:dyDescent="0.25">
      <c r="A320" s="100" t="s">
        <v>264</v>
      </c>
      <c r="B320" s="68" t="s">
        <v>253</v>
      </c>
      <c r="C320" s="68" t="s">
        <v>1693</v>
      </c>
      <c r="D320" s="68" t="s">
        <v>1734</v>
      </c>
      <c r="E320" s="68" t="s">
        <v>262</v>
      </c>
      <c r="F320" s="106"/>
      <c r="G320" s="116" t="str">
        <f>IF($F320&lt;&gt;"",$F320,IFERROR(_xlfn.XLOOKUP(ROW(),Taxa_Saknas!$H:$H,Taxa_Saknas!$G:$G),""))</f>
        <v/>
      </c>
      <c r="H320" s="126" t="str">
        <f>IF($F320&lt;&gt;"",IFERROR(_xlfn.XLOOKUP($F320,Taxa_från_edp!$B:$B,Taxa_från_edp!C:C),""),"")</f>
        <v/>
      </c>
      <c r="I320" s="127" t="str">
        <f>IF($F320&lt;&gt;"",IFERROR(_xlfn.XLOOKUP($F320,Taxa_från_edp!$B:$B,Taxa_från_edp!G:G),""),"")</f>
        <v/>
      </c>
      <c r="J320" s="127" t="str">
        <f>IF($F320&lt;&gt;"",IFERROR(_xlfn.XLOOKUP($F320,Taxa_från_edp!$B:$B,Taxa_från_edp!K:K),""),"")</f>
        <v/>
      </c>
      <c r="K320" s="145"/>
      <c r="L320" s="146"/>
      <c r="M320" s="147" t="str">
        <f t="shared" si="84"/>
        <v/>
      </c>
      <c r="N320" s="148" t="str">
        <f t="shared" si="85"/>
        <v/>
      </c>
    </row>
    <row r="321" spans="1:14" ht="30" customHeight="1" x14ac:dyDescent="0.25">
      <c r="A321" s="100" t="s">
        <v>264</v>
      </c>
      <c r="B321" s="68" t="s">
        <v>253</v>
      </c>
      <c r="C321" s="68" t="s">
        <v>1694</v>
      </c>
      <c r="D321" s="68" t="s">
        <v>1734</v>
      </c>
      <c r="E321" s="68" t="s">
        <v>262</v>
      </c>
      <c r="F321" s="106"/>
      <c r="G321" s="116" t="str">
        <f>IF($F321&lt;&gt;"",$F321,IFERROR(_xlfn.XLOOKUP(ROW(),Taxa_Saknas!$H:$H,Taxa_Saknas!$G:$G),""))</f>
        <v/>
      </c>
      <c r="H321" s="126" t="str">
        <f>IF($F321&lt;&gt;"",IFERROR(_xlfn.XLOOKUP($F321,Taxa_från_edp!$B:$B,Taxa_från_edp!C:C),""),"")</f>
        <v/>
      </c>
      <c r="I321" s="127" t="str">
        <f>IF($F321&lt;&gt;"",IFERROR(_xlfn.XLOOKUP($F321,Taxa_från_edp!$B:$B,Taxa_från_edp!G:G),""),"")</f>
        <v/>
      </c>
      <c r="J321" s="127" t="str">
        <f>IF($F321&lt;&gt;"",IFERROR(_xlfn.XLOOKUP($F321,Taxa_från_edp!$B:$B,Taxa_från_edp!K:K),""),"")</f>
        <v/>
      </c>
      <c r="K321" s="145"/>
      <c r="L321" s="146"/>
      <c r="M321" s="147" t="str">
        <f t="shared" si="84"/>
        <v/>
      </c>
      <c r="N321" s="148" t="str">
        <f t="shared" si="85"/>
        <v/>
      </c>
    </row>
    <row r="322" spans="1:14" ht="30" customHeight="1" x14ac:dyDescent="0.25">
      <c r="A322" s="100" t="s">
        <v>264</v>
      </c>
      <c r="B322" s="68" t="s">
        <v>253</v>
      </c>
      <c r="C322" s="68" t="s">
        <v>1695</v>
      </c>
      <c r="D322" s="68" t="s">
        <v>1734</v>
      </c>
      <c r="E322" s="68" t="s">
        <v>262</v>
      </c>
      <c r="F322" s="106"/>
      <c r="G322" s="116" t="str">
        <f>IF($F322&lt;&gt;"",$F322,IFERROR(_xlfn.XLOOKUP(ROW(),Taxa_Saknas!$H:$H,Taxa_Saknas!$G:$G),""))</f>
        <v/>
      </c>
      <c r="H322" s="126" t="str">
        <f>IF($F322&lt;&gt;"",IFERROR(_xlfn.XLOOKUP($F322,Taxa_från_edp!$B:$B,Taxa_från_edp!C:C),""),"")</f>
        <v/>
      </c>
      <c r="I322" s="127" t="str">
        <f>IF($F322&lt;&gt;"",IFERROR(_xlfn.XLOOKUP($F322,Taxa_från_edp!$B:$B,Taxa_från_edp!G:G),""),"")</f>
        <v/>
      </c>
      <c r="J322" s="127" t="str">
        <f>IF($F322&lt;&gt;"",IFERROR(_xlfn.XLOOKUP($F322,Taxa_från_edp!$B:$B,Taxa_från_edp!K:K),""),"")</f>
        <v/>
      </c>
      <c r="K322" s="145"/>
      <c r="L322" s="146"/>
      <c r="M322" s="147" t="str">
        <f t="shared" si="84"/>
        <v/>
      </c>
      <c r="N322" s="148" t="str">
        <f t="shared" si="85"/>
        <v/>
      </c>
    </row>
    <row r="323" spans="1:14" ht="30" customHeight="1" x14ac:dyDescent="0.25">
      <c r="A323" s="100" t="s">
        <v>264</v>
      </c>
      <c r="B323" s="68" t="s">
        <v>253</v>
      </c>
      <c r="C323" s="68" t="s">
        <v>1696</v>
      </c>
      <c r="D323" s="68" t="s">
        <v>1735</v>
      </c>
      <c r="E323" s="68" t="s">
        <v>262</v>
      </c>
      <c r="F323" s="106"/>
      <c r="G323" s="116" t="str">
        <f>IF($F323&lt;&gt;"",$F323,IFERROR(_xlfn.XLOOKUP(ROW(),Taxa_Saknas!$H:$H,Taxa_Saknas!$G:$G),""))</f>
        <v/>
      </c>
      <c r="H323" s="126" t="str">
        <f>IF($F323&lt;&gt;"",IFERROR(_xlfn.XLOOKUP($F323,Taxa_från_edp!$B:$B,Taxa_från_edp!C:C),""),"")</f>
        <v/>
      </c>
      <c r="I323" s="127" t="str">
        <f>IF($F323&lt;&gt;"",IFERROR(_xlfn.XLOOKUP($F323,Taxa_från_edp!$B:$B,Taxa_från_edp!G:G),""),"")</f>
        <v/>
      </c>
      <c r="J323" s="127" t="str">
        <f>IF($F323&lt;&gt;"",IFERROR(_xlfn.XLOOKUP($F323,Taxa_från_edp!$B:$B,Taxa_från_edp!K:K),""),"")</f>
        <v/>
      </c>
      <c r="K323" s="145"/>
      <c r="L323" s="146"/>
      <c r="M323" s="147" t="str">
        <f t="shared" si="84"/>
        <v/>
      </c>
      <c r="N323" s="148" t="str">
        <f t="shared" si="85"/>
        <v/>
      </c>
    </row>
    <row r="324" spans="1:14" ht="30" customHeight="1" x14ac:dyDescent="0.25">
      <c r="A324" s="100" t="s">
        <v>264</v>
      </c>
      <c r="B324" s="68" t="s">
        <v>253</v>
      </c>
      <c r="C324" s="68" t="s">
        <v>1697</v>
      </c>
      <c r="D324" s="68" t="s">
        <v>1736</v>
      </c>
      <c r="E324" s="68" t="s">
        <v>262</v>
      </c>
      <c r="F324" s="106"/>
      <c r="G324" s="116" t="str">
        <f>IF($F324&lt;&gt;"",$F324,IFERROR(_xlfn.XLOOKUP(ROW(),Taxa_Saknas!$H:$H,Taxa_Saknas!$G:$G),""))</f>
        <v/>
      </c>
      <c r="H324" s="126" t="str">
        <f>IF($F324&lt;&gt;"",IFERROR(_xlfn.XLOOKUP($F324,Taxa_från_edp!$B:$B,Taxa_från_edp!C:C),""),"")</f>
        <v/>
      </c>
      <c r="I324" s="127" t="str">
        <f>IF($F324&lt;&gt;"",IFERROR(_xlfn.XLOOKUP($F324,Taxa_från_edp!$B:$B,Taxa_från_edp!G:G),""),"")</f>
        <v/>
      </c>
      <c r="J324" s="127" t="str">
        <f>IF($F324&lt;&gt;"",IFERROR(_xlfn.XLOOKUP($F324,Taxa_från_edp!$B:$B,Taxa_från_edp!K:K),""),"")</f>
        <v/>
      </c>
      <c r="K324" s="145"/>
      <c r="L324" s="146"/>
      <c r="M324" s="147" t="str">
        <f t="shared" si="84"/>
        <v/>
      </c>
      <c r="N324" s="148" t="str">
        <f t="shared" si="85"/>
        <v/>
      </c>
    </row>
    <row r="325" spans="1:14" ht="30" customHeight="1" x14ac:dyDescent="0.25">
      <c r="A325" s="100" t="s">
        <v>264</v>
      </c>
      <c r="B325" s="68" t="s">
        <v>253</v>
      </c>
      <c r="C325" s="68" t="s">
        <v>1698</v>
      </c>
      <c r="D325" s="68" t="s">
        <v>1736</v>
      </c>
      <c r="E325" s="68" t="s">
        <v>262</v>
      </c>
      <c r="F325" s="106"/>
      <c r="G325" s="116" t="str">
        <f>IF($F325&lt;&gt;"",$F325,IFERROR(_xlfn.XLOOKUP(ROW(),Taxa_Saknas!$H:$H,Taxa_Saknas!$G:$G),""))</f>
        <v/>
      </c>
      <c r="H325" s="126" t="str">
        <f>IF($F325&lt;&gt;"",IFERROR(_xlfn.XLOOKUP($F325,Taxa_från_edp!$B:$B,Taxa_från_edp!C:C),""),"")</f>
        <v/>
      </c>
      <c r="I325" s="127" t="str">
        <f>IF($F325&lt;&gt;"",IFERROR(_xlfn.XLOOKUP($F325,Taxa_från_edp!$B:$B,Taxa_från_edp!G:G),""),"")</f>
        <v/>
      </c>
      <c r="J325" s="127" t="str">
        <f>IF($F325&lt;&gt;"",IFERROR(_xlfn.XLOOKUP($F325,Taxa_från_edp!$B:$B,Taxa_från_edp!K:K),""),"")</f>
        <v/>
      </c>
      <c r="K325" s="145"/>
      <c r="L325" s="146"/>
      <c r="M325" s="147" t="str">
        <f t="shared" si="84"/>
        <v/>
      </c>
      <c r="N325" s="148" t="str">
        <f t="shared" si="85"/>
        <v/>
      </c>
    </row>
    <row r="326" spans="1:14" ht="30" customHeight="1" x14ac:dyDescent="0.25">
      <c r="A326" s="100" t="s">
        <v>264</v>
      </c>
      <c r="B326" s="68" t="s">
        <v>253</v>
      </c>
      <c r="C326" s="68" t="s">
        <v>1699</v>
      </c>
      <c r="D326" s="68" t="s">
        <v>1736</v>
      </c>
      <c r="E326" s="68" t="s">
        <v>262</v>
      </c>
      <c r="F326" s="106"/>
      <c r="G326" s="116" t="str">
        <f>IF($F326&lt;&gt;"",$F326,IFERROR(_xlfn.XLOOKUP(ROW(),Taxa_Saknas!$H:$H,Taxa_Saknas!$G:$G),""))</f>
        <v/>
      </c>
      <c r="H326" s="126" t="str">
        <f>IF($F326&lt;&gt;"",IFERROR(_xlfn.XLOOKUP($F326,Taxa_från_edp!$B:$B,Taxa_från_edp!C:C),""),"")</f>
        <v/>
      </c>
      <c r="I326" s="127" t="str">
        <f>IF($F326&lt;&gt;"",IFERROR(_xlfn.XLOOKUP($F326,Taxa_från_edp!$B:$B,Taxa_från_edp!G:G),""),"")</f>
        <v/>
      </c>
      <c r="J326" s="127" t="str">
        <f>IF($F326&lt;&gt;"",IFERROR(_xlfn.XLOOKUP($F326,Taxa_från_edp!$B:$B,Taxa_från_edp!K:K),""),"")</f>
        <v/>
      </c>
      <c r="K326" s="145"/>
      <c r="L326" s="146"/>
      <c r="M326" s="147" t="str">
        <f t="shared" si="84"/>
        <v/>
      </c>
      <c r="N326" s="148" t="str">
        <f t="shared" si="85"/>
        <v/>
      </c>
    </row>
    <row r="327" spans="1:14" ht="30" customHeight="1" x14ac:dyDescent="0.25">
      <c r="A327" s="100" t="s">
        <v>264</v>
      </c>
      <c r="B327" s="68" t="s">
        <v>253</v>
      </c>
      <c r="C327" s="68" t="s">
        <v>1700</v>
      </c>
      <c r="D327" s="68" t="s">
        <v>1737</v>
      </c>
      <c r="E327" s="68" t="s">
        <v>262</v>
      </c>
      <c r="F327" s="106"/>
      <c r="G327" s="116" t="str">
        <f>IF($F327&lt;&gt;"",$F327,IFERROR(_xlfn.XLOOKUP(ROW(),Taxa_Saknas!$H:$H,Taxa_Saknas!$G:$G),""))</f>
        <v/>
      </c>
      <c r="H327" s="126" t="str">
        <f>IF($F327&lt;&gt;"",IFERROR(_xlfn.XLOOKUP($F327,Taxa_från_edp!$B:$B,Taxa_från_edp!C:C),""),"")</f>
        <v/>
      </c>
      <c r="I327" s="127" t="str">
        <f>IF($F327&lt;&gt;"",IFERROR(_xlfn.XLOOKUP($F327,Taxa_från_edp!$B:$B,Taxa_från_edp!G:G),""),"")</f>
        <v/>
      </c>
      <c r="J327" s="127" t="str">
        <f>IF($F327&lt;&gt;"",IFERROR(_xlfn.XLOOKUP($F327,Taxa_från_edp!$B:$B,Taxa_från_edp!K:K),""),"")</f>
        <v/>
      </c>
      <c r="K327" s="145"/>
      <c r="L327" s="146"/>
      <c r="M327" s="147" t="str">
        <f t="shared" ref="M327:M368" si="90">IFERROR(IF(J327&lt;&gt;"",J327*1.25,IF(K327&lt;&gt;"",K327*1.25,"")),"")</f>
        <v/>
      </c>
      <c r="N327" s="148" t="str">
        <f t="shared" ref="N327:N368" si="91">IFERROR(IF(J327&lt;&gt;"",L327*J327,IF(K327&lt;&gt;"",L327*K327,"")),"")</f>
        <v/>
      </c>
    </row>
    <row r="328" spans="1:14" ht="30" customHeight="1" x14ac:dyDescent="0.25">
      <c r="A328" s="100" t="s">
        <v>264</v>
      </c>
      <c r="B328" s="68" t="s">
        <v>253</v>
      </c>
      <c r="C328" s="68" t="s">
        <v>1701</v>
      </c>
      <c r="D328" s="68" t="s">
        <v>1737</v>
      </c>
      <c r="E328" s="68" t="s">
        <v>262</v>
      </c>
      <c r="F328" s="106"/>
      <c r="G328" s="116" t="str">
        <f>IF($F328&lt;&gt;"",$F328,IFERROR(_xlfn.XLOOKUP(ROW(),Taxa_Saknas!$H:$H,Taxa_Saknas!$G:$G),""))</f>
        <v/>
      </c>
      <c r="H328" s="126" t="str">
        <f>IF($F328&lt;&gt;"",IFERROR(_xlfn.XLOOKUP($F328,Taxa_från_edp!$B:$B,Taxa_från_edp!C:C),""),"")</f>
        <v/>
      </c>
      <c r="I328" s="127" t="str">
        <f>IF($F328&lt;&gt;"",IFERROR(_xlfn.XLOOKUP($F328,Taxa_från_edp!$B:$B,Taxa_från_edp!G:G),""),"")</f>
        <v/>
      </c>
      <c r="J328" s="127" t="str">
        <f>IF($F328&lt;&gt;"",IFERROR(_xlfn.XLOOKUP($F328,Taxa_från_edp!$B:$B,Taxa_från_edp!K:K),""),"")</f>
        <v/>
      </c>
      <c r="K328" s="145"/>
      <c r="L328" s="146"/>
      <c r="M328" s="147" t="str">
        <f t="shared" si="90"/>
        <v/>
      </c>
      <c r="N328" s="148" t="str">
        <f t="shared" si="91"/>
        <v/>
      </c>
    </row>
    <row r="329" spans="1:14" ht="30" customHeight="1" x14ac:dyDescent="0.25">
      <c r="A329" s="100" t="s">
        <v>264</v>
      </c>
      <c r="B329" s="68" t="s">
        <v>253</v>
      </c>
      <c r="C329" s="68" t="s">
        <v>1702</v>
      </c>
      <c r="D329" s="68" t="s">
        <v>1738</v>
      </c>
      <c r="E329" s="100" t="s">
        <v>261</v>
      </c>
      <c r="F329" s="106"/>
      <c r="G329" s="116" t="str">
        <f>IF($F329&lt;&gt;"",$F329,IFERROR(_xlfn.XLOOKUP(ROW(),Taxa_Saknas!$H:$H,Taxa_Saknas!$G:$G),""))</f>
        <v/>
      </c>
      <c r="H329" s="126" t="str">
        <f>IF($F329&lt;&gt;"",IFERROR(_xlfn.XLOOKUP($F329,Taxa_från_edp!$B:$B,Taxa_från_edp!C:C),""),"")</f>
        <v/>
      </c>
      <c r="I329" s="127" t="str">
        <f>IF($F329&lt;&gt;"",IFERROR(_xlfn.XLOOKUP($F329,Taxa_från_edp!$B:$B,Taxa_från_edp!G:G),""),"")</f>
        <v/>
      </c>
      <c r="J329" s="127" t="str">
        <f>IF($F329&lt;&gt;"",IFERROR(_xlfn.XLOOKUP($F329,Taxa_från_edp!$B:$B,Taxa_från_edp!K:K),""),"")</f>
        <v/>
      </c>
      <c r="K329" s="145"/>
      <c r="L329" s="146"/>
      <c r="M329" s="147" t="str">
        <f t="shared" si="90"/>
        <v/>
      </c>
      <c r="N329" s="148" t="str">
        <f t="shared" si="91"/>
        <v/>
      </c>
    </row>
    <row r="330" spans="1:14" ht="30" customHeight="1" x14ac:dyDescent="0.25">
      <c r="A330" s="100" t="s">
        <v>264</v>
      </c>
      <c r="B330" s="68" t="s">
        <v>253</v>
      </c>
      <c r="C330" s="68" t="s">
        <v>1703</v>
      </c>
      <c r="D330" s="68" t="s">
        <v>1738</v>
      </c>
      <c r="E330" s="100" t="s">
        <v>261</v>
      </c>
      <c r="F330" s="106"/>
      <c r="G330" s="116" t="str">
        <f>IF($F330&lt;&gt;"",$F330,IFERROR(_xlfn.XLOOKUP(ROW(),Taxa_Saknas!$H:$H,Taxa_Saknas!$G:$G),""))</f>
        <v/>
      </c>
      <c r="H330" s="126" t="str">
        <f>IF($F330&lt;&gt;"",IFERROR(_xlfn.XLOOKUP($F330,Taxa_från_edp!$B:$B,Taxa_från_edp!C:C),""),"")</f>
        <v/>
      </c>
      <c r="I330" s="127" t="str">
        <f>IF($F330&lt;&gt;"",IFERROR(_xlfn.XLOOKUP($F330,Taxa_från_edp!$B:$B,Taxa_från_edp!G:G),""),"")</f>
        <v/>
      </c>
      <c r="J330" s="127" t="str">
        <f>IF($F330&lt;&gt;"",IFERROR(_xlfn.XLOOKUP($F330,Taxa_från_edp!$B:$B,Taxa_från_edp!K:K),""),"")</f>
        <v/>
      </c>
      <c r="K330" s="145"/>
      <c r="L330" s="146"/>
      <c r="M330" s="147" t="str">
        <f t="shared" si="90"/>
        <v/>
      </c>
      <c r="N330" s="148" t="str">
        <f t="shared" si="91"/>
        <v/>
      </c>
    </row>
    <row r="331" spans="1:14" ht="30" customHeight="1" x14ac:dyDescent="0.25">
      <c r="A331" s="100" t="s">
        <v>264</v>
      </c>
      <c r="B331" s="68" t="s">
        <v>253</v>
      </c>
      <c r="C331" s="68" t="s">
        <v>1704</v>
      </c>
      <c r="D331" s="68" t="s">
        <v>1739</v>
      </c>
      <c r="E331" s="68" t="s">
        <v>262</v>
      </c>
      <c r="F331" s="106"/>
      <c r="G331" s="116" t="str">
        <f>IF($F331&lt;&gt;"",$F331,IFERROR(_xlfn.XLOOKUP(ROW(),Taxa_Saknas!$H:$H,Taxa_Saknas!$G:$G),""))</f>
        <v/>
      </c>
      <c r="H331" s="126" t="str">
        <f>IF($F331&lt;&gt;"",IFERROR(_xlfn.XLOOKUP($F331,Taxa_från_edp!$B:$B,Taxa_från_edp!C:C),""),"")</f>
        <v/>
      </c>
      <c r="I331" s="127" t="str">
        <f>IF($F331&lt;&gt;"",IFERROR(_xlfn.XLOOKUP($F331,Taxa_från_edp!$B:$B,Taxa_från_edp!G:G),""),"")</f>
        <v/>
      </c>
      <c r="J331" s="127" t="str">
        <f>IF($F331&lt;&gt;"",IFERROR(_xlfn.XLOOKUP($F331,Taxa_från_edp!$B:$B,Taxa_från_edp!K:K),""),"")</f>
        <v/>
      </c>
      <c r="K331" s="145"/>
      <c r="L331" s="146"/>
      <c r="M331" s="147" t="str">
        <f t="shared" si="90"/>
        <v/>
      </c>
      <c r="N331" s="148" t="str">
        <f t="shared" si="91"/>
        <v/>
      </c>
    </row>
    <row r="332" spans="1:14" ht="30" customHeight="1" x14ac:dyDescent="0.25">
      <c r="A332" s="100" t="s">
        <v>264</v>
      </c>
      <c r="B332" s="68" t="s">
        <v>253</v>
      </c>
      <c r="C332" s="68" t="s">
        <v>1705</v>
      </c>
      <c r="D332" s="68" t="s">
        <v>1739</v>
      </c>
      <c r="E332" s="68" t="s">
        <v>262</v>
      </c>
      <c r="F332" s="106"/>
      <c r="G332" s="116" t="str">
        <f>IF($F332&lt;&gt;"",$F332,IFERROR(_xlfn.XLOOKUP(ROW(),Taxa_Saknas!$H:$H,Taxa_Saknas!$G:$G),""))</f>
        <v/>
      </c>
      <c r="H332" s="126" t="str">
        <f>IF($F332&lt;&gt;"",IFERROR(_xlfn.XLOOKUP($F332,Taxa_från_edp!$B:$B,Taxa_från_edp!C:C),""),"")</f>
        <v/>
      </c>
      <c r="I332" s="127" t="str">
        <f>IF($F332&lt;&gt;"",IFERROR(_xlfn.XLOOKUP($F332,Taxa_från_edp!$B:$B,Taxa_från_edp!G:G),""),"")</f>
        <v/>
      </c>
      <c r="J332" s="127" t="str">
        <f>IF($F332&lt;&gt;"",IFERROR(_xlfn.XLOOKUP($F332,Taxa_från_edp!$B:$B,Taxa_från_edp!K:K),""),"")</f>
        <v/>
      </c>
      <c r="K332" s="145"/>
      <c r="L332" s="146"/>
      <c r="M332" s="147" t="str">
        <f t="shared" si="90"/>
        <v/>
      </c>
      <c r="N332" s="148" t="str">
        <f t="shared" si="91"/>
        <v/>
      </c>
    </row>
    <row r="333" spans="1:14" ht="30" customHeight="1" x14ac:dyDescent="0.25">
      <c r="A333" s="100" t="s">
        <v>264</v>
      </c>
      <c r="B333" s="68" t="s">
        <v>253</v>
      </c>
      <c r="C333" s="68" t="s">
        <v>1706</v>
      </c>
      <c r="D333" s="68" t="s">
        <v>1739</v>
      </c>
      <c r="E333" s="68" t="s">
        <v>262</v>
      </c>
      <c r="F333" s="106"/>
      <c r="G333" s="116" t="str">
        <f>IF($F333&lt;&gt;"",$F333,IFERROR(_xlfn.XLOOKUP(ROW(),Taxa_Saknas!$H:$H,Taxa_Saknas!$G:$G),""))</f>
        <v/>
      </c>
      <c r="H333" s="126" t="str">
        <f>IF($F333&lt;&gt;"",IFERROR(_xlfn.XLOOKUP($F333,Taxa_från_edp!$B:$B,Taxa_från_edp!C:C),""),"")</f>
        <v/>
      </c>
      <c r="I333" s="127" t="str">
        <f>IF($F333&lt;&gt;"",IFERROR(_xlfn.XLOOKUP($F333,Taxa_från_edp!$B:$B,Taxa_från_edp!G:G),""),"")</f>
        <v/>
      </c>
      <c r="J333" s="127" t="str">
        <f>IF($F333&lt;&gt;"",IFERROR(_xlfn.XLOOKUP($F333,Taxa_från_edp!$B:$B,Taxa_från_edp!K:K),""),"")</f>
        <v/>
      </c>
      <c r="K333" s="145"/>
      <c r="L333" s="146"/>
      <c r="M333" s="147" t="str">
        <f t="shared" si="90"/>
        <v/>
      </c>
      <c r="N333" s="148" t="str">
        <f t="shared" si="91"/>
        <v/>
      </c>
    </row>
    <row r="334" spans="1:14" ht="30" customHeight="1" x14ac:dyDescent="0.25">
      <c r="A334" s="100" t="s">
        <v>264</v>
      </c>
      <c r="B334" s="68" t="s">
        <v>253</v>
      </c>
      <c r="C334" s="68" t="s">
        <v>1707</v>
      </c>
      <c r="D334" s="68" t="s">
        <v>1739</v>
      </c>
      <c r="E334" s="68" t="s">
        <v>262</v>
      </c>
      <c r="F334" s="106"/>
      <c r="G334" s="116" t="str">
        <f>IF($F334&lt;&gt;"",$F334,IFERROR(_xlfn.XLOOKUP(ROW(),Taxa_Saknas!$H:$H,Taxa_Saknas!$G:$G),""))</f>
        <v/>
      </c>
      <c r="H334" s="126" t="str">
        <f>IF($F334&lt;&gt;"",IFERROR(_xlfn.XLOOKUP($F334,Taxa_från_edp!$B:$B,Taxa_från_edp!C:C),""),"")</f>
        <v/>
      </c>
      <c r="I334" s="127" t="str">
        <f>IF($F334&lt;&gt;"",IFERROR(_xlfn.XLOOKUP($F334,Taxa_från_edp!$B:$B,Taxa_från_edp!G:G),""),"")</f>
        <v/>
      </c>
      <c r="J334" s="127" t="str">
        <f>IF($F334&lt;&gt;"",IFERROR(_xlfn.XLOOKUP($F334,Taxa_från_edp!$B:$B,Taxa_från_edp!K:K),""),"")</f>
        <v/>
      </c>
      <c r="K334" s="145"/>
      <c r="L334" s="146"/>
      <c r="M334" s="147" t="str">
        <f t="shared" si="90"/>
        <v/>
      </c>
      <c r="N334" s="148" t="str">
        <f t="shared" si="91"/>
        <v/>
      </c>
    </row>
    <row r="335" spans="1:14" ht="30" customHeight="1" x14ac:dyDescent="0.25">
      <c r="A335" s="100" t="s">
        <v>264</v>
      </c>
      <c r="B335" s="68" t="s">
        <v>253</v>
      </c>
      <c r="C335" s="68" t="s">
        <v>1708</v>
      </c>
      <c r="D335" s="68" t="s">
        <v>1739</v>
      </c>
      <c r="E335" s="68" t="s">
        <v>262</v>
      </c>
      <c r="F335" s="106"/>
      <c r="G335" s="116" t="str">
        <f>IF($F335&lt;&gt;"",$F335,IFERROR(_xlfn.XLOOKUP(ROW(),Taxa_Saknas!$H:$H,Taxa_Saknas!$G:$G),""))</f>
        <v/>
      </c>
      <c r="H335" s="126" t="str">
        <f>IF($F335&lt;&gt;"",IFERROR(_xlfn.XLOOKUP($F335,Taxa_från_edp!$B:$B,Taxa_från_edp!C:C),""),"")</f>
        <v/>
      </c>
      <c r="I335" s="127" t="str">
        <f>IF($F335&lt;&gt;"",IFERROR(_xlfn.XLOOKUP($F335,Taxa_från_edp!$B:$B,Taxa_från_edp!G:G),""),"")</f>
        <v/>
      </c>
      <c r="J335" s="127" t="str">
        <f>IF($F335&lt;&gt;"",IFERROR(_xlfn.XLOOKUP($F335,Taxa_från_edp!$B:$B,Taxa_från_edp!K:K),""),"")</f>
        <v/>
      </c>
      <c r="K335" s="145"/>
      <c r="L335" s="146"/>
      <c r="M335" s="147" t="str">
        <f t="shared" si="90"/>
        <v/>
      </c>
      <c r="N335" s="148" t="str">
        <f t="shared" si="91"/>
        <v/>
      </c>
    </row>
    <row r="336" spans="1:14" ht="30" customHeight="1" x14ac:dyDescent="0.25">
      <c r="A336" s="100" t="s">
        <v>264</v>
      </c>
      <c r="B336" s="68" t="s">
        <v>253</v>
      </c>
      <c r="C336" s="68" t="s">
        <v>1709</v>
      </c>
      <c r="D336" s="68">
        <v>200128</v>
      </c>
      <c r="E336" s="68" t="s">
        <v>262</v>
      </c>
      <c r="F336" s="106"/>
      <c r="G336" s="116" t="str">
        <f>IF($F336&lt;&gt;"",$F336,IFERROR(_xlfn.XLOOKUP(ROW(),Taxa_Saknas!$H:$H,Taxa_Saknas!$G:$G),""))</f>
        <v/>
      </c>
      <c r="H336" s="126" t="str">
        <f>IF($F336&lt;&gt;"",IFERROR(_xlfn.XLOOKUP($F336,Taxa_från_edp!$B:$B,Taxa_från_edp!C:C),""),"")</f>
        <v/>
      </c>
      <c r="I336" s="127" t="str">
        <f>IF($F336&lt;&gt;"",IFERROR(_xlfn.XLOOKUP($F336,Taxa_från_edp!$B:$B,Taxa_från_edp!G:G),""),"")</f>
        <v/>
      </c>
      <c r="J336" s="127" t="str">
        <f>IF($F336&lt;&gt;"",IFERROR(_xlfn.XLOOKUP($F336,Taxa_från_edp!$B:$B,Taxa_från_edp!K:K),""),"")</f>
        <v/>
      </c>
      <c r="K336" s="145"/>
      <c r="L336" s="146"/>
      <c r="M336" s="147" t="str">
        <f t="shared" si="90"/>
        <v/>
      </c>
      <c r="N336" s="148" t="str">
        <f t="shared" si="91"/>
        <v/>
      </c>
    </row>
    <row r="337" spans="1:14" ht="30" customHeight="1" x14ac:dyDescent="0.25">
      <c r="A337" s="100" t="s">
        <v>264</v>
      </c>
      <c r="B337" s="68" t="s">
        <v>253</v>
      </c>
      <c r="C337" s="68" t="s">
        <v>1710</v>
      </c>
      <c r="D337" s="68" t="s">
        <v>1740</v>
      </c>
      <c r="E337" s="68" t="s">
        <v>262</v>
      </c>
      <c r="F337" s="106"/>
      <c r="G337" s="116" t="str">
        <f>IF($F337&lt;&gt;"",$F337,IFERROR(_xlfn.XLOOKUP(ROW(),Taxa_Saknas!$H:$H,Taxa_Saknas!$G:$G),""))</f>
        <v/>
      </c>
      <c r="H337" s="126" t="str">
        <f>IF($F337&lt;&gt;"",IFERROR(_xlfn.XLOOKUP($F337,Taxa_från_edp!$B:$B,Taxa_från_edp!C:C),""),"")</f>
        <v/>
      </c>
      <c r="I337" s="127" t="str">
        <f>IF($F337&lt;&gt;"",IFERROR(_xlfn.XLOOKUP($F337,Taxa_från_edp!$B:$B,Taxa_från_edp!G:G),""),"")</f>
        <v/>
      </c>
      <c r="J337" s="127" t="str">
        <f>IF($F337&lt;&gt;"",IFERROR(_xlfn.XLOOKUP($F337,Taxa_från_edp!$B:$B,Taxa_från_edp!K:K),""),"")</f>
        <v/>
      </c>
      <c r="K337" s="145"/>
      <c r="L337" s="146"/>
      <c r="M337" s="147" t="str">
        <f t="shared" si="90"/>
        <v/>
      </c>
      <c r="N337" s="148" t="str">
        <f t="shared" si="91"/>
        <v/>
      </c>
    </row>
    <row r="338" spans="1:14" ht="30" customHeight="1" x14ac:dyDescent="0.25">
      <c r="A338" s="100" t="s">
        <v>264</v>
      </c>
      <c r="B338" s="68" t="s">
        <v>253</v>
      </c>
      <c r="C338" s="68" t="s">
        <v>1711</v>
      </c>
      <c r="D338" s="68" t="s">
        <v>1740</v>
      </c>
      <c r="E338" s="68" t="s">
        <v>262</v>
      </c>
      <c r="F338" s="106"/>
      <c r="G338" s="116" t="str">
        <f>IF($F338&lt;&gt;"",$F338,IFERROR(_xlfn.XLOOKUP(ROW(),Taxa_Saknas!$H:$H,Taxa_Saknas!$G:$G),""))</f>
        <v/>
      </c>
      <c r="H338" s="126" t="str">
        <f>IF($F338&lt;&gt;"",IFERROR(_xlfn.XLOOKUP($F338,Taxa_från_edp!$B:$B,Taxa_från_edp!C:C),""),"")</f>
        <v/>
      </c>
      <c r="I338" s="127" t="str">
        <f>IF($F338&lt;&gt;"",IFERROR(_xlfn.XLOOKUP($F338,Taxa_från_edp!$B:$B,Taxa_från_edp!G:G),""),"")</f>
        <v/>
      </c>
      <c r="J338" s="127" t="str">
        <f>IF($F338&lt;&gt;"",IFERROR(_xlfn.XLOOKUP($F338,Taxa_från_edp!$B:$B,Taxa_från_edp!K:K),""),"")</f>
        <v/>
      </c>
      <c r="K338" s="145"/>
      <c r="L338" s="146"/>
      <c r="M338" s="147" t="str">
        <f t="shared" si="90"/>
        <v/>
      </c>
      <c r="N338" s="148" t="str">
        <f t="shared" si="91"/>
        <v/>
      </c>
    </row>
    <row r="339" spans="1:14" ht="30" customHeight="1" x14ac:dyDescent="0.25">
      <c r="A339" s="100" t="s">
        <v>264</v>
      </c>
      <c r="B339" s="68" t="s">
        <v>253</v>
      </c>
      <c r="C339" s="68" t="s">
        <v>1712</v>
      </c>
      <c r="D339" s="68" t="s">
        <v>1740</v>
      </c>
      <c r="E339" s="68" t="s">
        <v>262</v>
      </c>
      <c r="F339" s="106"/>
      <c r="G339" s="116" t="str">
        <f>IF($F339&lt;&gt;"",$F339,IFERROR(_xlfn.XLOOKUP(ROW(),Taxa_Saknas!$H:$H,Taxa_Saknas!$G:$G),""))</f>
        <v/>
      </c>
      <c r="H339" s="126" t="str">
        <f>IF($F339&lt;&gt;"",IFERROR(_xlfn.XLOOKUP($F339,Taxa_från_edp!$B:$B,Taxa_från_edp!C:C),""),"")</f>
        <v/>
      </c>
      <c r="I339" s="127" t="str">
        <f>IF($F339&lt;&gt;"",IFERROR(_xlfn.XLOOKUP($F339,Taxa_från_edp!$B:$B,Taxa_från_edp!G:G),""),"")</f>
        <v/>
      </c>
      <c r="J339" s="127" t="str">
        <f>IF($F339&lt;&gt;"",IFERROR(_xlfn.XLOOKUP($F339,Taxa_från_edp!$B:$B,Taxa_från_edp!K:K),""),"")</f>
        <v/>
      </c>
      <c r="K339" s="145"/>
      <c r="L339" s="146"/>
      <c r="M339" s="147" t="str">
        <f t="shared" si="90"/>
        <v/>
      </c>
      <c r="N339" s="148" t="str">
        <f t="shared" si="91"/>
        <v/>
      </c>
    </row>
    <row r="340" spans="1:14" ht="30" customHeight="1" x14ac:dyDescent="0.25">
      <c r="A340" s="100" t="s">
        <v>264</v>
      </c>
      <c r="B340" s="68" t="s">
        <v>253</v>
      </c>
      <c r="C340" s="68" t="s">
        <v>1713</v>
      </c>
      <c r="D340" s="68" t="s">
        <v>1741</v>
      </c>
      <c r="E340" s="68" t="s">
        <v>262</v>
      </c>
      <c r="F340" s="106"/>
      <c r="G340" s="116" t="str">
        <f>IF($F340&lt;&gt;"",$F340,IFERROR(_xlfn.XLOOKUP(ROW(),Taxa_Saknas!$H:$H,Taxa_Saknas!$G:$G),""))</f>
        <v/>
      </c>
      <c r="H340" s="126" t="str">
        <f>IF($F340&lt;&gt;"",IFERROR(_xlfn.XLOOKUP($F340,Taxa_från_edp!$B:$B,Taxa_från_edp!C:C),""),"")</f>
        <v/>
      </c>
      <c r="I340" s="127" t="str">
        <f>IF($F340&lt;&gt;"",IFERROR(_xlfn.XLOOKUP($F340,Taxa_från_edp!$B:$B,Taxa_från_edp!G:G),""),"")</f>
        <v/>
      </c>
      <c r="J340" s="127" t="str">
        <f>IF($F340&lt;&gt;"",IFERROR(_xlfn.XLOOKUP($F340,Taxa_från_edp!$B:$B,Taxa_från_edp!K:K),""),"")</f>
        <v/>
      </c>
      <c r="K340" s="145"/>
      <c r="L340" s="146"/>
      <c r="M340" s="147" t="str">
        <f t="shared" si="90"/>
        <v/>
      </c>
      <c r="N340" s="148" t="str">
        <f t="shared" si="91"/>
        <v/>
      </c>
    </row>
    <row r="341" spans="1:14" ht="30" customHeight="1" x14ac:dyDescent="0.25">
      <c r="A341" s="100" t="s">
        <v>264</v>
      </c>
      <c r="B341" s="68" t="s">
        <v>253</v>
      </c>
      <c r="C341" s="68" t="s">
        <v>1714</v>
      </c>
      <c r="D341" s="68" t="s">
        <v>1742</v>
      </c>
      <c r="E341" s="68" t="s">
        <v>262</v>
      </c>
      <c r="F341" s="106"/>
      <c r="G341" s="116" t="str">
        <f>IF($F341&lt;&gt;"",$F341,IFERROR(_xlfn.XLOOKUP(ROW(),Taxa_Saknas!$H:$H,Taxa_Saknas!$G:$G),""))</f>
        <v/>
      </c>
      <c r="H341" s="126" t="str">
        <f>IF($F341&lt;&gt;"",IFERROR(_xlfn.XLOOKUP($F341,Taxa_från_edp!$B:$B,Taxa_från_edp!C:C),""),"")</f>
        <v/>
      </c>
      <c r="I341" s="127" t="str">
        <f>IF($F341&lt;&gt;"",IFERROR(_xlfn.XLOOKUP($F341,Taxa_från_edp!$B:$B,Taxa_från_edp!G:G),""),"")</f>
        <v/>
      </c>
      <c r="J341" s="127" t="str">
        <f>IF($F341&lt;&gt;"",IFERROR(_xlfn.XLOOKUP($F341,Taxa_från_edp!$B:$B,Taxa_från_edp!K:K),""),"")</f>
        <v/>
      </c>
      <c r="K341" s="145"/>
      <c r="L341" s="146"/>
      <c r="M341" s="147" t="str">
        <f t="shared" si="90"/>
        <v/>
      </c>
      <c r="N341" s="148" t="str">
        <f t="shared" si="91"/>
        <v/>
      </c>
    </row>
    <row r="342" spans="1:14" ht="30" customHeight="1" x14ac:dyDescent="0.25">
      <c r="A342" s="100" t="s">
        <v>264</v>
      </c>
      <c r="B342" s="68" t="s">
        <v>253</v>
      </c>
      <c r="C342" s="68" t="s">
        <v>1715</v>
      </c>
      <c r="D342" s="68" t="s">
        <v>1742</v>
      </c>
      <c r="E342" s="68" t="s">
        <v>262</v>
      </c>
      <c r="F342" s="106"/>
      <c r="G342" s="116" t="str">
        <f>IF($F342&lt;&gt;"",$F342,IFERROR(_xlfn.XLOOKUP(ROW(),Taxa_Saknas!$H:$H,Taxa_Saknas!$G:$G),""))</f>
        <v/>
      </c>
      <c r="H342" s="126" t="str">
        <f>IF($F342&lt;&gt;"",IFERROR(_xlfn.XLOOKUP($F342,Taxa_från_edp!$B:$B,Taxa_från_edp!C:C),""),"")</f>
        <v/>
      </c>
      <c r="I342" s="127" t="str">
        <f>IF($F342&lt;&gt;"",IFERROR(_xlfn.XLOOKUP($F342,Taxa_från_edp!$B:$B,Taxa_från_edp!G:G),""),"")</f>
        <v/>
      </c>
      <c r="J342" s="127" t="str">
        <f>IF($F342&lt;&gt;"",IFERROR(_xlfn.XLOOKUP($F342,Taxa_från_edp!$B:$B,Taxa_från_edp!K:K),""),"")</f>
        <v/>
      </c>
      <c r="K342" s="145"/>
      <c r="L342" s="146"/>
      <c r="M342" s="147" t="str">
        <f t="shared" si="90"/>
        <v/>
      </c>
      <c r="N342" s="148" t="str">
        <f t="shared" si="91"/>
        <v/>
      </c>
    </row>
    <row r="343" spans="1:14" ht="21.95" customHeight="1" x14ac:dyDescent="0.25">
      <c r="A343" s="101" t="s">
        <v>1764</v>
      </c>
      <c r="B343" s="84"/>
      <c r="C343" s="84"/>
      <c r="D343" s="84"/>
      <c r="E343" s="85"/>
      <c r="F343" s="114"/>
      <c r="G343" s="122" t="str">
        <f>IF($F343&lt;&gt;"",$F343,IFERROR(_xlfn.XLOOKUP(ROW(),Taxa_Saknas!$H:$H,Taxa_Saknas!$G:$G),""))</f>
        <v/>
      </c>
      <c r="H343" s="122" t="str">
        <f>IF($F343&lt;&gt;"",IFERROR(_xlfn.XLOOKUP($F343,Taxa_från_edp!$B:$B,Taxa_från_edp!C:C),""),"")</f>
        <v/>
      </c>
      <c r="I343" s="149" t="str">
        <f>IF($F343&lt;&gt;"",IFERROR(_xlfn.XLOOKUP($F343,Taxa_från_edp!$B:$B,Taxa_från_edp!G:G),""),"")</f>
        <v/>
      </c>
      <c r="J343" s="149" t="str">
        <f>IF($F343&lt;&gt;"",IFERROR(_xlfn.XLOOKUP($F343,Taxa_från_edp!$B:$B,Taxa_från_edp!K:K),""),"")</f>
        <v/>
      </c>
      <c r="K343" s="149"/>
      <c r="L343" s="149"/>
      <c r="M343" s="121" t="str">
        <f t="shared" ref="M343" si="92">IFERROR(IF(J343&lt;&gt;"",J343*1.25,IF(K343&lt;&gt;"",K343*1.25,"")),"")</f>
        <v/>
      </c>
      <c r="N343" s="144" t="str">
        <f t="shared" ref="N343" si="93">IFERROR(IF(J343&lt;&gt;"",L343*J343,IF(K343&lt;&gt;"",L343*K343,"")),"")</f>
        <v/>
      </c>
    </row>
    <row r="344" spans="1:14" ht="30" customHeight="1" x14ac:dyDescent="0.25">
      <c r="A344" s="100" t="s">
        <v>270</v>
      </c>
      <c r="B344" s="68" t="s">
        <v>253</v>
      </c>
      <c r="C344" s="68" t="s">
        <v>1743</v>
      </c>
      <c r="D344" s="68" t="s">
        <v>1744</v>
      </c>
      <c r="E344" s="68" t="s">
        <v>262</v>
      </c>
      <c r="F344" s="106"/>
      <c r="G344" s="116" t="str">
        <f>IF($F344&lt;&gt;"",$F344,IFERROR(_xlfn.XLOOKUP(ROW(),Taxa_Saknas!$H:$H,Taxa_Saknas!$G:$G),""))</f>
        <v/>
      </c>
      <c r="H344" s="126" t="str">
        <f>IF($F344&lt;&gt;"",IFERROR(_xlfn.XLOOKUP($F344,Taxa_från_edp!$B:$B,Taxa_från_edp!C:C),""),"")</f>
        <v/>
      </c>
      <c r="I344" s="127" t="str">
        <f>IF($F344&lt;&gt;"",IFERROR(_xlfn.XLOOKUP($F344,Taxa_från_edp!$B:$B,Taxa_från_edp!G:G),""),"")</f>
        <v/>
      </c>
      <c r="J344" s="127" t="str">
        <f>IF($F344&lt;&gt;"",IFERROR(_xlfn.XLOOKUP($F344,Taxa_från_edp!$B:$B,Taxa_från_edp!K:K),""),"")</f>
        <v/>
      </c>
      <c r="K344" s="145"/>
      <c r="L344" s="146"/>
      <c r="M344" s="147" t="str">
        <f t="shared" si="90"/>
        <v/>
      </c>
      <c r="N344" s="148" t="str">
        <f t="shared" si="91"/>
        <v/>
      </c>
    </row>
    <row r="345" spans="1:14" ht="30" customHeight="1" x14ac:dyDescent="0.25">
      <c r="A345" s="100" t="s">
        <v>270</v>
      </c>
      <c r="B345" s="68" t="s">
        <v>253</v>
      </c>
      <c r="C345" s="68" t="s">
        <v>1745</v>
      </c>
      <c r="D345" s="68" t="s">
        <v>1746</v>
      </c>
      <c r="E345" s="68" t="s">
        <v>262</v>
      </c>
      <c r="F345" s="106"/>
      <c r="G345" s="116" t="str">
        <f>IF($F345&lt;&gt;"",$F345,IFERROR(_xlfn.XLOOKUP(ROW(),Taxa_Saknas!$H:$H,Taxa_Saknas!$G:$G),""))</f>
        <v/>
      </c>
      <c r="H345" s="126" t="str">
        <f>IF($F345&lt;&gt;"",IFERROR(_xlfn.XLOOKUP($F345,Taxa_från_edp!$B:$B,Taxa_från_edp!C:C),""),"")</f>
        <v/>
      </c>
      <c r="I345" s="127" t="str">
        <f>IF($F345&lt;&gt;"",IFERROR(_xlfn.XLOOKUP($F345,Taxa_från_edp!$B:$B,Taxa_från_edp!G:G),""),"")</f>
        <v/>
      </c>
      <c r="J345" s="127" t="str">
        <f>IF($F345&lt;&gt;"",IFERROR(_xlfn.XLOOKUP($F345,Taxa_från_edp!$B:$B,Taxa_från_edp!K:K),""),"")</f>
        <v/>
      </c>
      <c r="K345" s="145"/>
      <c r="L345" s="146"/>
      <c r="M345" s="147" t="str">
        <f t="shared" si="90"/>
        <v/>
      </c>
      <c r="N345" s="148" t="str">
        <f t="shared" si="91"/>
        <v/>
      </c>
    </row>
    <row r="346" spans="1:14" ht="30" customHeight="1" x14ac:dyDescent="0.25">
      <c r="A346" s="100" t="s">
        <v>270</v>
      </c>
      <c r="B346" s="68" t="s">
        <v>253</v>
      </c>
      <c r="C346" s="68" t="s">
        <v>1747</v>
      </c>
      <c r="D346" s="68" t="s">
        <v>1748</v>
      </c>
      <c r="E346" s="100" t="s">
        <v>1766</v>
      </c>
      <c r="F346" s="106"/>
      <c r="G346" s="116" t="str">
        <f>IF($F346&lt;&gt;"",$F346,IFERROR(_xlfn.XLOOKUP(ROW(),Taxa_Saknas!$H:$H,Taxa_Saknas!$G:$G),""))</f>
        <v/>
      </c>
      <c r="H346" s="126" t="str">
        <f>IF($F346&lt;&gt;"",IFERROR(_xlfn.XLOOKUP($F346,Taxa_från_edp!$B:$B,Taxa_från_edp!C:C),""),"")</f>
        <v/>
      </c>
      <c r="I346" s="127" t="str">
        <f>IF($F346&lt;&gt;"",IFERROR(_xlfn.XLOOKUP($F346,Taxa_från_edp!$B:$B,Taxa_från_edp!G:G),""),"")</f>
        <v/>
      </c>
      <c r="J346" s="127" t="str">
        <f>IF($F346&lt;&gt;"",IFERROR(_xlfn.XLOOKUP($F346,Taxa_från_edp!$B:$B,Taxa_från_edp!K:K),""),"")</f>
        <v/>
      </c>
      <c r="K346" s="145"/>
      <c r="L346" s="146"/>
      <c r="M346" s="147" t="str">
        <f t="shared" si="90"/>
        <v/>
      </c>
      <c r="N346" s="148" t="str">
        <f t="shared" si="91"/>
        <v/>
      </c>
    </row>
    <row r="347" spans="1:14" ht="30" customHeight="1" x14ac:dyDescent="0.25">
      <c r="A347" s="100" t="s">
        <v>270</v>
      </c>
      <c r="B347" s="68" t="s">
        <v>253</v>
      </c>
      <c r="C347" s="68" t="s">
        <v>1749</v>
      </c>
      <c r="D347" s="68" t="s">
        <v>1750</v>
      </c>
      <c r="E347" s="68" t="s">
        <v>262</v>
      </c>
      <c r="F347" s="106"/>
      <c r="G347" s="116" t="str">
        <f>IF($F347&lt;&gt;"",$F347,IFERROR(_xlfn.XLOOKUP(ROW(),Taxa_Saknas!$H:$H,Taxa_Saknas!$G:$G),""))</f>
        <v/>
      </c>
      <c r="H347" s="126" t="str">
        <f>IF($F347&lt;&gt;"",IFERROR(_xlfn.XLOOKUP($F347,Taxa_från_edp!$B:$B,Taxa_från_edp!C:C),""),"")</f>
        <v/>
      </c>
      <c r="I347" s="127" t="str">
        <f>IF($F347&lt;&gt;"",IFERROR(_xlfn.XLOOKUP($F347,Taxa_från_edp!$B:$B,Taxa_från_edp!G:G),""),"")</f>
        <v/>
      </c>
      <c r="J347" s="127" t="str">
        <f>IF($F347&lt;&gt;"",IFERROR(_xlfn.XLOOKUP($F347,Taxa_från_edp!$B:$B,Taxa_från_edp!K:K),""),"")</f>
        <v/>
      </c>
      <c r="K347" s="145"/>
      <c r="L347" s="146"/>
      <c r="M347" s="147" t="str">
        <f t="shared" si="90"/>
        <v/>
      </c>
      <c r="N347" s="148" t="str">
        <f t="shared" si="91"/>
        <v/>
      </c>
    </row>
    <row r="348" spans="1:14" ht="30" customHeight="1" x14ac:dyDescent="0.25">
      <c r="A348" s="100" t="s">
        <v>270</v>
      </c>
      <c r="B348" s="68" t="s">
        <v>253</v>
      </c>
      <c r="C348" s="68" t="s">
        <v>1751</v>
      </c>
      <c r="D348" s="68" t="s">
        <v>1737</v>
      </c>
      <c r="E348" s="68" t="s">
        <v>262</v>
      </c>
      <c r="F348" s="106"/>
      <c r="G348" s="116" t="str">
        <f>IF($F348&lt;&gt;"",$F348,IFERROR(_xlfn.XLOOKUP(ROW(),Taxa_Saknas!$H:$H,Taxa_Saknas!$G:$G),""))</f>
        <v/>
      </c>
      <c r="H348" s="126" t="str">
        <f>IF($F348&lt;&gt;"",IFERROR(_xlfn.XLOOKUP($F348,Taxa_från_edp!$B:$B,Taxa_från_edp!C:C),""),"")</f>
        <v/>
      </c>
      <c r="I348" s="127" t="str">
        <f>IF($F348&lt;&gt;"",IFERROR(_xlfn.XLOOKUP($F348,Taxa_från_edp!$B:$B,Taxa_från_edp!G:G),""),"")</f>
        <v/>
      </c>
      <c r="J348" s="127" t="str">
        <f>IF($F348&lt;&gt;"",IFERROR(_xlfn.XLOOKUP($F348,Taxa_från_edp!$B:$B,Taxa_från_edp!K:K),""),"")</f>
        <v/>
      </c>
      <c r="K348" s="145"/>
      <c r="L348" s="146"/>
      <c r="M348" s="147" t="str">
        <f t="shared" si="90"/>
        <v/>
      </c>
      <c r="N348" s="148" t="str">
        <f t="shared" si="91"/>
        <v/>
      </c>
    </row>
    <row r="349" spans="1:14" ht="30" customHeight="1" x14ac:dyDescent="0.25">
      <c r="A349" s="100" t="s">
        <v>270</v>
      </c>
      <c r="B349" s="68" t="s">
        <v>253</v>
      </c>
      <c r="C349" s="68" t="s">
        <v>1752</v>
      </c>
      <c r="D349" s="68">
        <v>200136</v>
      </c>
      <c r="E349" s="68" t="s">
        <v>262</v>
      </c>
      <c r="F349" s="106"/>
      <c r="G349" s="116" t="str">
        <f>IF($F349&lt;&gt;"",$F349,IFERROR(_xlfn.XLOOKUP(ROW(),Taxa_Saknas!$H:$H,Taxa_Saknas!$G:$G),""))</f>
        <v/>
      </c>
      <c r="H349" s="126" t="str">
        <f>IF($F349&lt;&gt;"",IFERROR(_xlfn.XLOOKUP($F349,Taxa_från_edp!$B:$B,Taxa_från_edp!C:C),""),"")</f>
        <v/>
      </c>
      <c r="I349" s="127" t="str">
        <f>IF($F349&lt;&gt;"",IFERROR(_xlfn.XLOOKUP($F349,Taxa_från_edp!$B:$B,Taxa_från_edp!G:G),""),"")</f>
        <v/>
      </c>
      <c r="J349" s="127" t="str">
        <f>IF($F349&lt;&gt;"",IFERROR(_xlfn.XLOOKUP($F349,Taxa_från_edp!$B:$B,Taxa_från_edp!K:K),""),"")</f>
        <v/>
      </c>
      <c r="K349" s="145"/>
      <c r="L349" s="146"/>
      <c r="M349" s="147" t="str">
        <f t="shared" si="90"/>
        <v/>
      </c>
      <c r="N349" s="148" t="str">
        <f t="shared" si="91"/>
        <v/>
      </c>
    </row>
    <row r="350" spans="1:14" ht="30" customHeight="1" x14ac:dyDescent="0.25">
      <c r="A350" s="100" t="s">
        <v>270</v>
      </c>
      <c r="B350" s="68" t="s">
        <v>253</v>
      </c>
      <c r="C350" s="68" t="s">
        <v>1753</v>
      </c>
      <c r="D350" s="68">
        <v>200136</v>
      </c>
      <c r="E350" s="68" t="s">
        <v>262</v>
      </c>
      <c r="F350" s="106"/>
      <c r="G350" s="116" t="str">
        <f>IF($F350&lt;&gt;"",$F350,IFERROR(_xlfn.XLOOKUP(ROW(),Taxa_Saknas!$H:$H,Taxa_Saknas!$G:$G),""))</f>
        <v/>
      </c>
      <c r="H350" s="126" t="str">
        <f>IF($F350&lt;&gt;"",IFERROR(_xlfn.XLOOKUP($F350,Taxa_från_edp!$B:$B,Taxa_från_edp!C:C),""),"")</f>
        <v/>
      </c>
      <c r="I350" s="127" t="str">
        <f>IF($F350&lt;&gt;"",IFERROR(_xlfn.XLOOKUP($F350,Taxa_från_edp!$B:$B,Taxa_från_edp!G:G),""),"")</f>
        <v/>
      </c>
      <c r="J350" s="127" t="str">
        <f>IF($F350&lt;&gt;"",IFERROR(_xlfn.XLOOKUP($F350,Taxa_från_edp!$B:$B,Taxa_från_edp!K:K),""),"")</f>
        <v/>
      </c>
      <c r="K350" s="145"/>
      <c r="L350" s="146"/>
      <c r="M350" s="147" t="str">
        <f t="shared" si="90"/>
        <v/>
      </c>
      <c r="N350" s="148" t="str">
        <f t="shared" si="91"/>
        <v/>
      </c>
    </row>
    <row r="351" spans="1:14" ht="30" customHeight="1" x14ac:dyDescent="0.25">
      <c r="A351" s="100" t="s">
        <v>270</v>
      </c>
      <c r="B351" s="68" t="s">
        <v>253</v>
      </c>
      <c r="C351" s="68" t="s">
        <v>1754</v>
      </c>
      <c r="D351" s="68">
        <v>170411</v>
      </c>
      <c r="E351" s="68" t="s">
        <v>262</v>
      </c>
      <c r="F351" s="106"/>
      <c r="G351" s="116" t="str">
        <f>IF($F351&lt;&gt;"",$F351,IFERROR(_xlfn.XLOOKUP(ROW(),Taxa_Saknas!$H:$H,Taxa_Saknas!$G:$G),""))</f>
        <v/>
      </c>
      <c r="H351" s="126" t="str">
        <f>IF($F351&lt;&gt;"",IFERROR(_xlfn.XLOOKUP($F351,Taxa_från_edp!$B:$B,Taxa_från_edp!C:C),""),"")</f>
        <v/>
      </c>
      <c r="I351" s="127" t="str">
        <f>IF($F351&lt;&gt;"",IFERROR(_xlfn.XLOOKUP($F351,Taxa_från_edp!$B:$B,Taxa_från_edp!G:G),""),"")</f>
        <v/>
      </c>
      <c r="J351" s="127" t="str">
        <f>IF($F351&lt;&gt;"",IFERROR(_xlfn.XLOOKUP($F351,Taxa_från_edp!$B:$B,Taxa_från_edp!K:K),""),"")</f>
        <v/>
      </c>
      <c r="K351" s="145"/>
      <c r="L351" s="146"/>
      <c r="M351" s="147" t="str">
        <f t="shared" si="90"/>
        <v/>
      </c>
      <c r="N351" s="148" t="str">
        <f t="shared" si="91"/>
        <v/>
      </c>
    </row>
    <row r="352" spans="1:14" ht="30" customHeight="1" x14ac:dyDescent="0.25">
      <c r="A352" s="100" t="s">
        <v>270</v>
      </c>
      <c r="B352" s="68" t="s">
        <v>253</v>
      </c>
      <c r="C352" s="68" t="s">
        <v>1755</v>
      </c>
      <c r="D352" s="68" t="s">
        <v>1756</v>
      </c>
      <c r="E352" s="68" t="s">
        <v>262</v>
      </c>
      <c r="F352" s="106"/>
      <c r="G352" s="116" t="str">
        <f>IF($F352&lt;&gt;"",$F352,IFERROR(_xlfn.XLOOKUP(ROW(),Taxa_Saknas!$H:$H,Taxa_Saknas!$G:$G),""))</f>
        <v/>
      </c>
      <c r="H352" s="126" t="str">
        <f>IF($F352&lt;&gt;"",IFERROR(_xlfn.XLOOKUP($F352,Taxa_från_edp!$B:$B,Taxa_från_edp!C:C),""),"")</f>
        <v/>
      </c>
      <c r="I352" s="127" t="str">
        <f>IF($F352&lt;&gt;"",IFERROR(_xlfn.XLOOKUP($F352,Taxa_från_edp!$B:$B,Taxa_från_edp!G:G),""),"")</f>
        <v/>
      </c>
      <c r="J352" s="127" t="str">
        <f>IF($F352&lt;&gt;"",IFERROR(_xlfn.XLOOKUP($F352,Taxa_från_edp!$B:$B,Taxa_från_edp!K:K),""),"")</f>
        <v/>
      </c>
      <c r="K352" s="145"/>
      <c r="L352" s="146"/>
      <c r="M352" s="147" t="str">
        <f t="shared" si="90"/>
        <v/>
      </c>
      <c r="N352" s="148" t="str">
        <f t="shared" si="91"/>
        <v/>
      </c>
    </row>
    <row r="353" spans="1:14" ht="30" customHeight="1" x14ac:dyDescent="0.25">
      <c r="A353" s="100" t="s">
        <v>270</v>
      </c>
      <c r="B353" s="68" t="s">
        <v>253</v>
      </c>
      <c r="C353" s="100" t="s">
        <v>1757</v>
      </c>
      <c r="D353" s="100" t="s">
        <v>1765</v>
      </c>
      <c r="E353" s="100" t="s">
        <v>1767</v>
      </c>
      <c r="F353" s="106"/>
      <c r="G353" s="116" t="str">
        <f>IF($F353&lt;&gt;"",$F353,IFERROR(_xlfn.XLOOKUP(ROW(),Taxa_Saknas!$H:$H,Taxa_Saknas!$G:$G),""))</f>
        <v/>
      </c>
      <c r="H353" s="126" t="str">
        <f>IF($F353&lt;&gt;"",IFERROR(_xlfn.XLOOKUP($F353,Taxa_från_edp!$B:$B,Taxa_från_edp!C:C),""),"")</f>
        <v/>
      </c>
      <c r="I353" s="127" t="str">
        <f>IF($F353&lt;&gt;"",IFERROR(_xlfn.XLOOKUP($F353,Taxa_från_edp!$B:$B,Taxa_från_edp!G:G),""),"")</f>
        <v/>
      </c>
      <c r="J353" s="127" t="str">
        <f>IF($F353&lt;&gt;"",IFERROR(_xlfn.XLOOKUP($F353,Taxa_från_edp!$B:$B,Taxa_från_edp!K:K),""),"")</f>
        <v/>
      </c>
      <c r="K353" s="145"/>
      <c r="L353" s="146"/>
      <c r="M353" s="147" t="str">
        <f t="shared" si="90"/>
        <v/>
      </c>
      <c r="N353" s="148" t="str">
        <f t="shared" si="91"/>
        <v/>
      </c>
    </row>
    <row r="354" spans="1:14" ht="30" customHeight="1" x14ac:dyDescent="0.25">
      <c r="A354" s="100" t="s">
        <v>270</v>
      </c>
      <c r="B354" s="68" t="s">
        <v>253</v>
      </c>
      <c r="C354" s="68" t="s">
        <v>1758</v>
      </c>
      <c r="D354" s="68">
        <v>200135</v>
      </c>
      <c r="E354" s="68" t="s">
        <v>262</v>
      </c>
      <c r="F354" s="106"/>
      <c r="G354" s="116" t="str">
        <f>IF($F354&lt;&gt;"",$F354,IFERROR(_xlfn.XLOOKUP(ROW(),Taxa_Saknas!$H:$H,Taxa_Saknas!$G:$G),""))</f>
        <v/>
      </c>
      <c r="H354" s="126" t="str">
        <f>IF($F354&lt;&gt;"",IFERROR(_xlfn.XLOOKUP($F354,Taxa_från_edp!$B:$B,Taxa_från_edp!C:C),""),"")</f>
        <v/>
      </c>
      <c r="I354" s="127" t="str">
        <f>IF($F354&lt;&gt;"",IFERROR(_xlfn.XLOOKUP($F354,Taxa_från_edp!$B:$B,Taxa_från_edp!G:G),""),"")</f>
        <v/>
      </c>
      <c r="J354" s="127" t="str">
        <f>IF($F354&lt;&gt;"",IFERROR(_xlfn.XLOOKUP($F354,Taxa_från_edp!$B:$B,Taxa_från_edp!K:K),""),"")</f>
        <v/>
      </c>
      <c r="K354" s="145"/>
      <c r="L354" s="146"/>
      <c r="M354" s="147" t="str">
        <f t="shared" si="90"/>
        <v/>
      </c>
      <c r="N354" s="148" t="str">
        <f t="shared" si="91"/>
        <v/>
      </c>
    </row>
    <row r="355" spans="1:14" ht="30" customHeight="1" x14ac:dyDescent="0.25">
      <c r="A355" s="100" t="s">
        <v>270</v>
      </c>
      <c r="B355" s="68" t="s">
        <v>253</v>
      </c>
      <c r="C355" s="68" t="s">
        <v>1759</v>
      </c>
      <c r="D355" s="68" t="s">
        <v>1760</v>
      </c>
      <c r="E355" s="100" t="s">
        <v>1766</v>
      </c>
      <c r="F355" s="106"/>
      <c r="G355" s="116" t="str">
        <f>IF($F355&lt;&gt;"",$F355,IFERROR(_xlfn.XLOOKUP(ROW(),Taxa_Saknas!$H:$H,Taxa_Saknas!$G:$G),""))</f>
        <v/>
      </c>
      <c r="H355" s="126" t="str">
        <f>IF($F355&lt;&gt;"",IFERROR(_xlfn.XLOOKUP($F355,Taxa_från_edp!$B:$B,Taxa_från_edp!C:C),""),"")</f>
        <v/>
      </c>
      <c r="I355" s="127" t="str">
        <f>IF($F355&lt;&gt;"",IFERROR(_xlfn.XLOOKUP($F355,Taxa_från_edp!$B:$B,Taxa_från_edp!G:G),""),"")</f>
        <v/>
      </c>
      <c r="J355" s="127" t="str">
        <f>IF($F355&lt;&gt;"",IFERROR(_xlfn.XLOOKUP($F355,Taxa_från_edp!$B:$B,Taxa_från_edp!K:K),""),"")</f>
        <v/>
      </c>
      <c r="K355" s="145"/>
      <c r="L355" s="146"/>
      <c r="M355" s="147" t="str">
        <f t="shared" si="90"/>
        <v/>
      </c>
      <c r="N355" s="148" t="str">
        <f t="shared" si="91"/>
        <v/>
      </c>
    </row>
    <row r="356" spans="1:14" ht="30" customHeight="1" x14ac:dyDescent="0.25">
      <c r="A356" s="100" t="s">
        <v>270</v>
      </c>
      <c r="B356" s="68" t="s">
        <v>253</v>
      </c>
      <c r="C356" s="68" t="s">
        <v>1761</v>
      </c>
      <c r="D356" s="68" t="s">
        <v>1760</v>
      </c>
      <c r="E356" s="68" t="s">
        <v>262</v>
      </c>
      <c r="F356" s="106"/>
      <c r="G356" s="116" t="str">
        <f>IF($F356&lt;&gt;"",$F356,IFERROR(_xlfn.XLOOKUP(ROW(),Taxa_Saknas!$H:$H,Taxa_Saknas!$G:$G),""))</f>
        <v/>
      </c>
      <c r="H356" s="126" t="str">
        <f>IF($F356&lt;&gt;"",IFERROR(_xlfn.XLOOKUP($F356,Taxa_från_edp!$B:$B,Taxa_från_edp!C:C),""),"")</f>
        <v/>
      </c>
      <c r="I356" s="127" t="str">
        <f>IF($F356&lt;&gt;"",IFERROR(_xlfn.XLOOKUP($F356,Taxa_från_edp!$B:$B,Taxa_från_edp!G:G),""),"")</f>
        <v/>
      </c>
      <c r="J356" s="127" t="str">
        <f>IF($F356&lt;&gt;"",IFERROR(_xlfn.XLOOKUP($F356,Taxa_från_edp!$B:$B,Taxa_från_edp!K:K),""),"")</f>
        <v/>
      </c>
      <c r="K356" s="145"/>
      <c r="L356" s="146"/>
      <c r="M356" s="147" t="str">
        <f t="shared" si="90"/>
        <v/>
      </c>
      <c r="N356" s="148" t="str">
        <f t="shared" si="91"/>
        <v/>
      </c>
    </row>
    <row r="357" spans="1:14" ht="30" customHeight="1" x14ac:dyDescent="0.25">
      <c r="A357" s="100" t="s">
        <v>270</v>
      </c>
      <c r="B357" s="68" t="s">
        <v>253</v>
      </c>
      <c r="C357" s="68" t="s">
        <v>1762</v>
      </c>
      <c r="D357" s="68" t="s">
        <v>1742</v>
      </c>
      <c r="E357" s="100" t="s">
        <v>1766</v>
      </c>
      <c r="F357" s="106"/>
      <c r="G357" s="116" t="str">
        <f>IF($F357&lt;&gt;"",$F357,IFERROR(_xlfn.XLOOKUP(ROW(),Taxa_Saknas!$H:$H,Taxa_Saknas!$G:$G),""))</f>
        <v/>
      </c>
      <c r="H357" s="126" t="str">
        <f>IF($F357&lt;&gt;"",IFERROR(_xlfn.XLOOKUP($F357,Taxa_från_edp!$B:$B,Taxa_från_edp!C:C),""),"")</f>
        <v/>
      </c>
      <c r="I357" s="127" t="str">
        <f>IF($F357&lt;&gt;"",IFERROR(_xlfn.XLOOKUP($F357,Taxa_från_edp!$B:$B,Taxa_från_edp!G:G),""),"")</f>
        <v/>
      </c>
      <c r="J357" s="127" t="str">
        <f>IF($F357&lt;&gt;"",IFERROR(_xlfn.XLOOKUP($F357,Taxa_från_edp!$B:$B,Taxa_från_edp!K:K),""),"")</f>
        <v/>
      </c>
      <c r="K357" s="145"/>
      <c r="L357" s="146"/>
      <c r="M357" s="147" t="str">
        <f t="shared" si="90"/>
        <v/>
      </c>
      <c r="N357" s="148" t="str">
        <f t="shared" si="91"/>
        <v/>
      </c>
    </row>
    <row r="358" spans="1:14" x14ac:dyDescent="0.25">
      <c r="A358" s="100" t="s">
        <v>270</v>
      </c>
      <c r="B358" s="68" t="s">
        <v>253</v>
      </c>
      <c r="C358" s="68" t="s">
        <v>1763</v>
      </c>
      <c r="D358" s="68" t="s">
        <v>1742</v>
      </c>
      <c r="E358" s="68" t="s">
        <v>262</v>
      </c>
      <c r="F358" s="107"/>
      <c r="G358" s="117" t="str">
        <f>IF($F358&lt;&gt;"",$F358,IFERROR(_xlfn.XLOOKUP(ROW(),Taxa_Saknas!$H:$H,Taxa_Saknas!$G:$G),""))</f>
        <v/>
      </c>
      <c r="H358" s="128" t="str">
        <f>IF($F358&lt;&gt;"",IFERROR(_xlfn.XLOOKUP($F358,Taxa_från_edp!$B:$B,Taxa_från_edp!C:C),""),"")</f>
        <v/>
      </c>
      <c r="I358" s="129" t="str">
        <f>IF($F358&lt;&gt;"",IFERROR(_xlfn.XLOOKUP($F358,Taxa_från_edp!$B:$B,Taxa_från_edp!G:G),""),"")</f>
        <v/>
      </c>
      <c r="J358" s="129" t="str">
        <f>IF($F358&lt;&gt;"",IFERROR(_xlfn.XLOOKUP($F358,Taxa_från_edp!$B:$B,Taxa_från_edp!K:K),""),"")</f>
        <v/>
      </c>
      <c r="K358" s="150"/>
      <c r="L358" s="151"/>
      <c r="M358" s="147" t="str">
        <f t="shared" si="90"/>
        <v/>
      </c>
      <c r="N358" s="148" t="str">
        <f t="shared" si="91"/>
        <v/>
      </c>
    </row>
    <row r="359" spans="1:14" ht="21.95" customHeight="1" x14ac:dyDescent="0.25">
      <c r="A359" s="101" t="s">
        <v>1771</v>
      </c>
      <c r="B359" s="84"/>
      <c r="C359" s="84"/>
      <c r="D359" s="84"/>
      <c r="E359" s="85"/>
      <c r="F359" s="114"/>
      <c r="G359" s="122" t="str">
        <f>IF($F359&lt;&gt;"",$F359,IFERROR(_xlfn.XLOOKUP(ROW(),Taxa_Saknas!$H:$H,Taxa_Saknas!$G:$G),""))</f>
        <v/>
      </c>
      <c r="H359" s="122" t="str">
        <f>IF($F359&lt;&gt;"",IFERROR(_xlfn.XLOOKUP($F359,Taxa_från_edp!$B:$B,Taxa_från_edp!C:C),""),"")</f>
        <v/>
      </c>
      <c r="I359" s="149" t="str">
        <f>IF($F359&lt;&gt;"",IFERROR(_xlfn.XLOOKUP($F359,Taxa_från_edp!$B:$B,Taxa_från_edp!G:G),""),"")</f>
        <v/>
      </c>
      <c r="J359" s="149" t="str">
        <f>IF($F359&lt;&gt;"",IFERROR(_xlfn.XLOOKUP($F359,Taxa_från_edp!$B:$B,Taxa_från_edp!K:K),""),"")</f>
        <v/>
      </c>
      <c r="K359" s="149"/>
      <c r="L359" s="149"/>
      <c r="M359" s="121" t="str">
        <f t="shared" si="90"/>
        <v/>
      </c>
      <c r="N359" s="144" t="str">
        <f t="shared" si="91"/>
        <v/>
      </c>
    </row>
    <row r="360" spans="1:14" x14ac:dyDescent="0.25">
      <c r="A360" s="100" t="s">
        <v>1772</v>
      </c>
      <c r="B360" s="68" t="s">
        <v>265</v>
      </c>
      <c r="C360" s="68" t="s">
        <v>266</v>
      </c>
      <c r="D360" s="68"/>
      <c r="E360" s="68" t="s">
        <v>267</v>
      </c>
      <c r="F360" s="107"/>
      <c r="G360" s="117" t="str">
        <f>IF($F360&lt;&gt;"",$F360,IFERROR(_xlfn.XLOOKUP(ROW(),Taxa_Saknas!$H:$H,Taxa_Saknas!$G:$G),""))</f>
        <v/>
      </c>
      <c r="H360" s="128" t="str">
        <f>IF($F360&lt;&gt;"",IFERROR(_xlfn.XLOOKUP($F360,Taxa_från_edp!$B:$B,Taxa_från_edp!C:C),""),"")</f>
        <v/>
      </c>
      <c r="I360" s="129" t="str">
        <f>IF($F360&lt;&gt;"",IFERROR(_xlfn.XLOOKUP($F360,Taxa_från_edp!$B:$B,Taxa_från_edp!G:G),""),"")</f>
        <v/>
      </c>
      <c r="J360" s="129" t="str">
        <f>IF($F360&lt;&gt;"",IFERROR(_xlfn.XLOOKUP($F360,Taxa_från_edp!$B:$B,Taxa_från_edp!K:K),""),"")</f>
        <v/>
      </c>
      <c r="K360" s="150"/>
      <c r="L360" s="151"/>
      <c r="M360" s="147" t="str">
        <f t="shared" si="90"/>
        <v/>
      </c>
      <c r="N360" s="148" t="str">
        <f t="shared" si="91"/>
        <v/>
      </c>
    </row>
    <row r="361" spans="1:14" ht="45" customHeight="1" x14ac:dyDescent="0.25">
      <c r="A361" s="100" t="s">
        <v>1772</v>
      </c>
      <c r="B361" s="68" t="s">
        <v>265</v>
      </c>
      <c r="C361" s="68" t="s">
        <v>268</v>
      </c>
      <c r="D361" s="68"/>
      <c r="E361" s="68" t="s">
        <v>267</v>
      </c>
      <c r="F361" s="107"/>
      <c r="G361" s="117" t="str">
        <f>IF($F361&lt;&gt;"",$F361,IFERROR(_xlfn.XLOOKUP(ROW(),Taxa_Saknas!$H:$H,Taxa_Saknas!$G:$G),""))</f>
        <v/>
      </c>
      <c r="H361" s="128" t="str">
        <f>IF($F361&lt;&gt;"",IFERROR(_xlfn.XLOOKUP($F361,Taxa_från_edp!$B:$B,Taxa_från_edp!C:C),""),"")</f>
        <v/>
      </c>
      <c r="I361" s="129" t="str">
        <f>IF($F361&lt;&gt;"",IFERROR(_xlfn.XLOOKUP($F361,Taxa_från_edp!$B:$B,Taxa_från_edp!G:G),""),"")</f>
        <v/>
      </c>
      <c r="J361" s="129" t="str">
        <f>IF($F361&lt;&gt;"",IFERROR(_xlfn.XLOOKUP($F361,Taxa_från_edp!$B:$B,Taxa_från_edp!K:K),""),"")</f>
        <v/>
      </c>
      <c r="K361" s="150"/>
      <c r="L361" s="151"/>
      <c r="M361" s="147" t="str">
        <f t="shared" si="90"/>
        <v/>
      </c>
      <c r="N361" s="148" t="str">
        <f t="shared" si="91"/>
        <v/>
      </c>
    </row>
    <row r="362" spans="1:14" x14ac:dyDescent="0.25">
      <c r="A362" s="100" t="s">
        <v>1772</v>
      </c>
      <c r="B362" s="68" t="s">
        <v>265</v>
      </c>
      <c r="C362" s="68" t="s">
        <v>269</v>
      </c>
      <c r="D362" s="68"/>
      <c r="E362" s="68" t="s">
        <v>267</v>
      </c>
      <c r="F362" s="106"/>
      <c r="G362" s="116" t="str">
        <f>IF($F362&lt;&gt;"",$F362,IFERROR(_xlfn.XLOOKUP(ROW(),Taxa_Saknas!$H:$H,Taxa_Saknas!$G:$G),""))</f>
        <v/>
      </c>
      <c r="H362" s="126" t="str">
        <f>IF($F362&lt;&gt;"",IFERROR(_xlfn.XLOOKUP($F362,Taxa_från_edp!$B:$B,Taxa_från_edp!C:C),""),"")</f>
        <v/>
      </c>
      <c r="I362" s="127" t="str">
        <f>IF($F362&lt;&gt;"",IFERROR(_xlfn.XLOOKUP($F362,Taxa_från_edp!$B:$B,Taxa_från_edp!G:G),""),"")</f>
        <v/>
      </c>
      <c r="J362" s="127" t="str">
        <f>IF($F362&lt;&gt;"",IFERROR(_xlfn.XLOOKUP($F362,Taxa_från_edp!$B:$B,Taxa_från_edp!K:K),""),"")</f>
        <v/>
      </c>
      <c r="K362" s="145"/>
      <c r="L362" s="146"/>
      <c r="M362" s="147" t="str">
        <f t="shared" si="90"/>
        <v/>
      </c>
      <c r="N362" s="148" t="str">
        <f t="shared" si="91"/>
        <v/>
      </c>
    </row>
    <row r="363" spans="1:14" x14ac:dyDescent="0.25">
      <c r="A363" s="100" t="s">
        <v>1772</v>
      </c>
      <c r="B363" s="68" t="s">
        <v>265</v>
      </c>
      <c r="C363" s="100" t="s">
        <v>652</v>
      </c>
      <c r="D363" s="68"/>
      <c r="E363" s="70" t="s">
        <v>54</v>
      </c>
      <c r="F363" s="106"/>
      <c r="G363" s="116" t="str">
        <f>IF($F363&lt;&gt;"",$F363,IFERROR(_xlfn.XLOOKUP(ROW(),Taxa_Saknas!$H:$H,Taxa_Saknas!$G:$G),""))</f>
        <v/>
      </c>
      <c r="H363" s="126" t="str">
        <f>IF($F363&lt;&gt;"",IFERROR(_xlfn.XLOOKUP($F363,Taxa_från_edp!$B:$B,Taxa_från_edp!C:C),""),"")</f>
        <v/>
      </c>
      <c r="I363" s="127" t="str">
        <f>IF($F363&lt;&gt;"",IFERROR(_xlfn.XLOOKUP($F363,Taxa_från_edp!$B:$B,Taxa_från_edp!G:G),""),"")</f>
        <v/>
      </c>
      <c r="J363" s="127" t="str">
        <f>IF($F363&lt;&gt;"",IFERROR(_xlfn.XLOOKUP($F363,Taxa_från_edp!$B:$B,Taxa_från_edp!K:K),""),"")</f>
        <v/>
      </c>
      <c r="K363" s="145"/>
      <c r="L363" s="146"/>
      <c r="M363" s="147" t="str">
        <f t="shared" ref="M363" si="94">IFERROR(IF(J363&lt;&gt;"",J363*1.25,IF(K363&lt;&gt;"",K363*1.25,"")),"")</f>
        <v/>
      </c>
      <c r="N363" s="148" t="str">
        <f t="shared" ref="N363" si="95">IFERROR(IF(J363&lt;&gt;"",L363*J363,IF(K363&lt;&gt;"",L363*K363,"")),"")</f>
        <v/>
      </c>
    </row>
    <row r="364" spans="1:14" ht="21.95" customHeight="1" x14ac:dyDescent="0.25">
      <c r="A364" s="102" t="s">
        <v>1773</v>
      </c>
      <c r="B364" s="84"/>
      <c r="C364" s="84"/>
      <c r="D364" s="84"/>
      <c r="E364" s="85"/>
      <c r="F364" s="113"/>
      <c r="G364" s="121" t="str">
        <f>IF($F364&lt;&gt;"",$F364,IFERROR(_xlfn.XLOOKUP(ROW(),Taxa_Saknas!$H:$H,Taxa_Saknas!$G:$G),""))</f>
        <v/>
      </c>
      <c r="H364" s="121" t="str">
        <f>IF($F364&lt;&gt;"",IFERROR(_xlfn.XLOOKUP($F364,Taxa_från_edp!$B:$B,Taxa_från_edp!C:C),""),"")</f>
        <v/>
      </c>
      <c r="I364" s="121" t="str">
        <f>IF($F364&lt;&gt;"",IFERROR(_xlfn.XLOOKUP($F364,Taxa_från_edp!$B:$B,Taxa_från_edp!G:G),""),"")</f>
        <v/>
      </c>
      <c r="J364" s="121" t="str">
        <f>IF($F364&lt;&gt;"",IFERROR(_xlfn.XLOOKUP($F364,Taxa_från_edp!$B:$B,Taxa_från_edp!K:K),""),"")</f>
        <v/>
      </c>
      <c r="K364" s="121"/>
      <c r="L364" s="121"/>
      <c r="M364" s="121" t="str">
        <f t="shared" si="90"/>
        <v/>
      </c>
      <c r="N364" s="144" t="str">
        <f t="shared" si="91"/>
        <v/>
      </c>
    </row>
    <row r="365" spans="1:14" x14ac:dyDescent="0.25">
      <c r="A365" s="103" t="s">
        <v>1774</v>
      </c>
      <c r="B365" s="70" t="s">
        <v>271</v>
      </c>
      <c r="C365" s="103" t="s">
        <v>1775</v>
      </c>
      <c r="D365" s="70"/>
      <c r="E365" s="70" t="s">
        <v>54</v>
      </c>
      <c r="F365" s="115"/>
      <c r="G365" s="123" t="str">
        <f>IF($F365&lt;&gt;"",$F365,IFERROR(_xlfn.XLOOKUP(ROW(),Taxa_Saknas!$H:$H,Taxa_Saknas!$G:$G),""))</f>
        <v/>
      </c>
      <c r="H365" s="157" t="str">
        <f>IF($F365&lt;&gt;"",IFERROR(_xlfn.XLOOKUP($F365,Taxa_från_edp!$B:$B,Taxa_från_edp!C:C),""),"")</f>
        <v/>
      </c>
      <c r="I365" s="157" t="str">
        <f>IF($F365&lt;&gt;"",IFERROR(_xlfn.XLOOKUP($F365,Taxa_från_edp!$B:$B,Taxa_från_edp!G:G),""),"")</f>
        <v/>
      </c>
      <c r="J365" s="157" t="str">
        <f>IF($F365&lt;&gt;"",IFERROR(_xlfn.XLOOKUP($F365,Taxa_från_edp!$B:$B,Taxa_från_edp!K:K),""),"")</f>
        <v/>
      </c>
      <c r="K365" s="123"/>
      <c r="L365" s="115"/>
      <c r="M365" s="147" t="str">
        <f t="shared" si="90"/>
        <v/>
      </c>
      <c r="N365" s="148" t="str">
        <f t="shared" si="91"/>
        <v/>
      </c>
    </row>
    <row r="366" spans="1:14" x14ac:dyDescent="0.25">
      <c r="A366" s="103" t="s">
        <v>1774</v>
      </c>
      <c r="B366" s="70" t="s">
        <v>271</v>
      </c>
      <c r="C366" s="104" t="s">
        <v>1777</v>
      </c>
      <c r="D366" s="80" t="s">
        <v>37</v>
      </c>
      <c r="E366" s="80" t="s">
        <v>20</v>
      </c>
      <c r="F366" s="115"/>
      <c r="G366" s="123" t="str">
        <f>IF($F366&lt;&gt;"",$F366,IFERROR(_xlfn.XLOOKUP(ROW(),Taxa_Saknas!$H:$H,Taxa_Saknas!$G:$G),""))</f>
        <v/>
      </c>
      <c r="H366" s="157" t="str">
        <f>IF($F366&lt;&gt;"",IFERROR(_xlfn.XLOOKUP($F366,Taxa_från_edp!$B:$B,Taxa_från_edp!C:C),""),"")</f>
        <v/>
      </c>
      <c r="I366" s="157" t="str">
        <f>IF($F366&lt;&gt;"",IFERROR(_xlfn.XLOOKUP($F366,Taxa_från_edp!$B:$B,Taxa_från_edp!G:G),""),"")</f>
        <v/>
      </c>
      <c r="J366" s="157" t="str">
        <f>IF($F366&lt;&gt;"",IFERROR(_xlfn.XLOOKUP($F366,Taxa_från_edp!$B:$B,Taxa_från_edp!K:K),""),"")</f>
        <v/>
      </c>
      <c r="K366" s="123"/>
      <c r="L366" s="115"/>
      <c r="M366" s="147" t="str">
        <f t="shared" si="90"/>
        <v/>
      </c>
      <c r="N366" s="148" t="str">
        <f t="shared" si="91"/>
        <v/>
      </c>
    </row>
    <row r="367" spans="1:14" x14ac:dyDescent="0.25">
      <c r="A367" s="103" t="s">
        <v>1774</v>
      </c>
      <c r="B367" s="70" t="s">
        <v>271</v>
      </c>
      <c r="C367" s="104" t="s">
        <v>1778</v>
      </c>
      <c r="D367" s="80"/>
      <c r="E367" s="80" t="s">
        <v>20</v>
      </c>
      <c r="F367" s="115"/>
      <c r="G367" s="123" t="str">
        <f>IF($F367&lt;&gt;"",$F367,IFERROR(_xlfn.XLOOKUP(ROW(),Taxa_Saknas!$H:$H,Taxa_Saknas!$G:$G),""))</f>
        <v/>
      </c>
      <c r="H367" s="157" t="str">
        <f>IF($F367&lt;&gt;"",IFERROR(_xlfn.XLOOKUP($F367,Taxa_från_edp!$B:$B,Taxa_från_edp!C:C),""),"")</f>
        <v/>
      </c>
      <c r="I367" s="157" t="str">
        <f>IF($F367&lt;&gt;"",IFERROR(_xlfn.XLOOKUP($F367,Taxa_från_edp!$B:$B,Taxa_från_edp!G:G),""),"")</f>
        <v/>
      </c>
      <c r="J367" s="157" t="str">
        <f>IF($F367&lt;&gt;"",IFERROR(_xlfn.XLOOKUP($F367,Taxa_från_edp!$B:$B,Taxa_från_edp!K:K),""),"")</f>
        <v/>
      </c>
      <c r="K367" s="123"/>
      <c r="L367" s="115"/>
      <c r="M367" s="147" t="str">
        <f t="shared" si="90"/>
        <v/>
      </c>
      <c r="N367" s="148" t="str">
        <f t="shared" si="91"/>
        <v/>
      </c>
    </row>
    <row r="368" spans="1:14" x14ac:dyDescent="0.25">
      <c r="A368" s="103" t="s">
        <v>1774</v>
      </c>
      <c r="B368" s="70" t="s">
        <v>271</v>
      </c>
      <c r="C368" s="104" t="s">
        <v>1776</v>
      </c>
      <c r="D368" s="80"/>
      <c r="E368" s="80" t="s">
        <v>20</v>
      </c>
      <c r="F368" s="115"/>
      <c r="G368" s="123" t="str">
        <f>IF($F368&lt;&gt;"",$F368,IFERROR(_xlfn.XLOOKUP(ROW(),Taxa_Saknas!$H:$H,Taxa_Saknas!$G:$G),""))</f>
        <v/>
      </c>
      <c r="H368" s="157" t="str">
        <f>IF($F368&lt;&gt;"",IFERROR(_xlfn.XLOOKUP($F368,Taxa_från_edp!$B:$B,Taxa_från_edp!C:C),""),"")</f>
        <v/>
      </c>
      <c r="I368" s="157" t="str">
        <f>IF($F368&lt;&gt;"",IFERROR(_xlfn.XLOOKUP($F368,Taxa_från_edp!$B:$B,Taxa_från_edp!G:G),""),"")</f>
        <v/>
      </c>
      <c r="J368" s="157" t="str">
        <f>IF($F368&lt;&gt;"",IFERROR(_xlfn.XLOOKUP($F368,Taxa_från_edp!$B:$B,Taxa_från_edp!K:K),""),"")</f>
        <v/>
      </c>
      <c r="K368" s="123"/>
      <c r="L368" s="115"/>
      <c r="M368" s="147" t="str">
        <f t="shared" si="90"/>
        <v/>
      </c>
      <c r="N368" s="148" t="str">
        <f t="shared" si="91"/>
        <v/>
      </c>
    </row>
  </sheetData>
  <mergeCells count="64">
    <mergeCell ref="F6:J6"/>
    <mergeCell ref="A343:E343"/>
    <mergeCell ref="F243:J243"/>
    <mergeCell ref="F212:J212"/>
    <mergeCell ref="F199:J199"/>
    <mergeCell ref="F163:J163"/>
    <mergeCell ref="A207:E207"/>
    <mergeCell ref="A214:E214"/>
    <mergeCell ref="A236:E236"/>
    <mergeCell ref="A245:E245"/>
    <mergeCell ref="A279:E279"/>
    <mergeCell ref="A7:E7"/>
    <mergeCell ref="A19:E19"/>
    <mergeCell ref="A8:E8"/>
    <mergeCell ref="A191:E191"/>
    <mergeCell ref="A196:E196"/>
    <mergeCell ref="A37:E37"/>
    <mergeCell ref="A133:E133"/>
    <mergeCell ref="A195:E195"/>
    <mergeCell ref="A206:E206"/>
    <mergeCell ref="A201:E201"/>
    <mergeCell ref="A359:E359"/>
    <mergeCell ref="B1:L1"/>
    <mergeCell ref="A100:E100"/>
    <mergeCell ref="A109:E109"/>
    <mergeCell ref="A200:E200"/>
    <mergeCell ref="A68:E68"/>
    <mergeCell ref="A172:E172"/>
    <mergeCell ref="A145:E145"/>
    <mergeCell ref="A158:E158"/>
    <mergeCell ref="A152:E152"/>
    <mergeCell ref="A110:E110"/>
    <mergeCell ref="A221:E221"/>
    <mergeCell ref="A123:E123"/>
    <mergeCell ref="A364:E364"/>
    <mergeCell ref="A213:E213"/>
    <mergeCell ref="A130:E130"/>
    <mergeCell ref="A252:E252"/>
    <mergeCell ref="A173:E173"/>
    <mergeCell ref="A243:E243"/>
    <mergeCell ref="A6:E6"/>
    <mergeCell ref="A113:E113"/>
    <mergeCell ref="A126:E126"/>
    <mergeCell ref="A186:E186"/>
    <mergeCell ref="A199:E199"/>
    <mergeCell ref="A149:E149"/>
    <mergeCell ref="A157:E157"/>
    <mergeCell ref="A30:E30"/>
    <mergeCell ref="A165:E165"/>
    <mergeCell ref="A84:E84"/>
    <mergeCell ref="A164:E164"/>
    <mergeCell ref="A244:E244"/>
    <mergeCell ref="A212:E212"/>
    <mergeCell ref="B2:L2"/>
    <mergeCell ref="A139:E139"/>
    <mergeCell ref="A163:E163"/>
    <mergeCell ref="A18:E18"/>
    <mergeCell ref="A235:E235"/>
    <mergeCell ref="A120:E120"/>
    <mergeCell ref="A104:E104"/>
    <mergeCell ref="A222:E222"/>
    <mergeCell ref="A25:E25"/>
    <mergeCell ref="A185:E185"/>
    <mergeCell ref="A105:E105"/>
  </mergeCells>
  <phoneticPr fontId="1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Taxa_från_edp!$B$2:$B$371</xm:f>
          </x14:formula1>
          <xm:sqref>F9:F363</xm:sqref>
        </x14:dataValidation>
        <x14:dataValidation type="list" xr:uid="{00000000-0002-0000-0100-000001000000}">
          <x14:formula1>
            <xm:f>Taxa_från_edp!$B$2:$B$371</xm:f>
          </x14:formula1>
          <xm:sqref>F9:F368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62"/>
  <sheetViews>
    <sheetView topLeftCell="A320" workbookViewId="0">
      <selection activeCell="F369" sqref="F369"/>
    </sheetView>
  </sheetViews>
  <sheetFormatPr defaultRowHeight="15" x14ac:dyDescent="0.25"/>
  <cols>
    <col min="1" max="12" width="23.140625" customWidth="1"/>
  </cols>
  <sheetData>
    <row r="1" spans="1:12" x14ac:dyDescent="0.25">
      <c r="A1" s="13" t="s">
        <v>2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9</v>
      </c>
      <c r="H1" s="14" t="s">
        <v>10</v>
      </c>
      <c r="I1" s="14" t="s">
        <v>11</v>
      </c>
      <c r="J1" s="14" t="s">
        <v>13</v>
      </c>
      <c r="K1" s="14" t="s">
        <v>276</v>
      </c>
      <c r="L1" s="15" t="s">
        <v>277</v>
      </c>
    </row>
    <row r="2" spans="1:12" x14ac:dyDescent="0.25">
      <c r="A2" s="5" t="str">
        <f>Taxepunkter!A9</f>
        <v>§2.1</v>
      </c>
      <c r="B2" s="4" t="str">
        <f>Taxepunkter!B9</f>
        <v>Grundavgift</v>
      </c>
      <c r="C2" s="4" t="str">
        <f>Taxepunkter!C9</f>
        <v>En- och tvåbostadshus</v>
      </c>
      <c r="D2" s="4">
        <f>Taxepunkter!D9</f>
        <v>0</v>
      </c>
      <c r="E2" s="4" t="str">
        <f>Taxepunkter!E9</f>
        <v>st/år</v>
      </c>
      <c r="F2" s="4" t="str">
        <f>Taxepunkter!F9</f>
        <v>GRUNDPER</v>
      </c>
      <c r="G2" s="4" t="str">
        <f>Taxepunkter!G9</f>
        <v>GRUNDPER</v>
      </c>
      <c r="H2" s="4" t="str">
        <f>Taxepunkter!H9</f>
        <v>Grundavgift permanentboende</v>
      </c>
      <c r="I2" s="4" t="str">
        <f>Taxepunkter!I9</f>
        <v>ÅRPR</v>
      </c>
      <c r="J2" s="4">
        <f>Taxepunkter!J9</f>
        <v>1280</v>
      </c>
      <c r="K2" s="4">
        <f>Taxepunkter!K9</f>
        <v>0</v>
      </c>
      <c r="L2" s="6">
        <f>Taxepunkter!L9</f>
        <v>0</v>
      </c>
    </row>
    <row r="3" spans="1:12" x14ac:dyDescent="0.25">
      <c r="A3" s="5" t="str">
        <f>Taxepunkter!A10</f>
        <v>§2.1</v>
      </c>
      <c r="B3" s="4" t="str">
        <f>Taxepunkter!B10</f>
        <v>Grundavgift</v>
      </c>
      <c r="C3" s="4" t="str">
        <f>Taxepunkter!C10</f>
        <v>Fritidshus</v>
      </c>
      <c r="D3" s="4">
        <f>Taxepunkter!D10</f>
        <v>0</v>
      </c>
      <c r="E3" s="4" t="str">
        <f>Taxepunkter!E10</f>
        <v>st/år</v>
      </c>
      <c r="F3" s="4" t="str">
        <f>Taxepunkter!F10</f>
        <v>GRUNDFRI</v>
      </c>
      <c r="G3" s="4" t="str">
        <f>Taxepunkter!G10</f>
        <v>GRUNDFRI</v>
      </c>
      <c r="H3" s="4" t="str">
        <f>Taxepunkter!H10</f>
        <v>Grundavgift fritidshus</v>
      </c>
      <c r="I3" s="4" t="str">
        <f>Taxepunkter!I10</f>
        <v>ÅRPR</v>
      </c>
      <c r="J3" s="4">
        <f>Taxepunkter!J10</f>
        <v>1040</v>
      </c>
      <c r="K3" s="4">
        <f>Taxepunkter!K10</f>
        <v>0</v>
      </c>
      <c r="L3" s="6">
        <f>Taxepunkter!L10</f>
        <v>0</v>
      </c>
    </row>
    <row r="4" spans="1:12" x14ac:dyDescent="0.25">
      <c r="A4" s="5" t="str">
        <f>Taxepunkter!A11</f>
        <v>§2.1</v>
      </c>
      <c r="B4" s="4" t="str">
        <f>Taxepunkter!B11</f>
        <v>Grundavgift</v>
      </c>
      <c r="C4" s="4" t="str">
        <f>Taxepunkter!C11</f>
        <v>Verksamhet</v>
      </c>
      <c r="D4" s="4">
        <f>Taxepunkter!D11</f>
        <v>0</v>
      </c>
      <c r="E4" s="4" t="str">
        <f>Taxepunkter!E11</f>
        <v>st/år</v>
      </c>
      <c r="F4" s="4" t="str">
        <f>Taxepunkter!F11</f>
        <v>GRUNDLÄG</v>
      </c>
      <c r="G4" s="4" t="str">
        <f>Taxepunkter!G11</f>
        <v>GRUNDLÄG</v>
      </c>
      <c r="H4" s="4" t="str">
        <f>Taxepunkter!H11</f>
        <v>Grundavgift, tvåbostadshus</v>
      </c>
      <c r="I4" s="4" t="str">
        <f>Taxepunkter!I11</f>
        <v>ÅRKV</v>
      </c>
      <c r="J4" s="4">
        <f>Taxepunkter!J11</f>
        <v>680</v>
      </c>
      <c r="K4" s="4">
        <f>Taxepunkter!K11</f>
        <v>0</v>
      </c>
      <c r="L4" s="6">
        <f>Taxepunkter!L11</f>
        <v>0</v>
      </c>
    </row>
    <row r="5" spans="1:12" x14ac:dyDescent="0.25">
      <c r="A5" s="5" t="str">
        <f>Taxepunkter!A12</f>
        <v>§2.1</v>
      </c>
      <c r="B5" s="4" t="str">
        <f>Taxepunkter!B12</f>
        <v>Grundavgift</v>
      </c>
      <c r="C5" s="4" t="str">
        <f>Taxepunkter!C12</f>
        <v>Lägenhet i flerbostadshus</v>
      </c>
      <c r="D5" s="4">
        <f>Taxepunkter!D12</f>
        <v>0</v>
      </c>
      <c r="E5" s="4" t="str">
        <f>Taxepunkter!E12</f>
        <v>st/år</v>
      </c>
      <c r="F5" s="4" t="str">
        <f>Taxepunkter!F12</f>
        <v>GRUNDFLB</v>
      </c>
      <c r="G5" s="4" t="str">
        <f>Taxepunkter!G12</f>
        <v>GRUNDFLB</v>
      </c>
      <c r="H5" s="4" t="str">
        <f>Taxepunkter!H12</f>
        <v>Grundavgift per lägenhet, flerbostadshus</v>
      </c>
      <c r="I5" s="4" t="str">
        <f>Taxepunkter!I12</f>
        <v>ÅRKV</v>
      </c>
      <c r="J5" s="4">
        <f>Taxepunkter!J12</f>
        <v>562.5</v>
      </c>
      <c r="K5" s="4">
        <f>Taxepunkter!K12</f>
        <v>0</v>
      </c>
      <c r="L5" s="6">
        <f>Taxepunkter!L12</f>
        <v>0</v>
      </c>
    </row>
    <row r="6" spans="1:12" x14ac:dyDescent="0.25">
      <c r="A6" s="5" t="str">
        <f>Taxepunkter!A13</f>
        <v>§2.1</v>
      </c>
      <c r="B6" s="4" t="str">
        <f>Taxepunkter!B13</f>
        <v>Grundavgift</v>
      </c>
      <c r="C6" s="4" t="str">
        <f>Taxepunkter!C13</f>
        <v>Lägenhet för specialändamål</v>
      </c>
      <c r="D6" s="4">
        <f>Taxepunkter!D13</f>
        <v>0</v>
      </c>
      <c r="E6" s="4" t="str">
        <f>Taxepunkter!E13</f>
        <v>st/år</v>
      </c>
      <c r="F6" s="4">
        <f>Taxepunkter!F13</f>
        <v>0</v>
      </c>
      <c r="G6" s="4">
        <f>Taxepunkter!G13</f>
        <v>0</v>
      </c>
      <c r="H6" s="4" t="str">
        <f>Taxepunkter!H13</f>
        <v/>
      </c>
      <c r="I6" s="4" t="str">
        <f>Taxepunkter!I13</f>
        <v/>
      </c>
      <c r="J6" s="4" t="str">
        <f>Taxepunkter!J13</f>
        <v/>
      </c>
      <c r="K6" s="4">
        <f>Taxepunkter!K13</f>
        <v>0</v>
      </c>
      <c r="L6" s="6">
        <f>Taxepunkter!L13</f>
        <v>0</v>
      </c>
    </row>
    <row r="7" spans="1:12" x14ac:dyDescent="0.25">
      <c r="A7" s="5" t="str">
        <f>Taxepunkter!A14</f>
        <v>§2.1</v>
      </c>
      <c r="B7" s="4" t="str">
        <f>Taxepunkter!B14</f>
        <v>Grundavgift</v>
      </c>
      <c r="C7" s="4" t="str">
        <f>Taxepunkter!C14</f>
        <v>Anläggning</v>
      </c>
      <c r="D7" s="4">
        <f>Taxepunkter!D14</f>
        <v>0</v>
      </c>
      <c r="E7" s="4" t="str">
        <f>Taxepunkter!E14</f>
        <v>st/år</v>
      </c>
      <c r="F7" s="4">
        <f>Taxepunkter!F14</f>
        <v>0</v>
      </c>
      <c r="G7" s="4">
        <f>Taxepunkter!G14</f>
        <v>0</v>
      </c>
      <c r="H7" s="4" t="str">
        <f>Taxepunkter!H14</f>
        <v/>
      </c>
      <c r="I7" s="4" t="str">
        <f>Taxepunkter!I14</f>
        <v/>
      </c>
      <c r="J7" s="4" t="str">
        <f>Taxepunkter!J14</f>
        <v/>
      </c>
      <c r="K7" s="4">
        <f>Taxepunkter!K14</f>
        <v>0</v>
      </c>
      <c r="L7" s="6">
        <f>Taxepunkter!L14</f>
        <v>0</v>
      </c>
    </row>
    <row r="8" spans="1:12" x14ac:dyDescent="0.25">
      <c r="A8" s="5" t="str">
        <f>Taxepunkter!A15</f>
        <v>§2.1</v>
      </c>
      <c r="B8" s="4" t="str">
        <f>Taxepunkter!B15</f>
        <v>Grundavgift</v>
      </c>
      <c r="C8" s="4" t="str">
        <f>Taxepunkter!C15</f>
        <v>Säsongsbaserad uppställningsplats</v>
      </c>
      <c r="D8" s="4">
        <f>Taxepunkter!D15</f>
        <v>0</v>
      </c>
      <c r="E8" s="4" t="str">
        <f>Taxepunkter!E15</f>
        <v>st/år</v>
      </c>
      <c r="F8" s="4">
        <f>Taxepunkter!F15</f>
        <v>0</v>
      </c>
      <c r="G8" s="4">
        <f>Taxepunkter!G15</f>
        <v>0</v>
      </c>
      <c r="H8" s="4" t="str">
        <f>Taxepunkter!H15</f>
        <v/>
      </c>
      <c r="I8" s="4" t="str">
        <f>Taxepunkter!I15</f>
        <v/>
      </c>
      <c r="J8" s="4" t="str">
        <f>Taxepunkter!J15</f>
        <v/>
      </c>
      <c r="K8" s="4">
        <f>Taxepunkter!K15</f>
        <v>0</v>
      </c>
      <c r="L8" s="6">
        <f>Taxepunkter!L15</f>
        <v>0</v>
      </c>
    </row>
    <row r="9" spans="1:12" x14ac:dyDescent="0.25">
      <c r="A9" s="5" t="str">
        <f>Taxepunkter!A16</f>
        <v>§2.1</v>
      </c>
      <c r="B9" s="4" t="str">
        <f>Taxepunkter!B16</f>
        <v>Grundavgift</v>
      </c>
      <c r="C9" s="4" t="str">
        <f>Taxepunkter!C16</f>
        <v>Campingstuga/-lägenhet</v>
      </c>
      <c r="D9" s="4">
        <f>Taxepunkter!D16</f>
        <v>0</v>
      </c>
      <c r="E9" s="4" t="str">
        <f>Taxepunkter!E16</f>
        <v>st/år</v>
      </c>
      <c r="F9" s="4">
        <f>Taxepunkter!F16</f>
        <v>0</v>
      </c>
      <c r="G9" s="4">
        <f>Taxepunkter!G16</f>
        <v>0</v>
      </c>
      <c r="H9" s="4" t="str">
        <f>Taxepunkter!H16</f>
        <v/>
      </c>
      <c r="I9" s="4" t="str">
        <f>Taxepunkter!I16</f>
        <v/>
      </c>
      <c r="J9" s="4" t="str">
        <f>Taxepunkter!J16</f>
        <v/>
      </c>
      <c r="K9" s="4">
        <f>Taxepunkter!K16</f>
        <v>0</v>
      </c>
      <c r="L9" s="6">
        <f>Taxepunkter!L16</f>
        <v>0</v>
      </c>
    </row>
    <row r="10" spans="1:12" x14ac:dyDescent="0.25">
      <c r="A10" s="5" t="str">
        <f>Taxepunkter!A17</f>
        <v>§2.1</v>
      </c>
      <c r="B10" s="4" t="str">
        <f>Taxepunkter!B17</f>
        <v>Grundavgift</v>
      </c>
      <c r="C10" s="4" t="str">
        <f>Taxepunkter!C17</f>
        <v>Administrativ avgift vid beviljad dispens om uppehåll i hämtning eller eget omhändertagande av avfall under kommunalt ansvar</v>
      </c>
      <c r="D10" s="4">
        <f>Taxepunkter!D17</f>
        <v>0</v>
      </c>
      <c r="E10" s="4" t="str">
        <f>Taxepunkter!E17</f>
        <v>st/år</v>
      </c>
      <c r="F10" s="4">
        <f>Taxepunkter!F17</f>
        <v>0</v>
      </c>
      <c r="G10" s="4">
        <f>Taxepunkter!G17</f>
        <v>0</v>
      </c>
      <c r="H10" s="4" t="str">
        <f>Taxepunkter!H17</f>
        <v/>
      </c>
      <c r="I10" s="4" t="str">
        <f>Taxepunkter!I17</f>
        <v/>
      </c>
      <c r="J10" s="4" t="str">
        <f>Taxepunkter!J17</f>
        <v/>
      </c>
      <c r="K10" s="4">
        <f>Taxepunkter!K17</f>
        <v>0</v>
      </c>
      <c r="L10" s="6">
        <f>Taxepunkter!L17</f>
        <v>0</v>
      </c>
    </row>
    <row r="11" spans="1:12" x14ac:dyDescent="0.25">
      <c r="A11" s="5" t="str">
        <f>Taxepunkter!A18</f>
        <v>§2.2 Årlig hämtningsavgift per abonnemangstyp</v>
      </c>
      <c r="B11" s="4">
        <f>Taxepunkter!B18</f>
        <v>0</v>
      </c>
      <c r="C11" s="4">
        <f>Taxepunkter!C18</f>
        <v>0</v>
      </c>
      <c r="D11" s="4">
        <f>Taxepunkter!D18</f>
        <v>0</v>
      </c>
      <c r="E11" s="4">
        <f>Taxepunkter!E18</f>
        <v>0</v>
      </c>
      <c r="F11" s="4">
        <f>Taxepunkter!F18</f>
        <v>0</v>
      </c>
      <c r="G11" s="4" t="str">
        <f>Taxepunkter!G18</f>
        <v/>
      </c>
      <c r="H11" s="4" t="str">
        <f>Taxepunkter!H18</f>
        <v/>
      </c>
      <c r="I11" s="4" t="str">
        <f>Taxepunkter!I18</f>
        <v/>
      </c>
      <c r="J11" s="4" t="str">
        <f>Taxepunkter!J18</f>
        <v/>
      </c>
      <c r="K11" s="4">
        <f>Taxepunkter!K18</f>
        <v>0</v>
      </c>
      <c r="L11" s="6">
        <f>Taxepunkter!L18</f>
        <v>0</v>
      </c>
    </row>
    <row r="12" spans="1:12" x14ac:dyDescent="0.25">
      <c r="A12" s="5" t="str">
        <f>Taxepunkter!A19</f>
        <v>§2.2.1 Hämtningsavgift per år för en- och tvåbostadshus</v>
      </c>
      <c r="B12" s="4">
        <f>Taxepunkter!B19</f>
        <v>0</v>
      </c>
      <c r="C12" s="4">
        <f>Taxepunkter!C19</f>
        <v>0</v>
      </c>
      <c r="D12" s="4">
        <f>Taxepunkter!D19</f>
        <v>0</v>
      </c>
      <c r="E12" s="4">
        <f>Taxepunkter!E19</f>
        <v>0</v>
      </c>
      <c r="F12" s="4">
        <f>Taxepunkter!F19</f>
        <v>0</v>
      </c>
      <c r="G12" s="4" t="str">
        <f>Taxepunkter!G19</f>
        <v/>
      </c>
      <c r="H12" s="4" t="str">
        <f>Taxepunkter!H19</f>
        <v/>
      </c>
      <c r="I12" s="4" t="str">
        <f>Taxepunkter!I19</f>
        <v/>
      </c>
      <c r="J12" s="4" t="str">
        <f>Taxepunkter!J19</f>
        <v/>
      </c>
      <c r="K12" s="4">
        <f>Taxepunkter!K19</f>
        <v>0</v>
      </c>
      <c r="L12" s="6">
        <f>Taxepunkter!L19</f>
        <v>0</v>
      </c>
    </row>
    <row r="13" spans="1:12" x14ac:dyDescent="0.25">
      <c r="A13" s="5" t="str">
        <f>Taxepunkter!A20</f>
        <v>§2.2.1</v>
      </c>
      <c r="B13" s="4" t="str">
        <f>Taxepunkter!B20</f>
        <v>Hämtningsavgift per år för en- och tvåbostadshus</v>
      </c>
      <c r="C13" s="4" t="str">
        <f>Taxepunkter!C20</f>
        <v>Kärl 240 l (mat-/restavfall)</v>
      </c>
      <c r="D13" s="4" t="str">
        <f>Taxepunkter!D20</f>
        <v>Hämtning var 14:e dag</v>
      </c>
      <c r="E13" s="4" t="str">
        <f>Taxepunkter!E20</f>
        <v>st/år</v>
      </c>
      <c r="F13" s="4" t="str">
        <f>Taxepunkter!F20</f>
        <v>KÄ240RM26</v>
      </c>
      <c r="G13" s="4" t="str">
        <f>Taxepunkter!G20</f>
        <v>KÄ240RM26</v>
      </c>
      <c r="H13" s="4" t="str">
        <f>Taxepunkter!H20</f>
        <v>Tvåfackskärl , rest/matavfall.</v>
      </c>
      <c r="I13" s="4" t="str">
        <f>Taxepunkter!I20</f>
        <v>ÅRKV</v>
      </c>
      <c r="J13" s="4">
        <f>Taxepunkter!J20</f>
        <v>640</v>
      </c>
      <c r="K13" s="4">
        <f>Taxepunkter!K20</f>
        <v>0</v>
      </c>
      <c r="L13" s="6">
        <f>Taxepunkter!L20</f>
        <v>0</v>
      </c>
    </row>
    <row r="14" spans="1:12" x14ac:dyDescent="0.25">
      <c r="A14" s="5" t="str">
        <f>Taxepunkter!A21</f>
        <v>§2.2.1</v>
      </c>
      <c r="B14" s="4" t="str">
        <f>Taxepunkter!B21</f>
        <v>Hämtningsavgift per år för en- och tvåbostadshus</v>
      </c>
      <c r="C14" s="4" t="str">
        <f>Taxepunkter!C21</f>
        <v>Kärl 240 l (mat-/restavfall)</v>
      </c>
      <c r="D14" s="4" t="str">
        <f>Taxepunkter!D21</f>
        <v>Hämtning månadsvis</v>
      </c>
      <c r="E14" s="4" t="str">
        <f>Taxepunkter!E21</f>
        <v>st/år</v>
      </c>
      <c r="F14" s="4">
        <f>Taxepunkter!F21</f>
        <v>0</v>
      </c>
      <c r="G14" s="4">
        <f>Taxepunkter!G21</f>
        <v>0</v>
      </c>
      <c r="H14" s="4" t="str">
        <f>Taxepunkter!H21</f>
        <v/>
      </c>
      <c r="I14" s="4" t="str">
        <f>Taxepunkter!I21</f>
        <v/>
      </c>
      <c r="J14" s="4" t="str">
        <f>Taxepunkter!J21</f>
        <v/>
      </c>
      <c r="K14" s="4">
        <f>Taxepunkter!K21</f>
        <v>0</v>
      </c>
      <c r="L14" s="6">
        <f>Taxepunkter!L21</f>
        <v>0</v>
      </c>
    </row>
    <row r="15" spans="1:12" x14ac:dyDescent="0.25">
      <c r="A15" s="5" t="str">
        <f>Taxepunkter!A22</f>
        <v>§2.2.1</v>
      </c>
      <c r="B15" s="4" t="str">
        <f>Taxepunkter!B22</f>
        <v>Hämtningsavgift per år för en- och tvåbostadshus</v>
      </c>
      <c r="C15" s="4" t="str">
        <f>Taxepunkter!C22</f>
        <v>Extrakärl 190 l (restavfall)</v>
      </c>
      <c r="D15" s="4" t="str">
        <f>Taxepunkter!D22</f>
        <v>Hämtning var 14:e dag</v>
      </c>
      <c r="E15" s="4" t="str">
        <f>Taxepunkter!E22</f>
        <v>st/år</v>
      </c>
      <c r="F15" s="4" t="str">
        <f>Taxepunkter!F22</f>
        <v>KÄ190XRM26</v>
      </c>
      <c r="G15" s="4" t="str">
        <f>Taxepunkter!G22</f>
        <v>KÄ190XRM26</v>
      </c>
      <c r="H15" s="4" t="str">
        <f>Taxepunkter!H22</f>
        <v/>
      </c>
      <c r="I15" s="4" t="str">
        <f>Taxepunkter!I22</f>
        <v/>
      </c>
      <c r="J15" s="4" t="str">
        <f>Taxepunkter!J22</f>
        <v/>
      </c>
      <c r="K15" s="4">
        <f>Taxepunkter!K22</f>
        <v>0</v>
      </c>
      <c r="L15" s="6">
        <f>Taxepunkter!L22</f>
        <v>0</v>
      </c>
    </row>
    <row r="16" spans="1:12" x14ac:dyDescent="0.25">
      <c r="A16" s="5" t="str">
        <f>Taxepunkter!A23</f>
        <v>§2.2.1</v>
      </c>
      <c r="B16" s="4" t="str">
        <f>Taxepunkter!B23</f>
        <v>Hämtningsavgift per år för en- och tvåbostadshus</v>
      </c>
      <c r="C16" s="4" t="str">
        <f>Taxepunkter!C23</f>
        <v>Extrakärl 190 l (restavfall)</v>
      </c>
      <c r="D16" s="4" t="str">
        <f>Taxepunkter!D23</f>
        <v>Hämtning månadsvis</v>
      </c>
      <c r="E16" s="4" t="str">
        <f>Taxepunkter!E23</f>
        <v>st/år</v>
      </c>
      <c r="F16" s="4">
        <f>Taxepunkter!F23</f>
        <v>0</v>
      </c>
      <c r="G16" s="4">
        <f>Taxepunkter!G23</f>
        <v>0</v>
      </c>
      <c r="H16" s="4" t="str">
        <f>Taxepunkter!H23</f>
        <v/>
      </c>
      <c r="I16" s="4" t="str">
        <f>Taxepunkter!I23</f>
        <v/>
      </c>
      <c r="J16" s="4" t="str">
        <f>Taxepunkter!J23</f>
        <v/>
      </c>
      <c r="K16" s="4">
        <f>Taxepunkter!K23</f>
        <v>0</v>
      </c>
      <c r="L16" s="6">
        <f>Taxepunkter!L23</f>
        <v>0</v>
      </c>
    </row>
    <row r="17" spans="1:12" x14ac:dyDescent="0.25">
      <c r="A17" s="5" t="str">
        <f>Taxepunkter!A24</f>
        <v>§2.2.1</v>
      </c>
      <c r="B17" s="4" t="str">
        <f>Taxepunkter!B24</f>
        <v>Hämtningsavgift per år för en- och tvåbostadshus</v>
      </c>
      <c r="C17" s="4" t="str">
        <f>Taxepunkter!C24</f>
        <v>Kärl 370 l (papper-/plastförpackningar)</v>
      </c>
      <c r="D17" s="4" t="str">
        <f>Taxepunkter!D24</f>
        <v>Kostnadsfritt</v>
      </c>
      <c r="E17" s="4" t="str">
        <f>Taxepunkter!E24</f>
        <v>st/år</v>
      </c>
      <c r="F17" s="4">
        <f>Taxepunkter!F24</f>
        <v>0</v>
      </c>
      <c r="G17" s="4">
        <f>Taxepunkter!G24</f>
        <v>0</v>
      </c>
      <c r="H17" s="4" t="str">
        <f>Taxepunkter!H24</f>
        <v/>
      </c>
      <c r="I17" s="4" t="str">
        <f>Taxepunkter!I24</f>
        <v/>
      </c>
      <c r="J17" s="4" t="str">
        <f>Taxepunkter!J24</f>
        <v/>
      </c>
      <c r="K17" s="4">
        <f>Taxepunkter!K24</f>
        <v>0</v>
      </c>
      <c r="L17" s="6">
        <f>Taxepunkter!L24</f>
        <v>0</v>
      </c>
    </row>
    <row r="18" spans="1:12" x14ac:dyDescent="0.25">
      <c r="A18" s="5" t="str">
        <f>Taxepunkter!A25</f>
        <v>§2.2.2 Hämtningsavgift per år för fritidshus inom hämtningsområde X</v>
      </c>
      <c r="B18" s="4">
        <f>Taxepunkter!B25</f>
        <v>0</v>
      </c>
      <c r="C18" s="4">
        <f>Taxepunkter!C25</f>
        <v>0</v>
      </c>
      <c r="D18" s="4">
        <f>Taxepunkter!D25</f>
        <v>0</v>
      </c>
      <c r="E18" s="4">
        <f>Taxepunkter!E25</f>
        <v>0</v>
      </c>
      <c r="F18" s="4">
        <f>Taxepunkter!F25</f>
        <v>0</v>
      </c>
      <c r="G18" s="4" t="str">
        <f>Taxepunkter!G25</f>
        <v/>
      </c>
      <c r="H18" s="4" t="str">
        <f>Taxepunkter!H25</f>
        <v/>
      </c>
      <c r="I18" s="4" t="str">
        <f>Taxepunkter!I25</f>
        <v/>
      </c>
      <c r="J18" s="4" t="str">
        <f>Taxepunkter!J25</f>
        <v/>
      </c>
      <c r="K18" s="4">
        <f>Taxepunkter!K25</f>
        <v>0</v>
      </c>
      <c r="L18" s="6">
        <f>Taxepunkter!L25</f>
        <v>0</v>
      </c>
    </row>
    <row r="19" spans="1:12" x14ac:dyDescent="0.25">
      <c r="A19" s="5" t="str">
        <f>Taxepunkter!A26</f>
        <v>§2.2.2</v>
      </c>
      <c r="B19" s="4" t="str">
        <f>Taxepunkter!B26</f>
        <v>Hämtningsavgift per år för fritidshus</v>
      </c>
      <c r="C19" s="4" t="str">
        <f>Taxepunkter!C26</f>
        <v>Kärl 240 l (mat-/restavfall)</v>
      </c>
      <c r="D19" s="4" t="str">
        <f>Taxepunkter!D26</f>
        <v>Hämtning var 14:e dag</v>
      </c>
      <c r="E19" s="4" t="str">
        <f>Taxepunkter!E26</f>
        <v>st/år</v>
      </c>
      <c r="F19" s="4" t="str">
        <f>Taxepunkter!F26</f>
        <v>KÄ240RM26</v>
      </c>
      <c r="G19" s="4" t="str">
        <f>Taxepunkter!G26</f>
        <v>KÄ240RM26</v>
      </c>
      <c r="H19" s="4" t="str">
        <f>Taxepunkter!H26</f>
        <v>Tvåfackskärl , rest/matavfall.</v>
      </c>
      <c r="I19" s="4" t="str">
        <f>Taxepunkter!I26</f>
        <v>ÅRKV</v>
      </c>
      <c r="J19" s="4">
        <f>Taxepunkter!J26</f>
        <v>640</v>
      </c>
      <c r="K19" s="4">
        <f>Taxepunkter!K26</f>
        <v>0</v>
      </c>
      <c r="L19" s="6">
        <f>Taxepunkter!L26</f>
        <v>0</v>
      </c>
    </row>
    <row r="20" spans="1:12" x14ac:dyDescent="0.25">
      <c r="A20" s="5" t="str">
        <f>Taxepunkter!A27</f>
        <v>§2.2.2</v>
      </c>
      <c r="B20" s="4" t="str">
        <f>Taxepunkter!B27</f>
        <v>Hämtningsavgift per år för fritidshus</v>
      </c>
      <c r="C20" s="4" t="str">
        <f>Taxepunkter!C27</f>
        <v>Kärl 240 l (mat-/restavfall)</v>
      </c>
      <c r="D20" s="4" t="str">
        <f>Taxepunkter!D27</f>
        <v>Hämtning månadsvis</v>
      </c>
      <c r="E20" s="4" t="str">
        <f>Taxepunkter!E27</f>
        <v>st/år</v>
      </c>
      <c r="F20" s="4">
        <f>Taxepunkter!F27</f>
        <v>0</v>
      </c>
      <c r="G20" s="4">
        <f>Taxepunkter!G27</f>
        <v>0</v>
      </c>
      <c r="H20" s="4" t="str">
        <f>Taxepunkter!H27</f>
        <v/>
      </c>
      <c r="I20" s="4" t="str">
        <f>Taxepunkter!I27</f>
        <v/>
      </c>
      <c r="J20" s="4" t="str">
        <f>Taxepunkter!J27</f>
        <v/>
      </c>
      <c r="K20" s="4">
        <f>Taxepunkter!K27</f>
        <v>0</v>
      </c>
      <c r="L20" s="6">
        <f>Taxepunkter!L27</f>
        <v>0</v>
      </c>
    </row>
    <row r="21" spans="1:12" x14ac:dyDescent="0.25">
      <c r="A21" s="5" t="str">
        <f>Taxepunkter!A28</f>
        <v>§2.2.2</v>
      </c>
      <c r="B21" s="4" t="str">
        <f>Taxepunkter!B28</f>
        <v>Hämtningsavgift per år för fritidshus</v>
      </c>
      <c r="C21" s="4" t="str">
        <f>Taxepunkter!C28</f>
        <v>Extrakärl 190 l (restavfall)</v>
      </c>
      <c r="D21" s="4" t="str">
        <f>Taxepunkter!D28</f>
        <v>Hämtning var 14:e dag</v>
      </c>
      <c r="E21" s="4" t="str">
        <f>Taxepunkter!E28</f>
        <v>st/år</v>
      </c>
      <c r="F21" s="4" t="str">
        <f>Taxepunkter!F28</f>
        <v>KÄ190XRM26FRI</v>
      </c>
      <c r="G21" s="4" t="str">
        <f>Taxepunkter!G28</f>
        <v>KÄ190XRM26FRI</v>
      </c>
      <c r="H21" s="4" t="str">
        <f>Taxepunkter!H28</f>
        <v/>
      </c>
      <c r="I21" s="4" t="str">
        <f>Taxepunkter!I28</f>
        <v/>
      </c>
      <c r="J21" s="4" t="str">
        <f>Taxepunkter!J28</f>
        <v/>
      </c>
      <c r="K21" s="4">
        <f>Taxepunkter!K28</f>
        <v>0</v>
      </c>
      <c r="L21" s="6">
        <f>Taxepunkter!L28</f>
        <v>0</v>
      </c>
    </row>
    <row r="22" spans="1:12" x14ac:dyDescent="0.25">
      <c r="A22" s="5" t="str">
        <f>Taxepunkter!A29</f>
        <v>§2.2.2</v>
      </c>
      <c r="B22" s="4" t="str">
        <f>Taxepunkter!B29</f>
        <v>Hämtningsavgift per år för fritidshus</v>
      </c>
      <c r="C22" s="4" t="str">
        <f>Taxepunkter!C29</f>
        <v>Kärl 370 l (papper-/plastförpackningar)</v>
      </c>
      <c r="D22" s="4" t="str">
        <f>Taxepunkter!D29</f>
        <v>Kostnadsfritt</v>
      </c>
      <c r="E22" s="4" t="str">
        <f>Taxepunkter!E29</f>
        <v>st/år</v>
      </c>
      <c r="F22" s="4">
        <f>Taxepunkter!F29</f>
        <v>0</v>
      </c>
      <c r="G22" s="4">
        <f>Taxepunkter!G29</f>
        <v>0</v>
      </c>
      <c r="H22" s="4" t="str">
        <f>Taxepunkter!H29</f>
        <v/>
      </c>
      <c r="I22" s="4" t="str">
        <f>Taxepunkter!I29</f>
        <v/>
      </c>
      <c r="J22" s="4" t="str">
        <f>Taxepunkter!J29</f>
        <v/>
      </c>
      <c r="K22" s="4">
        <f>Taxepunkter!K29</f>
        <v>0</v>
      </c>
      <c r="L22" s="6">
        <f>Taxepunkter!L29</f>
        <v>0</v>
      </c>
    </row>
    <row r="23" spans="1:12" x14ac:dyDescent="0.25">
      <c r="A23" s="5" t="str">
        <f>Taxepunkter!A30</f>
        <v>§2.2.3 Gemensam uppsamlingsplats inom hämtningsområde X</v>
      </c>
      <c r="B23" s="4">
        <f>Taxepunkter!B30</f>
        <v>0</v>
      </c>
      <c r="C23" s="4">
        <f>Taxepunkter!C30</f>
        <v>0</v>
      </c>
      <c r="D23" s="4">
        <f>Taxepunkter!D30</f>
        <v>0</v>
      </c>
      <c r="E23" s="4">
        <f>Taxepunkter!E30</f>
        <v>0</v>
      </c>
      <c r="F23" s="4">
        <f>Taxepunkter!F30</f>
        <v>0</v>
      </c>
      <c r="G23" s="4" t="str">
        <f>Taxepunkter!G30</f>
        <v/>
      </c>
      <c r="H23" s="4" t="str">
        <f>Taxepunkter!H30</f>
        <v/>
      </c>
      <c r="I23" s="4" t="str">
        <f>Taxepunkter!I30</f>
        <v/>
      </c>
      <c r="J23" s="4" t="str">
        <f>Taxepunkter!J30</f>
        <v/>
      </c>
      <c r="K23" s="4">
        <f>Taxepunkter!K30</f>
        <v>0</v>
      </c>
      <c r="L23" s="6">
        <f>Taxepunkter!L30</f>
        <v>0</v>
      </c>
    </row>
    <row r="24" spans="1:12" x14ac:dyDescent="0.25">
      <c r="A24" s="5" t="str">
        <f>Taxepunkter!A31</f>
        <v>§2.2.3</v>
      </c>
      <c r="B24" s="4" t="str">
        <f>Taxepunkter!B31</f>
        <v>Gemensam uppsamlingsplats inom hämtningsområde X</v>
      </c>
      <c r="C24" s="4" t="str">
        <f>Taxepunkter!C31</f>
        <v>Gemensam uppsamlingsplats för mat-/restavfall</v>
      </c>
      <c r="D24" s="4">
        <f>Taxepunkter!D31</f>
        <v>0</v>
      </c>
      <c r="E24" s="4" t="str">
        <f>Taxepunkter!E31</f>
        <v>st/år</v>
      </c>
      <c r="F24" s="4" t="str">
        <f>Taxepunkter!F31</f>
        <v>GEMUPPFRI</v>
      </c>
      <c r="G24" s="4" t="str">
        <f>Taxepunkter!G31</f>
        <v>GEMUPPFRI</v>
      </c>
      <c r="H24" s="4" t="str">
        <f>Taxepunkter!H31</f>
        <v/>
      </c>
      <c r="I24" s="4" t="str">
        <f>Taxepunkter!I31</f>
        <v/>
      </c>
      <c r="J24" s="4" t="str">
        <f>Taxepunkter!J31</f>
        <v/>
      </c>
      <c r="K24" s="4">
        <f>Taxepunkter!K31</f>
        <v>0</v>
      </c>
      <c r="L24" s="6">
        <f>Taxepunkter!L31</f>
        <v>0</v>
      </c>
    </row>
    <row r="25" spans="1:12" x14ac:dyDescent="0.25">
      <c r="A25" s="5" t="str">
        <f>Taxepunkter!A32</f>
        <v>§2.2.3</v>
      </c>
      <c r="B25" s="4" t="str">
        <f>Taxepunkter!B32</f>
        <v>Gemensam uppsamlingsplats inom hämtningsområde X</v>
      </c>
      <c r="C25" s="4" t="str">
        <f>Taxepunkter!C32</f>
        <v>Gemensam uppsamlingsplats för förpackningar</v>
      </c>
      <c r="D25" s="4" t="str">
        <f>Taxepunkter!D32</f>
        <v>Kostnadsfritt</v>
      </c>
      <c r="E25" s="4" t="str">
        <f>Taxepunkter!E32</f>
        <v>st/år</v>
      </c>
      <c r="F25" s="4">
        <f>Taxepunkter!F32</f>
        <v>0</v>
      </c>
      <c r="G25" s="4">
        <f>Taxepunkter!G32</f>
        <v>0</v>
      </c>
      <c r="H25" s="4" t="str">
        <f>Taxepunkter!H32</f>
        <v/>
      </c>
      <c r="I25" s="4" t="str">
        <f>Taxepunkter!I32</f>
        <v/>
      </c>
      <c r="J25" s="4" t="str">
        <f>Taxepunkter!J32</f>
        <v/>
      </c>
      <c r="K25" s="4">
        <f>Taxepunkter!K32</f>
        <v>0</v>
      </c>
      <c r="L25" s="6">
        <f>Taxepunkter!L32</f>
        <v>0</v>
      </c>
    </row>
    <row r="26" spans="1:12" x14ac:dyDescent="0.25">
      <c r="A26" s="5" t="str">
        <f>Taxepunkter!A33</f>
        <v>§2.2.3</v>
      </c>
      <c r="B26" s="4" t="str">
        <f>Taxepunkter!B33</f>
        <v>Gemensam uppsamlingsplats inom hämtningsområde X</v>
      </c>
      <c r="C26" s="4" t="str">
        <f>Taxepunkter!C33</f>
        <v>Extra digital licens (årskostnad)</v>
      </c>
      <c r="D26" s="4">
        <f>Taxepunkter!D33</f>
        <v>0</v>
      </c>
      <c r="E26" s="4" t="str">
        <f>Taxepunkter!E33</f>
        <v>st/år</v>
      </c>
      <c r="F26" s="4">
        <f>Taxepunkter!F33</f>
        <v>0</v>
      </c>
      <c r="G26" s="4">
        <f>Taxepunkter!G33</f>
        <v>0</v>
      </c>
      <c r="H26" s="4" t="str">
        <f>Taxepunkter!H33</f>
        <v/>
      </c>
      <c r="I26" s="4" t="str">
        <f>Taxepunkter!I33</f>
        <v/>
      </c>
      <c r="J26" s="4" t="str">
        <f>Taxepunkter!J33</f>
        <v/>
      </c>
      <c r="K26" s="4">
        <f>Taxepunkter!K33</f>
        <v>0</v>
      </c>
      <c r="L26" s="6">
        <f>Taxepunkter!L33</f>
        <v>0</v>
      </c>
    </row>
    <row r="27" spans="1:12" x14ac:dyDescent="0.25">
      <c r="A27" s="5" t="str">
        <f>Taxepunkter!A34</f>
        <v>§2.2.3</v>
      </c>
      <c r="B27" s="4" t="str">
        <f>Taxepunkter!B34</f>
        <v>Gemensam uppsamlingsplats inom hämtningsområde X</v>
      </c>
      <c r="C27" s="4" t="str">
        <f>Taxepunkter!C34</f>
        <v>Fysisk nyckel, kallad fob (engångskostnad)</v>
      </c>
      <c r="D27" s="4">
        <f>Taxepunkter!D34</f>
        <v>0</v>
      </c>
      <c r="E27" s="4" t="str">
        <f>Taxepunkter!E34</f>
        <v>st/tillfälle</v>
      </c>
      <c r="F27" s="4">
        <f>Taxepunkter!F34</f>
        <v>0</v>
      </c>
      <c r="G27" s="4">
        <f>Taxepunkter!G34</f>
        <v>0</v>
      </c>
      <c r="H27" s="4" t="str">
        <f>Taxepunkter!H34</f>
        <v/>
      </c>
      <c r="I27" s="4" t="str">
        <f>Taxepunkter!I34</f>
        <v/>
      </c>
      <c r="J27" s="4" t="str">
        <f>Taxepunkter!J34</f>
        <v/>
      </c>
      <c r="K27" s="4">
        <f>Taxepunkter!K34</f>
        <v>0</v>
      </c>
      <c r="L27" s="6">
        <f>Taxepunkter!L34</f>
        <v>0</v>
      </c>
    </row>
    <row r="28" spans="1:12" x14ac:dyDescent="0.25">
      <c r="A28" s="5" t="str">
        <f>Taxepunkter!A35</f>
        <v>§2.2.3</v>
      </c>
      <c r="B28" s="4" t="str">
        <f>Taxepunkter!B35</f>
        <v>Gemensam uppsamlingsplats inom hämtningsområde X</v>
      </c>
      <c r="C28" s="4" t="str">
        <f>Taxepunkter!C35</f>
        <v>Byte av telefonnummer kopplat till licens</v>
      </c>
      <c r="D28" s="4">
        <f>Taxepunkter!D35</f>
        <v>0</v>
      </c>
      <c r="E28" s="4" t="str">
        <f>Taxepunkter!E35</f>
        <v>st/tillfälle</v>
      </c>
      <c r="F28" s="4">
        <f>Taxepunkter!F35</f>
        <v>0</v>
      </c>
      <c r="G28" s="4">
        <f>Taxepunkter!G35</f>
        <v>0</v>
      </c>
      <c r="H28" s="4" t="str">
        <f>Taxepunkter!H35</f>
        <v/>
      </c>
      <c r="I28" s="4" t="str">
        <f>Taxepunkter!I35</f>
        <v/>
      </c>
      <c r="J28" s="4" t="str">
        <f>Taxepunkter!J35</f>
        <v/>
      </c>
      <c r="K28" s="4">
        <f>Taxepunkter!K35</f>
        <v>0</v>
      </c>
      <c r="L28" s="6">
        <f>Taxepunkter!L35</f>
        <v>0</v>
      </c>
    </row>
    <row r="29" spans="1:12" x14ac:dyDescent="0.25">
      <c r="A29" s="5" t="str">
        <f>Taxepunkter!A36</f>
        <v>§2.2.3</v>
      </c>
      <c r="B29" s="4" t="str">
        <f>Taxepunkter!B36</f>
        <v>Gemensam uppsamlingsplats inom hämtningsområde X</v>
      </c>
      <c r="C29" s="4" t="str">
        <f>Taxepunkter!C36</f>
        <v>Kostnad för öppning av behållare</v>
      </c>
      <c r="D29" s="4">
        <f>Taxepunkter!D36</f>
        <v>0</v>
      </c>
      <c r="E29" s="4" t="str">
        <f>Taxepunkter!E36</f>
        <v>st/tillfälle</v>
      </c>
      <c r="F29" s="4">
        <f>Taxepunkter!F36</f>
        <v>0</v>
      </c>
      <c r="G29" s="4">
        <f>Taxepunkter!G36</f>
        <v>0</v>
      </c>
      <c r="H29" s="4" t="str">
        <f>Taxepunkter!H36</f>
        <v/>
      </c>
      <c r="I29" s="4" t="str">
        <f>Taxepunkter!I36</f>
        <v/>
      </c>
      <c r="J29" s="4" t="str">
        <f>Taxepunkter!J36</f>
        <v/>
      </c>
      <c r="K29" s="4">
        <f>Taxepunkter!K36</f>
        <v>0</v>
      </c>
      <c r="L29" s="6">
        <f>Taxepunkter!L36</f>
        <v>0</v>
      </c>
    </row>
    <row r="30" spans="1:12" x14ac:dyDescent="0.25">
      <c r="A30" s="5" t="str">
        <f>Taxepunkter!A37</f>
        <v>§2.2.4 Hämtningsavgift per år för flerbostadshus inom hämtningsområde X</v>
      </c>
      <c r="B30" s="4">
        <f>Taxepunkter!B37</f>
        <v>0</v>
      </c>
      <c r="C30" s="4">
        <f>Taxepunkter!C37</f>
        <v>0</v>
      </c>
      <c r="D30" s="4">
        <f>Taxepunkter!D37</f>
        <v>0</v>
      </c>
      <c r="E30" s="4">
        <f>Taxepunkter!E37</f>
        <v>0</v>
      </c>
      <c r="F30" s="4">
        <f>Taxepunkter!F37</f>
        <v>0</v>
      </c>
      <c r="G30" s="4" t="str">
        <f>Taxepunkter!G37</f>
        <v/>
      </c>
      <c r="H30" s="4" t="str">
        <f>Taxepunkter!H37</f>
        <v/>
      </c>
      <c r="I30" s="4" t="str">
        <f>Taxepunkter!I37</f>
        <v/>
      </c>
      <c r="J30" s="4" t="str">
        <f>Taxepunkter!J37</f>
        <v/>
      </c>
      <c r="K30" s="4">
        <f>Taxepunkter!K37</f>
        <v>0</v>
      </c>
      <c r="L30" s="6">
        <f>Taxepunkter!L37</f>
        <v>0</v>
      </c>
    </row>
    <row r="31" spans="1:12" x14ac:dyDescent="0.25">
      <c r="A31" s="5" t="str">
        <f>Taxepunkter!A38</f>
        <v>§2.2.4</v>
      </c>
      <c r="B31" s="4" t="str">
        <f>Taxepunkter!B38</f>
        <v>Hämtningsavgift per år för flerbostadshus</v>
      </c>
      <c r="C31" s="4" t="str">
        <f>Taxepunkter!C38</f>
        <v>Kärl 240 l (mat-/restavfall)</v>
      </c>
      <c r="D31" s="4" t="str">
        <f>Taxepunkter!D38</f>
        <v>Hämtning varje vecka</v>
      </c>
      <c r="E31" s="4" t="str">
        <f>Taxepunkter!E38</f>
        <v>st/år</v>
      </c>
      <c r="F31" s="4">
        <f>Taxepunkter!F38</f>
        <v>0</v>
      </c>
      <c r="G31" s="4">
        <f>Taxepunkter!G38</f>
        <v>0</v>
      </c>
      <c r="H31" s="4" t="str">
        <f>Taxepunkter!H38</f>
        <v/>
      </c>
      <c r="I31" s="4" t="str">
        <f>Taxepunkter!I38</f>
        <v/>
      </c>
      <c r="J31" s="4" t="str">
        <f>Taxepunkter!J38</f>
        <v/>
      </c>
      <c r="K31" s="4">
        <f>Taxepunkter!K38</f>
        <v>0</v>
      </c>
      <c r="L31" s="6">
        <f>Taxepunkter!L38</f>
        <v>0</v>
      </c>
    </row>
    <row r="32" spans="1:12" x14ac:dyDescent="0.25">
      <c r="A32" s="5" t="str">
        <f>Taxepunkter!A39</f>
        <v>§2.2.4</v>
      </c>
      <c r="B32" s="4" t="str">
        <f>Taxepunkter!B39</f>
        <v>Hämtningsavgift per år för flerbostadshus</v>
      </c>
      <c r="C32" s="4" t="str">
        <f>Taxepunkter!C39</f>
        <v>Kärl 240 l (mat-/restavfall)</v>
      </c>
      <c r="D32" s="4" t="str">
        <f>Taxepunkter!D39</f>
        <v>Hämtning var 14:e dag</v>
      </c>
      <c r="E32" s="4" t="str">
        <f>Taxepunkter!E39</f>
        <v>st/år</v>
      </c>
      <c r="F32" s="4" t="str">
        <f>Taxepunkter!F39</f>
        <v>KÄ240RM26FV</v>
      </c>
      <c r="G32" s="4" t="str">
        <f>Taxepunkter!G39</f>
        <v>KÄ240RM26FV</v>
      </c>
      <c r="H32" s="4" t="str">
        <f>Taxepunkter!H39</f>
        <v>Tvåfackskärl, rest/mat FLB/VHT</v>
      </c>
      <c r="I32" s="4" t="str">
        <f>Taxepunkter!I39</f>
        <v>ÅRKV</v>
      </c>
      <c r="J32" s="4">
        <f>Taxepunkter!J39</f>
        <v>640</v>
      </c>
      <c r="K32" s="4">
        <f>Taxepunkter!K39</f>
        <v>0</v>
      </c>
      <c r="L32" s="6">
        <f>Taxepunkter!L39</f>
        <v>0</v>
      </c>
    </row>
    <row r="33" spans="1:12" x14ac:dyDescent="0.25">
      <c r="A33" s="5" t="str">
        <f>Taxepunkter!A40</f>
        <v>§2.2.4</v>
      </c>
      <c r="B33" s="4" t="str">
        <f>Taxepunkter!B40</f>
        <v>Hämtningsavgift per år för flerbostadshus</v>
      </c>
      <c r="C33" s="4" t="str">
        <f>Taxepunkter!C40</f>
        <v>Kärl 240 l (mat-/restavfall)</v>
      </c>
      <c r="D33" s="4" t="str">
        <f>Taxepunkter!D40</f>
        <v>Hämtning månadsvis</v>
      </c>
      <c r="E33" s="4" t="str">
        <f>Taxepunkter!E40</f>
        <v>st/år</v>
      </c>
      <c r="F33" s="4">
        <f>Taxepunkter!F40</f>
        <v>0</v>
      </c>
      <c r="G33" s="4">
        <f>Taxepunkter!G40</f>
        <v>0</v>
      </c>
      <c r="H33" s="4" t="str">
        <f>Taxepunkter!H40</f>
        <v/>
      </c>
      <c r="I33" s="4" t="str">
        <f>Taxepunkter!I40</f>
        <v/>
      </c>
      <c r="J33" s="4" t="str">
        <f>Taxepunkter!J40</f>
        <v/>
      </c>
      <c r="K33" s="4">
        <f>Taxepunkter!K40</f>
        <v>0</v>
      </c>
      <c r="L33" s="6">
        <f>Taxepunkter!L40</f>
        <v>0</v>
      </c>
    </row>
    <row r="34" spans="1:12" x14ac:dyDescent="0.25">
      <c r="A34" s="5" t="str">
        <f>Taxepunkter!A41</f>
        <v>§2.2.4</v>
      </c>
      <c r="B34" s="4" t="str">
        <f>Taxepunkter!B41</f>
        <v>Hämtningsavgift per år för flerbostadshus</v>
      </c>
      <c r="C34" s="4" t="str">
        <f>Taxepunkter!C41</f>
        <v>Kärl 370 l (restavfall)</v>
      </c>
      <c r="D34" s="4" t="str">
        <f>Taxepunkter!D41</f>
        <v>Hämtning varje vecka</v>
      </c>
      <c r="E34" s="4" t="str">
        <f>Taxepunkter!E41</f>
        <v>st/år</v>
      </c>
      <c r="F34" s="4">
        <f>Taxepunkter!F41</f>
        <v>0</v>
      </c>
      <c r="G34" s="4">
        <f>Taxepunkter!G41</f>
        <v>0</v>
      </c>
      <c r="H34" s="4" t="str">
        <f>Taxepunkter!H41</f>
        <v/>
      </c>
      <c r="I34" s="4" t="str">
        <f>Taxepunkter!I41</f>
        <v/>
      </c>
      <c r="J34" s="4" t="str">
        <f>Taxepunkter!J41</f>
        <v/>
      </c>
      <c r="K34" s="4">
        <f>Taxepunkter!K41</f>
        <v>0</v>
      </c>
      <c r="L34" s="6">
        <f>Taxepunkter!L41</f>
        <v>0</v>
      </c>
    </row>
    <row r="35" spans="1:12" x14ac:dyDescent="0.25">
      <c r="A35" s="5" t="str">
        <f>Taxepunkter!A42</f>
        <v>§2.2.4</v>
      </c>
      <c r="B35" s="4" t="str">
        <f>Taxepunkter!B42</f>
        <v>Hämtningsavgift per år för flerbostadshus</v>
      </c>
      <c r="C35" s="4" t="str">
        <f>Taxepunkter!C42</f>
        <v>Kärl 370 l (restavfall)</v>
      </c>
      <c r="D35" s="4" t="str">
        <f>Taxepunkter!D42</f>
        <v>Hämtning var 14:e dag</v>
      </c>
      <c r="E35" s="4" t="str">
        <f>Taxepunkter!E42</f>
        <v>st/år</v>
      </c>
      <c r="F35" s="4" t="str">
        <f>Taxepunkter!F42</f>
        <v>KÄ370RE26FV</v>
      </c>
      <c r="G35" s="4" t="str">
        <f>Taxepunkter!G42</f>
        <v>KÄ370RE26FV</v>
      </c>
      <c r="H35" s="4" t="str">
        <f>Taxepunkter!H42</f>
        <v>Kärl 370 L, rest. FLB/VHT</v>
      </c>
      <c r="I35" s="4" t="str">
        <f>Taxepunkter!I42</f>
        <v>ÅRKV</v>
      </c>
      <c r="J35" s="4">
        <f>Taxepunkter!J42</f>
        <v>800</v>
      </c>
      <c r="K35" s="4">
        <f>Taxepunkter!K42</f>
        <v>0</v>
      </c>
      <c r="L35" s="6">
        <f>Taxepunkter!L42</f>
        <v>0</v>
      </c>
    </row>
    <row r="36" spans="1:12" x14ac:dyDescent="0.25">
      <c r="A36" s="5" t="str">
        <f>Taxepunkter!A43</f>
        <v>§2.2.4</v>
      </c>
      <c r="B36" s="4" t="str">
        <f>Taxepunkter!B43</f>
        <v>Hämtningsavgift per år för flerbostadshus</v>
      </c>
      <c r="C36" s="4" t="str">
        <f>Taxepunkter!C43</f>
        <v>Kärl 370 l (restavfall)</v>
      </c>
      <c r="D36" s="4" t="str">
        <f>Taxepunkter!D43</f>
        <v>Hämtning månadsvis</v>
      </c>
      <c r="E36" s="4" t="str">
        <f>Taxepunkter!E43</f>
        <v>st/år</v>
      </c>
      <c r="F36" s="4">
        <f>Taxepunkter!F43</f>
        <v>0</v>
      </c>
      <c r="G36" s="4">
        <f>Taxepunkter!G43</f>
        <v>0</v>
      </c>
      <c r="H36" s="4" t="str">
        <f>Taxepunkter!H43</f>
        <v/>
      </c>
      <c r="I36" s="4" t="str">
        <f>Taxepunkter!I43</f>
        <v/>
      </c>
      <c r="J36" s="4" t="str">
        <f>Taxepunkter!J43</f>
        <v/>
      </c>
      <c r="K36" s="4">
        <f>Taxepunkter!K43</f>
        <v>0</v>
      </c>
      <c r="L36" s="6">
        <f>Taxepunkter!L43</f>
        <v>0</v>
      </c>
    </row>
    <row r="37" spans="1:12" x14ac:dyDescent="0.25">
      <c r="A37" s="5" t="str">
        <f>Taxepunkter!A44</f>
        <v>§2.2.4</v>
      </c>
      <c r="B37" s="4" t="str">
        <f>Taxepunkter!B44</f>
        <v>Hämtningsavgift per år för flerbostadshus</v>
      </c>
      <c r="C37" s="4" t="str">
        <f>Taxepunkter!C44</f>
        <v>Kärl 660 l (restavfall)</v>
      </c>
      <c r="D37" s="4" t="str">
        <f>Taxepunkter!D44</f>
        <v>Hämtning varje vecka</v>
      </c>
      <c r="E37" s="4" t="str">
        <f>Taxepunkter!E44</f>
        <v>st/år</v>
      </c>
      <c r="F37" s="4">
        <f>Taxepunkter!F44</f>
        <v>0</v>
      </c>
      <c r="G37" s="4">
        <f>Taxepunkter!G44</f>
        <v>0</v>
      </c>
      <c r="H37" s="4" t="str">
        <f>Taxepunkter!H44</f>
        <v/>
      </c>
      <c r="I37" s="4" t="str">
        <f>Taxepunkter!I44</f>
        <v/>
      </c>
      <c r="J37" s="4" t="str">
        <f>Taxepunkter!J44</f>
        <v/>
      </c>
      <c r="K37" s="4">
        <f>Taxepunkter!K44</f>
        <v>0</v>
      </c>
      <c r="L37" s="6">
        <f>Taxepunkter!L44</f>
        <v>0</v>
      </c>
    </row>
    <row r="38" spans="1:12" x14ac:dyDescent="0.25">
      <c r="A38" s="5" t="str">
        <f>Taxepunkter!A45</f>
        <v>§2.2.4</v>
      </c>
      <c r="B38" s="4" t="str">
        <f>Taxepunkter!B45</f>
        <v>Hämtningsavgift per år för flerbostadshus</v>
      </c>
      <c r="C38" s="4" t="str">
        <f>Taxepunkter!C45</f>
        <v>Kärl 660 l (restavfall)</v>
      </c>
      <c r="D38" s="4" t="str">
        <f>Taxepunkter!D45</f>
        <v>Hämtning var 14:e dag</v>
      </c>
      <c r="E38" s="4" t="str">
        <f>Taxepunkter!E45</f>
        <v>st/år</v>
      </c>
      <c r="F38" s="4" t="str">
        <f>Taxepunkter!F45</f>
        <v>KÄ660RE26FV</v>
      </c>
      <c r="G38" s="4" t="str">
        <f>Taxepunkter!G45</f>
        <v>KÄ660RE26FV</v>
      </c>
      <c r="H38" s="4" t="str">
        <f>Taxepunkter!H45</f>
        <v>Kärl 660 L, rest. FLB/VHT</v>
      </c>
      <c r="I38" s="4" t="str">
        <f>Taxepunkter!I45</f>
        <v>ÅRKV</v>
      </c>
      <c r="J38" s="4">
        <f>Taxepunkter!J45</f>
        <v>1040</v>
      </c>
      <c r="K38" s="4">
        <f>Taxepunkter!K45</f>
        <v>0</v>
      </c>
      <c r="L38" s="6">
        <f>Taxepunkter!L45</f>
        <v>0</v>
      </c>
    </row>
    <row r="39" spans="1:12" x14ac:dyDescent="0.25">
      <c r="A39" s="5" t="str">
        <f>Taxepunkter!A46</f>
        <v>§2.2.4</v>
      </c>
      <c r="B39" s="4" t="str">
        <f>Taxepunkter!B46</f>
        <v>Hämtningsavgift per år för flerbostadshus</v>
      </c>
      <c r="C39" s="4" t="str">
        <f>Taxepunkter!C46</f>
        <v>Kärl 660 l (restavfall)</v>
      </c>
      <c r="D39" s="4" t="str">
        <f>Taxepunkter!D46</f>
        <v>Hämtning månadsvis</v>
      </c>
      <c r="E39" s="4" t="str">
        <f>Taxepunkter!E46</f>
        <v>st/år</v>
      </c>
      <c r="F39" s="4">
        <f>Taxepunkter!F46</f>
        <v>0</v>
      </c>
      <c r="G39" s="4">
        <f>Taxepunkter!G46</f>
        <v>0</v>
      </c>
      <c r="H39" s="4" t="str">
        <f>Taxepunkter!H46</f>
        <v/>
      </c>
      <c r="I39" s="4" t="str">
        <f>Taxepunkter!I46</f>
        <v/>
      </c>
      <c r="J39" s="4" t="str">
        <f>Taxepunkter!J46</f>
        <v/>
      </c>
      <c r="K39" s="4">
        <f>Taxepunkter!K46</f>
        <v>0</v>
      </c>
      <c r="L39" s="6">
        <f>Taxepunkter!L46</f>
        <v>0</v>
      </c>
    </row>
    <row r="40" spans="1:12" x14ac:dyDescent="0.25">
      <c r="A40" s="5" t="str">
        <f>Taxepunkter!A47</f>
        <v>§2.2.4</v>
      </c>
      <c r="B40" s="4" t="str">
        <f>Taxepunkter!B47</f>
        <v>Hämtningsavgift per år för flerbostadshus</v>
      </c>
      <c r="C40" s="4" t="str">
        <f>Taxepunkter!C47</f>
        <v>Kärl 140 l (matavfall)</v>
      </c>
      <c r="D40" s="4" t="str">
        <f>Taxepunkter!D47</f>
        <v>Hämtning varje vecka</v>
      </c>
      <c r="E40" s="4" t="str">
        <f>Taxepunkter!E47</f>
        <v>st/år</v>
      </c>
      <c r="F40" s="4">
        <f>Taxepunkter!F47</f>
        <v>0</v>
      </c>
      <c r="G40" s="4">
        <f>Taxepunkter!G47</f>
        <v>0</v>
      </c>
      <c r="H40" s="4" t="str">
        <f>Taxepunkter!H47</f>
        <v/>
      </c>
      <c r="I40" s="4" t="str">
        <f>Taxepunkter!I47</f>
        <v/>
      </c>
      <c r="J40" s="4" t="str">
        <f>Taxepunkter!J47</f>
        <v/>
      </c>
      <c r="K40" s="4">
        <f>Taxepunkter!K47</f>
        <v>0</v>
      </c>
      <c r="L40" s="6">
        <f>Taxepunkter!L47</f>
        <v>0</v>
      </c>
    </row>
    <row r="41" spans="1:12" x14ac:dyDescent="0.25">
      <c r="A41" s="5" t="str">
        <f>Taxepunkter!A48</f>
        <v>§2.2.4</v>
      </c>
      <c r="B41" s="4" t="str">
        <f>Taxepunkter!B48</f>
        <v>Hämtningsavgift per år för flerbostadshus</v>
      </c>
      <c r="C41" s="4" t="str">
        <f>Taxepunkter!C48</f>
        <v>Kärl 140 l (matavfall)</v>
      </c>
      <c r="D41" s="4" t="str">
        <f>Taxepunkter!D48</f>
        <v>Hämtning var 14:e dag</v>
      </c>
      <c r="E41" s="4" t="str">
        <f>Taxepunkter!E48</f>
        <v>st/år</v>
      </c>
      <c r="F41" s="4" t="str">
        <f>Taxepunkter!F48</f>
        <v>KÄ140MA26FV</v>
      </c>
      <c r="G41" s="4" t="str">
        <f>Taxepunkter!G48</f>
        <v>KÄ140MA26FV</v>
      </c>
      <c r="H41" s="4" t="str">
        <f>Taxepunkter!H48</f>
        <v>Kärl 140 L, matavfall. Var 14:e dag. FLB/VHT</v>
      </c>
      <c r="I41" s="4" t="str">
        <f>Taxepunkter!I48</f>
        <v>ÅRKV</v>
      </c>
      <c r="J41" s="4">
        <f>Taxepunkter!J48</f>
        <v>500</v>
      </c>
      <c r="K41" s="4">
        <f>Taxepunkter!K48</f>
        <v>0</v>
      </c>
      <c r="L41" s="6">
        <f>Taxepunkter!L48</f>
        <v>0</v>
      </c>
    </row>
    <row r="42" spans="1:12" x14ac:dyDescent="0.25">
      <c r="A42" s="5" t="str">
        <f>Taxepunkter!A49</f>
        <v>§2.2.4</v>
      </c>
      <c r="B42" s="4" t="str">
        <f>Taxepunkter!B49</f>
        <v>Hämtningsavgift per år för flerbostadshus</v>
      </c>
      <c r="C42" s="4" t="str">
        <f>Taxepunkter!C49</f>
        <v>Kärl 140 l (matavfall)</v>
      </c>
      <c r="D42" s="4" t="str">
        <f>Taxepunkter!D49</f>
        <v>Hämtning månadsvis</v>
      </c>
      <c r="E42" s="4" t="str">
        <f>Taxepunkter!E49</f>
        <v>st/år</v>
      </c>
      <c r="F42" s="4">
        <f>Taxepunkter!F49</f>
        <v>0</v>
      </c>
      <c r="G42" s="4">
        <f>Taxepunkter!G49</f>
        <v>0</v>
      </c>
      <c r="H42" s="4" t="str">
        <f>Taxepunkter!H49</f>
        <v/>
      </c>
      <c r="I42" s="4" t="str">
        <f>Taxepunkter!I49</f>
        <v/>
      </c>
      <c r="J42" s="4" t="str">
        <f>Taxepunkter!J49</f>
        <v/>
      </c>
      <c r="K42" s="4">
        <f>Taxepunkter!K49</f>
        <v>0</v>
      </c>
      <c r="L42" s="6">
        <f>Taxepunkter!L49</f>
        <v>0</v>
      </c>
    </row>
    <row r="43" spans="1:12" x14ac:dyDescent="0.25">
      <c r="A43" s="5" t="str">
        <f>Taxepunkter!A50</f>
        <v>§2.2.4</v>
      </c>
      <c r="B43" s="4" t="str">
        <f>Taxepunkter!B50</f>
        <v>Hämtningsavgift per år för flerbostadshus</v>
      </c>
      <c r="C43" s="4" t="str">
        <f>Taxepunkter!C50</f>
        <v>Kärl 190 l (förpackningar)</v>
      </c>
      <c r="D43" s="4" t="str">
        <f>Taxepunkter!D50</f>
        <v>Hämtning varje vecka</v>
      </c>
      <c r="E43" s="4" t="str">
        <f>Taxepunkter!E50</f>
        <v>st/år</v>
      </c>
      <c r="F43" s="4">
        <f>Taxepunkter!F50</f>
        <v>0</v>
      </c>
      <c r="G43" s="4">
        <f>Taxepunkter!G50</f>
        <v>0</v>
      </c>
      <c r="H43" s="4" t="str">
        <f>Taxepunkter!H50</f>
        <v/>
      </c>
      <c r="I43" s="4" t="str">
        <f>Taxepunkter!I50</f>
        <v/>
      </c>
      <c r="J43" s="4" t="str">
        <f>Taxepunkter!J50</f>
        <v/>
      </c>
      <c r="K43" s="4">
        <f>Taxepunkter!K50</f>
        <v>0</v>
      </c>
      <c r="L43" s="6">
        <f>Taxepunkter!L50</f>
        <v>0</v>
      </c>
    </row>
    <row r="44" spans="1:12" x14ac:dyDescent="0.25">
      <c r="A44" s="5" t="str">
        <f>Taxepunkter!A51</f>
        <v>§2.2.4</v>
      </c>
      <c r="B44" s="4" t="str">
        <f>Taxepunkter!B51</f>
        <v>Hämtningsavgift per år för flerbostadshus</v>
      </c>
      <c r="C44" s="4" t="str">
        <f>Taxepunkter!C51</f>
        <v>Kärl 190 l (förpackningar)</v>
      </c>
      <c r="D44" s="4" t="str">
        <f>Taxepunkter!D51</f>
        <v>Hämtning var 14:e dag</v>
      </c>
      <c r="E44" s="4" t="str">
        <f>Taxepunkter!E51</f>
        <v>st/år</v>
      </c>
      <c r="F44" s="4">
        <f>Taxepunkter!F51</f>
        <v>0</v>
      </c>
      <c r="G44" s="4">
        <f>Taxepunkter!G51</f>
        <v>0</v>
      </c>
      <c r="H44" s="4" t="str">
        <f>Taxepunkter!H51</f>
        <v/>
      </c>
      <c r="I44" s="4" t="str">
        <f>Taxepunkter!I51</f>
        <v/>
      </c>
      <c r="J44" s="4" t="str">
        <f>Taxepunkter!J51</f>
        <v/>
      </c>
      <c r="K44" s="4">
        <f>Taxepunkter!K51</f>
        <v>0</v>
      </c>
      <c r="L44" s="6">
        <f>Taxepunkter!L51</f>
        <v>0</v>
      </c>
    </row>
    <row r="45" spans="1:12" x14ac:dyDescent="0.25">
      <c r="A45" s="5" t="str">
        <f>Taxepunkter!A52</f>
        <v>§2.2.4</v>
      </c>
      <c r="B45" s="4" t="str">
        <f>Taxepunkter!B52</f>
        <v>Hämtningsavgift per år för flerbostadshus</v>
      </c>
      <c r="C45" s="4" t="str">
        <f>Taxepunkter!C52</f>
        <v>Kärl 190 l (förpackningar)</v>
      </c>
      <c r="D45" s="4" t="str">
        <f>Taxepunkter!D52</f>
        <v>Hämtning månadsvis</v>
      </c>
      <c r="E45" s="4" t="str">
        <f>Taxepunkter!E52</f>
        <v>st/år</v>
      </c>
      <c r="F45" s="4">
        <f>Taxepunkter!F52</f>
        <v>0</v>
      </c>
      <c r="G45" s="4">
        <f>Taxepunkter!G52</f>
        <v>0</v>
      </c>
      <c r="H45" s="4" t="str">
        <f>Taxepunkter!H52</f>
        <v/>
      </c>
      <c r="I45" s="4" t="str">
        <f>Taxepunkter!I52</f>
        <v/>
      </c>
      <c r="J45" s="4" t="str">
        <f>Taxepunkter!J52</f>
        <v/>
      </c>
      <c r="K45" s="4">
        <f>Taxepunkter!K52</f>
        <v>0</v>
      </c>
      <c r="L45" s="6">
        <f>Taxepunkter!L52</f>
        <v>0</v>
      </c>
    </row>
    <row r="46" spans="1:12" x14ac:dyDescent="0.25">
      <c r="A46" s="5" t="str">
        <f>Taxepunkter!A53</f>
        <v>§2.2.4</v>
      </c>
      <c r="B46" s="4" t="str">
        <f>Taxepunkter!B53</f>
        <v>Hämtningsavgift per år för flerbostadshus</v>
      </c>
      <c r="C46" s="4" t="str">
        <f>Taxepunkter!C53</f>
        <v>Kärl 370 l (förpackningar)</v>
      </c>
      <c r="D46" s="4" t="str">
        <f>Taxepunkter!D53</f>
        <v>Hämtning varje vecka</v>
      </c>
      <c r="E46" s="4" t="str">
        <f>Taxepunkter!E53</f>
        <v>st/år</v>
      </c>
      <c r="F46" s="4">
        <f>Taxepunkter!F53</f>
        <v>0</v>
      </c>
      <c r="G46" s="4">
        <f>Taxepunkter!G53</f>
        <v>0</v>
      </c>
      <c r="H46" s="4" t="str">
        <f>Taxepunkter!H53</f>
        <v/>
      </c>
      <c r="I46" s="4" t="str">
        <f>Taxepunkter!I53</f>
        <v/>
      </c>
      <c r="J46" s="4" t="str">
        <f>Taxepunkter!J53</f>
        <v/>
      </c>
      <c r="K46" s="4">
        <f>Taxepunkter!K53</f>
        <v>0</v>
      </c>
      <c r="L46" s="6">
        <f>Taxepunkter!L53</f>
        <v>0</v>
      </c>
    </row>
    <row r="47" spans="1:12" x14ac:dyDescent="0.25">
      <c r="A47" s="5" t="str">
        <f>Taxepunkter!A54</f>
        <v>§2.2.4</v>
      </c>
      <c r="B47" s="4" t="str">
        <f>Taxepunkter!B54</f>
        <v>Hämtningsavgift per år för flerbostadshus</v>
      </c>
      <c r="C47" s="4" t="str">
        <f>Taxepunkter!C54</f>
        <v>Kärl 370 l (förpackningar)</v>
      </c>
      <c r="D47" s="4" t="str">
        <f>Taxepunkter!D54</f>
        <v>Hämtning var 14:e dag</v>
      </c>
      <c r="E47" s="4" t="str">
        <f>Taxepunkter!E54</f>
        <v>st/år</v>
      </c>
      <c r="F47" s="4">
        <f>Taxepunkter!F54</f>
        <v>0</v>
      </c>
      <c r="G47" s="4">
        <f>Taxepunkter!G54</f>
        <v>0</v>
      </c>
      <c r="H47" s="4" t="str">
        <f>Taxepunkter!H54</f>
        <v/>
      </c>
      <c r="I47" s="4" t="str">
        <f>Taxepunkter!I54</f>
        <v/>
      </c>
      <c r="J47" s="4" t="str">
        <f>Taxepunkter!J54</f>
        <v/>
      </c>
      <c r="K47" s="4">
        <f>Taxepunkter!K54</f>
        <v>0</v>
      </c>
      <c r="L47" s="6">
        <f>Taxepunkter!L54</f>
        <v>0</v>
      </c>
    </row>
    <row r="48" spans="1:12" x14ac:dyDescent="0.25">
      <c r="A48" s="5" t="str">
        <f>Taxepunkter!A55</f>
        <v>§2.2.4</v>
      </c>
      <c r="B48" s="4" t="str">
        <f>Taxepunkter!B55</f>
        <v>Hämtningsavgift per år för flerbostadshus</v>
      </c>
      <c r="C48" s="4" t="str">
        <f>Taxepunkter!C55</f>
        <v>Kärl 370 l (förpackningar)</v>
      </c>
      <c r="D48" s="4" t="str">
        <f>Taxepunkter!D55</f>
        <v>Hämtning månadsvis</v>
      </c>
      <c r="E48" s="4" t="str">
        <f>Taxepunkter!E55</f>
        <v>st/år</v>
      </c>
      <c r="F48" s="4">
        <f>Taxepunkter!F55</f>
        <v>0</v>
      </c>
      <c r="G48" s="4">
        <f>Taxepunkter!G55</f>
        <v>0</v>
      </c>
      <c r="H48" s="4" t="str">
        <f>Taxepunkter!H55</f>
        <v/>
      </c>
      <c r="I48" s="4" t="str">
        <f>Taxepunkter!I55</f>
        <v/>
      </c>
      <c r="J48" s="4" t="str">
        <f>Taxepunkter!J55</f>
        <v/>
      </c>
      <c r="K48" s="4">
        <f>Taxepunkter!K55</f>
        <v>0</v>
      </c>
      <c r="L48" s="6">
        <f>Taxepunkter!L55</f>
        <v>0</v>
      </c>
    </row>
    <row r="49" spans="1:12" x14ac:dyDescent="0.25">
      <c r="A49" s="5" t="str">
        <f>Taxepunkter!A56</f>
        <v>§2.2.4</v>
      </c>
      <c r="B49" s="4" t="str">
        <f>Taxepunkter!B56</f>
        <v>Hämtningsavgift per år för flerbostadshus</v>
      </c>
      <c r="C49" s="4" t="str">
        <f>Taxepunkter!C56</f>
        <v>Kärl 660 l (förpackningar)</v>
      </c>
      <c r="D49" s="4" t="str">
        <f>Taxepunkter!D56</f>
        <v>Hämtning varje vecka</v>
      </c>
      <c r="E49" s="4" t="str">
        <f>Taxepunkter!E56</f>
        <v>st/år</v>
      </c>
      <c r="F49" s="4">
        <f>Taxepunkter!F56</f>
        <v>0</v>
      </c>
      <c r="G49" s="4">
        <f>Taxepunkter!G56</f>
        <v>0</v>
      </c>
      <c r="H49" s="4" t="str">
        <f>Taxepunkter!H56</f>
        <v/>
      </c>
      <c r="I49" s="4" t="str">
        <f>Taxepunkter!I56</f>
        <v/>
      </c>
      <c r="J49" s="4" t="str">
        <f>Taxepunkter!J56</f>
        <v/>
      </c>
      <c r="K49" s="4">
        <f>Taxepunkter!K56</f>
        <v>0</v>
      </c>
      <c r="L49" s="6">
        <f>Taxepunkter!L56</f>
        <v>0</v>
      </c>
    </row>
    <row r="50" spans="1:12" x14ac:dyDescent="0.25">
      <c r="A50" s="5" t="str">
        <f>Taxepunkter!A57</f>
        <v>§2.2.4</v>
      </c>
      <c r="B50" s="4" t="str">
        <f>Taxepunkter!B57</f>
        <v>Hämtningsavgift per år för flerbostadshus</v>
      </c>
      <c r="C50" s="4" t="str">
        <f>Taxepunkter!C57</f>
        <v>Kärl 660 l (förpackningar)</v>
      </c>
      <c r="D50" s="4" t="str">
        <f>Taxepunkter!D57</f>
        <v>Hämtning var 14:e dag</v>
      </c>
      <c r="E50" s="4" t="str">
        <f>Taxepunkter!E57</f>
        <v>st/år</v>
      </c>
      <c r="F50" s="4">
        <f>Taxepunkter!F57</f>
        <v>0</v>
      </c>
      <c r="G50" s="4">
        <f>Taxepunkter!G57</f>
        <v>0</v>
      </c>
      <c r="H50" s="4" t="str">
        <f>Taxepunkter!H57</f>
        <v/>
      </c>
      <c r="I50" s="4" t="str">
        <f>Taxepunkter!I57</f>
        <v/>
      </c>
      <c r="J50" s="4" t="str">
        <f>Taxepunkter!J57</f>
        <v/>
      </c>
      <c r="K50" s="4">
        <f>Taxepunkter!K57</f>
        <v>0</v>
      </c>
      <c r="L50" s="6">
        <f>Taxepunkter!L57</f>
        <v>0</v>
      </c>
    </row>
    <row r="51" spans="1:12" x14ac:dyDescent="0.25">
      <c r="A51" s="5" t="str">
        <f>Taxepunkter!A58</f>
        <v>§2.2.4</v>
      </c>
      <c r="B51" s="4" t="str">
        <f>Taxepunkter!B58</f>
        <v>Hämtningsavgift per år för flerbostadshus</v>
      </c>
      <c r="C51" s="4" t="str">
        <f>Taxepunkter!C58</f>
        <v>Kärl 660 l (förpackningar)</v>
      </c>
      <c r="D51" s="4" t="str">
        <f>Taxepunkter!D58</f>
        <v>Hämtning månadsvis</v>
      </c>
      <c r="E51" s="4" t="str">
        <f>Taxepunkter!E58</f>
        <v>st/år</v>
      </c>
      <c r="F51" s="4">
        <f>Taxepunkter!F58</f>
        <v>0</v>
      </c>
      <c r="G51" s="4">
        <f>Taxepunkter!G58</f>
        <v>0</v>
      </c>
      <c r="H51" s="4" t="str">
        <f>Taxepunkter!H58</f>
        <v/>
      </c>
      <c r="I51" s="4" t="str">
        <f>Taxepunkter!I58</f>
        <v/>
      </c>
      <c r="J51" s="4" t="str">
        <f>Taxepunkter!J58</f>
        <v/>
      </c>
      <c r="K51" s="4">
        <f>Taxepunkter!K58</f>
        <v>0</v>
      </c>
      <c r="L51" s="6">
        <f>Taxepunkter!L58</f>
        <v>0</v>
      </c>
    </row>
    <row r="52" spans="1:12" x14ac:dyDescent="0.25">
      <c r="A52" s="5" t="str">
        <f>Taxepunkter!A59</f>
        <v>§2.2.4</v>
      </c>
      <c r="B52" s="4" t="str">
        <f>Taxepunkter!B59</f>
        <v>Hämtningsavgift per år för flerbostadshus</v>
      </c>
      <c r="C52" s="4" t="str">
        <f>Taxepunkter!C59</f>
        <v>Kärl 190 l (tidningar och returpapper)</v>
      </c>
      <c r="D52" s="4" t="str">
        <f>Taxepunkter!D59</f>
        <v>Hämtning varje vecka</v>
      </c>
      <c r="E52" s="4" t="str">
        <f>Taxepunkter!E59</f>
        <v>st/år</v>
      </c>
      <c r="F52" s="4">
        <f>Taxepunkter!F59</f>
        <v>0</v>
      </c>
      <c r="G52" s="4">
        <f>Taxepunkter!G59</f>
        <v>0</v>
      </c>
      <c r="H52" s="4" t="str">
        <f>Taxepunkter!H59</f>
        <v/>
      </c>
      <c r="I52" s="4" t="str">
        <f>Taxepunkter!I59</f>
        <v/>
      </c>
      <c r="J52" s="4" t="str">
        <f>Taxepunkter!J59</f>
        <v/>
      </c>
      <c r="K52" s="4">
        <f>Taxepunkter!K59</f>
        <v>0</v>
      </c>
      <c r="L52" s="6">
        <f>Taxepunkter!L59</f>
        <v>0</v>
      </c>
    </row>
    <row r="53" spans="1:12" x14ac:dyDescent="0.25">
      <c r="A53" s="5" t="str">
        <f>Taxepunkter!A60</f>
        <v>§2.2.4</v>
      </c>
      <c r="B53" s="4" t="str">
        <f>Taxepunkter!B60</f>
        <v>Hämtningsavgift per år för flerbostadshus</v>
      </c>
      <c r="C53" s="4" t="str">
        <f>Taxepunkter!C60</f>
        <v>Kärl 190 l (tidningar och returpapper)</v>
      </c>
      <c r="D53" s="4" t="str">
        <f>Taxepunkter!D60</f>
        <v>Hämtning var 14:e dag</v>
      </c>
      <c r="E53" s="4" t="str">
        <f>Taxepunkter!E60</f>
        <v>st/år</v>
      </c>
      <c r="F53" s="4">
        <f>Taxepunkter!F60</f>
        <v>0</v>
      </c>
      <c r="G53" s="4">
        <f>Taxepunkter!G60</f>
        <v>0</v>
      </c>
      <c r="H53" s="4" t="str">
        <f>Taxepunkter!H60</f>
        <v/>
      </c>
      <c r="I53" s="4" t="str">
        <f>Taxepunkter!I60</f>
        <v/>
      </c>
      <c r="J53" s="4" t="str">
        <f>Taxepunkter!J60</f>
        <v/>
      </c>
      <c r="K53" s="4">
        <f>Taxepunkter!K60</f>
        <v>0</v>
      </c>
      <c r="L53" s="6">
        <f>Taxepunkter!L60</f>
        <v>0</v>
      </c>
    </row>
    <row r="54" spans="1:12" x14ac:dyDescent="0.25">
      <c r="A54" s="5" t="str">
        <f>Taxepunkter!A61</f>
        <v>§2.2.4</v>
      </c>
      <c r="B54" s="4" t="str">
        <f>Taxepunkter!B61</f>
        <v>Hämtningsavgift per år för flerbostadshus</v>
      </c>
      <c r="C54" s="4" t="str">
        <f>Taxepunkter!C61</f>
        <v>Kärl 190 l (tidningar och returpapper)</v>
      </c>
      <c r="D54" s="4" t="str">
        <f>Taxepunkter!D61</f>
        <v>Hämtning månadsvis</v>
      </c>
      <c r="E54" s="4" t="str">
        <f>Taxepunkter!E61</f>
        <v>st/år</v>
      </c>
      <c r="F54" s="4">
        <f>Taxepunkter!F61</f>
        <v>0</v>
      </c>
      <c r="G54" s="4">
        <f>Taxepunkter!G61</f>
        <v>0</v>
      </c>
      <c r="H54" s="4" t="str">
        <f>Taxepunkter!H61</f>
        <v/>
      </c>
      <c r="I54" s="4" t="str">
        <f>Taxepunkter!I61</f>
        <v/>
      </c>
      <c r="J54" s="4" t="str">
        <f>Taxepunkter!J61</f>
        <v/>
      </c>
      <c r="K54" s="4">
        <f>Taxepunkter!K61</f>
        <v>0</v>
      </c>
      <c r="L54" s="6">
        <f>Taxepunkter!L61</f>
        <v>0</v>
      </c>
    </row>
    <row r="55" spans="1:12" x14ac:dyDescent="0.25">
      <c r="A55" s="5" t="str">
        <f>Taxepunkter!A62</f>
        <v>§2.2.4</v>
      </c>
      <c r="B55" s="4" t="str">
        <f>Taxepunkter!B62</f>
        <v>Hämtningsavgift per år för flerbostadshus</v>
      </c>
      <c r="C55" s="4" t="str">
        <f>Taxepunkter!C62</f>
        <v>Kärl 370 l (tidningar och returpapper)</v>
      </c>
      <c r="D55" s="4" t="str">
        <f>Taxepunkter!D62</f>
        <v>Hämtning varje vecka</v>
      </c>
      <c r="E55" s="4" t="str">
        <f>Taxepunkter!E62</f>
        <v>st/år</v>
      </c>
      <c r="F55" s="4">
        <f>Taxepunkter!F62</f>
        <v>0</v>
      </c>
      <c r="G55" s="4">
        <f>Taxepunkter!G62</f>
        <v>0</v>
      </c>
      <c r="H55" s="4" t="str">
        <f>Taxepunkter!H62</f>
        <v/>
      </c>
      <c r="I55" s="4" t="str">
        <f>Taxepunkter!I62</f>
        <v/>
      </c>
      <c r="J55" s="4" t="str">
        <f>Taxepunkter!J62</f>
        <v/>
      </c>
      <c r="K55" s="4">
        <f>Taxepunkter!K62</f>
        <v>0</v>
      </c>
      <c r="L55" s="6">
        <f>Taxepunkter!L62</f>
        <v>0</v>
      </c>
    </row>
    <row r="56" spans="1:12" x14ac:dyDescent="0.25">
      <c r="A56" s="5" t="str">
        <f>Taxepunkter!A63</f>
        <v>§2.2.4</v>
      </c>
      <c r="B56" s="4" t="str">
        <f>Taxepunkter!B63</f>
        <v>Hämtningsavgift per år för flerbostadshus</v>
      </c>
      <c r="C56" s="4" t="str">
        <f>Taxepunkter!C63</f>
        <v>Kärl 370 l (tidningar och returpapper)</v>
      </c>
      <c r="D56" s="4" t="str">
        <f>Taxepunkter!D63</f>
        <v>Hämtning var 14:e dag</v>
      </c>
      <c r="E56" s="4" t="str">
        <f>Taxepunkter!E63</f>
        <v>st/år</v>
      </c>
      <c r="F56" s="4">
        <f>Taxepunkter!F63</f>
        <v>0</v>
      </c>
      <c r="G56" s="4">
        <f>Taxepunkter!G63</f>
        <v>0</v>
      </c>
      <c r="H56" s="4" t="str">
        <f>Taxepunkter!H63</f>
        <v/>
      </c>
      <c r="I56" s="4" t="str">
        <f>Taxepunkter!I63</f>
        <v/>
      </c>
      <c r="J56" s="4" t="str">
        <f>Taxepunkter!J63</f>
        <v/>
      </c>
      <c r="K56" s="4">
        <f>Taxepunkter!K63</f>
        <v>0</v>
      </c>
      <c r="L56" s="6">
        <f>Taxepunkter!L63</f>
        <v>0</v>
      </c>
    </row>
    <row r="57" spans="1:12" x14ac:dyDescent="0.25">
      <c r="A57" s="5" t="str">
        <f>Taxepunkter!A64</f>
        <v>§2.2.4</v>
      </c>
      <c r="B57" s="4" t="str">
        <f>Taxepunkter!B64</f>
        <v>Hämtningsavgift per år för flerbostadshus</v>
      </c>
      <c r="C57" s="4" t="str">
        <f>Taxepunkter!C64</f>
        <v>Kärl 370 l (tidningar och returpapper)</v>
      </c>
      <c r="D57" s="4" t="str">
        <f>Taxepunkter!D64</f>
        <v>Hämtning månadsvis</v>
      </c>
      <c r="E57" s="4" t="str">
        <f>Taxepunkter!E64</f>
        <v>st/år</v>
      </c>
      <c r="F57" s="4">
        <f>Taxepunkter!F64</f>
        <v>0</v>
      </c>
      <c r="G57" s="4">
        <f>Taxepunkter!G64</f>
        <v>0</v>
      </c>
      <c r="H57" s="4" t="str">
        <f>Taxepunkter!H64</f>
        <v/>
      </c>
      <c r="I57" s="4" t="str">
        <f>Taxepunkter!I64</f>
        <v/>
      </c>
      <c r="J57" s="4" t="str">
        <f>Taxepunkter!J64</f>
        <v/>
      </c>
      <c r="K57" s="4">
        <f>Taxepunkter!K64</f>
        <v>0</v>
      </c>
      <c r="L57" s="6">
        <f>Taxepunkter!L64</f>
        <v>0</v>
      </c>
    </row>
    <row r="58" spans="1:12" x14ac:dyDescent="0.25">
      <c r="A58" s="5" t="str">
        <f>Taxepunkter!A65</f>
        <v>§2.2.4</v>
      </c>
      <c r="B58" s="4" t="str">
        <f>Taxepunkter!B65</f>
        <v>Hämtningsavgift per år för flerbostadshus</v>
      </c>
      <c r="C58" s="4" t="str">
        <f>Taxepunkter!C65</f>
        <v>Bottentömmande behållare (mat-/restavfall, förpackningar)</v>
      </c>
      <c r="D58" s="4" t="str">
        <f>Taxepunkter!D65</f>
        <v>Avgift per tömning</v>
      </c>
      <c r="E58" s="4" t="str">
        <f>Taxepunkter!E65</f>
        <v>st/tömning</v>
      </c>
      <c r="F58" s="4">
        <f>Taxepunkter!F65</f>
        <v>0</v>
      </c>
      <c r="G58" s="4">
        <f>Taxepunkter!G65</f>
        <v>0</v>
      </c>
      <c r="H58" s="4" t="str">
        <f>Taxepunkter!H65</f>
        <v/>
      </c>
      <c r="I58" s="4" t="str">
        <f>Taxepunkter!I65</f>
        <v/>
      </c>
      <c r="J58" s="4" t="str">
        <f>Taxepunkter!J65</f>
        <v/>
      </c>
      <c r="K58" s="4">
        <f>Taxepunkter!K65</f>
        <v>0</v>
      </c>
      <c r="L58" s="6">
        <f>Taxepunkter!L65</f>
        <v>0</v>
      </c>
    </row>
    <row r="59" spans="1:12" x14ac:dyDescent="0.25">
      <c r="A59" s="5" t="str">
        <f>Taxepunkter!A66</f>
        <v>§2.2.4</v>
      </c>
      <c r="B59" s="4" t="str">
        <f>Taxepunkter!B66</f>
        <v>Hämtningsavgift per år för flerbostadshus</v>
      </c>
      <c r="C59" s="4" t="str">
        <f>Taxepunkter!C66</f>
        <v>Bottentömmande behållare (mat-/restavfall, förpackningar)</v>
      </c>
      <c r="D59" s="4" t="str">
        <f>Taxepunkter!D66</f>
        <v>Tillägg för två tömningar per vecka</v>
      </c>
      <c r="E59" s="4" t="str">
        <f>Taxepunkter!E66</f>
        <v>st/tömning</v>
      </c>
      <c r="F59" s="4">
        <f>Taxepunkter!F66</f>
        <v>0</v>
      </c>
      <c r="G59" s="4">
        <f>Taxepunkter!G66</f>
        <v>0</v>
      </c>
      <c r="H59" s="4" t="str">
        <f>Taxepunkter!H66</f>
        <v/>
      </c>
      <c r="I59" s="4" t="str">
        <f>Taxepunkter!I66</f>
        <v/>
      </c>
      <c r="J59" s="4" t="str">
        <f>Taxepunkter!J66</f>
        <v/>
      </c>
      <c r="K59" s="4">
        <f>Taxepunkter!K66</f>
        <v>0</v>
      </c>
      <c r="L59" s="6">
        <f>Taxepunkter!L66</f>
        <v>0</v>
      </c>
    </row>
    <row r="60" spans="1:12" x14ac:dyDescent="0.25">
      <c r="A60" s="5" t="str">
        <f>Taxepunkter!A67</f>
        <v>§2.2.4</v>
      </c>
      <c r="B60" s="4" t="str">
        <f>Taxepunkter!B67</f>
        <v>Hämtningsavgift per år för flerbostadshus</v>
      </c>
      <c r="C60" s="4" t="str">
        <f>Taxepunkter!C67</f>
        <v>Gemensam uppsamlingsplats för mat-/restavfall, förpackningar</v>
      </c>
      <c r="D60" s="4" t="str">
        <f>Taxepunkter!D67</f>
        <v>Avgift per lägenhet</v>
      </c>
      <c r="E60" s="4" t="str">
        <f>Taxepunkter!E67</f>
        <v>lägenhet/år</v>
      </c>
      <c r="F60" s="4">
        <f>Taxepunkter!F67</f>
        <v>0</v>
      </c>
      <c r="G60" s="4">
        <f>Taxepunkter!G67</f>
        <v>0</v>
      </c>
      <c r="H60" s="4" t="str">
        <f>Taxepunkter!H67</f>
        <v/>
      </c>
      <c r="I60" s="4" t="str">
        <f>Taxepunkter!I67</f>
        <v/>
      </c>
      <c r="J60" s="4" t="str">
        <f>Taxepunkter!J67</f>
        <v/>
      </c>
      <c r="K60" s="4">
        <f>Taxepunkter!K67</f>
        <v>0</v>
      </c>
      <c r="L60" s="6">
        <f>Taxepunkter!L67</f>
        <v>0</v>
      </c>
    </row>
    <row r="61" spans="1:12" x14ac:dyDescent="0.25">
      <c r="A61" s="5" t="str">
        <f>Taxepunkter!A68</f>
        <v>§2.2.5 Hämtningsavgift per år för verksamheter inom hämtningsområde X</v>
      </c>
      <c r="B61" s="4">
        <f>Taxepunkter!B68</f>
        <v>0</v>
      </c>
      <c r="C61" s="4">
        <f>Taxepunkter!C68</f>
        <v>0</v>
      </c>
      <c r="D61" s="4">
        <f>Taxepunkter!D68</f>
        <v>0</v>
      </c>
      <c r="E61" s="4">
        <f>Taxepunkter!E68</f>
        <v>0</v>
      </c>
      <c r="F61" s="4">
        <f>Taxepunkter!F68</f>
        <v>0</v>
      </c>
      <c r="G61" s="4">
        <f>Taxepunkter!G68</f>
        <v>0</v>
      </c>
      <c r="H61" s="4" t="str">
        <f>Taxepunkter!H68</f>
        <v/>
      </c>
      <c r="I61" s="4" t="str">
        <f>Taxepunkter!I68</f>
        <v/>
      </c>
      <c r="J61" s="4" t="str">
        <f>Taxepunkter!J68</f>
        <v/>
      </c>
      <c r="K61" s="4">
        <f>Taxepunkter!K68</f>
        <v>0</v>
      </c>
      <c r="L61" s="6">
        <f>Taxepunkter!L68</f>
        <v>0</v>
      </c>
    </row>
    <row r="62" spans="1:12" x14ac:dyDescent="0.25">
      <c r="A62" s="5" t="str">
        <f>Taxepunkter!A69</f>
        <v>§2.2.5</v>
      </c>
      <c r="B62" s="4" t="str">
        <f>Taxepunkter!B69</f>
        <v>Hämtningsavgift per år för verksamheter</v>
      </c>
      <c r="C62" s="4" t="str">
        <f>Taxepunkter!C69</f>
        <v>Kärl 240 l (mat-/restavfall)</v>
      </c>
      <c r="D62" s="4" t="str">
        <f>Taxepunkter!D69</f>
        <v>Hämtning varje vecka</v>
      </c>
      <c r="E62" s="4" t="str">
        <f>Taxepunkter!E69</f>
        <v>st/år</v>
      </c>
      <c r="F62" s="4">
        <f>Taxepunkter!F69</f>
        <v>0</v>
      </c>
      <c r="G62" s="4">
        <f>Taxepunkter!G69</f>
        <v>0</v>
      </c>
      <c r="H62" s="4" t="str">
        <f>Taxepunkter!H69</f>
        <v/>
      </c>
      <c r="I62" s="4" t="str">
        <f>Taxepunkter!I69</f>
        <v/>
      </c>
      <c r="J62" s="4" t="str">
        <f>Taxepunkter!J69</f>
        <v/>
      </c>
      <c r="K62" s="4">
        <f>Taxepunkter!K69</f>
        <v>0</v>
      </c>
      <c r="L62" s="6">
        <f>Taxepunkter!L69</f>
        <v>0</v>
      </c>
    </row>
    <row r="63" spans="1:12" x14ac:dyDescent="0.25">
      <c r="A63" s="5" t="str">
        <f>Taxepunkter!A70</f>
        <v>§2.2.5</v>
      </c>
      <c r="B63" s="4" t="str">
        <f>Taxepunkter!B70</f>
        <v>Hämtningsavgift per år för verksamheter</v>
      </c>
      <c r="C63" s="4" t="str">
        <f>Taxepunkter!C70</f>
        <v>Kärl 240 l (mat-/restavfall)</v>
      </c>
      <c r="D63" s="4" t="str">
        <f>Taxepunkter!D70</f>
        <v>Hämtning var 14:e dag</v>
      </c>
      <c r="E63" s="4" t="str">
        <f>Taxepunkter!E70</f>
        <v>st/år</v>
      </c>
      <c r="F63" s="4" t="str">
        <f>Taxepunkter!F70</f>
        <v>KÄ240RM26FV</v>
      </c>
      <c r="G63" s="4" t="str">
        <f>Taxepunkter!G70</f>
        <v>KÄ240RM26FV</v>
      </c>
      <c r="H63" s="4" t="str">
        <f>Taxepunkter!H70</f>
        <v>Tvåfackskärl, rest/mat FLB/VHT</v>
      </c>
      <c r="I63" s="4" t="str">
        <f>Taxepunkter!I70</f>
        <v>ÅRKV</v>
      </c>
      <c r="J63" s="4">
        <f>Taxepunkter!J70</f>
        <v>640</v>
      </c>
      <c r="K63" s="4">
        <f>Taxepunkter!K70</f>
        <v>0</v>
      </c>
      <c r="L63" s="6">
        <f>Taxepunkter!L70</f>
        <v>0</v>
      </c>
    </row>
    <row r="64" spans="1:12" x14ac:dyDescent="0.25">
      <c r="A64" s="5" t="str">
        <f>Taxepunkter!A71</f>
        <v>§2.2.5</v>
      </c>
      <c r="B64" s="4" t="str">
        <f>Taxepunkter!B71</f>
        <v>Hämtningsavgift per år för verksamheter</v>
      </c>
      <c r="C64" s="4" t="str">
        <f>Taxepunkter!C71</f>
        <v>Kärl 240 l (mat-/restavfall)</v>
      </c>
      <c r="D64" s="4" t="str">
        <f>Taxepunkter!D71</f>
        <v>Hämtning månadsvis</v>
      </c>
      <c r="E64" s="4" t="str">
        <f>Taxepunkter!E71</f>
        <v>st/år</v>
      </c>
      <c r="F64" s="4">
        <f>Taxepunkter!F71</f>
        <v>0</v>
      </c>
      <c r="G64" s="4" t="str">
        <f>Taxepunkter!G71</f>
        <v/>
      </c>
      <c r="H64" s="4" t="str">
        <f>Taxepunkter!H71</f>
        <v/>
      </c>
      <c r="I64" s="4" t="str">
        <f>Taxepunkter!I71</f>
        <v/>
      </c>
      <c r="J64" s="4" t="str">
        <f>Taxepunkter!J71</f>
        <v/>
      </c>
      <c r="K64" s="4">
        <f>Taxepunkter!K71</f>
        <v>0</v>
      </c>
      <c r="L64" s="6">
        <f>Taxepunkter!L71</f>
        <v>0</v>
      </c>
    </row>
    <row r="65" spans="1:12" x14ac:dyDescent="0.25">
      <c r="A65" s="5" t="str">
        <f>Taxepunkter!A72</f>
        <v>§2.2.5</v>
      </c>
      <c r="B65" s="4" t="str">
        <f>Taxepunkter!B72</f>
        <v>Hämtningsavgift per år för verksamheter</v>
      </c>
      <c r="C65" s="4" t="str">
        <f>Taxepunkter!C72</f>
        <v>Kärl 370 l (restavfall)</v>
      </c>
      <c r="D65" s="4" t="str">
        <f>Taxepunkter!D72</f>
        <v>Hämtning varje vecka</v>
      </c>
      <c r="E65" s="4" t="str">
        <f>Taxepunkter!E72</f>
        <v>st/år</v>
      </c>
      <c r="F65" s="4">
        <f>Taxepunkter!F72</f>
        <v>0</v>
      </c>
      <c r="G65" s="4">
        <f>Taxepunkter!G72</f>
        <v>0</v>
      </c>
      <c r="H65" s="4" t="str">
        <f>Taxepunkter!H72</f>
        <v/>
      </c>
      <c r="I65" s="4" t="str">
        <f>Taxepunkter!I72</f>
        <v/>
      </c>
      <c r="J65" s="4" t="str">
        <f>Taxepunkter!J72</f>
        <v/>
      </c>
      <c r="K65" s="4">
        <f>Taxepunkter!K72</f>
        <v>0</v>
      </c>
      <c r="L65" s="6">
        <f>Taxepunkter!L72</f>
        <v>0</v>
      </c>
    </row>
    <row r="66" spans="1:12" x14ac:dyDescent="0.25">
      <c r="A66" s="5" t="str">
        <f>Taxepunkter!A73</f>
        <v>§2.2.5</v>
      </c>
      <c r="B66" s="4" t="str">
        <f>Taxepunkter!B73</f>
        <v>Hämtningsavgift per år för verksamheter</v>
      </c>
      <c r="C66" s="4" t="str">
        <f>Taxepunkter!C73</f>
        <v>Kärl 370 l (restavfall)</v>
      </c>
      <c r="D66" s="4" t="str">
        <f>Taxepunkter!D73</f>
        <v>Hämtning var 14:e dag</v>
      </c>
      <c r="E66" s="4" t="str">
        <f>Taxepunkter!E73</f>
        <v>st/år</v>
      </c>
      <c r="F66" s="4" t="str">
        <f>Taxepunkter!F73</f>
        <v>KÄ370RE26FV</v>
      </c>
      <c r="G66" s="4" t="str">
        <f>Taxepunkter!G73</f>
        <v>KÄ370RE26FV</v>
      </c>
      <c r="H66" s="4" t="str">
        <f>Taxepunkter!H73</f>
        <v>Kärl 370 L, rest. FLB/VHT</v>
      </c>
      <c r="I66" s="4" t="str">
        <f>Taxepunkter!I73</f>
        <v>ÅRKV</v>
      </c>
      <c r="J66" s="4">
        <f>Taxepunkter!J73</f>
        <v>800</v>
      </c>
      <c r="K66" s="4">
        <f>Taxepunkter!K73</f>
        <v>0</v>
      </c>
      <c r="L66" s="6">
        <f>Taxepunkter!L73</f>
        <v>0</v>
      </c>
    </row>
    <row r="67" spans="1:12" x14ac:dyDescent="0.25">
      <c r="A67" s="5" t="str">
        <f>Taxepunkter!A74</f>
        <v>§2.2.5</v>
      </c>
      <c r="B67" s="4" t="str">
        <f>Taxepunkter!B74</f>
        <v>Hämtningsavgift per år för verksamheter</v>
      </c>
      <c r="C67" s="4" t="str">
        <f>Taxepunkter!C74</f>
        <v>Kärl 370 l (restavfall)</v>
      </c>
      <c r="D67" s="4" t="str">
        <f>Taxepunkter!D74</f>
        <v>Hämtning månadsvis</v>
      </c>
      <c r="E67" s="4" t="str">
        <f>Taxepunkter!E74</f>
        <v>st/år</v>
      </c>
      <c r="F67" s="4">
        <f>Taxepunkter!F74</f>
        <v>0</v>
      </c>
      <c r="G67" s="4">
        <f>Taxepunkter!G74</f>
        <v>0</v>
      </c>
      <c r="H67" s="4" t="str">
        <f>Taxepunkter!H74</f>
        <v/>
      </c>
      <c r="I67" s="4" t="str">
        <f>Taxepunkter!I74</f>
        <v/>
      </c>
      <c r="J67" s="4" t="str">
        <f>Taxepunkter!J74</f>
        <v/>
      </c>
      <c r="K67" s="4">
        <f>Taxepunkter!K74</f>
        <v>0</v>
      </c>
      <c r="L67" s="6">
        <f>Taxepunkter!L74</f>
        <v>0</v>
      </c>
    </row>
    <row r="68" spans="1:12" x14ac:dyDescent="0.25">
      <c r="A68" s="5" t="str">
        <f>Taxepunkter!A75</f>
        <v>§2.2.5</v>
      </c>
      <c r="B68" s="4" t="str">
        <f>Taxepunkter!B75</f>
        <v>Hämtningsavgift per år för verksamheter</v>
      </c>
      <c r="C68" s="4" t="str">
        <f>Taxepunkter!C75</f>
        <v>Kärl 660 l (restavfall)</v>
      </c>
      <c r="D68" s="4" t="str">
        <f>Taxepunkter!D75</f>
        <v>Hämtning varje vecka</v>
      </c>
      <c r="E68" s="4" t="str">
        <f>Taxepunkter!E75</f>
        <v>st/år</v>
      </c>
      <c r="F68" s="4">
        <f>Taxepunkter!F75</f>
        <v>0</v>
      </c>
      <c r="G68" s="4">
        <f>Taxepunkter!G75</f>
        <v>0</v>
      </c>
      <c r="H68" s="4" t="str">
        <f>Taxepunkter!H75</f>
        <v/>
      </c>
      <c r="I68" s="4" t="str">
        <f>Taxepunkter!I75</f>
        <v/>
      </c>
      <c r="J68" s="4" t="str">
        <f>Taxepunkter!J75</f>
        <v/>
      </c>
      <c r="K68" s="4">
        <f>Taxepunkter!K75</f>
        <v>0</v>
      </c>
      <c r="L68" s="6">
        <f>Taxepunkter!L75</f>
        <v>0</v>
      </c>
    </row>
    <row r="69" spans="1:12" x14ac:dyDescent="0.25">
      <c r="A69" s="5" t="str">
        <f>Taxepunkter!A76</f>
        <v>§2.2.5</v>
      </c>
      <c r="B69" s="4" t="str">
        <f>Taxepunkter!B76</f>
        <v>Hämtningsavgift per år för verksamheter</v>
      </c>
      <c r="C69" s="4" t="str">
        <f>Taxepunkter!C76</f>
        <v>Kärl 660 l (restavfall)</v>
      </c>
      <c r="D69" s="4" t="str">
        <f>Taxepunkter!D76</f>
        <v>Hämtning var 14:e dag</v>
      </c>
      <c r="E69" s="4" t="str">
        <f>Taxepunkter!E76</f>
        <v>st/år</v>
      </c>
      <c r="F69" s="4" t="str">
        <f>Taxepunkter!F76</f>
        <v>KÄ660RE26FV</v>
      </c>
      <c r="G69" s="4" t="str">
        <f>Taxepunkter!G76</f>
        <v>KÄ660RE26FV</v>
      </c>
      <c r="H69" s="4" t="str">
        <f>Taxepunkter!H76</f>
        <v>Kärl 660 L, rest. FLB/VHT</v>
      </c>
      <c r="I69" s="4" t="str">
        <f>Taxepunkter!I76</f>
        <v>ÅRKV</v>
      </c>
      <c r="J69" s="4">
        <f>Taxepunkter!J76</f>
        <v>1040</v>
      </c>
      <c r="K69" s="4">
        <f>Taxepunkter!K76</f>
        <v>0</v>
      </c>
      <c r="L69" s="6">
        <f>Taxepunkter!L76</f>
        <v>0</v>
      </c>
    </row>
    <row r="70" spans="1:12" x14ac:dyDescent="0.25">
      <c r="A70" s="5" t="str">
        <f>Taxepunkter!A77</f>
        <v>§2.2.5</v>
      </c>
      <c r="B70" s="4" t="str">
        <f>Taxepunkter!B77</f>
        <v>Hämtningsavgift per år för verksamheter</v>
      </c>
      <c r="C70" s="4" t="str">
        <f>Taxepunkter!C77</f>
        <v>Kärl 660 l (restavfall)</v>
      </c>
      <c r="D70" s="4" t="str">
        <f>Taxepunkter!D77</f>
        <v>Hämtning månadsvis</v>
      </c>
      <c r="E70" s="4" t="str">
        <f>Taxepunkter!E77</f>
        <v>st/år</v>
      </c>
      <c r="F70" s="4">
        <f>Taxepunkter!F77</f>
        <v>0</v>
      </c>
      <c r="G70" s="4">
        <f>Taxepunkter!G77</f>
        <v>0</v>
      </c>
      <c r="H70" s="4" t="str">
        <f>Taxepunkter!H77</f>
        <v/>
      </c>
      <c r="I70" s="4" t="str">
        <f>Taxepunkter!I77</f>
        <v/>
      </c>
      <c r="J70" s="4" t="str">
        <f>Taxepunkter!J77</f>
        <v/>
      </c>
      <c r="K70" s="4">
        <f>Taxepunkter!K77</f>
        <v>0</v>
      </c>
      <c r="L70" s="6">
        <f>Taxepunkter!L77</f>
        <v>0</v>
      </c>
    </row>
    <row r="71" spans="1:12" x14ac:dyDescent="0.25">
      <c r="A71" s="5" t="str">
        <f>Taxepunkter!A78</f>
        <v>§2.2.5</v>
      </c>
      <c r="B71" s="4" t="str">
        <f>Taxepunkter!B78</f>
        <v>Hämtningsavgift per år för verksamheter</v>
      </c>
      <c r="C71" s="4" t="str">
        <f>Taxepunkter!C78</f>
        <v>Kärl 140 l (matavfall)</v>
      </c>
      <c r="D71" s="4" t="str">
        <f>Taxepunkter!D78</f>
        <v>Hämtning varje vecka</v>
      </c>
      <c r="E71" s="4" t="str">
        <f>Taxepunkter!E78</f>
        <v>st/år</v>
      </c>
      <c r="F71" s="4">
        <f>Taxepunkter!F78</f>
        <v>0</v>
      </c>
      <c r="G71" s="4">
        <f>Taxepunkter!G78</f>
        <v>0</v>
      </c>
      <c r="H71" s="4" t="str">
        <f>Taxepunkter!H78</f>
        <v/>
      </c>
      <c r="I71" s="4" t="str">
        <f>Taxepunkter!I78</f>
        <v/>
      </c>
      <c r="J71" s="4" t="str">
        <f>Taxepunkter!J78</f>
        <v/>
      </c>
      <c r="K71" s="4">
        <f>Taxepunkter!K78</f>
        <v>0</v>
      </c>
      <c r="L71" s="6">
        <f>Taxepunkter!L78</f>
        <v>0</v>
      </c>
    </row>
    <row r="72" spans="1:12" x14ac:dyDescent="0.25">
      <c r="A72" s="5" t="str">
        <f>Taxepunkter!A79</f>
        <v>§2.2.5</v>
      </c>
      <c r="B72" s="4" t="str">
        <f>Taxepunkter!B79</f>
        <v>Hämtningsavgift per år för verksamheter</v>
      </c>
      <c r="C72" s="4" t="str">
        <f>Taxepunkter!C79</f>
        <v>Kärl 140 l (matavfall)</v>
      </c>
      <c r="D72" s="4" t="str">
        <f>Taxepunkter!D79</f>
        <v>Hämtning var 14:e dag</v>
      </c>
      <c r="E72" s="4" t="str">
        <f>Taxepunkter!E79</f>
        <v>st/år</v>
      </c>
      <c r="F72" s="4" t="str">
        <f>Taxepunkter!F79</f>
        <v>KÄ140MA26FV</v>
      </c>
      <c r="G72" s="4" t="str">
        <f>Taxepunkter!G79</f>
        <v>KÄ140MA26FV</v>
      </c>
      <c r="H72" s="4" t="str">
        <f>Taxepunkter!H79</f>
        <v>Kärl 140 L, matavfall. Var 14:e dag. FLB/VHT</v>
      </c>
      <c r="I72" s="4" t="str">
        <f>Taxepunkter!I79</f>
        <v>ÅRKV</v>
      </c>
      <c r="J72" s="4">
        <f>Taxepunkter!J79</f>
        <v>500</v>
      </c>
      <c r="K72" s="4">
        <f>Taxepunkter!K79</f>
        <v>0</v>
      </c>
      <c r="L72" s="6">
        <f>Taxepunkter!L79</f>
        <v>0</v>
      </c>
    </row>
    <row r="73" spans="1:12" x14ac:dyDescent="0.25">
      <c r="A73" s="5" t="str">
        <f>Taxepunkter!A80</f>
        <v>§2.2.5</v>
      </c>
      <c r="B73" s="4" t="str">
        <f>Taxepunkter!B80</f>
        <v>Hämtningsavgift per år för verksamheter</v>
      </c>
      <c r="C73" s="4" t="str">
        <f>Taxepunkter!C80</f>
        <v>Kärl 140 l (matavfall)</v>
      </c>
      <c r="D73" s="4" t="str">
        <f>Taxepunkter!D80</f>
        <v>Hämtning månadsvis</v>
      </c>
      <c r="E73" s="4" t="str">
        <f>Taxepunkter!E80</f>
        <v>st/år</v>
      </c>
      <c r="F73" s="4">
        <f>Taxepunkter!F80</f>
        <v>0</v>
      </c>
      <c r="G73" s="4">
        <f>Taxepunkter!G80</f>
        <v>0</v>
      </c>
      <c r="H73" s="4" t="str">
        <f>Taxepunkter!H80</f>
        <v/>
      </c>
      <c r="I73" s="4" t="str">
        <f>Taxepunkter!I80</f>
        <v/>
      </c>
      <c r="J73" s="4" t="str">
        <f>Taxepunkter!J80</f>
        <v/>
      </c>
      <c r="K73" s="4">
        <f>Taxepunkter!K80</f>
        <v>0</v>
      </c>
      <c r="L73" s="6">
        <f>Taxepunkter!L80</f>
        <v>0</v>
      </c>
    </row>
    <row r="74" spans="1:12" x14ac:dyDescent="0.25">
      <c r="A74" s="5" t="str">
        <f>Taxepunkter!A81</f>
        <v>§2.2.5</v>
      </c>
      <c r="B74" s="4" t="str">
        <f>Taxepunkter!B81</f>
        <v>Hämtningsavgift per år för verksamheter</v>
      </c>
      <c r="C74" s="4" t="str">
        <f>Taxepunkter!C81</f>
        <v>Bottentömmande behållare (mat-/restavfall)</v>
      </c>
      <c r="D74" s="4" t="str">
        <f>Taxepunkter!D81</f>
        <v>Avgift per tömning</v>
      </c>
      <c r="E74" s="4" t="str">
        <f>Taxepunkter!E81</f>
        <v>st/tömning</v>
      </c>
      <c r="F74" s="4">
        <f>Taxepunkter!F81</f>
        <v>0</v>
      </c>
      <c r="G74" s="4">
        <f>Taxepunkter!G81</f>
        <v>0</v>
      </c>
      <c r="H74" s="4" t="str">
        <f>Taxepunkter!H81</f>
        <v/>
      </c>
      <c r="I74" s="4" t="str">
        <f>Taxepunkter!I81</f>
        <v/>
      </c>
      <c r="J74" s="4" t="str">
        <f>Taxepunkter!J81</f>
        <v/>
      </c>
      <c r="K74" s="4">
        <f>Taxepunkter!K81</f>
        <v>0</v>
      </c>
      <c r="L74" s="6">
        <f>Taxepunkter!L81</f>
        <v>0</v>
      </c>
    </row>
    <row r="75" spans="1:12" x14ac:dyDescent="0.25">
      <c r="A75" s="5" t="str">
        <f>Taxepunkter!A82</f>
        <v>§2.2.5</v>
      </c>
      <c r="B75" s="4" t="str">
        <f>Taxepunkter!B82</f>
        <v>Hämtningsavgift per år för verksamheter</v>
      </c>
      <c r="C75" s="4" t="str">
        <f>Taxepunkter!C82</f>
        <v>Lastväxlarflak (restavfall)</v>
      </c>
      <c r="D75" s="4" t="str">
        <f>Taxepunkter!D82</f>
        <v>Avgift per tömning</v>
      </c>
      <c r="E75" s="4" t="str">
        <f>Taxepunkter!E82</f>
        <v>st/tömning</v>
      </c>
      <c r="F75" s="4">
        <f>Taxepunkter!F82</f>
        <v>0</v>
      </c>
      <c r="G75" s="4">
        <f>Taxepunkter!G82</f>
        <v>0</v>
      </c>
      <c r="H75" s="4" t="str">
        <f>Taxepunkter!H82</f>
        <v/>
      </c>
      <c r="I75" s="4" t="str">
        <f>Taxepunkter!I82</f>
        <v/>
      </c>
      <c r="J75" s="4" t="str">
        <f>Taxepunkter!J82</f>
        <v/>
      </c>
      <c r="K75" s="4">
        <f>Taxepunkter!K82</f>
        <v>0</v>
      </c>
      <c r="L75" s="6">
        <f>Taxepunkter!L82</f>
        <v>0</v>
      </c>
    </row>
    <row r="76" spans="1:12" x14ac:dyDescent="0.25">
      <c r="A76" s="5" t="str">
        <f>Taxepunkter!A83</f>
        <v>§2.2.5</v>
      </c>
      <c r="B76" s="4" t="str">
        <f>Taxepunkter!B83</f>
        <v>Hämtningsavgift per år för verksamheter</v>
      </c>
      <c r="C76" s="4" t="str">
        <f>Taxepunkter!C83</f>
        <v>Bottentömmande behållare (mat-/restavfall)</v>
      </c>
      <c r="D76" s="4" t="str">
        <f>Taxepunkter!D83</f>
        <v>Tillägg för två tömningar per vecka</v>
      </c>
      <c r="E76" s="4" t="str">
        <f>Taxepunkter!E83</f>
        <v>st/tömning</v>
      </c>
      <c r="F76" s="4">
        <f>Taxepunkter!F83</f>
        <v>0</v>
      </c>
      <c r="G76" s="4">
        <f>Taxepunkter!G83</f>
        <v>0</v>
      </c>
      <c r="H76" s="4" t="str">
        <f>Taxepunkter!H83</f>
        <v/>
      </c>
      <c r="I76" s="4" t="str">
        <f>Taxepunkter!I83</f>
        <v/>
      </c>
      <c r="J76" s="4" t="str">
        <f>Taxepunkter!J83</f>
        <v/>
      </c>
      <c r="K76" s="4">
        <f>Taxepunkter!K83</f>
        <v>0</v>
      </c>
      <c r="L76" s="6">
        <f>Taxepunkter!L83</f>
        <v>0</v>
      </c>
    </row>
    <row r="77" spans="1:12" x14ac:dyDescent="0.25">
      <c r="A77" s="5" t="str">
        <f>Taxepunkter!A84</f>
        <v>§2.2.6 Hämtningsavgift per år för verksamhet inom detaljhandeln med beviljad hantering av kommunalt avfall</v>
      </c>
      <c r="B77" s="4">
        <f>Taxepunkter!B84</f>
        <v>0</v>
      </c>
      <c r="C77" s="4">
        <f>Taxepunkter!C84</f>
        <v>0</v>
      </c>
      <c r="D77" s="4">
        <f>Taxepunkter!D84</f>
        <v>0</v>
      </c>
      <c r="E77" s="4">
        <f>Taxepunkter!E84</f>
        <v>0</v>
      </c>
      <c r="F77" s="4">
        <f>Taxepunkter!F84</f>
        <v>0</v>
      </c>
      <c r="G77" s="4" t="str">
        <f>Taxepunkter!G84</f>
        <v/>
      </c>
      <c r="H77" s="4" t="str">
        <f>Taxepunkter!H84</f>
        <v/>
      </c>
      <c r="I77" s="4" t="str">
        <f>Taxepunkter!I84</f>
        <v/>
      </c>
      <c r="J77" s="4" t="str">
        <f>Taxepunkter!J84</f>
        <v/>
      </c>
      <c r="K77" s="4">
        <f>Taxepunkter!K84</f>
        <v>0</v>
      </c>
      <c r="L77" s="6">
        <f>Taxepunkter!L84</f>
        <v>0</v>
      </c>
    </row>
    <row r="78" spans="1:12" x14ac:dyDescent="0.25">
      <c r="A78" s="5" t="str">
        <f>Taxepunkter!A85</f>
        <v>§2.2.6</v>
      </c>
      <c r="B78" s="4" t="str">
        <f>Taxepunkter!B85</f>
        <v>Hämtningsavgift per år för verksamhet inom detaljhandeln med beviljad hantering av kommunalt avfall</v>
      </c>
      <c r="C78" s="4" t="str">
        <f>Taxepunkter!C85</f>
        <v>Kärl 240 l (mat-/restavfall)</v>
      </c>
      <c r="D78" s="4" t="str">
        <f>Taxepunkter!D85</f>
        <v>Hämtning varje vecka</v>
      </c>
      <c r="E78" s="4" t="str">
        <f>Taxepunkter!E85</f>
        <v>st/år</v>
      </c>
      <c r="F78" s="4">
        <f>Taxepunkter!F85</f>
        <v>0</v>
      </c>
      <c r="G78" s="4">
        <f>Taxepunkter!G85</f>
        <v>0</v>
      </c>
      <c r="H78" s="4" t="str">
        <f>Taxepunkter!H85</f>
        <v/>
      </c>
      <c r="I78" s="4" t="str">
        <f>Taxepunkter!I85</f>
        <v/>
      </c>
      <c r="J78" s="4" t="str">
        <f>Taxepunkter!J85</f>
        <v/>
      </c>
      <c r="K78" s="4">
        <f>Taxepunkter!K85</f>
        <v>0</v>
      </c>
      <c r="L78" s="6">
        <f>Taxepunkter!L85</f>
        <v>0</v>
      </c>
    </row>
    <row r="79" spans="1:12" x14ac:dyDescent="0.25">
      <c r="A79" s="5" t="str">
        <f>Taxepunkter!A86</f>
        <v>§2.2.6</v>
      </c>
      <c r="B79" s="4" t="str">
        <f>Taxepunkter!B86</f>
        <v>Hämtningsavgift per år för verksamhet inom detaljhandeln med beviljad hantering av kommunalt avfall</v>
      </c>
      <c r="C79" s="4" t="str">
        <f>Taxepunkter!C86</f>
        <v>Kärl 240 l (mat-/restavfall)</v>
      </c>
      <c r="D79" s="4" t="str">
        <f>Taxepunkter!D86</f>
        <v>Hämtning var 14:e dag</v>
      </c>
      <c r="E79" s="4" t="str">
        <f>Taxepunkter!E86</f>
        <v>st/år</v>
      </c>
      <c r="F79" s="4">
        <f>Taxepunkter!F86</f>
        <v>0</v>
      </c>
      <c r="G79" s="4">
        <f>Taxepunkter!G86</f>
        <v>0</v>
      </c>
      <c r="H79" s="4" t="str">
        <f>Taxepunkter!H86</f>
        <v/>
      </c>
      <c r="I79" s="4" t="str">
        <f>Taxepunkter!I86</f>
        <v/>
      </c>
      <c r="J79" s="4" t="str">
        <f>Taxepunkter!J86</f>
        <v/>
      </c>
      <c r="K79" s="4">
        <f>Taxepunkter!K86</f>
        <v>0</v>
      </c>
      <c r="L79" s="6">
        <f>Taxepunkter!L86</f>
        <v>0</v>
      </c>
    </row>
    <row r="80" spans="1:12" x14ac:dyDescent="0.25">
      <c r="A80" s="5" t="str">
        <f>Taxepunkter!A87</f>
        <v>§2.2.6</v>
      </c>
      <c r="B80" s="4" t="str">
        <f>Taxepunkter!B87</f>
        <v>Hämtningsavgift per år för verksamhet inom detaljhandeln med beviljad hantering av kommunalt avfall</v>
      </c>
      <c r="C80" s="4" t="str">
        <f>Taxepunkter!C87</f>
        <v>Kärl 240 l (mat-/restavfall)</v>
      </c>
      <c r="D80" s="4" t="str">
        <f>Taxepunkter!D87</f>
        <v>Hämtning månadsvis</v>
      </c>
      <c r="E80" s="4" t="str">
        <f>Taxepunkter!E87</f>
        <v>st/år</v>
      </c>
      <c r="F80" s="4">
        <f>Taxepunkter!F87</f>
        <v>0</v>
      </c>
      <c r="G80" s="4">
        <f>Taxepunkter!G87</f>
        <v>0</v>
      </c>
      <c r="H80" s="4" t="str">
        <f>Taxepunkter!H87</f>
        <v/>
      </c>
      <c r="I80" s="4" t="str">
        <f>Taxepunkter!I87</f>
        <v/>
      </c>
      <c r="J80" s="4" t="str">
        <f>Taxepunkter!J87</f>
        <v/>
      </c>
      <c r="K80" s="4">
        <f>Taxepunkter!K87</f>
        <v>0</v>
      </c>
      <c r="L80" s="6">
        <f>Taxepunkter!L87</f>
        <v>0</v>
      </c>
    </row>
    <row r="81" spans="1:12" x14ac:dyDescent="0.25">
      <c r="A81" s="5" t="str">
        <f>Taxepunkter!A88</f>
        <v>§2.2.6</v>
      </c>
      <c r="B81" s="4" t="str">
        <f>Taxepunkter!B88</f>
        <v>Hämtningsavgift per år för verksamhet inom detaljhandeln med beviljad hantering av kommunalt avfall</v>
      </c>
      <c r="C81" s="4" t="str">
        <f>Taxepunkter!C88</f>
        <v>Kärl 370 l (restavfall)</v>
      </c>
      <c r="D81" s="4" t="str">
        <f>Taxepunkter!D88</f>
        <v>Hämtning varje vecka</v>
      </c>
      <c r="E81" s="4" t="str">
        <f>Taxepunkter!E88</f>
        <v>st/år</v>
      </c>
      <c r="F81" s="4">
        <f>Taxepunkter!F88</f>
        <v>0</v>
      </c>
      <c r="G81" s="4">
        <f>Taxepunkter!G88</f>
        <v>0</v>
      </c>
      <c r="H81" s="4" t="str">
        <f>Taxepunkter!H88</f>
        <v/>
      </c>
      <c r="I81" s="4" t="str">
        <f>Taxepunkter!I88</f>
        <v/>
      </c>
      <c r="J81" s="4" t="str">
        <f>Taxepunkter!J88</f>
        <v/>
      </c>
      <c r="K81" s="4">
        <f>Taxepunkter!K88</f>
        <v>0</v>
      </c>
      <c r="L81" s="6">
        <f>Taxepunkter!L88</f>
        <v>0</v>
      </c>
    </row>
    <row r="82" spans="1:12" x14ac:dyDescent="0.25">
      <c r="A82" s="5" t="str">
        <f>Taxepunkter!A89</f>
        <v>§2.2.6</v>
      </c>
      <c r="B82" s="4" t="str">
        <f>Taxepunkter!B89</f>
        <v>Hämtningsavgift per år för verksamhet inom detaljhandeln med beviljad hantering av kommunalt avfall</v>
      </c>
      <c r="C82" s="4" t="str">
        <f>Taxepunkter!C89</f>
        <v>Kärl 370 l (restavfall)</v>
      </c>
      <c r="D82" s="4" t="str">
        <f>Taxepunkter!D89</f>
        <v>Hämtning var 14:e dag</v>
      </c>
      <c r="E82" s="4" t="str">
        <f>Taxepunkter!E89</f>
        <v>st/år</v>
      </c>
      <c r="F82" s="4">
        <f>Taxepunkter!F89</f>
        <v>0</v>
      </c>
      <c r="G82" s="4">
        <f>Taxepunkter!G89</f>
        <v>0</v>
      </c>
      <c r="H82" s="4" t="str">
        <f>Taxepunkter!H89</f>
        <v/>
      </c>
      <c r="I82" s="4" t="str">
        <f>Taxepunkter!I89</f>
        <v/>
      </c>
      <c r="J82" s="4" t="str">
        <f>Taxepunkter!J89</f>
        <v/>
      </c>
      <c r="K82" s="4">
        <f>Taxepunkter!K89</f>
        <v>0</v>
      </c>
      <c r="L82" s="6">
        <f>Taxepunkter!L89</f>
        <v>0</v>
      </c>
    </row>
    <row r="83" spans="1:12" x14ac:dyDescent="0.25">
      <c r="A83" s="5" t="str">
        <f>Taxepunkter!A90</f>
        <v>§2.2.6</v>
      </c>
      <c r="B83" s="4" t="str">
        <f>Taxepunkter!B90</f>
        <v>Hämtningsavgift per år för verksamhet inom detaljhandeln med beviljad hantering av kommunalt avfall</v>
      </c>
      <c r="C83" s="4" t="str">
        <f>Taxepunkter!C90</f>
        <v>Kärl 370 l (restavfall)</v>
      </c>
      <c r="D83" s="4" t="str">
        <f>Taxepunkter!D90</f>
        <v>Hämtning månadsvis</v>
      </c>
      <c r="E83" s="4" t="str">
        <f>Taxepunkter!E90</f>
        <v>st/år</v>
      </c>
      <c r="F83" s="4">
        <f>Taxepunkter!F90</f>
        <v>0</v>
      </c>
      <c r="G83" s="4">
        <f>Taxepunkter!G90</f>
        <v>0</v>
      </c>
      <c r="H83" s="4" t="str">
        <f>Taxepunkter!H90</f>
        <v/>
      </c>
      <c r="I83" s="4" t="str">
        <f>Taxepunkter!I90</f>
        <v/>
      </c>
      <c r="J83" s="4" t="str">
        <f>Taxepunkter!J90</f>
        <v/>
      </c>
      <c r="K83" s="4">
        <f>Taxepunkter!K90</f>
        <v>0</v>
      </c>
      <c r="L83" s="6">
        <f>Taxepunkter!L90</f>
        <v>0</v>
      </c>
    </row>
    <row r="84" spans="1:12" x14ac:dyDescent="0.25">
      <c r="A84" s="5" t="str">
        <f>Taxepunkter!A91</f>
        <v>§2.2.6</v>
      </c>
      <c r="B84" s="4" t="str">
        <f>Taxepunkter!B91</f>
        <v>Hämtningsavgift per år för verksamhet inom detaljhandeln med beviljad hantering av kommunalt avfall</v>
      </c>
      <c r="C84" s="4" t="str">
        <f>Taxepunkter!C91</f>
        <v>Kärl 660 l (restavfall)</v>
      </c>
      <c r="D84" s="4" t="str">
        <f>Taxepunkter!D91</f>
        <v>Hämtning varje vecka</v>
      </c>
      <c r="E84" s="4" t="str">
        <f>Taxepunkter!E91</f>
        <v>st/år</v>
      </c>
      <c r="F84" s="4">
        <f>Taxepunkter!F91</f>
        <v>0</v>
      </c>
      <c r="G84" s="4">
        <f>Taxepunkter!G91</f>
        <v>0</v>
      </c>
      <c r="H84" s="4" t="str">
        <f>Taxepunkter!H91</f>
        <v/>
      </c>
      <c r="I84" s="4" t="str">
        <f>Taxepunkter!I91</f>
        <v/>
      </c>
      <c r="J84" s="4" t="str">
        <f>Taxepunkter!J91</f>
        <v/>
      </c>
      <c r="K84" s="4">
        <f>Taxepunkter!K91</f>
        <v>0</v>
      </c>
      <c r="L84" s="6">
        <f>Taxepunkter!L91</f>
        <v>0</v>
      </c>
    </row>
    <row r="85" spans="1:12" x14ac:dyDescent="0.25">
      <c r="A85" s="5" t="str">
        <f>Taxepunkter!A92</f>
        <v>§2.2.6</v>
      </c>
      <c r="B85" s="4" t="str">
        <f>Taxepunkter!B92</f>
        <v>Hämtningsavgift per år för verksamhet inom detaljhandeln med beviljad hantering av kommunalt avfall</v>
      </c>
      <c r="C85" s="4" t="str">
        <f>Taxepunkter!C92</f>
        <v>Kärl 660 l (restavfall)</v>
      </c>
      <c r="D85" s="4" t="str">
        <f>Taxepunkter!D92</f>
        <v>Hämtning var 14:e dag</v>
      </c>
      <c r="E85" s="4" t="str">
        <f>Taxepunkter!E92</f>
        <v>st/år</v>
      </c>
      <c r="F85" s="4">
        <f>Taxepunkter!F92</f>
        <v>0</v>
      </c>
      <c r="G85" s="4">
        <f>Taxepunkter!G92</f>
        <v>0</v>
      </c>
      <c r="H85" s="4" t="str">
        <f>Taxepunkter!H92</f>
        <v/>
      </c>
      <c r="I85" s="4" t="str">
        <f>Taxepunkter!I92</f>
        <v/>
      </c>
      <c r="J85" s="4" t="str">
        <f>Taxepunkter!J92</f>
        <v/>
      </c>
      <c r="K85" s="4">
        <f>Taxepunkter!K92</f>
        <v>0</v>
      </c>
      <c r="L85" s="6">
        <f>Taxepunkter!L92</f>
        <v>0</v>
      </c>
    </row>
    <row r="86" spans="1:12" x14ac:dyDescent="0.25">
      <c r="A86" s="5" t="str">
        <f>Taxepunkter!A93</f>
        <v>§2.2.6</v>
      </c>
      <c r="B86" s="4" t="str">
        <f>Taxepunkter!B93</f>
        <v>Hämtningsavgift per år för verksamhet inom detaljhandeln med beviljad hantering av kommunalt avfall</v>
      </c>
      <c r="C86" s="4" t="str">
        <f>Taxepunkter!C93</f>
        <v>Kärl 660 l (restavfall)</v>
      </c>
      <c r="D86" s="4" t="str">
        <f>Taxepunkter!D93</f>
        <v>Hämtning månadsvis</v>
      </c>
      <c r="E86" s="4" t="str">
        <f>Taxepunkter!E93</f>
        <v>st/år</v>
      </c>
      <c r="F86" s="4">
        <f>Taxepunkter!F93</f>
        <v>0</v>
      </c>
      <c r="G86" s="4">
        <f>Taxepunkter!G93</f>
        <v>0</v>
      </c>
      <c r="H86" s="4" t="str">
        <f>Taxepunkter!H93</f>
        <v/>
      </c>
      <c r="I86" s="4" t="str">
        <f>Taxepunkter!I93</f>
        <v/>
      </c>
      <c r="J86" s="4" t="str">
        <f>Taxepunkter!J93</f>
        <v/>
      </c>
      <c r="K86" s="4">
        <f>Taxepunkter!K93</f>
        <v>0</v>
      </c>
      <c r="L86" s="6">
        <f>Taxepunkter!L93</f>
        <v>0</v>
      </c>
    </row>
    <row r="87" spans="1:12" x14ac:dyDescent="0.25">
      <c r="A87" s="5" t="str">
        <f>Taxepunkter!A94</f>
        <v>§2.2.6</v>
      </c>
      <c r="B87" s="4" t="str">
        <f>Taxepunkter!B94</f>
        <v>Hämtningsavgift per år för verksamhet inom detaljhandeln med beviljad hantering av kommunalt avfall</v>
      </c>
      <c r="C87" s="4" t="str">
        <f>Taxepunkter!C94</f>
        <v>Kärl 140 l (matavfall)</v>
      </c>
      <c r="D87" s="4" t="str">
        <f>Taxepunkter!D94</f>
        <v>Hämtning varje vecka</v>
      </c>
      <c r="E87" s="4" t="str">
        <f>Taxepunkter!E94</f>
        <v>st/år</v>
      </c>
      <c r="F87" s="4">
        <f>Taxepunkter!F94</f>
        <v>0</v>
      </c>
      <c r="G87" s="4">
        <f>Taxepunkter!G94</f>
        <v>0</v>
      </c>
      <c r="H87" s="4" t="str">
        <f>Taxepunkter!H94</f>
        <v/>
      </c>
      <c r="I87" s="4" t="str">
        <f>Taxepunkter!I94</f>
        <v/>
      </c>
      <c r="J87" s="4" t="str">
        <f>Taxepunkter!J94</f>
        <v/>
      </c>
      <c r="K87" s="4">
        <f>Taxepunkter!K94</f>
        <v>0</v>
      </c>
      <c r="L87" s="6">
        <f>Taxepunkter!L94</f>
        <v>0</v>
      </c>
    </row>
    <row r="88" spans="1:12" x14ac:dyDescent="0.25">
      <c r="A88" s="5" t="str">
        <f>Taxepunkter!A95</f>
        <v>§2.2.6</v>
      </c>
      <c r="B88" s="4" t="str">
        <f>Taxepunkter!B95</f>
        <v>Hämtningsavgift per år för verksamhet inom detaljhandeln med beviljad hantering av kommunalt avfall</v>
      </c>
      <c r="C88" s="4" t="str">
        <f>Taxepunkter!C95</f>
        <v>Kärl 140 l (matavfall)</v>
      </c>
      <c r="D88" s="4" t="str">
        <f>Taxepunkter!D95</f>
        <v>Hämtning var 14:e dag</v>
      </c>
      <c r="E88" s="4" t="str">
        <f>Taxepunkter!E95</f>
        <v>st/år</v>
      </c>
      <c r="F88" s="4">
        <f>Taxepunkter!F95</f>
        <v>0</v>
      </c>
      <c r="G88" s="4">
        <f>Taxepunkter!G95</f>
        <v>0</v>
      </c>
      <c r="H88" s="4" t="str">
        <f>Taxepunkter!H95</f>
        <v/>
      </c>
      <c r="I88" s="4" t="str">
        <f>Taxepunkter!I95</f>
        <v/>
      </c>
      <c r="J88" s="4" t="str">
        <f>Taxepunkter!J95</f>
        <v/>
      </c>
      <c r="K88" s="4">
        <f>Taxepunkter!K95</f>
        <v>0</v>
      </c>
      <c r="L88" s="6">
        <f>Taxepunkter!L95</f>
        <v>0</v>
      </c>
    </row>
    <row r="89" spans="1:12" x14ac:dyDescent="0.25">
      <c r="A89" s="5" t="str">
        <f>Taxepunkter!A96</f>
        <v>§2.2.6</v>
      </c>
      <c r="B89" s="4" t="str">
        <f>Taxepunkter!B96</f>
        <v>Hämtningsavgift per år för verksamhet inom detaljhandeln med beviljad hantering av kommunalt avfall</v>
      </c>
      <c r="C89" s="4" t="str">
        <f>Taxepunkter!C96</f>
        <v>Kärl 140 l (matavfall)</v>
      </c>
      <c r="D89" s="4" t="str">
        <f>Taxepunkter!D96</f>
        <v>Hämtning månadsvis</v>
      </c>
      <c r="E89" s="4" t="str">
        <f>Taxepunkter!E96</f>
        <v>st/år</v>
      </c>
      <c r="F89" s="4">
        <f>Taxepunkter!F96</f>
        <v>0</v>
      </c>
      <c r="G89" s="4">
        <f>Taxepunkter!G96</f>
        <v>0</v>
      </c>
      <c r="H89" s="4" t="str">
        <f>Taxepunkter!H96</f>
        <v/>
      </c>
      <c r="I89" s="4" t="str">
        <f>Taxepunkter!I96</f>
        <v/>
      </c>
      <c r="J89" s="4" t="str">
        <f>Taxepunkter!J96</f>
        <v/>
      </c>
      <c r="K89" s="4">
        <f>Taxepunkter!K96</f>
        <v>0</v>
      </c>
      <c r="L89" s="6">
        <f>Taxepunkter!L96</f>
        <v>0</v>
      </c>
    </row>
    <row r="90" spans="1:12" x14ac:dyDescent="0.25">
      <c r="A90" s="5" t="str">
        <f>Taxepunkter!A97</f>
        <v>§2.2.6</v>
      </c>
      <c r="B90" s="4" t="str">
        <f>Taxepunkter!B97</f>
        <v>Hämtningsavgift per år för verksamhet inom detaljhandeln med beviljad hantering av kommunalt avfall</v>
      </c>
      <c r="C90" s="4" t="str">
        <f>Taxepunkter!C97</f>
        <v>Bottentömmande behållare (mat-/restavfall)</v>
      </c>
      <c r="D90" s="4" t="str">
        <f>Taxepunkter!D97</f>
        <v>Avgift per tömning</v>
      </c>
      <c r="E90" s="4" t="str">
        <f>Taxepunkter!E97</f>
        <v>st/tömning</v>
      </c>
      <c r="F90" s="4">
        <f>Taxepunkter!F97</f>
        <v>0</v>
      </c>
      <c r="G90" s="4">
        <f>Taxepunkter!G97</f>
        <v>0</v>
      </c>
      <c r="H90" s="4" t="str">
        <f>Taxepunkter!H97</f>
        <v/>
      </c>
      <c r="I90" s="4" t="str">
        <f>Taxepunkter!I97</f>
        <v/>
      </c>
      <c r="J90" s="4" t="str">
        <f>Taxepunkter!J97</f>
        <v/>
      </c>
      <c r="K90" s="4">
        <f>Taxepunkter!K97</f>
        <v>0</v>
      </c>
      <c r="L90" s="6">
        <f>Taxepunkter!L97</f>
        <v>0</v>
      </c>
    </row>
    <row r="91" spans="1:12" x14ac:dyDescent="0.25">
      <c r="A91" s="5" t="str">
        <f>Taxepunkter!A98</f>
        <v>§2.2.6</v>
      </c>
      <c r="B91" s="4" t="str">
        <f>Taxepunkter!B98</f>
        <v>Hämtningsavgift per år för verksamhet inom detaljhandeln med beviljad hantering av kommunalt avfall</v>
      </c>
      <c r="C91" s="4" t="str">
        <f>Taxepunkter!C98</f>
        <v>Lastväxlarflak (restavfall)</v>
      </c>
      <c r="D91" s="4" t="str">
        <f>Taxepunkter!D98</f>
        <v>Avgift per tömning</v>
      </c>
      <c r="E91" s="4" t="str">
        <f>Taxepunkter!E98</f>
        <v>st/tömning</v>
      </c>
      <c r="F91" s="4">
        <f>Taxepunkter!F98</f>
        <v>0</v>
      </c>
      <c r="G91" s="4">
        <f>Taxepunkter!G98</f>
        <v>0</v>
      </c>
      <c r="H91" s="4" t="str">
        <f>Taxepunkter!H98</f>
        <v/>
      </c>
      <c r="I91" s="4" t="str">
        <f>Taxepunkter!I98</f>
        <v/>
      </c>
      <c r="J91" s="4" t="str">
        <f>Taxepunkter!J98</f>
        <v/>
      </c>
      <c r="K91" s="4">
        <f>Taxepunkter!K98</f>
        <v>0</v>
      </c>
      <c r="L91" s="6">
        <f>Taxepunkter!L98</f>
        <v>0</v>
      </c>
    </row>
    <row r="92" spans="1:12" x14ac:dyDescent="0.25">
      <c r="A92" s="5" t="str">
        <f>Taxepunkter!A99</f>
        <v>§2.2.6</v>
      </c>
      <c r="B92" s="4" t="str">
        <f>Taxepunkter!B99</f>
        <v>Hämtningsavgift per år för verksamhet inom detaljhandeln med beviljad hantering av kommunalt avfall</v>
      </c>
      <c r="C92" s="4" t="str">
        <f>Taxepunkter!C99</f>
        <v>Bottentömmande behållare (mat-/restavfall)</v>
      </c>
      <c r="D92" s="4" t="str">
        <f>Taxepunkter!D99</f>
        <v>Tillägg för två tömningar per vecka</v>
      </c>
      <c r="E92" s="4" t="str">
        <f>Taxepunkter!E99</f>
        <v>st/tömning</v>
      </c>
      <c r="F92" s="4">
        <f>Taxepunkter!F99</f>
        <v>0</v>
      </c>
      <c r="G92" s="4">
        <f>Taxepunkter!G99</f>
        <v>0</v>
      </c>
      <c r="H92" s="4" t="str">
        <f>Taxepunkter!H99</f>
        <v/>
      </c>
      <c r="I92" s="4" t="str">
        <f>Taxepunkter!I99</f>
        <v/>
      </c>
      <c r="J92" s="4" t="str">
        <f>Taxepunkter!J99</f>
        <v/>
      </c>
      <c r="K92" s="4">
        <f>Taxepunkter!K99</f>
        <v>0</v>
      </c>
      <c r="L92" s="6">
        <f>Taxepunkter!L99</f>
        <v>0</v>
      </c>
    </row>
    <row r="93" spans="1:12" x14ac:dyDescent="0.25">
      <c r="A93" s="5" t="str">
        <f>Taxepunkter!A100</f>
        <v>§2.2.7 Verksamheter med beviljad hantering av förbrukat matfett, kontorspapper eller returpapper</v>
      </c>
      <c r="B93" s="4">
        <f>Taxepunkter!B100</f>
        <v>0</v>
      </c>
      <c r="C93" s="4">
        <f>Taxepunkter!C100</f>
        <v>0</v>
      </c>
      <c r="D93" s="4">
        <f>Taxepunkter!D100</f>
        <v>0</v>
      </c>
      <c r="E93" s="4">
        <f>Taxepunkter!E100</f>
        <v>0</v>
      </c>
      <c r="F93" s="4">
        <f>Taxepunkter!F100</f>
        <v>0</v>
      </c>
      <c r="G93" s="4">
        <f>Taxepunkter!G100</f>
        <v>0</v>
      </c>
      <c r="H93" s="4" t="str">
        <f>Taxepunkter!H100</f>
        <v/>
      </c>
      <c r="I93" s="4" t="str">
        <f>Taxepunkter!I100</f>
        <v/>
      </c>
      <c r="J93" s="4" t="str">
        <f>Taxepunkter!J100</f>
        <v/>
      </c>
      <c r="K93" s="4">
        <f>Taxepunkter!K100</f>
        <v>0</v>
      </c>
      <c r="L93" s="6">
        <f>Taxepunkter!L100</f>
        <v>0</v>
      </c>
    </row>
    <row r="94" spans="1:12" x14ac:dyDescent="0.25">
      <c r="A94" s="5" t="str">
        <f>Taxepunkter!A101</f>
        <v>§2.2.7</v>
      </c>
      <c r="B94" s="4" t="str">
        <f>Taxepunkter!B101</f>
        <v>Verksamheter med beviljad hantering av förbrukat matfett, kontorspapper eller returpapper</v>
      </c>
      <c r="C94" s="4" t="str">
        <f>Taxepunkter!C101</f>
        <v>Kärl 140 l (kontors-/returpapper)</v>
      </c>
      <c r="D94" s="4" t="str">
        <f>Taxepunkter!D101</f>
        <v>Avgift per tömning</v>
      </c>
      <c r="E94" s="4" t="str">
        <f>Taxepunkter!E101</f>
        <v>st/tömning</v>
      </c>
      <c r="F94" s="4">
        <f>Taxepunkter!F101</f>
        <v>0</v>
      </c>
      <c r="G94" s="4">
        <f>Taxepunkter!G101</f>
        <v>0</v>
      </c>
      <c r="H94" s="4" t="str">
        <f>Taxepunkter!H101</f>
        <v/>
      </c>
      <c r="I94" s="4" t="str">
        <f>Taxepunkter!I101</f>
        <v/>
      </c>
      <c r="J94" s="4" t="str">
        <f>Taxepunkter!J101</f>
        <v/>
      </c>
      <c r="K94" s="4">
        <f>Taxepunkter!K101</f>
        <v>0</v>
      </c>
      <c r="L94" s="6">
        <f>Taxepunkter!L101</f>
        <v>0</v>
      </c>
    </row>
    <row r="95" spans="1:12" x14ac:dyDescent="0.25">
      <c r="A95" s="5" t="str">
        <f>Taxepunkter!A102</f>
        <v>§2.2.7</v>
      </c>
      <c r="B95" s="4" t="str">
        <f>Taxepunkter!B102</f>
        <v>Verksamheter med beviljad hantering av förbrukat matfett, kontorspapper eller returpapper</v>
      </c>
      <c r="C95" s="4" t="str">
        <f>Taxepunkter!C102</f>
        <v xml:space="preserve">Egen överlämning av förbrukat kontors-/returpapper enligt anvisning </v>
      </c>
      <c r="D95" s="4" t="str">
        <f>Taxepunkter!D102</f>
        <v>Avgift per tömning</v>
      </c>
      <c r="E95" s="4" t="str">
        <f>Taxepunkter!E102</f>
        <v>st/tömning</v>
      </c>
      <c r="F95" s="4">
        <f>Taxepunkter!F102</f>
        <v>0</v>
      </c>
      <c r="G95" s="4">
        <f>Taxepunkter!G102</f>
        <v>0</v>
      </c>
      <c r="H95" s="4" t="str">
        <f>Taxepunkter!H102</f>
        <v/>
      </c>
      <c r="I95" s="4" t="str">
        <f>Taxepunkter!I102</f>
        <v/>
      </c>
      <c r="J95" s="4" t="str">
        <f>Taxepunkter!J102</f>
        <v/>
      </c>
      <c r="K95" s="4">
        <f>Taxepunkter!K102</f>
        <v>0</v>
      </c>
      <c r="L95" s="6">
        <f>Taxepunkter!L102</f>
        <v>0</v>
      </c>
    </row>
    <row r="96" spans="1:12" x14ac:dyDescent="0.25">
      <c r="A96" s="5" t="str">
        <f>Taxepunkter!A103</f>
        <v>§2.2.7</v>
      </c>
      <c r="B96" s="4" t="str">
        <f>Taxepunkter!B103</f>
        <v>Verksamheter med beviljad hantering av förbrukat matfett, kontorspapper eller returpapper</v>
      </c>
      <c r="C96" s="4" t="str">
        <f>Taxepunkter!C103</f>
        <v>Egen överlämning av förbrukat matfett enligt anvisning</v>
      </c>
      <c r="D96" s="4" t="str">
        <f>Taxepunkter!D103</f>
        <v>Avgift per tömning</v>
      </c>
      <c r="E96" s="4" t="str">
        <f>Taxepunkter!E103</f>
        <v>st/tömning</v>
      </c>
      <c r="F96" s="4">
        <f>Taxepunkter!F103</f>
        <v>0</v>
      </c>
      <c r="G96" s="4">
        <f>Taxepunkter!G103</f>
        <v>0</v>
      </c>
      <c r="H96" s="4" t="str">
        <f>Taxepunkter!H103</f>
        <v/>
      </c>
      <c r="I96" s="4" t="str">
        <f>Taxepunkter!I103</f>
        <v/>
      </c>
      <c r="J96" s="4" t="str">
        <f>Taxepunkter!J103</f>
        <v/>
      </c>
      <c r="K96" s="4">
        <f>Taxepunkter!K103</f>
        <v>0</v>
      </c>
      <c r="L96" s="6">
        <f>Taxepunkter!L103</f>
        <v>0</v>
      </c>
    </row>
    <row r="97" spans="1:12" x14ac:dyDescent="0.25">
      <c r="A97" s="5" t="str">
        <f>Taxepunkter!A104</f>
        <v>§2.3 Rörlig avgift (gäller ej gemensam uppsamlingsplats)</v>
      </c>
      <c r="B97" s="4">
        <f>Taxepunkter!B104</f>
        <v>0</v>
      </c>
      <c r="C97" s="4">
        <f>Taxepunkter!C104</f>
        <v>0</v>
      </c>
      <c r="D97" s="4">
        <f>Taxepunkter!D104</f>
        <v>0</v>
      </c>
      <c r="E97" s="4">
        <f>Taxepunkter!E104</f>
        <v>0</v>
      </c>
      <c r="F97" s="4">
        <f>Taxepunkter!F104</f>
        <v>0</v>
      </c>
      <c r="G97" s="4" t="str">
        <f>Taxepunkter!G104</f>
        <v/>
      </c>
      <c r="H97" s="4" t="str">
        <f>Taxepunkter!H104</f>
        <v/>
      </c>
      <c r="I97" s="4" t="str">
        <f>Taxepunkter!I104</f>
        <v/>
      </c>
      <c r="J97" s="4" t="str">
        <f>Taxepunkter!J104</f>
        <v/>
      </c>
      <c r="K97" s="4">
        <f>Taxepunkter!K104</f>
        <v>0</v>
      </c>
      <c r="L97" s="6">
        <f>Taxepunkter!L104</f>
        <v>0</v>
      </c>
    </row>
    <row r="98" spans="1:12" x14ac:dyDescent="0.25">
      <c r="A98" s="5" t="str">
        <f>Taxepunkter!A105</f>
        <v>§2.3.1 Rörlig avgift (gäller ej gemensam uppsamlingsplats)</v>
      </c>
      <c r="B98" s="4">
        <f>Taxepunkter!B105</f>
        <v>0</v>
      </c>
      <c r="C98" s="4">
        <f>Taxepunkter!C105</f>
        <v>0</v>
      </c>
      <c r="D98" s="4">
        <f>Taxepunkter!D105</f>
        <v>0</v>
      </c>
      <c r="E98" s="4">
        <f>Taxepunkter!E105</f>
        <v>0</v>
      </c>
      <c r="F98" s="4">
        <f>Taxepunkter!F105</f>
        <v>0</v>
      </c>
      <c r="G98" s="4" t="str">
        <f>Taxepunkter!G105</f>
        <v/>
      </c>
      <c r="H98" s="4" t="str">
        <f>Taxepunkter!H105</f>
        <v/>
      </c>
      <c r="I98" s="4" t="str">
        <f>Taxepunkter!I105</f>
        <v/>
      </c>
      <c r="J98" s="4" t="str">
        <f>Taxepunkter!J105</f>
        <v/>
      </c>
      <c r="K98" s="4">
        <f>Taxepunkter!K105</f>
        <v>0</v>
      </c>
      <c r="L98" s="6">
        <f>Taxepunkter!L105</f>
        <v>0</v>
      </c>
    </row>
    <row r="99" spans="1:12" x14ac:dyDescent="0.25">
      <c r="A99" s="5" t="str">
        <f>Taxepunkter!A106</f>
        <v>§2.3.1</v>
      </c>
      <c r="B99" s="4" t="str">
        <f>Taxepunkter!B106</f>
        <v>Rörlig avgift (gäller ej gemensam uppsamlingsplats)</v>
      </c>
      <c r="C99" s="4" t="str">
        <f>Taxepunkter!C106</f>
        <v>Viktavgift matavfall</v>
      </c>
      <c r="D99" s="4">
        <f>Taxepunkter!D106</f>
        <v>0</v>
      </c>
      <c r="E99" s="4" t="str">
        <f>Taxepunkter!E106</f>
        <v>kr/kg</v>
      </c>
      <c r="F99" s="4" t="str">
        <f>Taxepunkter!F106</f>
        <v>VIKTMAT</v>
      </c>
      <c r="G99" s="4">
        <f>Taxepunkter!G106</f>
        <v>0</v>
      </c>
      <c r="H99" s="4" t="str">
        <f>Taxepunkter!H106</f>
        <v>Tvåfackskärl 240 liter viktavgift</v>
      </c>
      <c r="I99" s="4" t="str">
        <f>Taxepunkter!I106</f>
        <v>KVAN</v>
      </c>
      <c r="J99" s="4">
        <f>Taxepunkter!J106</f>
        <v>2.2400000000000002</v>
      </c>
      <c r="K99" s="4">
        <f>Taxepunkter!K106</f>
        <v>0</v>
      </c>
      <c r="L99" s="6">
        <f>Taxepunkter!L106</f>
        <v>0</v>
      </c>
    </row>
    <row r="100" spans="1:12" x14ac:dyDescent="0.25">
      <c r="A100" s="5" t="str">
        <f>Taxepunkter!A107</f>
        <v>§2.3.1</v>
      </c>
      <c r="B100" s="4" t="str">
        <f>Taxepunkter!B107</f>
        <v>Rörlig avgift (gäller ej gemensam uppsamlingsplats)</v>
      </c>
      <c r="C100" s="4" t="str">
        <f>Taxepunkter!C107</f>
        <v>Viktavgift restavfall</v>
      </c>
      <c r="D100" s="4">
        <f>Taxepunkter!D107</f>
        <v>0</v>
      </c>
      <c r="E100" s="4" t="str">
        <f>Taxepunkter!E107</f>
        <v>kr/kg</v>
      </c>
      <c r="F100" s="4" t="str">
        <f>Taxepunkter!F107</f>
        <v>VIKTREST</v>
      </c>
      <c r="G100" s="4">
        <f>Taxepunkter!G107</f>
        <v>0</v>
      </c>
      <c r="H100" s="4" t="str">
        <f>Taxepunkter!H107</f>
        <v>Tvåfackskärl, viktavgift rest</v>
      </c>
      <c r="I100" s="4" t="str">
        <f>Taxepunkter!I107</f>
        <v>KVAN</v>
      </c>
      <c r="J100" s="4">
        <f>Taxepunkter!J107</f>
        <v>4.4000000000000004</v>
      </c>
      <c r="K100" s="4">
        <f>Taxepunkter!K107</f>
        <v>0</v>
      </c>
      <c r="L100" s="6">
        <f>Taxepunkter!L107</f>
        <v>0</v>
      </c>
    </row>
    <row r="101" spans="1:12" x14ac:dyDescent="0.25">
      <c r="A101" s="5" t="str">
        <f>Taxepunkter!A108</f>
        <v>§2.3.1</v>
      </c>
      <c r="B101" s="4" t="str">
        <f>Taxepunkter!B108</f>
        <v>Rörlig avgift (gäller ej gemensam uppsamlingsplats)</v>
      </c>
      <c r="C101" s="4" t="str">
        <f>Taxepunkter!C108</f>
        <v>Lyftavgift kärl</v>
      </c>
      <c r="D101" s="4">
        <f>Taxepunkter!D108</f>
        <v>0</v>
      </c>
      <c r="E101" s="4" t="str">
        <f>Taxepunkter!E108</f>
        <v>st/tömning</v>
      </c>
      <c r="F101" s="4">
        <f>Taxepunkter!F108</f>
        <v>0</v>
      </c>
      <c r="G101" s="4">
        <f>Taxepunkter!G108</f>
        <v>0</v>
      </c>
      <c r="H101" s="4" t="str">
        <f>Taxepunkter!H108</f>
        <v/>
      </c>
      <c r="I101" s="4" t="str">
        <f>Taxepunkter!I108</f>
        <v/>
      </c>
      <c r="J101" s="4" t="str">
        <f>Taxepunkter!J108</f>
        <v/>
      </c>
      <c r="K101" s="4">
        <f>Taxepunkter!K108</f>
        <v>0</v>
      </c>
      <c r="L101" s="6">
        <f>Taxepunkter!L108</f>
        <v>0</v>
      </c>
    </row>
    <row r="102" spans="1:12" x14ac:dyDescent="0.25">
      <c r="A102" s="5" t="str">
        <f>Taxepunkter!A109</f>
        <v>§2.4 Tillägg och avgifter för avfall</v>
      </c>
      <c r="B102" s="4">
        <f>Taxepunkter!B109</f>
        <v>0</v>
      </c>
      <c r="C102" s="4">
        <f>Taxepunkter!C109</f>
        <v>0</v>
      </c>
      <c r="D102" s="4">
        <f>Taxepunkter!D109</f>
        <v>0</v>
      </c>
      <c r="E102" s="4">
        <f>Taxepunkter!E109</f>
        <v>0</v>
      </c>
      <c r="F102" s="4">
        <f>Taxepunkter!F109</f>
        <v>0</v>
      </c>
      <c r="G102" s="4" t="str">
        <f>Taxepunkter!G109</f>
        <v/>
      </c>
      <c r="H102" s="4" t="str">
        <f>Taxepunkter!H109</f>
        <v/>
      </c>
      <c r="I102" s="4" t="str">
        <f>Taxepunkter!I109</f>
        <v/>
      </c>
      <c r="J102" s="4" t="str">
        <f>Taxepunkter!J109</f>
        <v/>
      </c>
      <c r="K102" s="4">
        <f>Taxepunkter!K109</f>
        <v>0</v>
      </c>
      <c r="L102" s="6">
        <f>Taxepunkter!L109</f>
        <v>0</v>
      </c>
    </row>
    <row r="103" spans="1:12" x14ac:dyDescent="0.25">
      <c r="A103" s="5" t="str">
        <f>Taxepunkter!A110</f>
        <v>§2.4.1 Fakturaavgift</v>
      </c>
      <c r="B103" s="4">
        <f>Taxepunkter!B110</f>
        <v>0</v>
      </c>
      <c r="C103" s="4">
        <f>Taxepunkter!C110</f>
        <v>0</v>
      </c>
      <c r="D103" s="4">
        <f>Taxepunkter!D110</f>
        <v>0</v>
      </c>
      <c r="E103" s="4">
        <f>Taxepunkter!E110</f>
        <v>0</v>
      </c>
      <c r="F103" s="4">
        <f>Taxepunkter!F110</f>
        <v>0</v>
      </c>
      <c r="G103" s="4" t="str">
        <f>Taxepunkter!G110</f>
        <v/>
      </c>
      <c r="H103" s="4" t="str">
        <f>Taxepunkter!H110</f>
        <v/>
      </c>
      <c r="I103" s="4" t="str">
        <f>Taxepunkter!I110</f>
        <v/>
      </c>
      <c r="J103" s="4" t="str">
        <f>Taxepunkter!J110</f>
        <v/>
      </c>
      <c r="K103" s="4">
        <f>Taxepunkter!K110</f>
        <v>0</v>
      </c>
      <c r="L103" s="6">
        <f>Taxepunkter!L110</f>
        <v>0</v>
      </c>
    </row>
    <row r="104" spans="1:12" x14ac:dyDescent="0.25">
      <c r="A104" s="5" t="str">
        <f>Taxepunkter!A111</f>
        <v>§2.4.1</v>
      </c>
      <c r="B104" s="4" t="str">
        <f>Taxepunkter!B111</f>
        <v>Fakturaavgift</v>
      </c>
      <c r="C104" s="4" t="str">
        <f>Taxepunkter!C111</f>
        <v>Fakturaavgift</v>
      </c>
      <c r="D104" s="4" t="str">
        <f>Taxepunkter!D111</f>
        <v>Avgift per faktura</v>
      </c>
      <c r="E104" s="4" t="str">
        <f>Taxepunkter!E111</f>
        <v>kr/st</v>
      </c>
      <c r="F104" s="4">
        <f>Taxepunkter!F111</f>
        <v>0</v>
      </c>
      <c r="G104" s="4" t="str">
        <f>Taxepunkter!G111</f>
        <v/>
      </c>
      <c r="H104" s="4" t="str">
        <f>Taxepunkter!H111</f>
        <v/>
      </c>
      <c r="I104" s="4" t="str">
        <f>Taxepunkter!I111</f>
        <v/>
      </c>
      <c r="J104" s="4" t="str">
        <f>Taxepunkter!J111</f>
        <v/>
      </c>
      <c r="K104" s="4">
        <f>Taxepunkter!K111</f>
        <v>0</v>
      </c>
      <c r="L104" s="6">
        <f>Taxepunkter!L111</f>
        <v>0</v>
      </c>
    </row>
    <row r="105" spans="1:12" x14ac:dyDescent="0.25">
      <c r="A105" s="5" t="str">
        <f>Taxepunkter!A112</f>
        <v>§2.4.1</v>
      </c>
      <c r="B105" s="4" t="str">
        <f>Taxepunkter!B112</f>
        <v>Fakturaavgift</v>
      </c>
      <c r="C105" s="4" t="str">
        <f>Taxepunkter!C112</f>
        <v>Fakturaavgift</v>
      </c>
      <c r="D105" s="4" t="str">
        <f>Taxepunkter!D112</f>
        <v>Avgift per faktura</v>
      </c>
      <c r="E105" s="4" t="str">
        <f>Taxepunkter!E112</f>
        <v>kr/st</v>
      </c>
      <c r="F105" s="4">
        <f>Taxepunkter!F112</f>
        <v>0</v>
      </c>
      <c r="G105" s="4" t="str">
        <f>Taxepunkter!G112</f>
        <v/>
      </c>
      <c r="H105" s="4" t="str">
        <f>Taxepunkter!H112</f>
        <v/>
      </c>
      <c r="I105" s="4" t="str">
        <f>Taxepunkter!I112</f>
        <v/>
      </c>
      <c r="J105" s="4" t="str">
        <f>Taxepunkter!J112</f>
        <v/>
      </c>
      <c r="K105" s="4">
        <f>Taxepunkter!K112</f>
        <v>0</v>
      </c>
      <c r="L105" s="6">
        <f>Taxepunkter!L112</f>
        <v>0</v>
      </c>
    </row>
    <row r="106" spans="1:12" x14ac:dyDescent="0.25">
      <c r="A106" s="5" t="str">
        <f>Taxepunkter!A113</f>
        <v>§2.4.2 Överviktsavgift kärl</v>
      </c>
      <c r="B106" s="4">
        <f>Taxepunkter!B113</f>
        <v>0</v>
      </c>
      <c r="C106" s="4">
        <f>Taxepunkter!C113</f>
        <v>0</v>
      </c>
      <c r="D106" s="4">
        <f>Taxepunkter!D113</f>
        <v>0</v>
      </c>
      <c r="E106" s="4">
        <f>Taxepunkter!E113</f>
        <v>0</v>
      </c>
      <c r="F106" s="4">
        <f>Taxepunkter!F113</f>
        <v>0</v>
      </c>
      <c r="G106" s="4" t="str">
        <f>Taxepunkter!G113</f>
        <v/>
      </c>
      <c r="H106" s="4" t="str">
        <f>Taxepunkter!H113</f>
        <v/>
      </c>
      <c r="I106" s="4" t="str">
        <f>Taxepunkter!I113</f>
        <v/>
      </c>
      <c r="J106" s="4" t="str">
        <f>Taxepunkter!J113</f>
        <v/>
      </c>
      <c r="K106" s="4">
        <f>Taxepunkter!K113</f>
        <v>0</v>
      </c>
      <c r="L106" s="6">
        <f>Taxepunkter!L113</f>
        <v>0</v>
      </c>
    </row>
    <row r="107" spans="1:12" x14ac:dyDescent="0.25">
      <c r="A107" s="5" t="str">
        <f>Taxepunkter!A114</f>
        <v>§2.4.2</v>
      </c>
      <c r="B107" s="4" t="str">
        <f>Taxepunkter!B114</f>
        <v>Överviktsavgift kärl</v>
      </c>
      <c r="C107" s="4" t="str">
        <f>Taxepunkter!C114</f>
        <v>Delat kärl 240 l restavfall</v>
      </c>
      <c r="D107" s="4" t="str">
        <f>Taxepunkter!D114</f>
        <v>Över 40 kg</v>
      </c>
      <c r="E107" s="4" t="str">
        <f>Taxepunkter!E114</f>
        <v>kr/kg</v>
      </c>
      <c r="F107" s="4">
        <f>Taxepunkter!F114</f>
        <v>0</v>
      </c>
      <c r="G107" s="4" t="str">
        <f>Taxepunkter!G114</f>
        <v/>
      </c>
      <c r="H107" s="4" t="str">
        <f>Taxepunkter!H114</f>
        <v/>
      </c>
      <c r="I107" s="4" t="str">
        <f>Taxepunkter!I114</f>
        <v/>
      </c>
      <c r="J107" s="4" t="str">
        <f>Taxepunkter!J114</f>
        <v/>
      </c>
      <c r="K107" s="4">
        <f>Taxepunkter!K114</f>
        <v>0</v>
      </c>
      <c r="L107" s="6">
        <f>Taxepunkter!L114</f>
        <v>0</v>
      </c>
    </row>
    <row r="108" spans="1:12" x14ac:dyDescent="0.25">
      <c r="A108" s="5" t="str">
        <f>Taxepunkter!A115</f>
        <v>§2.4.2</v>
      </c>
      <c r="B108" s="4" t="str">
        <f>Taxepunkter!B115</f>
        <v>Överviktsavgift kärl</v>
      </c>
      <c r="C108" s="4" t="str">
        <f>Taxepunkter!C115</f>
        <v>Delat kärl 240 l matavfall</v>
      </c>
      <c r="D108" s="4" t="str">
        <f>Taxepunkter!D115</f>
        <v>Över 40 kg</v>
      </c>
      <c r="E108" s="4" t="str">
        <f>Taxepunkter!E115</f>
        <v>kr/kg</v>
      </c>
      <c r="F108" s="4">
        <f>Taxepunkter!F115</f>
        <v>0</v>
      </c>
      <c r="G108" s="4" t="str">
        <f>Taxepunkter!G115</f>
        <v/>
      </c>
      <c r="H108" s="4" t="str">
        <f>Taxepunkter!H115</f>
        <v/>
      </c>
      <c r="I108" s="4" t="str">
        <f>Taxepunkter!I115</f>
        <v/>
      </c>
      <c r="J108" s="4" t="str">
        <f>Taxepunkter!J115</f>
        <v/>
      </c>
      <c r="K108" s="4">
        <f>Taxepunkter!K115</f>
        <v>0</v>
      </c>
      <c r="L108" s="6">
        <f>Taxepunkter!L115</f>
        <v>0</v>
      </c>
    </row>
    <row r="109" spans="1:12" x14ac:dyDescent="0.25">
      <c r="A109" s="5" t="str">
        <f>Taxepunkter!A116</f>
        <v>§2.4.2</v>
      </c>
      <c r="B109" s="4" t="str">
        <f>Taxepunkter!B116</f>
        <v>Överviktsavgift kärl</v>
      </c>
      <c r="C109" s="4" t="str">
        <f>Taxepunkter!C116</f>
        <v>Extra kärl 140 l matavfall</v>
      </c>
      <c r="D109" s="4" t="str">
        <f>Taxepunkter!D116</f>
        <v>Över 60 kg</v>
      </c>
      <c r="E109" s="4" t="str">
        <f>Taxepunkter!E116</f>
        <v>kr/kg</v>
      </c>
      <c r="F109" s="4">
        <f>Taxepunkter!F116</f>
        <v>0</v>
      </c>
      <c r="G109" s="4" t="str">
        <f>Taxepunkter!G116</f>
        <v/>
      </c>
      <c r="H109" s="4" t="str">
        <f>Taxepunkter!H116</f>
        <v/>
      </c>
      <c r="I109" s="4" t="str">
        <f>Taxepunkter!I116</f>
        <v/>
      </c>
      <c r="J109" s="4" t="str">
        <f>Taxepunkter!J116</f>
        <v/>
      </c>
      <c r="K109" s="4">
        <f>Taxepunkter!K116</f>
        <v>0</v>
      </c>
      <c r="L109" s="6">
        <f>Taxepunkter!L116</f>
        <v>0</v>
      </c>
    </row>
    <row r="110" spans="1:12" x14ac:dyDescent="0.25">
      <c r="A110" s="5" t="str">
        <f>Taxepunkter!A117</f>
        <v>§2.4.2</v>
      </c>
      <c r="B110" s="4" t="str">
        <f>Taxepunkter!B117</f>
        <v>Överviktsavgift kärl</v>
      </c>
      <c r="C110" s="4" t="str">
        <f>Taxepunkter!C117</f>
        <v>Extra kärl 140-190 l restavfall</v>
      </c>
      <c r="D110" s="4" t="str">
        <f>Taxepunkter!D117</f>
        <v>Över 60 kg</v>
      </c>
      <c r="E110" s="4" t="str">
        <f>Taxepunkter!E117</f>
        <v>kr/kg</v>
      </c>
      <c r="F110" s="4">
        <f>Taxepunkter!F117</f>
        <v>0</v>
      </c>
      <c r="G110" s="4" t="str">
        <f>Taxepunkter!G117</f>
        <v/>
      </c>
      <c r="H110" s="4" t="str">
        <f>Taxepunkter!H117</f>
        <v/>
      </c>
      <c r="I110" s="4" t="str">
        <f>Taxepunkter!I117</f>
        <v/>
      </c>
      <c r="J110" s="4" t="str">
        <f>Taxepunkter!J117</f>
        <v/>
      </c>
      <c r="K110" s="4">
        <f>Taxepunkter!K117</f>
        <v>0</v>
      </c>
      <c r="L110" s="6">
        <f>Taxepunkter!L117</f>
        <v>0</v>
      </c>
    </row>
    <row r="111" spans="1:12" x14ac:dyDescent="0.25">
      <c r="A111" s="5" t="str">
        <f>Taxepunkter!A118</f>
        <v>§2.4.2</v>
      </c>
      <c r="B111" s="4" t="str">
        <f>Taxepunkter!B118</f>
        <v>Överviktsavgift kärl</v>
      </c>
      <c r="C111" s="4" t="str">
        <f>Taxepunkter!C118</f>
        <v>Kärl 370 l restavfall</v>
      </c>
      <c r="D111" s="4" t="str">
        <f>Taxepunkter!D118</f>
        <v>Över 60 kg</v>
      </c>
      <c r="E111" s="4" t="str">
        <f>Taxepunkter!E118</f>
        <v>kr/kg</v>
      </c>
      <c r="F111" s="4">
        <f>Taxepunkter!F118</f>
        <v>0</v>
      </c>
      <c r="G111" s="4" t="str">
        <f>Taxepunkter!G118</f>
        <v/>
      </c>
      <c r="H111" s="4" t="str">
        <f>Taxepunkter!H118</f>
        <v/>
      </c>
      <c r="I111" s="4" t="str">
        <f>Taxepunkter!I118</f>
        <v/>
      </c>
      <c r="J111" s="4" t="str">
        <f>Taxepunkter!J118</f>
        <v/>
      </c>
      <c r="K111" s="4">
        <f>Taxepunkter!K118</f>
        <v>0</v>
      </c>
      <c r="L111" s="6">
        <f>Taxepunkter!L118</f>
        <v>0</v>
      </c>
    </row>
    <row r="112" spans="1:12" x14ac:dyDescent="0.25">
      <c r="A112" s="5" t="str">
        <f>Taxepunkter!A119</f>
        <v>§2.4.2</v>
      </c>
      <c r="B112" s="4" t="str">
        <f>Taxepunkter!B119</f>
        <v>Överviktsavgift kärl</v>
      </c>
      <c r="C112" s="4" t="str">
        <f>Taxepunkter!C119</f>
        <v>Kärl 660 l restavfall</v>
      </c>
      <c r="D112" s="4" t="str">
        <f>Taxepunkter!D119</f>
        <v>Över 100 kg</v>
      </c>
      <c r="E112" s="4" t="str">
        <f>Taxepunkter!E119</f>
        <v>kr/kg</v>
      </c>
      <c r="F112" s="4">
        <f>Taxepunkter!F119</f>
        <v>0</v>
      </c>
      <c r="G112" s="4" t="str">
        <f>Taxepunkter!G119</f>
        <v/>
      </c>
      <c r="H112" s="4" t="str">
        <f>Taxepunkter!H119</f>
        <v/>
      </c>
      <c r="I112" s="4" t="str">
        <f>Taxepunkter!I119</f>
        <v/>
      </c>
      <c r="J112" s="4" t="str">
        <f>Taxepunkter!J119</f>
        <v/>
      </c>
      <c r="K112" s="4">
        <f>Taxepunkter!K119</f>
        <v>0</v>
      </c>
      <c r="L112" s="6">
        <f>Taxepunkter!L119</f>
        <v>0</v>
      </c>
    </row>
    <row r="113" spans="1:12" x14ac:dyDescent="0.25">
      <c r="A113" s="5" t="str">
        <f>Taxepunkter!A120</f>
        <v>§2.4.3 Överfull behållare</v>
      </c>
      <c r="B113" s="4">
        <f>Taxepunkter!B120</f>
        <v>0</v>
      </c>
      <c r="C113" s="4">
        <f>Taxepunkter!C120</f>
        <v>0</v>
      </c>
      <c r="D113" s="4">
        <f>Taxepunkter!D120</f>
        <v>0</v>
      </c>
      <c r="E113" s="4">
        <f>Taxepunkter!E120</f>
        <v>0</v>
      </c>
      <c r="F113" s="4">
        <f>Taxepunkter!F120</f>
        <v>0</v>
      </c>
      <c r="G113" s="4" t="str">
        <f>Taxepunkter!G120</f>
        <v/>
      </c>
      <c r="H113" s="4" t="str">
        <f>Taxepunkter!H120</f>
        <v/>
      </c>
      <c r="I113" s="4" t="str">
        <f>Taxepunkter!I120</f>
        <v/>
      </c>
      <c r="J113" s="4" t="str">
        <f>Taxepunkter!J120</f>
        <v/>
      </c>
      <c r="K113" s="4">
        <f>Taxepunkter!K120</f>
        <v>0</v>
      </c>
      <c r="L113" s="6">
        <f>Taxepunkter!L120</f>
        <v>0</v>
      </c>
    </row>
    <row r="114" spans="1:12" x14ac:dyDescent="0.25">
      <c r="A114" s="5" t="str">
        <f>Taxepunkter!A121</f>
        <v>§2.4.3</v>
      </c>
      <c r="B114" s="4" t="str">
        <f>Taxepunkter!B121</f>
        <v>Överfull behållare</v>
      </c>
      <c r="C114" s="4" t="str">
        <f>Taxepunkter!C121</f>
        <v>Överfullt kärl</v>
      </c>
      <c r="D114" s="4">
        <f>Taxepunkter!D121</f>
        <v>0</v>
      </c>
      <c r="E114" s="4" t="str">
        <f>Taxepunkter!E121</f>
        <v>st/tillfälle/behållare</v>
      </c>
      <c r="F114" s="4">
        <f>Taxepunkter!F121</f>
        <v>0</v>
      </c>
      <c r="G114" s="4" t="str">
        <f>Taxepunkter!G121</f>
        <v/>
      </c>
      <c r="H114" s="4" t="str">
        <f>Taxepunkter!H121</f>
        <v/>
      </c>
      <c r="I114" s="4" t="str">
        <f>Taxepunkter!I121</f>
        <v/>
      </c>
      <c r="J114" s="4" t="str">
        <f>Taxepunkter!J121</f>
        <v/>
      </c>
      <c r="K114" s="4">
        <f>Taxepunkter!K121</f>
        <v>0</v>
      </c>
      <c r="L114" s="6">
        <f>Taxepunkter!L121</f>
        <v>0</v>
      </c>
    </row>
    <row r="115" spans="1:12" x14ac:dyDescent="0.25">
      <c r="A115" s="5" t="str">
        <f>Taxepunkter!A122</f>
        <v>§2.4.3</v>
      </c>
      <c r="B115" s="4" t="str">
        <f>Taxepunkter!B122</f>
        <v>Överfull behållare</v>
      </c>
      <c r="C115" s="4" t="str">
        <f>Taxepunkter!C122</f>
        <v>Överfull bottentömmande behållare</v>
      </c>
      <c r="D115" s="4">
        <f>Taxepunkter!D122</f>
        <v>0</v>
      </c>
      <c r="E115" s="4" t="str">
        <f>Taxepunkter!E122</f>
        <v>st/tillfälle/behållare</v>
      </c>
      <c r="F115" s="4">
        <f>Taxepunkter!F122</f>
        <v>0</v>
      </c>
      <c r="G115" s="4" t="str">
        <f>Taxepunkter!G122</f>
        <v/>
      </c>
      <c r="H115" s="4" t="str">
        <f>Taxepunkter!H122</f>
        <v/>
      </c>
      <c r="I115" s="4" t="str">
        <f>Taxepunkter!I122</f>
        <v/>
      </c>
      <c r="J115" s="4" t="str">
        <f>Taxepunkter!J122</f>
        <v/>
      </c>
      <c r="K115" s="4">
        <f>Taxepunkter!K122</f>
        <v>0</v>
      </c>
      <c r="L115" s="6">
        <f>Taxepunkter!L122</f>
        <v>0</v>
      </c>
    </row>
    <row r="116" spans="1:12" x14ac:dyDescent="0.25">
      <c r="A116" s="5" t="str">
        <f>Taxepunkter!A123</f>
        <v>§2.4.4 Byte av trasigt kärl</v>
      </c>
      <c r="B116" s="4">
        <f>Taxepunkter!B123</f>
        <v>0</v>
      </c>
      <c r="C116" s="4">
        <f>Taxepunkter!C123</f>
        <v>0</v>
      </c>
      <c r="D116" s="4">
        <f>Taxepunkter!D123</f>
        <v>0</v>
      </c>
      <c r="E116" s="4">
        <f>Taxepunkter!E123</f>
        <v>0</v>
      </c>
      <c r="F116" s="4">
        <f>Taxepunkter!F123</f>
        <v>0</v>
      </c>
      <c r="G116" s="4" t="str">
        <f>Taxepunkter!G123</f>
        <v/>
      </c>
      <c r="H116" s="4" t="str">
        <f>Taxepunkter!H123</f>
        <v/>
      </c>
      <c r="I116" s="4" t="str">
        <f>Taxepunkter!I123</f>
        <v/>
      </c>
      <c r="J116" s="4" t="str">
        <f>Taxepunkter!J123</f>
        <v/>
      </c>
      <c r="K116" s="4">
        <f>Taxepunkter!K123</f>
        <v>0</v>
      </c>
      <c r="L116" s="6">
        <f>Taxepunkter!L123</f>
        <v>0</v>
      </c>
    </row>
    <row r="117" spans="1:12" x14ac:dyDescent="0.25">
      <c r="A117" s="5" t="str">
        <f>Taxepunkter!A124</f>
        <v>§2.4.4</v>
      </c>
      <c r="B117" s="4" t="str">
        <f>Taxepunkter!B124</f>
        <v>Byte av trasigt kärl</v>
      </c>
      <c r="C117" s="4" t="str">
        <f>Taxepunkter!C124</f>
        <v>Byte av trasigt kärl vid oaktsamhet</v>
      </c>
      <c r="D117" s="4">
        <f>Taxepunkter!D124</f>
        <v>0</v>
      </c>
      <c r="E117" s="4" t="str">
        <f>Taxepunkter!E124</f>
        <v>st/kärl</v>
      </c>
      <c r="F117" s="4">
        <f>Taxepunkter!F124</f>
        <v>0</v>
      </c>
      <c r="G117" s="4" t="str">
        <f>Taxepunkter!G124</f>
        <v/>
      </c>
      <c r="H117" s="4" t="str">
        <f>Taxepunkter!H124</f>
        <v/>
      </c>
      <c r="I117" s="4" t="str">
        <f>Taxepunkter!I124</f>
        <v/>
      </c>
      <c r="J117" s="4" t="str">
        <f>Taxepunkter!J124</f>
        <v/>
      </c>
      <c r="K117" s="4">
        <f>Taxepunkter!K124</f>
        <v>0</v>
      </c>
      <c r="L117" s="6">
        <f>Taxepunkter!L124</f>
        <v>0</v>
      </c>
    </row>
    <row r="118" spans="1:12" x14ac:dyDescent="0.25">
      <c r="A118" s="5" t="str">
        <f>Taxepunkter!A125</f>
        <v>§2.4.4</v>
      </c>
      <c r="B118" s="4" t="str">
        <f>Taxepunkter!B125</f>
        <v>Byte av trasigt kärl</v>
      </c>
      <c r="C118" s="4" t="str">
        <f>Taxepunkter!C125</f>
        <v>Byte av trasigt kärl vid tömning</v>
      </c>
      <c r="D118" s="4">
        <f>Taxepunkter!D125</f>
        <v>0</v>
      </c>
      <c r="E118" s="4" t="str">
        <f>Taxepunkter!E125</f>
        <v>st/kärl</v>
      </c>
      <c r="F118" s="4">
        <f>Taxepunkter!F125</f>
        <v>0</v>
      </c>
      <c r="G118" s="4" t="str">
        <f>Taxepunkter!G125</f>
        <v/>
      </c>
      <c r="H118" s="4" t="str">
        <f>Taxepunkter!H125</f>
        <v/>
      </c>
      <c r="I118" s="4" t="str">
        <f>Taxepunkter!I125</f>
        <v/>
      </c>
      <c r="J118" s="4" t="str">
        <f>Taxepunkter!J125</f>
        <v/>
      </c>
      <c r="K118" s="4">
        <f>Taxepunkter!K125</f>
        <v>0</v>
      </c>
      <c r="L118" s="6">
        <f>Taxepunkter!L125</f>
        <v>0</v>
      </c>
    </row>
    <row r="119" spans="1:12" x14ac:dyDescent="0.25">
      <c r="A119" s="5" t="str">
        <f>Taxepunkter!A126</f>
        <v>§2.4.5 Byte av abonnemang</v>
      </c>
      <c r="B119" s="4">
        <f>Taxepunkter!B126</f>
        <v>0</v>
      </c>
      <c r="C119" s="4">
        <f>Taxepunkter!C126</f>
        <v>0</v>
      </c>
      <c r="D119" s="4">
        <f>Taxepunkter!D126</f>
        <v>0</v>
      </c>
      <c r="E119" s="4">
        <f>Taxepunkter!E126</f>
        <v>0</v>
      </c>
      <c r="F119" s="4">
        <f>Taxepunkter!F126</f>
        <v>0</v>
      </c>
      <c r="G119" s="4" t="str">
        <f>Taxepunkter!G126</f>
        <v/>
      </c>
      <c r="H119" s="4" t="str">
        <f>Taxepunkter!H126</f>
        <v/>
      </c>
      <c r="I119" s="4" t="str">
        <f>Taxepunkter!I126</f>
        <v/>
      </c>
      <c r="J119" s="4" t="str">
        <f>Taxepunkter!J126</f>
        <v/>
      </c>
      <c r="K119" s="4">
        <f>Taxepunkter!K126</f>
        <v>0</v>
      </c>
      <c r="L119" s="6">
        <f>Taxepunkter!L126</f>
        <v>0</v>
      </c>
    </row>
    <row r="120" spans="1:12" x14ac:dyDescent="0.25">
      <c r="A120" s="5" t="str">
        <f>Taxepunkter!A127</f>
        <v>§2.4.5</v>
      </c>
      <c r="B120" s="4" t="str">
        <f>Taxepunkter!B127</f>
        <v>Byte av abonnemang</v>
      </c>
      <c r="C120" s="4" t="str">
        <f>Taxepunkter!C127</f>
        <v>Byte/återtag av kärl en (1) ggr/år</v>
      </c>
      <c r="D120" s="4" t="str">
        <f>Taxepunkter!D127</f>
        <v>140–240 liter</v>
      </c>
      <c r="E120" s="4" t="str">
        <f>Taxepunkter!E127</f>
        <v>st/kärl</v>
      </c>
      <c r="F120" s="4">
        <f>Taxepunkter!F127</f>
        <v>0</v>
      </c>
      <c r="G120" s="4" t="str">
        <f>Taxepunkter!G127</f>
        <v/>
      </c>
      <c r="H120" s="4" t="str">
        <f>Taxepunkter!H127</f>
        <v/>
      </c>
      <c r="I120" s="4" t="str">
        <f>Taxepunkter!I127</f>
        <v/>
      </c>
      <c r="J120" s="4" t="str">
        <f>Taxepunkter!J127</f>
        <v/>
      </c>
      <c r="K120" s="4">
        <f>Taxepunkter!K127</f>
        <v>0</v>
      </c>
      <c r="L120" s="6">
        <f>Taxepunkter!L127</f>
        <v>0</v>
      </c>
    </row>
    <row r="121" spans="1:12" x14ac:dyDescent="0.25">
      <c r="A121" s="5" t="str">
        <f>Taxepunkter!A128</f>
        <v>§2.4.5</v>
      </c>
      <c r="B121" s="4" t="str">
        <f>Taxepunkter!B128</f>
        <v>Byte av abonnemang</v>
      </c>
      <c r="C121" s="4" t="str">
        <f>Taxepunkter!C128</f>
        <v>Byte/återtag av kärl en (1) ggr/år</v>
      </c>
      <c r="D121" s="4" t="str">
        <f>Taxepunkter!D128</f>
        <v>370–660 liter</v>
      </c>
      <c r="E121" s="4" t="str">
        <f>Taxepunkter!E128</f>
        <v>st/kärl</v>
      </c>
      <c r="F121" s="4">
        <f>Taxepunkter!F128</f>
        <v>0</v>
      </c>
      <c r="G121" s="4" t="str">
        <f>Taxepunkter!G128</f>
        <v/>
      </c>
      <c r="H121" s="4" t="str">
        <f>Taxepunkter!H128</f>
        <v/>
      </c>
      <c r="I121" s="4" t="str">
        <f>Taxepunkter!I128</f>
        <v/>
      </c>
      <c r="J121" s="4" t="str">
        <f>Taxepunkter!J128</f>
        <v/>
      </c>
      <c r="K121" s="4">
        <f>Taxepunkter!K128</f>
        <v>0</v>
      </c>
      <c r="L121" s="6">
        <f>Taxepunkter!L128</f>
        <v>0</v>
      </c>
    </row>
    <row r="122" spans="1:12" x14ac:dyDescent="0.25">
      <c r="A122" s="5" t="str">
        <f>Taxepunkter!A129</f>
        <v>§2.4.5</v>
      </c>
      <c r="B122" s="4" t="str">
        <f>Taxepunkter!B129</f>
        <v>Byte av abonnemang</v>
      </c>
      <c r="C122" s="4" t="str">
        <f>Taxepunkter!C129</f>
        <v>Ytterligare byte av kärl under kalenderåret</v>
      </c>
      <c r="D122" s="4">
        <f>Taxepunkter!D129</f>
        <v>0</v>
      </c>
      <c r="E122" s="4" t="str">
        <f>Taxepunkter!E129</f>
        <v>st/kärl</v>
      </c>
      <c r="F122" s="4">
        <f>Taxepunkter!F129</f>
        <v>0</v>
      </c>
      <c r="G122" s="4" t="str">
        <f>Taxepunkter!G129</f>
        <v/>
      </c>
      <c r="H122" s="4" t="str">
        <f>Taxepunkter!H129</f>
        <v/>
      </c>
      <c r="I122" s="4" t="str">
        <f>Taxepunkter!I129</f>
        <v/>
      </c>
      <c r="J122" s="4" t="str">
        <f>Taxepunkter!J129</f>
        <v/>
      </c>
      <c r="K122" s="4">
        <f>Taxepunkter!K129</f>
        <v>0</v>
      </c>
      <c r="L122" s="6">
        <f>Taxepunkter!L129</f>
        <v>0</v>
      </c>
    </row>
    <row r="123" spans="1:12" x14ac:dyDescent="0.25">
      <c r="A123" s="5" t="str">
        <f>Taxepunkter!A130</f>
        <v>§2.4.6 Felsorteringsavgift</v>
      </c>
      <c r="B123" s="4">
        <f>Taxepunkter!B130</f>
        <v>0</v>
      </c>
      <c r="C123" s="4">
        <f>Taxepunkter!C130</f>
        <v>0</v>
      </c>
      <c r="D123" s="4">
        <f>Taxepunkter!D130</f>
        <v>0</v>
      </c>
      <c r="E123" s="4">
        <f>Taxepunkter!E130</f>
        <v>0</v>
      </c>
      <c r="F123" s="4">
        <f>Taxepunkter!F130</f>
        <v>0</v>
      </c>
      <c r="G123" s="4" t="str">
        <f>Taxepunkter!G130</f>
        <v/>
      </c>
      <c r="H123" s="4" t="str">
        <f>Taxepunkter!H130</f>
        <v/>
      </c>
      <c r="I123" s="4" t="str">
        <f>Taxepunkter!I130</f>
        <v/>
      </c>
      <c r="J123" s="4" t="str">
        <f>Taxepunkter!J130</f>
        <v/>
      </c>
      <c r="K123" s="4">
        <f>Taxepunkter!K130</f>
        <v>0</v>
      </c>
      <c r="L123" s="6">
        <f>Taxepunkter!L130</f>
        <v>0</v>
      </c>
    </row>
    <row r="124" spans="1:12" x14ac:dyDescent="0.25">
      <c r="A124" s="5" t="str">
        <f>Taxepunkter!A131</f>
        <v>§2.4.6</v>
      </c>
      <c r="B124" s="4" t="str">
        <f>Taxepunkter!B131</f>
        <v>Felsorteringsavgift</v>
      </c>
      <c r="C124" s="4" t="str">
        <f>Taxepunkter!C131</f>
        <v>Kärl</v>
      </c>
      <c r="D124" s="4">
        <f>Taxepunkter!D131</f>
        <v>0</v>
      </c>
      <c r="E124" s="4" t="str">
        <f>Taxepunkter!E131</f>
        <v>st/tillfälle</v>
      </c>
      <c r="F124" s="4" t="str">
        <f>Taxepunkter!F131</f>
        <v>FELSORT</v>
      </c>
      <c r="G124" s="4" t="str">
        <f>Taxepunkter!G131</f>
        <v>FELSORT</v>
      </c>
      <c r="H124" s="4" t="str">
        <f>Taxepunkter!H131</f>
        <v>Felsorteringsavgift, pris per tillfälle och kärl</v>
      </c>
      <c r="I124" s="4" t="str">
        <f>Taxepunkter!I131</f>
        <v>KVAN</v>
      </c>
      <c r="J124" s="4">
        <f>Taxepunkter!J131</f>
        <v>400</v>
      </c>
      <c r="K124" s="4">
        <f>Taxepunkter!K131</f>
        <v>0</v>
      </c>
      <c r="L124" s="6">
        <f>Taxepunkter!L131</f>
        <v>0</v>
      </c>
    </row>
    <row r="125" spans="1:12" x14ac:dyDescent="0.25">
      <c r="A125" s="5" t="str">
        <f>Taxepunkter!A132</f>
        <v>§2.4.6</v>
      </c>
      <c r="B125" s="4" t="str">
        <f>Taxepunkter!B132</f>
        <v>Felsorteringsavgift</v>
      </c>
      <c r="C125" s="4" t="str">
        <f>Taxepunkter!C132</f>
        <v>Bottentömmande behållare</v>
      </c>
      <c r="D125" s="4">
        <f>Taxepunkter!D132</f>
        <v>0</v>
      </c>
      <c r="E125" s="4" t="str">
        <f>Taxepunkter!E132</f>
        <v>st/tillfälle</v>
      </c>
      <c r="F125" s="4" t="str">
        <f>Taxepunkter!F132</f>
        <v>FELSORT</v>
      </c>
      <c r="G125" s="4" t="str">
        <f>Taxepunkter!G132</f>
        <v>FELSORT</v>
      </c>
      <c r="H125" s="4" t="str">
        <f>Taxepunkter!H132</f>
        <v>Felsorteringsavgift, pris per tillfälle och kärl</v>
      </c>
      <c r="I125" s="4" t="str">
        <f>Taxepunkter!I132</f>
        <v>KVAN</v>
      </c>
      <c r="J125" s="4">
        <f>Taxepunkter!J132</f>
        <v>400</v>
      </c>
      <c r="K125" s="4">
        <f>Taxepunkter!K132</f>
        <v>0</v>
      </c>
      <c r="L125" s="6">
        <f>Taxepunkter!L132</f>
        <v>0</v>
      </c>
    </row>
    <row r="126" spans="1:12" x14ac:dyDescent="0.25">
      <c r="A126" s="5" t="str">
        <f>Taxepunkter!A133</f>
        <v>§2.4.7 Dragväg och avfallsutrymmen</v>
      </c>
      <c r="B126" s="4">
        <f>Taxepunkter!B133</f>
        <v>0</v>
      </c>
      <c r="C126" s="4">
        <f>Taxepunkter!C133</f>
        <v>0</v>
      </c>
      <c r="D126" s="4">
        <f>Taxepunkter!D133</f>
        <v>0</v>
      </c>
      <c r="E126" s="4">
        <f>Taxepunkter!E133</f>
        <v>0</v>
      </c>
      <c r="F126" s="4">
        <f>Taxepunkter!F133</f>
        <v>0</v>
      </c>
      <c r="G126" s="4" t="str">
        <f>Taxepunkter!G133</f>
        <v/>
      </c>
      <c r="H126" s="4" t="str">
        <f>Taxepunkter!H133</f>
        <v/>
      </c>
      <c r="I126" s="4" t="str">
        <f>Taxepunkter!I133</f>
        <v/>
      </c>
      <c r="J126" s="4" t="str">
        <f>Taxepunkter!J133</f>
        <v/>
      </c>
      <c r="K126" s="4">
        <f>Taxepunkter!K133</f>
        <v>0</v>
      </c>
      <c r="L126" s="6">
        <f>Taxepunkter!L133</f>
        <v>0</v>
      </c>
    </row>
    <row r="127" spans="1:12" x14ac:dyDescent="0.25">
      <c r="A127" s="5" t="str">
        <f>Taxepunkter!A134</f>
        <v>§2.4.7</v>
      </c>
      <c r="B127" s="4" t="str">
        <f>Taxepunkter!B134</f>
        <v>Dragväg och avfallsutrymmen</v>
      </c>
      <c r="C127" s="4" t="str">
        <f>Taxepunkter!C134</f>
        <v>Kärl 140-660 L</v>
      </c>
      <c r="D127" s="4" t="str">
        <f>Taxepunkter!D134</f>
        <v>1,5-10</v>
      </c>
      <c r="E127" s="4" t="str">
        <f>Taxepunkter!E134</f>
        <v>st/år</v>
      </c>
      <c r="F127" s="4">
        <f>Taxepunkter!F134</f>
        <v>0</v>
      </c>
      <c r="G127" s="4" t="str">
        <f>Taxepunkter!G134</f>
        <v/>
      </c>
      <c r="H127" s="4" t="str">
        <f>Taxepunkter!H134</f>
        <v/>
      </c>
      <c r="I127" s="4" t="str">
        <f>Taxepunkter!I134</f>
        <v/>
      </c>
      <c r="J127" s="4" t="str">
        <f>Taxepunkter!J134</f>
        <v/>
      </c>
      <c r="K127" s="4">
        <f>Taxepunkter!K134</f>
        <v>0</v>
      </c>
      <c r="L127" s="6">
        <f>Taxepunkter!L134</f>
        <v>0</v>
      </c>
    </row>
    <row r="128" spans="1:12" x14ac:dyDescent="0.25">
      <c r="A128" s="5" t="str">
        <f>Taxepunkter!A135</f>
        <v>§2.4.7</v>
      </c>
      <c r="B128" s="4" t="str">
        <f>Taxepunkter!B135</f>
        <v>Dragväg och avfallsutrymmen</v>
      </c>
      <c r="C128" s="4" t="str">
        <f>Taxepunkter!C135</f>
        <v>Kärl 140-660 L</v>
      </c>
      <c r="D128" s="4" t="str">
        <f>Taxepunkter!D135</f>
        <v>10-20</v>
      </c>
      <c r="E128" s="4" t="str">
        <f>Taxepunkter!E135</f>
        <v>st/år</v>
      </c>
      <c r="F128" s="4">
        <f>Taxepunkter!F135</f>
        <v>0</v>
      </c>
      <c r="G128" s="4" t="str">
        <f>Taxepunkter!G135</f>
        <v/>
      </c>
      <c r="H128" s="4" t="str">
        <f>Taxepunkter!H135</f>
        <v/>
      </c>
      <c r="I128" s="4" t="str">
        <f>Taxepunkter!I135</f>
        <v/>
      </c>
      <c r="J128" s="4" t="str">
        <f>Taxepunkter!J135</f>
        <v/>
      </c>
      <c r="K128" s="4">
        <f>Taxepunkter!K135</f>
        <v>0</v>
      </c>
      <c r="L128" s="6">
        <f>Taxepunkter!L135</f>
        <v>0</v>
      </c>
    </row>
    <row r="129" spans="1:12" x14ac:dyDescent="0.25">
      <c r="A129" s="5" t="str">
        <f>Taxepunkter!A136</f>
        <v>§2.4.7</v>
      </c>
      <c r="B129" s="4" t="str">
        <f>Taxepunkter!B136</f>
        <v>Dragväg och avfallsutrymmen</v>
      </c>
      <c r="C129" s="4" t="str">
        <f>Taxepunkter!C136</f>
        <v>Kärl 140-660 L</v>
      </c>
      <c r="D129" s="4" t="str">
        <f>Taxepunkter!D136</f>
        <v>20-30</v>
      </c>
      <c r="E129" s="4" t="str">
        <f>Taxepunkter!E136</f>
        <v>st/år</v>
      </c>
      <c r="F129" s="4">
        <f>Taxepunkter!F136</f>
        <v>0</v>
      </c>
      <c r="G129" s="4" t="str">
        <f>Taxepunkter!G136</f>
        <v/>
      </c>
      <c r="H129" s="4" t="str">
        <f>Taxepunkter!H136</f>
        <v/>
      </c>
      <c r="I129" s="4" t="str">
        <f>Taxepunkter!I136</f>
        <v/>
      </c>
      <c r="J129" s="4" t="str">
        <f>Taxepunkter!J136</f>
        <v/>
      </c>
      <c r="K129" s="4">
        <f>Taxepunkter!K136</f>
        <v>0</v>
      </c>
      <c r="L129" s="6">
        <f>Taxepunkter!L136</f>
        <v>0</v>
      </c>
    </row>
    <row r="130" spans="1:12" x14ac:dyDescent="0.25">
      <c r="A130" s="5" t="str">
        <f>Taxepunkter!A137</f>
        <v>§2.4.7</v>
      </c>
      <c r="B130" s="4" t="str">
        <f>Taxepunkter!B137</f>
        <v>Dragväg och avfallsutrymmen</v>
      </c>
      <c r="C130" s="4" t="str">
        <f>Taxepunkter!C137</f>
        <v>Avfallsport eller dörr</v>
      </c>
      <c r="D130" s="4">
        <f>Taxepunkter!D137</f>
        <v>0</v>
      </c>
      <c r="E130" s="4" t="str">
        <f>Taxepunkter!E137</f>
        <v>st/år</v>
      </c>
      <c r="F130" s="4">
        <f>Taxepunkter!F137</f>
        <v>0</v>
      </c>
      <c r="G130" s="4">
        <f>Taxepunkter!G137</f>
        <v>0</v>
      </c>
      <c r="H130" s="4">
        <f>Taxepunkter!H137</f>
        <v>0</v>
      </c>
      <c r="I130" s="4">
        <f>Taxepunkter!I137</f>
        <v>0</v>
      </c>
      <c r="J130" s="4">
        <f>Taxepunkter!J137</f>
        <v>0</v>
      </c>
      <c r="K130" s="4">
        <f>Taxepunkter!K137</f>
        <v>0</v>
      </c>
      <c r="L130" s="6">
        <f>Taxepunkter!L137</f>
        <v>0</v>
      </c>
    </row>
    <row r="131" spans="1:12" x14ac:dyDescent="0.25">
      <c r="A131" s="5" t="str">
        <f>Taxepunkter!A138</f>
        <v>§2.4.7</v>
      </c>
      <c r="B131" s="4" t="str">
        <f>Taxepunkter!B138</f>
        <v>Dragväg och avfallsutrymmen</v>
      </c>
      <c r="C131" s="4" t="str">
        <f>Taxepunkter!C138</f>
        <v>Låst dörr, med kod</v>
      </c>
      <c r="D131" s="4">
        <f>Taxepunkter!D138</f>
        <v>0</v>
      </c>
      <c r="E131" s="4" t="str">
        <f>Taxepunkter!E138</f>
        <v>st/år</v>
      </c>
      <c r="F131" s="4">
        <f>Taxepunkter!F138</f>
        <v>0</v>
      </c>
      <c r="G131" s="4" t="str">
        <f>Taxepunkter!G138</f>
        <v/>
      </c>
      <c r="H131" s="4" t="str">
        <f>Taxepunkter!H138</f>
        <v/>
      </c>
      <c r="I131" s="4" t="str">
        <f>Taxepunkter!I138</f>
        <v/>
      </c>
      <c r="J131" s="4" t="str">
        <f>Taxepunkter!J138</f>
        <v/>
      </c>
      <c r="K131" s="4">
        <f>Taxepunkter!K138</f>
        <v>0</v>
      </c>
      <c r="L131" s="6">
        <f>Taxepunkter!L138</f>
        <v>0</v>
      </c>
    </row>
    <row r="132" spans="1:12" x14ac:dyDescent="0.25">
      <c r="A132" s="5" t="str">
        <f>Taxepunkter!A139</f>
        <v>§2.4.8 Evenemang och andra tillfälliga händelser</v>
      </c>
      <c r="B132" s="4">
        <f>Taxepunkter!B139</f>
        <v>0</v>
      </c>
      <c r="C132" s="4">
        <f>Taxepunkter!C139</f>
        <v>0</v>
      </c>
      <c r="D132" s="4">
        <f>Taxepunkter!D139</f>
        <v>0</v>
      </c>
      <c r="E132" s="4">
        <f>Taxepunkter!E139</f>
        <v>0</v>
      </c>
      <c r="F132" s="4">
        <f>Taxepunkter!F139</f>
        <v>0</v>
      </c>
      <c r="G132" s="4" t="str">
        <f>Taxepunkter!G139</f>
        <v/>
      </c>
      <c r="H132" s="4" t="str">
        <f>Taxepunkter!H139</f>
        <v/>
      </c>
      <c r="I132" s="4" t="str">
        <f>Taxepunkter!I139</f>
        <v/>
      </c>
      <c r="J132" s="4" t="str">
        <f>Taxepunkter!J139</f>
        <v/>
      </c>
      <c r="K132" s="4">
        <f>Taxepunkter!K139</f>
        <v>0</v>
      </c>
      <c r="L132" s="6">
        <f>Taxepunkter!L139</f>
        <v>0</v>
      </c>
    </row>
    <row r="133" spans="1:12" x14ac:dyDescent="0.25">
      <c r="A133" s="5" t="str">
        <f>Taxepunkter!A140</f>
        <v>§2.4.8</v>
      </c>
      <c r="B133" s="4" t="str">
        <f>Taxepunkter!B140</f>
        <v>Evenemang och andra tillfälliga händelser</v>
      </c>
      <c r="C133" s="4" t="str">
        <f>Taxepunkter!C140</f>
        <v>Kärl 140 l matavfall</v>
      </c>
      <c r="D133" s="4">
        <f>Taxepunkter!D140</f>
        <v>0</v>
      </c>
      <c r="E133" s="4" t="str">
        <f>Taxepunkter!E140</f>
        <v>st/period</v>
      </c>
      <c r="F133" s="4">
        <f>Taxepunkter!F140</f>
        <v>0</v>
      </c>
      <c r="G133" s="4" t="str">
        <f>Taxepunkter!G140</f>
        <v/>
      </c>
      <c r="H133" s="4" t="str">
        <f>Taxepunkter!H140</f>
        <v/>
      </c>
      <c r="I133" s="4" t="str">
        <f>Taxepunkter!I140</f>
        <v/>
      </c>
      <c r="J133" s="4" t="str">
        <f>Taxepunkter!J140</f>
        <v/>
      </c>
      <c r="K133" s="4">
        <f>Taxepunkter!K140</f>
        <v>0</v>
      </c>
      <c r="L133" s="6">
        <f>Taxepunkter!L140</f>
        <v>0</v>
      </c>
    </row>
    <row r="134" spans="1:12" x14ac:dyDescent="0.25">
      <c r="A134" s="5" t="str">
        <f>Taxepunkter!A141</f>
        <v>§2.4.8</v>
      </c>
      <c r="B134" s="4" t="str">
        <f>Taxepunkter!B141</f>
        <v>Evenemang och andra tillfälliga händelser</v>
      </c>
      <c r="C134" s="4" t="str">
        <f>Taxepunkter!C141</f>
        <v>Kärl 190 l restavfall</v>
      </c>
      <c r="D134" s="4">
        <f>Taxepunkter!D141</f>
        <v>0</v>
      </c>
      <c r="E134" s="4" t="str">
        <f>Taxepunkter!E141</f>
        <v>st/period</v>
      </c>
      <c r="F134" s="4">
        <f>Taxepunkter!F141</f>
        <v>0</v>
      </c>
      <c r="G134" s="4" t="str">
        <f>Taxepunkter!G141</f>
        <v/>
      </c>
      <c r="H134" s="4" t="str">
        <f>Taxepunkter!H141</f>
        <v/>
      </c>
      <c r="I134" s="4" t="str">
        <f>Taxepunkter!I141</f>
        <v/>
      </c>
      <c r="J134" s="4" t="str">
        <f>Taxepunkter!J141</f>
        <v/>
      </c>
      <c r="K134" s="4">
        <f>Taxepunkter!K141</f>
        <v>0</v>
      </c>
      <c r="L134" s="6">
        <f>Taxepunkter!L141</f>
        <v>0</v>
      </c>
    </row>
    <row r="135" spans="1:12" x14ac:dyDescent="0.25">
      <c r="A135" s="5" t="str">
        <f>Taxepunkter!A142</f>
        <v>§2.4.8</v>
      </c>
      <c r="B135" s="4" t="str">
        <f>Taxepunkter!B142</f>
        <v>Evenemang och andra tillfälliga händelser</v>
      </c>
      <c r="C135" s="4" t="str">
        <f>Taxepunkter!C142</f>
        <v>Kärl 370 l restavfall</v>
      </c>
      <c r="D135" s="4">
        <f>Taxepunkter!D142</f>
        <v>0</v>
      </c>
      <c r="E135" s="4" t="str">
        <f>Taxepunkter!E142</f>
        <v>st/period</v>
      </c>
      <c r="F135" s="4">
        <f>Taxepunkter!F142</f>
        <v>0</v>
      </c>
      <c r="G135" s="4" t="str">
        <f>Taxepunkter!G142</f>
        <v/>
      </c>
      <c r="H135" s="4" t="str">
        <f>Taxepunkter!H142</f>
        <v/>
      </c>
      <c r="I135" s="4" t="str">
        <f>Taxepunkter!I142</f>
        <v/>
      </c>
      <c r="J135" s="4" t="str">
        <f>Taxepunkter!J142</f>
        <v/>
      </c>
      <c r="K135" s="4">
        <f>Taxepunkter!K142</f>
        <v>0</v>
      </c>
      <c r="L135" s="6">
        <f>Taxepunkter!L142</f>
        <v>0</v>
      </c>
    </row>
    <row r="136" spans="1:12" x14ac:dyDescent="0.25">
      <c r="A136" s="5" t="str">
        <f>Taxepunkter!A143</f>
        <v>§2.4.8</v>
      </c>
      <c r="B136" s="4" t="str">
        <f>Taxepunkter!B143</f>
        <v>Evenemang och andra tillfälliga händelser</v>
      </c>
      <c r="C136" s="4" t="str">
        <f>Taxepunkter!C143</f>
        <v>Kärl 660 l restavfall</v>
      </c>
      <c r="D136" s="4">
        <f>Taxepunkter!D143</f>
        <v>0</v>
      </c>
      <c r="E136" s="4" t="str">
        <f>Taxepunkter!E143</f>
        <v>st/period</v>
      </c>
      <c r="F136" s="4">
        <f>Taxepunkter!F143</f>
        <v>0</v>
      </c>
      <c r="G136" s="4" t="str">
        <f>Taxepunkter!G143</f>
        <v/>
      </c>
      <c r="H136" s="4" t="str">
        <f>Taxepunkter!H143</f>
        <v/>
      </c>
      <c r="I136" s="4" t="str">
        <f>Taxepunkter!I143</f>
        <v/>
      </c>
      <c r="J136" s="4" t="str">
        <f>Taxepunkter!J143</f>
        <v/>
      </c>
      <c r="K136" s="4">
        <f>Taxepunkter!K143</f>
        <v>0</v>
      </c>
      <c r="L136" s="6">
        <f>Taxepunkter!L143</f>
        <v>0</v>
      </c>
    </row>
    <row r="137" spans="1:12" x14ac:dyDescent="0.25">
      <c r="A137" s="5" t="str">
        <f>Taxepunkter!A144</f>
        <v>§2.4.8</v>
      </c>
      <c r="B137" s="4" t="str">
        <f>Taxepunkter!B144</f>
        <v>Evenemang och andra tillfälliga händelser</v>
      </c>
      <c r="C137" s="4" t="str">
        <f>Taxepunkter!C144</f>
        <v>Bottemtömmande behållare</v>
      </c>
      <c r="D137" s="4">
        <f>Taxepunkter!D144</f>
        <v>0</v>
      </c>
      <c r="E137" s="4" t="str">
        <f>Taxepunkter!E144</f>
        <v>st/period</v>
      </c>
      <c r="F137" s="4">
        <f>Taxepunkter!F144</f>
        <v>0</v>
      </c>
      <c r="G137" s="4" t="str">
        <f>Taxepunkter!G144</f>
        <v/>
      </c>
      <c r="H137" s="4" t="str">
        <f>Taxepunkter!H144</f>
        <v/>
      </c>
      <c r="I137" s="4" t="str">
        <f>Taxepunkter!I144</f>
        <v/>
      </c>
      <c r="J137" s="4" t="str">
        <f>Taxepunkter!J144</f>
        <v/>
      </c>
      <c r="K137" s="4">
        <f>Taxepunkter!K144</f>
        <v>0</v>
      </c>
      <c r="L137" s="6">
        <f>Taxepunkter!L144</f>
        <v>0</v>
      </c>
    </row>
    <row r="138" spans="1:12" x14ac:dyDescent="0.25">
      <c r="A138" s="5" t="str">
        <f>Taxepunkter!A145</f>
        <v>§2.4.9 Budning av mat- och restavfall</v>
      </c>
      <c r="B138" s="4">
        <f>Taxepunkter!B145</f>
        <v>0</v>
      </c>
      <c r="C138" s="4">
        <f>Taxepunkter!C145</f>
        <v>0</v>
      </c>
      <c r="D138" s="4">
        <f>Taxepunkter!D145</f>
        <v>0</v>
      </c>
      <c r="E138" s="4">
        <f>Taxepunkter!E145</f>
        <v>0</v>
      </c>
      <c r="F138" s="4">
        <f>Taxepunkter!F145</f>
        <v>0</v>
      </c>
      <c r="G138" s="4" t="str">
        <f>Taxepunkter!G145</f>
        <v/>
      </c>
      <c r="H138" s="4" t="str">
        <f>Taxepunkter!H145</f>
        <v/>
      </c>
      <c r="I138" s="4" t="str">
        <f>Taxepunkter!I145</f>
        <v/>
      </c>
      <c r="J138" s="4" t="str">
        <f>Taxepunkter!J145</f>
        <v/>
      </c>
      <c r="K138" s="4">
        <f>Taxepunkter!K145</f>
        <v>0</v>
      </c>
      <c r="L138" s="6">
        <f>Taxepunkter!L145</f>
        <v>0</v>
      </c>
    </row>
    <row r="139" spans="1:12" x14ac:dyDescent="0.25">
      <c r="A139" s="5" t="str">
        <f>Taxepunkter!A146</f>
        <v>§2.4.9</v>
      </c>
      <c r="B139" s="4" t="str">
        <f>Taxepunkter!B146</f>
        <v>Budning av mat- och restavfall</v>
      </c>
      <c r="C139" s="4" t="str">
        <f>Taxepunkter!C146</f>
        <v>Sidlastande fordon</v>
      </c>
      <c r="D139" s="4">
        <f>Taxepunkter!D146</f>
        <v>0</v>
      </c>
      <c r="E139" s="4" t="str">
        <f>Taxepunkter!E146</f>
        <v>st/tillfälle</v>
      </c>
      <c r="F139" s="4">
        <f>Taxepunkter!F146</f>
        <v>0</v>
      </c>
      <c r="G139" s="4" t="str">
        <f>Taxepunkter!G146</f>
        <v/>
      </c>
      <c r="H139" s="4" t="str">
        <f>Taxepunkter!H146</f>
        <v/>
      </c>
      <c r="I139" s="4" t="str">
        <f>Taxepunkter!I146</f>
        <v/>
      </c>
      <c r="J139" s="4" t="str">
        <f>Taxepunkter!J146</f>
        <v/>
      </c>
      <c r="K139" s="4">
        <f>Taxepunkter!K146</f>
        <v>0</v>
      </c>
      <c r="L139" s="6">
        <f>Taxepunkter!L146</f>
        <v>0</v>
      </c>
    </row>
    <row r="140" spans="1:12" x14ac:dyDescent="0.25">
      <c r="A140" s="5" t="str">
        <f>Taxepunkter!A147</f>
        <v>§2.4.9</v>
      </c>
      <c r="B140" s="4" t="str">
        <f>Taxepunkter!B147</f>
        <v>Budning av mat- och restavfall</v>
      </c>
      <c r="C140" s="4" t="str">
        <f>Taxepunkter!C147</f>
        <v>Bottentömmande fordon</v>
      </c>
      <c r="D140" s="4">
        <f>Taxepunkter!D147</f>
        <v>0</v>
      </c>
      <c r="E140" s="4" t="str">
        <f>Taxepunkter!E147</f>
        <v>st/tillfälle</v>
      </c>
      <c r="F140" s="4">
        <f>Taxepunkter!F147</f>
        <v>0</v>
      </c>
      <c r="G140" s="4" t="str">
        <f>Taxepunkter!G147</f>
        <v/>
      </c>
      <c r="H140" s="4" t="str">
        <f>Taxepunkter!H147</f>
        <v/>
      </c>
      <c r="I140" s="4" t="str">
        <f>Taxepunkter!I147</f>
        <v/>
      </c>
      <c r="J140" s="4" t="str">
        <f>Taxepunkter!J147</f>
        <v/>
      </c>
      <c r="K140" s="4">
        <f>Taxepunkter!K147</f>
        <v>0</v>
      </c>
      <c r="L140" s="6">
        <f>Taxepunkter!L147</f>
        <v>0</v>
      </c>
    </row>
    <row r="141" spans="1:12" x14ac:dyDescent="0.25">
      <c r="A141" s="5" t="str">
        <f>Taxepunkter!A148</f>
        <v>§2.4.9</v>
      </c>
      <c r="B141" s="4" t="str">
        <f>Taxepunkter!B148</f>
        <v>Budning av mat- och restavfall</v>
      </c>
      <c r="C141" s="4" t="str">
        <f>Taxepunkter!C148</f>
        <v>Tömningsavgift per behållare</v>
      </c>
      <c r="D141" s="4">
        <f>Taxepunkter!D148</f>
        <v>0</v>
      </c>
      <c r="E141" s="4" t="str">
        <f>Taxepunkter!E148</f>
        <v>st/tillfälle</v>
      </c>
      <c r="F141" s="4">
        <f>Taxepunkter!F148</f>
        <v>0</v>
      </c>
      <c r="G141" s="4" t="str">
        <f>Taxepunkter!G148</f>
        <v/>
      </c>
      <c r="H141" s="4" t="str">
        <f>Taxepunkter!H148</f>
        <v/>
      </c>
      <c r="I141" s="4" t="str">
        <f>Taxepunkter!I148</f>
        <v/>
      </c>
      <c r="J141" s="4" t="str">
        <f>Taxepunkter!J148</f>
        <v/>
      </c>
      <c r="K141" s="4">
        <f>Taxepunkter!K148</f>
        <v>0</v>
      </c>
      <c r="L141" s="6">
        <f>Taxepunkter!L148</f>
        <v>0</v>
      </c>
    </row>
    <row r="142" spans="1:12" x14ac:dyDescent="0.25">
      <c r="A142" s="5" t="str">
        <f>Taxepunkter!A149</f>
        <v>§2.4.10 Betalsäck och akutsäck</v>
      </c>
      <c r="B142" s="4">
        <f>Taxepunkter!B149</f>
        <v>0</v>
      </c>
      <c r="C142" s="4">
        <f>Taxepunkter!C149</f>
        <v>0</v>
      </c>
      <c r="D142" s="4">
        <f>Taxepunkter!D149</f>
        <v>0</v>
      </c>
      <c r="E142" s="4">
        <f>Taxepunkter!E149</f>
        <v>0</v>
      </c>
      <c r="F142" s="4">
        <f>Taxepunkter!F149</f>
        <v>0</v>
      </c>
      <c r="G142" s="4" t="str">
        <f>Taxepunkter!G149</f>
        <v/>
      </c>
      <c r="H142" s="4" t="str">
        <f>Taxepunkter!H149</f>
        <v/>
      </c>
      <c r="I142" s="4" t="str">
        <f>Taxepunkter!I149</f>
        <v/>
      </c>
      <c r="J142" s="4" t="str">
        <f>Taxepunkter!J149</f>
        <v/>
      </c>
      <c r="K142" s="4">
        <f>Taxepunkter!K149</f>
        <v>0</v>
      </c>
      <c r="L142" s="6">
        <f>Taxepunkter!L149</f>
        <v>0</v>
      </c>
    </row>
    <row r="143" spans="1:12" x14ac:dyDescent="0.25">
      <c r="A143" s="5" t="str">
        <f>Taxepunkter!A150</f>
        <v>§2.4.10</v>
      </c>
      <c r="B143" s="4" t="str">
        <f>Taxepunkter!B150</f>
        <v>Betalsäck och akutsäck</v>
      </c>
      <c r="C143" s="4" t="str">
        <f>Taxepunkter!C150</f>
        <v>Betalsäck</v>
      </c>
      <c r="D143" s="4">
        <f>Taxepunkter!D150</f>
        <v>0</v>
      </c>
      <c r="E143" s="4" t="str">
        <f>Taxepunkter!E150</f>
        <v>st/säck</v>
      </c>
      <c r="F143" s="4" t="str">
        <f>Taxepunkter!F150</f>
        <v>BETALSÄCK</v>
      </c>
      <c r="G143" s="4" t="str">
        <f>Taxepunkter!G150</f>
        <v>BETALSÄCK</v>
      </c>
      <c r="H143" s="4" t="str">
        <f>Taxepunkter!H150</f>
        <v>Betalsäck, pris per säck</v>
      </c>
      <c r="I143" s="4" t="str">
        <f>Taxepunkter!I150</f>
        <v>KVAN</v>
      </c>
      <c r="J143" s="4">
        <f>Taxepunkter!J150</f>
        <v>128</v>
      </c>
      <c r="K143" s="4">
        <f>Taxepunkter!K150</f>
        <v>0</v>
      </c>
      <c r="L143" s="6">
        <f>Taxepunkter!L150</f>
        <v>0</v>
      </c>
    </row>
    <row r="144" spans="1:12" x14ac:dyDescent="0.25">
      <c r="A144" s="5" t="str">
        <f>Taxepunkter!A151</f>
        <v>§2.4.10</v>
      </c>
      <c r="B144" s="4" t="str">
        <f>Taxepunkter!B151</f>
        <v>Betalsäck och akutsäck</v>
      </c>
      <c r="C144" s="4" t="str">
        <f>Taxepunkter!C151</f>
        <v>Akutsäck</v>
      </c>
      <c r="D144" s="4">
        <f>Taxepunkter!D151</f>
        <v>0</v>
      </c>
      <c r="E144" s="4" t="str">
        <f>Taxepunkter!E151</f>
        <v>st/säck</v>
      </c>
      <c r="F144" s="4" t="str">
        <f>Taxepunkter!F151</f>
        <v>AKUTSÄCK</v>
      </c>
      <c r="G144" s="4" t="str">
        <f>Taxepunkter!G151</f>
        <v>AKUTSÄCK</v>
      </c>
      <c r="H144" s="4" t="str">
        <f>Taxepunkter!H151</f>
        <v>Avgift för akutsäck</v>
      </c>
      <c r="I144" s="4" t="str">
        <f>Taxepunkter!I151</f>
        <v>KVAN</v>
      </c>
      <c r="J144" s="4">
        <f>Taxepunkter!J151</f>
        <v>160</v>
      </c>
      <c r="K144" s="4">
        <f>Taxepunkter!K151</f>
        <v>0</v>
      </c>
      <c r="L144" s="6">
        <f>Taxepunkter!L151</f>
        <v>0</v>
      </c>
    </row>
    <row r="145" spans="1:12" x14ac:dyDescent="0.25">
      <c r="A145" s="5" t="str">
        <f>Taxepunkter!A152</f>
        <v>§2.4.11 Tillbehör</v>
      </c>
      <c r="B145" s="4">
        <f>Taxepunkter!B152</f>
        <v>0</v>
      </c>
      <c r="C145" s="4">
        <f>Taxepunkter!C152</f>
        <v>0</v>
      </c>
      <c r="D145" s="4">
        <f>Taxepunkter!D152</f>
        <v>0</v>
      </c>
      <c r="E145" s="4">
        <f>Taxepunkter!E152</f>
        <v>0</v>
      </c>
      <c r="F145" s="4">
        <f>Taxepunkter!F152</f>
        <v>0</v>
      </c>
      <c r="G145" s="4" t="str">
        <f>Taxepunkter!G152</f>
        <v/>
      </c>
      <c r="H145" s="4" t="str">
        <f>Taxepunkter!H152</f>
        <v/>
      </c>
      <c r="I145" s="4" t="str">
        <f>Taxepunkter!I152</f>
        <v/>
      </c>
      <c r="J145" s="4" t="str">
        <f>Taxepunkter!J152</f>
        <v/>
      </c>
      <c r="K145" s="4">
        <f>Taxepunkter!K152</f>
        <v>0</v>
      </c>
      <c r="L145" s="6">
        <f>Taxepunkter!L152</f>
        <v>0</v>
      </c>
    </row>
    <row r="146" spans="1:12" x14ac:dyDescent="0.25">
      <c r="A146" s="5" t="str">
        <f>Taxepunkter!A153</f>
        <v>§2.4.11</v>
      </c>
      <c r="B146" s="4" t="str">
        <f>Taxepunkter!B153</f>
        <v>Tillbehör</v>
      </c>
      <c r="C146" s="4" t="str">
        <f>Taxepunkter!C153</f>
        <v>Matavfallspåsar 9 L</v>
      </c>
      <c r="D146" s="4">
        <f>Taxepunkter!D153</f>
        <v>0</v>
      </c>
      <c r="E146" s="4" t="str">
        <f>Taxepunkter!E153</f>
        <v>bunt</v>
      </c>
      <c r="F146" s="4">
        <f>Taxepunkter!F153</f>
        <v>0</v>
      </c>
      <c r="G146" s="4" t="str">
        <f>Taxepunkter!G153</f>
        <v/>
      </c>
      <c r="H146" s="4" t="str">
        <f>Taxepunkter!H153</f>
        <v/>
      </c>
      <c r="I146" s="4" t="str">
        <f>Taxepunkter!I153</f>
        <v/>
      </c>
      <c r="J146" s="4" t="str">
        <f>Taxepunkter!J153</f>
        <v/>
      </c>
      <c r="K146" s="4">
        <f>Taxepunkter!K153</f>
        <v>0</v>
      </c>
      <c r="L146" s="6">
        <f>Taxepunkter!L153</f>
        <v>0</v>
      </c>
    </row>
    <row r="147" spans="1:12" x14ac:dyDescent="0.25">
      <c r="A147" s="5" t="str">
        <f>Taxepunkter!A154</f>
        <v>§2.4.11</v>
      </c>
      <c r="B147" s="4" t="str">
        <f>Taxepunkter!B154</f>
        <v>Tillbehör</v>
      </c>
      <c r="C147" s="4" t="str">
        <f>Taxepunkter!C154</f>
        <v>Matavfallspåsar 22 L</v>
      </c>
      <c r="D147" s="4">
        <f>Taxepunkter!D154</f>
        <v>0</v>
      </c>
      <c r="E147" s="4" t="str">
        <f>Taxepunkter!E154</f>
        <v>bunt</v>
      </c>
      <c r="F147" s="4">
        <f>Taxepunkter!F154</f>
        <v>0</v>
      </c>
      <c r="G147" s="4" t="str">
        <f>Taxepunkter!G154</f>
        <v/>
      </c>
      <c r="H147" s="4" t="str">
        <f>Taxepunkter!H154</f>
        <v/>
      </c>
      <c r="I147" s="4" t="str">
        <f>Taxepunkter!I154</f>
        <v/>
      </c>
      <c r="J147" s="4" t="str">
        <f>Taxepunkter!J154</f>
        <v/>
      </c>
      <c r="K147" s="4">
        <f>Taxepunkter!K154</f>
        <v>0</v>
      </c>
      <c r="L147" s="6">
        <f>Taxepunkter!L154</f>
        <v>0</v>
      </c>
    </row>
    <row r="148" spans="1:12" x14ac:dyDescent="0.25">
      <c r="A148" s="5" t="str">
        <f>Taxepunkter!A155</f>
        <v>§2.4.11</v>
      </c>
      <c r="B148" s="4" t="str">
        <f>Taxepunkter!B155</f>
        <v>Tillbehör</v>
      </c>
      <c r="C148" s="4" t="str">
        <f>Taxepunkter!C155</f>
        <v>Gravitationslås till kärl</v>
      </c>
      <c r="D148" s="4">
        <f>Taxepunkter!D155</f>
        <v>0</v>
      </c>
      <c r="E148" s="4" t="str">
        <f>Taxepunkter!E155</f>
        <v>st</v>
      </c>
      <c r="F148" s="4">
        <f>Taxepunkter!F155</f>
        <v>0</v>
      </c>
      <c r="G148" s="4" t="str">
        <f>Taxepunkter!G155</f>
        <v/>
      </c>
      <c r="H148" s="4" t="str">
        <f>Taxepunkter!H155</f>
        <v/>
      </c>
      <c r="I148" s="4" t="str">
        <f>Taxepunkter!I155</f>
        <v/>
      </c>
      <c r="J148" s="4" t="str">
        <f>Taxepunkter!J155</f>
        <v/>
      </c>
      <c r="K148" s="4">
        <f>Taxepunkter!K155</f>
        <v>0</v>
      </c>
      <c r="L148" s="6">
        <f>Taxepunkter!L155</f>
        <v>0</v>
      </c>
    </row>
    <row r="149" spans="1:12" x14ac:dyDescent="0.25">
      <c r="A149" s="5" t="str">
        <f>Taxepunkter!A156</f>
        <v>§2.4.11</v>
      </c>
      <c r="B149" s="4" t="str">
        <f>Taxepunkter!B156</f>
        <v>Tillbehör</v>
      </c>
      <c r="C149" s="4" t="str">
        <f>Taxepunkter!C156</f>
        <v>Extra nyckel till gravitationslås</v>
      </c>
      <c r="D149" s="4">
        <f>Taxepunkter!D156</f>
        <v>0</v>
      </c>
      <c r="E149" s="4" t="str">
        <f>Taxepunkter!E156</f>
        <v>st</v>
      </c>
      <c r="F149" s="4">
        <f>Taxepunkter!F156</f>
        <v>0</v>
      </c>
      <c r="G149" s="4" t="str">
        <f>Taxepunkter!G156</f>
        <v/>
      </c>
      <c r="H149" s="4" t="str">
        <f>Taxepunkter!H156</f>
        <v/>
      </c>
      <c r="I149" s="4" t="str">
        <f>Taxepunkter!I156</f>
        <v/>
      </c>
      <c r="J149" s="4" t="str">
        <f>Taxepunkter!J156</f>
        <v/>
      </c>
      <c r="K149" s="4">
        <f>Taxepunkter!K156</f>
        <v>0</v>
      </c>
      <c r="L149" s="6">
        <f>Taxepunkter!L156</f>
        <v>0</v>
      </c>
    </row>
    <row r="150" spans="1:12" x14ac:dyDescent="0.25">
      <c r="A150" s="5" t="str">
        <f>Taxepunkter!A157</f>
        <v>§2.5 Övrigt avfall under kommunalt ansvar från hushåll</v>
      </c>
      <c r="B150" s="4">
        <f>Taxepunkter!B157</f>
        <v>0</v>
      </c>
      <c r="C150" s="4">
        <f>Taxepunkter!C157</f>
        <v>0</v>
      </c>
      <c r="D150" s="4">
        <f>Taxepunkter!D157</f>
        <v>0</v>
      </c>
      <c r="E150" s="4">
        <f>Taxepunkter!E157</f>
        <v>0</v>
      </c>
      <c r="F150" s="4">
        <f>Taxepunkter!F157</f>
        <v>0</v>
      </c>
      <c r="G150" s="4" t="str">
        <f>Taxepunkter!G157</f>
        <v/>
      </c>
      <c r="H150" s="4" t="str">
        <f>Taxepunkter!H157</f>
        <v/>
      </c>
      <c r="I150" s="4" t="str">
        <f>Taxepunkter!I157</f>
        <v/>
      </c>
      <c r="J150" s="4" t="str">
        <f>Taxepunkter!J157</f>
        <v/>
      </c>
      <c r="K150" s="4">
        <f>Taxepunkter!K157</f>
        <v>0</v>
      </c>
      <c r="L150" s="6">
        <f>Taxepunkter!L157</f>
        <v>0</v>
      </c>
    </row>
    <row r="151" spans="1:12" x14ac:dyDescent="0.25">
      <c r="A151" s="5" t="str">
        <f>Taxepunkter!A158</f>
        <v>§2.5.1 Budning för fastighetsnära hämtning av kommunalt avfall</v>
      </c>
      <c r="B151" s="4">
        <f>Taxepunkter!B158</f>
        <v>0</v>
      </c>
      <c r="C151" s="4">
        <f>Taxepunkter!C158</f>
        <v>0</v>
      </c>
      <c r="D151" s="4">
        <f>Taxepunkter!D158</f>
        <v>0</v>
      </c>
      <c r="E151" s="4">
        <f>Taxepunkter!E158</f>
        <v>0</v>
      </c>
      <c r="F151" s="4">
        <f>Taxepunkter!F158</f>
        <v>0</v>
      </c>
      <c r="G151" s="4" t="str">
        <f>Taxepunkter!G158</f>
        <v/>
      </c>
      <c r="H151" s="4" t="str">
        <f>Taxepunkter!H158</f>
        <v/>
      </c>
      <c r="I151" s="4" t="str">
        <f>Taxepunkter!I158</f>
        <v/>
      </c>
      <c r="J151" s="4" t="str">
        <f>Taxepunkter!J158</f>
        <v/>
      </c>
      <c r="K151" s="4">
        <f>Taxepunkter!K158</f>
        <v>0</v>
      </c>
      <c r="L151" s="6">
        <f>Taxepunkter!L158</f>
        <v>0</v>
      </c>
    </row>
    <row r="152" spans="1:12" x14ac:dyDescent="0.25">
      <c r="A152" s="5" t="str">
        <f>Taxepunkter!A159</f>
        <v>§2.5.1</v>
      </c>
      <c r="B152" s="4" t="str">
        <f>Taxepunkter!B159</f>
        <v>Budning för fastighetsnära hämtning av kommunalt avfall</v>
      </c>
      <c r="C152" s="4" t="str">
        <f>Taxepunkter!C159</f>
        <v>Kommunalt avfall</v>
      </c>
      <c r="D152" s="4">
        <f>Taxepunkter!D159</f>
        <v>0</v>
      </c>
      <c r="E152" s="4" t="str">
        <f>Taxepunkter!E159</f>
        <v>st/tillfälle</v>
      </c>
      <c r="F152" s="4">
        <f>Taxepunkter!F159</f>
        <v>0</v>
      </c>
      <c r="G152" s="4" t="str">
        <f>Taxepunkter!G159</f>
        <v/>
      </c>
      <c r="H152" s="4" t="str">
        <f>Taxepunkter!H159</f>
        <v/>
      </c>
      <c r="I152" s="4" t="str">
        <f>Taxepunkter!I159</f>
        <v/>
      </c>
      <c r="J152" s="4" t="str">
        <f>Taxepunkter!J159</f>
        <v/>
      </c>
      <c r="K152" s="4">
        <f>Taxepunkter!K159</f>
        <v>0</v>
      </c>
      <c r="L152" s="6">
        <f>Taxepunkter!L159</f>
        <v>0</v>
      </c>
    </row>
    <row r="153" spans="1:12" x14ac:dyDescent="0.25">
      <c r="A153" s="5" t="str">
        <f>Taxepunkter!A160</f>
        <v>§2.5.1</v>
      </c>
      <c r="B153" s="4" t="str">
        <f>Taxepunkter!B160</f>
        <v>Budning för fastighetsnära hämtning av kommunalt avfall</v>
      </c>
      <c r="C153" s="4" t="str">
        <f>Taxepunkter!C160</f>
        <v>Farligt avfall (ej uppmärkt)</v>
      </c>
      <c r="D153" s="4">
        <f>Taxepunkter!D160</f>
        <v>0</v>
      </c>
      <c r="E153" s="4" t="str">
        <f>Taxepunkter!E160</f>
        <v>st/tillfälle</v>
      </c>
      <c r="F153" s="4">
        <f>Taxepunkter!F160</f>
        <v>0</v>
      </c>
      <c r="G153" s="4" t="str">
        <f>Taxepunkter!G160</f>
        <v/>
      </c>
      <c r="H153" s="4" t="str">
        <f>Taxepunkter!H160</f>
        <v/>
      </c>
      <c r="I153" s="4" t="str">
        <f>Taxepunkter!I160</f>
        <v/>
      </c>
      <c r="J153" s="4" t="str">
        <f>Taxepunkter!J160</f>
        <v/>
      </c>
      <c r="K153" s="4">
        <f>Taxepunkter!K160</f>
        <v>0</v>
      </c>
      <c r="L153" s="6">
        <f>Taxepunkter!L160</f>
        <v>0</v>
      </c>
    </row>
    <row r="154" spans="1:12" x14ac:dyDescent="0.25">
      <c r="A154" s="5" t="str">
        <f>Taxepunkter!A161</f>
        <v>§2.5.1</v>
      </c>
      <c r="B154" s="4" t="str">
        <f>Taxepunkter!B161</f>
        <v>Budning för fastighetsnära hämtning av kommunalt avfall</v>
      </c>
      <c r="C154" s="4" t="str">
        <f>Taxepunkter!C161</f>
        <v>Farligt avfall (uppmärkt)</v>
      </c>
      <c r="D154" s="4">
        <f>Taxepunkter!D161</f>
        <v>0</v>
      </c>
      <c r="E154" s="4" t="str">
        <f>Taxepunkter!E161</f>
        <v>st/tillfälle</v>
      </c>
      <c r="F154" s="4">
        <f>Taxepunkter!F161</f>
        <v>0</v>
      </c>
      <c r="G154" s="4" t="str">
        <f>Taxepunkter!G161</f>
        <v/>
      </c>
      <c r="H154" s="4" t="str">
        <f>Taxepunkter!H161</f>
        <v/>
      </c>
      <c r="I154" s="4" t="str">
        <f>Taxepunkter!I161</f>
        <v/>
      </c>
      <c r="J154" s="4" t="str">
        <f>Taxepunkter!J161</f>
        <v/>
      </c>
      <c r="K154" s="4">
        <f>Taxepunkter!K161</f>
        <v>0</v>
      </c>
      <c r="L154" s="6">
        <f>Taxepunkter!L161</f>
        <v>0</v>
      </c>
    </row>
    <row r="155" spans="1:12" x14ac:dyDescent="0.25">
      <c r="A155" s="5" t="str">
        <f>Taxepunkter!A162</f>
        <v>§2.5.1</v>
      </c>
      <c r="B155" s="4" t="str">
        <f>Taxepunkter!B162</f>
        <v>Avisering</v>
      </c>
      <c r="C155" s="4" t="str">
        <f>Taxepunkter!C162</f>
        <v>Farligt avfall (uppmärkt)</v>
      </c>
      <c r="D155" s="4">
        <f>Taxepunkter!D162</f>
        <v>0</v>
      </c>
      <c r="E155" s="4" t="str">
        <f>Taxepunkter!E162</f>
        <v>st/tillfälle</v>
      </c>
      <c r="F155" s="4">
        <f>Taxepunkter!F162</f>
        <v>0</v>
      </c>
      <c r="G155" s="4" t="str">
        <f>Taxepunkter!G162</f>
        <v/>
      </c>
      <c r="H155" s="4" t="str">
        <f>Taxepunkter!H162</f>
        <v/>
      </c>
      <c r="I155" s="4" t="str">
        <f>Taxepunkter!I162</f>
        <v/>
      </c>
      <c r="J155" s="4" t="str">
        <f>Taxepunkter!J162</f>
        <v/>
      </c>
      <c r="K155" s="4">
        <f>Taxepunkter!K162</f>
        <v>0</v>
      </c>
      <c r="L155" s="6">
        <f>Taxepunkter!L162</f>
        <v>0</v>
      </c>
    </row>
    <row r="156" spans="1:12" x14ac:dyDescent="0.25">
      <c r="A156" s="5" t="str">
        <f>Taxepunkter!A163</f>
        <v>§3 Tömning av slam</v>
      </c>
      <c r="B156" s="4">
        <f>Taxepunkter!B163</f>
        <v>0</v>
      </c>
      <c r="C156" s="4">
        <f>Taxepunkter!C163</f>
        <v>0</v>
      </c>
      <c r="D156" s="4">
        <f>Taxepunkter!D163</f>
        <v>0</v>
      </c>
      <c r="E156" s="4">
        <f>Taxepunkter!E163</f>
        <v>0</v>
      </c>
      <c r="F156" s="4">
        <f>Taxepunkter!F163</f>
        <v>0</v>
      </c>
      <c r="G156" s="4" t="str">
        <f>Taxepunkter!G163</f>
        <v/>
      </c>
      <c r="H156" s="4" t="str">
        <f>Taxepunkter!H163</f>
        <v/>
      </c>
      <c r="I156" s="4" t="str">
        <f>Taxepunkter!I163</f>
        <v/>
      </c>
      <c r="J156" s="4" t="str">
        <f>Taxepunkter!J163</f>
        <v/>
      </c>
      <c r="K156" s="4">
        <f>Taxepunkter!K163</f>
        <v>0</v>
      </c>
      <c r="L156" s="6">
        <f>Taxepunkter!L163</f>
        <v>0</v>
      </c>
    </row>
    <row r="157" spans="1:12" x14ac:dyDescent="0.25">
      <c r="A157" s="5" t="str">
        <f>Taxepunkter!A164</f>
        <v>§3.1 Tömning slam</v>
      </c>
      <c r="B157" s="4">
        <f>Taxepunkter!B164</f>
        <v>0</v>
      </c>
      <c r="C157" s="4">
        <f>Taxepunkter!C164</f>
        <v>0</v>
      </c>
      <c r="D157" s="4">
        <f>Taxepunkter!D164</f>
        <v>0</v>
      </c>
      <c r="E157" s="4">
        <f>Taxepunkter!E164</f>
        <v>0</v>
      </c>
      <c r="F157" s="4">
        <f>Taxepunkter!F164</f>
        <v>0</v>
      </c>
      <c r="G157" s="4" t="str">
        <f>Taxepunkter!G164</f>
        <v/>
      </c>
      <c r="H157" s="4" t="str">
        <f>Taxepunkter!H164</f>
        <v/>
      </c>
      <c r="I157" s="4" t="str">
        <f>Taxepunkter!I164</f>
        <v/>
      </c>
      <c r="J157" s="4" t="str">
        <f>Taxepunkter!J164</f>
        <v/>
      </c>
      <c r="K157" s="4">
        <f>Taxepunkter!K164</f>
        <v>0</v>
      </c>
      <c r="L157" s="6">
        <f>Taxepunkter!L164</f>
        <v>0</v>
      </c>
    </row>
    <row r="158" spans="1:12" x14ac:dyDescent="0.25">
      <c r="A158" s="5" t="str">
        <f>Taxepunkter!A165</f>
        <v>§3.1.1 Ordinarie tömning slam</v>
      </c>
      <c r="B158" s="4">
        <f>Taxepunkter!B165</f>
        <v>0</v>
      </c>
      <c r="C158" s="4">
        <f>Taxepunkter!C165</f>
        <v>0</v>
      </c>
      <c r="D158" s="4">
        <f>Taxepunkter!D165</f>
        <v>0</v>
      </c>
      <c r="E158" s="4">
        <f>Taxepunkter!E165</f>
        <v>0</v>
      </c>
      <c r="F158" s="4">
        <f>Taxepunkter!F165</f>
        <v>0</v>
      </c>
      <c r="G158" s="4" t="str">
        <f>Taxepunkter!G165</f>
        <v/>
      </c>
      <c r="H158" s="4" t="str">
        <f>Taxepunkter!H165</f>
        <v/>
      </c>
      <c r="I158" s="4" t="str">
        <f>Taxepunkter!I165</f>
        <v/>
      </c>
      <c r="J158" s="4" t="str">
        <f>Taxepunkter!J165</f>
        <v/>
      </c>
      <c r="K158" s="4">
        <f>Taxepunkter!K165</f>
        <v>0</v>
      </c>
      <c r="L158" s="6">
        <f>Taxepunkter!L165</f>
        <v>0</v>
      </c>
    </row>
    <row r="159" spans="1:12" x14ac:dyDescent="0.25">
      <c r="A159" s="5" t="str">
        <f>Taxepunkter!A166</f>
        <v>§3.1.1</v>
      </c>
      <c r="B159" s="4" t="str">
        <f>Taxepunkter!B166</f>
        <v>Ordinarie tömning slam</v>
      </c>
      <c r="C159" s="4" t="str">
        <f>Taxepunkter!C166</f>
        <v>Upp till 3 m3</v>
      </c>
      <c r="D159" s="4">
        <f>Taxepunkter!D166</f>
        <v>0</v>
      </c>
      <c r="E159" s="4" t="str">
        <f>Taxepunkter!E166</f>
        <v>kr/tömning</v>
      </c>
      <c r="F159" s="4" t="str">
        <f>Taxepunkter!F166</f>
        <v>BRN03SLORD</v>
      </c>
      <c r="G159" s="4" t="str">
        <f>Taxepunkter!G166</f>
        <v>BRN03SLORD</v>
      </c>
      <c r="H159" s="4" t="str">
        <f>Taxepunkter!H166</f>
        <v>Brunn 0-3 m³, slam. Ord. tur</v>
      </c>
      <c r="I159" s="4" t="str">
        <f>Taxepunkter!I166</f>
        <v>ÅRKV</v>
      </c>
      <c r="J159" s="4">
        <f>Taxepunkter!J166</f>
        <v>0</v>
      </c>
      <c r="K159" s="4">
        <f>Taxepunkter!K166</f>
        <v>0</v>
      </c>
      <c r="L159" s="6">
        <f>Taxepunkter!L166</f>
        <v>0</v>
      </c>
    </row>
    <row r="160" spans="1:12" x14ac:dyDescent="0.25">
      <c r="A160" s="5" t="str">
        <f>Taxepunkter!A167</f>
        <v>§3.1.1</v>
      </c>
      <c r="B160" s="4" t="str">
        <f>Taxepunkter!B167</f>
        <v>Ordinarie tömning slam</v>
      </c>
      <c r="C160" s="4" t="str">
        <f>Taxepunkter!C167</f>
        <v>Mellan 3 m3 och 6 m3</v>
      </c>
      <c r="D160" s="4">
        <f>Taxepunkter!D167</f>
        <v>0</v>
      </c>
      <c r="E160" s="4" t="str">
        <f>Taxepunkter!E167</f>
        <v>kr/tömning</v>
      </c>
      <c r="F160" s="4" t="str">
        <f>Taxepunkter!F167</f>
        <v>BDT36SLORD</v>
      </c>
      <c r="G160" s="4" t="str">
        <f>Taxepunkter!G167</f>
        <v>BDT36SLORD</v>
      </c>
      <c r="H160" s="4" t="str">
        <f>Taxepunkter!H167</f>
        <v>BDT 3,1-6 m³, slam. Ord. tur</v>
      </c>
      <c r="I160" s="4" t="str">
        <f>Taxepunkter!I167</f>
        <v>ÅRKV</v>
      </c>
      <c r="J160" s="4">
        <f>Taxepunkter!J167</f>
        <v>0</v>
      </c>
      <c r="K160" s="4">
        <f>Taxepunkter!K167</f>
        <v>0</v>
      </c>
      <c r="L160" s="6">
        <f>Taxepunkter!L167</f>
        <v>0</v>
      </c>
    </row>
    <row r="161" spans="1:12" x14ac:dyDescent="0.25">
      <c r="A161" s="5" t="str">
        <f>Taxepunkter!A168</f>
        <v>§3.1.1</v>
      </c>
      <c r="B161" s="4" t="str">
        <f>Taxepunkter!B168</f>
        <v>Ordinarie tömning slam</v>
      </c>
      <c r="C161" s="4" t="str">
        <f>Taxepunkter!C168</f>
        <v>Mellan 6 m3 och 9 m3</v>
      </c>
      <c r="D161" s="4">
        <f>Taxepunkter!D168</f>
        <v>0</v>
      </c>
      <c r="E161" s="4" t="str">
        <f>Taxepunkter!E168</f>
        <v>kr/tömning</v>
      </c>
      <c r="F161" s="4" t="str">
        <f>Taxepunkter!F168</f>
        <v>BRNÖ6SLORD</v>
      </c>
      <c r="G161" s="4" t="str">
        <f>Taxepunkter!G168</f>
        <v>BRNÖ6SLORD</v>
      </c>
      <c r="H161" s="4" t="str">
        <f>Taxepunkter!H168</f>
        <v>Brunn över 6 m³, slam. Ord. tur</v>
      </c>
      <c r="I161" s="4" t="str">
        <f>Taxepunkter!I168</f>
        <v>ÅRKV</v>
      </c>
      <c r="J161" s="4">
        <f>Taxepunkter!J168</f>
        <v>0</v>
      </c>
      <c r="K161" s="4">
        <f>Taxepunkter!K168</f>
        <v>0</v>
      </c>
      <c r="L161" s="6">
        <f>Taxepunkter!L168</f>
        <v>0</v>
      </c>
    </row>
    <row r="162" spans="1:12" x14ac:dyDescent="0.25">
      <c r="A162" s="5" t="str">
        <f>Taxepunkter!A169</f>
        <v>§3.1.1</v>
      </c>
      <c r="B162" s="4" t="str">
        <f>Taxepunkter!B169</f>
        <v>Ordinarie tömning slam</v>
      </c>
      <c r="C162" s="4" t="str">
        <f>Taxepunkter!C169</f>
        <v>Tillägg per m3 över 9 m3</v>
      </c>
      <c r="D162" s="4">
        <f>Taxepunkter!D169</f>
        <v>0</v>
      </c>
      <c r="E162" s="4" t="str">
        <f>Taxepunkter!E169</f>
        <v>kr/m3</v>
      </c>
      <c r="F162" s="4">
        <f>Taxepunkter!F169</f>
        <v>0</v>
      </c>
      <c r="G162" s="4" t="str">
        <f>Taxepunkter!G169</f>
        <v/>
      </c>
      <c r="H162" s="4" t="str">
        <f>Taxepunkter!H169</f>
        <v/>
      </c>
      <c r="I162" s="4" t="str">
        <f>Taxepunkter!I169</f>
        <v/>
      </c>
      <c r="J162" s="4" t="str">
        <f>Taxepunkter!J169</f>
        <v/>
      </c>
      <c r="K162" s="4">
        <f>Taxepunkter!K169</f>
        <v>0</v>
      </c>
      <c r="L162" s="6">
        <f>Taxepunkter!L169</f>
        <v>0</v>
      </c>
    </row>
    <row r="163" spans="1:12" x14ac:dyDescent="0.25">
      <c r="A163" s="5" t="str">
        <f>Taxepunkter!A170</f>
        <v>§3.1.1</v>
      </c>
      <c r="B163" s="4" t="str">
        <f>Taxepunkter!B170</f>
        <v>Ordinarie tömning slam</v>
      </c>
      <c r="C163" s="4" t="str">
        <f>Taxepunkter!C170</f>
        <v>Bad-, disk- och tvättbrunn upp till 3 m3</v>
      </c>
      <c r="D163" s="4">
        <f>Taxepunkter!D170</f>
        <v>0</v>
      </c>
      <c r="E163" s="4" t="str">
        <f>Taxepunkter!E170</f>
        <v>kr/tömning</v>
      </c>
      <c r="F163" s="4" t="str">
        <f>Taxepunkter!F170</f>
        <v>BDT03SLORD</v>
      </c>
      <c r="G163" s="4" t="str">
        <f>Taxepunkter!G170</f>
        <v>BDT03SLORD</v>
      </c>
      <c r="H163" s="4" t="str">
        <f>Taxepunkter!H170</f>
        <v>BDT 0-3 m³, slam. Ordinarie tur</v>
      </c>
      <c r="I163" s="4" t="str">
        <f>Taxepunkter!I170</f>
        <v>ÅRKV</v>
      </c>
      <c r="J163" s="4">
        <f>Taxepunkter!J170</f>
        <v>1420</v>
      </c>
      <c r="K163" s="4">
        <f>Taxepunkter!K170</f>
        <v>0</v>
      </c>
      <c r="L163" s="6">
        <f>Taxepunkter!L170</f>
        <v>0</v>
      </c>
    </row>
    <row r="164" spans="1:12" x14ac:dyDescent="0.25">
      <c r="A164" s="5" t="str">
        <f>Taxepunkter!A171</f>
        <v>§3.1.1</v>
      </c>
      <c r="B164" s="4" t="str">
        <f>Taxepunkter!B171</f>
        <v>Ordinarie tömning slam</v>
      </c>
      <c r="C164" s="4" t="str">
        <f>Taxepunkter!C171</f>
        <v>Tilägg per m3 över 3m3</v>
      </c>
      <c r="D164" s="4">
        <f>Taxepunkter!D171</f>
        <v>0</v>
      </c>
      <c r="E164" s="4" t="str">
        <f>Taxepunkter!E171</f>
        <v>kr/m3</v>
      </c>
      <c r="F164" s="4">
        <f>Taxepunkter!F171</f>
        <v>0</v>
      </c>
      <c r="G164" s="4" t="str">
        <f>Taxepunkter!G171</f>
        <v/>
      </c>
      <c r="H164" s="4" t="str">
        <f>Taxepunkter!H171</f>
        <v/>
      </c>
      <c r="I164" s="4" t="str">
        <f>Taxepunkter!I171</f>
        <v/>
      </c>
      <c r="J164" s="4" t="str">
        <f>Taxepunkter!J171</f>
        <v/>
      </c>
      <c r="K164" s="4">
        <f>Taxepunkter!K171</f>
        <v>0</v>
      </c>
      <c r="L164" s="6">
        <f>Taxepunkter!L171</f>
        <v>0</v>
      </c>
    </row>
    <row r="165" spans="1:12" x14ac:dyDescent="0.25">
      <c r="A165" s="5" t="str">
        <f>Taxepunkter!A172</f>
        <v>§3.2 Tilläggstjänster slam</v>
      </c>
      <c r="B165" s="4">
        <f>Taxepunkter!B172</f>
        <v>0</v>
      </c>
      <c r="C165" s="4">
        <f>Taxepunkter!C172</f>
        <v>0</v>
      </c>
      <c r="D165" s="4">
        <f>Taxepunkter!D172</f>
        <v>0</v>
      </c>
      <c r="E165" s="4">
        <f>Taxepunkter!E172</f>
        <v>0</v>
      </c>
      <c r="F165" s="4">
        <f>Taxepunkter!F172</f>
        <v>0</v>
      </c>
      <c r="G165" s="4" t="str">
        <f>Taxepunkter!G172</f>
        <v/>
      </c>
      <c r="H165" s="4" t="str">
        <f>Taxepunkter!H172</f>
        <v/>
      </c>
      <c r="I165" s="4" t="str">
        <f>Taxepunkter!I172</f>
        <v/>
      </c>
      <c r="J165" s="4" t="str">
        <f>Taxepunkter!J172</f>
        <v/>
      </c>
      <c r="K165" s="4">
        <f>Taxepunkter!K172</f>
        <v>0</v>
      </c>
      <c r="L165" s="6">
        <f>Taxepunkter!L172</f>
        <v>0</v>
      </c>
    </row>
    <row r="166" spans="1:12" x14ac:dyDescent="0.25">
      <c r="A166" s="5" t="str">
        <f>Taxepunkter!A173</f>
        <v>§3.2.1 Tilläggstjänster slam</v>
      </c>
      <c r="B166" s="4">
        <f>Taxepunkter!B173</f>
        <v>0</v>
      </c>
      <c r="C166" s="4">
        <f>Taxepunkter!C173</f>
        <v>0</v>
      </c>
      <c r="D166" s="4">
        <f>Taxepunkter!D173</f>
        <v>0</v>
      </c>
      <c r="E166" s="4">
        <f>Taxepunkter!E173</f>
        <v>0</v>
      </c>
      <c r="F166" s="4">
        <f>Taxepunkter!F173</f>
        <v>0</v>
      </c>
      <c r="G166" s="4" t="str">
        <f>Taxepunkter!G173</f>
        <v/>
      </c>
      <c r="H166" s="4" t="str">
        <f>Taxepunkter!H173</f>
        <v/>
      </c>
      <c r="I166" s="4" t="str">
        <f>Taxepunkter!I173</f>
        <v/>
      </c>
      <c r="J166" s="4" t="str">
        <f>Taxepunkter!J173</f>
        <v/>
      </c>
      <c r="K166" s="4">
        <f>Taxepunkter!K173</f>
        <v>0</v>
      </c>
      <c r="L166" s="6">
        <f>Taxepunkter!L173</f>
        <v>0</v>
      </c>
    </row>
    <row r="167" spans="1:12" x14ac:dyDescent="0.25">
      <c r="A167" s="5" t="str">
        <f>Taxepunkter!A174</f>
        <v>§3.2.1</v>
      </c>
      <c r="B167" s="4" t="str">
        <f>Taxepunkter!B174</f>
        <v>Tilläggstjänster slam</v>
      </c>
      <c r="C167" s="4" t="str">
        <f>Taxepunkter!C174</f>
        <v>Dragning av extra slang vid 5-25 m</v>
      </c>
      <c r="D167" s="4">
        <f>Taxepunkter!D174</f>
        <v>0</v>
      </c>
      <c r="E167" s="4" t="str">
        <f>Taxepunkter!E174</f>
        <v>kr/tillfälle</v>
      </c>
      <c r="F167" s="4">
        <f>Taxepunkter!F174</f>
        <v>0</v>
      </c>
      <c r="G167" s="4" t="str">
        <f>Taxepunkter!G174</f>
        <v/>
      </c>
      <c r="H167" s="4" t="str">
        <f>Taxepunkter!H174</f>
        <v/>
      </c>
      <c r="I167" s="4" t="str">
        <f>Taxepunkter!I174</f>
        <v/>
      </c>
      <c r="J167" s="4" t="str">
        <f>Taxepunkter!J174</f>
        <v/>
      </c>
      <c r="K167" s="4">
        <f>Taxepunkter!K174</f>
        <v>0</v>
      </c>
      <c r="L167" s="6">
        <f>Taxepunkter!L174</f>
        <v>0</v>
      </c>
    </row>
    <row r="168" spans="1:12" x14ac:dyDescent="0.25">
      <c r="A168" s="5" t="str">
        <f>Taxepunkter!A175</f>
        <v>§3.2.1</v>
      </c>
      <c r="B168" s="4" t="str">
        <f>Taxepunkter!B175</f>
        <v>Tilläggstjänster slam</v>
      </c>
      <c r="C168" s="4" t="str">
        <f>Taxepunkter!C175</f>
        <v>Dragning av extra slang vid 25-35 m</v>
      </c>
      <c r="D168" s="4">
        <f>Taxepunkter!D175</f>
        <v>0</v>
      </c>
      <c r="E168" s="4" t="str">
        <f>Taxepunkter!E175</f>
        <v>kr/tillfälle</v>
      </c>
      <c r="F168" s="4">
        <f>Taxepunkter!F175</f>
        <v>0</v>
      </c>
      <c r="G168" s="4" t="str">
        <f>Taxepunkter!G175</f>
        <v/>
      </c>
      <c r="H168" s="4" t="str">
        <f>Taxepunkter!H175</f>
        <v/>
      </c>
      <c r="I168" s="4" t="str">
        <f>Taxepunkter!I175</f>
        <v/>
      </c>
      <c r="J168" s="4" t="str">
        <f>Taxepunkter!J175</f>
        <v/>
      </c>
      <c r="K168" s="4">
        <f>Taxepunkter!K175</f>
        <v>0</v>
      </c>
      <c r="L168" s="6">
        <f>Taxepunkter!L175</f>
        <v>0</v>
      </c>
    </row>
    <row r="169" spans="1:12" x14ac:dyDescent="0.25">
      <c r="A169" s="5" t="str">
        <f>Taxepunkter!A176</f>
        <v>§3.2.1</v>
      </c>
      <c r="B169" s="4" t="str">
        <f>Taxepunkter!B176</f>
        <v>Tilläggstjänster slam</v>
      </c>
      <c r="C169" s="4" t="str">
        <f>Taxepunkter!C176</f>
        <v>Dragning av extra slang vid 36-45 m</v>
      </c>
      <c r="D169" s="4">
        <f>Taxepunkter!D176</f>
        <v>0</v>
      </c>
      <c r="E169" s="4" t="str">
        <f>Taxepunkter!E176</f>
        <v>kr/tillfälle</v>
      </c>
      <c r="F169" s="4">
        <f>Taxepunkter!F176</f>
        <v>0</v>
      </c>
      <c r="G169" s="4" t="str">
        <f>Taxepunkter!G176</f>
        <v/>
      </c>
      <c r="H169" s="4" t="str">
        <f>Taxepunkter!H176</f>
        <v/>
      </c>
      <c r="I169" s="4" t="str">
        <f>Taxepunkter!I176</f>
        <v/>
      </c>
      <c r="J169" s="4" t="str">
        <f>Taxepunkter!J176</f>
        <v/>
      </c>
      <c r="K169" s="4">
        <f>Taxepunkter!K176</f>
        <v>0</v>
      </c>
      <c r="L169" s="6">
        <f>Taxepunkter!L176</f>
        <v>0</v>
      </c>
    </row>
    <row r="170" spans="1:12" x14ac:dyDescent="0.25">
      <c r="A170" s="5" t="str">
        <f>Taxepunkter!A177</f>
        <v>§3.2.1</v>
      </c>
      <c r="B170" s="4" t="str">
        <f>Taxepunkter!B177</f>
        <v>Tilläggstjänster slam</v>
      </c>
      <c r="C170" s="4" t="str">
        <f>Taxepunkter!C177</f>
        <v>Dragning av extra slang vid 46-55 m</v>
      </c>
      <c r="D170" s="4">
        <f>Taxepunkter!D177</f>
        <v>0</v>
      </c>
      <c r="E170" s="4" t="str">
        <f>Taxepunkter!E177</f>
        <v>kr/tillfälle</v>
      </c>
      <c r="F170" s="4">
        <f>Taxepunkter!F177</f>
        <v>0</v>
      </c>
      <c r="G170" s="4" t="str">
        <f>Taxepunkter!G177</f>
        <v/>
      </c>
      <c r="H170" s="4" t="str">
        <f>Taxepunkter!H177</f>
        <v/>
      </c>
      <c r="I170" s="4" t="str">
        <f>Taxepunkter!I177</f>
        <v/>
      </c>
      <c r="J170" s="4" t="str">
        <f>Taxepunkter!J177</f>
        <v/>
      </c>
      <c r="K170" s="4">
        <f>Taxepunkter!K177</f>
        <v>0</v>
      </c>
      <c r="L170" s="6">
        <f>Taxepunkter!L177</f>
        <v>0</v>
      </c>
    </row>
    <row r="171" spans="1:12" x14ac:dyDescent="0.25">
      <c r="A171" s="5" t="str">
        <f>Taxepunkter!A178</f>
        <v>§3.2.1</v>
      </c>
      <c r="B171" s="4" t="str">
        <f>Taxepunkter!B178</f>
        <v>Tilläggstjänster slam</v>
      </c>
      <c r="C171" s="4" t="str">
        <f>Taxepunkter!C178</f>
        <v>Hantering av brunnslock som väger 15-25 kg</v>
      </c>
      <c r="D171" s="4">
        <f>Taxepunkter!D178</f>
        <v>0</v>
      </c>
      <c r="E171" s="4" t="str">
        <f>Taxepunkter!E178</f>
        <v>kr/tillfälle</v>
      </c>
      <c r="F171" s="4">
        <f>Taxepunkter!F178</f>
        <v>0</v>
      </c>
      <c r="G171" s="4" t="str">
        <f>Taxepunkter!G178</f>
        <v/>
      </c>
      <c r="H171" s="4" t="str">
        <f>Taxepunkter!H178</f>
        <v/>
      </c>
      <c r="I171" s="4" t="str">
        <f>Taxepunkter!I178</f>
        <v/>
      </c>
      <c r="J171" s="4" t="str">
        <f>Taxepunkter!J178</f>
        <v/>
      </c>
      <c r="K171" s="4">
        <f>Taxepunkter!K178</f>
        <v>0</v>
      </c>
      <c r="L171" s="6">
        <f>Taxepunkter!L178</f>
        <v>0</v>
      </c>
    </row>
    <row r="172" spans="1:12" x14ac:dyDescent="0.25">
      <c r="A172" s="5" t="str">
        <f>Taxepunkter!A179</f>
        <v>§3.2.1</v>
      </c>
      <c r="B172" s="4" t="str">
        <f>Taxepunkter!B179</f>
        <v>Tilläggstjänster slam</v>
      </c>
      <c r="C172" s="4" t="str">
        <f>Taxepunkter!C179</f>
        <v>Krav på information om tömningstid</v>
      </c>
      <c r="D172" s="4">
        <f>Taxepunkter!D179</f>
        <v>0</v>
      </c>
      <c r="E172" s="4" t="str">
        <f>Taxepunkter!E179</f>
        <v>kr/tillfälle</v>
      </c>
      <c r="F172" s="4">
        <f>Taxepunkter!F179</f>
        <v>0</v>
      </c>
      <c r="G172" s="4" t="str">
        <f>Taxepunkter!G179</f>
        <v/>
      </c>
      <c r="H172" s="4" t="str">
        <f>Taxepunkter!H179</f>
        <v/>
      </c>
      <c r="I172" s="4" t="str">
        <f>Taxepunkter!I179</f>
        <v/>
      </c>
      <c r="J172" s="4" t="str">
        <f>Taxepunkter!J179</f>
        <v/>
      </c>
      <c r="K172" s="4">
        <f>Taxepunkter!K179</f>
        <v>0</v>
      </c>
      <c r="L172" s="6">
        <f>Taxepunkter!L179</f>
        <v>0</v>
      </c>
    </row>
    <row r="173" spans="1:12" x14ac:dyDescent="0.25">
      <c r="A173" s="5" t="str">
        <f>Taxepunkter!A180</f>
        <v>§3.2.1</v>
      </c>
      <c r="B173" s="4" t="str">
        <f>Taxepunkter!B180</f>
        <v>Tilläggstjänster slam</v>
      </c>
      <c r="C173" s="4" t="str">
        <f>Taxepunkter!C180</f>
        <v>Krav på närvaro vid specificerad tömningstid</v>
      </c>
      <c r="D173" s="4">
        <f>Taxepunkter!D180</f>
        <v>0</v>
      </c>
      <c r="E173" s="4" t="str">
        <f>Taxepunkter!E180</f>
        <v>kr/tillfälle</v>
      </c>
      <c r="F173" s="4">
        <f>Taxepunkter!F180</f>
        <v>0</v>
      </c>
      <c r="G173" s="4" t="str">
        <f>Taxepunkter!G180</f>
        <v/>
      </c>
      <c r="H173" s="4" t="str">
        <f>Taxepunkter!H180</f>
        <v/>
      </c>
      <c r="I173" s="4" t="str">
        <f>Taxepunkter!I180</f>
        <v/>
      </c>
      <c r="J173" s="4" t="str">
        <f>Taxepunkter!J180</f>
        <v/>
      </c>
      <c r="K173" s="4">
        <f>Taxepunkter!K180</f>
        <v>0</v>
      </c>
      <c r="L173" s="6">
        <f>Taxepunkter!L180</f>
        <v>0</v>
      </c>
    </row>
    <row r="174" spans="1:12" x14ac:dyDescent="0.25">
      <c r="A174" s="5" t="str">
        <f>Taxepunkter!A181</f>
        <v>§3.2.1</v>
      </c>
      <c r="B174" s="4" t="str">
        <f>Taxepunkter!B181</f>
        <v>Tilläggstjänster slam</v>
      </c>
      <c r="C174" s="4" t="str">
        <f>Taxepunkter!C181</f>
        <v>Hantering av kod för kodlås vid slamtömning</v>
      </c>
      <c r="D174" s="4">
        <f>Taxepunkter!D181</f>
        <v>0</v>
      </c>
      <c r="E174" s="4" t="str">
        <f>Taxepunkter!E181</f>
        <v>kr/tillfälle</v>
      </c>
      <c r="F174" s="4">
        <f>Taxepunkter!F181</f>
        <v>0</v>
      </c>
      <c r="G174" s="4" t="str">
        <f>Taxepunkter!G181</f>
        <v/>
      </c>
      <c r="H174" s="4" t="str">
        <f>Taxepunkter!H181</f>
        <v/>
      </c>
      <c r="I174" s="4" t="str">
        <f>Taxepunkter!I181</f>
        <v/>
      </c>
      <c r="J174" s="4" t="str">
        <f>Taxepunkter!J181</f>
        <v/>
      </c>
      <c r="K174" s="4">
        <f>Taxepunkter!K181</f>
        <v>0</v>
      </c>
      <c r="L174" s="6">
        <f>Taxepunkter!L181</f>
        <v>0</v>
      </c>
    </row>
    <row r="175" spans="1:12" x14ac:dyDescent="0.25">
      <c r="A175" s="5" t="str">
        <f>Taxepunkter!A182</f>
        <v>§3.2.1</v>
      </c>
      <c r="B175" s="4" t="str">
        <f>Taxepunkter!B182</f>
        <v>Tilläggstjänster slam</v>
      </c>
      <c r="C175" s="4" t="str">
        <f>Taxepunkter!C182</f>
        <v>Hetvattentvätt med spolbil, timersättning</v>
      </c>
      <c r="D175" s="4">
        <f>Taxepunkter!D182</f>
        <v>0</v>
      </c>
      <c r="E175" s="4" t="str">
        <f>Taxepunkter!E182</f>
        <v>kr/tillfälle</v>
      </c>
      <c r="F175" s="4">
        <f>Taxepunkter!F182</f>
        <v>0</v>
      </c>
      <c r="G175" s="4" t="str">
        <f>Taxepunkter!G182</f>
        <v/>
      </c>
      <c r="H175" s="4" t="str">
        <f>Taxepunkter!H182</f>
        <v/>
      </c>
      <c r="I175" s="4" t="str">
        <f>Taxepunkter!I182</f>
        <v/>
      </c>
      <c r="J175" s="4" t="str">
        <f>Taxepunkter!J182</f>
        <v/>
      </c>
      <c r="K175" s="4">
        <f>Taxepunkter!K182</f>
        <v>0</v>
      </c>
      <c r="L175" s="6">
        <f>Taxepunkter!L182</f>
        <v>0</v>
      </c>
    </row>
    <row r="176" spans="1:12" x14ac:dyDescent="0.25">
      <c r="A176" s="5" t="str">
        <f>Taxepunkter!A183</f>
        <v>§3.2.1</v>
      </c>
      <c r="B176" s="4" t="str">
        <f>Taxepunkter!B183</f>
        <v>Tilläggstjänster slam</v>
      </c>
      <c r="C176" s="4" t="str">
        <f>Taxepunkter!C183</f>
        <v>Avgift om tömning ej kan utföras pga. hinder, bristande transportväg, betonglock, lock tyngre än 25 kg eller vägran</v>
      </c>
      <c r="D176" s="4">
        <f>Taxepunkter!D183</f>
        <v>0</v>
      </c>
      <c r="E176" s="4" t="str">
        <f>Taxepunkter!E183</f>
        <v>kr/tillfälle</v>
      </c>
      <c r="F176" s="4">
        <f>Taxepunkter!F183</f>
        <v>0</v>
      </c>
      <c r="G176" s="4" t="str">
        <f>Taxepunkter!G183</f>
        <v/>
      </c>
      <c r="H176" s="4" t="str">
        <f>Taxepunkter!H183</f>
        <v/>
      </c>
      <c r="I176" s="4" t="str">
        <f>Taxepunkter!I183</f>
        <v/>
      </c>
      <c r="J176" s="4" t="str">
        <f>Taxepunkter!J183</f>
        <v/>
      </c>
      <c r="K176" s="4">
        <f>Taxepunkter!K183</f>
        <v>0</v>
      </c>
      <c r="L176" s="6">
        <f>Taxepunkter!L183</f>
        <v>0</v>
      </c>
    </row>
    <row r="177" spans="1:12" x14ac:dyDescent="0.25">
      <c r="A177" s="5" t="str">
        <f>Taxepunkter!A184</f>
        <v>§3.2.1</v>
      </c>
      <c r="B177" s="4" t="str">
        <f>Taxepunkter!B184</f>
        <v>Tilläggstjänster slam</v>
      </c>
      <c r="C177" s="4" t="str">
        <f>Taxepunkter!C184</f>
        <v>Tömning av extra tank/brunn i samband med ordinarie/budad tömning upp till 5 m3</v>
      </c>
      <c r="D177" s="4">
        <f>Taxepunkter!D184</f>
        <v>0</v>
      </c>
      <c r="E177" s="4" t="str">
        <f>Taxepunkter!E184</f>
        <v>kr/tillfälle</v>
      </c>
      <c r="F177" s="4">
        <f>Taxepunkter!F184</f>
        <v>0</v>
      </c>
      <c r="G177" s="4" t="str">
        <f>Taxepunkter!G184</f>
        <v/>
      </c>
      <c r="H177" s="4" t="str">
        <f>Taxepunkter!H184</f>
        <v/>
      </c>
      <c r="I177" s="4" t="str">
        <f>Taxepunkter!I184</f>
        <v/>
      </c>
      <c r="J177" s="4" t="str">
        <f>Taxepunkter!J184</f>
        <v/>
      </c>
      <c r="K177" s="4">
        <f>Taxepunkter!K184</f>
        <v>0</v>
      </c>
      <c r="L177" s="6">
        <f>Taxepunkter!L184</f>
        <v>0</v>
      </c>
    </row>
    <row r="178" spans="1:12" x14ac:dyDescent="0.25">
      <c r="A178" s="5" t="str">
        <f>Taxepunkter!A185</f>
        <v>§3.3 Övriga avgifter och tillägg slam</v>
      </c>
      <c r="B178" s="4">
        <f>Taxepunkter!B185</f>
        <v>0</v>
      </c>
      <c r="C178" s="4">
        <f>Taxepunkter!C185</f>
        <v>0</v>
      </c>
      <c r="D178" s="4">
        <f>Taxepunkter!D185</f>
        <v>0</v>
      </c>
      <c r="E178" s="4">
        <f>Taxepunkter!E185</f>
        <v>0</v>
      </c>
      <c r="F178" s="4">
        <f>Taxepunkter!F185</f>
        <v>0</v>
      </c>
      <c r="G178" s="4" t="str">
        <f>Taxepunkter!G185</f>
        <v/>
      </c>
      <c r="H178" s="4" t="str">
        <f>Taxepunkter!H185</f>
        <v/>
      </c>
      <c r="I178" s="4" t="str">
        <f>Taxepunkter!I185</f>
        <v/>
      </c>
      <c r="J178" s="4" t="str">
        <f>Taxepunkter!J185</f>
        <v/>
      </c>
      <c r="K178" s="4">
        <f>Taxepunkter!K185</f>
        <v>0</v>
      </c>
      <c r="L178" s="6">
        <f>Taxepunkter!L185</f>
        <v>0</v>
      </c>
    </row>
    <row r="179" spans="1:12" x14ac:dyDescent="0.25">
      <c r="A179" s="5" t="str">
        <f>Taxepunkter!A186</f>
        <v>§3.3.1 Budningskostnad av brunn och tank</v>
      </c>
      <c r="B179" s="4">
        <f>Taxepunkter!B186</f>
        <v>0</v>
      </c>
      <c r="C179" s="4">
        <f>Taxepunkter!C186</f>
        <v>0</v>
      </c>
      <c r="D179" s="4">
        <f>Taxepunkter!D186</f>
        <v>0</v>
      </c>
      <c r="E179" s="4">
        <f>Taxepunkter!E186</f>
        <v>0</v>
      </c>
      <c r="F179" s="4">
        <f>Taxepunkter!F186</f>
        <v>0</v>
      </c>
      <c r="G179" s="4" t="str">
        <f>Taxepunkter!G186</f>
        <v/>
      </c>
      <c r="H179" s="4" t="str">
        <f>Taxepunkter!H186</f>
        <v/>
      </c>
      <c r="I179" s="4" t="str">
        <f>Taxepunkter!I186</f>
        <v/>
      </c>
      <c r="J179" s="4" t="str">
        <f>Taxepunkter!J186</f>
        <v/>
      </c>
      <c r="K179" s="4">
        <f>Taxepunkter!K186</f>
        <v>0</v>
      </c>
      <c r="L179" s="6">
        <f>Taxepunkter!L186</f>
        <v>0</v>
      </c>
    </row>
    <row r="180" spans="1:12" x14ac:dyDescent="0.25">
      <c r="A180" s="5" t="str">
        <f>Taxepunkter!A187</f>
        <v>§3.3.1</v>
      </c>
      <c r="B180" s="4" t="str">
        <f>Taxepunkter!B187</f>
        <v>Övriga avgifter och tillägg slam</v>
      </c>
      <c r="C180" s="4" t="str">
        <f>Taxepunkter!C187</f>
        <v>Budning inom ordinarie tömningsperiod (1 maj- 31 oktober)</v>
      </c>
      <c r="D180" s="4" t="str">
        <f>Taxepunkter!D187</f>
        <v>Inom 24 timmar</v>
      </c>
      <c r="E180" s="4" t="str">
        <f>Taxepunkter!E187</f>
        <v>kr/tillfälle</v>
      </c>
      <c r="F180" s="4">
        <f>Taxepunkter!F187</f>
        <v>0</v>
      </c>
      <c r="G180" s="4" t="str">
        <f>Taxepunkter!G187</f>
        <v/>
      </c>
      <c r="H180" s="4" t="str">
        <f>Taxepunkter!H187</f>
        <v/>
      </c>
      <c r="I180" s="4" t="str">
        <f>Taxepunkter!I187</f>
        <v/>
      </c>
      <c r="J180" s="4" t="str">
        <f>Taxepunkter!J187</f>
        <v/>
      </c>
      <c r="K180" s="4">
        <f>Taxepunkter!K187</f>
        <v>0</v>
      </c>
      <c r="L180" s="6">
        <f>Taxepunkter!L187</f>
        <v>0</v>
      </c>
    </row>
    <row r="181" spans="1:12" x14ac:dyDescent="0.25">
      <c r="A181" s="5" t="str">
        <f>Taxepunkter!A188</f>
        <v>§3.3.1</v>
      </c>
      <c r="B181" s="4" t="str">
        <f>Taxepunkter!B188</f>
        <v>Övriga avgifter och tillägg slam</v>
      </c>
      <c r="C181" s="4" t="str">
        <f>Taxepunkter!C188</f>
        <v>Budning utanför ordinarie tömningsperiod (1 nov – 30 april)</v>
      </c>
      <c r="D181" s="4" t="str">
        <f>Taxepunkter!D188</f>
        <v>Inom 24 timmar</v>
      </c>
      <c r="E181" s="4" t="str">
        <f>Taxepunkter!E188</f>
        <v>kr/tillfälle</v>
      </c>
      <c r="F181" s="4" t="str">
        <f>Taxepunkter!F188</f>
        <v>AKUT</v>
      </c>
      <c r="G181" s="4" t="str">
        <f>Taxepunkter!G188</f>
        <v>AKUT</v>
      </c>
      <c r="H181" s="4" t="str">
        <f>Taxepunkter!H188</f>
        <v>EXTRAAVGIFT AKUT SLAMTÖMNING</v>
      </c>
      <c r="I181" s="4" t="str">
        <f>Taxepunkter!I188</f>
        <v>KVAN</v>
      </c>
      <c r="J181" s="4">
        <f>Taxepunkter!J188</f>
        <v>640</v>
      </c>
      <c r="K181" s="4">
        <f>Taxepunkter!K188</f>
        <v>0</v>
      </c>
      <c r="L181" s="6">
        <f>Taxepunkter!L188</f>
        <v>0</v>
      </c>
    </row>
    <row r="182" spans="1:12" x14ac:dyDescent="0.25">
      <c r="A182" s="5" t="str">
        <f>Taxepunkter!A189</f>
        <v>§3.3.1</v>
      </c>
      <c r="B182" s="4" t="str">
        <f>Taxepunkter!B189</f>
        <v>Övriga avgifter och tillägg slam</v>
      </c>
      <c r="C182" s="4" t="str">
        <f>Taxepunkter!C189</f>
        <v>Budning inom ordinarie tömningsperiod (1 maj- 31 oktober)</v>
      </c>
      <c r="D182" s="4" t="str">
        <f>Taxepunkter!D189</f>
        <v>Inom 7 arbetsdagar</v>
      </c>
      <c r="E182" s="4" t="str">
        <f>Taxepunkter!E189</f>
        <v>kr/tillfälle</v>
      </c>
      <c r="F182" s="4">
        <f>Taxepunkter!F189</f>
        <v>0</v>
      </c>
      <c r="G182" s="4" t="str">
        <f>Taxepunkter!G189</f>
        <v/>
      </c>
      <c r="H182" s="4" t="str">
        <f>Taxepunkter!H189</f>
        <v/>
      </c>
      <c r="I182" s="4" t="str">
        <f>Taxepunkter!I189</f>
        <v/>
      </c>
      <c r="J182" s="4" t="str">
        <f>Taxepunkter!J189</f>
        <v/>
      </c>
      <c r="K182" s="4">
        <f>Taxepunkter!K189</f>
        <v>0</v>
      </c>
      <c r="L182" s="6">
        <f>Taxepunkter!L189</f>
        <v>0</v>
      </c>
    </row>
    <row r="183" spans="1:12" x14ac:dyDescent="0.25">
      <c r="A183" s="5" t="str">
        <f>Taxepunkter!A190</f>
        <v>§3.3.1</v>
      </c>
      <c r="B183" s="4" t="str">
        <f>Taxepunkter!B190</f>
        <v>Övriga avgifter och tillägg slam</v>
      </c>
      <c r="C183" s="4" t="str">
        <f>Taxepunkter!C190</f>
        <v>Budning utanför ordinarie tömningsperiod (1 nov – 30 april)</v>
      </c>
      <c r="D183" s="4" t="str">
        <f>Taxepunkter!D190</f>
        <v>Inom 7 arbetsdagar</v>
      </c>
      <c r="E183" s="4" t="str">
        <f>Taxepunkter!E190</f>
        <v>kr/tillfälle</v>
      </c>
      <c r="F183" s="4">
        <f>Taxepunkter!F190</f>
        <v>0</v>
      </c>
      <c r="G183" s="4" t="str">
        <f>Taxepunkter!G190</f>
        <v/>
      </c>
      <c r="H183" s="4" t="str">
        <f>Taxepunkter!H190</f>
        <v/>
      </c>
      <c r="I183" s="4" t="str">
        <f>Taxepunkter!I190</f>
        <v/>
      </c>
      <c r="J183" s="4" t="str">
        <f>Taxepunkter!J190</f>
        <v/>
      </c>
      <c r="K183" s="4">
        <f>Taxepunkter!K190</f>
        <v>0</v>
      </c>
      <c r="L183" s="6">
        <f>Taxepunkter!L190</f>
        <v>0</v>
      </c>
    </row>
    <row r="184" spans="1:12" x14ac:dyDescent="0.25">
      <c r="A184" s="5" t="str">
        <f>Taxepunkter!A191</f>
        <v>§3.3.2 Budningskostnad av brunn och tank</v>
      </c>
      <c r="B184" s="4">
        <f>Taxepunkter!B191</f>
        <v>0</v>
      </c>
      <c r="C184" s="4">
        <f>Taxepunkter!C191</f>
        <v>0</v>
      </c>
      <c r="D184" s="4">
        <f>Taxepunkter!D191</f>
        <v>0</v>
      </c>
      <c r="E184" s="4">
        <f>Taxepunkter!E191</f>
        <v>0</v>
      </c>
      <c r="F184" s="4">
        <f>Taxepunkter!F191</f>
        <v>0</v>
      </c>
      <c r="G184" s="4" t="str">
        <f>Taxepunkter!G191</f>
        <v/>
      </c>
      <c r="H184" s="4" t="str">
        <f>Taxepunkter!H191</f>
        <v/>
      </c>
      <c r="I184" s="4" t="str">
        <f>Taxepunkter!I191</f>
        <v/>
      </c>
      <c r="J184" s="4" t="str">
        <f>Taxepunkter!J191</f>
        <v/>
      </c>
      <c r="K184" s="4">
        <f>Taxepunkter!K191</f>
        <v>0</v>
      </c>
      <c r="L184" s="6">
        <f>Taxepunkter!L191</f>
        <v>0</v>
      </c>
    </row>
    <row r="185" spans="1:12" x14ac:dyDescent="0.25">
      <c r="A185" s="5" t="str">
        <f>Taxepunkter!A192</f>
        <v>§3.3.2</v>
      </c>
      <c r="B185" s="4" t="str">
        <f>Taxepunkter!B192</f>
        <v>Övriga avgifter och tillägg slam</v>
      </c>
      <c r="C185" s="4" t="str">
        <f>Taxepunkter!C192</f>
        <v>Tömning av toalettvagnar eller liknande</v>
      </c>
      <c r="D185" s="4">
        <f>Taxepunkter!D192</f>
        <v>0</v>
      </c>
      <c r="E185" s="4" t="str">
        <f>Taxepunkter!E192</f>
        <v>kr/tillfälle</v>
      </c>
      <c r="F185" s="4">
        <f>Taxepunkter!F192</f>
        <v>0</v>
      </c>
      <c r="G185" s="4" t="str">
        <f>Taxepunkter!G192</f>
        <v/>
      </c>
      <c r="H185" s="4" t="str">
        <f>Taxepunkter!H192</f>
        <v/>
      </c>
      <c r="I185" s="4" t="str">
        <f>Taxepunkter!I192</f>
        <v/>
      </c>
      <c r="J185" s="4" t="str">
        <f>Taxepunkter!J192</f>
        <v/>
      </c>
      <c r="K185" s="4">
        <f>Taxepunkter!K192</f>
        <v>0</v>
      </c>
      <c r="L185" s="6">
        <f>Taxepunkter!L192</f>
        <v>0</v>
      </c>
    </row>
    <row r="186" spans="1:12" x14ac:dyDescent="0.25">
      <c r="A186" s="5" t="str">
        <f>Taxepunkter!A193</f>
        <v>§3.3.2</v>
      </c>
      <c r="B186" s="4" t="str">
        <f>Taxepunkter!B193</f>
        <v>Övriga avgifter och tillägg slam</v>
      </c>
      <c r="C186" s="4" t="str">
        <f>Taxepunkter!C193</f>
        <v>Framkörningsavgift då ordinarie tömning inte skett på grund av hinder, abonnenten vägrar, bristfällig väg eller annat</v>
      </c>
      <c r="D186" s="4">
        <f>Taxepunkter!D193</f>
        <v>0</v>
      </c>
      <c r="E186" s="4" t="str">
        <f>Taxepunkter!E193</f>
        <v>kr/tillfälle</v>
      </c>
      <c r="F186" s="4" t="str">
        <f>Taxepunkter!F193</f>
        <v>FRAMKAVG</v>
      </c>
      <c r="G186" s="4" t="str">
        <f>Taxepunkter!G193</f>
        <v>FRAMKAVG</v>
      </c>
      <c r="H186" s="4" t="str">
        <f>Taxepunkter!H193</f>
        <v>Framkörningsavgift</v>
      </c>
      <c r="I186" s="4" t="str">
        <f>Taxepunkter!I193</f>
        <v>KVAN</v>
      </c>
      <c r="J186" s="4">
        <f>Taxepunkter!J193</f>
        <v>652</v>
      </c>
      <c r="K186" s="4">
        <f>Taxepunkter!K193</f>
        <v>0</v>
      </c>
      <c r="L186" s="6">
        <f>Taxepunkter!L193</f>
        <v>0</v>
      </c>
    </row>
    <row r="187" spans="1:12" x14ac:dyDescent="0.25">
      <c r="A187" s="5" t="str">
        <f>Taxepunkter!A194</f>
        <v>§3.3.2</v>
      </c>
      <c r="B187" s="4" t="str">
        <f>Taxepunkter!B194</f>
        <v>Övriga avgifter och tillägg slam</v>
      </c>
      <c r="C187" s="4" t="str">
        <f>Taxepunkter!C194</f>
        <v>Sen anmälan om förändringar av tömningsintervall. Om förändring, nyanmälan eller avbokning av slamtömning meddelas efter 1 april innevarande år.</v>
      </c>
      <c r="D187" s="4">
        <f>Taxepunkter!D194</f>
        <v>0</v>
      </c>
      <c r="E187" s="4" t="str">
        <f>Taxepunkter!E194</f>
        <v>kr/tillfälle</v>
      </c>
      <c r="F187" s="4">
        <f>Taxepunkter!F194</f>
        <v>0</v>
      </c>
      <c r="G187" s="4" t="str">
        <f>Taxepunkter!G194</f>
        <v/>
      </c>
      <c r="H187" s="4" t="str">
        <f>Taxepunkter!H194</f>
        <v/>
      </c>
      <c r="I187" s="4" t="str">
        <f>Taxepunkter!I194</f>
        <v/>
      </c>
      <c r="J187" s="4" t="str">
        <f>Taxepunkter!J194</f>
        <v/>
      </c>
      <c r="K187" s="4">
        <f>Taxepunkter!K194</f>
        <v>0</v>
      </c>
      <c r="L187" s="6">
        <f>Taxepunkter!L194</f>
        <v>0</v>
      </c>
    </row>
    <row r="188" spans="1:12" x14ac:dyDescent="0.25">
      <c r="A188" s="5" t="str">
        <f>Taxepunkter!A195</f>
        <v>§3.4 Latrinbehållare</v>
      </c>
      <c r="B188" s="4">
        <f>Taxepunkter!B195</f>
        <v>0</v>
      </c>
      <c r="C188" s="4">
        <f>Taxepunkter!C195</f>
        <v>0</v>
      </c>
      <c r="D188" s="4">
        <f>Taxepunkter!D195</f>
        <v>0</v>
      </c>
      <c r="E188" s="4">
        <f>Taxepunkter!E195</f>
        <v>0</v>
      </c>
      <c r="F188" s="4">
        <f>Taxepunkter!F195</f>
        <v>0</v>
      </c>
      <c r="G188" s="4" t="str">
        <f>Taxepunkter!G195</f>
        <v/>
      </c>
      <c r="H188" s="4" t="str">
        <f>Taxepunkter!H195</f>
        <v/>
      </c>
      <c r="I188" s="4" t="str">
        <f>Taxepunkter!I195</f>
        <v/>
      </c>
      <c r="J188" s="4" t="str">
        <f>Taxepunkter!J195</f>
        <v/>
      </c>
      <c r="K188" s="4">
        <f>Taxepunkter!K195</f>
        <v>0</v>
      </c>
      <c r="L188" s="6">
        <f>Taxepunkter!L195</f>
        <v>0</v>
      </c>
    </row>
    <row r="189" spans="1:12" x14ac:dyDescent="0.25">
      <c r="A189" s="5" t="str">
        <f>Taxepunkter!A196</f>
        <v>§3.4.1 Latrinbehållare</v>
      </c>
      <c r="B189" s="4">
        <f>Taxepunkter!B196</f>
        <v>0</v>
      </c>
      <c r="C189" s="4">
        <f>Taxepunkter!C196</f>
        <v>0</v>
      </c>
      <c r="D189" s="4">
        <f>Taxepunkter!D196</f>
        <v>0</v>
      </c>
      <c r="E189" s="4">
        <f>Taxepunkter!E196</f>
        <v>0</v>
      </c>
      <c r="F189" s="4">
        <f>Taxepunkter!F196</f>
        <v>0</v>
      </c>
      <c r="G189" s="4" t="str">
        <f>Taxepunkter!G196</f>
        <v/>
      </c>
      <c r="H189" s="4" t="str">
        <f>Taxepunkter!H196</f>
        <v/>
      </c>
      <c r="I189" s="4" t="str">
        <f>Taxepunkter!I196</f>
        <v/>
      </c>
      <c r="J189" s="4" t="str">
        <f>Taxepunkter!J196</f>
        <v/>
      </c>
      <c r="K189" s="4">
        <f>Taxepunkter!K196</f>
        <v>0</v>
      </c>
      <c r="L189" s="6">
        <f>Taxepunkter!L196</f>
        <v>0</v>
      </c>
    </row>
    <row r="190" spans="1:12" x14ac:dyDescent="0.25">
      <c r="A190" s="5" t="str">
        <f>Taxepunkter!A197</f>
        <v>§3.4.1</v>
      </c>
      <c r="B190" s="4" t="str">
        <f>Taxepunkter!B197</f>
        <v>Latrinbehållare</v>
      </c>
      <c r="C190" s="4" t="str">
        <f>Taxepunkter!C197</f>
        <v>Latrinbehållare 37 liter inkl. mottagning och behandling</v>
      </c>
      <c r="D190" s="4">
        <f>Taxepunkter!D197</f>
        <v>0</v>
      </c>
      <c r="E190" s="4" t="str">
        <f>Taxepunkter!E197</f>
        <v>st</v>
      </c>
      <c r="F190" s="4" t="str">
        <f>Taxepunkter!F197</f>
        <v>LATRINBEHÅLL</v>
      </c>
      <c r="G190" s="4" t="str">
        <f>Taxepunkter!G197</f>
        <v>LATRINBEHÅLL</v>
      </c>
      <c r="H190" s="4" t="str">
        <f>Taxepunkter!H197</f>
        <v>Avgift för latrinbehållare</v>
      </c>
      <c r="I190" s="4" t="str">
        <f>Taxepunkter!I197</f>
        <v>KVAN</v>
      </c>
      <c r="J190" s="4">
        <f>Taxepunkter!J197</f>
        <v>360</v>
      </c>
      <c r="K190" s="4">
        <f>Taxepunkter!K197</f>
        <v>0</v>
      </c>
      <c r="L190" s="6">
        <f>Taxepunkter!L197</f>
        <v>0</v>
      </c>
    </row>
    <row r="191" spans="1:12" x14ac:dyDescent="0.25">
      <c r="A191" s="5" t="str">
        <f>Taxepunkter!A198</f>
        <v>§3.4.1</v>
      </c>
      <c r="B191" s="4" t="str">
        <f>Taxepunkter!B198</f>
        <v>Latrinbehållare</v>
      </c>
      <c r="C191" s="4" t="str">
        <f>Taxepunkter!C198</f>
        <v>Köp av engångsbehållare för latrin</v>
      </c>
      <c r="D191" s="4">
        <f>Taxepunkter!D198</f>
        <v>0</v>
      </c>
      <c r="E191" s="4" t="str">
        <f>Taxepunkter!E198</f>
        <v>st</v>
      </c>
      <c r="F191" s="4">
        <f>Taxepunkter!F198</f>
        <v>0</v>
      </c>
      <c r="G191" s="4" t="str">
        <f>Taxepunkter!G198</f>
        <v/>
      </c>
      <c r="H191" s="4" t="str">
        <f>Taxepunkter!H198</f>
        <v/>
      </c>
      <c r="I191" s="4" t="str">
        <f>Taxepunkter!I198</f>
        <v/>
      </c>
      <c r="J191" s="4" t="str">
        <f>Taxepunkter!J198</f>
        <v/>
      </c>
      <c r="K191" s="4">
        <f>Taxepunkter!K198</f>
        <v>0</v>
      </c>
      <c r="L191" s="6">
        <f>Taxepunkter!L198</f>
        <v>0</v>
      </c>
    </row>
    <row r="192" spans="1:12" x14ac:dyDescent="0.25">
      <c r="A192" s="5" t="str">
        <f>Taxepunkter!A199</f>
        <v>§4 Hämtning av fosforfilter</v>
      </c>
      <c r="B192" s="4">
        <f>Taxepunkter!B199</f>
        <v>0</v>
      </c>
      <c r="C192" s="4">
        <f>Taxepunkter!C199</f>
        <v>0</v>
      </c>
      <c r="D192" s="4">
        <f>Taxepunkter!D199</f>
        <v>0</v>
      </c>
      <c r="E192" s="4">
        <f>Taxepunkter!E199</f>
        <v>0</v>
      </c>
      <c r="F192" s="4">
        <f>Taxepunkter!F199</f>
        <v>0</v>
      </c>
      <c r="G192" s="4" t="str">
        <f>Taxepunkter!G199</f>
        <v/>
      </c>
      <c r="H192" s="4" t="str">
        <f>Taxepunkter!H199</f>
        <v/>
      </c>
      <c r="I192" s="4" t="str">
        <f>Taxepunkter!I199</f>
        <v/>
      </c>
      <c r="J192" s="4" t="str">
        <f>Taxepunkter!J199</f>
        <v/>
      </c>
      <c r="K192" s="4">
        <f>Taxepunkter!K199</f>
        <v>0</v>
      </c>
      <c r="L192" s="6">
        <f>Taxepunkter!L199</f>
        <v>0</v>
      </c>
    </row>
    <row r="193" spans="1:12" x14ac:dyDescent="0.25">
      <c r="A193" s="5" t="str">
        <f>Taxepunkter!A200</f>
        <v>§4.1 Budad hämtning fosforfilter</v>
      </c>
      <c r="B193" s="4">
        <f>Taxepunkter!B200</f>
        <v>0</v>
      </c>
      <c r="C193" s="4">
        <f>Taxepunkter!C200</f>
        <v>0</v>
      </c>
      <c r="D193" s="4">
        <f>Taxepunkter!D200</f>
        <v>0</v>
      </c>
      <c r="E193" s="4">
        <f>Taxepunkter!E200</f>
        <v>0</v>
      </c>
      <c r="F193" s="4">
        <f>Taxepunkter!F200</f>
        <v>0</v>
      </c>
      <c r="G193" s="4" t="str">
        <f>Taxepunkter!G200</f>
        <v/>
      </c>
      <c r="H193" s="4" t="str">
        <f>Taxepunkter!H200</f>
        <v/>
      </c>
      <c r="I193" s="4" t="str">
        <f>Taxepunkter!I200</f>
        <v/>
      </c>
      <c r="J193" s="4" t="str">
        <f>Taxepunkter!J200</f>
        <v/>
      </c>
      <c r="K193" s="4">
        <f>Taxepunkter!K200</f>
        <v>0</v>
      </c>
      <c r="L193" s="6">
        <f>Taxepunkter!L200</f>
        <v>0</v>
      </c>
    </row>
    <row r="194" spans="1:12" x14ac:dyDescent="0.25">
      <c r="A194" s="5" t="str">
        <f>Taxepunkter!A201</f>
        <v>§4.1.1 Budad hämtning fosforfilter</v>
      </c>
      <c r="B194" s="4">
        <f>Taxepunkter!B201</f>
        <v>0</v>
      </c>
      <c r="C194" s="4">
        <f>Taxepunkter!C201</f>
        <v>0</v>
      </c>
      <c r="D194" s="4">
        <f>Taxepunkter!D201</f>
        <v>0</v>
      </c>
      <c r="E194" s="4">
        <f>Taxepunkter!E201</f>
        <v>0</v>
      </c>
      <c r="F194" s="4">
        <f>Taxepunkter!F201</f>
        <v>0</v>
      </c>
      <c r="G194" s="4" t="str">
        <f>Taxepunkter!G201</f>
        <v/>
      </c>
      <c r="H194" s="4" t="str">
        <f>Taxepunkter!H201</f>
        <v/>
      </c>
      <c r="I194" s="4" t="str">
        <f>Taxepunkter!I201</f>
        <v/>
      </c>
      <c r="J194" s="4" t="str">
        <f>Taxepunkter!J201</f>
        <v/>
      </c>
      <c r="K194" s="4">
        <f>Taxepunkter!K201</f>
        <v>0</v>
      </c>
      <c r="L194" s="6">
        <f>Taxepunkter!L201</f>
        <v>0</v>
      </c>
    </row>
    <row r="195" spans="1:12" x14ac:dyDescent="0.25">
      <c r="A195" s="5" t="str">
        <f>Taxepunkter!A202</f>
        <v>§4.1.1</v>
      </c>
      <c r="B195" s="4" t="str">
        <f>Taxepunkter!B202</f>
        <v>Budad hämtning fosforfilter</v>
      </c>
      <c r="C195" s="4" t="str">
        <f>Taxepunkter!C202</f>
        <v>Filtermassor upp till 500 kg</v>
      </c>
      <c r="D195" s="4" t="str">
        <f>Taxepunkter!D202</f>
        <v>Budad hämtning inom sju (7) arbetsdagar</v>
      </c>
      <c r="E195" s="4" t="str">
        <f>Taxepunkter!E202</f>
        <v>kr/tillfälle</v>
      </c>
      <c r="F195" s="4">
        <f>Taxepunkter!F202</f>
        <v>0</v>
      </c>
      <c r="G195" s="4" t="str">
        <f>Taxepunkter!G202</f>
        <v/>
      </c>
      <c r="H195" s="4" t="str">
        <f>Taxepunkter!H202</f>
        <v/>
      </c>
      <c r="I195" s="4" t="str">
        <f>Taxepunkter!I202</f>
        <v/>
      </c>
      <c r="J195" s="4" t="str">
        <f>Taxepunkter!J202</f>
        <v/>
      </c>
      <c r="K195" s="4">
        <f>Taxepunkter!K202</f>
        <v>0</v>
      </c>
      <c r="L195" s="6">
        <f>Taxepunkter!L202</f>
        <v>0</v>
      </c>
    </row>
    <row r="196" spans="1:12" x14ac:dyDescent="0.25">
      <c r="A196" s="5" t="str">
        <f>Taxepunkter!A203</f>
        <v>§4.1.1</v>
      </c>
      <c r="B196" s="4" t="str">
        <f>Taxepunkter!B203</f>
        <v>Budad hämtning fosforfilter</v>
      </c>
      <c r="C196" s="4" t="str">
        <f>Taxepunkter!C203</f>
        <v>Filtermassor 500-1000 kg</v>
      </c>
      <c r="D196" s="4" t="str">
        <f>Taxepunkter!D203</f>
        <v>Budad hämtning inom sju (7) arbetsdagar</v>
      </c>
      <c r="E196" s="4" t="str">
        <f>Taxepunkter!E203</f>
        <v>kr/tillfälle</v>
      </c>
      <c r="F196" s="4">
        <f>Taxepunkter!F203</f>
        <v>0</v>
      </c>
      <c r="G196" s="4" t="str">
        <f>Taxepunkter!G203</f>
        <v/>
      </c>
      <c r="H196" s="4" t="str">
        <f>Taxepunkter!H203</f>
        <v/>
      </c>
      <c r="I196" s="4" t="str">
        <f>Taxepunkter!I203</f>
        <v/>
      </c>
      <c r="J196" s="4" t="str">
        <f>Taxepunkter!J203</f>
        <v/>
      </c>
      <c r="K196" s="4">
        <f>Taxepunkter!K203</f>
        <v>0</v>
      </c>
      <c r="L196" s="6">
        <f>Taxepunkter!L203</f>
        <v>0</v>
      </c>
    </row>
    <row r="197" spans="1:12" x14ac:dyDescent="0.25">
      <c r="A197" s="5" t="str">
        <f>Taxepunkter!A204</f>
        <v>§4.1.1</v>
      </c>
      <c r="B197" s="4" t="str">
        <f>Taxepunkter!B204</f>
        <v>Budad hämtning fosforfilter</v>
      </c>
      <c r="C197" s="4" t="str">
        <f>Taxepunkter!C204</f>
        <v>Filtermassor upp till 500 kg</v>
      </c>
      <c r="D197" s="4" t="str">
        <f>Taxepunkter!D204</f>
        <v>Tillägg för transport och behandlingskostnad</v>
      </c>
      <c r="E197" s="4" t="str">
        <f>Taxepunkter!E204</f>
        <v>kr/tillfälle</v>
      </c>
      <c r="F197" s="4">
        <f>Taxepunkter!F204</f>
        <v>0</v>
      </c>
      <c r="G197" s="4" t="str">
        <f>Taxepunkter!G204</f>
        <v/>
      </c>
      <c r="H197" s="4" t="str">
        <f>Taxepunkter!H204</f>
        <v/>
      </c>
      <c r="I197" s="4" t="str">
        <f>Taxepunkter!I204</f>
        <v/>
      </c>
      <c r="J197" s="4" t="str">
        <f>Taxepunkter!J204</f>
        <v/>
      </c>
      <c r="K197" s="4">
        <f>Taxepunkter!K204</f>
        <v>0</v>
      </c>
      <c r="L197" s="6">
        <f>Taxepunkter!L204</f>
        <v>0</v>
      </c>
    </row>
    <row r="198" spans="1:12" x14ac:dyDescent="0.25">
      <c r="A198" s="5" t="str">
        <f>Taxepunkter!A205</f>
        <v>§4.1.1</v>
      </c>
      <c r="B198" s="4" t="str">
        <f>Taxepunkter!B205</f>
        <v>Budad hämtning fosforfilter</v>
      </c>
      <c r="C198" s="4" t="str">
        <f>Taxepunkter!C205</f>
        <v>Filtermassor 500-1000 kg</v>
      </c>
      <c r="D198" s="4" t="str">
        <f>Taxepunkter!D205</f>
        <v>Tillägg för transport och behandlingskostnad</v>
      </c>
      <c r="E198" s="4" t="str">
        <f>Taxepunkter!E205</f>
        <v>kr/tillfälle</v>
      </c>
      <c r="F198" s="4">
        <f>Taxepunkter!F205</f>
        <v>0</v>
      </c>
      <c r="G198" s="4" t="str">
        <f>Taxepunkter!G205</f>
        <v/>
      </c>
      <c r="H198" s="4" t="str">
        <f>Taxepunkter!H205</f>
        <v/>
      </c>
      <c r="I198" s="4" t="str">
        <f>Taxepunkter!I205</f>
        <v/>
      </c>
      <c r="J198" s="4" t="str">
        <f>Taxepunkter!J205</f>
        <v/>
      </c>
      <c r="K198" s="4">
        <f>Taxepunkter!K205</f>
        <v>0</v>
      </c>
      <c r="L198" s="6">
        <f>Taxepunkter!L205</f>
        <v>0</v>
      </c>
    </row>
    <row r="199" spans="1:12" x14ac:dyDescent="0.25">
      <c r="A199" s="5" t="str">
        <f>Taxepunkter!A206</f>
        <v>§4.2 Tilläggstjänster fosforfilter</v>
      </c>
      <c r="B199" s="4">
        <f>Taxepunkter!B206</f>
        <v>0</v>
      </c>
      <c r="C199" s="4">
        <f>Taxepunkter!C206</f>
        <v>0</v>
      </c>
      <c r="D199" s="4">
        <f>Taxepunkter!D206</f>
        <v>0</v>
      </c>
      <c r="E199" s="4">
        <f>Taxepunkter!E206</f>
        <v>0</v>
      </c>
      <c r="F199" s="4">
        <f>Taxepunkter!F206</f>
        <v>0</v>
      </c>
      <c r="G199" s="4" t="str">
        <f>Taxepunkter!G206</f>
        <v/>
      </c>
      <c r="H199" s="4" t="str">
        <f>Taxepunkter!H206</f>
        <v/>
      </c>
      <c r="I199" s="4" t="str">
        <f>Taxepunkter!I206</f>
        <v/>
      </c>
      <c r="J199" s="4" t="str">
        <f>Taxepunkter!J206</f>
        <v/>
      </c>
      <c r="K199" s="4">
        <f>Taxepunkter!K206</f>
        <v>0</v>
      </c>
      <c r="L199" s="6">
        <f>Taxepunkter!L206</f>
        <v>0</v>
      </c>
    </row>
    <row r="200" spans="1:12" x14ac:dyDescent="0.25">
      <c r="A200" s="5" t="str">
        <f>Taxepunkter!A207</f>
        <v>§4.2.1 Tilläggstjänster fosforfilter</v>
      </c>
      <c r="B200" s="4">
        <f>Taxepunkter!B207</f>
        <v>0</v>
      </c>
      <c r="C200" s="4">
        <f>Taxepunkter!C207</f>
        <v>0</v>
      </c>
      <c r="D200" s="4">
        <f>Taxepunkter!D207</f>
        <v>0</v>
      </c>
      <c r="E200" s="4">
        <f>Taxepunkter!E207</f>
        <v>0</v>
      </c>
      <c r="F200" s="4">
        <f>Taxepunkter!F207</f>
        <v>0</v>
      </c>
      <c r="G200" s="4" t="str">
        <f>Taxepunkter!G207</f>
        <v/>
      </c>
      <c r="H200" s="4" t="str">
        <f>Taxepunkter!H207</f>
        <v/>
      </c>
      <c r="I200" s="4" t="str">
        <f>Taxepunkter!I207</f>
        <v/>
      </c>
      <c r="J200" s="4" t="str">
        <f>Taxepunkter!J207</f>
        <v/>
      </c>
      <c r="K200" s="4">
        <f>Taxepunkter!K207</f>
        <v>0</v>
      </c>
      <c r="L200" s="6">
        <f>Taxepunkter!L207</f>
        <v>0</v>
      </c>
    </row>
    <row r="201" spans="1:12" x14ac:dyDescent="0.25">
      <c r="A201" s="5" t="str">
        <f>Taxepunkter!A208</f>
        <v>§4.2.1</v>
      </c>
      <c r="B201" s="4" t="str">
        <f>Taxepunkter!B208</f>
        <v>Tilläggstjänster fosforfilter</v>
      </c>
      <c r="C201" s="4" t="str">
        <f>Taxepunkter!C208</f>
        <v>Krav på information om hämtningstid</v>
      </c>
      <c r="D201" s="4">
        <f>Taxepunkter!D208</f>
        <v>0</v>
      </c>
      <c r="E201" s="4" t="str">
        <f>Taxepunkter!E208</f>
        <v>kr/tillfälle</v>
      </c>
      <c r="F201" s="4">
        <f>Taxepunkter!F208</f>
        <v>0</v>
      </c>
      <c r="G201" s="4" t="str">
        <f>Taxepunkter!G208</f>
        <v/>
      </c>
      <c r="H201" s="4" t="str">
        <f>Taxepunkter!H208</f>
        <v/>
      </c>
      <c r="I201" s="4" t="str">
        <f>Taxepunkter!I208</f>
        <v/>
      </c>
      <c r="J201" s="4" t="str">
        <f>Taxepunkter!J208</f>
        <v/>
      </c>
      <c r="K201" s="4">
        <f>Taxepunkter!K208</f>
        <v>0</v>
      </c>
      <c r="L201" s="6">
        <f>Taxepunkter!L208</f>
        <v>0</v>
      </c>
    </row>
    <row r="202" spans="1:12" x14ac:dyDescent="0.25">
      <c r="A202" s="5" t="str">
        <f>Taxepunkter!A209</f>
        <v>§4.2.1</v>
      </c>
      <c r="B202" s="4" t="str">
        <f>Taxepunkter!B209</f>
        <v>Tilläggstjänster fosforfilter</v>
      </c>
      <c r="C202" s="4" t="str">
        <f>Taxepunkter!C209</f>
        <v>Krav på närvaro vid specificerad hämtningstid</v>
      </c>
      <c r="D202" s="4">
        <f>Taxepunkter!D209</f>
        <v>0</v>
      </c>
      <c r="E202" s="4" t="str">
        <f>Taxepunkter!E209</f>
        <v>kr/tillfälle</v>
      </c>
      <c r="F202" s="4">
        <f>Taxepunkter!F209</f>
        <v>0</v>
      </c>
      <c r="G202" s="4" t="str">
        <f>Taxepunkter!G209</f>
        <v/>
      </c>
      <c r="H202" s="4" t="str">
        <f>Taxepunkter!H209</f>
        <v/>
      </c>
      <c r="I202" s="4" t="str">
        <f>Taxepunkter!I209</f>
        <v/>
      </c>
      <c r="J202" s="4" t="str">
        <f>Taxepunkter!J209</f>
        <v/>
      </c>
      <c r="K202" s="4">
        <f>Taxepunkter!K209</f>
        <v>0</v>
      </c>
      <c r="L202" s="6">
        <f>Taxepunkter!L209</f>
        <v>0</v>
      </c>
    </row>
    <row r="203" spans="1:12" x14ac:dyDescent="0.25">
      <c r="A203" s="5" t="str">
        <f>Taxepunkter!A210</f>
        <v>§4.2.1</v>
      </c>
      <c r="B203" s="4" t="str">
        <f>Taxepunkter!B210</f>
        <v>Tilläggstjänster fosforfilter</v>
      </c>
      <c r="C203" s="4" t="str">
        <f>Taxepunkter!C210</f>
        <v>Hantering av kod för kodlås</v>
      </c>
      <c r="D203" s="4">
        <f>Taxepunkter!D210</f>
        <v>0</v>
      </c>
      <c r="E203" s="4" t="str">
        <f>Taxepunkter!E210</f>
        <v>kr/tillfälle</v>
      </c>
      <c r="F203" s="4">
        <f>Taxepunkter!F210</f>
        <v>0</v>
      </c>
      <c r="G203" s="4" t="str">
        <f>Taxepunkter!G210</f>
        <v/>
      </c>
      <c r="H203" s="4" t="str">
        <f>Taxepunkter!H210</f>
        <v/>
      </c>
      <c r="I203" s="4" t="str">
        <f>Taxepunkter!I210</f>
        <v/>
      </c>
      <c r="J203" s="4" t="str">
        <f>Taxepunkter!J210</f>
        <v/>
      </c>
      <c r="K203" s="4">
        <f>Taxepunkter!K210</f>
        <v>0</v>
      </c>
      <c r="L203" s="6">
        <f>Taxepunkter!L210</f>
        <v>0</v>
      </c>
    </row>
    <row r="204" spans="1:12" x14ac:dyDescent="0.25">
      <c r="A204" s="5" t="str">
        <f>Taxepunkter!A211</f>
        <v>§4.2.1</v>
      </c>
      <c r="B204" s="4" t="str">
        <f>Taxepunkter!B211</f>
        <v>Tilläggstjänster fosforfilter</v>
      </c>
      <c r="C204" s="4" t="str">
        <f>Taxepunkter!C211</f>
        <v>Avgift om hämtning ej kan utföras pga hinder, bristande väg eller vägran</v>
      </c>
      <c r="D204" s="4">
        <f>Taxepunkter!D211</f>
        <v>0</v>
      </c>
      <c r="E204" s="4" t="str">
        <f>Taxepunkter!E211</f>
        <v>kr/tillfälle</v>
      </c>
      <c r="F204" s="4">
        <f>Taxepunkter!F211</f>
        <v>0</v>
      </c>
      <c r="G204" s="4" t="str">
        <f>Taxepunkter!G211</f>
        <v/>
      </c>
      <c r="H204" s="4" t="str">
        <f>Taxepunkter!H211</f>
        <v/>
      </c>
      <c r="I204" s="4" t="str">
        <f>Taxepunkter!I211</f>
        <v/>
      </c>
      <c r="J204" s="4" t="str">
        <f>Taxepunkter!J211</f>
        <v/>
      </c>
      <c r="K204" s="4">
        <f>Taxepunkter!K211</f>
        <v>0</v>
      </c>
      <c r="L204" s="6">
        <f>Taxepunkter!L211</f>
        <v>0</v>
      </c>
    </row>
    <row r="205" spans="1:12" x14ac:dyDescent="0.25">
      <c r="A205" s="5" t="str">
        <f>Taxepunkter!A212</f>
        <v>§5 Tömning av fettavskiljare</v>
      </c>
      <c r="B205" s="4">
        <f>Taxepunkter!B212</f>
        <v>0</v>
      </c>
      <c r="C205" s="4">
        <f>Taxepunkter!C212</f>
        <v>0</v>
      </c>
      <c r="D205" s="4">
        <f>Taxepunkter!D212</f>
        <v>0</v>
      </c>
      <c r="E205" s="4">
        <f>Taxepunkter!E212</f>
        <v>0</v>
      </c>
      <c r="F205" s="4">
        <f>Taxepunkter!F212</f>
        <v>0</v>
      </c>
      <c r="G205" s="4" t="str">
        <f>Taxepunkter!G212</f>
        <v/>
      </c>
      <c r="H205" s="4" t="str">
        <f>Taxepunkter!H212</f>
        <v/>
      </c>
      <c r="I205" s="4" t="str">
        <f>Taxepunkter!I212</f>
        <v/>
      </c>
      <c r="J205" s="4" t="str">
        <f>Taxepunkter!J212</f>
        <v/>
      </c>
      <c r="K205" s="4">
        <f>Taxepunkter!K212</f>
        <v>0</v>
      </c>
      <c r="L205" s="6">
        <f>Taxepunkter!L212</f>
        <v>0</v>
      </c>
    </row>
    <row r="206" spans="1:12" x14ac:dyDescent="0.25">
      <c r="A206" s="5" t="str">
        <f>Taxepunkter!A213</f>
        <v>§5.1 Ordinarie tömning av fettavskiljare</v>
      </c>
      <c r="B206" s="4">
        <f>Taxepunkter!B213</f>
        <v>0</v>
      </c>
      <c r="C206" s="4">
        <f>Taxepunkter!C213</f>
        <v>0</v>
      </c>
      <c r="D206" s="4">
        <f>Taxepunkter!D213</f>
        <v>0</v>
      </c>
      <c r="E206" s="4">
        <f>Taxepunkter!E213</f>
        <v>0</v>
      </c>
      <c r="F206" s="4">
        <f>Taxepunkter!F213</f>
        <v>0</v>
      </c>
      <c r="G206" s="4" t="str">
        <f>Taxepunkter!G213</f>
        <v/>
      </c>
      <c r="H206" s="4" t="str">
        <f>Taxepunkter!H213</f>
        <v/>
      </c>
      <c r="I206" s="4" t="str">
        <f>Taxepunkter!I213</f>
        <v/>
      </c>
      <c r="J206" s="4" t="str">
        <f>Taxepunkter!J213</f>
        <v/>
      </c>
      <c r="K206" s="4">
        <f>Taxepunkter!K213</f>
        <v>0</v>
      </c>
      <c r="L206" s="6">
        <f>Taxepunkter!L213</f>
        <v>0</v>
      </c>
    </row>
    <row r="207" spans="1:12" x14ac:dyDescent="0.25">
      <c r="A207" s="5" t="str">
        <f>Taxepunkter!A214</f>
        <v>§5.1.1 Ordinarie tömning av fettavskiljare</v>
      </c>
      <c r="B207" s="4">
        <f>Taxepunkter!B214</f>
        <v>0</v>
      </c>
      <c r="C207" s="4">
        <f>Taxepunkter!C214</f>
        <v>0</v>
      </c>
      <c r="D207" s="4">
        <f>Taxepunkter!D214</f>
        <v>0</v>
      </c>
      <c r="E207" s="4">
        <f>Taxepunkter!E214</f>
        <v>0</v>
      </c>
      <c r="F207" s="4">
        <f>Taxepunkter!F214</f>
        <v>0</v>
      </c>
      <c r="G207" s="4" t="str">
        <f>Taxepunkter!G214</f>
        <v/>
      </c>
      <c r="H207" s="4" t="str">
        <f>Taxepunkter!H214</f>
        <v/>
      </c>
      <c r="I207" s="4" t="str">
        <f>Taxepunkter!I214</f>
        <v/>
      </c>
      <c r="J207" s="4" t="str">
        <f>Taxepunkter!J214</f>
        <v/>
      </c>
      <c r="K207" s="4">
        <f>Taxepunkter!K214</f>
        <v>0</v>
      </c>
      <c r="L207" s="6">
        <f>Taxepunkter!L214</f>
        <v>0</v>
      </c>
    </row>
    <row r="208" spans="1:12" x14ac:dyDescent="0.25">
      <c r="A208" s="5" t="str">
        <f>Taxepunkter!A215</f>
        <v>§5.1.1</v>
      </c>
      <c r="B208" s="4" t="str">
        <f>Taxepunkter!B215</f>
        <v>Ordinarie tömning av fettavskiljare</v>
      </c>
      <c r="C208" s="4" t="str">
        <f>Taxepunkter!C215</f>
        <v>Upp till 3 m3</v>
      </c>
      <c r="D208" s="4" t="str">
        <f>Taxepunkter!D215</f>
        <v>Tömning, transport och behandling av fettavskiljare/tank enligt anmält tömningsintervall</v>
      </c>
      <c r="E208" s="4" t="str">
        <f>Taxepunkter!E215</f>
        <v>kr/tillfälle</v>
      </c>
      <c r="F208" s="4">
        <f>Taxepunkter!F215</f>
        <v>0</v>
      </c>
      <c r="G208" s="4" t="str">
        <f>Taxepunkter!G215</f>
        <v/>
      </c>
      <c r="H208" s="4" t="str">
        <f>Taxepunkter!H215</f>
        <v/>
      </c>
      <c r="I208" s="4" t="str">
        <f>Taxepunkter!I215</f>
        <v/>
      </c>
      <c r="J208" s="4" t="str">
        <f>Taxepunkter!J215</f>
        <v/>
      </c>
      <c r="K208" s="4">
        <f>Taxepunkter!K215</f>
        <v>0</v>
      </c>
      <c r="L208" s="6">
        <f>Taxepunkter!L215</f>
        <v>0</v>
      </c>
    </row>
    <row r="209" spans="1:12" x14ac:dyDescent="0.25">
      <c r="A209" s="5" t="str">
        <f>Taxepunkter!A216</f>
        <v>§5.1.1</v>
      </c>
      <c r="B209" s="4" t="str">
        <f>Taxepunkter!B216</f>
        <v>Ordinarie tömning av fettavskiljare</v>
      </c>
      <c r="C209" s="4" t="str">
        <f>Taxepunkter!C216</f>
        <v>Mellan 3 m3 och 6 m3</v>
      </c>
      <c r="D209" s="4" t="str">
        <f>Taxepunkter!D216</f>
        <v>Tömning, transport och behandling av fettavskiljare/tank enligt anmält tömningsintervall</v>
      </c>
      <c r="E209" s="4" t="str">
        <f>Taxepunkter!E216</f>
        <v>kr/tillfälle</v>
      </c>
      <c r="F209" s="4">
        <f>Taxepunkter!F216</f>
        <v>0</v>
      </c>
      <c r="G209" s="4" t="str">
        <f>Taxepunkter!G216</f>
        <v/>
      </c>
      <c r="H209" s="4" t="str">
        <f>Taxepunkter!H216</f>
        <v/>
      </c>
      <c r="I209" s="4" t="str">
        <f>Taxepunkter!I216</f>
        <v/>
      </c>
      <c r="J209" s="4" t="str">
        <f>Taxepunkter!J216</f>
        <v/>
      </c>
      <c r="K209" s="4">
        <f>Taxepunkter!K216</f>
        <v>0</v>
      </c>
      <c r="L209" s="6">
        <f>Taxepunkter!L216</f>
        <v>0</v>
      </c>
    </row>
    <row r="210" spans="1:12" x14ac:dyDescent="0.25">
      <c r="A210" s="5" t="str">
        <f>Taxepunkter!A217</f>
        <v>§5.1.1</v>
      </c>
      <c r="B210" s="4" t="str">
        <f>Taxepunkter!B217</f>
        <v>Ordinarie tömning av fettavskiljare</v>
      </c>
      <c r="C210" s="4" t="str">
        <f>Taxepunkter!C217</f>
        <v>Över 6 m3</v>
      </c>
      <c r="D210" s="4" t="str">
        <f>Taxepunkter!D217</f>
        <v>Tömning, transport och behandling av fettavskiljare/tank enligt anmält tömningsintervall</v>
      </c>
      <c r="E210" s="4" t="str">
        <f>Taxepunkter!E217</f>
        <v>kr/tillfälle</v>
      </c>
      <c r="F210" s="4">
        <f>Taxepunkter!F217</f>
        <v>0</v>
      </c>
      <c r="G210" s="4" t="str">
        <f>Taxepunkter!G217</f>
        <v/>
      </c>
      <c r="H210" s="4" t="str">
        <f>Taxepunkter!H217</f>
        <v/>
      </c>
      <c r="I210" s="4" t="str">
        <f>Taxepunkter!I217</f>
        <v/>
      </c>
      <c r="J210" s="4" t="str">
        <f>Taxepunkter!J217</f>
        <v/>
      </c>
      <c r="K210" s="4">
        <f>Taxepunkter!K217</f>
        <v>0</v>
      </c>
      <c r="L210" s="6">
        <f>Taxepunkter!L217</f>
        <v>0</v>
      </c>
    </row>
    <row r="211" spans="1:12" x14ac:dyDescent="0.25">
      <c r="A211" s="5" t="str">
        <f>Taxepunkter!A218</f>
        <v>§5.1.1</v>
      </c>
      <c r="B211" s="4" t="str">
        <f>Taxepunkter!B218</f>
        <v>Ordinarie tömning av fettavskiljare</v>
      </c>
      <c r="C211" s="4" t="str">
        <f>Taxepunkter!C218</f>
        <v>Upp till 3 m3</v>
      </c>
      <c r="D211" s="4" t="str">
        <f>Taxepunkter!D218</f>
        <v>Tillägg för transport och behandlingskostnad</v>
      </c>
      <c r="E211" s="4" t="str">
        <f>Taxepunkter!E218</f>
        <v>kr/tillfälle</v>
      </c>
      <c r="F211" s="4">
        <f>Taxepunkter!F218</f>
        <v>0</v>
      </c>
      <c r="G211" s="4" t="str">
        <f>Taxepunkter!G218</f>
        <v/>
      </c>
      <c r="H211" s="4" t="str">
        <f>Taxepunkter!H218</f>
        <v/>
      </c>
      <c r="I211" s="4" t="str">
        <f>Taxepunkter!I218</f>
        <v/>
      </c>
      <c r="J211" s="4" t="str">
        <f>Taxepunkter!J218</f>
        <v/>
      </c>
      <c r="K211" s="4">
        <f>Taxepunkter!K218</f>
        <v>0</v>
      </c>
      <c r="L211" s="6">
        <f>Taxepunkter!L218</f>
        <v>0</v>
      </c>
    </row>
    <row r="212" spans="1:12" x14ac:dyDescent="0.25">
      <c r="A212" s="5" t="str">
        <f>Taxepunkter!A219</f>
        <v>§5.1.1</v>
      </c>
      <c r="B212" s="4" t="str">
        <f>Taxepunkter!B219</f>
        <v>Ordinarie tömning av fettavskiljare</v>
      </c>
      <c r="C212" s="4" t="str">
        <f>Taxepunkter!C219</f>
        <v>Mellan 3 m3 och 6 m3</v>
      </c>
      <c r="D212" s="4" t="str">
        <f>Taxepunkter!D219</f>
        <v>Tillägg för transport och behandlingskostnad</v>
      </c>
      <c r="E212" s="4" t="str">
        <f>Taxepunkter!E219</f>
        <v>kr/tillfälle</v>
      </c>
      <c r="F212" s="4">
        <f>Taxepunkter!F219</f>
        <v>0</v>
      </c>
      <c r="G212" s="4" t="str">
        <f>Taxepunkter!G219</f>
        <v/>
      </c>
      <c r="H212" s="4" t="str">
        <f>Taxepunkter!H219</f>
        <v/>
      </c>
      <c r="I212" s="4" t="str">
        <f>Taxepunkter!I219</f>
        <v/>
      </c>
      <c r="J212" s="4" t="str">
        <f>Taxepunkter!J219</f>
        <v/>
      </c>
      <c r="K212" s="4">
        <f>Taxepunkter!K219</f>
        <v>0</v>
      </c>
      <c r="L212" s="6">
        <f>Taxepunkter!L219</f>
        <v>0</v>
      </c>
    </row>
    <row r="213" spans="1:12" x14ac:dyDescent="0.25">
      <c r="A213" s="5" t="str">
        <f>Taxepunkter!A220</f>
        <v>§5.1.1</v>
      </c>
      <c r="B213" s="4" t="str">
        <f>Taxepunkter!B220</f>
        <v>Ordinarie tömning av fettavskiljare</v>
      </c>
      <c r="C213" s="4" t="str">
        <f>Taxepunkter!C220</f>
        <v>Över 6 m3</v>
      </c>
      <c r="D213" s="4" t="str">
        <f>Taxepunkter!D220</f>
        <v>Tillägg för transport och behandlingskostnad</v>
      </c>
      <c r="E213" s="4" t="str">
        <f>Taxepunkter!E220</f>
        <v>kr/tillfälle</v>
      </c>
      <c r="F213" s="4">
        <f>Taxepunkter!F220</f>
        <v>0</v>
      </c>
      <c r="G213" s="4" t="str">
        <f>Taxepunkter!G220</f>
        <v/>
      </c>
      <c r="H213" s="4" t="str">
        <f>Taxepunkter!H220</f>
        <v/>
      </c>
      <c r="I213" s="4" t="str">
        <f>Taxepunkter!I220</f>
        <v/>
      </c>
      <c r="J213" s="4" t="str">
        <f>Taxepunkter!J220</f>
        <v/>
      </c>
      <c r="K213" s="4">
        <f>Taxepunkter!K220</f>
        <v>0</v>
      </c>
      <c r="L213" s="6">
        <f>Taxepunkter!L220</f>
        <v>0</v>
      </c>
    </row>
    <row r="214" spans="1:12" x14ac:dyDescent="0.25">
      <c r="A214" s="5" t="str">
        <f>Taxepunkter!A221</f>
        <v>§5.2 Tilläggstjänster fettavskiljare</v>
      </c>
      <c r="B214" s="4">
        <f>Taxepunkter!B221</f>
        <v>0</v>
      </c>
      <c r="C214" s="4">
        <f>Taxepunkter!C221</f>
        <v>0</v>
      </c>
      <c r="D214" s="4">
        <f>Taxepunkter!D221</f>
        <v>0</v>
      </c>
      <c r="E214" s="4">
        <f>Taxepunkter!E221</f>
        <v>0</v>
      </c>
      <c r="F214" s="4">
        <f>Taxepunkter!F221</f>
        <v>0</v>
      </c>
      <c r="G214" s="4" t="str">
        <f>Taxepunkter!G221</f>
        <v/>
      </c>
      <c r="H214" s="4" t="str">
        <f>Taxepunkter!H221</f>
        <v/>
      </c>
      <c r="I214" s="4" t="str">
        <f>Taxepunkter!I221</f>
        <v/>
      </c>
      <c r="J214" s="4" t="str">
        <f>Taxepunkter!J221</f>
        <v/>
      </c>
      <c r="K214" s="4">
        <f>Taxepunkter!K221</f>
        <v>0</v>
      </c>
      <c r="L214" s="6">
        <f>Taxepunkter!L221</f>
        <v>0</v>
      </c>
    </row>
    <row r="215" spans="1:12" x14ac:dyDescent="0.25">
      <c r="A215" s="5" t="str">
        <f>Taxepunkter!A222</f>
        <v>§5.2.1 Tilläggstjänster fettavskiljare</v>
      </c>
      <c r="B215" s="4">
        <f>Taxepunkter!B222</f>
        <v>0</v>
      </c>
      <c r="C215" s="4">
        <f>Taxepunkter!C222</f>
        <v>0</v>
      </c>
      <c r="D215" s="4">
        <f>Taxepunkter!D222</f>
        <v>0</v>
      </c>
      <c r="E215" s="4">
        <f>Taxepunkter!E222</f>
        <v>0</v>
      </c>
      <c r="F215" s="4">
        <f>Taxepunkter!F222</f>
        <v>0</v>
      </c>
      <c r="G215" s="4" t="str">
        <f>Taxepunkter!G222</f>
        <v/>
      </c>
      <c r="H215" s="4" t="str">
        <f>Taxepunkter!H222</f>
        <v/>
      </c>
      <c r="I215" s="4" t="str">
        <f>Taxepunkter!I222</f>
        <v/>
      </c>
      <c r="J215" s="4" t="str">
        <f>Taxepunkter!J222</f>
        <v/>
      </c>
      <c r="K215" s="4">
        <f>Taxepunkter!K222</f>
        <v>0</v>
      </c>
      <c r="L215" s="6">
        <f>Taxepunkter!L222</f>
        <v>0</v>
      </c>
    </row>
    <row r="216" spans="1:12" x14ac:dyDescent="0.25">
      <c r="A216" s="5" t="str">
        <f>Taxepunkter!A223</f>
        <v>§5.2.1</v>
      </c>
      <c r="B216" s="4" t="str">
        <f>Taxepunkter!B223</f>
        <v>Tilläggstjänster fettavskiljare</v>
      </c>
      <c r="C216" s="4" t="str">
        <f>Taxepunkter!C223</f>
        <v>Dragning av extra slang vid 5-25 m</v>
      </c>
      <c r="D216" s="4">
        <f>Taxepunkter!D223</f>
        <v>0</v>
      </c>
      <c r="E216" s="4" t="str">
        <f>Taxepunkter!E223</f>
        <v>kr/tillfälle</v>
      </c>
      <c r="F216" s="4">
        <f>Taxepunkter!F223</f>
        <v>0</v>
      </c>
      <c r="G216" s="4" t="str">
        <f>Taxepunkter!G223</f>
        <v/>
      </c>
      <c r="H216" s="4" t="str">
        <f>Taxepunkter!H223</f>
        <v/>
      </c>
      <c r="I216" s="4" t="str">
        <f>Taxepunkter!I223</f>
        <v/>
      </c>
      <c r="J216" s="4" t="str">
        <f>Taxepunkter!J223</f>
        <v/>
      </c>
      <c r="K216" s="4">
        <f>Taxepunkter!K223</f>
        <v>0</v>
      </c>
      <c r="L216" s="6">
        <f>Taxepunkter!L223</f>
        <v>0</v>
      </c>
    </row>
    <row r="217" spans="1:12" x14ac:dyDescent="0.25">
      <c r="A217" s="5" t="str">
        <f>Taxepunkter!A224</f>
        <v>§5.2.1</v>
      </c>
      <c r="B217" s="4" t="str">
        <f>Taxepunkter!B224</f>
        <v>Tilläggstjänster fettavskiljare</v>
      </c>
      <c r="C217" s="4" t="str">
        <f>Taxepunkter!C224</f>
        <v>Dragning av extra slang vid 25-35 m</v>
      </c>
      <c r="D217" s="4">
        <f>Taxepunkter!D224</f>
        <v>0</v>
      </c>
      <c r="E217" s="4" t="str">
        <f>Taxepunkter!E224</f>
        <v>kr/tillfälle</v>
      </c>
      <c r="F217" s="4">
        <f>Taxepunkter!F224</f>
        <v>0</v>
      </c>
      <c r="G217" s="4" t="str">
        <f>Taxepunkter!G224</f>
        <v/>
      </c>
      <c r="H217" s="4" t="str">
        <f>Taxepunkter!H224</f>
        <v/>
      </c>
      <c r="I217" s="4" t="str">
        <f>Taxepunkter!I224</f>
        <v/>
      </c>
      <c r="J217" s="4" t="str">
        <f>Taxepunkter!J224</f>
        <v/>
      </c>
      <c r="K217" s="4">
        <f>Taxepunkter!K224</f>
        <v>0</v>
      </c>
      <c r="L217" s="6">
        <f>Taxepunkter!L224</f>
        <v>0</v>
      </c>
    </row>
    <row r="218" spans="1:12" x14ac:dyDescent="0.25">
      <c r="A218" s="5" t="str">
        <f>Taxepunkter!A225</f>
        <v>§5.2.1</v>
      </c>
      <c r="B218" s="4" t="str">
        <f>Taxepunkter!B225</f>
        <v>Tilläggstjänster fettavskiljare</v>
      </c>
      <c r="C218" s="4" t="str">
        <f>Taxepunkter!C225</f>
        <v>Dragning av extra slang vid 36-45 m</v>
      </c>
      <c r="D218" s="4">
        <f>Taxepunkter!D225</f>
        <v>0</v>
      </c>
      <c r="E218" s="4" t="str">
        <f>Taxepunkter!E225</f>
        <v>kr/tillfälle</v>
      </c>
      <c r="F218" s="4">
        <f>Taxepunkter!F225</f>
        <v>0</v>
      </c>
      <c r="G218" s="4" t="str">
        <f>Taxepunkter!G225</f>
        <v/>
      </c>
      <c r="H218" s="4" t="str">
        <f>Taxepunkter!H225</f>
        <v/>
      </c>
      <c r="I218" s="4" t="str">
        <f>Taxepunkter!I225</f>
        <v/>
      </c>
      <c r="J218" s="4" t="str">
        <f>Taxepunkter!J225</f>
        <v/>
      </c>
      <c r="K218" s="4">
        <f>Taxepunkter!K225</f>
        <v>0</v>
      </c>
      <c r="L218" s="6">
        <f>Taxepunkter!L225</f>
        <v>0</v>
      </c>
    </row>
    <row r="219" spans="1:12" x14ac:dyDescent="0.25">
      <c r="A219" s="5" t="str">
        <f>Taxepunkter!A226</f>
        <v>§5.2.1</v>
      </c>
      <c r="B219" s="4" t="str">
        <f>Taxepunkter!B226</f>
        <v>Tilläggstjänster fettavskiljare</v>
      </c>
      <c r="C219" s="4" t="str">
        <f>Taxepunkter!C226</f>
        <v>Dragning av extra slang vid 46-55 m</v>
      </c>
      <c r="D219" s="4">
        <f>Taxepunkter!D226</f>
        <v>0</v>
      </c>
      <c r="E219" s="4" t="str">
        <f>Taxepunkter!E226</f>
        <v>kr/tillfälle</v>
      </c>
      <c r="F219" s="4">
        <f>Taxepunkter!F226</f>
        <v>0</v>
      </c>
      <c r="G219" s="4" t="str">
        <f>Taxepunkter!G226</f>
        <v/>
      </c>
      <c r="H219" s="4" t="str">
        <f>Taxepunkter!H226</f>
        <v/>
      </c>
      <c r="I219" s="4" t="str">
        <f>Taxepunkter!I226</f>
        <v/>
      </c>
      <c r="J219" s="4" t="str">
        <f>Taxepunkter!J226</f>
        <v/>
      </c>
      <c r="K219" s="4">
        <f>Taxepunkter!K226</f>
        <v>0</v>
      </c>
      <c r="L219" s="6">
        <f>Taxepunkter!L226</f>
        <v>0</v>
      </c>
    </row>
    <row r="220" spans="1:12" x14ac:dyDescent="0.25">
      <c r="A220" s="5" t="str">
        <f>Taxepunkter!A227</f>
        <v>§5.2.1</v>
      </c>
      <c r="B220" s="4" t="str">
        <f>Taxepunkter!B227</f>
        <v>Tilläggstjänster fettavskiljare</v>
      </c>
      <c r="C220" s="4" t="str">
        <f>Taxepunkter!C227</f>
        <v>Hantering av brunnslock som väger 15-25 kg</v>
      </c>
      <c r="D220" s="4">
        <f>Taxepunkter!D227</f>
        <v>0</v>
      </c>
      <c r="E220" s="4" t="str">
        <f>Taxepunkter!E227</f>
        <v>kr/tillfälle</v>
      </c>
      <c r="F220" s="4">
        <f>Taxepunkter!F227</f>
        <v>0</v>
      </c>
      <c r="G220" s="4" t="str">
        <f>Taxepunkter!G227</f>
        <v/>
      </c>
      <c r="H220" s="4" t="str">
        <f>Taxepunkter!H227</f>
        <v/>
      </c>
      <c r="I220" s="4" t="str">
        <f>Taxepunkter!I227</f>
        <v/>
      </c>
      <c r="J220" s="4" t="str">
        <f>Taxepunkter!J227</f>
        <v/>
      </c>
      <c r="K220" s="4">
        <f>Taxepunkter!K227</f>
        <v>0</v>
      </c>
      <c r="L220" s="6">
        <f>Taxepunkter!L227</f>
        <v>0</v>
      </c>
    </row>
    <row r="221" spans="1:12" x14ac:dyDescent="0.25">
      <c r="A221" s="5" t="str">
        <f>Taxepunkter!A228</f>
        <v>§5.2.1</v>
      </c>
      <c r="B221" s="4" t="str">
        <f>Taxepunkter!B228</f>
        <v>Tilläggstjänster fettavskiljare</v>
      </c>
      <c r="C221" s="4" t="str">
        <f>Taxepunkter!C228</f>
        <v>Krav på information om tömningstid</v>
      </c>
      <c r="D221" s="4">
        <f>Taxepunkter!D228</f>
        <v>0</v>
      </c>
      <c r="E221" s="4" t="str">
        <f>Taxepunkter!E228</f>
        <v>kr/tillfälle</v>
      </c>
      <c r="F221" s="4">
        <f>Taxepunkter!F228</f>
        <v>0</v>
      </c>
      <c r="G221" s="4" t="str">
        <f>Taxepunkter!G228</f>
        <v/>
      </c>
      <c r="H221" s="4" t="str">
        <f>Taxepunkter!H228</f>
        <v/>
      </c>
      <c r="I221" s="4" t="str">
        <f>Taxepunkter!I228</f>
        <v/>
      </c>
      <c r="J221" s="4" t="str">
        <f>Taxepunkter!J228</f>
        <v/>
      </c>
      <c r="K221" s="4">
        <f>Taxepunkter!K228</f>
        <v>0</v>
      </c>
      <c r="L221" s="6">
        <f>Taxepunkter!L228</f>
        <v>0</v>
      </c>
    </row>
    <row r="222" spans="1:12" x14ac:dyDescent="0.25">
      <c r="A222" s="5" t="str">
        <f>Taxepunkter!A229</f>
        <v>§5.2.1</v>
      </c>
      <c r="B222" s="4" t="str">
        <f>Taxepunkter!B229</f>
        <v>Tilläggstjänster fettavskiljare</v>
      </c>
      <c r="C222" s="4" t="str">
        <f>Taxepunkter!C229</f>
        <v>Krav på närvaro vid specifiserad tömningstid</v>
      </c>
      <c r="D222" s="4">
        <f>Taxepunkter!D229</f>
        <v>0</v>
      </c>
      <c r="E222" s="4" t="str">
        <f>Taxepunkter!E229</f>
        <v>kr/tillfälle</v>
      </c>
      <c r="F222" s="4">
        <f>Taxepunkter!F229</f>
        <v>0</v>
      </c>
      <c r="G222" s="4" t="str">
        <f>Taxepunkter!G229</f>
        <v/>
      </c>
      <c r="H222" s="4" t="str">
        <f>Taxepunkter!H229</f>
        <v/>
      </c>
      <c r="I222" s="4" t="str">
        <f>Taxepunkter!I229</f>
        <v/>
      </c>
      <c r="J222" s="4" t="str">
        <f>Taxepunkter!J229</f>
        <v/>
      </c>
      <c r="K222" s="4">
        <f>Taxepunkter!K229</f>
        <v>0</v>
      </c>
      <c r="L222" s="6">
        <f>Taxepunkter!L229</f>
        <v>0</v>
      </c>
    </row>
    <row r="223" spans="1:12" x14ac:dyDescent="0.25">
      <c r="A223" s="5" t="str">
        <f>Taxepunkter!A230</f>
        <v>§5.2.1</v>
      </c>
      <c r="B223" s="4" t="str">
        <f>Taxepunkter!B230</f>
        <v>Tilläggstjänster fettavskiljare</v>
      </c>
      <c r="C223" s="4" t="str">
        <f>Taxepunkter!C230</f>
        <v>Hantering av kod för kodlås vid tömning</v>
      </c>
      <c r="D223" s="4">
        <f>Taxepunkter!D230</f>
        <v>0</v>
      </c>
      <c r="E223" s="4" t="str">
        <f>Taxepunkter!E230</f>
        <v>kr/tillfälle</v>
      </c>
      <c r="F223" s="4">
        <f>Taxepunkter!F230</f>
        <v>0</v>
      </c>
      <c r="G223" s="4" t="str">
        <f>Taxepunkter!G230</f>
        <v/>
      </c>
      <c r="H223" s="4" t="str">
        <f>Taxepunkter!H230</f>
        <v/>
      </c>
      <c r="I223" s="4" t="str">
        <f>Taxepunkter!I230</f>
        <v/>
      </c>
      <c r="J223" s="4" t="str">
        <f>Taxepunkter!J230</f>
        <v/>
      </c>
      <c r="K223" s="4">
        <f>Taxepunkter!K230</f>
        <v>0</v>
      </c>
      <c r="L223" s="6">
        <f>Taxepunkter!L230</f>
        <v>0</v>
      </c>
    </row>
    <row r="224" spans="1:12" x14ac:dyDescent="0.25">
      <c r="A224" s="5" t="str">
        <f>Taxepunkter!A231</f>
        <v>§5.2.1</v>
      </c>
      <c r="B224" s="4" t="str">
        <f>Taxepunkter!B231</f>
        <v>Tilläggstjänster fettavskiljare</v>
      </c>
      <c r="C224" s="4" t="str">
        <f>Taxepunkter!C231</f>
        <v>Hetvattentvätt med spolbil, timersättning</v>
      </c>
      <c r="D224" s="4">
        <f>Taxepunkter!D231</f>
        <v>0</v>
      </c>
      <c r="E224" s="4" t="str">
        <f>Taxepunkter!E231</f>
        <v>kr/tillfälle</v>
      </c>
      <c r="F224" s="4">
        <f>Taxepunkter!F231</f>
        <v>0</v>
      </c>
      <c r="G224" s="4" t="str">
        <f>Taxepunkter!G231</f>
        <v/>
      </c>
      <c r="H224" s="4" t="str">
        <f>Taxepunkter!H231</f>
        <v/>
      </c>
      <c r="I224" s="4" t="str">
        <f>Taxepunkter!I231</f>
        <v/>
      </c>
      <c r="J224" s="4" t="str">
        <f>Taxepunkter!J231</f>
        <v/>
      </c>
      <c r="K224" s="4">
        <f>Taxepunkter!K231</f>
        <v>0</v>
      </c>
      <c r="L224" s="6">
        <f>Taxepunkter!L231</f>
        <v>0</v>
      </c>
    </row>
    <row r="225" spans="1:12" x14ac:dyDescent="0.25">
      <c r="A225" s="5" t="str">
        <f>Taxepunkter!A232</f>
        <v>§5.2.1</v>
      </c>
      <c r="B225" s="4" t="str">
        <f>Taxepunkter!B232</f>
        <v>Tilläggstjänster fettavskiljare</v>
      </c>
      <c r="C225" s="4" t="str">
        <f>Taxepunkter!C232</f>
        <v>Silikontätning per lock</v>
      </c>
      <c r="D225" s="4">
        <f>Taxepunkter!D232</f>
        <v>0</v>
      </c>
      <c r="E225" s="4" t="str">
        <f>Taxepunkter!E232</f>
        <v>kr/tillfälle</v>
      </c>
      <c r="F225" s="4">
        <f>Taxepunkter!F232</f>
        <v>0</v>
      </c>
      <c r="G225" s="4" t="str">
        <f>Taxepunkter!G232</f>
        <v/>
      </c>
      <c r="H225" s="4" t="str">
        <f>Taxepunkter!H232</f>
        <v/>
      </c>
      <c r="I225" s="4" t="str">
        <f>Taxepunkter!I232</f>
        <v/>
      </c>
      <c r="J225" s="4" t="str">
        <f>Taxepunkter!J232</f>
        <v/>
      </c>
      <c r="K225" s="4">
        <f>Taxepunkter!K232</f>
        <v>0</v>
      </c>
      <c r="L225" s="6">
        <f>Taxepunkter!L232</f>
        <v>0</v>
      </c>
    </row>
    <row r="226" spans="1:12" x14ac:dyDescent="0.25">
      <c r="A226" s="5" t="str">
        <f>Taxepunkter!A233</f>
        <v>§5.2.1</v>
      </c>
      <c r="B226" s="4" t="str">
        <f>Taxepunkter!B233</f>
        <v>Tilläggstjänster fettavskiljare</v>
      </c>
      <c r="C226" s="4" t="str">
        <f>Taxepunkter!C233</f>
        <v>Avgift om tömning ej kan utföras pga hinder, bristande transportväg, betonglock, lock tyngre än 25 kg eller vägran</v>
      </c>
      <c r="D226" s="4">
        <f>Taxepunkter!D233</f>
        <v>0</v>
      </c>
      <c r="E226" s="4" t="str">
        <f>Taxepunkter!E233</f>
        <v>kr/tillfälle</v>
      </c>
      <c r="F226" s="4">
        <f>Taxepunkter!F233</f>
        <v>0</v>
      </c>
      <c r="G226" s="4" t="str">
        <f>Taxepunkter!G233</f>
        <v/>
      </c>
      <c r="H226" s="4" t="str">
        <f>Taxepunkter!H233</f>
        <v/>
      </c>
      <c r="I226" s="4" t="str">
        <f>Taxepunkter!I233</f>
        <v/>
      </c>
      <c r="J226" s="4" t="str">
        <f>Taxepunkter!J233</f>
        <v/>
      </c>
      <c r="K226" s="4">
        <f>Taxepunkter!K233</f>
        <v>0</v>
      </c>
      <c r="L226" s="6">
        <f>Taxepunkter!L233</f>
        <v>0</v>
      </c>
    </row>
    <row r="227" spans="1:12" x14ac:dyDescent="0.25">
      <c r="A227" s="5" t="str">
        <f>Taxepunkter!A234</f>
        <v>§5.2.1</v>
      </c>
      <c r="B227" s="4" t="str">
        <f>Taxepunkter!B234</f>
        <v>Tilläggstjänster fettavskiljare</v>
      </c>
      <c r="C227" s="4" t="str">
        <f>Taxepunkter!C234</f>
        <v>Tömning av extra tank i samband med ordinarie/budad tömning upp till 5 m3</v>
      </c>
      <c r="D227" s="4">
        <f>Taxepunkter!D234</f>
        <v>0</v>
      </c>
      <c r="E227" s="4" t="str">
        <f>Taxepunkter!E234</f>
        <v>kr/tillfälle</v>
      </c>
      <c r="F227" s="4">
        <f>Taxepunkter!F234</f>
        <v>0</v>
      </c>
      <c r="G227" s="4" t="str">
        <f>Taxepunkter!G234</f>
        <v/>
      </c>
      <c r="H227" s="4" t="str">
        <f>Taxepunkter!H234</f>
        <v/>
      </c>
      <c r="I227" s="4" t="str">
        <f>Taxepunkter!I234</f>
        <v/>
      </c>
      <c r="J227" s="4" t="str">
        <f>Taxepunkter!J234</f>
        <v/>
      </c>
      <c r="K227" s="4">
        <f>Taxepunkter!K234</f>
        <v>0</v>
      </c>
      <c r="L227" s="6">
        <f>Taxepunkter!L234</f>
        <v>0</v>
      </c>
    </row>
    <row r="228" spans="1:12" x14ac:dyDescent="0.25">
      <c r="A228" s="5" t="str">
        <f>Taxepunkter!A235</f>
        <v>§5.3 Övriga avgifter och tillägg fettavskiljare</v>
      </c>
      <c r="B228" s="4">
        <f>Taxepunkter!B235</f>
        <v>0</v>
      </c>
      <c r="C228" s="4">
        <f>Taxepunkter!C235</f>
        <v>0</v>
      </c>
      <c r="D228" s="4">
        <f>Taxepunkter!D235</f>
        <v>0</v>
      </c>
      <c r="E228" s="4">
        <f>Taxepunkter!E235</f>
        <v>0</v>
      </c>
      <c r="F228" s="4">
        <f>Taxepunkter!F235</f>
        <v>0</v>
      </c>
      <c r="G228" s="4" t="str">
        <f>Taxepunkter!G235</f>
        <v/>
      </c>
      <c r="H228" s="4" t="str">
        <f>Taxepunkter!H235</f>
        <v/>
      </c>
      <c r="I228" s="4" t="str">
        <f>Taxepunkter!I235</f>
        <v/>
      </c>
      <c r="J228" s="4" t="str">
        <f>Taxepunkter!J235</f>
        <v/>
      </c>
      <c r="K228" s="4">
        <f>Taxepunkter!K235</f>
        <v>0</v>
      </c>
      <c r="L228" s="6">
        <f>Taxepunkter!L235</f>
        <v>0</v>
      </c>
    </row>
    <row r="229" spans="1:12" x14ac:dyDescent="0.25">
      <c r="A229" s="5" t="str">
        <f>Taxepunkter!A236</f>
        <v>§5.3.1 Övriga avgifter och tillägg fettavskiljare</v>
      </c>
      <c r="B229" s="4">
        <f>Taxepunkter!B236</f>
        <v>0</v>
      </c>
      <c r="C229" s="4">
        <f>Taxepunkter!C236</f>
        <v>0</v>
      </c>
      <c r="D229" s="4">
        <f>Taxepunkter!D236</f>
        <v>0</v>
      </c>
      <c r="E229" s="4">
        <f>Taxepunkter!E236</f>
        <v>0</v>
      </c>
      <c r="F229" s="4">
        <f>Taxepunkter!F236</f>
        <v>0</v>
      </c>
      <c r="G229" s="4" t="str">
        <f>Taxepunkter!G236</f>
        <v/>
      </c>
      <c r="H229" s="4" t="str">
        <f>Taxepunkter!H236</f>
        <v/>
      </c>
      <c r="I229" s="4" t="str">
        <f>Taxepunkter!I236</f>
        <v/>
      </c>
      <c r="J229" s="4" t="str">
        <f>Taxepunkter!J236</f>
        <v/>
      </c>
      <c r="K229" s="4">
        <f>Taxepunkter!K236</f>
        <v>0</v>
      </c>
      <c r="L229" s="6">
        <f>Taxepunkter!L236</f>
        <v>0</v>
      </c>
    </row>
    <row r="230" spans="1:12" x14ac:dyDescent="0.25">
      <c r="A230" s="5" t="str">
        <f>Taxepunkter!A237</f>
        <v>§5.3.1</v>
      </c>
      <c r="B230" s="4" t="str">
        <f>Taxepunkter!B237</f>
        <v>Övriga avgifter och tillägg fettavskiljare</v>
      </c>
      <c r="C230" s="4" t="str">
        <f>Taxepunkter!C237</f>
        <v>Budning inom ordinarie tömningsperiod (1 maj- 31 oktober)</v>
      </c>
      <c r="D230" s="4" t="str">
        <f>Taxepunkter!D237</f>
        <v>Inom 48 timmar</v>
      </c>
      <c r="E230" s="4" t="str">
        <f>Taxepunkter!E237</f>
        <v>kr/tillfälle</v>
      </c>
      <c r="F230" s="4">
        <f>Taxepunkter!F237</f>
        <v>0</v>
      </c>
      <c r="G230" s="4" t="str">
        <f>Taxepunkter!G237</f>
        <v/>
      </c>
      <c r="H230" s="4" t="str">
        <f>Taxepunkter!H237</f>
        <v/>
      </c>
      <c r="I230" s="4" t="str">
        <f>Taxepunkter!I237</f>
        <v/>
      </c>
      <c r="J230" s="4" t="str">
        <f>Taxepunkter!J237</f>
        <v/>
      </c>
      <c r="K230" s="4">
        <f>Taxepunkter!K237</f>
        <v>0</v>
      </c>
      <c r="L230" s="6">
        <f>Taxepunkter!L237</f>
        <v>0</v>
      </c>
    </row>
    <row r="231" spans="1:12" x14ac:dyDescent="0.25">
      <c r="A231" s="5" t="str">
        <f>Taxepunkter!A238</f>
        <v>§5.3.1</v>
      </c>
      <c r="B231" s="4" t="str">
        <f>Taxepunkter!B238</f>
        <v>Övriga avgifter och tillägg fettavskiljare</v>
      </c>
      <c r="C231" s="4" t="str">
        <f>Taxepunkter!C238</f>
        <v>Budning utanför ordinarie tömningsperiod</v>
      </c>
      <c r="D231" s="4" t="str">
        <f>Taxepunkter!D238</f>
        <v>Inom 48 timmar</v>
      </c>
      <c r="E231" s="4" t="str">
        <f>Taxepunkter!E238</f>
        <v>kr/tillfälle</v>
      </c>
      <c r="F231" s="4">
        <f>Taxepunkter!F238</f>
        <v>0</v>
      </c>
      <c r="G231" s="4" t="str">
        <f>Taxepunkter!G238</f>
        <v/>
      </c>
      <c r="H231" s="4" t="str">
        <f>Taxepunkter!H238</f>
        <v/>
      </c>
      <c r="I231" s="4" t="str">
        <f>Taxepunkter!I238</f>
        <v/>
      </c>
      <c r="J231" s="4" t="str">
        <f>Taxepunkter!J238</f>
        <v/>
      </c>
      <c r="K231" s="4">
        <f>Taxepunkter!K238</f>
        <v>0</v>
      </c>
      <c r="L231" s="6">
        <f>Taxepunkter!L238</f>
        <v>0</v>
      </c>
    </row>
    <row r="232" spans="1:12" x14ac:dyDescent="0.25">
      <c r="A232" s="5" t="str">
        <f>Taxepunkter!A239</f>
        <v>§5.3.1</v>
      </c>
      <c r="B232" s="4" t="str">
        <f>Taxepunkter!B239</f>
        <v>Övriga avgifter och tillägg fettavskiljare</v>
      </c>
      <c r="C232" s="4" t="str">
        <f>Taxepunkter!C239</f>
        <v>Budning inom ordinarie tömningsperiod (1 maj- 31 oktober)</v>
      </c>
      <c r="D232" s="4" t="str">
        <f>Taxepunkter!D239</f>
        <v>Inom 8 arbetsdagar</v>
      </c>
      <c r="E232" s="4" t="str">
        <f>Taxepunkter!E239</f>
        <v>kr/tillfälle</v>
      </c>
      <c r="F232" s="4">
        <f>Taxepunkter!F239</f>
        <v>0</v>
      </c>
      <c r="G232" s="4" t="str">
        <f>Taxepunkter!G239</f>
        <v/>
      </c>
      <c r="H232" s="4" t="str">
        <f>Taxepunkter!H239</f>
        <v/>
      </c>
      <c r="I232" s="4" t="str">
        <f>Taxepunkter!I239</f>
        <v/>
      </c>
      <c r="J232" s="4" t="str">
        <f>Taxepunkter!J239</f>
        <v/>
      </c>
      <c r="K232" s="4">
        <f>Taxepunkter!K239</f>
        <v>0</v>
      </c>
      <c r="L232" s="6">
        <f>Taxepunkter!L239</f>
        <v>0</v>
      </c>
    </row>
    <row r="233" spans="1:12" x14ac:dyDescent="0.25">
      <c r="A233" s="5" t="str">
        <f>Taxepunkter!A240</f>
        <v>§5.3.1</v>
      </c>
      <c r="B233" s="4" t="str">
        <f>Taxepunkter!B240</f>
        <v>Övriga avgifter och tillägg fettavskiljare</v>
      </c>
      <c r="C233" s="4" t="str">
        <f>Taxepunkter!C240</f>
        <v>Budning utanför ordinarie tömningsperiod</v>
      </c>
      <c r="D233" s="4" t="str">
        <f>Taxepunkter!D240</f>
        <v>Inom 8 arbetsdagar</v>
      </c>
      <c r="E233" s="4" t="str">
        <f>Taxepunkter!E240</f>
        <v>kr/tillfälle</v>
      </c>
      <c r="F233" s="4">
        <f>Taxepunkter!F240</f>
        <v>0</v>
      </c>
      <c r="G233" s="4" t="str">
        <f>Taxepunkter!G240</f>
        <v/>
      </c>
      <c r="H233" s="4" t="str">
        <f>Taxepunkter!H240</f>
        <v/>
      </c>
      <c r="I233" s="4" t="str">
        <f>Taxepunkter!I240</f>
        <v/>
      </c>
      <c r="J233" s="4" t="str">
        <f>Taxepunkter!J240</f>
        <v/>
      </c>
      <c r="K233" s="4">
        <f>Taxepunkter!K240</f>
        <v>0</v>
      </c>
      <c r="L233" s="6">
        <f>Taxepunkter!L240</f>
        <v>0</v>
      </c>
    </row>
    <row r="234" spans="1:12" x14ac:dyDescent="0.25">
      <c r="A234" s="5" t="str">
        <f>Taxepunkter!A241</f>
        <v>§5.3.1</v>
      </c>
      <c r="B234" s="4" t="str">
        <f>Taxepunkter!B241</f>
        <v>Övriga avgifter och tillägg fettavskiljare</v>
      </c>
      <c r="C234" s="4" t="str">
        <f>Taxepunkter!C241</f>
        <v>Framkörningsavgift då ordinarie tömning inte skett på grund av hinder, abonnenten vägrar, bristfällig väg eller annat</v>
      </c>
      <c r="D234" s="4">
        <f>Taxepunkter!D241</f>
        <v>0</v>
      </c>
      <c r="E234" s="4" t="str">
        <f>Taxepunkter!E241</f>
        <v>kr/tillfälle</v>
      </c>
      <c r="F234" s="4">
        <f>Taxepunkter!F241</f>
        <v>0</v>
      </c>
      <c r="G234" s="4" t="str">
        <f>Taxepunkter!G241</f>
        <v/>
      </c>
      <c r="H234" s="4" t="str">
        <f>Taxepunkter!H241</f>
        <v/>
      </c>
      <c r="I234" s="4" t="str">
        <f>Taxepunkter!I241</f>
        <v/>
      </c>
      <c r="J234" s="4" t="str">
        <f>Taxepunkter!J241</f>
        <v/>
      </c>
      <c r="K234" s="4">
        <f>Taxepunkter!K241</f>
        <v>0</v>
      </c>
      <c r="L234" s="6">
        <f>Taxepunkter!L241</f>
        <v>0</v>
      </c>
    </row>
    <row r="235" spans="1:12" x14ac:dyDescent="0.25">
      <c r="A235" s="5" t="str">
        <f>Taxepunkter!A242</f>
        <v>§5.3.1</v>
      </c>
      <c r="B235" s="4" t="str">
        <f>Taxepunkter!B242</f>
        <v>Övriga avgifter och tillägg fettavskiljare</v>
      </c>
      <c r="C235" s="4" t="str">
        <f>Taxepunkter!C242</f>
        <v>Sen anmälan om förändringar av tömningsintervall. Om förändring, nyanmälan eller avbokning av tömning meddelas efter 1 april innevarande år.</v>
      </c>
      <c r="D235" s="4">
        <f>Taxepunkter!D242</f>
        <v>0</v>
      </c>
      <c r="E235" s="4" t="str">
        <f>Taxepunkter!E242</f>
        <v>kr/tillfälle</v>
      </c>
      <c r="F235" s="4">
        <f>Taxepunkter!F242</f>
        <v>0</v>
      </c>
      <c r="G235" s="4" t="str">
        <f>Taxepunkter!G242</f>
        <v/>
      </c>
      <c r="H235" s="4" t="str">
        <f>Taxepunkter!H242</f>
        <v/>
      </c>
      <c r="I235" s="4" t="str">
        <f>Taxepunkter!I242</f>
        <v/>
      </c>
      <c r="J235" s="4" t="str">
        <f>Taxepunkter!J242</f>
        <v/>
      </c>
      <c r="K235" s="4">
        <f>Taxepunkter!K242</f>
        <v>0</v>
      </c>
      <c r="L235" s="6">
        <f>Taxepunkter!L242</f>
        <v>0</v>
      </c>
    </row>
    <row r="236" spans="1:12" x14ac:dyDescent="0.25">
      <c r="A236" s="5" t="str">
        <f>Taxepunkter!A243</f>
        <v>§6 Avfall inlämnat på återvinningscentral</v>
      </c>
      <c r="B236" s="4">
        <f>Taxepunkter!B243</f>
        <v>0</v>
      </c>
      <c r="C236" s="4">
        <f>Taxepunkter!C243</f>
        <v>0</v>
      </c>
      <c r="D236" s="4">
        <f>Taxepunkter!D243</f>
        <v>0</v>
      </c>
      <c r="E236" s="4">
        <f>Taxepunkter!E243</f>
        <v>0</v>
      </c>
      <c r="F236" s="4">
        <f>Taxepunkter!F243</f>
        <v>0</v>
      </c>
      <c r="G236" s="4" t="str">
        <f>Taxepunkter!G243</f>
        <v/>
      </c>
      <c r="H236" s="4" t="str">
        <f>Taxepunkter!H243</f>
        <v/>
      </c>
      <c r="I236" s="4" t="str">
        <f>Taxepunkter!I243</f>
        <v/>
      </c>
      <c r="J236" s="4" t="str">
        <f>Taxepunkter!J243</f>
        <v/>
      </c>
      <c r="K236" s="4">
        <f>Taxepunkter!K243</f>
        <v>0</v>
      </c>
      <c r="L236" s="6">
        <f>Taxepunkter!L243</f>
        <v>0</v>
      </c>
    </row>
    <row r="237" spans="1:12" x14ac:dyDescent="0.25">
      <c r="A237" s="5" t="str">
        <f>Taxepunkter!A244</f>
        <v>§6.1.1 Avgifter vid ÅVC</v>
      </c>
      <c r="B237" s="4">
        <f>Taxepunkter!B244</f>
        <v>0</v>
      </c>
      <c r="C237" s="4">
        <f>Taxepunkter!C244</f>
        <v>0</v>
      </c>
      <c r="D237" s="4">
        <f>Taxepunkter!D244</f>
        <v>0</v>
      </c>
      <c r="E237" s="4">
        <f>Taxepunkter!E244</f>
        <v>0</v>
      </c>
      <c r="F237" s="4">
        <f>Taxepunkter!F244</f>
        <v>0</v>
      </c>
      <c r="G237" s="4" t="str">
        <f>Taxepunkter!G244</f>
        <v/>
      </c>
      <c r="H237" s="4" t="str">
        <f>Taxepunkter!H244</f>
        <v/>
      </c>
      <c r="I237" s="4" t="str">
        <f>Taxepunkter!I244</f>
        <v/>
      </c>
      <c r="J237" s="4" t="str">
        <f>Taxepunkter!J244</f>
        <v/>
      </c>
      <c r="K237" s="4">
        <f>Taxepunkter!K244</f>
        <v>0</v>
      </c>
      <c r="L237" s="6">
        <f>Taxepunkter!L244</f>
        <v>0</v>
      </c>
    </row>
    <row r="238" spans="1:12" x14ac:dyDescent="0.25">
      <c r="A238" s="5" t="str">
        <f>Taxepunkter!A245</f>
        <v>§6.1.1 Inpassering på ÅVC</v>
      </c>
      <c r="B238" s="4">
        <f>Taxepunkter!B245</f>
        <v>0</v>
      </c>
      <c r="C238" s="4">
        <f>Taxepunkter!C245</f>
        <v>0</v>
      </c>
      <c r="D238" s="4">
        <f>Taxepunkter!D245</f>
        <v>0</v>
      </c>
      <c r="E238" s="4">
        <f>Taxepunkter!E245</f>
        <v>0</v>
      </c>
      <c r="F238" s="4">
        <f>Taxepunkter!F245</f>
        <v>0</v>
      </c>
      <c r="G238" s="4" t="str">
        <f>Taxepunkter!G245</f>
        <v/>
      </c>
      <c r="H238" s="4" t="str">
        <f>Taxepunkter!H245</f>
        <v/>
      </c>
      <c r="I238" s="4" t="str">
        <f>Taxepunkter!I245</f>
        <v/>
      </c>
      <c r="J238" s="4" t="str">
        <f>Taxepunkter!J245</f>
        <v/>
      </c>
      <c r="K238" s="4">
        <f>Taxepunkter!K245</f>
        <v>0</v>
      </c>
      <c r="L238" s="6">
        <f>Taxepunkter!L245</f>
        <v>0</v>
      </c>
    </row>
    <row r="239" spans="1:12" x14ac:dyDescent="0.25">
      <c r="A239" s="5" t="str">
        <f>Taxepunkter!A246</f>
        <v>§6.1.1</v>
      </c>
      <c r="B239" s="4" t="str">
        <f>Taxepunkter!B246</f>
        <v>Inpassering på ÅVC</v>
      </c>
      <c r="C239" s="4" t="str">
        <f>Taxepunkter!C246</f>
        <v>Verksamheter</v>
      </c>
      <c r="D239" s="4">
        <f>Taxepunkter!D246</f>
        <v>0</v>
      </c>
      <c r="E239" s="4" t="str">
        <f>Taxepunkter!E246</f>
        <v>kr/besök</v>
      </c>
      <c r="F239" s="4">
        <f>Taxepunkter!F246</f>
        <v>0</v>
      </c>
      <c r="G239" s="4" t="str">
        <f>Taxepunkter!G246</f>
        <v/>
      </c>
      <c r="H239" s="4" t="str">
        <f>Taxepunkter!H246</f>
        <v/>
      </c>
      <c r="I239" s="4" t="str">
        <f>Taxepunkter!I246</f>
        <v/>
      </c>
      <c r="J239" s="4" t="str">
        <f>Taxepunkter!J246</f>
        <v/>
      </c>
      <c r="K239" s="4">
        <f>Taxepunkter!K246</f>
        <v>0</v>
      </c>
      <c r="L239" s="6">
        <f>Taxepunkter!L246</f>
        <v>0</v>
      </c>
    </row>
    <row r="240" spans="1:12" x14ac:dyDescent="0.25">
      <c r="A240" s="5" t="str">
        <f>Taxepunkter!A247</f>
        <v>§6.1.1</v>
      </c>
      <c r="B240" s="4" t="str">
        <f>Taxepunkter!B247</f>
        <v>Inpassering på ÅVC</v>
      </c>
      <c r="C240" s="4" t="str">
        <f>Taxepunkter!C247</f>
        <v>Övriga abonnemangstyper</v>
      </c>
      <c r="D240" s="4">
        <f>Taxepunkter!D247</f>
        <v>0</v>
      </c>
      <c r="E240" s="4" t="str">
        <f>Taxepunkter!E247</f>
        <v>kr/besök</v>
      </c>
      <c r="F240" s="4">
        <f>Taxepunkter!F247</f>
        <v>0</v>
      </c>
      <c r="G240" s="4" t="str">
        <f>Taxepunkter!G247</f>
        <v/>
      </c>
      <c r="H240" s="4" t="str">
        <f>Taxepunkter!H247</f>
        <v/>
      </c>
      <c r="I240" s="4" t="str">
        <f>Taxepunkter!I247</f>
        <v/>
      </c>
      <c r="J240" s="4" t="str">
        <f>Taxepunkter!J247</f>
        <v/>
      </c>
      <c r="K240" s="4">
        <f>Taxepunkter!K247</f>
        <v>0</v>
      </c>
      <c r="L240" s="6">
        <f>Taxepunkter!L247</f>
        <v>0</v>
      </c>
    </row>
    <row r="241" spans="1:12" x14ac:dyDescent="0.25">
      <c r="A241" s="5" t="str">
        <f>Taxepunkter!A248</f>
        <v>§6.1.1</v>
      </c>
      <c r="B241" s="4" t="str">
        <f>Taxepunkter!B248</f>
        <v>Inpassering på ÅVC</v>
      </c>
      <c r="C241" s="4" t="str">
        <f>Taxepunkter!C248</f>
        <v>Vågkort</v>
      </c>
      <c r="D241" s="4">
        <f>Taxepunkter!D248</f>
        <v>0</v>
      </c>
      <c r="E241" s="4" t="str">
        <f>Taxepunkter!E248</f>
        <v>kr/besök</v>
      </c>
      <c r="F241" s="4">
        <f>Taxepunkter!F248</f>
        <v>0</v>
      </c>
      <c r="G241" s="4" t="str">
        <f>Taxepunkter!G248</f>
        <v/>
      </c>
      <c r="H241" s="4" t="str">
        <f>Taxepunkter!H248</f>
        <v/>
      </c>
      <c r="I241" s="4" t="str">
        <f>Taxepunkter!I248</f>
        <v/>
      </c>
      <c r="J241" s="4" t="str">
        <f>Taxepunkter!J248</f>
        <v/>
      </c>
      <c r="K241" s="4">
        <f>Taxepunkter!K248</f>
        <v>0</v>
      </c>
      <c r="L241" s="6">
        <f>Taxepunkter!L248</f>
        <v>0</v>
      </c>
    </row>
    <row r="242" spans="1:12" x14ac:dyDescent="0.25">
      <c r="A242" s="5" t="str">
        <f>Taxepunkter!A249</f>
        <v>§6.1.1</v>
      </c>
      <c r="B242" s="4" t="str">
        <f>Taxepunkter!B249</f>
        <v>Inpassering på ÅVC</v>
      </c>
      <c r="C242" s="4" t="str">
        <f>Taxepunkter!C249</f>
        <v>Borttappat vågkort</v>
      </c>
      <c r="D242" s="4">
        <f>Taxepunkter!D249</f>
        <v>0</v>
      </c>
      <c r="E242" s="4" t="str">
        <f>Taxepunkter!E249</f>
        <v>kr/besök</v>
      </c>
      <c r="F242" s="4">
        <f>Taxepunkter!F249</f>
        <v>0</v>
      </c>
      <c r="G242" s="4" t="str">
        <f>Taxepunkter!G249</f>
        <v/>
      </c>
      <c r="H242" s="4" t="str">
        <f>Taxepunkter!H249</f>
        <v/>
      </c>
      <c r="I242" s="4" t="str">
        <f>Taxepunkter!I249</f>
        <v/>
      </c>
      <c r="J242" s="4" t="str">
        <f>Taxepunkter!J249</f>
        <v/>
      </c>
      <c r="K242" s="4">
        <f>Taxepunkter!K249</f>
        <v>0</v>
      </c>
      <c r="L242" s="6">
        <f>Taxepunkter!L249</f>
        <v>0</v>
      </c>
    </row>
    <row r="243" spans="1:12" x14ac:dyDescent="0.25">
      <c r="A243" s="5" t="str">
        <f>Taxepunkter!A250</f>
        <v>§6.1.1</v>
      </c>
      <c r="B243" s="4" t="str">
        <f>Taxepunkter!B250</f>
        <v>Inpassering på ÅVC</v>
      </c>
      <c r="C243" s="4" t="str">
        <f>Taxepunkter!C250</f>
        <v>Ej redovisad ankomst till ÅVC för avlämning av verksamhetsavfall</v>
      </c>
      <c r="D243" s="4">
        <f>Taxepunkter!D250</f>
        <v>0</v>
      </c>
      <c r="E243" s="4" t="str">
        <f>Taxepunkter!E250</f>
        <v>kr/besök</v>
      </c>
      <c r="F243" s="4">
        <f>Taxepunkter!F250</f>
        <v>0</v>
      </c>
      <c r="G243" s="4" t="str">
        <f>Taxepunkter!G250</f>
        <v/>
      </c>
      <c r="H243" s="4" t="str">
        <f>Taxepunkter!H250</f>
        <v/>
      </c>
      <c r="I243" s="4" t="str">
        <f>Taxepunkter!I250</f>
        <v/>
      </c>
      <c r="J243" s="4" t="str">
        <f>Taxepunkter!J250</f>
        <v/>
      </c>
      <c r="K243" s="4">
        <f>Taxepunkter!K250</f>
        <v>0</v>
      </c>
      <c r="L243" s="6">
        <f>Taxepunkter!L250</f>
        <v>0</v>
      </c>
    </row>
    <row r="244" spans="1:12" x14ac:dyDescent="0.25">
      <c r="A244" s="5" t="str">
        <f>Taxepunkter!A251</f>
        <v>§6.1.1</v>
      </c>
      <c r="B244" s="4" t="str">
        <f>Taxepunkter!B251</f>
        <v>Inpassering på ÅVC</v>
      </c>
      <c r="C244" s="4" t="str">
        <f>Taxepunkter!C251</f>
        <v>Ej redovisad eller fel redovisad fraktion av avfall</v>
      </c>
      <c r="D244" s="4">
        <f>Taxepunkter!D251</f>
        <v>0</v>
      </c>
      <c r="E244" s="4" t="str">
        <f>Taxepunkter!E251</f>
        <v>kr/fraktion</v>
      </c>
      <c r="F244" s="4">
        <f>Taxepunkter!F251</f>
        <v>0</v>
      </c>
      <c r="G244" s="4" t="str">
        <f>Taxepunkter!G251</f>
        <v/>
      </c>
      <c r="H244" s="4" t="str">
        <f>Taxepunkter!H251</f>
        <v/>
      </c>
      <c r="I244" s="4" t="str">
        <f>Taxepunkter!I251</f>
        <v/>
      </c>
      <c r="J244" s="4" t="str">
        <f>Taxepunkter!J251</f>
        <v/>
      </c>
      <c r="K244" s="4">
        <f>Taxepunkter!K251</f>
        <v>0</v>
      </c>
      <c r="L244" s="6">
        <f>Taxepunkter!L251</f>
        <v>0</v>
      </c>
    </row>
    <row r="245" spans="1:12" x14ac:dyDescent="0.25">
      <c r="A245" s="5" t="str">
        <f>Taxepunkter!A252</f>
        <v>§6.1.2 Hanteringsavgifter för avfall inlämnat på återvinningscentral</v>
      </c>
      <c r="B245" s="4">
        <f>Taxepunkter!B252</f>
        <v>0</v>
      </c>
      <c r="C245" s="4">
        <f>Taxepunkter!C252</f>
        <v>0</v>
      </c>
      <c r="D245" s="4">
        <f>Taxepunkter!D252</f>
        <v>0</v>
      </c>
      <c r="E245" s="4">
        <f>Taxepunkter!E252</f>
        <v>0</v>
      </c>
      <c r="F245" s="4">
        <f>Taxepunkter!F252</f>
        <v>0</v>
      </c>
      <c r="G245" s="4" t="str">
        <f>Taxepunkter!G252</f>
        <v/>
      </c>
      <c r="H245" s="4" t="str">
        <f>Taxepunkter!H252</f>
        <v/>
      </c>
      <c r="I245" s="4" t="str">
        <f>Taxepunkter!I252</f>
        <v/>
      </c>
      <c r="J245" s="4" t="str">
        <f>Taxepunkter!J252</f>
        <v/>
      </c>
      <c r="K245" s="4">
        <f>Taxepunkter!K252</f>
        <v>0</v>
      </c>
      <c r="L245" s="6">
        <f>Taxepunkter!L252</f>
        <v>0</v>
      </c>
    </row>
    <row r="246" spans="1:12" x14ac:dyDescent="0.25">
      <c r="A246" s="5" t="str">
        <f>Taxepunkter!A253</f>
        <v>§6.1.2</v>
      </c>
      <c r="B246" s="4" t="str">
        <f>Taxepunkter!B253</f>
        <v>Hanteringsavgifter för avfall inlämnat på återvinningscentral</v>
      </c>
      <c r="C246" s="4" t="str">
        <f>Taxepunkter!C253</f>
        <v>Avfall till energiåtervinning (240 L sopsäck)</v>
      </c>
      <c r="D246" s="4">
        <f>Taxepunkter!D253</f>
        <v>200301</v>
      </c>
      <c r="E246" s="4" t="str">
        <f>Taxepunkter!E253</f>
        <v>kr/st</v>
      </c>
      <c r="F246" s="4">
        <f>Taxepunkter!F253</f>
        <v>0</v>
      </c>
      <c r="G246" s="4" t="str">
        <f>Taxepunkter!G253</f>
        <v/>
      </c>
      <c r="H246" s="4" t="str">
        <f>Taxepunkter!H253</f>
        <v/>
      </c>
      <c r="I246" s="4" t="str">
        <f>Taxepunkter!I253</f>
        <v/>
      </c>
      <c r="J246" s="4" t="str">
        <f>Taxepunkter!J253</f>
        <v/>
      </c>
      <c r="K246" s="4">
        <f>Taxepunkter!K253</f>
        <v>0</v>
      </c>
      <c r="L246" s="6">
        <f>Taxepunkter!L253</f>
        <v>0</v>
      </c>
    </row>
    <row r="247" spans="1:12" x14ac:dyDescent="0.25">
      <c r="A247" s="5" t="str">
        <f>Taxepunkter!A254</f>
        <v>§6.1.2</v>
      </c>
      <c r="B247" s="4" t="str">
        <f>Taxepunkter!B254</f>
        <v>Hanteringsavgifter för avfall inlämnat på återvinningscentral</v>
      </c>
      <c r="C247" s="4" t="str">
        <f>Taxepunkter!C254</f>
        <v>Avfall till energiåtervinning</v>
      </c>
      <c r="D247" s="4">
        <f>Taxepunkter!D254</f>
        <v>200301</v>
      </c>
      <c r="E247" s="4" t="str">
        <f>Taxepunkter!E254</f>
        <v>kr/kg</v>
      </c>
      <c r="F247" s="4">
        <f>Taxepunkter!F254</f>
        <v>0</v>
      </c>
      <c r="G247" s="4" t="str">
        <f>Taxepunkter!G254</f>
        <v/>
      </c>
      <c r="H247" s="4" t="str">
        <f>Taxepunkter!H254</f>
        <v/>
      </c>
      <c r="I247" s="4" t="str">
        <f>Taxepunkter!I254</f>
        <v/>
      </c>
      <c r="J247" s="4" t="str">
        <f>Taxepunkter!J254</f>
        <v/>
      </c>
      <c r="K247" s="4">
        <f>Taxepunkter!K254</f>
        <v>0</v>
      </c>
      <c r="L247" s="6">
        <f>Taxepunkter!L254</f>
        <v>0</v>
      </c>
    </row>
    <row r="248" spans="1:12" x14ac:dyDescent="0.25">
      <c r="A248" s="5" t="str">
        <f>Taxepunkter!A255</f>
        <v>§6.1.2</v>
      </c>
      <c r="B248" s="4" t="str">
        <f>Taxepunkter!B255</f>
        <v>Hanteringsavgifter för avfall inlämnat på återvinningscentral</v>
      </c>
      <c r="C248" s="4" t="str">
        <f>Taxepunkter!C255</f>
        <v>Skrymmande avfall till energiåtervinning större än 20x20x80</v>
      </c>
      <c r="D248" s="4">
        <f>Taxepunkter!D255</f>
        <v>200307</v>
      </c>
      <c r="E248" s="4" t="str">
        <f>Taxepunkter!E255</f>
        <v>kr/kg</v>
      </c>
      <c r="F248" s="4">
        <f>Taxepunkter!F255</f>
        <v>0</v>
      </c>
      <c r="G248" s="4" t="str">
        <f>Taxepunkter!G255</f>
        <v/>
      </c>
      <c r="H248" s="4" t="str">
        <f>Taxepunkter!H255</f>
        <v/>
      </c>
      <c r="I248" s="4" t="str">
        <f>Taxepunkter!I255</f>
        <v/>
      </c>
      <c r="J248" s="4" t="str">
        <f>Taxepunkter!J255</f>
        <v/>
      </c>
      <c r="K248" s="4">
        <f>Taxepunkter!K255</f>
        <v>0</v>
      </c>
      <c r="L248" s="6">
        <f>Taxepunkter!L255</f>
        <v>0</v>
      </c>
    </row>
    <row r="249" spans="1:12" x14ac:dyDescent="0.25">
      <c r="A249" s="5" t="str">
        <f>Taxepunkter!A256</f>
        <v>§6.1.2</v>
      </c>
      <c r="B249" s="4" t="str">
        <f>Taxepunkter!B256</f>
        <v>Hanteringsavgifter för avfall inlämnat på återvinningscentral</v>
      </c>
      <c r="C249" s="4" t="str">
        <f>Taxepunkter!C256</f>
        <v>Träavfall – obehandlat, utan tapet, plastmatta, tjärpapp</v>
      </c>
      <c r="D249" s="4">
        <f>Taxepunkter!D256</f>
        <v>170201</v>
      </c>
      <c r="E249" s="4" t="str">
        <f>Taxepunkter!E256</f>
        <v>kr/kg</v>
      </c>
      <c r="F249" s="4">
        <f>Taxepunkter!F256</f>
        <v>0</v>
      </c>
      <c r="G249" s="4" t="str">
        <f>Taxepunkter!G256</f>
        <v/>
      </c>
      <c r="H249" s="4" t="str">
        <f>Taxepunkter!H256</f>
        <v/>
      </c>
      <c r="I249" s="4" t="str">
        <f>Taxepunkter!I256</f>
        <v/>
      </c>
      <c r="J249" s="4" t="str">
        <f>Taxepunkter!J256</f>
        <v/>
      </c>
      <c r="K249" s="4">
        <f>Taxepunkter!K256</f>
        <v>0</v>
      </c>
      <c r="L249" s="6">
        <f>Taxepunkter!L256</f>
        <v>0</v>
      </c>
    </row>
    <row r="250" spans="1:12" x14ac:dyDescent="0.25">
      <c r="A250" s="5" t="str">
        <f>Taxepunkter!A257</f>
        <v>§6.1.2</v>
      </c>
      <c r="B250" s="4" t="str">
        <f>Taxepunkter!B257</f>
        <v>Hanteringsavgifter för avfall inlämnat på återvinningscentral</v>
      </c>
      <c r="C250" s="4" t="str">
        <f>Taxepunkter!C257</f>
        <v>Träavfall – behandlat, utan tapet, plastmatta, tjärpapp</v>
      </c>
      <c r="D250" s="4">
        <f>Taxepunkter!D257</f>
        <v>170201</v>
      </c>
      <c r="E250" s="4" t="str">
        <f>Taxepunkter!E257</f>
        <v>kr/kg</v>
      </c>
      <c r="F250" s="4">
        <f>Taxepunkter!F257</f>
        <v>0</v>
      </c>
      <c r="G250" s="4" t="str">
        <f>Taxepunkter!G257</f>
        <v/>
      </c>
      <c r="H250" s="4" t="str">
        <f>Taxepunkter!H257</f>
        <v/>
      </c>
      <c r="I250" s="4" t="str">
        <f>Taxepunkter!I257</f>
        <v/>
      </c>
      <c r="J250" s="4" t="str">
        <f>Taxepunkter!J257</f>
        <v/>
      </c>
      <c r="K250" s="4">
        <f>Taxepunkter!K257</f>
        <v>0</v>
      </c>
      <c r="L250" s="6">
        <f>Taxepunkter!L257</f>
        <v>0</v>
      </c>
    </row>
    <row r="251" spans="1:12" x14ac:dyDescent="0.25">
      <c r="A251" s="5" t="str">
        <f>Taxepunkter!A258</f>
        <v>§6.1.2</v>
      </c>
      <c r="B251" s="4" t="str">
        <f>Taxepunkter!B258</f>
        <v>Hanteringsavgifter för avfall inlämnat på återvinningscentral</v>
      </c>
      <c r="C251" s="4" t="str">
        <f>Taxepunkter!C258</f>
        <v>Tryckimpregnerat trä (inkl pall)</v>
      </c>
      <c r="D251" s="4" t="str">
        <f>Taxepunkter!D258</f>
        <v>170204*</v>
      </c>
      <c r="E251" s="4" t="str">
        <f>Taxepunkter!E258</f>
        <v>kr/kg</v>
      </c>
      <c r="F251" s="4">
        <f>Taxepunkter!F258</f>
        <v>0</v>
      </c>
      <c r="G251" s="4" t="str">
        <f>Taxepunkter!G258</f>
        <v/>
      </c>
      <c r="H251" s="4" t="str">
        <f>Taxepunkter!H258</f>
        <v/>
      </c>
      <c r="I251" s="4" t="str">
        <f>Taxepunkter!I258</f>
        <v/>
      </c>
      <c r="J251" s="4" t="str">
        <f>Taxepunkter!J258</f>
        <v/>
      </c>
      <c r="K251" s="4">
        <f>Taxepunkter!K258</f>
        <v>0</v>
      </c>
      <c r="L251" s="6">
        <f>Taxepunkter!L258</f>
        <v>0</v>
      </c>
    </row>
    <row r="252" spans="1:12" x14ac:dyDescent="0.25">
      <c r="A252" s="5" t="str">
        <f>Taxepunkter!A259</f>
        <v>§6.1.2</v>
      </c>
      <c r="B252" s="4" t="str">
        <f>Taxepunkter!B259</f>
        <v>Hanteringsavgifter för avfall inlämnat på återvinningscentral</v>
      </c>
      <c r="C252" s="4" t="str">
        <f>Taxepunkter!C259</f>
        <v>Betong, lättbetong</v>
      </c>
      <c r="D252" s="4">
        <f>Taxepunkter!D259</f>
        <v>170101</v>
      </c>
      <c r="E252" s="4" t="str">
        <f>Taxepunkter!E259</f>
        <v>kr/kg</v>
      </c>
      <c r="F252" s="4">
        <f>Taxepunkter!F259</f>
        <v>0</v>
      </c>
      <c r="G252" s="4" t="str">
        <f>Taxepunkter!G259</f>
        <v/>
      </c>
      <c r="H252" s="4" t="str">
        <f>Taxepunkter!H259</f>
        <v/>
      </c>
      <c r="I252" s="4" t="str">
        <f>Taxepunkter!I259</f>
        <v/>
      </c>
      <c r="J252" s="4" t="str">
        <f>Taxepunkter!J259</f>
        <v/>
      </c>
      <c r="K252" s="4">
        <f>Taxepunkter!K259</f>
        <v>0</v>
      </c>
      <c r="L252" s="6">
        <f>Taxepunkter!L259</f>
        <v>0</v>
      </c>
    </row>
    <row r="253" spans="1:12" x14ac:dyDescent="0.25">
      <c r="A253" s="5" t="str">
        <f>Taxepunkter!A260</f>
        <v>§6.1.2</v>
      </c>
      <c r="B253" s="4" t="str">
        <f>Taxepunkter!B260</f>
        <v>Hanteringsavgifter för avfall inlämnat på återvinningscentral</v>
      </c>
      <c r="C253" s="4" t="str">
        <f>Taxepunkter!C260</f>
        <v>Gips, gipsskivor</v>
      </c>
      <c r="D253" s="4">
        <f>Taxepunkter!D260</f>
        <v>170802</v>
      </c>
      <c r="E253" s="4" t="str">
        <f>Taxepunkter!E260</f>
        <v>kr/kg</v>
      </c>
      <c r="F253" s="4">
        <f>Taxepunkter!F260</f>
        <v>0</v>
      </c>
      <c r="G253" s="4" t="str">
        <f>Taxepunkter!G260</f>
        <v/>
      </c>
      <c r="H253" s="4" t="str">
        <f>Taxepunkter!H260</f>
        <v/>
      </c>
      <c r="I253" s="4" t="str">
        <f>Taxepunkter!I260</f>
        <v/>
      </c>
      <c r="J253" s="4" t="str">
        <f>Taxepunkter!J260</f>
        <v/>
      </c>
      <c r="K253" s="4">
        <f>Taxepunkter!K260</f>
        <v>0</v>
      </c>
      <c r="L253" s="6">
        <f>Taxepunkter!L260</f>
        <v>0</v>
      </c>
    </row>
    <row r="254" spans="1:12" x14ac:dyDescent="0.25">
      <c r="A254" s="5" t="str">
        <f>Taxepunkter!A261</f>
        <v>§6.1.2</v>
      </c>
      <c r="B254" s="4" t="str">
        <f>Taxepunkter!B261</f>
        <v>Hanteringsavgifter för avfall inlämnat på återvinningscentral</v>
      </c>
      <c r="C254" s="4" t="str">
        <f>Taxepunkter!C261</f>
        <v>Tegel</v>
      </c>
      <c r="D254" s="4">
        <f>Taxepunkter!D261</f>
        <v>170102</v>
      </c>
      <c r="E254" s="4" t="str">
        <f>Taxepunkter!E261</f>
        <v>kr/kg</v>
      </c>
      <c r="F254" s="4">
        <f>Taxepunkter!F261</f>
        <v>0</v>
      </c>
      <c r="G254" s="4" t="str">
        <f>Taxepunkter!G261</f>
        <v/>
      </c>
      <c r="H254" s="4" t="str">
        <f>Taxepunkter!H261</f>
        <v/>
      </c>
      <c r="I254" s="4" t="str">
        <f>Taxepunkter!I261</f>
        <v/>
      </c>
      <c r="J254" s="4" t="str">
        <f>Taxepunkter!J261</f>
        <v/>
      </c>
      <c r="K254" s="4">
        <f>Taxepunkter!K261</f>
        <v>0</v>
      </c>
      <c r="L254" s="6">
        <f>Taxepunkter!L261</f>
        <v>0</v>
      </c>
    </row>
    <row r="255" spans="1:12" x14ac:dyDescent="0.25">
      <c r="A255" s="5" t="str">
        <f>Taxepunkter!A262</f>
        <v>§6.1.2</v>
      </c>
      <c r="B255" s="4" t="str">
        <f>Taxepunkter!B262</f>
        <v>Hanteringsavgifter för avfall inlämnat på återvinningscentral</v>
      </c>
      <c r="C255" s="4" t="str">
        <f>Taxepunkter!C262</f>
        <v>Fönster- och planglas utan karm</v>
      </c>
      <c r="D255" s="4">
        <f>Taxepunkter!D262</f>
        <v>170202</v>
      </c>
      <c r="E255" s="4" t="str">
        <f>Taxepunkter!E262</f>
        <v>kr/kg</v>
      </c>
      <c r="F255" s="4">
        <f>Taxepunkter!F262</f>
        <v>0</v>
      </c>
      <c r="G255" s="4" t="str">
        <f>Taxepunkter!G262</f>
        <v/>
      </c>
      <c r="H255" s="4" t="str">
        <f>Taxepunkter!H262</f>
        <v/>
      </c>
      <c r="I255" s="4" t="str">
        <f>Taxepunkter!I262</f>
        <v/>
      </c>
      <c r="J255" s="4" t="str">
        <f>Taxepunkter!J262</f>
        <v/>
      </c>
      <c r="K255" s="4">
        <f>Taxepunkter!K262</f>
        <v>0</v>
      </c>
      <c r="L255" s="6">
        <f>Taxepunkter!L262</f>
        <v>0</v>
      </c>
    </row>
    <row r="256" spans="1:12" x14ac:dyDescent="0.25">
      <c r="A256" s="5" t="str">
        <f>Taxepunkter!A263</f>
        <v>§6.1.2</v>
      </c>
      <c r="B256" s="4" t="str">
        <f>Taxepunkter!B263</f>
        <v>Hanteringsavgifter för avfall inlämnat på återvinningscentral</v>
      </c>
      <c r="C256" s="4" t="str">
        <f>Taxepunkter!C263</f>
        <v>Fönster med karm</v>
      </c>
      <c r="D256" s="4">
        <f>Taxepunkter!D263</f>
        <v>0</v>
      </c>
      <c r="E256" s="4" t="str">
        <f>Taxepunkter!E263</f>
        <v>kr/kg</v>
      </c>
      <c r="F256" s="4">
        <f>Taxepunkter!F263</f>
        <v>0</v>
      </c>
      <c r="G256" s="4" t="str">
        <f>Taxepunkter!G263</f>
        <v/>
      </c>
      <c r="H256" s="4" t="str">
        <f>Taxepunkter!H263</f>
        <v/>
      </c>
      <c r="I256" s="4" t="str">
        <f>Taxepunkter!I263</f>
        <v/>
      </c>
      <c r="J256" s="4" t="str">
        <f>Taxepunkter!J263</f>
        <v/>
      </c>
      <c r="K256" s="4">
        <f>Taxepunkter!K263</f>
        <v>0</v>
      </c>
      <c r="L256" s="6">
        <f>Taxepunkter!L263</f>
        <v>0</v>
      </c>
    </row>
    <row r="257" spans="1:12" x14ac:dyDescent="0.25">
      <c r="A257" s="5" t="str">
        <f>Taxepunkter!A264</f>
        <v>§6.1.2</v>
      </c>
      <c r="B257" s="4" t="str">
        <f>Taxepunkter!B264</f>
        <v>Hanteringsavgifter för avfall inlämnat på återvinningscentral</v>
      </c>
      <c r="C257" s="4" t="str">
        <f>Taxepunkter!C264</f>
        <v>Plast</v>
      </c>
      <c r="D257" s="4">
        <f>Taxepunkter!D264</f>
        <v>0</v>
      </c>
      <c r="E257" s="4" t="str">
        <f>Taxepunkter!E264</f>
        <v>kr/kg</v>
      </c>
      <c r="F257" s="4">
        <f>Taxepunkter!F264</f>
        <v>0</v>
      </c>
      <c r="G257" s="4" t="str">
        <f>Taxepunkter!G264</f>
        <v/>
      </c>
      <c r="H257" s="4" t="str">
        <f>Taxepunkter!H264</f>
        <v/>
      </c>
      <c r="I257" s="4" t="str">
        <f>Taxepunkter!I264</f>
        <v/>
      </c>
      <c r="J257" s="4" t="str">
        <f>Taxepunkter!J264</f>
        <v/>
      </c>
      <c r="K257" s="4">
        <f>Taxepunkter!K264</f>
        <v>0</v>
      </c>
      <c r="L257" s="6">
        <f>Taxepunkter!L264</f>
        <v>0</v>
      </c>
    </row>
    <row r="258" spans="1:12" x14ac:dyDescent="0.25">
      <c r="A258" s="5" t="str">
        <f>Taxepunkter!A265</f>
        <v>§6.1.2</v>
      </c>
      <c r="B258" s="4" t="str">
        <f>Taxepunkter!B265</f>
        <v>Hanteringsavgifter för avfall inlämnat på återvinningscentral</v>
      </c>
      <c r="C258" s="4" t="str">
        <f>Taxepunkter!C265</f>
        <v>Isolering utan innehåll av asbest</v>
      </c>
      <c r="D258" s="4">
        <f>Taxepunkter!D265</f>
        <v>170604</v>
      </c>
      <c r="E258" s="4" t="str">
        <f>Taxepunkter!E265</f>
        <v>kr/m3</v>
      </c>
      <c r="F258" s="4">
        <f>Taxepunkter!F265</f>
        <v>0</v>
      </c>
      <c r="G258" s="4" t="str">
        <f>Taxepunkter!G265</f>
        <v/>
      </c>
      <c r="H258" s="4" t="str">
        <f>Taxepunkter!H265</f>
        <v/>
      </c>
      <c r="I258" s="4" t="str">
        <f>Taxepunkter!I265</f>
        <v/>
      </c>
      <c r="J258" s="4" t="str">
        <f>Taxepunkter!J265</f>
        <v/>
      </c>
      <c r="K258" s="4">
        <f>Taxepunkter!K265</f>
        <v>0</v>
      </c>
      <c r="L258" s="6">
        <f>Taxepunkter!L265</f>
        <v>0</v>
      </c>
    </row>
    <row r="259" spans="1:12" x14ac:dyDescent="0.25">
      <c r="A259" s="5" t="str">
        <f>Taxepunkter!A266</f>
        <v>§6.1.2</v>
      </c>
      <c r="B259" s="4" t="str">
        <f>Taxepunkter!B266</f>
        <v>Hanteringsavgifter för avfall inlämnat på återvinningscentral</v>
      </c>
      <c r="C259" s="4" t="str">
        <f>Taxepunkter!C266</f>
        <v>Klinker, keramik, porslin</v>
      </c>
      <c r="D259" s="4">
        <f>Taxepunkter!D266</f>
        <v>170103</v>
      </c>
      <c r="E259" s="4" t="str">
        <f>Taxepunkter!E266</f>
        <v>kr/kg</v>
      </c>
      <c r="F259" s="4">
        <f>Taxepunkter!F266</f>
        <v>0</v>
      </c>
      <c r="G259" s="4" t="str">
        <f>Taxepunkter!G266</f>
        <v/>
      </c>
      <c r="H259" s="4" t="str">
        <f>Taxepunkter!H266</f>
        <v/>
      </c>
      <c r="I259" s="4" t="str">
        <f>Taxepunkter!I266</f>
        <v/>
      </c>
      <c r="J259" s="4" t="str">
        <f>Taxepunkter!J266</f>
        <v/>
      </c>
      <c r="K259" s="4">
        <f>Taxepunkter!K266</f>
        <v>0</v>
      </c>
      <c r="L259" s="6">
        <f>Taxepunkter!L266</f>
        <v>0</v>
      </c>
    </row>
    <row r="260" spans="1:12" x14ac:dyDescent="0.25">
      <c r="A260" s="5" t="str">
        <f>Taxepunkter!A267</f>
        <v>§6.1.2</v>
      </c>
      <c r="B260" s="4" t="str">
        <f>Taxepunkter!B267</f>
        <v>Hanteringsavgifter för avfall inlämnat på återvinningscentral</v>
      </c>
      <c r="C260" s="4" t="str">
        <f>Taxepunkter!C267</f>
        <v>Handfat</v>
      </c>
      <c r="D260" s="4">
        <f>Taxepunkter!D267</f>
        <v>170103</v>
      </c>
      <c r="E260" s="4" t="str">
        <f>Taxepunkter!E267</f>
        <v>kr/st</v>
      </c>
      <c r="F260" s="4">
        <f>Taxepunkter!F267</f>
        <v>0</v>
      </c>
      <c r="G260" s="4" t="str">
        <f>Taxepunkter!G267</f>
        <v/>
      </c>
      <c r="H260" s="4" t="str">
        <f>Taxepunkter!H267</f>
        <v/>
      </c>
      <c r="I260" s="4" t="str">
        <f>Taxepunkter!I267</f>
        <v/>
      </c>
      <c r="J260" s="4" t="str">
        <f>Taxepunkter!J267</f>
        <v/>
      </c>
      <c r="K260" s="4">
        <f>Taxepunkter!K267</f>
        <v>0</v>
      </c>
      <c r="L260" s="6">
        <f>Taxepunkter!L267</f>
        <v>0</v>
      </c>
    </row>
    <row r="261" spans="1:12" x14ac:dyDescent="0.25">
      <c r="A261" s="5" t="str">
        <f>Taxepunkter!A268</f>
        <v>§6.1.2</v>
      </c>
      <c r="B261" s="4" t="str">
        <f>Taxepunkter!B268</f>
        <v>Hanteringsavgifter för avfall inlämnat på återvinningscentral</v>
      </c>
      <c r="C261" s="4" t="str">
        <f>Taxepunkter!C268</f>
        <v>WC stolar</v>
      </c>
      <c r="D261" s="4">
        <f>Taxepunkter!D268</f>
        <v>170103</v>
      </c>
      <c r="E261" s="4" t="str">
        <f>Taxepunkter!E268</f>
        <v>kr/st</v>
      </c>
      <c r="F261" s="4">
        <f>Taxepunkter!F268</f>
        <v>0</v>
      </c>
      <c r="G261" s="4" t="str">
        <f>Taxepunkter!G268</f>
        <v/>
      </c>
      <c r="H261" s="4" t="str">
        <f>Taxepunkter!H268</f>
        <v/>
      </c>
      <c r="I261" s="4" t="str">
        <f>Taxepunkter!I268</f>
        <v/>
      </c>
      <c r="J261" s="4" t="str">
        <f>Taxepunkter!J268</f>
        <v/>
      </c>
      <c r="K261" s="4">
        <f>Taxepunkter!K268</f>
        <v>0</v>
      </c>
      <c r="L261" s="6">
        <f>Taxepunkter!L268</f>
        <v>0</v>
      </c>
    </row>
    <row r="262" spans="1:12" x14ac:dyDescent="0.25">
      <c r="A262" s="5" t="str">
        <f>Taxepunkter!A269</f>
        <v>§6.1.2</v>
      </c>
      <c r="B262" s="4" t="str">
        <f>Taxepunkter!B269</f>
        <v>Hanteringsavgifter för avfall inlämnat på återvinningscentral</v>
      </c>
      <c r="C262" s="4" t="str">
        <f>Taxepunkter!C269</f>
        <v>Metall</v>
      </c>
      <c r="D262" s="4">
        <f>Taxepunkter!D269</f>
        <v>200140</v>
      </c>
      <c r="E262" s="4" t="str">
        <f>Taxepunkter!E269</f>
        <v>kr/kg</v>
      </c>
      <c r="F262" s="4">
        <f>Taxepunkter!F269</f>
        <v>0</v>
      </c>
      <c r="G262" s="4" t="str">
        <f>Taxepunkter!G269</f>
        <v/>
      </c>
      <c r="H262" s="4" t="str">
        <f>Taxepunkter!H269</f>
        <v/>
      </c>
      <c r="I262" s="4" t="str">
        <f>Taxepunkter!I269</f>
        <v/>
      </c>
      <c r="J262" s="4" t="str">
        <f>Taxepunkter!J269</f>
        <v/>
      </c>
      <c r="K262" s="4">
        <f>Taxepunkter!K269</f>
        <v>0</v>
      </c>
      <c r="L262" s="6">
        <f>Taxepunkter!L269</f>
        <v>0</v>
      </c>
    </row>
    <row r="263" spans="1:12" x14ac:dyDescent="0.25">
      <c r="A263" s="5" t="str">
        <f>Taxepunkter!A270</f>
        <v>§6.1.2</v>
      </c>
      <c r="B263" s="4" t="str">
        <f>Taxepunkter!B270</f>
        <v>Hanteringsavgifter för avfall inlämnat på återvinningscentral</v>
      </c>
      <c r="C263" s="4" t="str">
        <f>Taxepunkter!C270</f>
        <v>Textilier</v>
      </c>
      <c r="D263" s="4">
        <f>Taxepunkter!D270</f>
        <v>0</v>
      </c>
      <c r="E263" s="4" t="str">
        <f>Taxepunkter!E270</f>
        <v>kr/kg</v>
      </c>
      <c r="F263" s="4">
        <f>Taxepunkter!F270</f>
        <v>0</v>
      </c>
      <c r="G263" s="4" t="str">
        <f>Taxepunkter!G270</f>
        <v/>
      </c>
      <c r="H263" s="4" t="str">
        <f>Taxepunkter!H270</f>
        <v/>
      </c>
      <c r="I263" s="4" t="str">
        <f>Taxepunkter!I270</f>
        <v/>
      </c>
      <c r="J263" s="4" t="str">
        <f>Taxepunkter!J270</f>
        <v/>
      </c>
      <c r="K263" s="4">
        <f>Taxepunkter!K270</f>
        <v>0</v>
      </c>
      <c r="L263" s="6">
        <f>Taxepunkter!L270</f>
        <v>0</v>
      </c>
    </row>
    <row r="264" spans="1:12" x14ac:dyDescent="0.25">
      <c r="A264" s="5" t="str">
        <f>Taxepunkter!A271</f>
        <v>§6.1.2</v>
      </c>
      <c r="B264" s="4" t="str">
        <f>Taxepunkter!B271</f>
        <v>Hanteringsavgifter för avfall inlämnat på återvinningscentral</v>
      </c>
      <c r="C264" s="4" t="str">
        <f>Taxepunkter!C271</f>
        <v>Fiskeredskap</v>
      </c>
      <c r="D264" s="4">
        <f>Taxepunkter!D271</f>
        <v>0</v>
      </c>
      <c r="E264" s="4" t="str">
        <f>Taxepunkter!E271</f>
        <v>kr/kg</v>
      </c>
      <c r="F264" s="4">
        <f>Taxepunkter!F271</f>
        <v>0</v>
      </c>
      <c r="G264" s="4" t="str">
        <f>Taxepunkter!G271</f>
        <v/>
      </c>
      <c r="H264" s="4" t="str">
        <f>Taxepunkter!H271</f>
        <v/>
      </c>
      <c r="I264" s="4" t="str">
        <f>Taxepunkter!I271</f>
        <v/>
      </c>
      <c r="J264" s="4" t="str">
        <f>Taxepunkter!J271</f>
        <v/>
      </c>
      <c r="K264" s="4">
        <f>Taxepunkter!K271</f>
        <v>0</v>
      </c>
      <c r="L264" s="6">
        <f>Taxepunkter!L271</f>
        <v>0</v>
      </c>
    </row>
    <row r="265" spans="1:12" x14ac:dyDescent="0.25">
      <c r="A265" s="5" t="str">
        <f>Taxepunkter!A272</f>
        <v>§6.1.2</v>
      </c>
      <c r="B265" s="4" t="str">
        <f>Taxepunkter!B272</f>
        <v>Hanteringsavgifter för avfall inlämnat på återvinningscentral</v>
      </c>
      <c r="C265" s="4" t="str">
        <f>Taxepunkter!C272</f>
        <v>Ätbart fett/frityrolja</v>
      </c>
      <c r="D265" s="4">
        <f>Taxepunkter!D272</f>
        <v>0</v>
      </c>
      <c r="E265" s="4" t="str">
        <f>Taxepunkter!E272</f>
        <v>kr/l</v>
      </c>
      <c r="F265" s="4">
        <f>Taxepunkter!F272</f>
        <v>0</v>
      </c>
      <c r="G265" s="4" t="str">
        <f>Taxepunkter!G272</f>
        <v/>
      </c>
      <c r="H265" s="4" t="str">
        <f>Taxepunkter!H272</f>
        <v/>
      </c>
      <c r="I265" s="4" t="str">
        <f>Taxepunkter!I272</f>
        <v/>
      </c>
      <c r="J265" s="4" t="str">
        <f>Taxepunkter!J272</f>
        <v/>
      </c>
      <c r="K265" s="4">
        <f>Taxepunkter!K272</f>
        <v>0</v>
      </c>
      <c r="L265" s="6">
        <f>Taxepunkter!L272</f>
        <v>0</v>
      </c>
    </row>
    <row r="266" spans="1:12" x14ac:dyDescent="0.25">
      <c r="A266" s="5" t="str">
        <f>Taxepunkter!A273</f>
        <v>§6.1.2</v>
      </c>
      <c r="B266" s="4" t="str">
        <f>Taxepunkter!B273</f>
        <v>Hanteringsavgifter för avfall inlämnat på återvinningscentral</v>
      </c>
      <c r="C266" s="4" t="str">
        <f>Taxepunkter!C273</f>
        <v>Kvistar och grenar</v>
      </c>
      <c r="D266" s="4">
        <f>Taxepunkter!D273</f>
        <v>200201</v>
      </c>
      <c r="E266" s="4" t="str">
        <f>Taxepunkter!E273</f>
        <v>kr/m3</v>
      </c>
      <c r="F266" s="4">
        <f>Taxepunkter!F273</f>
        <v>0</v>
      </c>
      <c r="G266" s="4">
        <f>Taxepunkter!G273</f>
        <v>0</v>
      </c>
      <c r="H266" s="4">
        <f>Taxepunkter!H273</f>
        <v>0</v>
      </c>
      <c r="I266" s="4">
        <f>Taxepunkter!I273</f>
        <v>0</v>
      </c>
      <c r="J266" s="4">
        <f>Taxepunkter!J273</f>
        <v>0</v>
      </c>
      <c r="K266" s="4">
        <f>Taxepunkter!K273</f>
        <v>0</v>
      </c>
      <c r="L266" s="6">
        <f>Taxepunkter!L273</f>
        <v>0</v>
      </c>
    </row>
    <row r="267" spans="1:12" x14ac:dyDescent="0.25">
      <c r="A267" s="5" t="str">
        <f>Taxepunkter!A274</f>
        <v>§6.1.2</v>
      </c>
      <c r="B267" s="4" t="str">
        <f>Taxepunkter!B274</f>
        <v>Hanteringsavgifter för avfall inlämnat på återvinningscentral</v>
      </c>
      <c r="C267" s="4" t="str">
        <f>Taxepunkter!C274</f>
        <v>Jord</v>
      </c>
      <c r="D267" s="4">
        <f>Taxepunkter!D274</f>
        <v>0</v>
      </c>
      <c r="E267" s="4" t="str">
        <f>Taxepunkter!E274</f>
        <v>kr/m3</v>
      </c>
      <c r="F267" s="4">
        <f>Taxepunkter!F274</f>
        <v>0</v>
      </c>
      <c r="G267" s="4">
        <f>Taxepunkter!G274</f>
        <v>0</v>
      </c>
      <c r="H267" s="4">
        <f>Taxepunkter!H274</f>
        <v>0</v>
      </c>
      <c r="I267" s="4">
        <f>Taxepunkter!I274</f>
        <v>0</v>
      </c>
      <c r="J267" s="4">
        <f>Taxepunkter!J274</f>
        <v>0</v>
      </c>
      <c r="K267" s="4">
        <f>Taxepunkter!K274</f>
        <v>0</v>
      </c>
      <c r="L267" s="6">
        <f>Taxepunkter!L274</f>
        <v>0</v>
      </c>
    </row>
    <row r="268" spans="1:12" x14ac:dyDescent="0.25">
      <c r="A268" s="5" t="str">
        <f>Taxepunkter!A275</f>
        <v>§6.1.2</v>
      </c>
      <c r="B268" s="4" t="str">
        <f>Taxepunkter!B275</f>
        <v>Hanteringsavgifter för avfall inlämnat på återvinningscentral</v>
      </c>
      <c r="C268" s="4" t="str">
        <f>Taxepunkter!C275</f>
        <v>Sten</v>
      </c>
      <c r="D268" s="4">
        <f>Taxepunkter!D275</f>
        <v>0</v>
      </c>
      <c r="E268" s="4" t="str">
        <f>Taxepunkter!E275</f>
        <v>kr/m3</v>
      </c>
      <c r="F268" s="4">
        <f>Taxepunkter!F275</f>
        <v>0</v>
      </c>
      <c r="G268" s="4">
        <f>Taxepunkter!G275</f>
        <v>0</v>
      </c>
      <c r="H268" s="4">
        <f>Taxepunkter!H275</f>
        <v>0</v>
      </c>
      <c r="I268" s="4">
        <f>Taxepunkter!I275</f>
        <v>0</v>
      </c>
      <c r="J268" s="4">
        <f>Taxepunkter!J275</f>
        <v>0</v>
      </c>
      <c r="K268" s="4">
        <f>Taxepunkter!K275</f>
        <v>0</v>
      </c>
      <c r="L268" s="6">
        <f>Taxepunkter!L275</f>
        <v>0</v>
      </c>
    </row>
    <row r="269" spans="1:12" x14ac:dyDescent="0.25">
      <c r="A269" s="5" t="str">
        <f>Taxepunkter!A276</f>
        <v>§6.1.2</v>
      </c>
      <c r="B269" s="4" t="str">
        <f>Taxepunkter!B276</f>
        <v>Hanteringsavgifter för avfall inlämnat på återvinningscentral</v>
      </c>
      <c r="C269" s="4" t="str">
        <f>Taxepunkter!C276</f>
        <v>Stubbar rötter för krossning</v>
      </c>
      <c r="D269" s="4">
        <f>Taxepunkter!D276</f>
        <v>0</v>
      </c>
      <c r="E269" s="4" t="str">
        <f>Taxepunkter!E276</f>
        <v>kr/kg</v>
      </c>
      <c r="F269" s="4">
        <f>Taxepunkter!F276</f>
        <v>0</v>
      </c>
      <c r="G269" s="4" t="str">
        <f>Taxepunkter!G276</f>
        <v/>
      </c>
      <c r="H269" s="4" t="str">
        <f>Taxepunkter!H276</f>
        <v/>
      </c>
      <c r="I269" s="4" t="str">
        <f>Taxepunkter!I276</f>
        <v/>
      </c>
      <c r="J269" s="4" t="str">
        <f>Taxepunkter!J276</f>
        <v/>
      </c>
      <c r="K269" s="4">
        <f>Taxepunkter!K276</f>
        <v>0</v>
      </c>
      <c r="L269" s="6">
        <f>Taxepunkter!L276</f>
        <v>0</v>
      </c>
    </row>
    <row r="270" spans="1:12" x14ac:dyDescent="0.25">
      <c r="A270" s="5" t="str">
        <f>Taxepunkter!A277</f>
        <v>§6.1.2</v>
      </c>
      <c r="B270" s="4" t="str">
        <f>Taxepunkter!B277</f>
        <v>Hanteringsavgifter för avfall inlämnat på återvinningscentral</v>
      </c>
      <c r="C270" s="4" t="str">
        <f>Taxepunkter!C277</f>
        <v>Flera fraktioner för egen sortering på ramp max 2 m3</v>
      </c>
      <c r="D270" s="4">
        <f>Taxepunkter!D277</f>
        <v>0</v>
      </c>
      <c r="E270" s="4" t="str">
        <f>Taxepunkter!E277</f>
        <v>Kr/besök</v>
      </c>
      <c r="F270" s="4">
        <f>Taxepunkter!F277</f>
        <v>0</v>
      </c>
      <c r="G270" s="4" t="str">
        <f>Taxepunkter!G277</f>
        <v/>
      </c>
      <c r="H270" s="4" t="str">
        <f>Taxepunkter!H277</f>
        <v/>
      </c>
      <c r="I270" s="4" t="str">
        <f>Taxepunkter!I277</f>
        <v/>
      </c>
      <c r="J270" s="4" t="str">
        <f>Taxepunkter!J277</f>
        <v/>
      </c>
      <c r="K270" s="4">
        <f>Taxepunkter!K277</f>
        <v>0</v>
      </c>
      <c r="L270" s="6">
        <f>Taxepunkter!L277</f>
        <v>0</v>
      </c>
    </row>
    <row r="271" spans="1:12" x14ac:dyDescent="0.25">
      <c r="A271" s="5" t="str">
        <f>Taxepunkter!A278</f>
        <v>§6.1.2</v>
      </c>
      <c r="B271" s="4" t="str">
        <f>Taxepunkter!B278</f>
        <v>Hanteringsavgifter för avfall inlämnat på återvinningscentral</v>
      </c>
      <c r="C271" s="4" t="str">
        <f>Taxepunkter!C278</f>
        <v>Osorterat avfall till sortering ej innehåll av farligt avfall eller elavfall</v>
      </c>
      <c r="D271" s="4">
        <f>Taxepunkter!D278</f>
        <v>0</v>
      </c>
      <c r="E271" s="4" t="str">
        <f>Taxepunkter!E278</f>
        <v>Kr/besök</v>
      </c>
      <c r="F271" s="4">
        <f>Taxepunkter!F278</f>
        <v>0</v>
      </c>
      <c r="G271" s="4" t="str">
        <f>Taxepunkter!G278</f>
        <v/>
      </c>
      <c r="H271" s="4" t="str">
        <f>Taxepunkter!H278</f>
        <v/>
      </c>
      <c r="I271" s="4" t="str">
        <f>Taxepunkter!I278</f>
        <v/>
      </c>
      <c r="J271" s="4" t="str">
        <f>Taxepunkter!J278</f>
        <v/>
      </c>
      <c r="K271" s="4">
        <f>Taxepunkter!K278</f>
        <v>0</v>
      </c>
      <c r="L271" s="6">
        <f>Taxepunkter!L278</f>
        <v>0</v>
      </c>
    </row>
    <row r="272" spans="1:12" x14ac:dyDescent="0.25">
      <c r="A272" s="5" t="str">
        <f>Taxepunkter!A279</f>
        <v>§6.1.3 Tillägg för farligt avfall</v>
      </c>
      <c r="B272" s="4">
        <f>Taxepunkter!B279</f>
        <v>0</v>
      </c>
      <c r="C272" s="4">
        <f>Taxepunkter!C279</f>
        <v>0</v>
      </c>
      <c r="D272" s="4">
        <f>Taxepunkter!D279</f>
        <v>0</v>
      </c>
      <c r="E272" s="4">
        <f>Taxepunkter!E279</f>
        <v>0</v>
      </c>
      <c r="F272" s="4">
        <f>Taxepunkter!F279</f>
        <v>0</v>
      </c>
      <c r="G272" s="4" t="str">
        <f>Taxepunkter!G279</f>
        <v/>
      </c>
      <c r="H272" s="4" t="str">
        <f>Taxepunkter!H279</f>
        <v/>
      </c>
      <c r="I272" s="4" t="str">
        <f>Taxepunkter!I279</f>
        <v/>
      </c>
      <c r="J272" s="4" t="str">
        <f>Taxepunkter!J279</f>
        <v/>
      </c>
      <c r="K272" s="4">
        <f>Taxepunkter!K279</f>
        <v>0</v>
      </c>
      <c r="L272" s="6">
        <f>Taxepunkter!L279</f>
        <v>0</v>
      </c>
    </row>
    <row r="273" spans="1:12" x14ac:dyDescent="0.25">
      <c r="A273" s="5" t="str">
        <f>Taxepunkter!A280</f>
        <v>§6.1.3</v>
      </c>
      <c r="B273" s="4" t="str">
        <f>Taxepunkter!B280</f>
        <v>Hanteringsavgifter för avfall inlämnat på återvinningscentral</v>
      </c>
      <c r="C273" s="4" t="str">
        <f>Taxepunkter!C280</f>
        <v>Tonerkassetter, utan elektronik/chip</v>
      </c>
      <c r="D273" s="4">
        <f>Taxepunkter!D280</f>
        <v>80307</v>
      </c>
      <c r="E273" s="4" t="str">
        <f>Taxepunkter!E280</f>
        <v>Kr/Kg</v>
      </c>
      <c r="F273" s="4">
        <f>Taxepunkter!F280</f>
        <v>0</v>
      </c>
      <c r="G273" s="4" t="str">
        <f>Taxepunkter!G280</f>
        <v/>
      </c>
      <c r="H273" s="4" t="str">
        <f>Taxepunkter!H280</f>
        <v/>
      </c>
      <c r="I273" s="4" t="str">
        <f>Taxepunkter!I280</f>
        <v/>
      </c>
      <c r="J273" s="4" t="str">
        <f>Taxepunkter!J280</f>
        <v/>
      </c>
      <c r="K273" s="4">
        <f>Taxepunkter!K280</f>
        <v>0</v>
      </c>
      <c r="L273" s="6">
        <f>Taxepunkter!L280</f>
        <v>0</v>
      </c>
    </row>
    <row r="274" spans="1:12" x14ac:dyDescent="0.25">
      <c r="A274" s="5" t="str">
        <f>Taxepunkter!A281</f>
        <v>§6.1.3</v>
      </c>
      <c r="B274" s="4" t="str">
        <f>Taxepunkter!B281</f>
        <v>Hanteringsavgifter för avfall inlämnat på återvinningscentral</v>
      </c>
      <c r="C274" s="4" t="str">
        <f>Taxepunkter!C281</f>
        <v>Oljeemulsion, emballerat</v>
      </c>
      <c r="D274" s="4" t="str">
        <f>Taxepunkter!D281</f>
        <v>120109*</v>
      </c>
      <c r="E274" s="4" t="str">
        <f>Taxepunkter!E281</f>
        <v>Kr/Kg</v>
      </c>
      <c r="F274" s="4">
        <f>Taxepunkter!F281</f>
        <v>0</v>
      </c>
      <c r="G274" s="4" t="str">
        <f>Taxepunkter!G281</f>
        <v/>
      </c>
      <c r="H274" s="4" t="str">
        <f>Taxepunkter!H281</f>
        <v/>
      </c>
      <c r="I274" s="4" t="str">
        <f>Taxepunkter!I281</f>
        <v/>
      </c>
      <c r="J274" s="4" t="str">
        <f>Taxepunkter!J281</f>
        <v/>
      </c>
      <c r="K274" s="4">
        <f>Taxepunkter!K281</f>
        <v>0</v>
      </c>
      <c r="L274" s="6">
        <f>Taxepunkter!L281</f>
        <v>0</v>
      </c>
    </row>
    <row r="275" spans="1:12" x14ac:dyDescent="0.25">
      <c r="A275" s="5" t="str">
        <f>Taxepunkter!A282</f>
        <v>§6.1.3</v>
      </c>
      <c r="B275" s="4" t="str">
        <f>Taxepunkter!B282</f>
        <v>Hanteringsavgifter för avfall inlämnat på återvinningscentral</v>
      </c>
      <c r="C275" s="4" t="str">
        <f>Taxepunkter!C282</f>
        <v>Förorenad olja innehållande PCB</v>
      </c>
      <c r="D275" s="4" t="str">
        <f>Taxepunkter!D282</f>
        <v>130301*</v>
      </c>
      <c r="E275" s="4" t="str">
        <f>Taxepunkter!E282</f>
        <v>Kr/Kg</v>
      </c>
      <c r="F275" s="4">
        <f>Taxepunkter!F282</f>
        <v>0</v>
      </c>
      <c r="G275" s="4" t="str">
        <f>Taxepunkter!G282</f>
        <v/>
      </c>
      <c r="H275" s="4" t="str">
        <f>Taxepunkter!H282</f>
        <v/>
      </c>
      <c r="I275" s="4" t="str">
        <f>Taxepunkter!I282</f>
        <v/>
      </c>
      <c r="J275" s="4" t="str">
        <f>Taxepunkter!J282</f>
        <v/>
      </c>
      <c r="K275" s="4">
        <f>Taxepunkter!K282</f>
        <v>0</v>
      </c>
      <c r="L275" s="6">
        <f>Taxepunkter!L282</f>
        <v>0</v>
      </c>
    </row>
    <row r="276" spans="1:12" x14ac:dyDescent="0.25">
      <c r="A276" s="5" t="str">
        <f>Taxepunkter!A283</f>
        <v>§6.1.3</v>
      </c>
      <c r="B276" s="4" t="str">
        <f>Taxepunkter!B283</f>
        <v>Hanteringsavgifter för avfall inlämnat på återvinningscentral</v>
      </c>
      <c r="C276" s="4" t="str">
        <f>Taxepunkter!C283</f>
        <v>Oljeavskiljarslam</v>
      </c>
      <c r="D276" s="4" t="str">
        <f>Taxepunkter!D283</f>
        <v>130508*</v>
      </c>
      <c r="E276" s="4" t="str">
        <f>Taxepunkter!E283</f>
        <v>Kr/Kg</v>
      </c>
      <c r="F276" s="4">
        <f>Taxepunkter!F283</f>
        <v>0</v>
      </c>
      <c r="G276" s="4" t="str">
        <f>Taxepunkter!G283</f>
        <v/>
      </c>
      <c r="H276" s="4" t="str">
        <f>Taxepunkter!H283</f>
        <v/>
      </c>
      <c r="I276" s="4" t="str">
        <f>Taxepunkter!I283</f>
        <v/>
      </c>
      <c r="J276" s="4" t="str">
        <f>Taxepunkter!J283</f>
        <v/>
      </c>
      <c r="K276" s="4">
        <f>Taxepunkter!K283</f>
        <v>0</v>
      </c>
      <c r="L276" s="6">
        <f>Taxepunkter!L283</f>
        <v>0</v>
      </c>
    </row>
    <row r="277" spans="1:12" x14ac:dyDescent="0.25">
      <c r="A277" s="5" t="str">
        <f>Taxepunkter!A284</f>
        <v>§6.1.3</v>
      </c>
      <c r="B277" s="4" t="str">
        <f>Taxepunkter!B284</f>
        <v>Hanteringsavgifter för avfall inlämnat på återvinningscentral</v>
      </c>
      <c r="C277" s="4" t="str">
        <f>Taxepunkter!C284</f>
        <v>Diesel</v>
      </c>
      <c r="D277" s="4" t="str">
        <f>Taxepunkter!D284</f>
        <v>130701*</v>
      </c>
      <c r="E277" s="4" t="str">
        <f>Taxepunkter!E284</f>
        <v>Kr/Kg</v>
      </c>
      <c r="F277" s="4">
        <f>Taxepunkter!F284</f>
        <v>0</v>
      </c>
      <c r="G277" s="4" t="str">
        <f>Taxepunkter!G284</f>
        <v/>
      </c>
      <c r="H277" s="4" t="str">
        <f>Taxepunkter!H284</f>
        <v/>
      </c>
      <c r="I277" s="4" t="str">
        <f>Taxepunkter!I284</f>
        <v/>
      </c>
      <c r="J277" s="4" t="str">
        <f>Taxepunkter!J284</f>
        <v/>
      </c>
      <c r="K277" s="4">
        <f>Taxepunkter!K284</f>
        <v>0</v>
      </c>
      <c r="L277" s="6">
        <f>Taxepunkter!L284</f>
        <v>0</v>
      </c>
    </row>
    <row r="278" spans="1:12" x14ac:dyDescent="0.25">
      <c r="A278" s="5" t="str">
        <f>Taxepunkter!A285</f>
        <v>§6.1.3</v>
      </c>
      <c r="B278" s="4" t="str">
        <f>Taxepunkter!B285</f>
        <v>Hanteringsavgifter för avfall inlämnat på återvinningscentral</v>
      </c>
      <c r="C278" s="4" t="str">
        <f>Taxepunkter!C285</f>
        <v>Bensinrester</v>
      </c>
      <c r="D278" s="4" t="str">
        <f>Taxepunkter!D285</f>
        <v>130702*</v>
      </c>
      <c r="E278" s="4" t="str">
        <f>Taxepunkter!E285</f>
        <v>Kr/Kg</v>
      </c>
      <c r="F278" s="4">
        <f>Taxepunkter!F285</f>
        <v>0</v>
      </c>
      <c r="G278" s="4" t="str">
        <f>Taxepunkter!G285</f>
        <v/>
      </c>
      <c r="H278" s="4" t="str">
        <f>Taxepunkter!H285</f>
        <v/>
      </c>
      <c r="I278" s="4" t="str">
        <f>Taxepunkter!I285</f>
        <v/>
      </c>
      <c r="J278" s="4" t="str">
        <f>Taxepunkter!J285</f>
        <v/>
      </c>
      <c r="K278" s="4">
        <f>Taxepunkter!K285</f>
        <v>0</v>
      </c>
      <c r="L278" s="6">
        <f>Taxepunkter!L285</f>
        <v>0</v>
      </c>
    </row>
    <row r="279" spans="1:12" x14ac:dyDescent="0.25">
      <c r="A279" s="5" t="str">
        <f>Taxepunkter!A286</f>
        <v>§6.1.3</v>
      </c>
      <c r="B279" s="4" t="str">
        <f>Taxepunkter!B286</f>
        <v>Hanteringsavgifter för avfall inlämnat på återvinningscentral</v>
      </c>
      <c r="C279" s="4" t="str">
        <f>Taxepunkter!C286</f>
        <v>Hydralslang, med/utan koppling</v>
      </c>
      <c r="D279" s="4" t="str">
        <f>Taxepunkter!D286</f>
        <v>130899*</v>
      </c>
      <c r="E279" s="4" t="str">
        <f>Taxepunkter!E286</f>
        <v>Kr/Kg</v>
      </c>
      <c r="F279" s="4">
        <f>Taxepunkter!F286</f>
        <v>0</v>
      </c>
      <c r="G279" s="4" t="str">
        <f>Taxepunkter!G286</f>
        <v/>
      </c>
      <c r="H279" s="4" t="str">
        <f>Taxepunkter!H286</f>
        <v/>
      </c>
      <c r="I279" s="4" t="str">
        <f>Taxepunkter!I286</f>
        <v/>
      </c>
      <c r="J279" s="4" t="str">
        <f>Taxepunkter!J286</f>
        <v/>
      </c>
      <c r="K279" s="4">
        <f>Taxepunkter!K286</f>
        <v>0</v>
      </c>
      <c r="L279" s="6">
        <f>Taxepunkter!L286</f>
        <v>0</v>
      </c>
    </row>
    <row r="280" spans="1:12" x14ac:dyDescent="0.25">
      <c r="A280" s="5" t="str">
        <f>Taxepunkter!A287</f>
        <v>§6.1.3</v>
      </c>
      <c r="B280" s="4" t="str">
        <f>Taxepunkter!B287</f>
        <v>Hanteringsavgifter för avfall inlämnat på återvinningscentral</v>
      </c>
      <c r="C280" s="4" t="str">
        <f>Taxepunkter!C287</f>
        <v>Förpackningar, tömde ej rengjorda</v>
      </c>
      <c r="D280" s="4" t="str">
        <f>Taxepunkter!D287</f>
        <v>150110*</v>
      </c>
      <c r="E280" s="4" t="str">
        <f>Taxepunkter!E287</f>
        <v>Kr/Kg</v>
      </c>
      <c r="F280" s="4">
        <f>Taxepunkter!F287</f>
        <v>0</v>
      </c>
      <c r="G280" s="4" t="str">
        <f>Taxepunkter!G287</f>
        <v/>
      </c>
      <c r="H280" s="4" t="str">
        <f>Taxepunkter!H287</f>
        <v/>
      </c>
      <c r="I280" s="4" t="str">
        <f>Taxepunkter!I287</f>
        <v/>
      </c>
      <c r="J280" s="4" t="str">
        <f>Taxepunkter!J287</f>
        <v/>
      </c>
      <c r="K280" s="4">
        <f>Taxepunkter!K287</f>
        <v>0</v>
      </c>
      <c r="L280" s="6">
        <f>Taxepunkter!L287</f>
        <v>0</v>
      </c>
    </row>
    <row r="281" spans="1:12" x14ac:dyDescent="0.25">
      <c r="A281" s="5" t="str">
        <f>Taxepunkter!A288</f>
        <v>§6.1.3</v>
      </c>
      <c r="B281" s="4" t="str">
        <f>Taxepunkter!B288</f>
        <v>Hanteringsavgifter för avfall inlämnat på återvinningscentral</v>
      </c>
      <c r="C281" s="4" t="str">
        <f>Taxepunkter!C288</f>
        <v>Oljeavfall, fast osorterat emba</v>
      </c>
      <c r="D281" s="4" t="str">
        <f>Taxepunkter!D288</f>
        <v>150202*</v>
      </c>
      <c r="E281" s="4" t="str">
        <f>Taxepunkter!E288</f>
        <v>Kr/Kg</v>
      </c>
      <c r="F281" s="4">
        <f>Taxepunkter!F288</f>
        <v>0</v>
      </c>
      <c r="G281" s="4" t="str">
        <f>Taxepunkter!G288</f>
        <v/>
      </c>
      <c r="H281" s="4" t="str">
        <f>Taxepunkter!H288</f>
        <v/>
      </c>
      <c r="I281" s="4" t="str">
        <f>Taxepunkter!I288</f>
        <v/>
      </c>
      <c r="J281" s="4" t="str">
        <f>Taxepunkter!J288</f>
        <v/>
      </c>
      <c r="K281" s="4">
        <f>Taxepunkter!K288</f>
        <v>0</v>
      </c>
      <c r="L281" s="6">
        <f>Taxepunkter!L288</f>
        <v>0</v>
      </c>
    </row>
    <row r="282" spans="1:12" x14ac:dyDescent="0.25">
      <c r="A282" s="5" t="str">
        <f>Taxepunkter!A289</f>
        <v>§6.1.3</v>
      </c>
      <c r="B282" s="4" t="str">
        <f>Taxepunkter!B289</f>
        <v>Hanteringsavgifter för avfall inlämnat på återvinningscentral</v>
      </c>
      <c r="C282" s="4" t="str">
        <f>Taxepunkter!C289</f>
        <v>Absorbermedel, filtermaterial</v>
      </c>
      <c r="D282" s="4" t="str">
        <f>Taxepunkter!D289</f>
        <v>150202*</v>
      </c>
      <c r="E282" s="4" t="str">
        <f>Taxepunkter!E289</f>
        <v>Kr/Kg</v>
      </c>
      <c r="F282" s="4">
        <f>Taxepunkter!F289</f>
        <v>0</v>
      </c>
      <c r="G282" s="4" t="str">
        <f>Taxepunkter!G289</f>
        <v/>
      </c>
      <c r="H282" s="4" t="str">
        <f>Taxepunkter!H289</f>
        <v/>
      </c>
      <c r="I282" s="4" t="str">
        <f>Taxepunkter!I289</f>
        <v/>
      </c>
      <c r="J282" s="4" t="str">
        <f>Taxepunkter!J289</f>
        <v/>
      </c>
      <c r="K282" s="4">
        <f>Taxepunkter!K289</f>
        <v>0</v>
      </c>
      <c r="L282" s="6">
        <f>Taxepunkter!L289</f>
        <v>0</v>
      </c>
    </row>
    <row r="283" spans="1:12" x14ac:dyDescent="0.25">
      <c r="A283" s="5" t="str">
        <f>Taxepunkter!A290</f>
        <v>§6.1.3</v>
      </c>
      <c r="B283" s="4" t="str">
        <f>Taxepunkter!B290</f>
        <v>Hanteringsavgifter för avfall inlämnat på återvinningscentral</v>
      </c>
      <c r="C283" s="4" t="str">
        <f>Taxepunkter!C290</f>
        <v>Oljefilter</v>
      </c>
      <c r="D283" s="4" t="str">
        <f>Taxepunkter!D290</f>
        <v>160107*</v>
      </c>
      <c r="E283" s="4" t="str">
        <f>Taxepunkter!E290</f>
        <v>Kr/Kg</v>
      </c>
      <c r="F283" s="4">
        <f>Taxepunkter!F290</f>
        <v>0</v>
      </c>
      <c r="G283" s="4" t="str">
        <f>Taxepunkter!G290</f>
        <v/>
      </c>
      <c r="H283" s="4" t="str">
        <f>Taxepunkter!H290</f>
        <v/>
      </c>
      <c r="I283" s="4" t="str">
        <f>Taxepunkter!I290</f>
        <v/>
      </c>
      <c r="J283" s="4" t="str">
        <f>Taxepunkter!J290</f>
        <v/>
      </c>
      <c r="K283" s="4">
        <f>Taxepunkter!K290</f>
        <v>0</v>
      </c>
      <c r="L283" s="6">
        <f>Taxepunkter!L290</f>
        <v>0</v>
      </c>
    </row>
    <row r="284" spans="1:12" x14ac:dyDescent="0.25">
      <c r="A284" s="5" t="str">
        <f>Taxepunkter!A291</f>
        <v>§6.1.3</v>
      </c>
      <c r="B284" s="4" t="str">
        <f>Taxepunkter!B291</f>
        <v>Hanteringsavgifter för avfall inlämnat på återvinningscentral</v>
      </c>
      <c r="C284" s="4" t="str">
        <f>Taxepunkter!C291</f>
        <v>Bromsvätska</v>
      </c>
      <c r="D284" s="4" t="str">
        <f>Taxepunkter!D291</f>
        <v>160113*</v>
      </c>
      <c r="E284" s="4" t="str">
        <f>Taxepunkter!E291</f>
        <v>Kr/Kg</v>
      </c>
      <c r="F284" s="4">
        <f>Taxepunkter!F291</f>
        <v>0</v>
      </c>
      <c r="G284" s="4" t="str">
        <f>Taxepunkter!G291</f>
        <v/>
      </c>
      <c r="H284" s="4" t="str">
        <f>Taxepunkter!H291</f>
        <v/>
      </c>
      <c r="I284" s="4" t="str">
        <f>Taxepunkter!I291</f>
        <v/>
      </c>
      <c r="J284" s="4" t="str">
        <f>Taxepunkter!J291</f>
        <v/>
      </c>
      <c r="K284" s="4">
        <f>Taxepunkter!K291</f>
        <v>0</v>
      </c>
      <c r="L284" s="6">
        <f>Taxepunkter!L291</f>
        <v>0</v>
      </c>
    </row>
    <row r="285" spans="1:12" x14ac:dyDescent="0.25">
      <c r="A285" s="5" t="str">
        <f>Taxepunkter!A292</f>
        <v>§6.1.3</v>
      </c>
      <c r="B285" s="4" t="str">
        <f>Taxepunkter!B292</f>
        <v>Hanteringsavgifter för avfall inlämnat på återvinningscentral</v>
      </c>
      <c r="C285" s="4" t="str">
        <f>Taxepunkter!C292</f>
        <v>Transformator, kondensator med PCB</v>
      </c>
      <c r="D285" s="4" t="str">
        <f>Taxepunkter!D292</f>
        <v>160209*</v>
      </c>
      <c r="E285" s="4" t="str">
        <f>Taxepunkter!E292</f>
        <v>Kr/Kg</v>
      </c>
      <c r="F285" s="4">
        <f>Taxepunkter!F292</f>
        <v>0</v>
      </c>
      <c r="G285" s="4" t="str">
        <f>Taxepunkter!G292</f>
        <v/>
      </c>
      <c r="H285" s="4" t="str">
        <f>Taxepunkter!H292</f>
        <v/>
      </c>
      <c r="I285" s="4" t="str">
        <f>Taxepunkter!I292</f>
        <v/>
      </c>
      <c r="J285" s="4" t="str">
        <f>Taxepunkter!J292</f>
        <v/>
      </c>
      <c r="K285" s="4">
        <f>Taxepunkter!K292</f>
        <v>0</v>
      </c>
      <c r="L285" s="6">
        <f>Taxepunkter!L292</f>
        <v>0</v>
      </c>
    </row>
    <row r="286" spans="1:12" x14ac:dyDescent="0.25">
      <c r="A286" s="5" t="str">
        <f>Taxepunkter!A293</f>
        <v>§6.1.3</v>
      </c>
      <c r="B286" s="4" t="str">
        <f>Taxepunkter!B293</f>
        <v>Hanteringsavgifter för avfall inlämnat på återvinningscentral</v>
      </c>
      <c r="C286" s="4" t="str">
        <f>Taxepunkter!C293</f>
        <v>Fogskum</v>
      </c>
      <c r="D286" s="4" t="str">
        <f>Taxepunkter!D293</f>
        <v>160504*</v>
      </c>
      <c r="E286" s="4" t="str">
        <f>Taxepunkter!E293</f>
        <v>Kr/Kg</v>
      </c>
      <c r="F286" s="4">
        <f>Taxepunkter!F293</f>
        <v>0</v>
      </c>
      <c r="G286" s="4" t="str">
        <f>Taxepunkter!G293</f>
        <v/>
      </c>
      <c r="H286" s="4" t="str">
        <f>Taxepunkter!H293</f>
        <v/>
      </c>
      <c r="I286" s="4" t="str">
        <f>Taxepunkter!I293</f>
        <v/>
      </c>
      <c r="J286" s="4" t="str">
        <f>Taxepunkter!J293</f>
        <v/>
      </c>
      <c r="K286" s="4">
        <f>Taxepunkter!K293</f>
        <v>0</v>
      </c>
      <c r="L286" s="6">
        <f>Taxepunkter!L293</f>
        <v>0</v>
      </c>
    </row>
    <row r="287" spans="1:12" x14ac:dyDescent="0.25">
      <c r="A287" s="5" t="str">
        <f>Taxepunkter!A294</f>
        <v>§6.1.3</v>
      </c>
      <c r="B287" s="4" t="str">
        <f>Taxepunkter!B294</f>
        <v>Hanteringsavgifter för avfall inlämnat på återvinningscentral</v>
      </c>
      <c r="C287" s="4" t="str">
        <f>Taxepunkter!C294</f>
        <v>Halon</v>
      </c>
      <c r="D287" s="4" t="str">
        <f>Taxepunkter!D294</f>
        <v>160504*</v>
      </c>
      <c r="E287" s="4" t="str">
        <f>Taxepunkter!E294</f>
        <v>Kr/Kg</v>
      </c>
      <c r="F287" s="4">
        <f>Taxepunkter!F294</f>
        <v>0</v>
      </c>
      <c r="G287" s="4" t="str">
        <f>Taxepunkter!G294</f>
        <v/>
      </c>
      <c r="H287" s="4" t="str">
        <f>Taxepunkter!H294</f>
        <v/>
      </c>
      <c r="I287" s="4" t="str">
        <f>Taxepunkter!I294</f>
        <v/>
      </c>
      <c r="J287" s="4" t="str">
        <f>Taxepunkter!J294</f>
        <v/>
      </c>
      <c r="K287" s="4">
        <f>Taxepunkter!K294</f>
        <v>0</v>
      </c>
      <c r="L287" s="6">
        <f>Taxepunkter!L294</f>
        <v>0</v>
      </c>
    </row>
    <row r="288" spans="1:12" x14ac:dyDescent="0.25">
      <c r="A288" s="5" t="str">
        <f>Taxepunkter!A295</f>
        <v>§6.1.3</v>
      </c>
      <c r="B288" s="4" t="str">
        <f>Taxepunkter!B295</f>
        <v>Hanteringsavgifter för avfall inlämnat på återvinningscentral</v>
      </c>
      <c r="C288" s="4" t="str">
        <f>Taxepunkter!C295</f>
        <v>Koldioxid</v>
      </c>
      <c r="D288" s="4" t="str">
        <f>Taxepunkter!D295</f>
        <v>160504*</v>
      </c>
      <c r="E288" s="4" t="str">
        <f>Taxepunkter!E295</f>
        <v>Kr/Kg</v>
      </c>
      <c r="F288" s="4">
        <f>Taxepunkter!F295</f>
        <v>0</v>
      </c>
      <c r="G288" s="4" t="str">
        <f>Taxepunkter!G295</f>
        <v/>
      </c>
      <c r="H288" s="4" t="str">
        <f>Taxepunkter!H295</f>
        <v/>
      </c>
      <c r="I288" s="4" t="str">
        <f>Taxepunkter!I295</f>
        <v/>
      </c>
      <c r="J288" s="4" t="str">
        <f>Taxepunkter!J295</f>
        <v/>
      </c>
      <c r="K288" s="4">
        <f>Taxepunkter!K295</f>
        <v>0</v>
      </c>
      <c r="L288" s="6">
        <f>Taxepunkter!L295</f>
        <v>0</v>
      </c>
    </row>
    <row r="289" spans="1:12" x14ac:dyDescent="0.25">
      <c r="A289" s="5" t="str">
        <f>Taxepunkter!A296</f>
        <v>§6.1.3</v>
      </c>
      <c r="B289" s="4" t="str">
        <f>Taxepunkter!B296</f>
        <v>Hanteringsavgifter för avfall inlämnat på återvinningscentral</v>
      </c>
      <c r="C289" s="4" t="str">
        <f>Taxepunkter!C296</f>
        <v>Brandsläckare</v>
      </c>
      <c r="D289" s="4" t="str">
        <f>Taxepunkter!D296</f>
        <v>160504*</v>
      </c>
      <c r="E289" s="4" t="str">
        <f>Taxepunkter!E296</f>
        <v>Kr/Kg</v>
      </c>
      <c r="F289" s="4">
        <f>Taxepunkter!F296</f>
        <v>0</v>
      </c>
      <c r="G289" s="4" t="str">
        <f>Taxepunkter!G296</f>
        <v/>
      </c>
      <c r="H289" s="4" t="str">
        <f>Taxepunkter!H296</f>
        <v/>
      </c>
      <c r="I289" s="4" t="str">
        <f>Taxepunkter!I296</f>
        <v/>
      </c>
      <c r="J289" s="4" t="str">
        <f>Taxepunkter!J296</f>
        <v/>
      </c>
      <c r="K289" s="4">
        <f>Taxepunkter!K296</f>
        <v>0</v>
      </c>
      <c r="L289" s="6">
        <f>Taxepunkter!L296</f>
        <v>0</v>
      </c>
    </row>
    <row r="290" spans="1:12" x14ac:dyDescent="0.25">
      <c r="A290" s="5" t="str">
        <f>Taxepunkter!A297</f>
        <v>§6.1.3</v>
      </c>
      <c r="B290" s="4" t="str">
        <f>Taxepunkter!B297</f>
        <v>Hanteringsavgifter för avfall inlämnat på återvinningscentral</v>
      </c>
      <c r="C290" s="4" t="str">
        <f>Taxepunkter!C297</f>
        <v>Helium</v>
      </c>
      <c r="D290" s="4" t="str">
        <f>Taxepunkter!D297</f>
        <v>160504*</v>
      </c>
      <c r="E290" s="4" t="str">
        <f>Taxepunkter!E297</f>
        <v>Kr/Kg</v>
      </c>
      <c r="F290" s="4">
        <f>Taxepunkter!F297</f>
        <v>0</v>
      </c>
      <c r="G290" s="4" t="str">
        <f>Taxepunkter!G297</f>
        <v/>
      </c>
      <c r="H290" s="4" t="str">
        <f>Taxepunkter!H297</f>
        <v/>
      </c>
      <c r="I290" s="4" t="str">
        <f>Taxepunkter!I297</f>
        <v/>
      </c>
      <c r="J290" s="4" t="str">
        <f>Taxepunkter!J297</f>
        <v/>
      </c>
      <c r="K290" s="4">
        <f>Taxepunkter!K297</f>
        <v>0</v>
      </c>
      <c r="L290" s="6">
        <f>Taxepunkter!L297</f>
        <v>0</v>
      </c>
    </row>
    <row r="291" spans="1:12" x14ac:dyDescent="0.25">
      <c r="A291" s="5" t="str">
        <f>Taxepunkter!A298</f>
        <v>§6.1.3</v>
      </c>
      <c r="B291" s="4" t="str">
        <f>Taxepunkter!B298</f>
        <v>Hanteringsavgifter för avfall inlämnat på återvinningscentral</v>
      </c>
      <c r="C291" s="4" t="str">
        <f>Taxepunkter!C298</f>
        <v>Tändare</v>
      </c>
      <c r="D291" s="4" t="str">
        <f>Taxepunkter!D298</f>
        <v>160504*</v>
      </c>
      <c r="E291" s="4" t="str">
        <f>Taxepunkter!E298</f>
        <v>Kr/Kg</v>
      </c>
      <c r="F291" s="4">
        <f>Taxepunkter!F298</f>
        <v>0</v>
      </c>
      <c r="G291" s="4" t="str">
        <f>Taxepunkter!G298</f>
        <v/>
      </c>
      <c r="H291" s="4" t="str">
        <f>Taxepunkter!H298</f>
        <v/>
      </c>
      <c r="I291" s="4" t="str">
        <f>Taxepunkter!I298</f>
        <v/>
      </c>
      <c r="J291" s="4" t="str">
        <f>Taxepunkter!J298</f>
        <v/>
      </c>
      <c r="K291" s="4">
        <f>Taxepunkter!K298</f>
        <v>0</v>
      </c>
      <c r="L291" s="6">
        <f>Taxepunkter!L298</f>
        <v>0</v>
      </c>
    </row>
    <row r="292" spans="1:12" x14ac:dyDescent="0.25">
      <c r="A292" s="5" t="str">
        <f>Taxepunkter!A299</f>
        <v>§6.1.3</v>
      </c>
      <c r="B292" s="4" t="str">
        <f>Taxepunkter!B299</f>
        <v>Hanteringsavgifter för avfall inlämnat på återvinningscentral</v>
      </c>
      <c r="C292" s="4" t="str">
        <f>Taxepunkter!C299</f>
        <v>Syrgas</v>
      </c>
      <c r="D292" s="4" t="str">
        <f>Taxepunkter!D299</f>
        <v>160504*</v>
      </c>
      <c r="E292" s="4" t="str">
        <f>Taxepunkter!E299</f>
        <v>Kr/Kg</v>
      </c>
      <c r="F292" s="4">
        <f>Taxepunkter!F299</f>
        <v>0</v>
      </c>
      <c r="G292" s="4" t="str">
        <f>Taxepunkter!G299</f>
        <v/>
      </c>
      <c r="H292" s="4" t="str">
        <f>Taxepunkter!H299</f>
        <v/>
      </c>
      <c r="I292" s="4" t="str">
        <f>Taxepunkter!I299</f>
        <v/>
      </c>
      <c r="J292" s="4" t="str">
        <f>Taxepunkter!J299</f>
        <v/>
      </c>
      <c r="K292" s="4">
        <f>Taxepunkter!K299</f>
        <v>0</v>
      </c>
      <c r="L292" s="6">
        <f>Taxepunkter!L299</f>
        <v>0</v>
      </c>
    </row>
    <row r="293" spans="1:12" x14ac:dyDescent="0.25">
      <c r="A293" s="5" t="str">
        <f>Taxepunkter!A300</f>
        <v>§6.1.3</v>
      </c>
      <c r="B293" s="4" t="str">
        <f>Taxepunkter!B300</f>
        <v>Hanteringsavgifter för avfall inlämnat på återvinningscentral</v>
      </c>
      <c r="C293" s="4" t="str">
        <f>Taxepunkter!C300</f>
        <v>Oxiderande fast ämne/vätska</v>
      </c>
      <c r="D293" s="4" t="str">
        <f>Taxepunkter!D300</f>
        <v>160504*</v>
      </c>
      <c r="E293" s="4" t="str">
        <f>Taxepunkter!E300</f>
        <v>Kr/Kg</v>
      </c>
      <c r="F293" s="4">
        <f>Taxepunkter!F300</f>
        <v>0</v>
      </c>
      <c r="G293" s="4" t="str">
        <f>Taxepunkter!G300</f>
        <v/>
      </c>
      <c r="H293" s="4" t="str">
        <f>Taxepunkter!H300</f>
        <v/>
      </c>
      <c r="I293" s="4" t="str">
        <f>Taxepunkter!I300</f>
        <v/>
      </c>
      <c r="J293" s="4" t="str">
        <f>Taxepunkter!J300</f>
        <v/>
      </c>
      <c r="K293" s="4">
        <f>Taxepunkter!K300</f>
        <v>0</v>
      </c>
      <c r="L293" s="6">
        <f>Taxepunkter!L300</f>
        <v>0</v>
      </c>
    </row>
    <row r="294" spans="1:12" x14ac:dyDescent="0.25">
      <c r="A294" s="5" t="str">
        <f>Taxepunkter!A301</f>
        <v>§6.1.3</v>
      </c>
      <c r="B294" s="4" t="str">
        <f>Taxepunkter!B301</f>
        <v>Hanteringsavgifter för avfall inlämnat på återvinningscentral</v>
      </c>
      <c r="C294" s="4" t="str">
        <f>Taxepunkter!C301</f>
        <v>Klorex</v>
      </c>
      <c r="D294" s="4" t="str">
        <f>Taxepunkter!D301</f>
        <v>160504*</v>
      </c>
      <c r="E294" s="4" t="str">
        <f>Taxepunkter!E301</f>
        <v>Kr/Kg</v>
      </c>
      <c r="F294" s="4">
        <f>Taxepunkter!F301</f>
        <v>0</v>
      </c>
      <c r="G294" s="4" t="str">
        <f>Taxepunkter!G301</f>
        <v/>
      </c>
      <c r="H294" s="4" t="str">
        <f>Taxepunkter!H301</f>
        <v/>
      </c>
      <c r="I294" s="4" t="str">
        <f>Taxepunkter!I301</f>
        <v/>
      </c>
      <c r="J294" s="4" t="str">
        <f>Taxepunkter!J301</f>
        <v/>
      </c>
      <c r="K294" s="4">
        <f>Taxepunkter!K301</f>
        <v>0</v>
      </c>
      <c r="L294" s="6">
        <f>Taxepunkter!L301</f>
        <v>0</v>
      </c>
    </row>
    <row r="295" spans="1:12" x14ac:dyDescent="0.25">
      <c r="A295" s="5" t="str">
        <f>Taxepunkter!A302</f>
        <v>§6.1.3</v>
      </c>
      <c r="B295" s="4" t="str">
        <f>Taxepunkter!B302</f>
        <v>Hanteringsavgifter för avfall inlämnat på återvinningscentral</v>
      </c>
      <c r="C295" s="4" t="str">
        <f>Taxepunkter!C302</f>
        <v>Aerosoler isocyanat, bekämpning</v>
      </c>
      <c r="D295" s="4" t="str">
        <f>Taxepunkter!D302</f>
        <v>160504*</v>
      </c>
      <c r="E295" s="4" t="str">
        <f>Taxepunkter!E302</f>
        <v>Kr/Kg</v>
      </c>
      <c r="F295" s="4">
        <f>Taxepunkter!F302</f>
        <v>0</v>
      </c>
      <c r="G295" s="4" t="str">
        <f>Taxepunkter!G302</f>
        <v/>
      </c>
      <c r="H295" s="4" t="str">
        <f>Taxepunkter!H302</f>
        <v/>
      </c>
      <c r="I295" s="4" t="str">
        <f>Taxepunkter!I302</f>
        <v/>
      </c>
      <c r="J295" s="4" t="str">
        <f>Taxepunkter!J302</f>
        <v/>
      </c>
      <c r="K295" s="4">
        <f>Taxepunkter!K302</f>
        <v>0</v>
      </c>
      <c r="L295" s="6">
        <f>Taxepunkter!L302</f>
        <v>0</v>
      </c>
    </row>
    <row r="296" spans="1:12" x14ac:dyDescent="0.25">
      <c r="A296" s="5" t="str">
        <f>Taxepunkter!A303</f>
        <v>§6.1.3</v>
      </c>
      <c r="B296" s="4" t="str">
        <f>Taxepunkter!B303</f>
        <v>Hanteringsavgifter för avfall inlämnat på återvinningscentral</v>
      </c>
      <c r="C296" s="4" t="str">
        <f>Taxepunkter!C303</f>
        <v>Gasol inkl tub</v>
      </c>
      <c r="D296" s="4" t="str">
        <f>Taxepunkter!D303</f>
        <v>160504*</v>
      </c>
      <c r="E296" s="4" t="str">
        <f>Taxepunkter!E303</f>
        <v>Kr/Kg</v>
      </c>
      <c r="F296" s="4">
        <f>Taxepunkter!F303</f>
        <v>0</v>
      </c>
      <c r="G296" s="4" t="str">
        <f>Taxepunkter!G303</f>
        <v/>
      </c>
      <c r="H296" s="4" t="str">
        <f>Taxepunkter!H303</f>
        <v/>
      </c>
      <c r="I296" s="4" t="str">
        <f>Taxepunkter!I303</f>
        <v/>
      </c>
      <c r="J296" s="4" t="str">
        <f>Taxepunkter!J303</f>
        <v/>
      </c>
      <c r="K296" s="4">
        <f>Taxepunkter!K303</f>
        <v>0</v>
      </c>
      <c r="L296" s="6">
        <f>Taxepunkter!L303</f>
        <v>0</v>
      </c>
    </row>
    <row r="297" spans="1:12" x14ac:dyDescent="0.25">
      <c r="A297" s="5" t="str">
        <f>Taxepunkter!A304</f>
        <v>§6.1.3</v>
      </c>
      <c r="B297" s="4" t="str">
        <f>Taxepunkter!B304</f>
        <v>Hanteringsavgifter för avfall inlämnat på återvinningscentral</v>
      </c>
      <c r="C297" s="4" t="str">
        <f>Taxepunkter!C304</f>
        <v>Gasol, blå programmet</v>
      </c>
      <c r="D297" s="4" t="str">
        <f>Taxepunkter!D304</f>
        <v>160504*</v>
      </c>
      <c r="E297" s="4" t="str">
        <f>Taxepunkter!E304</f>
        <v>Kr/Kg</v>
      </c>
      <c r="F297" s="4">
        <f>Taxepunkter!F304</f>
        <v>0</v>
      </c>
      <c r="G297" s="4" t="str">
        <f>Taxepunkter!G304</f>
        <v/>
      </c>
      <c r="H297" s="4" t="str">
        <f>Taxepunkter!H304</f>
        <v/>
      </c>
      <c r="I297" s="4" t="str">
        <f>Taxepunkter!I304</f>
        <v/>
      </c>
      <c r="J297" s="4" t="str">
        <f>Taxepunkter!J304</f>
        <v/>
      </c>
      <c r="K297" s="4">
        <f>Taxepunkter!K304</f>
        <v>0</v>
      </c>
      <c r="L297" s="6">
        <f>Taxepunkter!L304</f>
        <v>0</v>
      </c>
    </row>
    <row r="298" spans="1:12" x14ac:dyDescent="0.25">
      <c r="A298" s="5" t="str">
        <f>Taxepunkter!A305</f>
        <v>§6.1.3</v>
      </c>
      <c r="B298" s="4" t="str">
        <f>Taxepunkter!B305</f>
        <v>Hanteringsavgifter för avfall inlämnat på återvinningscentral</v>
      </c>
      <c r="C298" s="4" t="str">
        <f>Taxepunkter!C305</f>
        <v>Giftig organisk vätska</v>
      </c>
      <c r="D298" s="4" t="str">
        <f>Taxepunkter!D305</f>
        <v>160506*</v>
      </c>
      <c r="E298" s="4" t="str">
        <f>Taxepunkter!E305</f>
        <v>Kr/Kg</v>
      </c>
      <c r="F298" s="4">
        <f>Taxepunkter!F305</f>
        <v>0</v>
      </c>
      <c r="G298" s="4" t="str">
        <f>Taxepunkter!G305</f>
        <v/>
      </c>
      <c r="H298" s="4" t="str">
        <f>Taxepunkter!H305</f>
        <v/>
      </c>
      <c r="I298" s="4" t="str">
        <f>Taxepunkter!I305</f>
        <v/>
      </c>
      <c r="J298" s="4" t="str">
        <f>Taxepunkter!J305</f>
        <v/>
      </c>
      <c r="K298" s="4">
        <f>Taxepunkter!K305</f>
        <v>0</v>
      </c>
      <c r="L298" s="6">
        <f>Taxepunkter!L305</f>
        <v>0</v>
      </c>
    </row>
    <row r="299" spans="1:12" x14ac:dyDescent="0.25">
      <c r="A299" s="5" t="str">
        <f>Taxepunkter!A306</f>
        <v>§6.1.3</v>
      </c>
      <c r="B299" s="4" t="str">
        <f>Taxepunkter!B306</f>
        <v>Hanteringsavgifter för avfall inlämnat på återvinningscentral</v>
      </c>
      <c r="C299" s="4" t="str">
        <f>Taxepunkter!C306</f>
        <v>Småkemikalier, ej Hg-haltiga</v>
      </c>
      <c r="D299" s="4" t="str">
        <f>Taxepunkter!D306</f>
        <v>160506*</v>
      </c>
      <c r="E299" s="4" t="str">
        <f>Taxepunkter!E306</f>
        <v>Kr/Kg</v>
      </c>
      <c r="F299" s="4">
        <f>Taxepunkter!F306</f>
        <v>0</v>
      </c>
      <c r="G299" s="4" t="str">
        <f>Taxepunkter!G306</f>
        <v/>
      </c>
      <c r="H299" s="4" t="str">
        <f>Taxepunkter!H306</f>
        <v/>
      </c>
      <c r="I299" s="4" t="str">
        <f>Taxepunkter!I306</f>
        <v/>
      </c>
      <c r="J299" s="4" t="str">
        <f>Taxepunkter!J306</f>
        <v/>
      </c>
      <c r="K299" s="4">
        <f>Taxepunkter!K306</f>
        <v>0</v>
      </c>
      <c r="L299" s="6">
        <f>Taxepunkter!L306</f>
        <v>0</v>
      </c>
    </row>
    <row r="300" spans="1:12" x14ac:dyDescent="0.25">
      <c r="A300" s="5" t="str">
        <f>Taxepunkter!A307</f>
        <v>§6.1.3</v>
      </c>
      <c r="B300" s="4" t="str">
        <f>Taxepunkter!B307</f>
        <v>Hanteringsavgifter för avfall inlämnat på återvinningscentral</v>
      </c>
      <c r="C300" s="4" t="str">
        <f>Taxepunkter!C307</f>
        <v>Giftig oorganisk vätska</v>
      </c>
      <c r="D300" s="4" t="str">
        <f>Taxepunkter!D307</f>
        <v>160506*</v>
      </c>
      <c r="E300" s="4" t="str">
        <f>Taxepunkter!E307</f>
        <v>Kr/Kg</v>
      </c>
      <c r="F300" s="4">
        <f>Taxepunkter!F307</f>
        <v>0</v>
      </c>
      <c r="G300" s="4" t="str">
        <f>Taxepunkter!G307</f>
        <v/>
      </c>
      <c r="H300" s="4" t="str">
        <f>Taxepunkter!H307</f>
        <v/>
      </c>
      <c r="I300" s="4" t="str">
        <f>Taxepunkter!I307</f>
        <v/>
      </c>
      <c r="J300" s="4" t="str">
        <f>Taxepunkter!J307</f>
        <v/>
      </c>
      <c r="K300" s="4">
        <f>Taxepunkter!K307</f>
        <v>0</v>
      </c>
      <c r="L300" s="6">
        <f>Taxepunkter!L307</f>
        <v>0</v>
      </c>
    </row>
    <row r="301" spans="1:12" x14ac:dyDescent="0.25">
      <c r="A301" s="5" t="str">
        <f>Taxepunkter!A308</f>
        <v>§6.1.3</v>
      </c>
      <c r="B301" s="4" t="str">
        <f>Taxepunkter!B308</f>
        <v>Hanteringsavgifter för avfall inlämnat på återvinningscentral</v>
      </c>
      <c r="C301" s="4" t="str">
        <f>Taxepunkter!C308</f>
        <v>Oxidationsmedel, flytande</v>
      </c>
      <c r="D301" s="4" t="str">
        <f>Taxepunkter!D308</f>
        <v>160904*</v>
      </c>
      <c r="E301" s="4" t="str">
        <f>Taxepunkter!E308</f>
        <v>Kr/Kg</v>
      </c>
      <c r="F301" s="4">
        <f>Taxepunkter!F308</f>
        <v>0</v>
      </c>
      <c r="G301" s="4" t="str">
        <f>Taxepunkter!G308</f>
        <v/>
      </c>
      <c r="H301" s="4" t="str">
        <f>Taxepunkter!H308</f>
        <v/>
      </c>
      <c r="I301" s="4" t="str">
        <f>Taxepunkter!I308</f>
        <v/>
      </c>
      <c r="J301" s="4" t="str">
        <f>Taxepunkter!J308</f>
        <v/>
      </c>
      <c r="K301" s="4">
        <f>Taxepunkter!K308</f>
        <v>0</v>
      </c>
      <c r="L301" s="6">
        <f>Taxepunkter!L308</f>
        <v>0</v>
      </c>
    </row>
    <row r="302" spans="1:12" x14ac:dyDescent="0.25">
      <c r="A302" s="5" t="str">
        <f>Taxepunkter!A309</f>
        <v>§6.1.3</v>
      </c>
      <c r="B302" s="4" t="str">
        <f>Taxepunkter!B309</f>
        <v>Hanteringsavgifter för avfall inlämnat på återvinningscentral</v>
      </c>
      <c r="C302" s="4" t="str">
        <f>Taxepunkter!C309</f>
        <v>Asbest, emballerat</v>
      </c>
      <c r="D302" s="4" t="str">
        <f>Taxepunkter!D309</f>
        <v>170601*</v>
      </c>
      <c r="E302" s="4" t="str">
        <f>Taxepunkter!E309</f>
        <v>Kr/Kg</v>
      </c>
      <c r="F302" s="4">
        <f>Taxepunkter!F309</f>
        <v>0</v>
      </c>
      <c r="G302" s="4" t="str">
        <f>Taxepunkter!G309</f>
        <v/>
      </c>
      <c r="H302" s="4" t="str">
        <f>Taxepunkter!H309</f>
        <v/>
      </c>
      <c r="I302" s="4" t="str">
        <f>Taxepunkter!I309</f>
        <v/>
      </c>
      <c r="J302" s="4" t="str">
        <f>Taxepunkter!J309</f>
        <v/>
      </c>
      <c r="K302" s="4">
        <f>Taxepunkter!K309</f>
        <v>0</v>
      </c>
      <c r="L302" s="6">
        <f>Taxepunkter!L309</f>
        <v>0</v>
      </c>
    </row>
    <row r="303" spans="1:12" x14ac:dyDescent="0.25">
      <c r="A303" s="5" t="str">
        <f>Taxepunkter!A310</f>
        <v>§6.1.3</v>
      </c>
      <c r="B303" s="4" t="str">
        <f>Taxepunkter!B310</f>
        <v>Hanteringsavgifter för avfall inlämnat på återvinningscentral</v>
      </c>
      <c r="C303" s="4" t="str">
        <f>Taxepunkter!C310</f>
        <v>Smittförande avfall</v>
      </c>
      <c r="D303" s="4" t="str">
        <f>Taxepunkter!D310</f>
        <v>180103*</v>
      </c>
      <c r="E303" s="4" t="str">
        <f>Taxepunkter!E310</f>
        <v>Kr/Kg</v>
      </c>
      <c r="F303" s="4">
        <f>Taxepunkter!F310</f>
        <v>0</v>
      </c>
      <c r="G303" s="4" t="str">
        <f>Taxepunkter!G310</f>
        <v/>
      </c>
      <c r="H303" s="4" t="str">
        <f>Taxepunkter!H310</f>
        <v/>
      </c>
      <c r="I303" s="4" t="str">
        <f>Taxepunkter!I310</f>
        <v/>
      </c>
      <c r="J303" s="4" t="str">
        <f>Taxepunkter!J310</f>
        <v/>
      </c>
      <c r="K303" s="4">
        <f>Taxepunkter!K310</f>
        <v>0</v>
      </c>
      <c r="L303" s="6">
        <f>Taxepunkter!L310</f>
        <v>0</v>
      </c>
    </row>
    <row r="304" spans="1:12" x14ac:dyDescent="0.25">
      <c r="A304" s="5" t="str">
        <f>Taxepunkter!A311</f>
        <v>§6.1.3</v>
      </c>
      <c r="B304" s="4" t="str">
        <f>Taxepunkter!B311</f>
        <v>Hanteringsavgifter för avfall inlämnat på återvinningscentral</v>
      </c>
      <c r="C304" s="4" t="str">
        <f>Taxepunkter!C311</f>
        <v>Lösningsmedel</v>
      </c>
      <c r="D304" s="4" t="str">
        <f>Taxepunkter!D311</f>
        <v>200113*</v>
      </c>
      <c r="E304" s="4" t="str">
        <f>Taxepunkter!E311</f>
        <v>Kr/Kg</v>
      </c>
      <c r="F304" s="4">
        <f>Taxepunkter!F311</f>
        <v>0</v>
      </c>
      <c r="G304" s="4" t="str">
        <f>Taxepunkter!G311</f>
        <v/>
      </c>
      <c r="H304" s="4" t="str">
        <f>Taxepunkter!H311</f>
        <v/>
      </c>
      <c r="I304" s="4" t="str">
        <f>Taxepunkter!I311</f>
        <v/>
      </c>
      <c r="J304" s="4" t="str">
        <f>Taxepunkter!J311</f>
        <v/>
      </c>
      <c r="K304" s="4">
        <f>Taxepunkter!K311</f>
        <v>0</v>
      </c>
      <c r="L304" s="6">
        <f>Taxepunkter!L311</f>
        <v>0</v>
      </c>
    </row>
    <row r="305" spans="1:12" x14ac:dyDescent="0.25">
      <c r="A305" s="5" t="str">
        <f>Taxepunkter!A312</f>
        <v>§6.1.3</v>
      </c>
      <c r="B305" s="4" t="str">
        <f>Taxepunkter!B312</f>
        <v>Hanteringsavgifter för avfall inlämnat på återvinningscentral</v>
      </c>
      <c r="C305" s="4" t="str">
        <f>Taxepunkter!C312</f>
        <v>Väteperoxid</v>
      </c>
      <c r="D305" s="4" t="str">
        <f>Taxepunkter!D312</f>
        <v>200113*</v>
      </c>
      <c r="E305" s="4" t="str">
        <f>Taxepunkter!E312</f>
        <v>Kr/Kg</v>
      </c>
      <c r="F305" s="4">
        <f>Taxepunkter!F312</f>
        <v>0</v>
      </c>
      <c r="G305" s="4" t="str">
        <f>Taxepunkter!G312</f>
        <v/>
      </c>
      <c r="H305" s="4" t="str">
        <f>Taxepunkter!H312</f>
        <v/>
      </c>
      <c r="I305" s="4" t="str">
        <f>Taxepunkter!I312</f>
        <v/>
      </c>
      <c r="J305" s="4" t="str">
        <f>Taxepunkter!J312</f>
        <v/>
      </c>
      <c r="K305" s="4">
        <f>Taxepunkter!K312</f>
        <v>0</v>
      </c>
      <c r="L305" s="6">
        <f>Taxepunkter!L312</f>
        <v>0</v>
      </c>
    </row>
    <row r="306" spans="1:12" x14ac:dyDescent="0.25">
      <c r="A306" s="5" t="str">
        <f>Taxepunkter!A313</f>
        <v>§6.1.3</v>
      </c>
      <c r="B306" s="4" t="str">
        <f>Taxepunkter!B313</f>
        <v>Hanteringsavgifter för avfall inlämnat på återvinningscentral</v>
      </c>
      <c r="C306" s="4" t="str">
        <f>Taxepunkter!C313</f>
        <v>Flourvätesyra</v>
      </c>
      <c r="D306" s="4" t="str">
        <f>Taxepunkter!D313</f>
        <v>200114*</v>
      </c>
      <c r="E306" s="4" t="str">
        <f>Taxepunkter!E313</f>
        <v>Kr/Kg</v>
      </c>
      <c r="F306" s="4">
        <f>Taxepunkter!F313</f>
        <v>0</v>
      </c>
      <c r="G306" s="4" t="str">
        <f>Taxepunkter!G313</f>
        <v/>
      </c>
      <c r="H306" s="4" t="str">
        <f>Taxepunkter!H313</f>
        <v/>
      </c>
      <c r="I306" s="4" t="str">
        <f>Taxepunkter!I313</f>
        <v/>
      </c>
      <c r="J306" s="4" t="str">
        <f>Taxepunkter!J313</f>
        <v/>
      </c>
      <c r="K306" s="4">
        <f>Taxepunkter!K313</f>
        <v>0</v>
      </c>
      <c r="L306" s="6">
        <f>Taxepunkter!L313</f>
        <v>0</v>
      </c>
    </row>
    <row r="307" spans="1:12" x14ac:dyDescent="0.25">
      <c r="A307" s="5" t="str">
        <f>Taxepunkter!A314</f>
        <v>§6.1.3</v>
      </c>
      <c r="B307" s="4" t="str">
        <f>Taxepunkter!B314</f>
        <v>Hanteringsavgifter för avfall inlämnat på återvinningscentral</v>
      </c>
      <c r="C307" s="4" t="str">
        <f>Taxepunkter!C314</f>
        <v>Svavelsyra</v>
      </c>
      <c r="D307" s="4" t="str">
        <f>Taxepunkter!D314</f>
        <v>200114*</v>
      </c>
      <c r="E307" s="4" t="str">
        <f>Taxepunkter!E314</f>
        <v>Kr/Kg</v>
      </c>
      <c r="F307" s="4">
        <f>Taxepunkter!F314</f>
        <v>0</v>
      </c>
      <c r="G307" s="4" t="str">
        <f>Taxepunkter!G314</f>
        <v/>
      </c>
      <c r="H307" s="4" t="str">
        <f>Taxepunkter!H314</f>
        <v/>
      </c>
      <c r="I307" s="4" t="str">
        <f>Taxepunkter!I314</f>
        <v/>
      </c>
      <c r="J307" s="4" t="str">
        <f>Taxepunkter!J314</f>
        <v/>
      </c>
      <c r="K307" s="4">
        <f>Taxepunkter!K314</f>
        <v>0</v>
      </c>
      <c r="L307" s="6">
        <f>Taxepunkter!L314</f>
        <v>0</v>
      </c>
    </row>
    <row r="308" spans="1:12" x14ac:dyDescent="0.25">
      <c r="A308" s="5" t="str">
        <f>Taxepunkter!A315</f>
        <v>§6.1.3</v>
      </c>
      <c r="B308" s="4" t="str">
        <f>Taxepunkter!B315</f>
        <v>Hanteringsavgifter för avfall inlämnat på återvinningscentral</v>
      </c>
      <c r="C308" s="4" t="str">
        <f>Taxepunkter!C315</f>
        <v>Salpetersyra</v>
      </c>
      <c r="D308" s="4" t="str">
        <f>Taxepunkter!D315</f>
        <v>200114*</v>
      </c>
      <c r="E308" s="4" t="str">
        <f>Taxepunkter!E315</f>
        <v>Kr/Kg</v>
      </c>
      <c r="F308" s="4">
        <f>Taxepunkter!F315</f>
        <v>0</v>
      </c>
      <c r="G308" s="4" t="str">
        <f>Taxepunkter!G315</f>
        <v/>
      </c>
      <c r="H308" s="4" t="str">
        <f>Taxepunkter!H315</f>
        <v/>
      </c>
      <c r="I308" s="4" t="str">
        <f>Taxepunkter!I315</f>
        <v/>
      </c>
      <c r="J308" s="4" t="str">
        <f>Taxepunkter!J315</f>
        <v/>
      </c>
      <c r="K308" s="4">
        <f>Taxepunkter!K315</f>
        <v>0</v>
      </c>
      <c r="L308" s="6">
        <f>Taxepunkter!L315</f>
        <v>0</v>
      </c>
    </row>
    <row r="309" spans="1:12" x14ac:dyDescent="0.25">
      <c r="A309" s="5" t="str">
        <f>Taxepunkter!A316</f>
        <v>§6.1.3</v>
      </c>
      <c r="B309" s="4" t="str">
        <f>Taxepunkter!B316</f>
        <v>Hanteringsavgifter för avfall inlämnat på återvinningscentral</v>
      </c>
      <c r="C309" s="4" t="str">
        <f>Taxepunkter!C316</f>
        <v>Surt oorganisk fast ämne</v>
      </c>
      <c r="D309" s="4" t="str">
        <f>Taxepunkter!D316</f>
        <v>200114*</v>
      </c>
      <c r="E309" s="4" t="str">
        <f>Taxepunkter!E316</f>
        <v>Kr/Kg</v>
      </c>
      <c r="F309" s="4">
        <f>Taxepunkter!F316</f>
        <v>0</v>
      </c>
      <c r="G309" s="4" t="str">
        <f>Taxepunkter!G316</f>
        <v/>
      </c>
      <c r="H309" s="4" t="str">
        <f>Taxepunkter!H316</f>
        <v/>
      </c>
      <c r="I309" s="4" t="str">
        <f>Taxepunkter!I316</f>
        <v/>
      </c>
      <c r="J309" s="4" t="str">
        <f>Taxepunkter!J316</f>
        <v/>
      </c>
      <c r="K309" s="4">
        <f>Taxepunkter!K316</f>
        <v>0</v>
      </c>
      <c r="L309" s="6">
        <f>Taxepunkter!L316</f>
        <v>0</v>
      </c>
    </row>
    <row r="310" spans="1:12" x14ac:dyDescent="0.25">
      <c r="A310" s="5" t="str">
        <f>Taxepunkter!A317</f>
        <v>§6.1.3</v>
      </c>
      <c r="B310" s="4" t="str">
        <f>Taxepunkter!B317</f>
        <v>Hanteringsavgifter för avfall inlämnat på återvinningscentral</v>
      </c>
      <c r="C310" s="4" t="str">
        <f>Taxepunkter!C317</f>
        <v>Surt organisk fast ämne</v>
      </c>
      <c r="D310" s="4" t="str">
        <f>Taxepunkter!D317</f>
        <v>200114*</v>
      </c>
      <c r="E310" s="4" t="str">
        <f>Taxepunkter!E317</f>
        <v>Kr/Kg</v>
      </c>
      <c r="F310" s="4">
        <f>Taxepunkter!F317</f>
        <v>0</v>
      </c>
      <c r="G310" s="4" t="str">
        <f>Taxepunkter!G317</f>
        <v/>
      </c>
      <c r="H310" s="4" t="str">
        <f>Taxepunkter!H317</f>
        <v/>
      </c>
      <c r="I310" s="4" t="str">
        <f>Taxepunkter!I317</f>
        <v/>
      </c>
      <c r="J310" s="4" t="str">
        <f>Taxepunkter!J317</f>
        <v/>
      </c>
      <c r="K310" s="4">
        <f>Taxepunkter!K317</f>
        <v>0</v>
      </c>
      <c r="L310" s="6">
        <f>Taxepunkter!L317</f>
        <v>0</v>
      </c>
    </row>
    <row r="311" spans="1:12" x14ac:dyDescent="0.25">
      <c r="A311" s="5" t="str">
        <f>Taxepunkter!A318</f>
        <v>§6.1.3</v>
      </c>
      <c r="B311" s="4" t="str">
        <f>Taxepunkter!B318</f>
        <v>Hanteringsavgifter för avfall inlämnat på återvinningscentral</v>
      </c>
      <c r="C311" s="4" t="str">
        <f>Taxepunkter!C318</f>
        <v>Surt oorganisk vätska</v>
      </c>
      <c r="D311" s="4" t="str">
        <f>Taxepunkter!D318</f>
        <v>200114*</v>
      </c>
      <c r="E311" s="4" t="str">
        <f>Taxepunkter!E318</f>
        <v>Kr/Kg</v>
      </c>
      <c r="F311" s="4">
        <f>Taxepunkter!F318</f>
        <v>0</v>
      </c>
      <c r="G311" s="4" t="str">
        <f>Taxepunkter!G318</f>
        <v/>
      </c>
      <c r="H311" s="4" t="str">
        <f>Taxepunkter!H318</f>
        <v/>
      </c>
      <c r="I311" s="4" t="str">
        <f>Taxepunkter!I318</f>
        <v/>
      </c>
      <c r="J311" s="4" t="str">
        <f>Taxepunkter!J318</f>
        <v/>
      </c>
      <c r="K311" s="4">
        <f>Taxepunkter!K318</f>
        <v>0</v>
      </c>
      <c r="L311" s="6">
        <f>Taxepunkter!L318</f>
        <v>0</v>
      </c>
    </row>
    <row r="312" spans="1:12" x14ac:dyDescent="0.25">
      <c r="A312" s="5" t="str">
        <f>Taxepunkter!A319</f>
        <v>§6.1.3</v>
      </c>
      <c r="B312" s="4" t="str">
        <f>Taxepunkter!B319</f>
        <v>Hanteringsavgifter för avfall inlämnat på återvinningscentral</v>
      </c>
      <c r="C312" s="4" t="str">
        <f>Taxepunkter!C319</f>
        <v>Surt organisk vätska</v>
      </c>
      <c r="D312" s="4" t="str">
        <f>Taxepunkter!D319</f>
        <v>200114*</v>
      </c>
      <c r="E312" s="4" t="str">
        <f>Taxepunkter!E319</f>
        <v>Kr/Kg</v>
      </c>
      <c r="F312" s="4">
        <f>Taxepunkter!F319</f>
        <v>0</v>
      </c>
      <c r="G312" s="4" t="str">
        <f>Taxepunkter!G319</f>
        <v/>
      </c>
      <c r="H312" s="4" t="str">
        <f>Taxepunkter!H319</f>
        <v/>
      </c>
      <c r="I312" s="4" t="str">
        <f>Taxepunkter!I319</f>
        <v/>
      </c>
      <c r="J312" s="4" t="str">
        <f>Taxepunkter!J319</f>
        <v/>
      </c>
      <c r="K312" s="4">
        <f>Taxepunkter!K319</f>
        <v>0</v>
      </c>
      <c r="L312" s="6">
        <f>Taxepunkter!L319</f>
        <v>0</v>
      </c>
    </row>
    <row r="313" spans="1:12" x14ac:dyDescent="0.25">
      <c r="A313" s="5" t="str">
        <f>Taxepunkter!A320</f>
        <v>§6.1.3</v>
      </c>
      <c r="B313" s="4" t="str">
        <f>Taxepunkter!B320</f>
        <v>Hanteringsavgifter för avfall inlämnat på återvinningscentral</v>
      </c>
      <c r="C313" s="4" t="str">
        <f>Taxepunkter!C320</f>
        <v>Ammoniaklösning</v>
      </c>
      <c r="D313" s="4" t="str">
        <f>Taxepunkter!D320</f>
        <v>200115*</v>
      </c>
      <c r="E313" s="4" t="str">
        <f>Taxepunkter!E320</f>
        <v>Kr/Kg</v>
      </c>
      <c r="F313" s="4">
        <f>Taxepunkter!F320</f>
        <v>0</v>
      </c>
      <c r="G313" s="4" t="str">
        <f>Taxepunkter!G320</f>
        <v/>
      </c>
      <c r="H313" s="4" t="str">
        <f>Taxepunkter!H320</f>
        <v/>
      </c>
      <c r="I313" s="4" t="str">
        <f>Taxepunkter!I320</f>
        <v/>
      </c>
      <c r="J313" s="4" t="str">
        <f>Taxepunkter!J320</f>
        <v/>
      </c>
      <c r="K313" s="4">
        <f>Taxepunkter!K320</f>
        <v>0</v>
      </c>
      <c r="L313" s="6">
        <f>Taxepunkter!L320</f>
        <v>0</v>
      </c>
    </row>
    <row r="314" spans="1:12" x14ac:dyDescent="0.25">
      <c r="A314" s="5" t="str">
        <f>Taxepunkter!A321</f>
        <v>§6.1.3</v>
      </c>
      <c r="B314" s="4" t="str">
        <f>Taxepunkter!B321</f>
        <v>Hanteringsavgifter för avfall inlämnat på återvinningscentral</v>
      </c>
      <c r="C314" s="4" t="str">
        <f>Taxepunkter!C321</f>
        <v>Alkaliskt avfall fast</v>
      </c>
      <c r="D314" s="4" t="str">
        <f>Taxepunkter!D321</f>
        <v>200115*</v>
      </c>
      <c r="E314" s="4" t="str">
        <f>Taxepunkter!E321</f>
        <v>Kr/Kg</v>
      </c>
      <c r="F314" s="4">
        <f>Taxepunkter!F321</f>
        <v>0</v>
      </c>
      <c r="G314" s="4" t="str">
        <f>Taxepunkter!G321</f>
        <v/>
      </c>
      <c r="H314" s="4" t="str">
        <f>Taxepunkter!H321</f>
        <v/>
      </c>
      <c r="I314" s="4" t="str">
        <f>Taxepunkter!I321</f>
        <v/>
      </c>
      <c r="J314" s="4" t="str">
        <f>Taxepunkter!J321</f>
        <v/>
      </c>
      <c r="K314" s="4">
        <f>Taxepunkter!K321</f>
        <v>0</v>
      </c>
      <c r="L314" s="6">
        <f>Taxepunkter!L321</f>
        <v>0</v>
      </c>
    </row>
    <row r="315" spans="1:12" x14ac:dyDescent="0.25">
      <c r="A315" s="5" t="str">
        <f>Taxepunkter!A322</f>
        <v>§6.1.3</v>
      </c>
      <c r="B315" s="4" t="str">
        <f>Taxepunkter!B322</f>
        <v>Hanteringsavgifter för avfall inlämnat på återvinningscentral</v>
      </c>
      <c r="C315" s="4" t="str">
        <f>Taxepunkter!C322</f>
        <v>Basiskt organiskt fast/flytande</v>
      </c>
      <c r="D315" s="4" t="str">
        <f>Taxepunkter!D322</f>
        <v>200115*</v>
      </c>
      <c r="E315" s="4" t="str">
        <f>Taxepunkter!E322</f>
        <v>Kr/Kg</v>
      </c>
      <c r="F315" s="4">
        <f>Taxepunkter!F322</f>
        <v>0</v>
      </c>
      <c r="G315" s="4" t="str">
        <f>Taxepunkter!G322</f>
        <v/>
      </c>
      <c r="H315" s="4" t="str">
        <f>Taxepunkter!H322</f>
        <v/>
      </c>
      <c r="I315" s="4" t="str">
        <f>Taxepunkter!I322</f>
        <v/>
      </c>
      <c r="J315" s="4" t="str">
        <f>Taxepunkter!J322</f>
        <v/>
      </c>
      <c r="K315" s="4">
        <f>Taxepunkter!K322</f>
        <v>0</v>
      </c>
      <c r="L315" s="6">
        <f>Taxepunkter!L322</f>
        <v>0</v>
      </c>
    </row>
    <row r="316" spans="1:12" x14ac:dyDescent="0.25">
      <c r="A316" s="5" t="str">
        <f>Taxepunkter!A323</f>
        <v>§6.1.3</v>
      </c>
      <c r="B316" s="4" t="str">
        <f>Taxepunkter!B323</f>
        <v>Hanteringsavgifter för avfall inlämnat på återvinningscentral</v>
      </c>
      <c r="C316" s="4" t="str">
        <f>Taxepunkter!C323</f>
        <v>Fotokemikalier</v>
      </c>
      <c r="D316" s="4" t="str">
        <f>Taxepunkter!D323</f>
        <v>200117*</v>
      </c>
      <c r="E316" s="4" t="str">
        <f>Taxepunkter!E323</f>
        <v>Kr/Kg</v>
      </c>
      <c r="F316" s="4">
        <f>Taxepunkter!F323</f>
        <v>0</v>
      </c>
      <c r="G316" s="4" t="str">
        <f>Taxepunkter!G323</f>
        <v/>
      </c>
      <c r="H316" s="4" t="str">
        <f>Taxepunkter!H323</f>
        <v/>
      </c>
      <c r="I316" s="4" t="str">
        <f>Taxepunkter!I323</f>
        <v/>
      </c>
      <c r="J316" s="4" t="str">
        <f>Taxepunkter!J323</f>
        <v/>
      </c>
      <c r="K316" s="4">
        <f>Taxepunkter!K323</f>
        <v>0</v>
      </c>
      <c r="L316" s="6">
        <f>Taxepunkter!L323</f>
        <v>0</v>
      </c>
    </row>
    <row r="317" spans="1:12" x14ac:dyDescent="0.25">
      <c r="A317" s="5" t="str">
        <f>Taxepunkter!A324</f>
        <v>§6.1.3</v>
      </c>
      <c r="B317" s="4" t="str">
        <f>Taxepunkter!B324</f>
        <v>Hanteringsavgifter för avfall inlämnat på återvinningscentral</v>
      </c>
      <c r="C317" s="4" t="str">
        <f>Taxepunkter!C324</f>
        <v>Bekämpningsmedel aerosoler</v>
      </c>
      <c r="D317" s="4" t="str">
        <f>Taxepunkter!D324</f>
        <v>200119*</v>
      </c>
      <c r="E317" s="4" t="str">
        <f>Taxepunkter!E324</f>
        <v>Kr/Kg</v>
      </c>
      <c r="F317" s="4">
        <f>Taxepunkter!F324</f>
        <v>0</v>
      </c>
      <c r="G317" s="4" t="str">
        <f>Taxepunkter!G324</f>
        <v/>
      </c>
      <c r="H317" s="4" t="str">
        <f>Taxepunkter!H324</f>
        <v/>
      </c>
      <c r="I317" s="4" t="str">
        <f>Taxepunkter!I324</f>
        <v/>
      </c>
      <c r="J317" s="4" t="str">
        <f>Taxepunkter!J324</f>
        <v/>
      </c>
      <c r="K317" s="4">
        <f>Taxepunkter!K324</f>
        <v>0</v>
      </c>
      <c r="L317" s="6">
        <f>Taxepunkter!L324</f>
        <v>0</v>
      </c>
    </row>
    <row r="318" spans="1:12" x14ac:dyDescent="0.25">
      <c r="A318" s="5" t="str">
        <f>Taxepunkter!A325</f>
        <v>§6.1.3</v>
      </c>
      <c r="B318" s="4" t="str">
        <f>Taxepunkter!B325</f>
        <v>Hanteringsavgifter för avfall inlämnat på återvinningscentral</v>
      </c>
      <c r="C318" s="4" t="str">
        <f>Taxepunkter!C325</f>
        <v>Bekämpningsmedel fast</v>
      </c>
      <c r="D318" s="4" t="str">
        <f>Taxepunkter!D325</f>
        <v>200119*</v>
      </c>
      <c r="E318" s="4" t="str">
        <f>Taxepunkter!E325</f>
        <v>Kr/Kg</v>
      </c>
      <c r="F318" s="4">
        <f>Taxepunkter!F325</f>
        <v>0</v>
      </c>
      <c r="G318" s="4" t="str">
        <f>Taxepunkter!G325</f>
        <v/>
      </c>
      <c r="H318" s="4" t="str">
        <f>Taxepunkter!H325</f>
        <v/>
      </c>
      <c r="I318" s="4" t="str">
        <f>Taxepunkter!I325</f>
        <v/>
      </c>
      <c r="J318" s="4" t="str">
        <f>Taxepunkter!J325</f>
        <v/>
      </c>
      <c r="K318" s="4">
        <f>Taxepunkter!K325</f>
        <v>0</v>
      </c>
      <c r="L318" s="6">
        <f>Taxepunkter!L325</f>
        <v>0</v>
      </c>
    </row>
    <row r="319" spans="1:12" x14ac:dyDescent="0.25">
      <c r="A319" s="5" t="str">
        <f>Taxepunkter!A326</f>
        <v>§6.1.3</v>
      </c>
      <c r="B319" s="4" t="str">
        <f>Taxepunkter!B326</f>
        <v>Hanteringsavgifter för avfall inlämnat på återvinningscentral</v>
      </c>
      <c r="C319" s="4" t="str">
        <f>Taxepunkter!C326</f>
        <v>Bekämpningsmedel flytande</v>
      </c>
      <c r="D319" s="4" t="str">
        <f>Taxepunkter!D326</f>
        <v>200119*</v>
      </c>
      <c r="E319" s="4" t="str">
        <f>Taxepunkter!E326</f>
        <v>Kr/Kg</v>
      </c>
      <c r="F319" s="4">
        <f>Taxepunkter!F326</f>
        <v>0</v>
      </c>
      <c r="G319" s="4" t="str">
        <f>Taxepunkter!G326</f>
        <v/>
      </c>
      <c r="H319" s="4" t="str">
        <f>Taxepunkter!H326</f>
        <v/>
      </c>
      <c r="I319" s="4" t="str">
        <f>Taxepunkter!I326</f>
        <v/>
      </c>
      <c r="J319" s="4" t="str">
        <f>Taxepunkter!J326</f>
        <v/>
      </c>
      <c r="K319" s="4">
        <f>Taxepunkter!K326</f>
        <v>0</v>
      </c>
      <c r="L319" s="6">
        <f>Taxepunkter!L326</f>
        <v>0</v>
      </c>
    </row>
    <row r="320" spans="1:12" x14ac:dyDescent="0.25">
      <c r="A320" s="5" t="str">
        <f>Taxepunkter!A327</f>
        <v>§6.1.3</v>
      </c>
      <c r="B320" s="4" t="str">
        <f>Taxepunkter!B327</f>
        <v>Hanteringsavgifter för avfall inlämnat på återvinningscentral</v>
      </c>
      <c r="C320" s="4" t="str">
        <f>Taxepunkter!C327</f>
        <v>Kvicksilverhaltigt avfall</v>
      </c>
      <c r="D320" s="4" t="str">
        <f>Taxepunkter!D327</f>
        <v>200121*</v>
      </c>
      <c r="E320" s="4" t="str">
        <f>Taxepunkter!E327</f>
        <v>Kr/Kg</v>
      </c>
      <c r="F320" s="4">
        <f>Taxepunkter!F327</f>
        <v>0</v>
      </c>
      <c r="G320" s="4" t="str">
        <f>Taxepunkter!G327</f>
        <v/>
      </c>
      <c r="H320" s="4" t="str">
        <f>Taxepunkter!H327</f>
        <v/>
      </c>
      <c r="I320" s="4" t="str">
        <f>Taxepunkter!I327</f>
        <v/>
      </c>
      <c r="J320" s="4" t="str">
        <f>Taxepunkter!J327</f>
        <v/>
      </c>
      <c r="K320" s="4">
        <f>Taxepunkter!K327</f>
        <v>0</v>
      </c>
      <c r="L320" s="6">
        <f>Taxepunkter!L327</f>
        <v>0</v>
      </c>
    </row>
    <row r="321" spans="1:12" x14ac:dyDescent="0.25">
      <c r="A321" s="5" t="str">
        <f>Taxepunkter!A328</f>
        <v>§6.1.3</v>
      </c>
      <c r="B321" s="4" t="str">
        <f>Taxepunkter!B328</f>
        <v>Hanteringsavgifter för avfall inlämnat på återvinningscentral</v>
      </c>
      <c r="C321" s="4" t="str">
        <f>Taxepunkter!C328</f>
        <v>Kvicksilver i föremål</v>
      </c>
      <c r="D321" s="4" t="str">
        <f>Taxepunkter!D328</f>
        <v>200121*</v>
      </c>
      <c r="E321" s="4" t="str">
        <f>Taxepunkter!E328</f>
        <v>Kr/Kg</v>
      </c>
      <c r="F321" s="4">
        <f>Taxepunkter!F328</f>
        <v>0</v>
      </c>
      <c r="G321" s="4" t="str">
        <f>Taxepunkter!G328</f>
        <v/>
      </c>
      <c r="H321" s="4" t="str">
        <f>Taxepunkter!H328</f>
        <v/>
      </c>
      <c r="I321" s="4" t="str">
        <f>Taxepunkter!I328</f>
        <v/>
      </c>
      <c r="J321" s="4" t="str">
        <f>Taxepunkter!J328</f>
        <v/>
      </c>
      <c r="K321" s="4">
        <f>Taxepunkter!K328</f>
        <v>0</v>
      </c>
      <c r="L321" s="6">
        <f>Taxepunkter!L328</f>
        <v>0</v>
      </c>
    </row>
    <row r="322" spans="1:12" x14ac:dyDescent="0.25">
      <c r="A322" s="5" t="str">
        <f>Taxepunkter!A329</f>
        <v>§6.1.3</v>
      </c>
      <c r="B322" s="4" t="str">
        <f>Taxepunkter!B329</f>
        <v>Hanteringsavgifter för avfall inlämnat på återvinningscentral</v>
      </c>
      <c r="C322" s="4" t="str">
        <f>Taxepunkter!C329</f>
        <v>Oljehaltigt avfall (ej PCB)</v>
      </c>
      <c r="D322" s="4" t="str">
        <f>Taxepunkter!D329</f>
        <v>200126*</v>
      </c>
      <c r="E322" s="4" t="str">
        <f>Taxepunkter!E329</f>
        <v>Kr/l</v>
      </c>
      <c r="F322" s="4">
        <f>Taxepunkter!F329</f>
        <v>0</v>
      </c>
      <c r="G322" s="4" t="str">
        <f>Taxepunkter!G329</f>
        <v/>
      </c>
      <c r="H322" s="4" t="str">
        <f>Taxepunkter!H329</f>
        <v/>
      </c>
      <c r="I322" s="4" t="str">
        <f>Taxepunkter!I329</f>
        <v/>
      </c>
      <c r="J322" s="4" t="str">
        <f>Taxepunkter!J329</f>
        <v/>
      </c>
      <c r="K322" s="4">
        <f>Taxepunkter!K329</f>
        <v>0</v>
      </c>
      <c r="L322" s="6">
        <f>Taxepunkter!L329</f>
        <v>0</v>
      </c>
    </row>
    <row r="323" spans="1:12" x14ac:dyDescent="0.25">
      <c r="A323" s="5" t="str">
        <f>Taxepunkter!A330</f>
        <v>§6.1.3</v>
      </c>
      <c r="B323" s="4" t="str">
        <f>Taxepunkter!B330</f>
        <v>Hanteringsavgifter för avfall inlämnat på återvinningscentral</v>
      </c>
      <c r="C323" s="4" t="str">
        <f>Taxepunkter!C330</f>
        <v>Olja förorenad (ej PCB)</v>
      </c>
      <c r="D323" s="4" t="str">
        <f>Taxepunkter!D330</f>
        <v>200126*</v>
      </c>
      <c r="E323" s="4" t="str">
        <f>Taxepunkter!E330</f>
        <v>Kr/l</v>
      </c>
      <c r="F323" s="4">
        <f>Taxepunkter!F330</f>
        <v>0</v>
      </c>
      <c r="G323" s="4" t="str">
        <f>Taxepunkter!G330</f>
        <v/>
      </c>
      <c r="H323" s="4" t="str">
        <f>Taxepunkter!H330</f>
        <v/>
      </c>
      <c r="I323" s="4" t="str">
        <f>Taxepunkter!I330</f>
        <v/>
      </c>
      <c r="J323" s="4" t="str">
        <f>Taxepunkter!J330</f>
        <v/>
      </c>
      <c r="K323" s="4">
        <f>Taxepunkter!K330</f>
        <v>0</v>
      </c>
      <c r="L323" s="6">
        <f>Taxepunkter!L330</f>
        <v>0</v>
      </c>
    </row>
    <row r="324" spans="1:12" x14ac:dyDescent="0.25">
      <c r="A324" s="5" t="str">
        <f>Taxepunkter!A331</f>
        <v>§6.1.3</v>
      </c>
      <c r="B324" s="4" t="str">
        <f>Taxepunkter!B331</f>
        <v>Hanteringsavgifter för avfall inlämnat på återvinningscentral</v>
      </c>
      <c r="C324" s="4" t="str">
        <f>Taxepunkter!C331</f>
        <v>Färg-, lack-, limburkar lösning</v>
      </c>
      <c r="D324" s="4" t="str">
        <f>Taxepunkter!D331</f>
        <v>200127*</v>
      </c>
      <c r="E324" s="4" t="str">
        <f>Taxepunkter!E331</f>
        <v>Kr/Kg</v>
      </c>
      <c r="F324" s="4">
        <f>Taxepunkter!F331</f>
        <v>0</v>
      </c>
      <c r="G324" s="4" t="str">
        <f>Taxepunkter!G331</f>
        <v/>
      </c>
      <c r="H324" s="4" t="str">
        <f>Taxepunkter!H331</f>
        <v/>
      </c>
      <c r="I324" s="4" t="str">
        <f>Taxepunkter!I331</f>
        <v/>
      </c>
      <c r="J324" s="4" t="str">
        <f>Taxepunkter!J331</f>
        <v/>
      </c>
      <c r="K324" s="4">
        <f>Taxepunkter!K331</f>
        <v>0</v>
      </c>
      <c r="L324" s="6">
        <f>Taxepunkter!L331</f>
        <v>0</v>
      </c>
    </row>
    <row r="325" spans="1:12" x14ac:dyDescent="0.25">
      <c r="A325" s="5" t="str">
        <f>Taxepunkter!A332</f>
        <v>§6.1.3</v>
      </c>
      <c r="B325" s="4" t="str">
        <f>Taxepunkter!B332</f>
        <v>Hanteringsavgifter för avfall inlämnat på återvinningscentral</v>
      </c>
      <c r="C325" s="4" t="str">
        <f>Taxepunkter!C332</f>
        <v>Färg-, lack-, limburkar lösning aerosoler</v>
      </c>
      <c r="D325" s="4" t="str">
        <f>Taxepunkter!D332</f>
        <v>200127*</v>
      </c>
      <c r="E325" s="4" t="str">
        <f>Taxepunkter!E332</f>
        <v>Kr/Kg</v>
      </c>
      <c r="F325" s="4">
        <f>Taxepunkter!F332</f>
        <v>0</v>
      </c>
      <c r="G325" s="4" t="str">
        <f>Taxepunkter!G332</f>
        <v/>
      </c>
      <c r="H325" s="4" t="str">
        <f>Taxepunkter!H332</f>
        <v/>
      </c>
      <c r="I325" s="4" t="str">
        <f>Taxepunkter!I332</f>
        <v/>
      </c>
      <c r="J325" s="4" t="str">
        <f>Taxepunkter!J332</f>
        <v/>
      </c>
      <c r="K325" s="4">
        <f>Taxepunkter!K332</f>
        <v>0</v>
      </c>
      <c r="L325" s="6">
        <f>Taxepunkter!L332</f>
        <v>0</v>
      </c>
    </row>
    <row r="326" spans="1:12" x14ac:dyDescent="0.25">
      <c r="A326" s="5" t="str">
        <f>Taxepunkter!A333</f>
        <v>§6.1.3</v>
      </c>
      <c r="B326" s="4" t="str">
        <f>Taxepunkter!B333</f>
        <v>Hanteringsavgifter för avfall inlämnat på återvinningscentral</v>
      </c>
      <c r="C326" s="4" t="str">
        <f>Taxepunkter!C333</f>
        <v>Isocyanater</v>
      </c>
      <c r="D326" s="4" t="str">
        <f>Taxepunkter!D333</f>
        <v>200127*</v>
      </c>
      <c r="E326" s="4" t="str">
        <f>Taxepunkter!E333</f>
        <v>Kr/Kg</v>
      </c>
      <c r="F326" s="4">
        <f>Taxepunkter!F333</f>
        <v>0</v>
      </c>
      <c r="G326" s="4" t="str">
        <f>Taxepunkter!G333</f>
        <v/>
      </c>
      <c r="H326" s="4" t="str">
        <f>Taxepunkter!H333</f>
        <v/>
      </c>
      <c r="I326" s="4" t="str">
        <f>Taxepunkter!I333</f>
        <v/>
      </c>
      <c r="J326" s="4" t="str">
        <f>Taxepunkter!J333</f>
        <v/>
      </c>
      <c r="K326" s="4">
        <f>Taxepunkter!K333</f>
        <v>0</v>
      </c>
      <c r="L326" s="6">
        <f>Taxepunkter!L333</f>
        <v>0</v>
      </c>
    </row>
    <row r="327" spans="1:12" x14ac:dyDescent="0.25">
      <c r="A327" s="5" t="str">
        <f>Taxepunkter!A334</f>
        <v>§6.1.3</v>
      </c>
      <c r="B327" s="4" t="str">
        <f>Taxepunkter!B334</f>
        <v>Hanteringsavgifter för avfall inlämnat på återvinningscentral</v>
      </c>
      <c r="C327" s="4" t="str">
        <f>Taxepunkter!C334</f>
        <v>Härdare metyl- etylketonperoxid</v>
      </c>
      <c r="D327" s="4" t="str">
        <f>Taxepunkter!D334</f>
        <v>200127*</v>
      </c>
      <c r="E327" s="4" t="str">
        <f>Taxepunkter!E334</f>
        <v>Kr/Kg</v>
      </c>
      <c r="F327" s="4">
        <f>Taxepunkter!F334</f>
        <v>0</v>
      </c>
      <c r="G327" s="4" t="str">
        <f>Taxepunkter!G334</f>
        <v/>
      </c>
      <c r="H327" s="4" t="str">
        <f>Taxepunkter!H334</f>
        <v/>
      </c>
      <c r="I327" s="4" t="str">
        <f>Taxepunkter!I334</f>
        <v/>
      </c>
      <c r="J327" s="4" t="str">
        <f>Taxepunkter!J334</f>
        <v/>
      </c>
      <c r="K327" s="4">
        <f>Taxepunkter!K334</f>
        <v>0</v>
      </c>
      <c r="L327" s="6">
        <f>Taxepunkter!L334</f>
        <v>0</v>
      </c>
    </row>
    <row r="328" spans="1:12" x14ac:dyDescent="0.25">
      <c r="A328" s="5" t="str">
        <f>Taxepunkter!A335</f>
        <v>§6.1.3</v>
      </c>
      <c r="B328" s="4" t="str">
        <f>Taxepunkter!B335</f>
        <v>Hanteringsavgifter för avfall inlämnat på återvinningscentral</v>
      </c>
      <c r="C328" s="4" t="str">
        <f>Taxepunkter!C335</f>
        <v>Härdare dibenzoylperoxid</v>
      </c>
      <c r="D328" s="4" t="str">
        <f>Taxepunkter!D335</f>
        <v>200127*</v>
      </c>
      <c r="E328" s="4" t="str">
        <f>Taxepunkter!E335</f>
        <v>Kr/Kg</v>
      </c>
      <c r="F328" s="4">
        <f>Taxepunkter!F335</f>
        <v>0</v>
      </c>
      <c r="G328" s="4" t="str">
        <f>Taxepunkter!G335</f>
        <v/>
      </c>
      <c r="H328" s="4" t="str">
        <f>Taxepunkter!H335</f>
        <v/>
      </c>
      <c r="I328" s="4" t="str">
        <f>Taxepunkter!I335</f>
        <v/>
      </c>
      <c r="J328" s="4" t="str">
        <f>Taxepunkter!J335</f>
        <v/>
      </c>
      <c r="K328" s="4">
        <f>Taxepunkter!K335</f>
        <v>0</v>
      </c>
      <c r="L328" s="6">
        <f>Taxepunkter!L335</f>
        <v>0</v>
      </c>
    </row>
    <row r="329" spans="1:12" x14ac:dyDescent="0.25">
      <c r="A329" s="5" t="str">
        <f>Taxepunkter!A336</f>
        <v>§6.1.3</v>
      </c>
      <c r="B329" s="4" t="str">
        <f>Taxepunkter!B336</f>
        <v>Hanteringsavgifter för avfall inlämnat på återvinningscentral</v>
      </c>
      <c r="C329" s="4" t="str">
        <f>Taxepunkter!C336</f>
        <v>Färg-,lack-, limburkar vattenbaserade</v>
      </c>
      <c r="D329" s="4">
        <f>Taxepunkter!D336</f>
        <v>200128</v>
      </c>
      <c r="E329" s="4" t="str">
        <f>Taxepunkter!E336</f>
        <v>Kr/Kg</v>
      </c>
      <c r="F329" s="4">
        <f>Taxepunkter!F336</f>
        <v>0</v>
      </c>
      <c r="G329" s="4" t="str">
        <f>Taxepunkter!G336</f>
        <v/>
      </c>
      <c r="H329" s="4" t="str">
        <f>Taxepunkter!H336</f>
        <v/>
      </c>
      <c r="I329" s="4" t="str">
        <f>Taxepunkter!I336</f>
        <v/>
      </c>
      <c r="J329" s="4" t="str">
        <f>Taxepunkter!J336</f>
        <v/>
      </c>
      <c r="K329" s="4">
        <f>Taxepunkter!K336</f>
        <v>0</v>
      </c>
      <c r="L329" s="6">
        <f>Taxepunkter!L336</f>
        <v>0</v>
      </c>
    </row>
    <row r="330" spans="1:12" x14ac:dyDescent="0.25">
      <c r="A330" s="5" t="str">
        <f>Taxepunkter!A337</f>
        <v>§6.1.3</v>
      </c>
      <c r="B330" s="4" t="str">
        <f>Taxepunkter!B337</f>
        <v>Hanteringsavgifter för avfall inlämnat på återvinningscentral</v>
      </c>
      <c r="C330" s="4" t="str">
        <f>Taxepunkter!C337</f>
        <v>Tensida alkaliska flytande avfall</v>
      </c>
      <c r="D330" s="4" t="str">
        <f>Taxepunkter!D337</f>
        <v>200129*</v>
      </c>
      <c r="E330" s="4" t="str">
        <f>Taxepunkter!E337</f>
        <v>Kr/Kg</v>
      </c>
      <c r="F330" s="4">
        <f>Taxepunkter!F337</f>
        <v>0</v>
      </c>
      <c r="G330" s="4" t="str">
        <f>Taxepunkter!G337</f>
        <v/>
      </c>
      <c r="H330" s="4" t="str">
        <f>Taxepunkter!H337</f>
        <v/>
      </c>
      <c r="I330" s="4" t="str">
        <f>Taxepunkter!I337</f>
        <v/>
      </c>
      <c r="J330" s="4" t="str">
        <f>Taxepunkter!J337</f>
        <v/>
      </c>
      <c r="K330" s="4">
        <f>Taxepunkter!K337</f>
        <v>0</v>
      </c>
      <c r="L330" s="6">
        <f>Taxepunkter!L337</f>
        <v>0</v>
      </c>
    </row>
    <row r="331" spans="1:12" x14ac:dyDescent="0.25">
      <c r="A331" s="5" t="str">
        <f>Taxepunkter!A338</f>
        <v>§6.1.3</v>
      </c>
      <c r="B331" s="4" t="str">
        <f>Taxepunkter!B338</f>
        <v>Hanteringsavgifter för avfall inlämnat på återvinningscentral</v>
      </c>
      <c r="C331" s="4" t="str">
        <f>Taxepunkter!C338</f>
        <v>Rengöring/vaskmedel fast</v>
      </c>
      <c r="D331" s="4" t="str">
        <f>Taxepunkter!D338</f>
        <v>200129*</v>
      </c>
      <c r="E331" s="4" t="str">
        <f>Taxepunkter!E338</f>
        <v>Kr/Kg</v>
      </c>
      <c r="F331" s="4">
        <f>Taxepunkter!F338</f>
        <v>0</v>
      </c>
      <c r="G331" s="4" t="str">
        <f>Taxepunkter!G338</f>
        <v/>
      </c>
      <c r="H331" s="4" t="str">
        <f>Taxepunkter!H338</f>
        <v/>
      </c>
      <c r="I331" s="4" t="str">
        <f>Taxepunkter!I338</f>
        <v/>
      </c>
      <c r="J331" s="4" t="str">
        <f>Taxepunkter!J338</f>
        <v/>
      </c>
      <c r="K331" s="4">
        <f>Taxepunkter!K338</f>
        <v>0</v>
      </c>
      <c r="L331" s="6">
        <f>Taxepunkter!L338</f>
        <v>0</v>
      </c>
    </row>
    <row r="332" spans="1:12" x14ac:dyDescent="0.25">
      <c r="A332" s="5" t="str">
        <f>Taxepunkter!A339</f>
        <v>§6.1.3</v>
      </c>
      <c r="B332" s="4" t="str">
        <f>Taxepunkter!B339</f>
        <v>Hanteringsavgifter för avfall inlämnat på återvinningscentral</v>
      </c>
      <c r="C332" s="4" t="str">
        <f>Taxepunkter!C339</f>
        <v>Alkaliska flytande avfall</v>
      </c>
      <c r="D332" s="4" t="str">
        <f>Taxepunkter!D339</f>
        <v>200129*</v>
      </c>
      <c r="E332" s="4" t="str">
        <f>Taxepunkter!E339</f>
        <v>Kr/Kg</v>
      </c>
      <c r="F332" s="4">
        <f>Taxepunkter!F339</f>
        <v>0</v>
      </c>
      <c r="G332" s="4" t="str">
        <f>Taxepunkter!G339</f>
        <v/>
      </c>
      <c r="H332" s="4" t="str">
        <f>Taxepunkter!H339</f>
        <v/>
      </c>
      <c r="I332" s="4" t="str">
        <f>Taxepunkter!I339</f>
        <v/>
      </c>
      <c r="J332" s="4" t="str">
        <f>Taxepunkter!J339</f>
        <v/>
      </c>
      <c r="K332" s="4">
        <f>Taxepunkter!K339</f>
        <v>0</v>
      </c>
      <c r="L332" s="6">
        <f>Taxepunkter!L339</f>
        <v>0</v>
      </c>
    </row>
    <row r="333" spans="1:12" x14ac:dyDescent="0.25">
      <c r="A333" s="5" t="str">
        <f>Taxepunkter!A340</f>
        <v>§6.1.3</v>
      </c>
      <c r="B333" s="4" t="str">
        <f>Taxepunkter!B340</f>
        <v>Hanteringsavgifter för avfall inlämnat på återvinningscentral</v>
      </c>
      <c r="C333" s="4" t="str">
        <f>Taxepunkter!C340</f>
        <v>Cytotoxiska läkemedel, cytostat</v>
      </c>
      <c r="D333" s="4" t="str">
        <f>Taxepunkter!D340</f>
        <v>200131*</v>
      </c>
      <c r="E333" s="4" t="str">
        <f>Taxepunkter!E340</f>
        <v>Kr/Kg</v>
      </c>
      <c r="F333" s="4">
        <f>Taxepunkter!F340</f>
        <v>0</v>
      </c>
      <c r="G333" s="4" t="str">
        <f>Taxepunkter!G340</f>
        <v/>
      </c>
      <c r="H333" s="4" t="str">
        <f>Taxepunkter!H340</f>
        <v/>
      </c>
      <c r="I333" s="4" t="str">
        <f>Taxepunkter!I340</f>
        <v/>
      </c>
      <c r="J333" s="4" t="str">
        <f>Taxepunkter!J340</f>
        <v/>
      </c>
      <c r="K333" s="4">
        <f>Taxepunkter!K340</f>
        <v>0</v>
      </c>
      <c r="L333" s="6">
        <f>Taxepunkter!L340</f>
        <v>0</v>
      </c>
    </row>
    <row r="334" spans="1:12" x14ac:dyDescent="0.25">
      <c r="A334" s="5" t="str">
        <f>Taxepunkter!A341</f>
        <v>§6.1.3</v>
      </c>
      <c r="B334" s="4" t="str">
        <f>Taxepunkter!B341</f>
        <v>Hanteringsavgifter för avfall inlämnat på återvinningscentral</v>
      </c>
      <c r="C334" s="4" t="str">
        <f>Taxepunkter!C341</f>
        <v>Rökdetektor med andra isotoper</v>
      </c>
      <c r="D334" s="4" t="str">
        <f>Taxepunkter!D341</f>
        <v>200135*</v>
      </c>
      <c r="E334" s="4" t="str">
        <f>Taxepunkter!E341</f>
        <v>Kr/Kg</v>
      </c>
      <c r="F334" s="4">
        <f>Taxepunkter!F341</f>
        <v>0</v>
      </c>
      <c r="G334" s="4" t="str">
        <f>Taxepunkter!G341</f>
        <v/>
      </c>
      <c r="H334" s="4" t="str">
        <f>Taxepunkter!H341</f>
        <v/>
      </c>
      <c r="I334" s="4" t="str">
        <f>Taxepunkter!I341</f>
        <v/>
      </c>
      <c r="J334" s="4" t="str">
        <f>Taxepunkter!J341</f>
        <v/>
      </c>
      <c r="K334" s="4">
        <f>Taxepunkter!K341</f>
        <v>0</v>
      </c>
      <c r="L334" s="6">
        <f>Taxepunkter!L341</f>
        <v>0</v>
      </c>
    </row>
    <row r="335" spans="1:12" x14ac:dyDescent="0.25">
      <c r="A335" s="5" t="str">
        <f>Taxepunkter!A342</f>
        <v>§6.1.3</v>
      </c>
      <c r="B335" s="4" t="str">
        <f>Taxepunkter!B342</f>
        <v>Hanteringsavgifter för avfall inlämnat på återvinningscentral</v>
      </c>
      <c r="C335" s="4" t="str">
        <f>Taxepunkter!C342</f>
        <v>Rökdetektor med Am 241</v>
      </c>
      <c r="D335" s="4" t="str">
        <f>Taxepunkter!D342</f>
        <v>200135*</v>
      </c>
      <c r="E335" s="4" t="str">
        <f>Taxepunkter!E342</f>
        <v>Kr/Kg</v>
      </c>
      <c r="F335" s="4">
        <f>Taxepunkter!F342</f>
        <v>0</v>
      </c>
      <c r="G335" s="4" t="str">
        <f>Taxepunkter!G342</f>
        <v/>
      </c>
      <c r="H335" s="4" t="str">
        <f>Taxepunkter!H342</f>
        <v/>
      </c>
      <c r="I335" s="4" t="str">
        <f>Taxepunkter!I342</f>
        <v/>
      </c>
      <c r="J335" s="4" t="str">
        <f>Taxepunkter!J342</f>
        <v/>
      </c>
      <c r="K335" s="4">
        <f>Taxepunkter!K342</f>
        <v>0</v>
      </c>
      <c r="L335" s="6">
        <f>Taxepunkter!L342</f>
        <v>0</v>
      </c>
    </row>
    <row r="336" spans="1:12" x14ac:dyDescent="0.25">
      <c r="A336" s="5" t="str">
        <f>Taxepunkter!A343</f>
        <v>§6.1.4 Tillägg för el-avfall</v>
      </c>
      <c r="B336" s="4">
        <f>Taxepunkter!B343</f>
        <v>0</v>
      </c>
      <c r="C336" s="4">
        <f>Taxepunkter!C343</f>
        <v>0</v>
      </c>
      <c r="D336" s="4">
        <f>Taxepunkter!D343</f>
        <v>0</v>
      </c>
      <c r="E336" s="4">
        <f>Taxepunkter!E343</f>
        <v>0</v>
      </c>
      <c r="F336" s="4">
        <f>Taxepunkter!F343</f>
        <v>0</v>
      </c>
      <c r="G336" s="4" t="str">
        <f>Taxepunkter!G343</f>
        <v/>
      </c>
      <c r="H336" s="4" t="str">
        <f>Taxepunkter!H343</f>
        <v/>
      </c>
      <c r="I336" s="4" t="str">
        <f>Taxepunkter!I343</f>
        <v/>
      </c>
      <c r="J336" s="4" t="str">
        <f>Taxepunkter!J343</f>
        <v/>
      </c>
      <c r="K336" s="4">
        <f>Taxepunkter!K343</f>
        <v>0</v>
      </c>
      <c r="L336" s="6">
        <f>Taxepunkter!L343</f>
        <v>0</v>
      </c>
    </row>
    <row r="337" spans="1:12" x14ac:dyDescent="0.25">
      <c r="A337" s="5" t="str">
        <f>Taxepunkter!A344</f>
        <v>§6.1.4</v>
      </c>
      <c r="B337" s="4" t="str">
        <f>Taxepunkter!B344</f>
        <v>Hanteringsavgifter för avfall inlämnat på återvinningscentral</v>
      </c>
      <c r="C337" s="4" t="str">
        <f>Taxepunkter!C344</f>
        <v>Batterier stav, pencell</v>
      </c>
      <c r="D337" s="4" t="str">
        <f>Taxepunkter!D344</f>
        <v>200133*</v>
      </c>
      <c r="E337" s="4" t="str">
        <f>Taxepunkter!E344</f>
        <v>Kr/Kg</v>
      </c>
      <c r="F337" s="4">
        <f>Taxepunkter!F344</f>
        <v>0</v>
      </c>
      <c r="G337" s="4" t="str">
        <f>Taxepunkter!G344</f>
        <v/>
      </c>
      <c r="H337" s="4" t="str">
        <f>Taxepunkter!H344</f>
        <v/>
      </c>
      <c r="I337" s="4" t="str">
        <f>Taxepunkter!I344</f>
        <v/>
      </c>
      <c r="J337" s="4" t="str">
        <f>Taxepunkter!J344</f>
        <v/>
      </c>
      <c r="K337" s="4">
        <f>Taxepunkter!K344</f>
        <v>0</v>
      </c>
      <c r="L337" s="6">
        <f>Taxepunkter!L344</f>
        <v>0</v>
      </c>
    </row>
    <row r="338" spans="1:12" x14ac:dyDescent="0.25">
      <c r="A338" s="5" t="str">
        <f>Taxepunkter!A345</f>
        <v>§6.1.4</v>
      </c>
      <c r="B338" s="4" t="str">
        <f>Taxepunkter!B345</f>
        <v>Hanteringsavgifter för avfall inlämnat på återvinningscentral</v>
      </c>
      <c r="C338" s="4" t="str">
        <f>Taxepunkter!C345</f>
        <v>Batterier lithium</v>
      </c>
      <c r="D338" s="4" t="str">
        <f>Taxepunkter!D345</f>
        <v>200134*</v>
      </c>
      <c r="E338" s="4" t="str">
        <f>Taxepunkter!E345</f>
        <v>Kr/Kg</v>
      </c>
      <c r="F338" s="4">
        <f>Taxepunkter!F345</f>
        <v>0</v>
      </c>
      <c r="G338" s="4" t="str">
        <f>Taxepunkter!G345</f>
        <v/>
      </c>
      <c r="H338" s="4" t="str">
        <f>Taxepunkter!H345</f>
        <v/>
      </c>
      <c r="I338" s="4" t="str">
        <f>Taxepunkter!I345</f>
        <v/>
      </c>
      <c r="J338" s="4" t="str">
        <f>Taxepunkter!J345</f>
        <v/>
      </c>
      <c r="K338" s="4">
        <f>Taxepunkter!K345</f>
        <v>0</v>
      </c>
      <c r="L338" s="6">
        <f>Taxepunkter!L345</f>
        <v>0</v>
      </c>
    </row>
    <row r="339" spans="1:12" x14ac:dyDescent="0.25">
      <c r="A339" s="5" t="str">
        <f>Taxepunkter!A346</f>
        <v>§6.1.4</v>
      </c>
      <c r="B339" s="4" t="str">
        <f>Taxepunkter!B346</f>
        <v>Hanteringsavgifter för avfall inlämnat på återvinningscentral</v>
      </c>
      <c r="C339" s="4" t="str">
        <f>Taxepunkter!C346</f>
        <v>Bil-, mcbatteri med bly</v>
      </c>
      <c r="D339" s="4" t="str">
        <f>Taxepunkter!D346</f>
        <v>160601*</v>
      </c>
      <c r="E339" s="4" t="str">
        <f>Taxepunkter!E346</f>
        <v>Kr/St</v>
      </c>
      <c r="F339" s="4">
        <f>Taxepunkter!F346</f>
        <v>0</v>
      </c>
      <c r="G339" s="4" t="str">
        <f>Taxepunkter!G346</f>
        <v/>
      </c>
      <c r="H339" s="4" t="str">
        <f>Taxepunkter!H346</f>
        <v/>
      </c>
      <c r="I339" s="4" t="str">
        <f>Taxepunkter!I346</f>
        <v/>
      </c>
      <c r="J339" s="4" t="str">
        <f>Taxepunkter!J346</f>
        <v/>
      </c>
      <c r="K339" s="4">
        <f>Taxepunkter!K346</f>
        <v>0</v>
      </c>
      <c r="L339" s="6">
        <f>Taxepunkter!L346</f>
        <v>0</v>
      </c>
    </row>
    <row r="340" spans="1:12" x14ac:dyDescent="0.25">
      <c r="A340" s="5" t="str">
        <f>Taxepunkter!A347</f>
        <v>§6.1.4</v>
      </c>
      <c r="B340" s="4" t="str">
        <f>Taxepunkter!B347</f>
        <v>Hanteringsavgifter för avfall inlämnat på återvinningscentral</v>
      </c>
      <c r="C340" s="4" t="str">
        <f>Taxepunkter!C347</f>
        <v>Glödlampor</v>
      </c>
      <c r="D340" s="4" t="str">
        <f>Taxepunkter!D347</f>
        <v>200136*</v>
      </c>
      <c r="E340" s="4" t="str">
        <f>Taxepunkter!E347</f>
        <v>Kr/Kg</v>
      </c>
      <c r="F340" s="4">
        <f>Taxepunkter!F347</f>
        <v>0</v>
      </c>
      <c r="G340" s="4" t="str">
        <f>Taxepunkter!G347</f>
        <v/>
      </c>
      <c r="H340" s="4" t="str">
        <f>Taxepunkter!H347</f>
        <v/>
      </c>
      <c r="I340" s="4" t="str">
        <f>Taxepunkter!I347</f>
        <v/>
      </c>
      <c r="J340" s="4" t="str">
        <f>Taxepunkter!J347</f>
        <v/>
      </c>
      <c r="K340" s="4">
        <f>Taxepunkter!K347</f>
        <v>0</v>
      </c>
      <c r="L340" s="6">
        <f>Taxepunkter!L347</f>
        <v>0</v>
      </c>
    </row>
    <row r="341" spans="1:12" x14ac:dyDescent="0.25">
      <c r="A341" s="5" t="str">
        <f>Taxepunkter!A348</f>
        <v>§6.1.4</v>
      </c>
      <c r="B341" s="4" t="str">
        <f>Taxepunkter!B348</f>
        <v>Hanteringsavgifter för avfall inlämnat på återvinningscentral</v>
      </c>
      <c r="C341" s="4" t="str">
        <f>Taxepunkter!C348</f>
        <v>Lysrör</v>
      </c>
      <c r="D341" s="4" t="str">
        <f>Taxepunkter!D348</f>
        <v>200121*</v>
      </c>
      <c r="E341" s="4" t="str">
        <f>Taxepunkter!E348</f>
        <v>Kr/Kg</v>
      </c>
      <c r="F341" s="4">
        <f>Taxepunkter!F348</f>
        <v>0</v>
      </c>
      <c r="G341" s="4" t="str">
        <f>Taxepunkter!G348</f>
        <v/>
      </c>
      <c r="H341" s="4" t="str">
        <f>Taxepunkter!H348</f>
        <v/>
      </c>
      <c r="I341" s="4" t="str">
        <f>Taxepunkter!I348</f>
        <v/>
      </c>
      <c r="J341" s="4" t="str">
        <f>Taxepunkter!J348</f>
        <v/>
      </c>
      <c r="K341" s="4">
        <f>Taxepunkter!K348</f>
        <v>0</v>
      </c>
      <c r="L341" s="6">
        <f>Taxepunkter!L348</f>
        <v>0</v>
      </c>
    </row>
    <row r="342" spans="1:12" x14ac:dyDescent="0.25">
      <c r="A342" s="5" t="str">
        <f>Taxepunkter!A349</f>
        <v>§6.1.4</v>
      </c>
      <c r="B342" s="4" t="str">
        <f>Taxepunkter!B349</f>
        <v>Hanteringsavgifter för avfall inlämnat på återvinningscentral</v>
      </c>
      <c r="C342" s="4" t="str">
        <f>Taxepunkter!C349</f>
        <v xml:space="preserve">Elavfall, små elektronik </v>
      </c>
      <c r="D342" s="4">
        <f>Taxepunkter!D349</f>
        <v>200136</v>
      </c>
      <c r="E342" s="4" t="str">
        <f>Taxepunkter!E349</f>
        <v>Kr/Kg</v>
      </c>
      <c r="F342" s="4">
        <f>Taxepunkter!F349</f>
        <v>0</v>
      </c>
      <c r="G342" s="4" t="str">
        <f>Taxepunkter!G349</f>
        <v/>
      </c>
      <c r="H342" s="4" t="str">
        <f>Taxepunkter!H349</f>
        <v/>
      </c>
      <c r="I342" s="4" t="str">
        <f>Taxepunkter!I349</f>
        <v/>
      </c>
      <c r="J342" s="4" t="str">
        <f>Taxepunkter!J349</f>
        <v/>
      </c>
      <c r="K342" s="4">
        <f>Taxepunkter!K349</f>
        <v>0</v>
      </c>
      <c r="L342" s="6">
        <f>Taxepunkter!L349</f>
        <v>0</v>
      </c>
    </row>
    <row r="343" spans="1:12" x14ac:dyDescent="0.25">
      <c r="A343" s="5" t="str">
        <f>Taxepunkter!A350</f>
        <v>§6.1.4</v>
      </c>
      <c r="B343" s="4" t="str">
        <f>Taxepunkter!B350</f>
        <v>Hanteringsavgifter för avfall inlämnat på återvinningscentral</v>
      </c>
      <c r="C343" s="4" t="str">
        <f>Taxepunkter!C350</f>
        <v>El-avfall fast installation</v>
      </c>
      <c r="D343" s="4">
        <f>Taxepunkter!D350</f>
        <v>200136</v>
      </c>
      <c r="E343" s="4" t="str">
        <f>Taxepunkter!E350</f>
        <v>Kr/Kg</v>
      </c>
      <c r="F343" s="4">
        <f>Taxepunkter!F350</f>
        <v>0</v>
      </c>
      <c r="G343" s="4" t="str">
        <f>Taxepunkter!G350</f>
        <v/>
      </c>
      <c r="H343" s="4" t="str">
        <f>Taxepunkter!H350</f>
        <v/>
      </c>
      <c r="I343" s="4" t="str">
        <f>Taxepunkter!I350</f>
        <v/>
      </c>
      <c r="J343" s="4" t="str">
        <f>Taxepunkter!J350</f>
        <v/>
      </c>
      <c r="K343" s="4">
        <f>Taxepunkter!K350</f>
        <v>0</v>
      </c>
      <c r="L343" s="6">
        <f>Taxepunkter!L350</f>
        <v>0</v>
      </c>
    </row>
    <row r="344" spans="1:12" x14ac:dyDescent="0.25">
      <c r="A344" s="5" t="str">
        <f>Taxepunkter!A351</f>
        <v>§6.1.4</v>
      </c>
      <c r="B344" s="4" t="str">
        <f>Taxepunkter!B351</f>
        <v>Hanteringsavgifter för avfall inlämnat på återvinningscentral</v>
      </c>
      <c r="C344" s="4" t="str">
        <f>Taxepunkter!C351</f>
        <v>El-avfall kabel</v>
      </c>
      <c r="D344" s="4">
        <f>Taxepunkter!D351</f>
        <v>170411</v>
      </c>
      <c r="E344" s="4" t="str">
        <f>Taxepunkter!E351</f>
        <v>Kr/Kg</v>
      </c>
      <c r="F344" s="4">
        <f>Taxepunkter!F351</f>
        <v>0</v>
      </c>
      <c r="G344" s="4" t="str">
        <f>Taxepunkter!G351</f>
        <v/>
      </c>
      <c r="H344" s="4" t="str">
        <f>Taxepunkter!H351</f>
        <v/>
      </c>
      <c r="I344" s="4" t="str">
        <f>Taxepunkter!I351</f>
        <v/>
      </c>
      <c r="J344" s="4" t="str">
        <f>Taxepunkter!J351</f>
        <v/>
      </c>
      <c r="K344" s="4">
        <f>Taxepunkter!K351</f>
        <v>0</v>
      </c>
      <c r="L344" s="6">
        <f>Taxepunkter!L351</f>
        <v>0</v>
      </c>
    </row>
    <row r="345" spans="1:12" x14ac:dyDescent="0.25">
      <c r="A345" s="5" t="str">
        <f>Taxepunkter!A352</f>
        <v>§6.1.4</v>
      </c>
      <c r="B345" s="4" t="str">
        <f>Taxepunkter!B352</f>
        <v>Hanteringsavgifter för avfall inlämnat på återvinningscentral</v>
      </c>
      <c r="C345" s="4" t="str">
        <f>Taxepunkter!C352</f>
        <v>Toner, färgpatron med elektronik</v>
      </c>
      <c r="D345" s="4" t="str">
        <f>Taxepunkter!D352</f>
        <v>080307*</v>
      </c>
      <c r="E345" s="4" t="str">
        <f>Taxepunkter!E352</f>
        <v>Kr/Kg</v>
      </c>
      <c r="F345" s="4">
        <f>Taxepunkter!F352</f>
        <v>0</v>
      </c>
      <c r="G345" s="4" t="str">
        <f>Taxepunkter!G352</f>
        <v/>
      </c>
      <c r="H345" s="4" t="str">
        <f>Taxepunkter!H352</f>
        <v/>
      </c>
      <c r="I345" s="4" t="str">
        <f>Taxepunkter!I352</f>
        <v/>
      </c>
      <c r="J345" s="4" t="str">
        <f>Taxepunkter!J352</f>
        <v/>
      </c>
      <c r="K345" s="4">
        <f>Taxepunkter!K352</f>
        <v>0</v>
      </c>
      <c r="L345" s="6">
        <f>Taxepunkter!L352</f>
        <v>0</v>
      </c>
    </row>
    <row r="346" spans="1:12" x14ac:dyDescent="0.25">
      <c r="A346" s="5" t="str">
        <f>Taxepunkter!A353</f>
        <v>§6.1.4</v>
      </c>
      <c r="B346" s="4" t="str">
        <f>Taxepunkter!B353</f>
        <v>Hanteringsavgifter för avfall inlämnat på återvinningscentral</v>
      </c>
      <c r="C346" s="4" t="str">
        <f>Taxepunkter!C353</f>
        <v>Toner, färgpatron utan elektronik</v>
      </c>
      <c r="D346" s="4" t="str">
        <f>Taxepunkter!D353</f>
        <v>Se farligt avfall</v>
      </c>
      <c r="E346" s="4" t="str">
        <f>Taxepunkter!E353</f>
        <v>Ej pris</v>
      </c>
      <c r="F346" s="4">
        <f>Taxepunkter!F353</f>
        <v>0</v>
      </c>
      <c r="G346" s="4" t="str">
        <f>Taxepunkter!G353</f>
        <v/>
      </c>
      <c r="H346" s="4" t="str">
        <f>Taxepunkter!H353</f>
        <v/>
      </c>
      <c r="I346" s="4" t="str">
        <f>Taxepunkter!I353</f>
        <v/>
      </c>
      <c r="J346" s="4" t="str">
        <f>Taxepunkter!J353</f>
        <v/>
      </c>
      <c r="K346" s="4">
        <f>Taxepunkter!K353</f>
        <v>0</v>
      </c>
      <c r="L346" s="6">
        <f>Taxepunkter!L353</f>
        <v>0</v>
      </c>
    </row>
    <row r="347" spans="1:12" x14ac:dyDescent="0.25">
      <c r="A347" s="5" t="str">
        <f>Taxepunkter!A354</f>
        <v>§6.1.4</v>
      </c>
      <c r="B347" s="4" t="str">
        <f>Taxepunkter!B354</f>
        <v>Hanteringsavgifter för avfall inlämnat på återvinningscentral</v>
      </c>
      <c r="C347" s="4" t="str">
        <f>Taxepunkter!C354</f>
        <v>Tv, radio, skärm, skrivare utan färgpatron</v>
      </c>
      <c r="D347" s="4">
        <f>Taxepunkter!D354</f>
        <v>200135</v>
      </c>
      <c r="E347" s="4" t="str">
        <f>Taxepunkter!E354</f>
        <v>Kr/Kg</v>
      </c>
      <c r="F347" s="4">
        <f>Taxepunkter!F354</f>
        <v>0</v>
      </c>
      <c r="G347" s="4" t="str">
        <f>Taxepunkter!G354</f>
        <v/>
      </c>
      <c r="H347" s="4" t="str">
        <f>Taxepunkter!H354</f>
        <v/>
      </c>
      <c r="I347" s="4" t="str">
        <f>Taxepunkter!I354</f>
        <v/>
      </c>
      <c r="J347" s="4" t="str">
        <f>Taxepunkter!J354</f>
        <v/>
      </c>
      <c r="K347" s="4">
        <f>Taxepunkter!K354</f>
        <v>0</v>
      </c>
      <c r="L347" s="6">
        <f>Taxepunkter!L354</f>
        <v>0</v>
      </c>
    </row>
    <row r="348" spans="1:12" x14ac:dyDescent="0.25">
      <c r="A348" s="5" t="str">
        <f>Taxepunkter!A355</f>
        <v>§6.1.4</v>
      </c>
      <c r="B348" s="4" t="str">
        <f>Taxepunkter!B355</f>
        <v>Hanteringsavgifter för avfall inlämnat på återvinningscentral</v>
      </c>
      <c r="C348" s="4" t="str">
        <f>Taxepunkter!C355</f>
        <v>Kyl-, frysskåp, -box</v>
      </c>
      <c r="D348" s="4" t="str">
        <f>Taxepunkter!D355</f>
        <v>200123*</v>
      </c>
      <c r="E348" s="4" t="str">
        <f>Taxepunkter!E355</f>
        <v>Kr/St</v>
      </c>
      <c r="F348" s="4">
        <f>Taxepunkter!F355</f>
        <v>0</v>
      </c>
      <c r="G348" s="4" t="str">
        <f>Taxepunkter!G355</f>
        <v/>
      </c>
      <c r="H348" s="4" t="str">
        <f>Taxepunkter!H355</f>
        <v/>
      </c>
      <c r="I348" s="4" t="str">
        <f>Taxepunkter!I355</f>
        <v/>
      </c>
      <c r="J348" s="4" t="str">
        <f>Taxepunkter!J355</f>
        <v/>
      </c>
      <c r="K348" s="4">
        <f>Taxepunkter!K355</f>
        <v>0</v>
      </c>
      <c r="L348" s="6">
        <f>Taxepunkter!L355</f>
        <v>0</v>
      </c>
    </row>
    <row r="349" spans="1:12" x14ac:dyDescent="0.25">
      <c r="A349" s="5" t="str">
        <f>Taxepunkter!A356</f>
        <v>§6.1.4</v>
      </c>
      <c r="B349" s="4" t="str">
        <f>Taxepunkter!B356</f>
        <v>Hanteringsavgifter för avfall inlämnat på återvinningscentral</v>
      </c>
      <c r="C349" s="4" t="str">
        <f>Taxepunkter!C356</f>
        <v>Kyl-, frysskåp, -box från verksamhet</v>
      </c>
      <c r="D349" s="4" t="str">
        <f>Taxepunkter!D356</f>
        <v>200123*</v>
      </c>
      <c r="E349" s="4" t="str">
        <f>Taxepunkter!E356</f>
        <v>Kr/Kg</v>
      </c>
      <c r="F349" s="4">
        <f>Taxepunkter!F356</f>
        <v>0</v>
      </c>
      <c r="G349" s="4" t="str">
        <f>Taxepunkter!G356</f>
        <v/>
      </c>
      <c r="H349" s="4" t="str">
        <f>Taxepunkter!H356</f>
        <v/>
      </c>
      <c r="I349" s="4" t="str">
        <f>Taxepunkter!I356</f>
        <v/>
      </c>
      <c r="J349" s="4" t="str">
        <f>Taxepunkter!J356</f>
        <v/>
      </c>
      <c r="K349" s="4">
        <f>Taxepunkter!K356</f>
        <v>0</v>
      </c>
      <c r="L349" s="6">
        <f>Taxepunkter!L356</f>
        <v>0</v>
      </c>
    </row>
    <row r="350" spans="1:12" x14ac:dyDescent="0.25">
      <c r="A350" s="5" t="str">
        <f>Taxepunkter!A357</f>
        <v>§6.1.4</v>
      </c>
      <c r="B350" s="4" t="str">
        <f>Taxepunkter!B357</f>
        <v>Hanteringsavgifter för avfall inlämnat på återvinningscentral</v>
      </c>
      <c r="C350" s="4" t="str">
        <f>Taxepunkter!C357</f>
        <v>Spis, tvätt-, diskmaskin</v>
      </c>
      <c r="D350" s="4" t="str">
        <f>Taxepunkter!D357</f>
        <v>200135*</v>
      </c>
      <c r="E350" s="4" t="str">
        <f>Taxepunkter!E357</f>
        <v>Kr/St</v>
      </c>
      <c r="F350" s="4">
        <f>Taxepunkter!F357</f>
        <v>0</v>
      </c>
      <c r="G350" s="4" t="str">
        <f>Taxepunkter!G357</f>
        <v/>
      </c>
      <c r="H350" s="4" t="str">
        <f>Taxepunkter!H357</f>
        <v/>
      </c>
      <c r="I350" s="4" t="str">
        <f>Taxepunkter!I357</f>
        <v/>
      </c>
      <c r="J350" s="4" t="str">
        <f>Taxepunkter!J357</f>
        <v/>
      </c>
      <c r="K350" s="4">
        <f>Taxepunkter!K357</f>
        <v>0</v>
      </c>
      <c r="L350" s="6">
        <f>Taxepunkter!L357</f>
        <v>0</v>
      </c>
    </row>
    <row r="351" spans="1:12" x14ac:dyDescent="0.25">
      <c r="A351" s="5" t="str">
        <f>Taxepunkter!A358</f>
        <v>§6.1.4</v>
      </c>
      <c r="B351" s="4" t="str">
        <f>Taxepunkter!B358</f>
        <v>Hanteringsavgifter för avfall inlämnat på återvinningscentral</v>
      </c>
      <c r="C351" s="4" t="str">
        <f>Taxepunkter!C358</f>
        <v>Spis, tvätt-, diskmaskin från verksamhet</v>
      </c>
      <c r="D351" s="4" t="str">
        <f>Taxepunkter!D358</f>
        <v>200135*</v>
      </c>
      <c r="E351" s="4" t="str">
        <f>Taxepunkter!E358</f>
        <v>Kr/Kg</v>
      </c>
      <c r="F351" s="4">
        <f>Taxepunkter!F358</f>
        <v>0</v>
      </c>
      <c r="G351" s="4" t="str">
        <f>Taxepunkter!G358</f>
        <v/>
      </c>
      <c r="H351" s="4" t="str">
        <f>Taxepunkter!H358</f>
        <v/>
      </c>
      <c r="I351" s="4" t="str">
        <f>Taxepunkter!I358</f>
        <v/>
      </c>
      <c r="J351" s="4" t="str">
        <f>Taxepunkter!J358</f>
        <v/>
      </c>
      <c r="K351" s="4">
        <f>Taxepunkter!K358</f>
        <v>0</v>
      </c>
      <c r="L351" s="6">
        <f>Taxepunkter!L358</f>
        <v>0</v>
      </c>
    </row>
    <row r="352" spans="1:12" x14ac:dyDescent="0.25">
      <c r="A352" s="5" t="str">
        <f>Taxepunkter!A359</f>
        <v>§6.1.5 Hyra av container</v>
      </c>
      <c r="B352" s="4">
        <f>Taxepunkter!B359</f>
        <v>0</v>
      </c>
      <c r="C352" s="4">
        <f>Taxepunkter!C359</f>
        <v>0</v>
      </c>
      <c r="D352" s="4">
        <f>Taxepunkter!D359</f>
        <v>0</v>
      </c>
      <c r="E352" s="4">
        <f>Taxepunkter!E359</f>
        <v>0</v>
      </c>
      <c r="F352" s="4">
        <f>Taxepunkter!F359</f>
        <v>0</v>
      </c>
      <c r="G352" s="4" t="str">
        <f>Taxepunkter!G359</f>
        <v/>
      </c>
      <c r="H352" s="4" t="str">
        <f>Taxepunkter!H359</f>
        <v/>
      </c>
      <c r="I352" s="4" t="str">
        <f>Taxepunkter!I359</f>
        <v/>
      </c>
      <c r="J352" s="4" t="str">
        <f>Taxepunkter!J359</f>
        <v/>
      </c>
      <c r="K352" s="4">
        <f>Taxepunkter!K359</f>
        <v>0</v>
      </c>
      <c r="L352" s="6">
        <f>Taxepunkter!L359</f>
        <v>0</v>
      </c>
    </row>
    <row r="353" spans="1:12" x14ac:dyDescent="0.25">
      <c r="A353" s="5" t="str">
        <f>Taxepunkter!A360</f>
        <v>§6.1.5</v>
      </c>
      <c r="B353" s="4" t="str">
        <f>Taxepunkter!B360</f>
        <v>Hyra av container</v>
      </c>
      <c r="C353" s="4" t="str">
        <f>Taxepunkter!C360</f>
        <v>Container 3 m3</v>
      </c>
      <c r="D353" s="4">
        <f>Taxepunkter!D360</f>
        <v>0</v>
      </c>
      <c r="E353" s="4" t="str">
        <f>Taxepunkter!E360</f>
        <v>st/dygn</v>
      </c>
      <c r="F353" s="4">
        <f>Taxepunkter!F360</f>
        <v>0</v>
      </c>
      <c r="G353" s="4" t="str">
        <f>Taxepunkter!G360</f>
        <v/>
      </c>
      <c r="H353" s="4" t="str">
        <f>Taxepunkter!H360</f>
        <v/>
      </c>
      <c r="I353" s="4" t="str">
        <f>Taxepunkter!I360</f>
        <v/>
      </c>
      <c r="J353" s="4" t="str">
        <f>Taxepunkter!J360</f>
        <v/>
      </c>
      <c r="K353" s="4">
        <f>Taxepunkter!K360</f>
        <v>0</v>
      </c>
      <c r="L353" s="6">
        <f>Taxepunkter!L360</f>
        <v>0</v>
      </c>
    </row>
    <row r="354" spans="1:12" x14ac:dyDescent="0.25">
      <c r="A354" s="5" t="str">
        <f>Taxepunkter!A361</f>
        <v>§6.1.5</v>
      </c>
      <c r="B354" s="4" t="str">
        <f>Taxepunkter!B361</f>
        <v>Hyra av container</v>
      </c>
      <c r="C354" s="4" t="str">
        <f>Taxepunkter!C361</f>
        <v>Container 5 m3</v>
      </c>
      <c r="D354" s="4">
        <f>Taxepunkter!D361</f>
        <v>0</v>
      </c>
      <c r="E354" s="4" t="str">
        <f>Taxepunkter!E361</f>
        <v>st/dygn</v>
      </c>
      <c r="F354" s="4">
        <f>Taxepunkter!F361</f>
        <v>0</v>
      </c>
      <c r="G354" s="4" t="str">
        <f>Taxepunkter!G361</f>
        <v/>
      </c>
      <c r="H354" s="4" t="str">
        <f>Taxepunkter!H361</f>
        <v/>
      </c>
      <c r="I354" s="4" t="str">
        <f>Taxepunkter!I361</f>
        <v/>
      </c>
      <c r="J354" s="4" t="str">
        <f>Taxepunkter!J361</f>
        <v/>
      </c>
      <c r="K354" s="4">
        <f>Taxepunkter!K361</f>
        <v>0</v>
      </c>
      <c r="L354" s="6">
        <f>Taxepunkter!L361</f>
        <v>0</v>
      </c>
    </row>
    <row r="355" spans="1:12" x14ac:dyDescent="0.25">
      <c r="A355" s="5" t="str">
        <f>Taxepunkter!A362</f>
        <v>§6.1.5</v>
      </c>
      <c r="B355" s="4" t="str">
        <f>Taxepunkter!B362</f>
        <v>Hyra av container</v>
      </c>
      <c r="C355" s="4" t="str">
        <f>Taxepunkter!C362</f>
        <v>Container 8 m3</v>
      </c>
      <c r="D355" s="4">
        <f>Taxepunkter!D362</f>
        <v>0</v>
      </c>
      <c r="E355" s="4" t="str">
        <f>Taxepunkter!E362</f>
        <v>st/dygn</v>
      </c>
      <c r="F355" s="4">
        <f>Taxepunkter!F362</f>
        <v>0</v>
      </c>
      <c r="G355" s="4" t="str">
        <f>Taxepunkter!G362</f>
        <v/>
      </c>
      <c r="H355" s="4" t="str">
        <f>Taxepunkter!H362</f>
        <v/>
      </c>
      <c r="I355" s="4" t="str">
        <f>Taxepunkter!I362</f>
        <v/>
      </c>
      <c r="J355" s="4" t="str">
        <f>Taxepunkter!J362</f>
        <v/>
      </c>
      <c r="K355" s="4">
        <f>Taxepunkter!K362</f>
        <v>0</v>
      </c>
      <c r="L355" s="6">
        <f>Taxepunkter!L362</f>
        <v>0</v>
      </c>
    </row>
    <row r="356" spans="1:12" x14ac:dyDescent="0.25">
      <c r="A356" s="5" t="str">
        <f>Taxepunkter!A363</f>
        <v>§6.1.5</v>
      </c>
      <c r="B356" s="4" t="str">
        <f>Taxepunkter!B363</f>
        <v>Hyra av container</v>
      </c>
      <c r="C356" s="4" t="str">
        <f>Taxepunkter!C363</f>
        <v>Omklassning av felsorterad container</v>
      </c>
      <c r="D356" s="4">
        <f>Taxepunkter!D363</f>
        <v>0</v>
      </c>
      <c r="E356" s="4" t="str">
        <f>Taxepunkter!E363</f>
        <v>st/tillfälle</v>
      </c>
      <c r="F356" s="4">
        <f>Taxepunkter!F363</f>
        <v>0</v>
      </c>
      <c r="G356" s="4" t="str">
        <f>Taxepunkter!G363</f>
        <v/>
      </c>
      <c r="H356" s="4" t="str">
        <f>Taxepunkter!H363</f>
        <v/>
      </c>
      <c r="I356" s="4" t="str">
        <f>Taxepunkter!I363</f>
        <v/>
      </c>
      <c r="J356" s="4" t="str">
        <f>Taxepunkter!J363</f>
        <v/>
      </c>
      <c r="K356" s="4">
        <f>Taxepunkter!K363</f>
        <v>0</v>
      </c>
      <c r="L356" s="6">
        <f>Taxepunkter!L363</f>
        <v>0</v>
      </c>
    </row>
    <row r="357" spans="1:12" x14ac:dyDescent="0.25">
      <c r="A357" s="5" t="str">
        <f>Taxepunkter!A364</f>
        <v>§6.1.6 Tillägg och avgifter</v>
      </c>
      <c r="B357" s="4">
        <f>Taxepunkter!B364</f>
        <v>0</v>
      </c>
      <c r="C357" s="4">
        <f>Taxepunkter!C364</f>
        <v>0</v>
      </c>
      <c r="D357" s="4">
        <f>Taxepunkter!D364</f>
        <v>0</v>
      </c>
      <c r="E357" s="4">
        <f>Taxepunkter!E364</f>
        <v>0</v>
      </c>
      <c r="F357" s="4">
        <f>Taxepunkter!F364</f>
        <v>0</v>
      </c>
      <c r="G357" s="4" t="str">
        <f>Taxepunkter!G364</f>
        <v/>
      </c>
      <c r="H357" s="4" t="str">
        <f>Taxepunkter!H364</f>
        <v/>
      </c>
      <c r="I357" s="4" t="str">
        <f>Taxepunkter!I364</f>
        <v/>
      </c>
      <c r="J357" s="4" t="str">
        <f>Taxepunkter!J364</f>
        <v/>
      </c>
      <c r="K357" s="4">
        <f>Taxepunkter!K364</f>
        <v>0</v>
      </c>
      <c r="L357" s="6">
        <f>Taxepunkter!L364</f>
        <v>0</v>
      </c>
    </row>
    <row r="358" spans="1:12" x14ac:dyDescent="0.25">
      <c r="A358" s="5" t="str">
        <f>Taxepunkter!A365</f>
        <v>§6.1.6</v>
      </c>
      <c r="B358" s="4" t="str">
        <f>Taxepunkter!B365</f>
        <v>Tillägg och avgifter</v>
      </c>
      <c r="C358" s="4" t="str">
        <f>Taxepunkter!C365</f>
        <v>Okänt farligt avfall säkerhetsdatablad saknas</v>
      </c>
      <c r="D358" s="4">
        <f>Taxepunkter!D365</f>
        <v>0</v>
      </c>
      <c r="E358" s="4" t="str">
        <f>Taxepunkter!E365</f>
        <v>st/tillfälle</v>
      </c>
      <c r="F358" s="4">
        <f>Taxepunkter!F365</f>
        <v>0</v>
      </c>
      <c r="G358" s="4" t="str">
        <f>Taxepunkter!G365</f>
        <v/>
      </c>
      <c r="H358" s="4" t="str">
        <f>Taxepunkter!H365</f>
        <v/>
      </c>
      <c r="I358" s="4" t="str">
        <f>Taxepunkter!I365</f>
        <v/>
      </c>
      <c r="J358" s="4" t="str">
        <f>Taxepunkter!J365</f>
        <v/>
      </c>
      <c r="K358" s="4">
        <f>Taxepunkter!K365</f>
        <v>0</v>
      </c>
      <c r="L358" s="6">
        <f>Taxepunkter!L365</f>
        <v>0</v>
      </c>
    </row>
    <row r="359" spans="1:12" x14ac:dyDescent="0.25">
      <c r="A359" s="5" t="str">
        <f>Taxepunkter!A366</f>
        <v>§6.1.6</v>
      </c>
      <c r="B359" s="4" t="str">
        <f>Taxepunkter!B366</f>
        <v>Tillägg och avgifter</v>
      </c>
      <c r="C359" s="4" t="str">
        <f>Taxepunkter!C366</f>
        <v>Ombud för rapportering av farligt avfall i Avfallsregistret</v>
      </c>
      <c r="D359" s="4" t="str">
        <f>Taxepunkter!D366</f>
        <v>Hämtning månadsvis</v>
      </c>
      <c r="E359" s="4" t="str">
        <f>Taxepunkter!E366</f>
        <v>st/år</v>
      </c>
      <c r="F359" s="4">
        <f>Taxepunkter!F366</f>
        <v>0</v>
      </c>
      <c r="G359" s="4" t="str">
        <f>Taxepunkter!G366</f>
        <v/>
      </c>
      <c r="H359" s="4" t="str">
        <f>Taxepunkter!H366</f>
        <v/>
      </c>
      <c r="I359" s="4" t="str">
        <f>Taxepunkter!I366</f>
        <v/>
      </c>
      <c r="J359" s="4" t="str">
        <f>Taxepunkter!J366</f>
        <v/>
      </c>
      <c r="K359" s="4">
        <f>Taxepunkter!K366</f>
        <v>0</v>
      </c>
      <c r="L359" s="6">
        <f>Taxepunkter!L366</f>
        <v>0</v>
      </c>
    </row>
    <row r="360" spans="1:12" x14ac:dyDescent="0.25">
      <c r="A360" s="5" t="str">
        <f>Taxepunkter!A367</f>
        <v>§6.1.6</v>
      </c>
      <c r="B360" s="4" t="str">
        <f>Taxepunkter!B367</f>
        <v>Tillägg och avgifter</v>
      </c>
      <c r="C360" s="4" t="str">
        <f>Taxepunkter!C367</f>
        <v>Administrativ rapporteringsavgift till Avfallsregistret</v>
      </c>
      <c r="D360" s="4">
        <f>Taxepunkter!D367</f>
        <v>0</v>
      </c>
      <c r="E360" s="4" t="str">
        <f>Taxepunkter!E367</f>
        <v>st/år</v>
      </c>
      <c r="F360" s="4">
        <f>Taxepunkter!F367</f>
        <v>0</v>
      </c>
      <c r="G360" s="4" t="str">
        <f>Taxepunkter!G367</f>
        <v/>
      </c>
      <c r="H360" s="4" t="str">
        <f>Taxepunkter!H367</f>
        <v/>
      </c>
      <c r="I360" s="4" t="str">
        <f>Taxepunkter!I367</f>
        <v/>
      </c>
      <c r="J360" s="4" t="str">
        <f>Taxepunkter!J367</f>
        <v/>
      </c>
      <c r="K360" s="4">
        <f>Taxepunkter!K367</f>
        <v>0</v>
      </c>
      <c r="L360" s="6">
        <f>Taxepunkter!L367</f>
        <v>0</v>
      </c>
    </row>
    <row r="361" spans="1:12" x14ac:dyDescent="0.25">
      <c r="A361" s="5" t="str">
        <f>Taxepunkter!A368</f>
        <v>§6.1.6</v>
      </c>
      <c r="B361" s="4" t="str">
        <f>Taxepunkter!B368</f>
        <v>Tillägg och avgifter</v>
      </c>
      <c r="C361" s="4" t="str">
        <f>Taxepunkter!C368</f>
        <v>ombud för registrering av El-kretsen avlämnarintyg i Hämtplatsportalen</v>
      </c>
      <c r="D361" s="4">
        <f>Taxepunkter!D368</f>
        <v>0</v>
      </c>
      <c r="E361" s="4" t="str">
        <f>Taxepunkter!E368</f>
        <v>st/år</v>
      </c>
      <c r="F361" s="4">
        <f>Taxepunkter!F368</f>
        <v>0</v>
      </c>
      <c r="G361" s="4" t="str">
        <f>Taxepunkter!G368</f>
        <v/>
      </c>
      <c r="H361" s="4" t="str">
        <f>Taxepunkter!H368</f>
        <v/>
      </c>
      <c r="I361" s="4" t="str">
        <f>Taxepunkter!I368</f>
        <v/>
      </c>
      <c r="J361" s="4" t="str">
        <f>Taxepunkter!J368</f>
        <v/>
      </c>
      <c r="K361" s="4">
        <f>Taxepunkter!K368</f>
        <v>0</v>
      </c>
      <c r="L361" s="6">
        <f>Taxepunkter!L368</f>
        <v>0</v>
      </c>
    </row>
    <row r="362" spans="1:12" x14ac:dyDescent="0.25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71"/>
  <sheetViews>
    <sheetView workbookViewId="0"/>
  </sheetViews>
  <sheetFormatPr defaultRowHeight="15" x14ac:dyDescent="0.25"/>
  <cols>
    <col min="1" max="17" width="18.140625" customWidth="1"/>
  </cols>
  <sheetData>
    <row r="1" spans="1:26" ht="30" customHeight="1" x14ac:dyDescent="0.25">
      <c r="A1" s="62" t="s">
        <v>282</v>
      </c>
      <c r="B1" s="63" t="s">
        <v>283</v>
      </c>
      <c r="C1" s="63" t="s">
        <v>284</v>
      </c>
      <c r="D1" s="63" t="s">
        <v>285</v>
      </c>
      <c r="E1" s="63" t="s">
        <v>286</v>
      </c>
      <c r="F1" s="63" t="s">
        <v>287</v>
      </c>
      <c r="G1" s="63" t="s">
        <v>288</v>
      </c>
      <c r="H1" s="63" t="s">
        <v>289</v>
      </c>
      <c r="I1" s="63" t="s">
        <v>290</v>
      </c>
      <c r="J1" s="63" t="s">
        <v>291</v>
      </c>
      <c r="K1" s="63" t="s">
        <v>292</v>
      </c>
      <c r="L1" s="63" t="s">
        <v>293</v>
      </c>
      <c r="M1" s="63" t="s">
        <v>294</v>
      </c>
      <c r="N1" s="63" t="s">
        <v>295</v>
      </c>
      <c r="O1" s="63" t="s">
        <v>296</v>
      </c>
      <c r="P1" s="63" t="s">
        <v>297</v>
      </c>
      <c r="Q1" s="67" t="s">
        <v>298</v>
      </c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">
        <v>13</v>
      </c>
      <c r="B2" s="4" t="s">
        <v>299</v>
      </c>
      <c r="C2" s="4" t="s">
        <v>300</v>
      </c>
      <c r="D2" s="4" t="s">
        <v>301</v>
      </c>
      <c r="E2" s="4" t="s">
        <v>302</v>
      </c>
      <c r="F2" s="4">
        <v>1</v>
      </c>
      <c r="G2" s="4" t="s">
        <v>303</v>
      </c>
      <c r="H2" s="4" t="s">
        <v>304</v>
      </c>
      <c r="I2" s="4"/>
      <c r="J2" s="4"/>
      <c r="K2" s="4">
        <v>2762</v>
      </c>
      <c r="L2" s="19">
        <v>45658</v>
      </c>
      <c r="M2" s="4">
        <v>0</v>
      </c>
      <c r="N2" s="4"/>
      <c r="O2" s="4" t="s">
        <v>305</v>
      </c>
      <c r="P2" s="4">
        <v>1</v>
      </c>
      <c r="Q2" s="6"/>
    </row>
    <row r="3" spans="1:26" x14ac:dyDescent="0.25">
      <c r="A3" s="5">
        <v>14</v>
      </c>
      <c r="B3" s="4" t="s">
        <v>306</v>
      </c>
      <c r="C3" s="4" t="s">
        <v>307</v>
      </c>
      <c r="D3" s="4" t="s">
        <v>301</v>
      </c>
      <c r="E3" s="4" t="s">
        <v>302</v>
      </c>
      <c r="F3" s="4">
        <v>1</v>
      </c>
      <c r="G3" s="4" t="s">
        <v>303</v>
      </c>
      <c r="H3" s="4" t="s">
        <v>308</v>
      </c>
      <c r="I3" s="4"/>
      <c r="J3" s="4"/>
      <c r="K3" s="4">
        <v>1939</v>
      </c>
      <c r="L3" s="19">
        <v>45658</v>
      </c>
      <c r="M3" s="4">
        <v>0</v>
      </c>
      <c r="N3" s="4"/>
      <c r="O3" s="4" t="s">
        <v>305</v>
      </c>
      <c r="P3" s="4">
        <v>1</v>
      </c>
      <c r="Q3" s="6"/>
    </row>
    <row r="4" spans="1:26" x14ac:dyDescent="0.25">
      <c r="A4" s="5">
        <v>15</v>
      </c>
      <c r="B4" s="4" t="s">
        <v>309</v>
      </c>
      <c r="C4" s="4" t="s">
        <v>310</v>
      </c>
      <c r="D4" s="4" t="s">
        <v>301</v>
      </c>
      <c r="E4" s="4" t="s">
        <v>302</v>
      </c>
      <c r="F4" s="4">
        <v>1</v>
      </c>
      <c r="G4" s="4" t="s">
        <v>311</v>
      </c>
      <c r="H4" s="4" t="s">
        <v>308</v>
      </c>
      <c r="I4" s="4"/>
      <c r="J4" s="4"/>
      <c r="K4" s="4">
        <v>1112</v>
      </c>
      <c r="L4" s="19">
        <v>39814</v>
      </c>
      <c r="M4" s="4">
        <v>0</v>
      </c>
      <c r="N4" s="4"/>
      <c r="O4" s="4" t="s">
        <v>305</v>
      </c>
      <c r="P4" s="4">
        <v>1</v>
      </c>
      <c r="Q4" s="6" t="s">
        <v>312</v>
      </c>
    </row>
    <row r="5" spans="1:26" x14ac:dyDescent="0.25">
      <c r="A5" s="5">
        <v>16</v>
      </c>
      <c r="B5" s="4" t="s">
        <v>313</v>
      </c>
      <c r="C5" s="4" t="s">
        <v>314</v>
      </c>
      <c r="D5" s="4" t="s">
        <v>315</v>
      </c>
      <c r="E5" s="4" t="s">
        <v>316</v>
      </c>
      <c r="F5" s="4">
        <v>1</v>
      </c>
      <c r="G5" s="4" t="s">
        <v>317</v>
      </c>
      <c r="H5" s="4" t="s">
        <v>318</v>
      </c>
      <c r="I5" s="4"/>
      <c r="J5" s="4"/>
      <c r="K5" s="4">
        <v>640</v>
      </c>
      <c r="L5" s="19">
        <v>43922</v>
      </c>
      <c r="M5" s="4">
        <v>0</v>
      </c>
      <c r="N5" s="4"/>
      <c r="O5" s="4" t="s">
        <v>305</v>
      </c>
      <c r="P5" s="4">
        <v>1</v>
      </c>
      <c r="Q5" s="6" t="s">
        <v>319</v>
      </c>
    </row>
    <row r="6" spans="1:26" x14ac:dyDescent="0.25">
      <c r="A6" s="5">
        <v>178</v>
      </c>
      <c r="B6" s="4" t="s">
        <v>320</v>
      </c>
      <c r="C6" s="4" t="s">
        <v>321</v>
      </c>
      <c r="D6" s="4" t="s">
        <v>315</v>
      </c>
      <c r="E6" s="4" t="s">
        <v>322</v>
      </c>
      <c r="F6" s="4">
        <v>1</v>
      </c>
      <c r="G6" s="4" t="s">
        <v>317</v>
      </c>
      <c r="H6" s="4" t="s">
        <v>321</v>
      </c>
      <c r="I6" s="4"/>
      <c r="J6" s="4"/>
      <c r="K6" s="4">
        <v>160</v>
      </c>
      <c r="L6" s="19">
        <v>45200</v>
      </c>
      <c r="M6" s="4">
        <v>0</v>
      </c>
      <c r="N6" s="4"/>
      <c r="O6" s="4" t="s">
        <v>305</v>
      </c>
      <c r="P6" s="4">
        <v>1</v>
      </c>
      <c r="Q6" s="6" t="s">
        <v>319</v>
      </c>
    </row>
    <row r="7" spans="1:26" x14ac:dyDescent="0.25">
      <c r="A7" s="5">
        <v>2</v>
      </c>
      <c r="B7" s="4" t="s">
        <v>323</v>
      </c>
      <c r="C7" s="4" t="s">
        <v>324</v>
      </c>
      <c r="D7" s="4" t="s">
        <v>301</v>
      </c>
      <c r="E7" s="4"/>
      <c r="F7" s="4">
        <v>1</v>
      </c>
      <c r="G7" s="4" t="s">
        <v>317</v>
      </c>
      <c r="H7" s="4" t="s">
        <v>324</v>
      </c>
      <c r="I7" s="4"/>
      <c r="J7" s="4"/>
      <c r="K7" s="4">
        <v>20</v>
      </c>
      <c r="L7" s="19">
        <v>32874</v>
      </c>
      <c r="M7" s="4">
        <v>0</v>
      </c>
      <c r="N7" s="4"/>
      <c r="O7" s="4" t="s">
        <v>305</v>
      </c>
      <c r="P7" s="4">
        <v>0</v>
      </c>
      <c r="Q7" s="6"/>
    </row>
    <row r="8" spans="1:26" x14ac:dyDescent="0.25">
      <c r="A8" s="5">
        <v>12</v>
      </c>
      <c r="B8" s="4" t="s">
        <v>325</v>
      </c>
      <c r="C8" s="4" t="s">
        <v>326</v>
      </c>
      <c r="D8" s="4" t="s">
        <v>301</v>
      </c>
      <c r="E8" s="4"/>
      <c r="F8" s="4">
        <v>1</v>
      </c>
      <c r="G8" s="4" t="s">
        <v>317</v>
      </c>
      <c r="H8" s="4" t="s">
        <v>326</v>
      </c>
      <c r="I8" s="4"/>
      <c r="J8" s="4"/>
      <c r="K8" s="4"/>
      <c r="L8" s="19"/>
      <c r="M8" s="4">
        <v>0</v>
      </c>
      <c r="N8" s="4"/>
      <c r="O8" s="4" t="s">
        <v>305</v>
      </c>
      <c r="P8" s="4">
        <v>0</v>
      </c>
      <c r="Q8" s="6" t="s">
        <v>319</v>
      </c>
    </row>
    <row r="9" spans="1:26" x14ac:dyDescent="0.25">
      <c r="A9" s="5">
        <v>3</v>
      </c>
      <c r="B9" s="4" t="s">
        <v>327</v>
      </c>
      <c r="C9" s="4" t="s">
        <v>328</v>
      </c>
      <c r="D9" s="4" t="s">
        <v>301</v>
      </c>
      <c r="E9" s="4"/>
      <c r="F9" s="4">
        <v>1</v>
      </c>
      <c r="G9" s="4" t="s">
        <v>317</v>
      </c>
      <c r="H9" s="4" t="s">
        <v>328</v>
      </c>
      <c r="I9" s="4"/>
      <c r="J9" s="4"/>
      <c r="K9" s="4">
        <v>0</v>
      </c>
      <c r="L9" s="19">
        <v>32874</v>
      </c>
      <c r="M9" s="4">
        <v>0</v>
      </c>
      <c r="N9" s="4"/>
      <c r="O9" s="4" t="s">
        <v>305</v>
      </c>
      <c r="P9" s="4">
        <v>0</v>
      </c>
      <c r="Q9" s="6"/>
    </row>
    <row r="10" spans="1:26" x14ac:dyDescent="0.25">
      <c r="A10" s="5">
        <v>1</v>
      </c>
      <c r="B10" s="4" t="s">
        <v>329</v>
      </c>
      <c r="C10" s="4" t="s">
        <v>330</v>
      </c>
      <c r="D10" s="4" t="s">
        <v>301</v>
      </c>
      <c r="E10" s="4"/>
      <c r="F10" s="4">
        <v>1</v>
      </c>
      <c r="G10" s="4" t="s">
        <v>317</v>
      </c>
      <c r="H10" s="4" t="s">
        <v>330</v>
      </c>
      <c r="I10" s="4"/>
      <c r="J10" s="4"/>
      <c r="K10" s="4">
        <v>150</v>
      </c>
      <c r="L10" s="19">
        <v>32874</v>
      </c>
      <c r="M10" s="4">
        <v>0</v>
      </c>
      <c r="N10" s="4"/>
      <c r="O10" s="4" t="s">
        <v>305</v>
      </c>
      <c r="P10" s="4">
        <v>0</v>
      </c>
      <c r="Q10" s="6"/>
    </row>
    <row r="11" spans="1:26" x14ac:dyDescent="0.25">
      <c r="A11" s="5">
        <v>127</v>
      </c>
      <c r="B11" s="4" t="s">
        <v>331</v>
      </c>
      <c r="C11" s="4" t="s">
        <v>332</v>
      </c>
      <c r="D11" s="4" t="s">
        <v>315</v>
      </c>
      <c r="E11" s="4" t="s">
        <v>316</v>
      </c>
      <c r="F11" s="4">
        <v>1</v>
      </c>
      <c r="G11" s="4" t="s">
        <v>317</v>
      </c>
      <c r="H11" s="4" t="s">
        <v>333</v>
      </c>
      <c r="I11" s="4"/>
      <c r="J11" s="4"/>
      <c r="K11" s="4">
        <v>1420</v>
      </c>
      <c r="L11" s="19">
        <v>45658</v>
      </c>
      <c r="M11" s="4">
        <v>0</v>
      </c>
      <c r="N11" s="4"/>
      <c r="O11" s="4" t="s">
        <v>305</v>
      </c>
      <c r="P11" s="4">
        <v>1</v>
      </c>
      <c r="Q11" s="6" t="s">
        <v>319</v>
      </c>
    </row>
    <row r="12" spans="1:26" x14ac:dyDescent="0.25">
      <c r="A12" s="5">
        <v>128</v>
      </c>
      <c r="B12" s="4" t="s">
        <v>334</v>
      </c>
      <c r="C12" s="4" t="s">
        <v>335</v>
      </c>
      <c r="D12" s="4" t="s">
        <v>315</v>
      </c>
      <c r="E12" s="4" t="s">
        <v>316</v>
      </c>
      <c r="F12" s="4">
        <v>1</v>
      </c>
      <c r="G12" s="4" t="s">
        <v>317</v>
      </c>
      <c r="H12" s="4" t="s">
        <v>336</v>
      </c>
      <c r="I12" s="4"/>
      <c r="J12" s="4"/>
      <c r="K12" s="4">
        <v>1920</v>
      </c>
      <c r="L12" s="19">
        <v>45658</v>
      </c>
      <c r="M12" s="4">
        <v>0</v>
      </c>
      <c r="N12" s="4"/>
      <c r="O12" s="4" t="s">
        <v>305</v>
      </c>
      <c r="P12" s="4">
        <v>1</v>
      </c>
      <c r="Q12" s="6" t="s">
        <v>319</v>
      </c>
    </row>
    <row r="13" spans="1:26" x14ac:dyDescent="0.25">
      <c r="A13" s="5">
        <v>294</v>
      </c>
      <c r="B13" s="4" t="s">
        <v>337</v>
      </c>
      <c r="C13" s="4" t="s">
        <v>338</v>
      </c>
      <c r="D13" s="4" t="s">
        <v>315</v>
      </c>
      <c r="E13" s="4" t="s">
        <v>316</v>
      </c>
      <c r="F13" s="4">
        <v>1</v>
      </c>
      <c r="G13" s="4" t="s">
        <v>317</v>
      </c>
      <c r="H13" s="4" t="s">
        <v>338</v>
      </c>
      <c r="I13" s="4"/>
      <c r="J13" s="4"/>
      <c r="K13" s="4">
        <v>0</v>
      </c>
      <c r="L13" s="19">
        <v>45658</v>
      </c>
      <c r="M13" s="4">
        <v>0</v>
      </c>
      <c r="N13" s="4"/>
      <c r="O13" s="4" t="s">
        <v>305</v>
      </c>
      <c r="P13" s="4">
        <v>1</v>
      </c>
      <c r="Q13" s="6" t="s">
        <v>319</v>
      </c>
    </row>
    <row r="14" spans="1:26" x14ac:dyDescent="0.25">
      <c r="A14" s="5">
        <v>129</v>
      </c>
      <c r="B14" s="4" t="s">
        <v>339</v>
      </c>
      <c r="C14" s="4" t="s">
        <v>340</v>
      </c>
      <c r="D14" s="4" t="s">
        <v>315</v>
      </c>
      <c r="E14" s="4" t="s">
        <v>316</v>
      </c>
      <c r="F14" s="4">
        <v>1</v>
      </c>
      <c r="G14" s="4" t="s">
        <v>317</v>
      </c>
      <c r="H14" s="4" t="s">
        <v>341</v>
      </c>
      <c r="I14" s="4"/>
      <c r="J14" s="4"/>
      <c r="K14" s="4">
        <v>2448</v>
      </c>
      <c r="L14" s="19">
        <v>45658</v>
      </c>
      <c r="M14" s="4">
        <v>0</v>
      </c>
      <c r="N14" s="4"/>
      <c r="O14" s="4" t="s">
        <v>305</v>
      </c>
      <c r="P14" s="4">
        <v>1</v>
      </c>
      <c r="Q14" s="6" t="s">
        <v>319</v>
      </c>
    </row>
    <row r="15" spans="1:26" x14ac:dyDescent="0.25">
      <c r="A15" s="5">
        <v>156</v>
      </c>
      <c r="B15" s="4" t="s">
        <v>342</v>
      </c>
      <c r="C15" s="4" t="s">
        <v>343</v>
      </c>
      <c r="D15" s="4" t="s">
        <v>301</v>
      </c>
      <c r="E15" s="4" t="s">
        <v>302</v>
      </c>
      <c r="F15" s="4">
        <v>1</v>
      </c>
      <c r="G15" s="4" t="s">
        <v>303</v>
      </c>
      <c r="H15" s="4" t="s">
        <v>344</v>
      </c>
      <c r="I15" s="4"/>
      <c r="J15" s="4"/>
      <c r="K15" s="4">
        <v>2200</v>
      </c>
      <c r="L15" s="19">
        <v>45078</v>
      </c>
      <c r="M15" s="4">
        <v>0</v>
      </c>
      <c r="N15" s="4"/>
      <c r="O15" s="4" t="s">
        <v>305</v>
      </c>
      <c r="P15" s="4">
        <v>1</v>
      </c>
      <c r="Q15" s="6"/>
    </row>
    <row r="16" spans="1:26" x14ac:dyDescent="0.25">
      <c r="A16" s="5">
        <v>287</v>
      </c>
      <c r="B16" s="4" t="s">
        <v>345</v>
      </c>
      <c r="C16" s="4" t="s">
        <v>346</v>
      </c>
      <c r="D16" s="4" t="s">
        <v>315</v>
      </c>
      <c r="E16" s="4" t="s">
        <v>322</v>
      </c>
      <c r="F16" s="4">
        <v>1</v>
      </c>
      <c r="G16" s="4" t="s">
        <v>317</v>
      </c>
      <c r="H16" s="4" t="s">
        <v>347</v>
      </c>
      <c r="I16" s="4"/>
      <c r="J16" s="4"/>
      <c r="K16" s="4"/>
      <c r="L16" s="19"/>
      <c r="M16" s="4">
        <v>0</v>
      </c>
      <c r="N16" s="4"/>
      <c r="O16" s="4" t="s">
        <v>305</v>
      </c>
      <c r="P16" s="4">
        <v>0</v>
      </c>
      <c r="Q16" s="6" t="s">
        <v>348</v>
      </c>
    </row>
    <row r="17" spans="1:17" x14ac:dyDescent="0.25">
      <c r="A17" s="5">
        <v>293</v>
      </c>
      <c r="B17" s="4" t="s">
        <v>349</v>
      </c>
      <c r="C17" s="4" t="s">
        <v>350</v>
      </c>
      <c r="D17" s="4" t="s">
        <v>315</v>
      </c>
      <c r="E17" s="4" t="s">
        <v>316</v>
      </c>
      <c r="F17" s="4">
        <v>1</v>
      </c>
      <c r="G17" s="4" t="s">
        <v>311</v>
      </c>
      <c r="H17" s="4" t="s">
        <v>350</v>
      </c>
      <c r="I17" s="4"/>
      <c r="J17" s="4"/>
      <c r="K17" s="4">
        <v>0</v>
      </c>
      <c r="L17" s="19">
        <v>44927</v>
      </c>
      <c r="M17" s="4">
        <v>0</v>
      </c>
      <c r="N17" s="4"/>
      <c r="O17" s="4" t="s">
        <v>305</v>
      </c>
      <c r="P17" s="4">
        <v>1</v>
      </c>
      <c r="Q17" s="6" t="s">
        <v>351</v>
      </c>
    </row>
    <row r="18" spans="1:17" x14ac:dyDescent="0.25">
      <c r="A18" s="5">
        <v>115</v>
      </c>
      <c r="B18" s="4" t="s">
        <v>352</v>
      </c>
      <c r="C18" s="4" t="s">
        <v>353</v>
      </c>
      <c r="D18" s="4" t="s">
        <v>315</v>
      </c>
      <c r="E18" s="4" t="s">
        <v>316</v>
      </c>
      <c r="F18" s="4">
        <v>1</v>
      </c>
      <c r="G18" s="4" t="s">
        <v>311</v>
      </c>
      <c r="H18" s="4" t="s">
        <v>353</v>
      </c>
      <c r="I18" s="4"/>
      <c r="J18" s="4"/>
      <c r="K18" s="4">
        <v>800</v>
      </c>
      <c r="L18" s="19">
        <v>45658</v>
      </c>
      <c r="M18" s="4">
        <v>0</v>
      </c>
      <c r="N18" s="4"/>
      <c r="O18" s="4" t="s">
        <v>305</v>
      </c>
      <c r="P18" s="4">
        <v>1</v>
      </c>
      <c r="Q18" s="6" t="s">
        <v>351</v>
      </c>
    </row>
    <row r="19" spans="1:17" x14ac:dyDescent="0.25">
      <c r="A19" s="5">
        <v>142</v>
      </c>
      <c r="B19" s="4" t="s">
        <v>354</v>
      </c>
      <c r="C19" s="4" t="s">
        <v>355</v>
      </c>
      <c r="D19" s="4" t="s">
        <v>315</v>
      </c>
      <c r="E19" s="4" t="s">
        <v>316</v>
      </c>
      <c r="F19" s="4">
        <v>1</v>
      </c>
      <c r="G19" s="4" t="s">
        <v>311</v>
      </c>
      <c r="H19" s="4" t="s">
        <v>356</v>
      </c>
      <c r="I19" s="4"/>
      <c r="J19" s="4"/>
      <c r="K19" s="4">
        <v>1420</v>
      </c>
      <c r="L19" s="19">
        <v>45658</v>
      </c>
      <c r="M19" s="4">
        <v>0</v>
      </c>
      <c r="N19" s="4"/>
      <c r="O19" s="4" t="s">
        <v>305</v>
      </c>
      <c r="P19" s="4">
        <v>1</v>
      </c>
      <c r="Q19" s="6" t="s">
        <v>351</v>
      </c>
    </row>
    <row r="20" spans="1:17" x14ac:dyDescent="0.25">
      <c r="A20" s="5">
        <v>116</v>
      </c>
      <c r="B20" s="4" t="s">
        <v>357</v>
      </c>
      <c r="C20" s="4" t="s">
        <v>358</v>
      </c>
      <c r="D20" s="4" t="s">
        <v>315</v>
      </c>
      <c r="E20" s="4" t="s">
        <v>316</v>
      </c>
      <c r="F20" s="4">
        <v>1</v>
      </c>
      <c r="G20" s="4" t="s">
        <v>311</v>
      </c>
      <c r="H20" s="4" t="s">
        <v>358</v>
      </c>
      <c r="I20" s="4"/>
      <c r="J20" s="4"/>
      <c r="K20" s="4">
        <v>0</v>
      </c>
      <c r="L20" s="19">
        <v>44927</v>
      </c>
      <c r="M20" s="4">
        <v>0</v>
      </c>
      <c r="N20" s="4"/>
      <c r="O20" s="4" t="s">
        <v>305</v>
      </c>
      <c r="P20" s="4">
        <v>1</v>
      </c>
      <c r="Q20" s="6" t="s">
        <v>351</v>
      </c>
    </row>
    <row r="21" spans="1:17" x14ac:dyDescent="0.25">
      <c r="A21" s="5">
        <v>143</v>
      </c>
      <c r="B21" s="4" t="s">
        <v>359</v>
      </c>
      <c r="C21" s="4" t="s">
        <v>360</v>
      </c>
      <c r="D21" s="4" t="s">
        <v>315</v>
      </c>
      <c r="E21" s="4" t="s">
        <v>316</v>
      </c>
      <c r="F21" s="4">
        <v>1</v>
      </c>
      <c r="G21" s="4" t="s">
        <v>311</v>
      </c>
      <c r="H21" s="4" t="s">
        <v>360</v>
      </c>
      <c r="I21" s="4"/>
      <c r="J21" s="4"/>
      <c r="K21" s="4">
        <v>0</v>
      </c>
      <c r="L21" s="19">
        <v>44927</v>
      </c>
      <c r="M21" s="4">
        <v>0</v>
      </c>
      <c r="N21" s="4"/>
      <c r="O21" s="4" t="s">
        <v>305</v>
      </c>
      <c r="P21" s="4">
        <v>1</v>
      </c>
      <c r="Q21" s="6" t="s">
        <v>351</v>
      </c>
    </row>
    <row r="22" spans="1:17" x14ac:dyDescent="0.25">
      <c r="A22" s="5">
        <v>117</v>
      </c>
      <c r="B22" s="4" t="s">
        <v>361</v>
      </c>
      <c r="C22" s="4" t="s">
        <v>362</v>
      </c>
      <c r="D22" s="4" t="s">
        <v>315</v>
      </c>
      <c r="E22" s="4" t="s">
        <v>316</v>
      </c>
      <c r="F22" s="4">
        <v>1</v>
      </c>
      <c r="G22" s="4" t="s">
        <v>311</v>
      </c>
      <c r="H22" s="4" t="s">
        <v>362</v>
      </c>
      <c r="I22" s="4"/>
      <c r="J22" s="4"/>
      <c r="K22" s="4">
        <v>0</v>
      </c>
      <c r="L22" s="19">
        <v>44927</v>
      </c>
      <c r="M22" s="4">
        <v>0</v>
      </c>
      <c r="N22" s="4"/>
      <c r="O22" s="4" t="s">
        <v>305</v>
      </c>
      <c r="P22" s="4">
        <v>1</v>
      </c>
      <c r="Q22" s="6" t="s">
        <v>351</v>
      </c>
    </row>
    <row r="23" spans="1:17" x14ac:dyDescent="0.25">
      <c r="A23" s="5">
        <v>144</v>
      </c>
      <c r="B23" s="4" t="s">
        <v>363</v>
      </c>
      <c r="C23" s="4" t="s">
        <v>364</v>
      </c>
      <c r="D23" s="4" t="s">
        <v>315</v>
      </c>
      <c r="E23" s="4" t="s">
        <v>316</v>
      </c>
      <c r="F23" s="4">
        <v>1</v>
      </c>
      <c r="G23" s="4" t="s">
        <v>311</v>
      </c>
      <c r="H23" s="4" t="s">
        <v>364</v>
      </c>
      <c r="I23" s="4"/>
      <c r="J23" s="4"/>
      <c r="K23" s="4">
        <v>0</v>
      </c>
      <c r="L23" s="19">
        <v>44927</v>
      </c>
      <c r="M23" s="4">
        <v>0</v>
      </c>
      <c r="N23" s="4"/>
      <c r="O23" s="4" t="s">
        <v>305</v>
      </c>
      <c r="P23" s="4">
        <v>1</v>
      </c>
      <c r="Q23" s="6" t="s">
        <v>351</v>
      </c>
    </row>
    <row r="24" spans="1:17" x14ac:dyDescent="0.25">
      <c r="A24" s="5">
        <v>262</v>
      </c>
      <c r="B24" s="4" t="s">
        <v>365</v>
      </c>
      <c r="C24" s="4" t="s">
        <v>366</v>
      </c>
      <c r="D24" s="4" t="s">
        <v>315</v>
      </c>
      <c r="E24" s="4" t="s">
        <v>367</v>
      </c>
      <c r="F24" s="4">
        <v>1</v>
      </c>
      <c r="G24" s="4" t="s">
        <v>317</v>
      </c>
      <c r="H24" s="4" t="s">
        <v>366</v>
      </c>
      <c r="I24" s="4"/>
      <c r="J24" s="4"/>
      <c r="K24" s="4">
        <v>650</v>
      </c>
      <c r="L24" s="19">
        <v>45658</v>
      </c>
      <c r="M24" s="4">
        <v>0</v>
      </c>
      <c r="N24" s="4"/>
      <c r="O24" s="4" t="s">
        <v>305</v>
      </c>
      <c r="P24" s="4">
        <v>1</v>
      </c>
      <c r="Q24" s="6" t="s">
        <v>368</v>
      </c>
    </row>
    <row r="25" spans="1:17" x14ac:dyDescent="0.25">
      <c r="A25" s="5">
        <v>267</v>
      </c>
      <c r="B25" s="4" t="s">
        <v>369</v>
      </c>
      <c r="C25" s="4" t="s">
        <v>370</v>
      </c>
      <c r="D25" s="4" t="s">
        <v>315</v>
      </c>
      <c r="E25" s="4" t="s">
        <v>367</v>
      </c>
      <c r="F25" s="4">
        <v>1</v>
      </c>
      <c r="G25" s="4" t="s">
        <v>317</v>
      </c>
      <c r="H25" s="4" t="s">
        <v>370</v>
      </c>
      <c r="I25" s="4"/>
      <c r="J25" s="4"/>
      <c r="K25" s="4">
        <v>2500</v>
      </c>
      <c r="L25" s="19">
        <v>45658</v>
      </c>
      <c r="M25" s="4">
        <v>0</v>
      </c>
      <c r="N25" s="4"/>
      <c r="O25" s="4" t="s">
        <v>305</v>
      </c>
      <c r="P25" s="4">
        <v>1</v>
      </c>
      <c r="Q25" s="6" t="s">
        <v>371</v>
      </c>
    </row>
    <row r="26" spans="1:17" x14ac:dyDescent="0.25">
      <c r="A26" s="5">
        <v>289</v>
      </c>
      <c r="B26" s="4" t="s">
        <v>372</v>
      </c>
      <c r="C26" s="4" t="s">
        <v>373</v>
      </c>
      <c r="D26" s="4" t="s">
        <v>315</v>
      </c>
      <c r="E26" s="4" t="s">
        <v>367</v>
      </c>
      <c r="F26" s="4">
        <v>1</v>
      </c>
      <c r="G26" s="4" t="s">
        <v>317</v>
      </c>
      <c r="H26" s="4" t="s">
        <v>373</v>
      </c>
      <c r="I26" s="4"/>
      <c r="J26" s="4"/>
      <c r="K26" s="4">
        <v>0</v>
      </c>
      <c r="L26" s="19">
        <v>45658</v>
      </c>
      <c r="M26" s="4">
        <v>0</v>
      </c>
      <c r="N26" s="4"/>
      <c r="O26" s="4" t="s">
        <v>305</v>
      </c>
      <c r="P26" s="4">
        <v>1</v>
      </c>
      <c r="Q26" s="6" t="s">
        <v>368</v>
      </c>
    </row>
    <row r="27" spans="1:17" x14ac:dyDescent="0.25">
      <c r="A27" s="5">
        <v>296</v>
      </c>
      <c r="B27" s="4" t="s">
        <v>374</v>
      </c>
      <c r="C27" s="4" t="s">
        <v>375</v>
      </c>
      <c r="D27" s="4" t="s">
        <v>315</v>
      </c>
      <c r="E27" s="4" t="s">
        <v>367</v>
      </c>
      <c r="F27" s="4">
        <v>1</v>
      </c>
      <c r="G27" s="4" t="s">
        <v>317</v>
      </c>
      <c r="H27" s="4" t="s">
        <v>373</v>
      </c>
      <c r="I27" s="4"/>
      <c r="J27" s="4"/>
      <c r="K27" s="4">
        <v>0</v>
      </c>
      <c r="L27" s="19">
        <v>45658</v>
      </c>
      <c r="M27" s="4">
        <v>0</v>
      </c>
      <c r="N27" s="4"/>
      <c r="O27" s="4" t="s">
        <v>305</v>
      </c>
      <c r="P27" s="4">
        <v>1</v>
      </c>
      <c r="Q27" s="6" t="s">
        <v>368</v>
      </c>
    </row>
    <row r="28" spans="1:17" x14ac:dyDescent="0.25">
      <c r="A28" s="5">
        <v>162</v>
      </c>
      <c r="B28" s="4" t="s">
        <v>376</v>
      </c>
      <c r="C28" s="4" t="s">
        <v>377</v>
      </c>
      <c r="D28" s="4" t="s">
        <v>315</v>
      </c>
      <c r="E28" s="4" t="s">
        <v>322</v>
      </c>
      <c r="F28" s="4">
        <v>1</v>
      </c>
      <c r="G28" s="4" t="s">
        <v>317</v>
      </c>
      <c r="H28" s="4" t="s">
        <v>377</v>
      </c>
      <c r="I28" s="4"/>
      <c r="J28" s="4"/>
      <c r="K28" s="4">
        <v>128</v>
      </c>
      <c r="L28" s="19">
        <v>45200</v>
      </c>
      <c r="M28" s="4">
        <v>0</v>
      </c>
      <c r="N28" s="4"/>
      <c r="O28" s="4" t="s">
        <v>305</v>
      </c>
      <c r="P28" s="4">
        <v>1</v>
      </c>
      <c r="Q28" s="6" t="s">
        <v>319</v>
      </c>
    </row>
    <row r="29" spans="1:17" x14ac:dyDescent="0.25">
      <c r="A29" s="5">
        <v>209</v>
      </c>
      <c r="B29" s="4" t="s">
        <v>378</v>
      </c>
      <c r="C29" s="4" t="s">
        <v>379</v>
      </c>
      <c r="D29" s="4" t="s">
        <v>315</v>
      </c>
      <c r="E29" s="4" t="s">
        <v>380</v>
      </c>
      <c r="F29" s="4">
        <v>1</v>
      </c>
      <c r="G29" s="4" t="s">
        <v>317</v>
      </c>
      <c r="H29" s="4" t="s">
        <v>381</v>
      </c>
      <c r="I29" s="4"/>
      <c r="J29" s="4"/>
      <c r="K29" s="4">
        <v>248</v>
      </c>
      <c r="L29" s="19">
        <v>44927</v>
      </c>
      <c r="M29" s="4">
        <v>0</v>
      </c>
      <c r="N29" s="4"/>
      <c r="O29" s="4" t="s">
        <v>305</v>
      </c>
      <c r="P29" s="4">
        <v>1</v>
      </c>
      <c r="Q29" s="6" t="s">
        <v>382</v>
      </c>
    </row>
    <row r="30" spans="1:17" x14ac:dyDescent="0.25">
      <c r="A30" s="5">
        <v>208</v>
      </c>
      <c r="B30" s="4" t="s">
        <v>383</v>
      </c>
      <c r="C30" s="4" t="s">
        <v>384</v>
      </c>
      <c r="D30" s="4" t="s">
        <v>315</v>
      </c>
      <c r="E30" s="4" t="s">
        <v>380</v>
      </c>
      <c r="F30" s="4">
        <v>1</v>
      </c>
      <c r="G30" s="4" t="s">
        <v>317</v>
      </c>
      <c r="H30" s="4" t="s">
        <v>384</v>
      </c>
      <c r="I30" s="4"/>
      <c r="J30" s="4"/>
      <c r="K30" s="4">
        <v>240</v>
      </c>
      <c r="L30" s="19">
        <v>44927</v>
      </c>
      <c r="M30" s="4">
        <v>0</v>
      </c>
      <c r="N30" s="4"/>
      <c r="O30" s="4" t="s">
        <v>305</v>
      </c>
      <c r="P30" s="4">
        <v>1</v>
      </c>
      <c r="Q30" s="6" t="s">
        <v>382</v>
      </c>
    </row>
    <row r="31" spans="1:17" x14ac:dyDescent="0.25">
      <c r="A31" s="5">
        <v>118</v>
      </c>
      <c r="B31" s="4" t="s">
        <v>385</v>
      </c>
      <c r="C31" s="4" t="s">
        <v>386</v>
      </c>
      <c r="D31" s="4" t="s">
        <v>315</v>
      </c>
      <c r="E31" s="4" t="s">
        <v>316</v>
      </c>
      <c r="F31" s="4">
        <v>1</v>
      </c>
      <c r="G31" s="4" t="s">
        <v>311</v>
      </c>
      <c r="H31" s="4" t="s">
        <v>386</v>
      </c>
      <c r="I31" s="4"/>
      <c r="J31" s="4"/>
      <c r="K31" s="4">
        <v>0</v>
      </c>
      <c r="L31" s="19">
        <v>44927</v>
      </c>
      <c r="M31" s="4">
        <v>0</v>
      </c>
      <c r="N31" s="4"/>
      <c r="O31" s="4" t="s">
        <v>305</v>
      </c>
      <c r="P31" s="4">
        <v>1</v>
      </c>
      <c r="Q31" s="6" t="s">
        <v>351</v>
      </c>
    </row>
    <row r="32" spans="1:17" x14ac:dyDescent="0.25">
      <c r="A32" s="5">
        <v>145</v>
      </c>
      <c r="B32" s="4" t="s">
        <v>387</v>
      </c>
      <c r="C32" s="4" t="s">
        <v>388</v>
      </c>
      <c r="D32" s="4" t="s">
        <v>315</v>
      </c>
      <c r="E32" s="4" t="s">
        <v>316</v>
      </c>
      <c r="F32" s="4">
        <v>1</v>
      </c>
      <c r="G32" s="4" t="s">
        <v>311</v>
      </c>
      <c r="H32" s="4" t="s">
        <v>388</v>
      </c>
      <c r="I32" s="4"/>
      <c r="J32" s="4"/>
      <c r="K32" s="4">
        <v>0</v>
      </c>
      <c r="L32" s="19">
        <v>44927</v>
      </c>
      <c r="M32" s="4">
        <v>0</v>
      </c>
      <c r="N32" s="4"/>
      <c r="O32" s="4" t="s">
        <v>305</v>
      </c>
      <c r="P32" s="4">
        <v>1</v>
      </c>
      <c r="Q32" s="6" t="s">
        <v>351</v>
      </c>
    </row>
    <row r="33" spans="1:17" x14ac:dyDescent="0.25">
      <c r="A33" s="5">
        <v>119</v>
      </c>
      <c r="B33" s="4" t="s">
        <v>389</v>
      </c>
      <c r="C33" s="4" t="s">
        <v>390</v>
      </c>
      <c r="D33" s="4" t="s">
        <v>315</v>
      </c>
      <c r="E33" s="4" t="s">
        <v>316</v>
      </c>
      <c r="F33" s="4">
        <v>1</v>
      </c>
      <c r="G33" s="4" t="s">
        <v>311</v>
      </c>
      <c r="H33" s="4" t="s">
        <v>390</v>
      </c>
      <c r="I33" s="4"/>
      <c r="J33" s="4"/>
      <c r="K33" s="4">
        <v>0</v>
      </c>
      <c r="L33" s="19">
        <v>44927</v>
      </c>
      <c r="M33" s="4">
        <v>0</v>
      </c>
      <c r="N33" s="4"/>
      <c r="O33" s="4" t="s">
        <v>305</v>
      </c>
      <c r="P33" s="4">
        <v>1</v>
      </c>
      <c r="Q33" s="6" t="s">
        <v>351</v>
      </c>
    </row>
    <row r="34" spans="1:17" x14ac:dyDescent="0.25">
      <c r="A34" s="5">
        <v>146</v>
      </c>
      <c r="B34" s="4" t="s">
        <v>391</v>
      </c>
      <c r="C34" s="4" t="s">
        <v>392</v>
      </c>
      <c r="D34" s="4" t="s">
        <v>315</v>
      </c>
      <c r="E34" s="4" t="s">
        <v>316</v>
      </c>
      <c r="F34" s="4">
        <v>1</v>
      </c>
      <c r="G34" s="4" t="s">
        <v>311</v>
      </c>
      <c r="H34" s="4" t="s">
        <v>393</v>
      </c>
      <c r="I34" s="4"/>
      <c r="J34" s="4"/>
      <c r="K34" s="4">
        <v>0</v>
      </c>
      <c r="L34" s="19">
        <v>44927</v>
      </c>
      <c r="M34" s="4">
        <v>0</v>
      </c>
      <c r="N34" s="4"/>
      <c r="O34" s="4" t="s">
        <v>305</v>
      </c>
      <c r="P34" s="4">
        <v>1</v>
      </c>
      <c r="Q34" s="6" t="s">
        <v>351</v>
      </c>
    </row>
    <row r="35" spans="1:17" x14ac:dyDescent="0.25">
      <c r="A35" s="5">
        <v>120</v>
      </c>
      <c r="B35" s="4" t="s">
        <v>394</v>
      </c>
      <c r="C35" s="4" t="s">
        <v>395</v>
      </c>
      <c r="D35" s="4" t="s">
        <v>315</v>
      </c>
      <c r="E35" s="4" t="s">
        <v>316</v>
      </c>
      <c r="F35" s="4">
        <v>1</v>
      </c>
      <c r="G35" s="4" t="s">
        <v>311</v>
      </c>
      <c r="H35" s="4" t="s">
        <v>395</v>
      </c>
      <c r="I35" s="4"/>
      <c r="J35" s="4"/>
      <c r="K35" s="4">
        <v>0</v>
      </c>
      <c r="L35" s="19">
        <v>44927</v>
      </c>
      <c r="M35" s="4">
        <v>0</v>
      </c>
      <c r="N35" s="4"/>
      <c r="O35" s="4" t="s">
        <v>305</v>
      </c>
      <c r="P35" s="4">
        <v>1</v>
      </c>
      <c r="Q35" s="6" t="s">
        <v>351</v>
      </c>
    </row>
    <row r="36" spans="1:17" x14ac:dyDescent="0.25">
      <c r="A36" s="5">
        <v>147</v>
      </c>
      <c r="B36" s="4" t="s">
        <v>396</v>
      </c>
      <c r="C36" s="4" t="s">
        <v>393</v>
      </c>
      <c r="D36" s="4" t="s">
        <v>315</v>
      </c>
      <c r="E36" s="4" t="s">
        <v>316</v>
      </c>
      <c r="F36" s="4">
        <v>1</v>
      </c>
      <c r="G36" s="4" t="s">
        <v>311</v>
      </c>
      <c r="H36" s="4" t="s">
        <v>393</v>
      </c>
      <c r="I36" s="4"/>
      <c r="J36" s="4"/>
      <c r="K36" s="4">
        <v>0</v>
      </c>
      <c r="L36" s="19">
        <v>44927</v>
      </c>
      <c r="M36" s="4">
        <v>0</v>
      </c>
      <c r="N36" s="4"/>
      <c r="O36" s="4" t="s">
        <v>305</v>
      </c>
      <c r="P36" s="4">
        <v>1</v>
      </c>
      <c r="Q36" s="6" t="s">
        <v>351</v>
      </c>
    </row>
    <row r="37" spans="1:17" x14ac:dyDescent="0.25">
      <c r="A37" s="5">
        <v>167</v>
      </c>
      <c r="B37" s="4" t="s">
        <v>397</v>
      </c>
      <c r="C37" s="4" t="s">
        <v>398</v>
      </c>
      <c r="D37" s="4" t="s">
        <v>315</v>
      </c>
      <c r="E37" s="4" t="s">
        <v>399</v>
      </c>
      <c r="F37" s="4">
        <v>1</v>
      </c>
      <c r="G37" s="4" t="s">
        <v>317</v>
      </c>
      <c r="H37" s="4" t="s">
        <v>398</v>
      </c>
      <c r="I37" s="4"/>
      <c r="J37" s="4"/>
      <c r="K37" s="4">
        <v>2500</v>
      </c>
      <c r="L37" s="19">
        <v>45200</v>
      </c>
      <c r="M37" s="4">
        <v>0</v>
      </c>
      <c r="N37" s="4"/>
      <c r="O37" s="4" t="s">
        <v>305</v>
      </c>
      <c r="P37" s="4">
        <v>1</v>
      </c>
      <c r="Q37" s="6" t="s">
        <v>371</v>
      </c>
    </row>
    <row r="38" spans="1:17" x14ac:dyDescent="0.25">
      <c r="A38" s="5">
        <v>17</v>
      </c>
      <c r="B38" s="4" t="s">
        <v>400</v>
      </c>
      <c r="C38" s="4" t="s">
        <v>401</v>
      </c>
      <c r="D38" s="4" t="s">
        <v>315</v>
      </c>
      <c r="E38" s="4" t="s">
        <v>322</v>
      </c>
      <c r="F38" s="4">
        <v>1</v>
      </c>
      <c r="G38" s="4" t="s">
        <v>317</v>
      </c>
      <c r="H38" s="4" t="s">
        <v>401</v>
      </c>
      <c r="I38" s="4"/>
      <c r="J38" s="4"/>
      <c r="K38" s="4">
        <v>192</v>
      </c>
      <c r="L38" s="19">
        <v>44378</v>
      </c>
      <c r="M38" s="4">
        <v>0</v>
      </c>
      <c r="N38" s="4"/>
      <c r="O38" s="4" t="s">
        <v>305</v>
      </c>
      <c r="P38" s="4">
        <v>1</v>
      </c>
      <c r="Q38" s="6" t="s">
        <v>319</v>
      </c>
    </row>
    <row r="39" spans="1:17" x14ac:dyDescent="0.25">
      <c r="A39" s="5">
        <v>263</v>
      </c>
      <c r="B39" s="4" t="s">
        <v>402</v>
      </c>
      <c r="C39" s="4" t="s">
        <v>403</v>
      </c>
      <c r="D39" s="4" t="s">
        <v>315</v>
      </c>
      <c r="E39" s="4" t="s">
        <v>367</v>
      </c>
      <c r="F39" s="4">
        <v>1</v>
      </c>
      <c r="G39" s="4" t="s">
        <v>311</v>
      </c>
      <c r="H39" s="4" t="s">
        <v>403</v>
      </c>
      <c r="I39" s="4"/>
      <c r="J39" s="4"/>
      <c r="K39" s="4">
        <v>0</v>
      </c>
      <c r="L39" s="19">
        <v>45658</v>
      </c>
      <c r="M39" s="4">
        <v>0</v>
      </c>
      <c r="N39" s="4"/>
      <c r="O39" s="4" t="s">
        <v>305</v>
      </c>
      <c r="P39" s="4">
        <v>1</v>
      </c>
      <c r="Q39" s="6" t="s">
        <v>351</v>
      </c>
    </row>
    <row r="40" spans="1:17" x14ac:dyDescent="0.25">
      <c r="A40" s="5">
        <v>268</v>
      </c>
      <c r="B40" s="4" t="s">
        <v>404</v>
      </c>
      <c r="C40" s="4" t="s">
        <v>405</v>
      </c>
      <c r="D40" s="4" t="s">
        <v>315</v>
      </c>
      <c r="E40" s="4" t="s">
        <v>367</v>
      </c>
      <c r="F40" s="4">
        <v>1</v>
      </c>
      <c r="G40" s="4" t="s">
        <v>311</v>
      </c>
      <c r="H40" s="4" t="s">
        <v>406</v>
      </c>
      <c r="I40" s="4"/>
      <c r="J40" s="4"/>
      <c r="K40" s="4">
        <v>0</v>
      </c>
      <c r="L40" s="19">
        <v>45658</v>
      </c>
      <c r="M40" s="4">
        <v>0</v>
      </c>
      <c r="N40" s="4"/>
      <c r="O40" s="4" t="s">
        <v>305</v>
      </c>
      <c r="P40" s="4">
        <v>1</v>
      </c>
      <c r="Q40" s="6" t="s">
        <v>351</v>
      </c>
    </row>
    <row r="41" spans="1:17" x14ac:dyDescent="0.25">
      <c r="A41" s="5">
        <v>297</v>
      </c>
      <c r="B41" s="4" t="s">
        <v>407</v>
      </c>
      <c r="C41" s="4" t="s">
        <v>408</v>
      </c>
      <c r="D41" s="4" t="s">
        <v>315</v>
      </c>
      <c r="E41" s="4" t="s">
        <v>316</v>
      </c>
      <c r="F41" s="4">
        <v>1</v>
      </c>
      <c r="G41" s="4" t="s">
        <v>311</v>
      </c>
      <c r="H41" s="4" t="s">
        <v>408</v>
      </c>
      <c r="I41" s="4"/>
      <c r="J41" s="4"/>
      <c r="K41" s="4">
        <v>0</v>
      </c>
      <c r="L41" s="19">
        <v>44927</v>
      </c>
      <c r="M41" s="4">
        <v>0</v>
      </c>
      <c r="N41" s="4"/>
      <c r="O41" s="4" t="s">
        <v>305</v>
      </c>
      <c r="P41" s="4">
        <v>1</v>
      </c>
      <c r="Q41" s="6" t="s">
        <v>351</v>
      </c>
    </row>
    <row r="42" spans="1:17" x14ac:dyDescent="0.25">
      <c r="A42" s="5">
        <v>18</v>
      </c>
      <c r="B42" s="4" t="s">
        <v>409</v>
      </c>
      <c r="C42" s="4" t="s">
        <v>410</v>
      </c>
      <c r="D42" s="4" t="s">
        <v>315</v>
      </c>
      <c r="E42" s="4" t="s">
        <v>322</v>
      </c>
      <c r="F42" s="4">
        <v>1</v>
      </c>
      <c r="G42" s="4" t="s">
        <v>311</v>
      </c>
      <c r="H42" s="4" t="s">
        <v>411</v>
      </c>
      <c r="I42" s="4"/>
      <c r="J42" s="4"/>
      <c r="K42" s="4">
        <v>706</v>
      </c>
      <c r="L42" s="19">
        <v>40179</v>
      </c>
      <c r="M42" s="4">
        <v>0</v>
      </c>
      <c r="N42" s="4"/>
      <c r="O42" s="4" t="s">
        <v>305</v>
      </c>
      <c r="P42" s="4">
        <v>1</v>
      </c>
      <c r="Q42" s="6" t="s">
        <v>351</v>
      </c>
    </row>
    <row r="43" spans="1:17" x14ac:dyDescent="0.25">
      <c r="A43" s="5">
        <v>7</v>
      </c>
      <c r="B43" s="4" t="s">
        <v>412</v>
      </c>
      <c r="C43" s="4" t="s">
        <v>413</v>
      </c>
      <c r="D43" s="4" t="s">
        <v>301</v>
      </c>
      <c r="E43" s="4"/>
      <c r="F43" s="4">
        <v>1</v>
      </c>
      <c r="G43" s="4" t="s">
        <v>317</v>
      </c>
      <c r="H43" s="4" t="s">
        <v>413</v>
      </c>
      <c r="I43" s="4"/>
      <c r="J43" s="4"/>
      <c r="K43" s="4">
        <v>0</v>
      </c>
      <c r="L43" s="19">
        <v>32874</v>
      </c>
      <c r="M43" s="4">
        <v>0</v>
      </c>
      <c r="N43" s="4"/>
      <c r="O43" s="4" t="s">
        <v>305</v>
      </c>
      <c r="P43" s="4">
        <v>0</v>
      </c>
      <c r="Q43" s="6"/>
    </row>
    <row r="44" spans="1:17" x14ac:dyDescent="0.25">
      <c r="A44" s="5">
        <v>184</v>
      </c>
      <c r="B44" s="4" t="s">
        <v>414</v>
      </c>
      <c r="C44" s="4" t="s">
        <v>415</v>
      </c>
      <c r="D44" s="4" t="s">
        <v>315</v>
      </c>
      <c r="E44" s="4" t="s">
        <v>322</v>
      </c>
      <c r="F44" s="4">
        <v>1</v>
      </c>
      <c r="G44" s="4" t="s">
        <v>317</v>
      </c>
      <c r="H44" s="4" t="s">
        <v>415</v>
      </c>
      <c r="I44" s="4"/>
      <c r="J44" s="4"/>
      <c r="K44" s="4">
        <v>1000</v>
      </c>
      <c r="L44" s="19">
        <v>45200</v>
      </c>
      <c r="M44" s="4">
        <v>0</v>
      </c>
      <c r="N44" s="4"/>
      <c r="O44" s="4" t="s">
        <v>305</v>
      </c>
      <c r="P44" s="4">
        <v>1</v>
      </c>
      <c r="Q44" s="6" t="s">
        <v>319</v>
      </c>
    </row>
    <row r="45" spans="1:17" x14ac:dyDescent="0.25">
      <c r="A45" s="5">
        <v>185</v>
      </c>
      <c r="B45" s="4" t="s">
        <v>416</v>
      </c>
      <c r="C45" s="4" t="s">
        <v>417</v>
      </c>
      <c r="D45" s="4" t="s">
        <v>315</v>
      </c>
      <c r="E45" s="4" t="s">
        <v>322</v>
      </c>
      <c r="F45" s="4">
        <v>1</v>
      </c>
      <c r="G45" s="4" t="s">
        <v>317</v>
      </c>
      <c r="H45" s="4" t="s">
        <v>417</v>
      </c>
      <c r="I45" s="4"/>
      <c r="J45" s="4"/>
      <c r="K45" s="4">
        <v>1200</v>
      </c>
      <c r="L45" s="19">
        <v>45200</v>
      </c>
      <c r="M45" s="4">
        <v>0</v>
      </c>
      <c r="N45" s="4"/>
      <c r="O45" s="4" t="s">
        <v>305</v>
      </c>
      <c r="P45" s="4">
        <v>1</v>
      </c>
      <c r="Q45" s="6" t="s">
        <v>319</v>
      </c>
    </row>
    <row r="46" spans="1:17" x14ac:dyDescent="0.25">
      <c r="A46" s="5">
        <v>186</v>
      </c>
      <c r="B46" s="4" t="s">
        <v>418</v>
      </c>
      <c r="C46" s="4" t="s">
        <v>419</v>
      </c>
      <c r="D46" s="4" t="s">
        <v>315</v>
      </c>
      <c r="E46" s="4" t="s">
        <v>322</v>
      </c>
      <c r="F46" s="4">
        <v>1</v>
      </c>
      <c r="G46" s="4" t="s">
        <v>317</v>
      </c>
      <c r="H46" s="4" t="s">
        <v>419</v>
      </c>
      <c r="I46" s="4"/>
      <c r="J46" s="4"/>
      <c r="K46" s="4">
        <v>2000</v>
      </c>
      <c r="L46" s="19">
        <v>45200</v>
      </c>
      <c r="M46" s="4">
        <v>0</v>
      </c>
      <c r="N46" s="4"/>
      <c r="O46" s="4" t="s">
        <v>305</v>
      </c>
      <c r="P46" s="4">
        <v>1</v>
      </c>
      <c r="Q46" s="6" t="s">
        <v>319</v>
      </c>
    </row>
    <row r="47" spans="1:17" x14ac:dyDescent="0.25">
      <c r="A47" s="5">
        <v>187</v>
      </c>
      <c r="B47" s="4" t="s">
        <v>420</v>
      </c>
      <c r="C47" s="4" t="s">
        <v>421</v>
      </c>
      <c r="D47" s="4" t="s">
        <v>315</v>
      </c>
      <c r="E47" s="4" t="s">
        <v>322</v>
      </c>
      <c r="F47" s="4">
        <v>1</v>
      </c>
      <c r="G47" s="4" t="s">
        <v>311</v>
      </c>
      <c r="H47" s="4" t="s">
        <v>422</v>
      </c>
      <c r="I47" s="4"/>
      <c r="J47" s="4"/>
      <c r="K47" s="4">
        <v>0</v>
      </c>
      <c r="L47" s="19">
        <v>45200</v>
      </c>
      <c r="M47" s="4">
        <v>0</v>
      </c>
      <c r="N47" s="4"/>
      <c r="O47" s="4" t="s">
        <v>305</v>
      </c>
      <c r="P47" s="4">
        <v>1</v>
      </c>
      <c r="Q47" s="6" t="s">
        <v>348</v>
      </c>
    </row>
    <row r="48" spans="1:17" x14ac:dyDescent="0.25">
      <c r="A48" s="5">
        <v>19</v>
      </c>
      <c r="B48" s="4" t="s">
        <v>423</v>
      </c>
      <c r="C48" s="4" t="s">
        <v>424</v>
      </c>
      <c r="D48" s="4" t="s">
        <v>315</v>
      </c>
      <c r="E48" s="4" t="s">
        <v>316</v>
      </c>
      <c r="F48" s="4">
        <v>1</v>
      </c>
      <c r="G48" s="4" t="s">
        <v>317</v>
      </c>
      <c r="H48" s="4" t="s">
        <v>425</v>
      </c>
      <c r="I48" s="4"/>
      <c r="J48" s="4"/>
      <c r="K48" s="4">
        <v>640</v>
      </c>
      <c r="L48" s="19">
        <v>43922</v>
      </c>
      <c r="M48" s="4">
        <v>0</v>
      </c>
      <c r="N48" s="4"/>
      <c r="O48" s="4" t="s">
        <v>305</v>
      </c>
      <c r="P48" s="4">
        <v>1</v>
      </c>
      <c r="Q48" s="6" t="s">
        <v>319</v>
      </c>
    </row>
    <row r="49" spans="1:17" x14ac:dyDescent="0.25">
      <c r="A49" s="5">
        <v>166</v>
      </c>
      <c r="B49" s="4" t="s">
        <v>426</v>
      </c>
      <c r="C49" s="4" t="s">
        <v>427</v>
      </c>
      <c r="D49" s="4" t="s">
        <v>315</v>
      </c>
      <c r="E49" s="4" t="s">
        <v>322</v>
      </c>
      <c r="F49" s="4">
        <v>1</v>
      </c>
      <c r="G49" s="4" t="s">
        <v>317</v>
      </c>
      <c r="H49" s="4" t="s">
        <v>427</v>
      </c>
      <c r="I49" s="4"/>
      <c r="J49" s="4"/>
      <c r="K49" s="4">
        <v>1600</v>
      </c>
      <c r="L49" s="19">
        <v>45200</v>
      </c>
      <c r="M49" s="4">
        <v>0</v>
      </c>
      <c r="N49" s="4"/>
      <c r="O49" s="4" t="s">
        <v>305</v>
      </c>
      <c r="P49" s="4">
        <v>1</v>
      </c>
      <c r="Q49" s="6" t="s">
        <v>319</v>
      </c>
    </row>
    <row r="50" spans="1:17" x14ac:dyDescent="0.25">
      <c r="A50" s="5">
        <v>163</v>
      </c>
      <c r="B50" s="4" t="s">
        <v>428</v>
      </c>
      <c r="C50" s="4" t="s">
        <v>429</v>
      </c>
      <c r="D50" s="4" t="s">
        <v>315</v>
      </c>
      <c r="E50" s="4" t="s">
        <v>322</v>
      </c>
      <c r="F50" s="4">
        <v>1</v>
      </c>
      <c r="G50" s="4" t="s">
        <v>317</v>
      </c>
      <c r="H50" s="4" t="s">
        <v>429</v>
      </c>
      <c r="I50" s="4"/>
      <c r="J50" s="4"/>
      <c r="K50" s="4">
        <v>400</v>
      </c>
      <c r="L50" s="19">
        <v>45200</v>
      </c>
      <c r="M50" s="4">
        <v>0</v>
      </c>
      <c r="N50" s="4"/>
      <c r="O50" s="4" t="s">
        <v>305</v>
      </c>
      <c r="P50" s="4">
        <v>1</v>
      </c>
      <c r="Q50" s="6" t="s">
        <v>319</v>
      </c>
    </row>
    <row r="51" spans="1:17" x14ac:dyDescent="0.25">
      <c r="A51" s="5">
        <v>207</v>
      </c>
      <c r="B51" s="4" t="s">
        <v>430</v>
      </c>
      <c r="C51" s="4" t="s">
        <v>431</v>
      </c>
      <c r="D51" s="4" t="s">
        <v>315</v>
      </c>
      <c r="E51" s="4" t="s">
        <v>380</v>
      </c>
      <c r="F51" s="4">
        <v>1</v>
      </c>
      <c r="G51" s="4" t="s">
        <v>317</v>
      </c>
      <c r="H51" s="4" t="s">
        <v>431</v>
      </c>
      <c r="I51" s="4"/>
      <c r="J51" s="4"/>
      <c r="K51" s="4">
        <v>113.6</v>
      </c>
      <c r="L51" s="19">
        <v>44927</v>
      </c>
      <c r="M51" s="4">
        <v>0</v>
      </c>
      <c r="N51" s="4"/>
      <c r="O51" s="4" t="s">
        <v>305</v>
      </c>
      <c r="P51" s="4">
        <v>1</v>
      </c>
      <c r="Q51" s="6" t="s">
        <v>382</v>
      </c>
    </row>
    <row r="52" spans="1:17" x14ac:dyDescent="0.25">
      <c r="A52" s="5">
        <v>20</v>
      </c>
      <c r="B52" s="4" t="s">
        <v>432</v>
      </c>
      <c r="C52" s="4" t="s">
        <v>433</v>
      </c>
      <c r="D52" s="4" t="s">
        <v>301</v>
      </c>
      <c r="E52" s="4" t="s">
        <v>432</v>
      </c>
      <c r="F52" s="4">
        <v>1</v>
      </c>
      <c r="G52" s="4" t="s">
        <v>434</v>
      </c>
      <c r="H52" s="4" t="s">
        <v>435</v>
      </c>
      <c r="I52" s="4"/>
      <c r="J52" s="4"/>
      <c r="K52" s="4">
        <v>424</v>
      </c>
      <c r="L52" s="19">
        <v>37987</v>
      </c>
      <c r="M52" s="4">
        <v>0</v>
      </c>
      <c r="N52" s="4"/>
      <c r="O52" s="4" t="s">
        <v>305</v>
      </c>
      <c r="P52" s="4">
        <v>1</v>
      </c>
      <c r="Q52" s="6"/>
    </row>
    <row r="53" spans="1:17" x14ac:dyDescent="0.25">
      <c r="A53" s="5">
        <v>94</v>
      </c>
      <c r="B53" s="4" t="s">
        <v>436</v>
      </c>
      <c r="C53" s="4" t="s">
        <v>437</v>
      </c>
      <c r="D53" s="4" t="s">
        <v>315</v>
      </c>
      <c r="E53" s="4" t="s">
        <v>316</v>
      </c>
      <c r="F53" s="4">
        <v>1</v>
      </c>
      <c r="G53" s="4" t="s">
        <v>317</v>
      </c>
      <c r="H53" s="4" t="s">
        <v>437</v>
      </c>
      <c r="I53" s="4"/>
      <c r="J53" s="4"/>
      <c r="K53" s="4">
        <v>652</v>
      </c>
      <c r="L53" s="19">
        <v>45658</v>
      </c>
      <c r="M53" s="4">
        <v>0</v>
      </c>
      <c r="N53" s="4"/>
      <c r="O53" s="4" t="s">
        <v>305</v>
      </c>
      <c r="P53" s="4">
        <v>1</v>
      </c>
      <c r="Q53" s="6" t="s">
        <v>319</v>
      </c>
    </row>
    <row r="54" spans="1:17" x14ac:dyDescent="0.25">
      <c r="A54" s="5">
        <v>11</v>
      </c>
      <c r="B54" s="4" t="s">
        <v>438</v>
      </c>
      <c r="C54" s="4" t="s">
        <v>439</v>
      </c>
      <c r="D54" s="4" t="s">
        <v>301</v>
      </c>
      <c r="E54" s="4"/>
      <c r="F54" s="4">
        <v>1</v>
      </c>
      <c r="G54" s="4" t="s">
        <v>317</v>
      </c>
      <c r="H54" s="4" t="s">
        <v>439</v>
      </c>
      <c r="I54" s="4"/>
      <c r="J54" s="4"/>
      <c r="K54" s="4">
        <v>0</v>
      </c>
      <c r="L54" s="19">
        <v>32874</v>
      </c>
      <c r="M54" s="4">
        <v>0</v>
      </c>
      <c r="N54" s="4"/>
      <c r="O54" s="4" t="s">
        <v>305</v>
      </c>
      <c r="P54" s="4">
        <v>1</v>
      </c>
      <c r="Q54" s="6"/>
    </row>
    <row r="55" spans="1:17" x14ac:dyDescent="0.25">
      <c r="A55" s="5">
        <v>22</v>
      </c>
      <c r="B55" s="4" t="s">
        <v>440</v>
      </c>
      <c r="C55" s="4" t="s">
        <v>441</v>
      </c>
      <c r="D55" s="4" t="s">
        <v>442</v>
      </c>
      <c r="E55" s="4"/>
      <c r="F55" s="4">
        <v>1</v>
      </c>
      <c r="G55" s="4" t="s">
        <v>317</v>
      </c>
      <c r="H55" s="4"/>
      <c r="I55" s="4"/>
      <c r="J55" s="4"/>
      <c r="K55" s="4">
        <v>0</v>
      </c>
      <c r="L55" s="19">
        <v>34700</v>
      </c>
      <c r="M55" s="4">
        <v>0</v>
      </c>
      <c r="N55" s="4"/>
      <c r="O55" s="4" t="s">
        <v>305</v>
      </c>
      <c r="P55" s="4">
        <v>1</v>
      </c>
      <c r="Q55" s="6" t="s">
        <v>351</v>
      </c>
    </row>
    <row r="56" spans="1:17" x14ac:dyDescent="0.25">
      <c r="A56" s="5">
        <v>23</v>
      </c>
      <c r="B56" s="4" t="s">
        <v>443</v>
      </c>
      <c r="C56" s="4" t="s">
        <v>444</v>
      </c>
      <c r="D56" s="4" t="s">
        <v>442</v>
      </c>
      <c r="E56" s="4"/>
      <c r="F56" s="4">
        <v>1</v>
      </c>
      <c r="G56" s="4" t="s">
        <v>317</v>
      </c>
      <c r="H56" s="4"/>
      <c r="I56" s="4"/>
      <c r="J56" s="4"/>
      <c r="K56" s="4">
        <v>123</v>
      </c>
      <c r="L56" s="19">
        <v>35431</v>
      </c>
      <c r="M56" s="4">
        <v>0</v>
      </c>
      <c r="N56" s="4"/>
      <c r="O56" s="4" t="s">
        <v>305</v>
      </c>
      <c r="P56" s="4">
        <v>1</v>
      </c>
      <c r="Q56" s="6" t="s">
        <v>319</v>
      </c>
    </row>
    <row r="57" spans="1:17" x14ac:dyDescent="0.25">
      <c r="A57" s="5">
        <v>24</v>
      </c>
      <c r="B57" s="4" t="s">
        <v>445</v>
      </c>
      <c r="C57" s="4" t="s">
        <v>446</v>
      </c>
      <c r="D57" s="4" t="s">
        <v>301</v>
      </c>
      <c r="E57" s="4" t="s">
        <v>301</v>
      </c>
      <c r="F57" s="4">
        <v>1</v>
      </c>
      <c r="G57" s="4" t="s">
        <v>317</v>
      </c>
      <c r="H57" s="4" t="s">
        <v>447</v>
      </c>
      <c r="I57" s="4"/>
      <c r="J57" s="4"/>
      <c r="K57" s="4">
        <v>720</v>
      </c>
      <c r="L57" s="19">
        <v>35431</v>
      </c>
      <c r="M57" s="4">
        <v>0</v>
      </c>
      <c r="N57" s="4"/>
      <c r="O57" s="4" t="s">
        <v>305</v>
      </c>
      <c r="P57" s="4">
        <v>1</v>
      </c>
      <c r="Q57" s="6" t="s">
        <v>319</v>
      </c>
    </row>
    <row r="58" spans="1:17" x14ac:dyDescent="0.25">
      <c r="A58" s="5">
        <v>192</v>
      </c>
      <c r="B58" s="4" t="s">
        <v>448</v>
      </c>
      <c r="C58" s="4" t="s">
        <v>449</v>
      </c>
      <c r="D58" s="4" t="s">
        <v>315</v>
      </c>
      <c r="E58" s="4" t="s">
        <v>322</v>
      </c>
      <c r="F58" s="4">
        <v>1</v>
      </c>
      <c r="G58" s="4" t="s">
        <v>311</v>
      </c>
      <c r="H58" s="4" t="s">
        <v>450</v>
      </c>
      <c r="I58" s="4"/>
      <c r="J58" s="4"/>
      <c r="K58" s="4">
        <v>280</v>
      </c>
      <c r="L58" s="19">
        <v>45200</v>
      </c>
      <c r="M58" s="4">
        <v>0</v>
      </c>
      <c r="N58" s="4"/>
      <c r="O58" s="4" t="s">
        <v>305</v>
      </c>
      <c r="P58" s="4">
        <v>1</v>
      </c>
      <c r="Q58" s="6" t="s">
        <v>351</v>
      </c>
    </row>
    <row r="59" spans="1:17" x14ac:dyDescent="0.25">
      <c r="A59" s="5">
        <v>193</v>
      </c>
      <c r="B59" s="4" t="s">
        <v>448</v>
      </c>
      <c r="C59" s="4" t="s">
        <v>449</v>
      </c>
      <c r="D59" s="4" t="s">
        <v>315</v>
      </c>
      <c r="E59" s="4" t="s">
        <v>322</v>
      </c>
      <c r="F59" s="4">
        <v>2</v>
      </c>
      <c r="G59" s="4" t="s">
        <v>311</v>
      </c>
      <c r="H59" s="4" t="s">
        <v>451</v>
      </c>
      <c r="I59" s="4"/>
      <c r="J59" s="4"/>
      <c r="K59" s="4">
        <v>4</v>
      </c>
      <c r="L59" s="19">
        <v>45200</v>
      </c>
      <c r="M59" s="4">
        <v>0</v>
      </c>
      <c r="N59" s="4"/>
      <c r="O59" s="4" t="s">
        <v>305</v>
      </c>
      <c r="P59" s="4">
        <v>1</v>
      </c>
      <c r="Q59" s="6" t="s">
        <v>452</v>
      </c>
    </row>
    <row r="60" spans="1:17" x14ac:dyDescent="0.25">
      <c r="A60" s="5">
        <v>195</v>
      </c>
      <c r="B60" s="4" t="s">
        <v>453</v>
      </c>
      <c r="C60" s="4" t="s">
        <v>454</v>
      </c>
      <c r="D60" s="4" t="s">
        <v>315</v>
      </c>
      <c r="E60" s="4" t="s">
        <v>322</v>
      </c>
      <c r="F60" s="4">
        <v>1</v>
      </c>
      <c r="G60" s="4" t="s">
        <v>311</v>
      </c>
      <c r="H60" s="4" t="s">
        <v>455</v>
      </c>
      <c r="I60" s="4"/>
      <c r="J60" s="4"/>
      <c r="K60" s="4">
        <v>640</v>
      </c>
      <c r="L60" s="19">
        <v>45200</v>
      </c>
      <c r="M60" s="4">
        <v>0</v>
      </c>
      <c r="N60" s="4"/>
      <c r="O60" s="4" t="s">
        <v>305</v>
      </c>
      <c r="P60" s="4">
        <v>1</v>
      </c>
      <c r="Q60" s="6" t="s">
        <v>456</v>
      </c>
    </row>
    <row r="61" spans="1:17" x14ac:dyDescent="0.25">
      <c r="A61" s="5">
        <v>244</v>
      </c>
      <c r="B61" s="4" t="s">
        <v>457</v>
      </c>
      <c r="C61" s="4" t="s">
        <v>458</v>
      </c>
      <c r="D61" s="4" t="s">
        <v>315</v>
      </c>
      <c r="E61" s="4" t="s">
        <v>322</v>
      </c>
      <c r="F61" s="4">
        <v>1</v>
      </c>
      <c r="G61" s="4" t="s">
        <v>303</v>
      </c>
      <c r="H61" s="4" t="s">
        <v>458</v>
      </c>
      <c r="I61" s="4"/>
      <c r="J61" s="4"/>
      <c r="K61" s="4">
        <v>80</v>
      </c>
      <c r="L61" s="19">
        <v>45362</v>
      </c>
      <c r="M61" s="4">
        <v>0</v>
      </c>
      <c r="N61" s="4"/>
      <c r="O61" s="4" t="s">
        <v>305</v>
      </c>
      <c r="P61" s="4">
        <v>1</v>
      </c>
      <c r="Q61" s="6"/>
    </row>
    <row r="62" spans="1:17" x14ac:dyDescent="0.25">
      <c r="A62" s="5">
        <v>245</v>
      </c>
      <c r="B62" s="4" t="s">
        <v>459</v>
      </c>
      <c r="C62" s="4" t="s">
        <v>460</v>
      </c>
      <c r="D62" s="4" t="s">
        <v>315</v>
      </c>
      <c r="E62" s="4" t="s">
        <v>322</v>
      </c>
      <c r="F62" s="4">
        <v>1</v>
      </c>
      <c r="G62" s="4" t="s">
        <v>303</v>
      </c>
      <c r="H62" s="4" t="s">
        <v>460</v>
      </c>
      <c r="I62" s="4"/>
      <c r="J62" s="4"/>
      <c r="K62" s="4">
        <v>80</v>
      </c>
      <c r="L62" s="19">
        <v>45362</v>
      </c>
      <c r="M62" s="4">
        <v>0</v>
      </c>
      <c r="N62" s="4"/>
      <c r="O62" s="4" t="s">
        <v>305</v>
      </c>
      <c r="P62" s="4">
        <v>1</v>
      </c>
      <c r="Q62" s="6"/>
    </row>
    <row r="63" spans="1:17" x14ac:dyDescent="0.25">
      <c r="A63" s="5">
        <v>246</v>
      </c>
      <c r="B63" s="4" t="s">
        <v>461</v>
      </c>
      <c r="C63" s="4" t="s">
        <v>462</v>
      </c>
      <c r="D63" s="4" t="s">
        <v>315</v>
      </c>
      <c r="E63" s="4" t="s">
        <v>322</v>
      </c>
      <c r="F63" s="4">
        <v>1</v>
      </c>
      <c r="G63" s="4" t="s">
        <v>303</v>
      </c>
      <c r="H63" s="4" t="s">
        <v>462</v>
      </c>
      <c r="I63" s="4"/>
      <c r="J63" s="4"/>
      <c r="K63" s="4">
        <v>80</v>
      </c>
      <c r="L63" s="19">
        <v>45362</v>
      </c>
      <c r="M63" s="4">
        <v>0</v>
      </c>
      <c r="N63" s="4"/>
      <c r="O63" s="4" t="s">
        <v>305</v>
      </c>
      <c r="P63" s="4">
        <v>1</v>
      </c>
      <c r="Q63" s="6"/>
    </row>
    <row r="64" spans="1:17" x14ac:dyDescent="0.25">
      <c r="A64" s="5">
        <v>27</v>
      </c>
      <c r="B64" s="4" t="s">
        <v>463</v>
      </c>
      <c r="C64" s="4" t="s">
        <v>464</v>
      </c>
      <c r="D64" s="4" t="s">
        <v>301</v>
      </c>
      <c r="E64" s="4" t="s">
        <v>301</v>
      </c>
      <c r="F64" s="4">
        <v>1</v>
      </c>
      <c r="G64" s="4" t="s">
        <v>303</v>
      </c>
      <c r="H64" s="4" t="s">
        <v>465</v>
      </c>
      <c r="I64" s="4"/>
      <c r="J64" s="4"/>
      <c r="K64" s="4">
        <v>2884</v>
      </c>
      <c r="L64" s="19">
        <v>44378</v>
      </c>
      <c r="M64" s="4">
        <v>0</v>
      </c>
      <c r="N64" s="4"/>
      <c r="O64" s="4" t="s">
        <v>305</v>
      </c>
      <c r="P64" s="4">
        <v>1</v>
      </c>
      <c r="Q64" s="6"/>
    </row>
    <row r="65" spans="1:17" x14ac:dyDescent="0.25">
      <c r="A65" s="5">
        <v>171</v>
      </c>
      <c r="B65" s="4" t="s">
        <v>466</v>
      </c>
      <c r="C65" s="4" t="s">
        <v>467</v>
      </c>
      <c r="D65" s="4" t="s">
        <v>315</v>
      </c>
      <c r="E65" s="4" t="s">
        <v>399</v>
      </c>
      <c r="F65" s="4">
        <v>1</v>
      </c>
      <c r="G65" s="4" t="s">
        <v>317</v>
      </c>
      <c r="H65" s="4" t="s">
        <v>468</v>
      </c>
      <c r="I65" s="4"/>
      <c r="J65" s="4"/>
      <c r="K65" s="4">
        <v>260</v>
      </c>
      <c r="L65" s="19">
        <v>45200</v>
      </c>
      <c r="M65" s="4">
        <v>0</v>
      </c>
      <c r="N65" s="4"/>
      <c r="O65" s="4" t="s">
        <v>305</v>
      </c>
      <c r="P65" s="4">
        <v>1</v>
      </c>
      <c r="Q65" s="6" t="s">
        <v>371</v>
      </c>
    </row>
    <row r="66" spans="1:17" x14ac:dyDescent="0.25">
      <c r="A66" s="5">
        <v>164</v>
      </c>
      <c r="B66" s="4" t="s">
        <v>469</v>
      </c>
      <c r="C66" s="4" t="s">
        <v>470</v>
      </c>
      <c r="D66" s="4" t="s">
        <v>315</v>
      </c>
      <c r="E66" s="4" t="s">
        <v>322</v>
      </c>
      <c r="F66" s="4">
        <v>1</v>
      </c>
      <c r="G66" s="4" t="s">
        <v>317</v>
      </c>
      <c r="H66" s="4" t="s">
        <v>470</v>
      </c>
      <c r="I66" s="4"/>
      <c r="J66" s="4"/>
      <c r="K66" s="4">
        <v>1600</v>
      </c>
      <c r="L66" s="19">
        <v>45200</v>
      </c>
      <c r="M66" s="4">
        <v>0</v>
      </c>
      <c r="N66" s="4"/>
      <c r="O66" s="4" t="s">
        <v>305</v>
      </c>
      <c r="P66" s="4">
        <v>1</v>
      </c>
      <c r="Q66" s="6" t="s">
        <v>319</v>
      </c>
    </row>
    <row r="67" spans="1:17" x14ac:dyDescent="0.25">
      <c r="A67" s="5">
        <v>160</v>
      </c>
      <c r="B67" s="4" t="s">
        <v>25</v>
      </c>
      <c r="C67" s="4" t="s">
        <v>471</v>
      </c>
      <c r="D67" s="4" t="s">
        <v>315</v>
      </c>
      <c r="E67" s="4" t="s">
        <v>322</v>
      </c>
      <c r="F67" s="4">
        <v>1</v>
      </c>
      <c r="G67" s="4" t="s">
        <v>311</v>
      </c>
      <c r="H67" s="4" t="s">
        <v>472</v>
      </c>
      <c r="I67" s="4"/>
      <c r="J67" s="4"/>
      <c r="K67" s="4">
        <v>562.5</v>
      </c>
      <c r="L67" s="19">
        <v>45200</v>
      </c>
      <c r="M67" s="4">
        <v>0</v>
      </c>
      <c r="N67" s="4"/>
      <c r="O67" s="4" t="s">
        <v>305</v>
      </c>
      <c r="P67" s="4">
        <v>1</v>
      </c>
      <c r="Q67" s="6" t="s">
        <v>473</v>
      </c>
    </row>
    <row r="68" spans="1:17" x14ac:dyDescent="0.25">
      <c r="A68" s="5">
        <v>110</v>
      </c>
      <c r="B68" s="4" t="s">
        <v>22</v>
      </c>
      <c r="C68" s="4" t="s">
        <v>474</v>
      </c>
      <c r="D68" s="4" t="s">
        <v>315</v>
      </c>
      <c r="E68" s="4" t="s">
        <v>322</v>
      </c>
      <c r="F68" s="4">
        <v>1</v>
      </c>
      <c r="G68" s="4" t="s">
        <v>303</v>
      </c>
      <c r="H68" s="4" t="s">
        <v>475</v>
      </c>
      <c r="I68" s="4"/>
      <c r="J68" s="4"/>
      <c r="K68" s="4">
        <v>1040</v>
      </c>
      <c r="L68" s="19">
        <v>45658</v>
      </c>
      <c r="M68" s="4">
        <v>0</v>
      </c>
      <c r="N68" s="4"/>
      <c r="O68" s="4" t="s">
        <v>305</v>
      </c>
      <c r="P68" s="4">
        <v>1</v>
      </c>
      <c r="Q68" s="6"/>
    </row>
    <row r="69" spans="1:17" x14ac:dyDescent="0.25">
      <c r="A69" s="5">
        <v>113</v>
      </c>
      <c r="B69" s="4" t="s">
        <v>476</v>
      </c>
      <c r="C69" s="4" t="s">
        <v>477</v>
      </c>
      <c r="D69" s="4" t="s">
        <v>315</v>
      </c>
      <c r="E69" s="4" t="s">
        <v>322</v>
      </c>
      <c r="F69" s="4">
        <v>1</v>
      </c>
      <c r="G69" s="4" t="s">
        <v>303</v>
      </c>
      <c r="H69" s="4" t="s">
        <v>478</v>
      </c>
      <c r="I69" s="4"/>
      <c r="J69" s="4"/>
      <c r="K69" s="4">
        <v>4500</v>
      </c>
      <c r="L69" s="19">
        <v>45658</v>
      </c>
      <c r="M69" s="4">
        <v>0</v>
      </c>
      <c r="N69" s="4"/>
      <c r="O69" s="4" t="s">
        <v>305</v>
      </c>
      <c r="P69" s="4">
        <v>1</v>
      </c>
      <c r="Q69" s="6"/>
    </row>
    <row r="70" spans="1:17" x14ac:dyDescent="0.25">
      <c r="A70" s="5">
        <v>114</v>
      </c>
      <c r="B70" s="4" t="s">
        <v>479</v>
      </c>
      <c r="C70" s="4" t="s">
        <v>480</v>
      </c>
      <c r="D70" s="4" t="s">
        <v>315</v>
      </c>
      <c r="E70" s="4" t="s">
        <v>322</v>
      </c>
      <c r="F70" s="4">
        <v>1</v>
      </c>
      <c r="G70" s="4" t="s">
        <v>303</v>
      </c>
      <c r="H70" s="4" t="s">
        <v>481</v>
      </c>
      <c r="I70" s="4"/>
      <c r="J70" s="4"/>
      <c r="K70" s="4">
        <v>6000</v>
      </c>
      <c r="L70" s="19">
        <v>45658</v>
      </c>
      <c r="M70" s="4">
        <v>0</v>
      </c>
      <c r="N70" s="4"/>
      <c r="O70" s="4" t="s">
        <v>305</v>
      </c>
      <c r="P70" s="4">
        <v>1</v>
      </c>
      <c r="Q70" s="6"/>
    </row>
    <row r="71" spans="1:17" x14ac:dyDescent="0.25">
      <c r="A71" s="5">
        <v>161</v>
      </c>
      <c r="B71" s="4" t="s">
        <v>482</v>
      </c>
      <c r="C71" s="4" t="s">
        <v>483</v>
      </c>
      <c r="D71" s="4" t="s">
        <v>315</v>
      </c>
      <c r="E71" s="4" t="s">
        <v>322</v>
      </c>
      <c r="F71" s="4">
        <v>1</v>
      </c>
      <c r="G71" s="4" t="s">
        <v>303</v>
      </c>
      <c r="H71" s="4" t="s">
        <v>18</v>
      </c>
      <c r="I71" s="4"/>
      <c r="J71" s="4"/>
      <c r="K71" s="4">
        <v>960</v>
      </c>
      <c r="L71" s="19">
        <v>45658</v>
      </c>
      <c r="M71" s="4">
        <v>0</v>
      </c>
      <c r="N71" s="4"/>
      <c r="O71" s="4" t="s">
        <v>305</v>
      </c>
      <c r="P71" s="4">
        <v>1</v>
      </c>
      <c r="Q71" s="6"/>
    </row>
    <row r="72" spans="1:17" x14ac:dyDescent="0.25">
      <c r="A72" s="5">
        <v>112</v>
      </c>
      <c r="B72" s="4" t="s">
        <v>484</v>
      </c>
      <c r="C72" s="4" t="s">
        <v>485</v>
      </c>
      <c r="D72" s="4" t="s">
        <v>315</v>
      </c>
      <c r="E72" s="4" t="s">
        <v>322</v>
      </c>
      <c r="F72" s="4">
        <v>1</v>
      </c>
      <c r="G72" s="4" t="s">
        <v>311</v>
      </c>
      <c r="H72" s="4" t="s">
        <v>472</v>
      </c>
      <c r="I72" s="4"/>
      <c r="J72" s="4"/>
      <c r="K72" s="4">
        <v>680</v>
      </c>
      <c r="L72" s="19">
        <v>45658</v>
      </c>
      <c r="M72" s="4">
        <v>0</v>
      </c>
      <c r="N72" s="4"/>
      <c r="O72" s="4" t="s">
        <v>305</v>
      </c>
      <c r="P72" s="4">
        <v>1</v>
      </c>
      <c r="Q72" s="6" t="s">
        <v>473</v>
      </c>
    </row>
    <row r="73" spans="1:17" x14ac:dyDescent="0.25">
      <c r="A73" s="5">
        <v>111</v>
      </c>
      <c r="B73" s="4" t="s">
        <v>486</v>
      </c>
      <c r="C73" s="4" t="s">
        <v>487</v>
      </c>
      <c r="D73" s="4" t="s">
        <v>315</v>
      </c>
      <c r="E73" s="4" t="s">
        <v>322</v>
      </c>
      <c r="F73" s="4">
        <v>1</v>
      </c>
      <c r="G73" s="4" t="s">
        <v>303</v>
      </c>
      <c r="H73" s="4" t="s">
        <v>488</v>
      </c>
      <c r="I73" s="4"/>
      <c r="J73" s="4"/>
      <c r="K73" s="4">
        <v>1280</v>
      </c>
      <c r="L73" s="19">
        <v>45658</v>
      </c>
      <c r="M73" s="4">
        <v>0</v>
      </c>
      <c r="N73" s="4"/>
      <c r="O73" s="4" t="s">
        <v>305</v>
      </c>
      <c r="P73" s="4">
        <v>1</v>
      </c>
      <c r="Q73" s="6"/>
    </row>
    <row r="74" spans="1:17" x14ac:dyDescent="0.25">
      <c r="A74" s="5">
        <v>153</v>
      </c>
      <c r="B74" s="4" t="s">
        <v>489</v>
      </c>
      <c r="C74" s="4" t="s">
        <v>490</v>
      </c>
      <c r="D74" s="4" t="s">
        <v>315</v>
      </c>
      <c r="E74" s="4" t="s">
        <v>322</v>
      </c>
      <c r="F74" s="4">
        <v>1</v>
      </c>
      <c r="G74" s="4" t="s">
        <v>303</v>
      </c>
      <c r="H74" s="4" t="s">
        <v>487</v>
      </c>
      <c r="I74" s="4"/>
      <c r="J74" s="4"/>
      <c r="K74" s="4">
        <v>936</v>
      </c>
      <c r="L74" s="19">
        <v>44378</v>
      </c>
      <c r="M74" s="4">
        <v>0</v>
      </c>
      <c r="N74" s="4"/>
      <c r="O74" s="4" t="s">
        <v>305</v>
      </c>
      <c r="P74" s="4">
        <v>1</v>
      </c>
      <c r="Q74" s="6"/>
    </row>
    <row r="75" spans="1:17" x14ac:dyDescent="0.25">
      <c r="A75" s="5">
        <v>31</v>
      </c>
      <c r="B75" s="4" t="s">
        <v>491</v>
      </c>
      <c r="C75" s="4" t="s">
        <v>492</v>
      </c>
      <c r="D75" s="4" t="s">
        <v>315</v>
      </c>
      <c r="E75" s="4" t="s">
        <v>322</v>
      </c>
      <c r="F75" s="4">
        <v>1</v>
      </c>
      <c r="G75" s="4" t="s">
        <v>311</v>
      </c>
      <c r="H75" s="4" t="s">
        <v>493</v>
      </c>
      <c r="I75" s="4"/>
      <c r="J75" s="4"/>
      <c r="K75" s="4">
        <v>1340</v>
      </c>
      <c r="L75" s="19">
        <v>44378</v>
      </c>
      <c r="M75" s="4">
        <v>0</v>
      </c>
      <c r="N75" s="4"/>
      <c r="O75" s="4" t="s">
        <v>305</v>
      </c>
      <c r="P75" s="4">
        <v>1</v>
      </c>
      <c r="Q75" s="6" t="s">
        <v>351</v>
      </c>
    </row>
    <row r="76" spans="1:17" x14ac:dyDescent="0.25">
      <c r="A76" s="5">
        <v>32</v>
      </c>
      <c r="B76" s="4" t="s">
        <v>491</v>
      </c>
      <c r="C76" s="4" t="s">
        <v>492</v>
      </c>
      <c r="D76" s="4" t="s">
        <v>315</v>
      </c>
      <c r="E76" s="4" t="s">
        <v>322</v>
      </c>
      <c r="F76" s="4">
        <v>2</v>
      </c>
      <c r="G76" s="4" t="s">
        <v>303</v>
      </c>
      <c r="H76" s="4" t="s">
        <v>18</v>
      </c>
      <c r="I76" s="4"/>
      <c r="J76" s="4"/>
      <c r="K76" s="4">
        <v>936</v>
      </c>
      <c r="L76" s="19">
        <v>44378</v>
      </c>
      <c r="M76" s="4">
        <v>0</v>
      </c>
      <c r="N76" s="4"/>
      <c r="O76" s="4" t="s">
        <v>305</v>
      </c>
      <c r="P76" s="4">
        <v>1</v>
      </c>
      <c r="Q76" s="6"/>
    </row>
    <row r="77" spans="1:17" x14ac:dyDescent="0.25">
      <c r="A77" s="5">
        <v>33</v>
      </c>
      <c r="B77" s="4" t="s">
        <v>494</v>
      </c>
      <c r="C77" s="4" t="s">
        <v>495</v>
      </c>
      <c r="D77" s="4" t="s">
        <v>315</v>
      </c>
      <c r="E77" s="4" t="s">
        <v>322</v>
      </c>
      <c r="F77" s="4">
        <v>1</v>
      </c>
      <c r="G77" s="4" t="s">
        <v>311</v>
      </c>
      <c r="H77" s="4" t="s">
        <v>496</v>
      </c>
      <c r="I77" s="4"/>
      <c r="J77" s="4"/>
      <c r="K77" s="4">
        <v>2336</v>
      </c>
      <c r="L77" s="19">
        <v>44378</v>
      </c>
      <c r="M77" s="4">
        <v>0</v>
      </c>
      <c r="N77" s="4"/>
      <c r="O77" s="4" t="s">
        <v>305</v>
      </c>
      <c r="P77" s="4">
        <v>1</v>
      </c>
      <c r="Q77" s="6" t="s">
        <v>351</v>
      </c>
    </row>
    <row r="78" spans="1:17" x14ac:dyDescent="0.25">
      <c r="A78" s="5">
        <v>34</v>
      </c>
      <c r="B78" s="4" t="s">
        <v>494</v>
      </c>
      <c r="C78" s="4" t="s">
        <v>495</v>
      </c>
      <c r="D78" s="4" t="s">
        <v>315</v>
      </c>
      <c r="E78" s="4" t="s">
        <v>322</v>
      </c>
      <c r="F78" s="4">
        <v>2</v>
      </c>
      <c r="G78" s="4" t="s">
        <v>303</v>
      </c>
      <c r="H78" s="4" t="s">
        <v>18</v>
      </c>
      <c r="I78" s="4"/>
      <c r="J78" s="4"/>
      <c r="K78" s="4">
        <v>936</v>
      </c>
      <c r="L78" s="19">
        <v>44378</v>
      </c>
      <c r="M78" s="4">
        <v>0</v>
      </c>
      <c r="N78" s="4"/>
      <c r="O78" s="4" t="s">
        <v>305</v>
      </c>
      <c r="P78" s="4">
        <v>1</v>
      </c>
      <c r="Q78" s="6"/>
    </row>
    <row r="79" spans="1:17" x14ac:dyDescent="0.25">
      <c r="A79" s="5">
        <v>35</v>
      </c>
      <c r="B79" s="4" t="s">
        <v>497</v>
      </c>
      <c r="C79" s="4" t="s">
        <v>498</v>
      </c>
      <c r="D79" s="4" t="s">
        <v>315</v>
      </c>
      <c r="E79" s="4" t="s">
        <v>322</v>
      </c>
      <c r="F79" s="4">
        <v>1</v>
      </c>
      <c r="G79" s="4" t="s">
        <v>317</v>
      </c>
      <c r="H79" s="4" t="s">
        <v>498</v>
      </c>
      <c r="I79" s="4"/>
      <c r="J79" s="4"/>
      <c r="K79" s="4">
        <v>396.15</v>
      </c>
      <c r="L79" s="19">
        <v>41275</v>
      </c>
      <c r="M79" s="4">
        <v>0</v>
      </c>
      <c r="N79" s="4"/>
      <c r="O79" s="4" t="s">
        <v>305</v>
      </c>
      <c r="P79" s="4">
        <v>1</v>
      </c>
      <c r="Q79" s="6" t="s">
        <v>319</v>
      </c>
    </row>
    <row r="80" spans="1:17" x14ac:dyDescent="0.25">
      <c r="A80" s="5">
        <v>36</v>
      </c>
      <c r="B80" s="4" t="s">
        <v>499</v>
      </c>
      <c r="C80" s="4" t="s">
        <v>500</v>
      </c>
      <c r="D80" s="4" t="s">
        <v>315</v>
      </c>
      <c r="E80" s="4" t="s">
        <v>322</v>
      </c>
      <c r="F80" s="4">
        <v>1</v>
      </c>
      <c r="G80" s="4" t="s">
        <v>311</v>
      </c>
      <c r="H80" s="4" t="s">
        <v>501</v>
      </c>
      <c r="I80" s="4"/>
      <c r="J80" s="4"/>
      <c r="K80" s="4">
        <v>3632</v>
      </c>
      <c r="L80" s="19">
        <v>44378</v>
      </c>
      <c r="M80" s="4">
        <v>0</v>
      </c>
      <c r="N80" s="4"/>
      <c r="O80" s="4" t="s">
        <v>305</v>
      </c>
      <c r="P80" s="4">
        <v>1</v>
      </c>
      <c r="Q80" s="6" t="s">
        <v>351</v>
      </c>
    </row>
    <row r="81" spans="1:17" x14ac:dyDescent="0.25">
      <c r="A81" s="5">
        <v>37</v>
      </c>
      <c r="B81" s="4" t="s">
        <v>499</v>
      </c>
      <c r="C81" s="4" t="s">
        <v>500</v>
      </c>
      <c r="D81" s="4" t="s">
        <v>315</v>
      </c>
      <c r="E81" s="4" t="s">
        <v>322</v>
      </c>
      <c r="F81" s="4">
        <v>2</v>
      </c>
      <c r="G81" s="4" t="s">
        <v>303</v>
      </c>
      <c r="H81" s="4" t="s">
        <v>18</v>
      </c>
      <c r="I81" s="4"/>
      <c r="J81" s="4"/>
      <c r="K81" s="4">
        <v>936</v>
      </c>
      <c r="L81" s="19">
        <v>44378</v>
      </c>
      <c r="M81" s="4">
        <v>0</v>
      </c>
      <c r="N81" s="4"/>
      <c r="O81" s="4" t="s">
        <v>305</v>
      </c>
      <c r="P81" s="4">
        <v>1</v>
      </c>
      <c r="Q81" s="6"/>
    </row>
    <row r="82" spans="1:17" x14ac:dyDescent="0.25">
      <c r="A82" s="5">
        <v>38</v>
      </c>
      <c r="B82" s="4" t="s">
        <v>502</v>
      </c>
      <c r="C82" s="4" t="s">
        <v>503</v>
      </c>
      <c r="D82" s="4" t="s">
        <v>315</v>
      </c>
      <c r="E82" s="4" t="s">
        <v>322</v>
      </c>
      <c r="F82" s="4">
        <v>1</v>
      </c>
      <c r="G82" s="4" t="s">
        <v>311</v>
      </c>
      <c r="H82" s="4" t="s">
        <v>504</v>
      </c>
      <c r="I82" s="4"/>
      <c r="J82" s="4"/>
      <c r="K82" s="4">
        <v>6240</v>
      </c>
      <c r="L82" s="19">
        <v>44378</v>
      </c>
      <c r="M82" s="4">
        <v>0</v>
      </c>
      <c r="N82" s="4"/>
      <c r="O82" s="4" t="s">
        <v>305</v>
      </c>
      <c r="P82" s="4">
        <v>1</v>
      </c>
      <c r="Q82" s="6" t="s">
        <v>351</v>
      </c>
    </row>
    <row r="83" spans="1:17" x14ac:dyDescent="0.25">
      <c r="A83" s="5">
        <v>180</v>
      </c>
      <c r="B83" s="4" t="s">
        <v>505</v>
      </c>
      <c r="C83" s="4" t="s">
        <v>506</v>
      </c>
      <c r="D83" s="4" t="s">
        <v>315</v>
      </c>
      <c r="E83" s="4" t="s">
        <v>399</v>
      </c>
      <c r="F83" s="4">
        <v>1</v>
      </c>
      <c r="G83" s="4" t="s">
        <v>311</v>
      </c>
      <c r="H83" s="4" t="s">
        <v>506</v>
      </c>
      <c r="I83" s="4"/>
      <c r="J83" s="4"/>
      <c r="K83" s="4">
        <v>21900</v>
      </c>
      <c r="L83" s="19">
        <v>45200</v>
      </c>
      <c r="M83" s="4">
        <v>0</v>
      </c>
      <c r="N83" s="4"/>
      <c r="O83" s="4" t="s">
        <v>305</v>
      </c>
      <c r="P83" s="4">
        <v>1</v>
      </c>
      <c r="Q83" s="6" t="s">
        <v>351</v>
      </c>
    </row>
    <row r="84" spans="1:17" x14ac:dyDescent="0.25">
      <c r="A84" s="5">
        <v>181</v>
      </c>
      <c r="B84" s="4" t="s">
        <v>507</v>
      </c>
      <c r="C84" s="4" t="s">
        <v>508</v>
      </c>
      <c r="D84" s="4" t="s">
        <v>315</v>
      </c>
      <c r="E84" s="4" t="s">
        <v>399</v>
      </c>
      <c r="F84" s="4">
        <v>1</v>
      </c>
      <c r="G84" s="4" t="s">
        <v>311</v>
      </c>
      <c r="H84" s="4" t="s">
        <v>508</v>
      </c>
      <c r="I84" s="4"/>
      <c r="J84" s="4"/>
      <c r="K84" s="4">
        <v>29200</v>
      </c>
      <c r="L84" s="19">
        <v>45200</v>
      </c>
      <c r="M84" s="4">
        <v>0</v>
      </c>
      <c r="N84" s="4"/>
      <c r="O84" s="4" t="s">
        <v>305</v>
      </c>
      <c r="P84" s="4">
        <v>1</v>
      </c>
      <c r="Q84" s="6" t="s">
        <v>351</v>
      </c>
    </row>
    <row r="85" spans="1:17" x14ac:dyDescent="0.25">
      <c r="A85" s="5">
        <v>182</v>
      </c>
      <c r="B85" s="4" t="s">
        <v>509</v>
      </c>
      <c r="C85" s="4" t="s">
        <v>510</v>
      </c>
      <c r="D85" s="4" t="s">
        <v>315</v>
      </c>
      <c r="E85" s="4" t="s">
        <v>399</v>
      </c>
      <c r="F85" s="4">
        <v>1</v>
      </c>
      <c r="G85" s="4" t="s">
        <v>311</v>
      </c>
      <c r="H85" s="4" t="s">
        <v>510</v>
      </c>
      <c r="I85" s="4"/>
      <c r="J85" s="4"/>
      <c r="K85" s="4">
        <v>36500</v>
      </c>
      <c r="L85" s="19">
        <v>45200</v>
      </c>
      <c r="M85" s="4">
        <v>0</v>
      </c>
      <c r="N85" s="4"/>
      <c r="O85" s="4" t="s">
        <v>305</v>
      </c>
      <c r="P85" s="4">
        <v>1</v>
      </c>
      <c r="Q85" s="6" t="s">
        <v>351</v>
      </c>
    </row>
    <row r="86" spans="1:17" x14ac:dyDescent="0.25">
      <c r="A86" s="5">
        <v>39</v>
      </c>
      <c r="B86" s="4" t="s">
        <v>511</v>
      </c>
      <c r="C86" s="4" t="s">
        <v>512</v>
      </c>
      <c r="D86" s="4" t="s">
        <v>315</v>
      </c>
      <c r="E86" s="4" t="s">
        <v>322</v>
      </c>
      <c r="F86" s="4">
        <v>1</v>
      </c>
      <c r="G86" s="4" t="s">
        <v>311</v>
      </c>
      <c r="H86" s="4" t="s">
        <v>493</v>
      </c>
      <c r="I86" s="4"/>
      <c r="J86" s="4"/>
      <c r="K86" s="4">
        <v>832</v>
      </c>
      <c r="L86" s="19">
        <v>44378</v>
      </c>
      <c r="M86" s="4">
        <v>0</v>
      </c>
      <c r="N86" s="4"/>
      <c r="O86" s="4" t="s">
        <v>305</v>
      </c>
      <c r="P86" s="4">
        <v>1</v>
      </c>
      <c r="Q86" s="6" t="s">
        <v>351</v>
      </c>
    </row>
    <row r="87" spans="1:17" x14ac:dyDescent="0.25">
      <c r="A87" s="5">
        <v>40</v>
      </c>
      <c r="B87" s="4" t="s">
        <v>511</v>
      </c>
      <c r="C87" s="4" t="s">
        <v>512</v>
      </c>
      <c r="D87" s="4" t="s">
        <v>315</v>
      </c>
      <c r="E87" s="4" t="s">
        <v>322</v>
      </c>
      <c r="F87" s="4">
        <v>2</v>
      </c>
      <c r="G87" s="4" t="s">
        <v>303</v>
      </c>
      <c r="H87" s="4" t="s">
        <v>18</v>
      </c>
      <c r="I87" s="4"/>
      <c r="J87" s="4"/>
      <c r="K87" s="4">
        <v>580</v>
      </c>
      <c r="L87" s="19">
        <v>44378</v>
      </c>
      <c r="M87" s="4">
        <v>0</v>
      </c>
      <c r="N87" s="4"/>
      <c r="O87" s="4" t="s">
        <v>305</v>
      </c>
      <c r="P87" s="4">
        <v>1</v>
      </c>
      <c r="Q87" s="6"/>
    </row>
    <row r="88" spans="1:17" x14ac:dyDescent="0.25">
      <c r="A88" s="5">
        <v>41</v>
      </c>
      <c r="B88" s="4" t="s">
        <v>513</v>
      </c>
      <c r="C88" s="4" t="s">
        <v>514</v>
      </c>
      <c r="D88" s="4" t="s">
        <v>315</v>
      </c>
      <c r="E88" s="4" t="s">
        <v>322</v>
      </c>
      <c r="F88" s="4">
        <v>1</v>
      </c>
      <c r="G88" s="4" t="s">
        <v>311</v>
      </c>
      <c r="H88" s="4" t="s">
        <v>496</v>
      </c>
      <c r="I88" s="4"/>
      <c r="J88" s="4"/>
      <c r="K88" s="4">
        <v>1216</v>
      </c>
      <c r="L88" s="19">
        <v>44378</v>
      </c>
      <c r="M88" s="4">
        <v>0</v>
      </c>
      <c r="N88" s="4"/>
      <c r="O88" s="4" t="s">
        <v>305</v>
      </c>
      <c r="P88" s="4">
        <v>1</v>
      </c>
      <c r="Q88" s="6" t="s">
        <v>351</v>
      </c>
    </row>
    <row r="89" spans="1:17" x14ac:dyDescent="0.25">
      <c r="A89" s="5">
        <v>42</v>
      </c>
      <c r="B89" s="4" t="s">
        <v>513</v>
      </c>
      <c r="C89" s="4" t="s">
        <v>514</v>
      </c>
      <c r="D89" s="4" t="s">
        <v>315</v>
      </c>
      <c r="E89" s="4" t="s">
        <v>322</v>
      </c>
      <c r="F89" s="4">
        <v>2</v>
      </c>
      <c r="G89" s="4" t="s">
        <v>303</v>
      </c>
      <c r="H89" s="4" t="s">
        <v>18</v>
      </c>
      <c r="I89" s="4"/>
      <c r="J89" s="4"/>
      <c r="K89" s="4">
        <v>580</v>
      </c>
      <c r="L89" s="19">
        <v>44378</v>
      </c>
      <c r="M89" s="4">
        <v>0</v>
      </c>
      <c r="N89" s="4"/>
      <c r="O89" s="4" t="s">
        <v>305</v>
      </c>
      <c r="P89" s="4">
        <v>1</v>
      </c>
      <c r="Q89" s="6"/>
    </row>
    <row r="90" spans="1:17" x14ac:dyDescent="0.25">
      <c r="A90" s="5">
        <v>43</v>
      </c>
      <c r="B90" s="4" t="s">
        <v>515</v>
      </c>
      <c r="C90" s="4" t="s">
        <v>498</v>
      </c>
      <c r="D90" s="4" t="s">
        <v>315</v>
      </c>
      <c r="E90" s="4" t="s">
        <v>322</v>
      </c>
      <c r="F90" s="4">
        <v>1</v>
      </c>
      <c r="G90" s="4" t="s">
        <v>317</v>
      </c>
      <c r="H90" s="4" t="s">
        <v>498</v>
      </c>
      <c r="I90" s="4"/>
      <c r="J90" s="4"/>
      <c r="K90" s="4">
        <v>207.13</v>
      </c>
      <c r="L90" s="19">
        <v>41275</v>
      </c>
      <c r="M90" s="4">
        <v>0</v>
      </c>
      <c r="N90" s="4"/>
      <c r="O90" s="4" t="s">
        <v>305</v>
      </c>
      <c r="P90" s="4">
        <v>1</v>
      </c>
      <c r="Q90" s="6" t="s">
        <v>319</v>
      </c>
    </row>
    <row r="91" spans="1:17" x14ac:dyDescent="0.25">
      <c r="A91" s="5">
        <v>44</v>
      </c>
      <c r="B91" s="4" t="s">
        <v>516</v>
      </c>
      <c r="C91" s="4" t="s">
        <v>517</v>
      </c>
      <c r="D91" s="4" t="s">
        <v>315</v>
      </c>
      <c r="E91" s="4" t="s">
        <v>322</v>
      </c>
      <c r="F91" s="4">
        <v>1</v>
      </c>
      <c r="G91" s="4" t="s">
        <v>311</v>
      </c>
      <c r="H91" s="4" t="s">
        <v>501</v>
      </c>
      <c r="I91" s="4"/>
      <c r="J91" s="4"/>
      <c r="K91" s="4">
        <v>1784</v>
      </c>
      <c r="L91" s="19">
        <v>44378</v>
      </c>
      <c r="M91" s="4">
        <v>0</v>
      </c>
      <c r="N91" s="4"/>
      <c r="O91" s="4" t="s">
        <v>305</v>
      </c>
      <c r="P91" s="4">
        <v>1</v>
      </c>
      <c r="Q91" s="6" t="s">
        <v>351</v>
      </c>
    </row>
    <row r="92" spans="1:17" x14ac:dyDescent="0.25">
      <c r="A92" s="5">
        <v>45</v>
      </c>
      <c r="B92" s="4" t="s">
        <v>516</v>
      </c>
      <c r="C92" s="4" t="s">
        <v>517</v>
      </c>
      <c r="D92" s="4" t="s">
        <v>315</v>
      </c>
      <c r="E92" s="4" t="s">
        <v>322</v>
      </c>
      <c r="F92" s="4">
        <v>2</v>
      </c>
      <c r="G92" s="4" t="s">
        <v>303</v>
      </c>
      <c r="H92" s="4" t="s">
        <v>18</v>
      </c>
      <c r="I92" s="4"/>
      <c r="J92" s="4"/>
      <c r="K92" s="4">
        <v>580</v>
      </c>
      <c r="L92" s="19">
        <v>44378</v>
      </c>
      <c r="M92" s="4">
        <v>0</v>
      </c>
      <c r="N92" s="4"/>
      <c r="O92" s="4" t="s">
        <v>305</v>
      </c>
      <c r="P92" s="4">
        <v>1</v>
      </c>
      <c r="Q92" s="6"/>
    </row>
    <row r="93" spans="1:17" x14ac:dyDescent="0.25">
      <c r="A93" s="5">
        <v>46</v>
      </c>
      <c r="B93" s="4" t="s">
        <v>518</v>
      </c>
      <c r="C93" s="4" t="s">
        <v>519</v>
      </c>
      <c r="D93" s="4" t="s">
        <v>315</v>
      </c>
      <c r="E93" s="4" t="s">
        <v>322</v>
      </c>
      <c r="F93" s="4">
        <v>1</v>
      </c>
      <c r="G93" s="4" t="s">
        <v>311</v>
      </c>
      <c r="H93" s="4" t="s">
        <v>520</v>
      </c>
      <c r="I93" s="4"/>
      <c r="J93" s="4"/>
      <c r="K93" s="4">
        <v>1340</v>
      </c>
      <c r="L93" s="19">
        <v>44378</v>
      </c>
      <c r="M93" s="4">
        <v>0</v>
      </c>
      <c r="N93" s="4"/>
      <c r="O93" s="4" t="s">
        <v>305</v>
      </c>
      <c r="P93" s="4">
        <v>1</v>
      </c>
      <c r="Q93" s="6" t="s">
        <v>351</v>
      </c>
    </row>
    <row r="94" spans="1:17" x14ac:dyDescent="0.25">
      <c r="A94" s="5">
        <v>47</v>
      </c>
      <c r="B94" s="4" t="s">
        <v>521</v>
      </c>
      <c r="C94" s="4" t="s">
        <v>522</v>
      </c>
      <c r="D94" s="4" t="s">
        <v>315</v>
      </c>
      <c r="E94" s="4" t="s">
        <v>322</v>
      </c>
      <c r="F94" s="4">
        <v>1</v>
      </c>
      <c r="G94" s="4" t="s">
        <v>311</v>
      </c>
      <c r="H94" s="4" t="s">
        <v>523</v>
      </c>
      <c r="I94" s="4"/>
      <c r="J94" s="4"/>
      <c r="K94" s="4">
        <v>2336</v>
      </c>
      <c r="L94" s="19">
        <v>44378</v>
      </c>
      <c r="M94" s="4">
        <v>0</v>
      </c>
      <c r="N94" s="4"/>
      <c r="O94" s="4" t="s">
        <v>305</v>
      </c>
      <c r="P94" s="4">
        <v>1</v>
      </c>
      <c r="Q94" s="6" t="s">
        <v>351</v>
      </c>
    </row>
    <row r="95" spans="1:17" x14ac:dyDescent="0.25">
      <c r="A95" s="5">
        <v>48</v>
      </c>
      <c r="B95" s="4" t="s">
        <v>524</v>
      </c>
      <c r="C95" s="4" t="s">
        <v>525</v>
      </c>
      <c r="D95" s="4" t="s">
        <v>315</v>
      </c>
      <c r="E95" s="4" t="s">
        <v>322</v>
      </c>
      <c r="F95" s="4">
        <v>1</v>
      </c>
      <c r="G95" s="4" t="s">
        <v>311</v>
      </c>
      <c r="H95" s="4" t="s">
        <v>526</v>
      </c>
      <c r="I95" s="4"/>
      <c r="J95" s="4"/>
      <c r="K95" s="4">
        <v>3632</v>
      </c>
      <c r="L95" s="19">
        <v>44378</v>
      </c>
      <c r="M95" s="4">
        <v>0</v>
      </c>
      <c r="N95" s="4"/>
      <c r="O95" s="4" t="s">
        <v>305</v>
      </c>
      <c r="P95" s="4">
        <v>1</v>
      </c>
      <c r="Q95" s="6" t="s">
        <v>351</v>
      </c>
    </row>
    <row r="96" spans="1:17" x14ac:dyDescent="0.25">
      <c r="A96" s="5">
        <v>49</v>
      </c>
      <c r="B96" s="4" t="s">
        <v>527</v>
      </c>
      <c r="C96" s="4" t="s">
        <v>528</v>
      </c>
      <c r="D96" s="4" t="s">
        <v>315</v>
      </c>
      <c r="E96" s="4" t="s">
        <v>322</v>
      </c>
      <c r="F96" s="4">
        <v>1</v>
      </c>
      <c r="G96" s="4" t="s">
        <v>311</v>
      </c>
      <c r="H96" s="4" t="s">
        <v>529</v>
      </c>
      <c r="I96" s="4"/>
      <c r="J96" s="4"/>
      <c r="K96" s="4">
        <v>6240</v>
      </c>
      <c r="L96" s="19">
        <v>44378</v>
      </c>
      <c r="M96" s="4">
        <v>0</v>
      </c>
      <c r="N96" s="4"/>
      <c r="O96" s="4" t="s">
        <v>305</v>
      </c>
      <c r="P96" s="4">
        <v>1</v>
      </c>
      <c r="Q96" s="6" t="s">
        <v>351</v>
      </c>
    </row>
    <row r="97" spans="1:17" x14ac:dyDescent="0.25">
      <c r="A97" s="5">
        <v>50</v>
      </c>
      <c r="B97" s="4" t="s">
        <v>530</v>
      </c>
      <c r="C97" s="4" t="s">
        <v>531</v>
      </c>
      <c r="D97" s="4" t="s">
        <v>315</v>
      </c>
      <c r="E97" s="4" t="s">
        <v>322</v>
      </c>
      <c r="F97" s="4">
        <v>1</v>
      </c>
      <c r="G97" s="4" t="s">
        <v>311</v>
      </c>
      <c r="H97" s="4" t="s">
        <v>532</v>
      </c>
      <c r="I97" s="4"/>
      <c r="J97" s="4"/>
      <c r="K97" s="4">
        <v>832</v>
      </c>
      <c r="L97" s="19">
        <v>44378</v>
      </c>
      <c r="M97" s="4">
        <v>0</v>
      </c>
      <c r="N97" s="4"/>
      <c r="O97" s="4" t="s">
        <v>305</v>
      </c>
      <c r="P97" s="4">
        <v>1</v>
      </c>
      <c r="Q97" s="6" t="s">
        <v>351</v>
      </c>
    </row>
    <row r="98" spans="1:17" x14ac:dyDescent="0.25">
      <c r="A98" s="5">
        <v>51</v>
      </c>
      <c r="B98" s="4" t="s">
        <v>533</v>
      </c>
      <c r="C98" s="4" t="s">
        <v>534</v>
      </c>
      <c r="D98" s="4" t="s">
        <v>315</v>
      </c>
      <c r="E98" s="4" t="s">
        <v>322</v>
      </c>
      <c r="F98" s="4">
        <v>1</v>
      </c>
      <c r="G98" s="4" t="s">
        <v>311</v>
      </c>
      <c r="H98" s="4" t="s">
        <v>526</v>
      </c>
      <c r="I98" s="4"/>
      <c r="J98" s="4"/>
      <c r="K98" s="4">
        <v>1784</v>
      </c>
      <c r="L98" s="19">
        <v>44378</v>
      </c>
      <c r="M98" s="4">
        <v>0</v>
      </c>
      <c r="N98" s="4"/>
      <c r="O98" s="4" t="s">
        <v>305</v>
      </c>
      <c r="P98" s="4">
        <v>1</v>
      </c>
      <c r="Q98" s="6" t="s">
        <v>351</v>
      </c>
    </row>
    <row r="99" spans="1:17" x14ac:dyDescent="0.25">
      <c r="A99" s="5">
        <v>174</v>
      </c>
      <c r="B99" s="4" t="s">
        <v>535</v>
      </c>
      <c r="C99" s="4" t="s">
        <v>536</v>
      </c>
      <c r="D99" s="4" t="s">
        <v>315</v>
      </c>
      <c r="E99" s="4" t="s">
        <v>322</v>
      </c>
      <c r="F99" s="4">
        <v>1</v>
      </c>
      <c r="G99" s="4" t="s">
        <v>317</v>
      </c>
      <c r="H99" s="4" t="s">
        <v>537</v>
      </c>
      <c r="I99" s="4"/>
      <c r="J99" s="4"/>
      <c r="K99" s="4">
        <v>2000</v>
      </c>
      <c r="L99" s="19">
        <v>45200</v>
      </c>
      <c r="M99" s="4">
        <v>0</v>
      </c>
      <c r="N99" s="4"/>
      <c r="O99" s="4" t="s">
        <v>305</v>
      </c>
      <c r="P99" s="4">
        <v>1</v>
      </c>
      <c r="Q99" s="6" t="s">
        <v>319</v>
      </c>
    </row>
    <row r="100" spans="1:17" x14ac:dyDescent="0.25">
      <c r="A100" s="5">
        <v>170</v>
      </c>
      <c r="B100" s="4" t="s">
        <v>538</v>
      </c>
      <c r="C100" s="4" t="s">
        <v>539</v>
      </c>
      <c r="D100" s="4" t="s">
        <v>315</v>
      </c>
      <c r="E100" s="4" t="s">
        <v>399</v>
      </c>
      <c r="F100" s="4">
        <v>1</v>
      </c>
      <c r="G100" s="4" t="s">
        <v>317</v>
      </c>
      <c r="H100" s="4" t="s">
        <v>539</v>
      </c>
      <c r="I100" s="4"/>
      <c r="J100" s="4"/>
      <c r="K100" s="4">
        <v>1800</v>
      </c>
      <c r="L100" s="19">
        <v>45200</v>
      </c>
      <c r="M100" s="4">
        <v>0</v>
      </c>
      <c r="N100" s="4"/>
      <c r="O100" s="4" t="s">
        <v>305</v>
      </c>
      <c r="P100" s="4">
        <v>1</v>
      </c>
      <c r="Q100" s="6" t="s">
        <v>371</v>
      </c>
    </row>
    <row r="101" spans="1:17" x14ac:dyDescent="0.25">
      <c r="A101" s="5">
        <v>5</v>
      </c>
      <c r="B101" s="4" t="s">
        <v>540</v>
      </c>
      <c r="C101" s="4" t="s">
        <v>541</v>
      </c>
      <c r="D101" s="4" t="s">
        <v>301</v>
      </c>
      <c r="E101" s="4"/>
      <c r="F101" s="4">
        <v>1</v>
      </c>
      <c r="G101" s="4" t="s">
        <v>317</v>
      </c>
      <c r="H101" s="4" t="s">
        <v>541</v>
      </c>
      <c r="I101" s="4"/>
      <c r="J101" s="4"/>
      <c r="K101" s="4">
        <v>160</v>
      </c>
      <c r="L101" s="19">
        <v>32874</v>
      </c>
      <c r="M101" s="4">
        <v>0</v>
      </c>
      <c r="N101" s="4"/>
      <c r="O101" s="4" t="s">
        <v>305</v>
      </c>
      <c r="P101" s="4">
        <v>0</v>
      </c>
      <c r="Q101" s="6"/>
    </row>
    <row r="102" spans="1:17" x14ac:dyDescent="0.25">
      <c r="A102" s="5">
        <v>152</v>
      </c>
      <c r="B102" s="4" t="s">
        <v>542</v>
      </c>
      <c r="C102" s="4" t="s">
        <v>543</v>
      </c>
      <c r="D102" s="4" t="s">
        <v>315</v>
      </c>
      <c r="E102" s="4"/>
      <c r="F102" s="4">
        <v>1</v>
      </c>
      <c r="G102" s="4" t="s">
        <v>317</v>
      </c>
      <c r="H102" s="4" t="s">
        <v>543</v>
      </c>
      <c r="I102" s="4"/>
      <c r="J102" s="4"/>
      <c r="K102" s="4">
        <v>0</v>
      </c>
      <c r="L102" s="19">
        <v>32874</v>
      </c>
      <c r="M102" s="4">
        <v>0</v>
      </c>
      <c r="N102" s="4"/>
      <c r="O102" s="4" t="s">
        <v>305</v>
      </c>
      <c r="P102" s="4">
        <v>1</v>
      </c>
      <c r="Q102" s="6" t="s">
        <v>319</v>
      </c>
    </row>
    <row r="103" spans="1:17" x14ac:dyDescent="0.25">
      <c r="A103" s="5">
        <v>199</v>
      </c>
      <c r="B103" s="4" t="s">
        <v>70</v>
      </c>
      <c r="C103" s="4" t="s">
        <v>544</v>
      </c>
      <c r="D103" s="4" t="s">
        <v>315</v>
      </c>
      <c r="E103" s="4" t="s">
        <v>322</v>
      </c>
      <c r="F103" s="4">
        <v>1</v>
      </c>
      <c r="G103" s="4" t="s">
        <v>311</v>
      </c>
      <c r="H103" s="4" t="s">
        <v>545</v>
      </c>
      <c r="I103" s="4"/>
      <c r="J103" s="4"/>
      <c r="K103" s="4">
        <v>500</v>
      </c>
      <c r="L103" s="19">
        <v>45658</v>
      </c>
      <c r="M103" s="4">
        <v>0</v>
      </c>
      <c r="N103" s="4"/>
      <c r="O103" s="4" t="s">
        <v>305</v>
      </c>
      <c r="P103" s="4">
        <v>1</v>
      </c>
      <c r="Q103" s="6" t="s">
        <v>351</v>
      </c>
    </row>
    <row r="104" spans="1:17" x14ac:dyDescent="0.25">
      <c r="A104" s="5">
        <v>200</v>
      </c>
      <c r="B104" s="4" t="s">
        <v>70</v>
      </c>
      <c r="C104" s="4" t="s">
        <v>544</v>
      </c>
      <c r="D104" s="4" t="s">
        <v>315</v>
      </c>
      <c r="E104" s="4" t="s">
        <v>322</v>
      </c>
      <c r="F104" s="4">
        <v>3</v>
      </c>
      <c r="G104" s="4" t="s">
        <v>317</v>
      </c>
      <c r="H104" s="4" t="s">
        <v>546</v>
      </c>
      <c r="I104" s="4"/>
      <c r="J104" s="4"/>
      <c r="K104" s="4">
        <v>2.2400000000000002</v>
      </c>
      <c r="L104" s="19">
        <v>45658</v>
      </c>
      <c r="M104" s="4">
        <v>0</v>
      </c>
      <c r="N104" s="4"/>
      <c r="O104" s="4" t="s">
        <v>305</v>
      </c>
      <c r="P104" s="4">
        <v>1</v>
      </c>
      <c r="Q104" s="6" t="s">
        <v>547</v>
      </c>
    </row>
    <row r="105" spans="1:17" x14ac:dyDescent="0.25">
      <c r="A105" s="5">
        <v>217</v>
      </c>
      <c r="B105" s="4" t="s">
        <v>70</v>
      </c>
      <c r="C105" s="4" t="s">
        <v>544</v>
      </c>
      <c r="D105" s="4" t="s">
        <v>315</v>
      </c>
      <c r="E105" s="4" t="s">
        <v>322</v>
      </c>
      <c r="F105" s="4">
        <v>4</v>
      </c>
      <c r="G105" s="4" t="s">
        <v>317</v>
      </c>
      <c r="H105" s="4" t="s">
        <v>548</v>
      </c>
      <c r="I105" s="4"/>
      <c r="J105" s="4"/>
      <c r="K105" s="4">
        <v>4</v>
      </c>
      <c r="L105" s="19">
        <v>45658</v>
      </c>
      <c r="M105" s="4">
        <v>0</v>
      </c>
      <c r="N105" s="4"/>
      <c r="O105" s="4" t="s">
        <v>305</v>
      </c>
      <c r="P105" s="4">
        <v>1</v>
      </c>
      <c r="Q105" s="6" t="s">
        <v>549</v>
      </c>
    </row>
    <row r="106" spans="1:17" x14ac:dyDescent="0.25">
      <c r="A106" s="5">
        <v>196</v>
      </c>
      <c r="B106" s="4" t="s">
        <v>550</v>
      </c>
      <c r="C106" s="4" t="s">
        <v>544</v>
      </c>
      <c r="D106" s="4" t="s">
        <v>315</v>
      </c>
      <c r="E106" s="4" t="s">
        <v>322</v>
      </c>
      <c r="F106" s="4">
        <v>1</v>
      </c>
      <c r="G106" s="4" t="s">
        <v>311</v>
      </c>
      <c r="H106" s="4" t="s">
        <v>551</v>
      </c>
      <c r="I106" s="4"/>
      <c r="J106" s="4"/>
      <c r="K106" s="4">
        <v>0</v>
      </c>
      <c r="L106" s="19">
        <v>44927</v>
      </c>
      <c r="M106" s="4">
        <v>0</v>
      </c>
      <c r="N106" s="4"/>
      <c r="O106" s="4" t="s">
        <v>305</v>
      </c>
      <c r="P106" s="4">
        <v>1</v>
      </c>
      <c r="Q106" s="6" t="s">
        <v>351</v>
      </c>
    </row>
    <row r="107" spans="1:17" x14ac:dyDescent="0.25">
      <c r="A107" s="5">
        <v>197</v>
      </c>
      <c r="B107" s="4" t="s">
        <v>550</v>
      </c>
      <c r="C107" s="4" t="s">
        <v>544</v>
      </c>
      <c r="D107" s="4" t="s">
        <v>315</v>
      </c>
      <c r="E107" s="4" t="s">
        <v>322</v>
      </c>
      <c r="F107" s="4">
        <v>2</v>
      </c>
      <c r="G107" s="4" t="s">
        <v>317</v>
      </c>
      <c r="H107" s="4" t="s">
        <v>552</v>
      </c>
      <c r="I107" s="4"/>
      <c r="J107" s="4"/>
      <c r="K107" s="4">
        <v>0</v>
      </c>
      <c r="L107" s="19">
        <v>44927</v>
      </c>
      <c r="M107" s="4">
        <v>0</v>
      </c>
      <c r="N107" s="4"/>
      <c r="O107" s="4" t="s">
        <v>305</v>
      </c>
      <c r="P107" s="4">
        <v>1</v>
      </c>
      <c r="Q107" s="6" t="s">
        <v>348</v>
      </c>
    </row>
    <row r="108" spans="1:17" x14ac:dyDescent="0.25">
      <c r="A108" s="5">
        <v>198</v>
      </c>
      <c r="B108" s="4" t="s">
        <v>550</v>
      </c>
      <c r="C108" s="4" t="s">
        <v>544</v>
      </c>
      <c r="D108" s="4" t="s">
        <v>315</v>
      </c>
      <c r="E108" s="4" t="s">
        <v>322</v>
      </c>
      <c r="F108" s="4">
        <v>3</v>
      </c>
      <c r="G108" s="4" t="s">
        <v>317</v>
      </c>
      <c r="H108" s="4" t="s">
        <v>546</v>
      </c>
      <c r="I108" s="4"/>
      <c r="J108" s="4"/>
      <c r="K108" s="4">
        <v>0</v>
      </c>
      <c r="L108" s="19">
        <v>44927</v>
      </c>
      <c r="M108" s="4">
        <v>0</v>
      </c>
      <c r="N108" s="4"/>
      <c r="O108" s="4" t="s">
        <v>305</v>
      </c>
      <c r="P108" s="4">
        <v>1</v>
      </c>
      <c r="Q108" s="6" t="s">
        <v>452</v>
      </c>
    </row>
    <row r="109" spans="1:17" x14ac:dyDescent="0.25">
      <c r="A109" s="5">
        <v>148</v>
      </c>
      <c r="B109" s="4" t="s">
        <v>553</v>
      </c>
      <c r="C109" s="4" t="s">
        <v>554</v>
      </c>
      <c r="D109" s="4" t="s">
        <v>315</v>
      </c>
      <c r="E109" s="4" t="s">
        <v>322</v>
      </c>
      <c r="F109" s="4">
        <v>1</v>
      </c>
      <c r="G109" s="4" t="s">
        <v>311</v>
      </c>
      <c r="H109" s="4" t="s">
        <v>555</v>
      </c>
      <c r="I109" s="4"/>
      <c r="J109" s="4"/>
      <c r="K109" s="4">
        <v>240</v>
      </c>
      <c r="L109" s="19">
        <v>45658</v>
      </c>
      <c r="M109" s="4">
        <v>0</v>
      </c>
      <c r="N109" s="4"/>
      <c r="O109" s="4" t="s">
        <v>305</v>
      </c>
      <c r="P109" s="4">
        <v>1</v>
      </c>
      <c r="Q109" s="6" t="s">
        <v>351</v>
      </c>
    </row>
    <row r="110" spans="1:17" x14ac:dyDescent="0.25">
      <c r="A110" s="5">
        <v>149</v>
      </c>
      <c r="B110" s="4" t="s">
        <v>553</v>
      </c>
      <c r="C110" s="4" t="s">
        <v>554</v>
      </c>
      <c r="D110" s="4" t="s">
        <v>315</v>
      </c>
      <c r="E110" s="4" t="s">
        <v>322</v>
      </c>
      <c r="F110" s="4">
        <v>2</v>
      </c>
      <c r="G110" s="4" t="s">
        <v>317</v>
      </c>
      <c r="H110" s="4" t="s">
        <v>546</v>
      </c>
      <c r="I110" s="4"/>
      <c r="J110" s="4"/>
      <c r="K110" s="4">
        <v>2.2400000000000002</v>
      </c>
      <c r="L110" s="19">
        <v>45658</v>
      </c>
      <c r="M110" s="4">
        <v>0</v>
      </c>
      <c r="N110" s="4"/>
      <c r="O110" s="4" t="s">
        <v>305</v>
      </c>
      <c r="P110" s="4">
        <v>1</v>
      </c>
      <c r="Q110" s="6" t="s">
        <v>547</v>
      </c>
    </row>
    <row r="111" spans="1:17" x14ac:dyDescent="0.25">
      <c r="A111" s="5">
        <v>218</v>
      </c>
      <c r="B111" s="4" t="s">
        <v>553</v>
      </c>
      <c r="C111" s="4" t="s">
        <v>554</v>
      </c>
      <c r="D111" s="4" t="s">
        <v>315</v>
      </c>
      <c r="E111" s="4" t="s">
        <v>322</v>
      </c>
      <c r="F111" s="4">
        <v>3</v>
      </c>
      <c r="G111" s="4" t="s">
        <v>317</v>
      </c>
      <c r="H111" s="4" t="s">
        <v>548</v>
      </c>
      <c r="I111" s="4"/>
      <c r="J111" s="4"/>
      <c r="K111" s="4">
        <v>4</v>
      </c>
      <c r="L111" s="19">
        <v>45658</v>
      </c>
      <c r="M111" s="4">
        <v>0</v>
      </c>
      <c r="N111" s="4"/>
      <c r="O111" s="4" t="s">
        <v>305</v>
      </c>
      <c r="P111" s="4">
        <v>1</v>
      </c>
      <c r="Q111" s="6" t="s">
        <v>549</v>
      </c>
    </row>
    <row r="112" spans="1:17" x14ac:dyDescent="0.25">
      <c r="A112" s="5">
        <v>150</v>
      </c>
      <c r="B112" s="4" t="s">
        <v>556</v>
      </c>
      <c r="C112" s="4" t="s">
        <v>557</v>
      </c>
      <c r="D112" s="4" t="s">
        <v>315</v>
      </c>
      <c r="E112" s="4" t="s">
        <v>322</v>
      </c>
      <c r="F112" s="4">
        <v>1</v>
      </c>
      <c r="G112" s="4" t="s">
        <v>311</v>
      </c>
      <c r="H112" s="4" t="s">
        <v>558</v>
      </c>
      <c r="I112" s="4"/>
      <c r="J112" s="4"/>
      <c r="K112" s="4">
        <v>240</v>
      </c>
      <c r="L112" s="19">
        <v>45658</v>
      </c>
      <c r="M112" s="4">
        <v>0</v>
      </c>
      <c r="N112" s="4"/>
      <c r="O112" s="4" t="s">
        <v>305</v>
      </c>
      <c r="P112" s="4">
        <v>1</v>
      </c>
      <c r="Q112" s="6" t="s">
        <v>351</v>
      </c>
    </row>
    <row r="113" spans="1:17" x14ac:dyDescent="0.25">
      <c r="A113" s="5">
        <v>151</v>
      </c>
      <c r="B113" s="4" t="s">
        <v>556</v>
      </c>
      <c r="C113" s="4" t="s">
        <v>557</v>
      </c>
      <c r="D113" s="4" t="s">
        <v>315</v>
      </c>
      <c r="E113" s="4" t="s">
        <v>322</v>
      </c>
      <c r="F113" s="4">
        <v>2</v>
      </c>
      <c r="G113" s="4" t="s">
        <v>317</v>
      </c>
      <c r="H113" s="4" t="s">
        <v>552</v>
      </c>
      <c r="I113" s="4"/>
      <c r="J113" s="4"/>
      <c r="K113" s="4">
        <v>4.4000000000000004</v>
      </c>
      <c r="L113" s="19">
        <v>45658</v>
      </c>
      <c r="M113" s="4">
        <v>0</v>
      </c>
      <c r="N113" s="4"/>
      <c r="O113" s="4" t="s">
        <v>305</v>
      </c>
      <c r="P113" s="4">
        <v>1</v>
      </c>
      <c r="Q113" s="6" t="s">
        <v>547</v>
      </c>
    </row>
    <row r="114" spans="1:17" x14ac:dyDescent="0.25">
      <c r="A114" s="5">
        <v>219</v>
      </c>
      <c r="B114" s="4" t="s">
        <v>556</v>
      </c>
      <c r="C114" s="4" t="s">
        <v>557</v>
      </c>
      <c r="D114" s="4" t="s">
        <v>315</v>
      </c>
      <c r="E114" s="4" t="s">
        <v>322</v>
      </c>
      <c r="F114" s="4">
        <v>3</v>
      </c>
      <c r="G114" s="4" t="s">
        <v>317</v>
      </c>
      <c r="H114" s="4" t="s">
        <v>559</v>
      </c>
      <c r="I114" s="4"/>
      <c r="J114" s="4"/>
      <c r="K114" s="4">
        <v>8</v>
      </c>
      <c r="L114" s="19">
        <v>45658</v>
      </c>
      <c r="M114" s="4">
        <v>0</v>
      </c>
      <c r="N114" s="4"/>
      <c r="O114" s="4" t="s">
        <v>305</v>
      </c>
      <c r="P114" s="4">
        <v>1</v>
      </c>
      <c r="Q114" s="6" t="s">
        <v>549</v>
      </c>
    </row>
    <row r="115" spans="1:17" x14ac:dyDescent="0.25">
      <c r="A115" s="5">
        <v>98</v>
      </c>
      <c r="B115" s="4" t="s">
        <v>560</v>
      </c>
      <c r="C115" s="4" t="s">
        <v>561</v>
      </c>
      <c r="D115" s="4" t="s">
        <v>315</v>
      </c>
      <c r="E115" s="4" t="s">
        <v>322</v>
      </c>
      <c r="F115" s="4">
        <v>1</v>
      </c>
      <c r="G115" s="4" t="s">
        <v>311</v>
      </c>
      <c r="H115" s="4" t="s">
        <v>562</v>
      </c>
      <c r="I115" s="4"/>
      <c r="J115" s="4"/>
      <c r="K115" s="4">
        <v>640</v>
      </c>
      <c r="L115" s="19">
        <v>45658</v>
      </c>
      <c r="M115" s="4">
        <v>0</v>
      </c>
      <c r="N115" s="4"/>
      <c r="O115" s="4" t="s">
        <v>305</v>
      </c>
      <c r="P115" s="4">
        <v>1</v>
      </c>
      <c r="Q115" s="6" t="s">
        <v>351</v>
      </c>
    </row>
    <row r="116" spans="1:17" x14ac:dyDescent="0.25">
      <c r="A116" s="5">
        <v>99</v>
      </c>
      <c r="B116" s="4" t="s">
        <v>560</v>
      </c>
      <c r="C116" s="4" t="s">
        <v>561</v>
      </c>
      <c r="D116" s="4" t="s">
        <v>315</v>
      </c>
      <c r="E116" s="4" t="s">
        <v>322</v>
      </c>
      <c r="F116" s="4">
        <v>2</v>
      </c>
      <c r="G116" s="4" t="s">
        <v>317</v>
      </c>
      <c r="H116" s="4" t="s">
        <v>552</v>
      </c>
      <c r="I116" s="4"/>
      <c r="J116" s="4"/>
      <c r="K116" s="4">
        <v>4.4000000000000004</v>
      </c>
      <c r="L116" s="19">
        <v>45658</v>
      </c>
      <c r="M116" s="4">
        <v>0</v>
      </c>
      <c r="N116" s="4"/>
      <c r="O116" s="4" t="s">
        <v>305</v>
      </c>
      <c r="P116" s="4">
        <v>1</v>
      </c>
      <c r="Q116" s="6" t="s">
        <v>452</v>
      </c>
    </row>
    <row r="117" spans="1:17" x14ac:dyDescent="0.25">
      <c r="A117" s="5">
        <v>95</v>
      </c>
      <c r="B117" s="4" t="s">
        <v>36</v>
      </c>
      <c r="C117" s="4" t="s">
        <v>563</v>
      </c>
      <c r="D117" s="4" t="s">
        <v>315</v>
      </c>
      <c r="E117" s="4" t="s">
        <v>322</v>
      </c>
      <c r="F117" s="4">
        <v>1</v>
      </c>
      <c r="G117" s="4" t="s">
        <v>311</v>
      </c>
      <c r="H117" s="4" t="s">
        <v>563</v>
      </c>
      <c r="I117" s="4"/>
      <c r="J117" s="4"/>
      <c r="K117" s="4">
        <v>640</v>
      </c>
      <c r="L117" s="19">
        <v>45658</v>
      </c>
      <c r="M117" s="4">
        <v>0</v>
      </c>
      <c r="N117" s="4"/>
      <c r="O117" s="4" t="s">
        <v>305</v>
      </c>
      <c r="P117" s="4">
        <v>1</v>
      </c>
      <c r="Q117" s="6" t="s">
        <v>351</v>
      </c>
    </row>
    <row r="118" spans="1:17" x14ac:dyDescent="0.25">
      <c r="A118" s="5">
        <v>96</v>
      </c>
      <c r="B118" s="4" t="s">
        <v>36</v>
      </c>
      <c r="C118" s="4" t="s">
        <v>563</v>
      </c>
      <c r="D118" s="4" t="s">
        <v>315</v>
      </c>
      <c r="E118" s="4" t="s">
        <v>322</v>
      </c>
      <c r="F118" s="4">
        <v>2</v>
      </c>
      <c r="G118" s="4" t="s">
        <v>317</v>
      </c>
      <c r="H118" s="4" t="s">
        <v>552</v>
      </c>
      <c r="I118" s="4"/>
      <c r="J118" s="4"/>
      <c r="K118" s="4">
        <v>4.4000000000000004</v>
      </c>
      <c r="L118" s="19">
        <v>45658</v>
      </c>
      <c r="M118" s="4">
        <v>0</v>
      </c>
      <c r="N118" s="4"/>
      <c r="O118" s="4" t="s">
        <v>305</v>
      </c>
      <c r="P118" s="4">
        <v>1</v>
      </c>
      <c r="Q118" s="6" t="s">
        <v>348</v>
      </c>
    </row>
    <row r="119" spans="1:17" x14ac:dyDescent="0.25">
      <c r="A119" s="5">
        <v>97</v>
      </c>
      <c r="B119" s="4" t="s">
        <v>36</v>
      </c>
      <c r="C119" s="4" t="s">
        <v>563</v>
      </c>
      <c r="D119" s="4" t="s">
        <v>315</v>
      </c>
      <c r="E119" s="4" t="s">
        <v>322</v>
      </c>
      <c r="F119" s="4">
        <v>3</v>
      </c>
      <c r="G119" s="4" t="s">
        <v>317</v>
      </c>
      <c r="H119" s="4" t="s">
        <v>546</v>
      </c>
      <c r="I119" s="4"/>
      <c r="J119" s="4"/>
      <c r="K119" s="4">
        <v>2.2400000000000002</v>
      </c>
      <c r="L119" s="19">
        <v>45658</v>
      </c>
      <c r="M119" s="4">
        <v>0</v>
      </c>
      <c r="N119" s="4"/>
      <c r="O119" s="4" t="s">
        <v>305</v>
      </c>
      <c r="P119" s="4">
        <v>1</v>
      </c>
      <c r="Q119" s="6" t="s">
        <v>348</v>
      </c>
    </row>
    <row r="120" spans="1:17" x14ac:dyDescent="0.25">
      <c r="A120" s="5">
        <v>100</v>
      </c>
      <c r="B120" s="4" t="s">
        <v>61</v>
      </c>
      <c r="C120" s="4" t="s">
        <v>564</v>
      </c>
      <c r="D120" s="4" t="s">
        <v>315</v>
      </c>
      <c r="E120" s="4" t="s">
        <v>322</v>
      </c>
      <c r="F120" s="4">
        <v>1</v>
      </c>
      <c r="G120" s="4" t="s">
        <v>311</v>
      </c>
      <c r="H120" s="4" t="s">
        <v>565</v>
      </c>
      <c r="I120" s="4"/>
      <c r="J120" s="4"/>
      <c r="K120" s="4">
        <v>640</v>
      </c>
      <c r="L120" s="19">
        <v>45658</v>
      </c>
      <c r="M120" s="4">
        <v>0</v>
      </c>
      <c r="N120" s="4"/>
      <c r="O120" s="4" t="s">
        <v>305</v>
      </c>
      <c r="P120" s="4">
        <v>1</v>
      </c>
      <c r="Q120" s="6" t="s">
        <v>351</v>
      </c>
    </row>
    <row r="121" spans="1:17" x14ac:dyDescent="0.25">
      <c r="A121" s="5">
        <v>101</v>
      </c>
      <c r="B121" s="4" t="s">
        <v>61</v>
      </c>
      <c r="C121" s="4" t="s">
        <v>564</v>
      </c>
      <c r="D121" s="4" t="s">
        <v>315</v>
      </c>
      <c r="E121" s="4" t="s">
        <v>322</v>
      </c>
      <c r="F121" s="4">
        <v>2</v>
      </c>
      <c r="G121" s="4" t="s">
        <v>317</v>
      </c>
      <c r="H121" s="4" t="s">
        <v>552</v>
      </c>
      <c r="I121" s="4"/>
      <c r="J121" s="4"/>
      <c r="K121" s="4">
        <v>4.4000000000000004</v>
      </c>
      <c r="L121" s="19">
        <v>45658</v>
      </c>
      <c r="M121" s="4">
        <v>0</v>
      </c>
      <c r="N121" s="4"/>
      <c r="O121" s="4" t="s">
        <v>305</v>
      </c>
      <c r="P121" s="4">
        <v>1</v>
      </c>
      <c r="Q121" s="6" t="s">
        <v>348</v>
      </c>
    </row>
    <row r="122" spans="1:17" x14ac:dyDescent="0.25">
      <c r="A122" s="5">
        <v>102</v>
      </c>
      <c r="B122" s="4" t="s">
        <v>61</v>
      </c>
      <c r="C122" s="4" t="s">
        <v>564</v>
      </c>
      <c r="D122" s="4" t="s">
        <v>315</v>
      </c>
      <c r="E122" s="4" t="s">
        <v>322</v>
      </c>
      <c r="F122" s="4">
        <v>3</v>
      </c>
      <c r="G122" s="4" t="s">
        <v>317</v>
      </c>
      <c r="H122" s="4" t="s">
        <v>546</v>
      </c>
      <c r="I122" s="4"/>
      <c r="J122" s="4"/>
      <c r="K122" s="4">
        <v>2.2400000000000002</v>
      </c>
      <c r="L122" s="19">
        <v>45658</v>
      </c>
      <c r="M122" s="4">
        <v>0</v>
      </c>
      <c r="N122" s="4"/>
      <c r="O122" s="4" t="s">
        <v>305</v>
      </c>
      <c r="P122" s="4">
        <v>1</v>
      </c>
      <c r="Q122" s="6" t="s">
        <v>348</v>
      </c>
    </row>
    <row r="123" spans="1:17" x14ac:dyDescent="0.25">
      <c r="A123" s="5">
        <v>103</v>
      </c>
      <c r="B123" s="4" t="s">
        <v>64</v>
      </c>
      <c r="C123" s="4" t="s">
        <v>566</v>
      </c>
      <c r="D123" s="4" t="s">
        <v>315</v>
      </c>
      <c r="E123" s="4" t="s">
        <v>322</v>
      </c>
      <c r="F123" s="4">
        <v>1</v>
      </c>
      <c r="G123" s="4" t="s">
        <v>311</v>
      </c>
      <c r="H123" s="4" t="s">
        <v>567</v>
      </c>
      <c r="I123" s="4"/>
      <c r="J123" s="4"/>
      <c r="K123" s="4">
        <v>800</v>
      </c>
      <c r="L123" s="19">
        <v>45658</v>
      </c>
      <c r="M123" s="4">
        <v>0</v>
      </c>
      <c r="N123" s="4"/>
      <c r="O123" s="4" t="s">
        <v>305</v>
      </c>
      <c r="P123" s="4">
        <v>1</v>
      </c>
      <c r="Q123" s="6" t="s">
        <v>351</v>
      </c>
    </row>
    <row r="124" spans="1:17" x14ac:dyDescent="0.25">
      <c r="A124" s="5">
        <v>104</v>
      </c>
      <c r="B124" s="4" t="s">
        <v>64</v>
      </c>
      <c r="C124" s="4" t="s">
        <v>566</v>
      </c>
      <c r="D124" s="4" t="s">
        <v>315</v>
      </c>
      <c r="E124" s="4" t="s">
        <v>322</v>
      </c>
      <c r="F124" s="4">
        <v>2</v>
      </c>
      <c r="G124" s="4" t="s">
        <v>317</v>
      </c>
      <c r="H124" s="4" t="s">
        <v>552</v>
      </c>
      <c r="I124" s="4"/>
      <c r="J124" s="4"/>
      <c r="K124" s="4">
        <v>4.4000000000000004</v>
      </c>
      <c r="L124" s="19">
        <v>45658</v>
      </c>
      <c r="M124" s="4">
        <v>0</v>
      </c>
      <c r="N124" s="4"/>
      <c r="O124" s="4" t="s">
        <v>305</v>
      </c>
      <c r="P124" s="4">
        <v>1</v>
      </c>
      <c r="Q124" s="6" t="s">
        <v>547</v>
      </c>
    </row>
    <row r="125" spans="1:17" x14ac:dyDescent="0.25">
      <c r="A125" s="5">
        <v>220</v>
      </c>
      <c r="B125" s="4" t="s">
        <v>64</v>
      </c>
      <c r="C125" s="4" t="s">
        <v>566</v>
      </c>
      <c r="D125" s="4" t="s">
        <v>315</v>
      </c>
      <c r="E125" s="4" t="s">
        <v>322</v>
      </c>
      <c r="F125" s="4">
        <v>3</v>
      </c>
      <c r="G125" s="4" t="s">
        <v>317</v>
      </c>
      <c r="H125" s="4" t="s">
        <v>568</v>
      </c>
      <c r="I125" s="4"/>
      <c r="J125" s="4"/>
      <c r="K125" s="4">
        <v>7.5</v>
      </c>
      <c r="L125" s="19">
        <v>45658</v>
      </c>
      <c r="M125" s="4">
        <v>0</v>
      </c>
      <c r="N125" s="4"/>
      <c r="O125" s="4" t="s">
        <v>305</v>
      </c>
      <c r="P125" s="4">
        <v>1</v>
      </c>
      <c r="Q125" s="6" t="s">
        <v>549</v>
      </c>
    </row>
    <row r="126" spans="1:17" x14ac:dyDescent="0.25">
      <c r="A126" s="5">
        <v>105</v>
      </c>
      <c r="B126" s="4" t="s">
        <v>67</v>
      </c>
      <c r="C126" s="4" t="s">
        <v>569</v>
      </c>
      <c r="D126" s="4" t="s">
        <v>315</v>
      </c>
      <c r="E126" s="4" t="s">
        <v>322</v>
      </c>
      <c r="F126" s="4">
        <v>1</v>
      </c>
      <c r="G126" s="4" t="s">
        <v>311</v>
      </c>
      <c r="H126" s="4" t="s">
        <v>569</v>
      </c>
      <c r="I126" s="4"/>
      <c r="J126" s="4"/>
      <c r="K126" s="4">
        <v>1040</v>
      </c>
      <c r="L126" s="19">
        <v>45658</v>
      </c>
      <c r="M126" s="4">
        <v>0</v>
      </c>
      <c r="N126" s="4"/>
      <c r="O126" s="4" t="s">
        <v>305</v>
      </c>
      <c r="P126" s="4">
        <v>1</v>
      </c>
      <c r="Q126" s="6" t="s">
        <v>351</v>
      </c>
    </row>
    <row r="127" spans="1:17" x14ac:dyDescent="0.25">
      <c r="A127" s="5">
        <v>106</v>
      </c>
      <c r="B127" s="4" t="s">
        <v>67</v>
      </c>
      <c r="C127" s="4" t="s">
        <v>569</v>
      </c>
      <c r="D127" s="4" t="s">
        <v>315</v>
      </c>
      <c r="E127" s="4" t="s">
        <v>322</v>
      </c>
      <c r="F127" s="4">
        <v>2</v>
      </c>
      <c r="G127" s="4" t="s">
        <v>317</v>
      </c>
      <c r="H127" s="4" t="s">
        <v>552</v>
      </c>
      <c r="I127" s="4"/>
      <c r="J127" s="4"/>
      <c r="K127" s="4">
        <v>4.4000000000000004</v>
      </c>
      <c r="L127" s="19">
        <v>45658</v>
      </c>
      <c r="M127" s="4">
        <v>0</v>
      </c>
      <c r="N127" s="4"/>
      <c r="O127" s="4" t="s">
        <v>305</v>
      </c>
      <c r="P127" s="4">
        <v>1</v>
      </c>
      <c r="Q127" s="6" t="s">
        <v>547</v>
      </c>
    </row>
    <row r="128" spans="1:17" x14ac:dyDescent="0.25">
      <c r="A128" s="5">
        <v>221</v>
      </c>
      <c r="B128" s="4" t="s">
        <v>67</v>
      </c>
      <c r="C128" s="4" t="s">
        <v>569</v>
      </c>
      <c r="D128" s="4" t="s">
        <v>315</v>
      </c>
      <c r="E128" s="4" t="s">
        <v>322</v>
      </c>
      <c r="F128" s="4">
        <v>3</v>
      </c>
      <c r="G128" s="4" t="s">
        <v>317</v>
      </c>
      <c r="H128" s="4" t="s">
        <v>568</v>
      </c>
      <c r="I128" s="4"/>
      <c r="J128" s="4"/>
      <c r="K128" s="4">
        <v>7.5</v>
      </c>
      <c r="L128" s="19">
        <v>45658</v>
      </c>
      <c r="M128" s="4">
        <v>0</v>
      </c>
      <c r="N128" s="4"/>
      <c r="O128" s="4" t="s">
        <v>305</v>
      </c>
      <c r="P128" s="4">
        <v>1</v>
      </c>
      <c r="Q128" s="6" t="s">
        <v>549</v>
      </c>
    </row>
    <row r="129" spans="1:17" x14ac:dyDescent="0.25">
      <c r="A129" s="5">
        <v>260</v>
      </c>
      <c r="B129" s="4" t="s">
        <v>570</v>
      </c>
      <c r="C129" s="4" t="s">
        <v>571</v>
      </c>
      <c r="D129" s="4" t="s">
        <v>315</v>
      </c>
      <c r="E129" s="4" t="s">
        <v>322</v>
      </c>
      <c r="F129" s="4">
        <v>1</v>
      </c>
      <c r="G129" s="4" t="s">
        <v>311</v>
      </c>
      <c r="H129" s="4" t="s">
        <v>569</v>
      </c>
      <c r="I129" s="4"/>
      <c r="J129" s="4"/>
      <c r="K129" s="4"/>
      <c r="L129" s="19"/>
      <c r="M129" s="4">
        <v>0</v>
      </c>
      <c r="N129" s="4"/>
      <c r="O129" s="4" t="s">
        <v>305</v>
      </c>
      <c r="P129" s="4">
        <v>1</v>
      </c>
      <c r="Q129" s="6" t="s">
        <v>351</v>
      </c>
    </row>
    <row r="130" spans="1:17" x14ac:dyDescent="0.25">
      <c r="A130" s="5">
        <v>175</v>
      </c>
      <c r="B130" s="4" t="s">
        <v>572</v>
      </c>
      <c r="C130" s="4" t="s">
        <v>573</v>
      </c>
      <c r="D130" s="4" t="s">
        <v>315</v>
      </c>
      <c r="E130" s="4" t="s">
        <v>322</v>
      </c>
      <c r="F130" s="4">
        <v>1</v>
      </c>
      <c r="G130" s="4" t="s">
        <v>317</v>
      </c>
      <c r="H130" s="4" t="s">
        <v>573</v>
      </c>
      <c r="I130" s="4"/>
      <c r="J130" s="4"/>
      <c r="K130" s="4">
        <v>200</v>
      </c>
      <c r="L130" s="19">
        <v>45200</v>
      </c>
      <c r="M130" s="4">
        <v>0</v>
      </c>
      <c r="N130" s="4"/>
      <c r="O130" s="4" t="s">
        <v>305</v>
      </c>
      <c r="P130" s="4">
        <v>1</v>
      </c>
      <c r="Q130" s="6" t="s">
        <v>319</v>
      </c>
    </row>
    <row r="131" spans="1:17" x14ac:dyDescent="0.25">
      <c r="A131" s="5">
        <v>176</v>
      </c>
      <c r="B131" s="4" t="s">
        <v>574</v>
      </c>
      <c r="C131" s="4" t="s">
        <v>575</v>
      </c>
      <c r="D131" s="4" t="s">
        <v>315</v>
      </c>
      <c r="E131" s="4" t="s">
        <v>322</v>
      </c>
      <c r="F131" s="4">
        <v>1</v>
      </c>
      <c r="G131" s="4" t="s">
        <v>317</v>
      </c>
      <c r="H131" s="4" t="s">
        <v>575</v>
      </c>
      <c r="I131" s="4"/>
      <c r="J131" s="4"/>
      <c r="K131" s="4">
        <v>320</v>
      </c>
      <c r="L131" s="19">
        <v>45200</v>
      </c>
      <c r="M131" s="4">
        <v>0</v>
      </c>
      <c r="N131" s="4"/>
      <c r="O131" s="4" t="s">
        <v>305</v>
      </c>
      <c r="P131" s="4">
        <v>1</v>
      </c>
      <c r="Q131" s="6" t="s">
        <v>319</v>
      </c>
    </row>
    <row r="132" spans="1:17" x14ac:dyDescent="0.25">
      <c r="A132" s="5">
        <v>177</v>
      </c>
      <c r="B132" s="4" t="s">
        <v>576</v>
      </c>
      <c r="C132" s="4" t="s">
        <v>140</v>
      </c>
      <c r="D132" s="4" t="s">
        <v>315</v>
      </c>
      <c r="E132" s="4" t="s">
        <v>322</v>
      </c>
      <c r="F132" s="4">
        <v>1</v>
      </c>
      <c r="G132" s="4" t="s">
        <v>317</v>
      </c>
      <c r="H132" s="4" t="s">
        <v>140</v>
      </c>
      <c r="I132" s="4"/>
      <c r="J132" s="4"/>
      <c r="K132" s="4">
        <v>480</v>
      </c>
      <c r="L132" s="19">
        <v>45200</v>
      </c>
      <c r="M132" s="4">
        <v>0</v>
      </c>
      <c r="N132" s="4"/>
      <c r="O132" s="4" t="s">
        <v>305</v>
      </c>
      <c r="P132" s="4">
        <v>1</v>
      </c>
      <c r="Q132" s="6" t="s">
        <v>319</v>
      </c>
    </row>
    <row r="133" spans="1:17" x14ac:dyDescent="0.25">
      <c r="A133" s="5">
        <v>52</v>
      </c>
      <c r="B133" s="4" t="s">
        <v>577</v>
      </c>
      <c r="C133" s="4" t="s">
        <v>578</v>
      </c>
      <c r="D133" s="4" t="s">
        <v>315</v>
      </c>
      <c r="E133" s="4" t="s">
        <v>316</v>
      </c>
      <c r="F133" s="4">
        <v>1</v>
      </c>
      <c r="G133" s="4" t="s">
        <v>317</v>
      </c>
      <c r="H133" s="4" t="s">
        <v>579</v>
      </c>
      <c r="I133" s="4"/>
      <c r="J133" s="4"/>
      <c r="K133" s="4">
        <v>480</v>
      </c>
      <c r="L133" s="19">
        <v>43922</v>
      </c>
      <c r="M133" s="4">
        <v>0</v>
      </c>
      <c r="N133" s="4"/>
      <c r="O133" s="4" t="s">
        <v>305</v>
      </c>
      <c r="P133" s="4">
        <v>1</v>
      </c>
      <c r="Q133" s="6" t="s">
        <v>319</v>
      </c>
    </row>
    <row r="134" spans="1:17" x14ac:dyDescent="0.25">
      <c r="A134" s="5">
        <v>179</v>
      </c>
      <c r="B134" s="4" t="s">
        <v>580</v>
      </c>
      <c r="C134" s="4" t="s">
        <v>581</v>
      </c>
      <c r="D134" s="4" t="s">
        <v>315</v>
      </c>
      <c r="E134" s="4" t="s">
        <v>322</v>
      </c>
      <c r="F134" s="4">
        <v>1</v>
      </c>
      <c r="G134" s="4" t="s">
        <v>317</v>
      </c>
      <c r="H134" s="4" t="s">
        <v>581</v>
      </c>
      <c r="I134" s="4"/>
      <c r="J134" s="4"/>
      <c r="K134" s="4">
        <v>360</v>
      </c>
      <c r="L134" s="19">
        <v>45200</v>
      </c>
      <c r="M134" s="4">
        <v>0</v>
      </c>
      <c r="N134" s="4"/>
      <c r="O134" s="4" t="s">
        <v>305</v>
      </c>
      <c r="P134" s="4">
        <v>1</v>
      </c>
      <c r="Q134" s="6" t="s">
        <v>319</v>
      </c>
    </row>
    <row r="135" spans="1:17" x14ac:dyDescent="0.25">
      <c r="A135" s="5">
        <v>205</v>
      </c>
      <c r="B135" s="4" t="s">
        <v>582</v>
      </c>
      <c r="C135" s="4" t="s">
        <v>583</v>
      </c>
      <c r="D135" s="4" t="s">
        <v>315</v>
      </c>
      <c r="E135" s="4" t="s">
        <v>380</v>
      </c>
      <c r="F135" s="4">
        <v>1</v>
      </c>
      <c r="G135" s="4" t="s">
        <v>317</v>
      </c>
      <c r="H135" s="4" t="s">
        <v>584</v>
      </c>
      <c r="I135" s="4"/>
      <c r="J135" s="4"/>
      <c r="K135" s="4">
        <v>258.39999999999998</v>
      </c>
      <c r="L135" s="19">
        <v>44927</v>
      </c>
      <c r="M135" s="4">
        <v>0</v>
      </c>
      <c r="N135" s="4"/>
      <c r="O135" s="4" t="s">
        <v>305</v>
      </c>
      <c r="P135" s="4">
        <v>1</v>
      </c>
      <c r="Q135" s="6" t="s">
        <v>382</v>
      </c>
    </row>
    <row r="136" spans="1:17" x14ac:dyDescent="0.25">
      <c r="A136" s="5">
        <v>280</v>
      </c>
      <c r="B136" s="4" t="s">
        <v>585</v>
      </c>
      <c r="C136" s="4" t="s">
        <v>586</v>
      </c>
      <c r="D136" s="4" t="s">
        <v>315</v>
      </c>
      <c r="E136" s="4" t="s">
        <v>587</v>
      </c>
      <c r="F136" s="4">
        <v>1</v>
      </c>
      <c r="G136" s="4" t="s">
        <v>311</v>
      </c>
      <c r="H136" s="4" t="s">
        <v>588</v>
      </c>
      <c r="I136" s="4"/>
      <c r="J136" s="4"/>
      <c r="K136" s="4">
        <v>0</v>
      </c>
      <c r="L136" s="19">
        <v>45292</v>
      </c>
      <c r="M136" s="4">
        <v>0</v>
      </c>
      <c r="N136" s="4"/>
      <c r="O136" s="4" t="s">
        <v>305</v>
      </c>
      <c r="P136" s="4">
        <v>1</v>
      </c>
      <c r="Q136" s="6" t="s">
        <v>348</v>
      </c>
    </row>
    <row r="137" spans="1:17" x14ac:dyDescent="0.25">
      <c r="A137" s="5">
        <v>272</v>
      </c>
      <c r="B137" s="4" t="s">
        <v>589</v>
      </c>
      <c r="C137" s="4" t="s">
        <v>588</v>
      </c>
      <c r="D137" s="4" t="s">
        <v>315</v>
      </c>
      <c r="E137" s="4" t="s">
        <v>587</v>
      </c>
      <c r="F137" s="4">
        <v>1</v>
      </c>
      <c r="G137" s="4" t="s">
        <v>317</v>
      </c>
      <c r="H137" s="4" t="s">
        <v>588</v>
      </c>
      <c r="I137" s="4"/>
      <c r="J137" s="4"/>
      <c r="K137" s="4">
        <v>0</v>
      </c>
      <c r="L137" s="19">
        <v>45292</v>
      </c>
      <c r="M137" s="4">
        <v>0</v>
      </c>
      <c r="N137" s="4"/>
      <c r="O137" s="4" t="s">
        <v>305</v>
      </c>
      <c r="P137" s="4">
        <v>1</v>
      </c>
      <c r="Q137" s="6" t="s">
        <v>319</v>
      </c>
    </row>
    <row r="138" spans="1:17" x14ac:dyDescent="0.25">
      <c r="A138" s="5">
        <v>281</v>
      </c>
      <c r="B138" s="4" t="s">
        <v>590</v>
      </c>
      <c r="C138" s="4" t="s">
        <v>591</v>
      </c>
      <c r="D138" s="4" t="s">
        <v>315</v>
      </c>
      <c r="E138" s="4" t="s">
        <v>587</v>
      </c>
      <c r="F138" s="4">
        <v>1</v>
      </c>
      <c r="G138" s="4" t="s">
        <v>311</v>
      </c>
      <c r="H138" s="4" t="s">
        <v>592</v>
      </c>
      <c r="I138" s="4"/>
      <c r="J138" s="4"/>
      <c r="K138" s="4">
        <v>0</v>
      </c>
      <c r="L138" s="19">
        <v>45292</v>
      </c>
      <c r="M138" s="4">
        <v>0</v>
      </c>
      <c r="N138" s="4"/>
      <c r="O138" s="4" t="s">
        <v>305</v>
      </c>
      <c r="P138" s="4">
        <v>1</v>
      </c>
      <c r="Q138" s="6" t="s">
        <v>348</v>
      </c>
    </row>
    <row r="139" spans="1:17" x14ac:dyDescent="0.25">
      <c r="A139" s="5">
        <v>273</v>
      </c>
      <c r="B139" s="4" t="s">
        <v>593</v>
      </c>
      <c r="C139" s="4" t="s">
        <v>592</v>
      </c>
      <c r="D139" s="4" t="s">
        <v>315</v>
      </c>
      <c r="E139" s="4" t="s">
        <v>587</v>
      </c>
      <c r="F139" s="4">
        <v>1</v>
      </c>
      <c r="G139" s="4" t="s">
        <v>317</v>
      </c>
      <c r="H139" s="4" t="s">
        <v>594</v>
      </c>
      <c r="I139" s="4"/>
      <c r="J139" s="4"/>
      <c r="K139" s="4">
        <v>0</v>
      </c>
      <c r="L139" s="19">
        <v>45292</v>
      </c>
      <c r="M139" s="4">
        <v>0</v>
      </c>
      <c r="N139" s="4"/>
      <c r="O139" s="4" t="s">
        <v>305</v>
      </c>
      <c r="P139" s="4">
        <v>1</v>
      </c>
      <c r="Q139" s="6" t="s">
        <v>319</v>
      </c>
    </row>
    <row r="140" spans="1:17" x14ac:dyDescent="0.25">
      <c r="A140" s="5">
        <v>279</v>
      </c>
      <c r="B140" s="4" t="s">
        <v>595</v>
      </c>
      <c r="C140" s="4" t="s">
        <v>596</v>
      </c>
      <c r="D140" s="4" t="s">
        <v>315</v>
      </c>
      <c r="E140" s="4" t="s">
        <v>587</v>
      </c>
      <c r="F140" s="4">
        <v>1</v>
      </c>
      <c r="G140" s="4" t="s">
        <v>311</v>
      </c>
      <c r="H140" s="4" t="s">
        <v>597</v>
      </c>
      <c r="I140" s="4"/>
      <c r="J140" s="4"/>
      <c r="K140" s="4">
        <v>0</v>
      </c>
      <c r="L140" s="19">
        <v>45292</v>
      </c>
      <c r="M140" s="4">
        <v>0</v>
      </c>
      <c r="N140" s="4"/>
      <c r="O140" s="4" t="s">
        <v>305</v>
      </c>
      <c r="P140" s="4">
        <v>1</v>
      </c>
      <c r="Q140" s="6" t="s">
        <v>348</v>
      </c>
    </row>
    <row r="141" spans="1:17" x14ac:dyDescent="0.25">
      <c r="A141" s="5">
        <v>271</v>
      </c>
      <c r="B141" s="4" t="s">
        <v>598</v>
      </c>
      <c r="C141" s="4" t="s">
        <v>599</v>
      </c>
      <c r="D141" s="4" t="s">
        <v>315</v>
      </c>
      <c r="E141" s="4" t="s">
        <v>587</v>
      </c>
      <c r="F141" s="4">
        <v>1</v>
      </c>
      <c r="G141" s="4" t="s">
        <v>317</v>
      </c>
      <c r="H141" s="4" t="s">
        <v>599</v>
      </c>
      <c r="I141" s="4"/>
      <c r="J141" s="4"/>
      <c r="K141" s="4">
        <v>0</v>
      </c>
      <c r="L141" s="19">
        <v>45292</v>
      </c>
      <c r="M141" s="4">
        <v>0</v>
      </c>
      <c r="N141" s="4"/>
      <c r="O141" s="4" t="s">
        <v>305</v>
      </c>
      <c r="P141" s="4">
        <v>1</v>
      </c>
      <c r="Q141" s="6" t="s">
        <v>319</v>
      </c>
    </row>
    <row r="142" spans="1:17" x14ac:dyDescent="0.25">
      <c r="A142" s="5">
        <v>282</v>
      </c>
      <c r="B142" s="4" t="s">
        <v>600</v>
      </c>
      <c r="C142" s="4" t="s">
        <v>601</v>
      </c>
      <c r="D142" s="4" t="s">
        <v>315</v>
      </c>
      <c r="E142" s="4" t="s">
        <v>587</v>
      </c>
      <c r="F142" s="4">
        <v>1</v>
      </c>
      <c r="G142" s="4" t="s">
        <v>311</v>
      </c>
      <c r="H142" s="4" t="s">
        <v>602</v>
      </c>
      <c r="I142" s="4"/>
      <c r="J142" s="4"/>
      <c r="K142" s="4">
        <v>0</v>
      </c>
      <c r="L142" s="19">
        <v>45292</v>
      </c>
      <c r="M142" s="4">
        <v>0</v>
      </c>
      <c r="N142" s="4"/>
      <c r="O142" s="4" t="s">
        <v>305</v>
      </c>
      <c r="P142" s="4">
        <v>1</v>
      </c>
      <c r="Q142" s="6" t="s">
        <v>348</v>
      </c>
    </row>
    <row r="143" spans="1:17" x14ac:dyDescent="0.25">
      <c r="A143" s="5">
        <v>274</v>
      </c>
      <c r="B143" s="4" t="s">
        <v>603</v>
      </c>
      <c r="C143" s="4" t="s">
        <v>602</v>
      </c>
      <c r="D143" s="4" t="s">
        <v>315</v>
      </c>
      <c r="E143" s="4" t="s">
        <v>587</v>
      </c>
      <c r="F143" s="4">
        <v>1</v>
      </c>
      <c r="G143" s="4" t="s">
        <v>317</v>
      </c>
      <c r="H143" s="4" t="s">
        <v>602</v>
      </c>
      <c r="I143" s="4"/>
      <c r="J143" s="4"/>
      <c r="K143" s="4">
        <v>0</v>
      </c>
      <c r="L143" s="19">
        <v>45292</v>
      </c>
      <c r="M143" s="4">
        <v>0</v>
      </c>
      <c r="N143" s="4"/>
      <c r="O143" s="4" t="s">
        <v>305</v>
      </c>
      <c r="P143" s="4">
        <v>1</v>
      </c>
      <c r="Q143" s="6" t="s">
        <v>319</v>
      </c>
    </row>
    <row r="144" spans="1:17" x14ac:dyDescent="0.25">
      <c r="A144" s="5">
        <v>283</v>
      </c>
      <c r="B144" s="4" t="s">
        <v>604</v>
      </c>
      <c r="C144" s="4" t="s">
        <v>605</v>
      </c>
      <c r="D144" s="4" t="s">
        <v>315</v>
      </c>
      <c r="E144" s="4" t="s">
        <v>587</v>
      </c>
      <c r="F144" s="4">
        <v>1</v>
      </c>
      <c r="G144" s="4" t="s">
        <v>311</v>
      </c>
      <c r="H144" s="4" t="s">
        <v>606</v>
      </c>
      <c r="I144" s="4"/>
      <c r="J144" s="4"/>
      <c r="K144" s="4">
        <v>0</v>
      </c>
      <c r="L144" s="19">
        <v>45292</v>
      </c>
      <c r="M144" s="4">
        <v>0</v>
      </c>
      <c r="N144" s="4"/>
      <c r="O144" s="4" t="s">
        <v>305</v>
      </c>
      <c r="P144" s="4">
        <v>1</v>
      </c>
      <c r="Q144" s="6" t="s">
        <v>348</v>
      </c>
    </row>
    <row r="145" spans="1:17" x14ac:dyDescent="0.25">
      <c r="A145" s="5">
        <v>275</v>
      </c>
      <c r="B145" s="4" t="s">
        <v>607</v>
      </c>
      <c r="C145" s="4" t="s">
        <v>606</v>
      </c>
      <c r="D145" s="4" t="s">
        <v>315</v>
      </c>
      <c r="E145" s="4" t="s">
        <v>587</v>
      </c>
      <c r="F145" s="4">
        <v>1</v>
      </c>
      <c r="G145" s="4" t="s">
        <v>317</v>
      </c>
      <c r="H145" s="4" t="s">
        <v>606</v>
      </c>
      <c r="I145" s="4"/>
      <c r="J145" s="4"/>
      <c r="K145" s="4">
        <v>0</v>
      </c>
      <c r="L145" s="19">
        <v>45292</v>
      </c>
      <c r="M145" s="4">
        <v>0</v>
      </c>
      <c r="N145" s="4"/>
      <c r="O145" s="4" t="s">
        <v>305</v>
      </c>
      <c r="P145" s="4">
        <v>1</v>
      </c>
      <c r="Q145" s="6" t="s">
        <v>319</v>
      </c>
    </row>
    <row r="146" spans="1:17" x14ac:dyDescent="0.25">
      <c r="A146" s="5">
        <v>270</v>
      </c>
      <c r="B146" s="4" t="s">
        <v>608</v>
      </c>
      <c r="C146" s="4" t="s">
        <v>599</v>
      </c>
      <c r="D146" s="4" t="s">
        <v>315</v>
      </c>
      <c r="E146" s="4" t="s">
        <v>587</v>
      </c>
      <c r="F146" s="4">
        <v>1</v>
      </c>
      <c r="G146" s="4" t="s">
        <v>317</v>
      </c>
      <c r="H146" s="4" t="s">
        <v>599</v>
      </c>
      <c r="I146" s="4"/>
      <c r="J146" s="4"/>
      <c r="K146" s="4">
        <v>0</v>
      </c>
      <c r="L146" s="19">
        <v>45292</v>
      </c>
      <c r="M146" s="4">
        <v>0</v>
      </c>
      <c r="N146" s="4"/>
      <c r="O146" s="4" t="s">
        <v>305</v>
      </c>
      <c r="P146" s="4">
        <v>1</v>
      </c>
      <c r="Q146" s="6" t="s">
        <v>319</v>
      </c>
    </row>
    <row r="147" spans="1:17" x14ac:dyDescent="0.25">
      <c r="A147" s="5">
        <v>286</v>
      </c>
      <c r="B147" s="4" t="s">
        <v>609</v>
      </c>
      <c r="C147" s="4" t="s">
        <v>610</v>
      </c>
      <c r="D147" s="4" t="s">
        <v>315</v>
      </c>
      <c r="E147" s="4" t="s">
        <v>587</v>
      </c>
      <c r="F147" s="4">
        <v>1</v>
      </c>
      <c r="G147" s="4" t="s">
        <v>311</v>
      </c>
      <c r="H147" s="4" t="s">
        <v>611</v>
      </c>
      <c r="I147" s="4"/>
      <c r="J147" s="4"/>
      <c r="K147" s="4">
        <v>0</v>
      </c>
      <c r="L147" s="19">
        <v>45292</v>
      </c>
      <c r="M147" s="4">
        <v>0</v>
      </c>
      <c r="N147" s="4"/>
      <c r="O147" s="4" t="s">
        <v>305</v>
      </c>
      <c r="P147" s="4">
        <v>1</v>
      </c>
      <c r="Q147" s="6" t="s">
        <v>348</v>
      </c>
    </row>
    <row r="148" spans="1:17" x14ac:dyDescent="0.25">
      <c r="A148" s="5">
        <v>278</v>
      </c>
      <c r="B148" s="4" t="s">
        <v>612</v>
      </c>
      <c r="C148" s="4" t="s">
        <v>611</v>
      </c>
      <c r="D148" s="4" t="s">
        <v>315</v>
      </c>
      <c r="E148" s="4" t="s">
        <v>587</v>
      </c>
      <c r="F148" s="4">
        <v>1</v>
      </c>
      <c r="G148" s="4" t="s">
        <v>317</v>
      </c>
      <c r="H148" s="4" t="s">
        <v>611</v>
      </c>
      <c r="I148" s="4"/>
      <c r="J148" s="4"/>
      <c r="K148" s="4">
        <v>0</v>
      </c>
      <c r="L148" s="19">
        <v>45292</v>
      </c>
      <c r="M148" s="4">
        <v>0</v>
      </c>
      <c r="N148" s="4"/>
      <c r="O148" s="4" t="s">
        <v>305</v>
      </c>
      <c r="P148" s="4">
        <v>1</v>
      </c>
      <c r="Q148" s="6" t="s">
        <v>319</v>
      </c>
    </row>
    <row r="149" spans="1:17" x14ac:dyDescent="0.25">
      <c r="A149" s="5">
        <v>284</v>
      </c>
      <c r="B149" s="4" t="s">
        <v>613</v>
      </c>
      <c r="C149" s="4" t="s">
        <v>614</v>
      </c>
      <c r="D149" s="4" t="s">
        <v>315</v>
      </c>
      <c r="E149" s="4" t="s">
        <v>587</v>
      </c>
      <c r="F149" s="4">
        <v>1</v>
      </c>
      <c r="G149" s="4" t="s">
        <v>311</v>
      </c>
      <c r="H149" s="4" t="s">
        <v>615</v>
      </c>
      <c r="I149" s="4"/>
      <c r="J149" s="4"/>
      <c r="K149" s="4">
        <v>0</v>
      </c>
      <c r="L149" s="19">
        <v>45292</v>
      </c>
      <c r="M149" s="4">
        <v>0</v>
      </c>
      <c r="N149" s="4"/>
      <c r="O149" s="4" t="s">
        <v>305</v>
      </c>
      <c r="P149" s="4">
        <v>1</v>
      </c>
      <c r="Q149" s="6" t="s">
        <v>348</v>
      </c>
    </row>
    <row r="150" spans="1:17" x14ac:dyDescent="0.25">
      <c r="A150" s="5">
        <v>276</v>
      </c>
      <c r="B150" s="4" t="s">
        <v>616</v>
      </c>
      <c r="C150" s="4" t="s">
        <v>615</v>
      </c>
      <c r="D150" s="4" t="s">
        <v>315</v>
      </c>
      <c r="E150" s="4" t="s">
        <v>587</v>
      </c>
      <c r="F150" s="4">
        <v>1</v>
      </c>
      <c r="G150" s="4" t="s">
        <v>317</v>
      </c>
      <c r="H150" s="4" t="s">
        <v>615</v>
      </c>
      <c r="I150" s="4"/>
      <c r="J150" s="4"/>
      <c r="K150" s="4">
        <v>0</v>
      </c>
      <c r="L150" s="19">
        <v>45292</v>
      </c>
      <c r="M150" s="4">
        <v>0</v>
      </c>
      <c r="N150" s="4"/>
      <c r="O150" s="4" t="s">
        <v>305</v>
      </c>
      <c r="P150" s="4">
        <v>1</v>
      </c>
      <c r="Q150" s="6" t="s">
        <v>319</v>
      </c>
    </row>
    <row r="151" spans="1:17" x14ac:dyDescent="0.25">
      <c r="A151" s="5">
        <v>285</v>
      </c>
      <c r="B151" s="4" t="s">
        <v>617</v>
      </c>
      <c r="C151" s="4" t="s">
        <v>618</v>
      </c>
      <c r="D151" s="4" t="s">
        <v>315</v>
      </c>
      <c r="E151" s="4" t="s">
        <v>587</v>
      </c>
      <c r="F151" s="4">
        <v>1</v>
      </c>
      <c r="G151" s="4" t="s">
        <v>311</v>
      </c>
      <c r="H151" s="4" t="s">
        <v>619</v>
      </c>
      <c r="I151" s="4"/>
      <c r="J151" s="4"/>
      <c r="K151" s="4">
        <v>0</v>
      </c>
      <c r="L151" s="19">
        <v>45292</v>
      </c>
      <c r="M151" s="4">
        <v>0</v>
      </c>
      <c r="N151" s="4"/>
      <c r="O151" s="4" t="s">
        <v>305</v>
      </c>
      <c r="P151" s="4">
        <v>1</v>
      </c>
      <c r="Q151" s="6" t="s">
        <v>348</v>
      </c>
    </row>
    <row r="152" spans="1:17" x14ac:dyDescent="0.25">
      <c r="A152" s="5">
        <v>277</v>
      </c>
      <c r="B152" s="4" t="s">
        <v>620</v>
      </c>
      <c r="C152" s="4" t="s">
        <v>619</v>
      </c>
      <c r="D152" s="4" t="s">
        <v>315</v>
      </c>
      <c r="E152" s="4" t="s">
        <v>587</v>
      </c>
      <c r="F152" s="4">
        <v>1</v>
      </c>
      <c r="G152" s="4" t="s">
        <v>317</v>
      </c>
      <c r="H152" s="4" t="s">
        <v>619</v>
      </c>
      <c r="I152" s="4"/>
      <c r="J152" s="4"/>
      <c r="K152" s="4">
        <v>0</v>
      </c>
      <c r="L152" s="19">
        <v>45292</v>
      </c>
      <c r="M152" s="4">
        <v>0</v>
      </c>
      <c r="N152" s="4"/>
      <c r="O152" s="4" t="s">
        <v>305</v>
      </c>
      <c r="P152" s="4">
        <v>1</v>
      </c>
      <c r="Q152" s="6" t="s">
        <v>319</v>
      </c>
    </row>
    <row r="153" spans="1:17" x14ac:dyDescent="0.25">
      <c r="A153" s="5">
        <v>203</v>
      </c>
      <c r="B153" s="4" t="s">
        <v>621</v>
      </c>
      <c r="C153" s="4" t="s">
        <v>622</v>
      </c>
      <c r="D153" s="4" t="s">
        <v>315</v>
      </c>
      <c r="E153" s="4" t="s">
        <v>380</v>
      </c>
      <c r="F153" s="4">
        <v>1</v>
      </c>
      <c r="G153" s="4" t="s">
        <v>317</v>
      </c>
      <c r="H153" s="4" t="s">
        <v>623</v>
      </c>
      <c r="I153" s="4"/>
      <c r="J153" s="4"/>
      <c r="K153" s="4">
        <v>160</v>
      </c>
      <c r="L153" s="19">
        <v>44927</v>
      </c>
      <c r="M153" s="4">
        <v>0</v>
      </c>
      <c r="N153" s="4"/>
      <c r="O153" s="4" t="s">
        <v>305</v>
      </c>
      <c r="P153" s="4">
        <v>1</v>
      </c>
      <c r="Q153" s="6" t="s">
        <v>382</v>
      </c>
    </row>
    <row r="154" spans="1:17" x14ac:dyDescent="0.25">
      <c r="A154" s="5">
        <v>173</v>
      </c>
      <c r="B154" s="4" t="s">
        <v>624</v>
      </c>
      <c r="C154" s="4" t="s">
        <v>625</v>
      </c>
      <c r="D154" s="4" t="s">
        <v>315</v>
      </c>
      <c r="E154" s="4" t="s">
        <v>399</v>
      </c>
      <c r="F154" s="4">
        <v>1</v>
      </c>
      <c r="G154" s="4" t="s">
        <v>317</v>
      </c>
      <c r="H154" s="4" t="s">
        <v>625</v>
      </c>
      <c r="I154" s="4"/>
      <c r="J154" s="4"/>
      <c r="K154" s="4">
        <v>0</v>
      </c>
      <c r="L154" s="19">
        <v>45200</v>
      </c>
      <c r="M154" s="4">
        <v>0</v>
      </c>
      <c r="N154" s="4"/>
      <c r="O154" s="4" t="s">
        <v>305</v>
      </c>
      <c r="P154" s="4">
        <v>1</v>
      </c>
      <c r="Q154" s="6" t="s">
        <v>371</v>
      </c>
    </row>
    <row r="155" spans="1:17" x14ac:dyDescent="0.25">
      <c r="A155" s="5">
        <v>53</v>
      </c>
      <c r="B155" s="4" t="s">
        <v>626</v>
      </c>
      <c r="C155" s="4" t="s">
        <v>627</v>
      </c>
      <c r="D155" s="4" t="s">
        <v>315</v>
      </c>
      <c r="E155" s="4" t="s">
        <v>322</v>
      </c>
      <c r="F155" s="4">
        <v>1</v>
      </c>
      <c r="G155" s="4" t="s">
        <v>303</v>
      </c>
      <c r="H155" s="4" t="s">
        <v>628</v>
      </c>
      <c r="I155" s="4"/>
      <c r="J155" s="4"/>
      <c r="K155" s="4">
        <v>4500</v>
      </c>
      <c r="L155" s="19">
        <v>45658</v>
      </c>
      <c r="M155" s="4">
        <v>0</v>
      </c>
      <c r="N155" s="4"/>
      <c r="O155" s="4" t="s">
        <v>305</v>
      </c>
      <c r="P155" s="4">
        <v>1</v>
      </c>
      <c r="Q155" s="6"/>
    </row>
    <row r="156" spans="1:17" x14ac:dyDescent="0.25">
      <c r="A156" s="5">
        <v>54</v>
      </c>
      <c r="B156" s="4" t="s">
        <v>629</v>
      </c>
      <c r="C156" s="4" t="s">
        <v>630</v>
      </c>
      <c r="D156" s="4" t="s">
        <v>315</v>
      </c>
      <c r="E156" s="4" t="s">
        <v>322</v>
      </c>
      <c r="F156" s="4">
        <v>1</v>
      </c>
      <c r="G156" s="4" t="s">
        <v>303</v>
      </c>
      <c r="H156" s="4" t="s">
        <v>631</v>
      </c>
      <c r="I156" s="4"/>
      <c r="J156" s="4"/>
      <c r="K156" s="4">
        <v>9000</v>
      </c>
      <c r="L156" s="19">
        <v>45658</v>
      </c>
      <c r="M156" s="4">
        <v>0</v>
      </c>
      <c r="N156" s="4"/>
      <c r="O156" s="4" t="s">
        <v>305</v>
      </c>
      <c r="P156" s="4">
        <v>1</v>
      </c>
      <c r="Q156" s="6"/>
    </row>
    <row r="157" spans="1:17" x14ac:dyDescent="0.25">
      <c r="A157" s="5">
        <v>124</v>
      </c>
      <c r="B157" s="4" t="s">
        <v>632</v>
      </c>
      <c r="C157" s="4" t="s">
        <v>633</v>
      </c>
      <c r="D157" s="4" t="s">
        <v>315</v>
      </c>
      <c r="E157" s="4" t="s">
        <v>316</v>
      </c>
      <c r="F157" s="4">
        <v>1</v>
      </c>
      <c r="G157" s="4" t="s">
        <v>311</v>
      </c>
      <c r="H157" s="4" t="s">
        <v>633</v>
      </c>
      <c r="I157" s="4"/>
      <c r="J157" s="4"/>
      <c r="K157" s="4">
        <v>0</v>
      </c>
      <c r="L157" s="19">
        <v>44927</v>
      </c>
      <c r="M157" s="4">
        <v>0</v>
      </c>
      <c r="N157" s="4"/>
      <c r="O157" s="4" t="s">
        <v>305</v>
      </c>
      <c r="P157" s="4">
        <v>1</v>
      </c>
      <c r="Q157" s="6" t="s">
        <v>351</v>
      </c>
    </row>
    <row r="158" spans="1:17" x14ac:dyDescent="0.25">
      <c r="A158" s="5">
        <v>139</v>
      </c>
      <c r="B158" s="4" t="s">
        <v>634</v>
      </c>
      <c r="C158" s="4" t="s">
        <v>635</v>
      </c>
      <c r="D158" s="4" t="s">
        <v>315</v>
      </c>
      <c r="E158" s="4" t="s">
        <v>316</v>
      </c>
      <c r="F158" s="4">
        <v>1</v>
      </c>
      <c r="G158" s="4" t="s">
        <v>311</v>
      </c>
      <c r="H158" s="4" t="s">
        <v>635</v>
      </c>
      <c r="I158" s="4"/>
      <c r="J158" s="4"/>
      <c r="K158" s="4">
        <v>0</v>
      </c>
      <c r="L158" s="19">
        <v>44927</v>
      </c>
      <c r="M158" s="4">
        <v>0</v>
      </c>
      <c r="N158" s="4"/>
      <c r="O158" s="4" t="s">
        <v>305</v>
      </c>
      <c r="P158" s="4">
        <v>1</v>
      </c>
      <c r="Q158" s="6" t="s">
        <v>351</v>
      </c>
    </row>
    <row r="159" spans="1:17" x14ac:dyDescent="0.25">
      <c r="A159" s="5">
        <v>125</v>
      </c>
      <c r="B159" s="4" t="s">
        <v>636</v>
      </c>
      <c r="C159" s="4" t="s">
        <v>637</v>
      </c>
      <c r="D159" s="4" t="s">
        <v>315</v>
      </c>
      <c r="E159" s="4" t="s">
        <v>316</v>
      </c>
      <c r="F159" s="4">
        <v>1</v>
      </c>
      <c r="G159" s="4" t="s">
        <v>311</v>
      </c>
      <c r="H159" s="4" t="s">
        <v>637</v>
      </c>
      <c r="I159" s="4"/>
      <c r="J159" s="4"/>
      <c r="K159" s="4">
        <v>0</v>
      </c>
      <c r="L159" s="19">
        <v>44927</v>
      </c>
      <c r="M159" s="4">
        <v>0</v>
      </c>
      <c r="N159" s="4"/>
      <c r="O159" s="4" t="s">
        <v>305</v>
      </c>
      <c r="P159" s="4">
        <v>1</v>
      </c>
      <c r="Q159" s="6" t="s">
        <v>351</v>
      </c>
    </row>
    <row r="160" spans="1:17" x14ac:dyDescent="0.25">
      <c r="A160" s="5">
        <v>140</v>
      </c>
      <c r="B160" s="4" t="s">
        <v>638</v>
      </c>
      <c r="C160" s="4" t="s">
        <v>639</v>
      </c>
      <c r="D160" s="4" t="s">
        <v>315</v>
      </c>
      <c r="E160" s="4" t="s">
        <v>316</v>
      </c>
      <c r="F160" s="4">
        <v>1</v>
      </c>
      <c r="G160" s="4" t="s">
        <v>311</v>
      </c>
      <c r="H160" s="4" t="s">
        <v>639</v>
      </c>
      <c r="I160" s="4"/>
      <c r="J160" s="4"/>
      <c r="K160" s="4">
        <v>0</v>
      </c>
      <c r="L160" s="19">
        <v>44927</v>
      </c>
      <c r="M160" s="4">
        <v>0</v>
      </c>
      <c r="N160" s="4"/>
      <c r="O160" s="4" t="s">
        <v>305</v>
      </c>
      <c r="P160" s="4">
        <v>1</v>
      </c>
      <c r="Q160" s="6" t="s">
        <v>351</v>
      </c>
    </row>
    <row r="161" spans="1:17" x14ac:dyDescent="0.25">
      <c r="A161" s="5">
        <v>126</v>
      </c>
      <c r="B161" s="4" t="s">
        <v>640</v>
      </c>
      <c r="C161" s="4" t="s">
        <v>641</v>
      </c>
      <c r="D161" s="4" t="s">
        <v>315</v>
      </c>
      <c r="E161" s="4" t="s">
        <v>316</v>
      </c>
      <c r="F161" s="4">
        <v>1</v>
      </c>
      <c r="G161" s="4" t="s">
        <v>311</v>
      </c>
      <c r="H161" s="4" t="s">
        <v>641</v>
      </c>
      <c r="I161" s="4"/>
      <c r="J161" s="4"/>
      <c r="K161" s="4">
        <v>0</v>
      </c>
      <c r="L161" s="19">
        <v>44927</v>
      </c>
      <c r="M161" s="4">
        <v>0</v>
      </c>
      <c r="N161" s="4"/>
      <c r="O161" s="4" t="s">
        <v>305</v>
      </c>
      <c r="P161" s="4">
        <v>1</v>
      </c>
      <c r="Q161" s="6" t="s">
        <v>351</v>
      </c>
    </row>
    <row r="162" spans="1:17" x14ac:dyDescent="0.25">
      <c r="A162" s="5">
        <v>141</v>
      </c>
      <c r="B162" s="4" t="s">
        <v>642</v>
      </c>
      <c r="C162" s="4" t="s">
        <v>643</v>
      </c>
      <c r="D162" s="4" t="s">
        <v>315</v>
      </c>
      <c r="E162" s="4" t="s">
        <v>316</v>
      </c>
      <c r="F162" s="4">
        <v>1</v>
      </c>
      <c r="G162" s="4" t="s">
        <v>311</v>
      </c>
      <c r="H162" s="4" t="s">
        <v>643</v>
      </c>
      <c r="I162" s="4"/>
      <c r="J162" s="4"/>
      <c r="K162" s="4">
        <v>0</v>
      </c>
      <c r="L162" s="19">
        <v>44927</v>
      </c>
      <c r="M162" s="4">
        <v>0</v>
      </c>
      <c r="N162" s="4"/>
      <c r="O162" s="4" t="s">
        <v>305</v>
      </c>
      <c r="P162" s="4">
        <v>1</v>
      </c>
      <c r="Q162" s="6" t="s">
        <v>351</v>
      </c>
    </row>
    <row r="163" spans="1:17" x14ac:dyDescent="0.25">
      <c r="A163" s="5">
        <v>261</v>
      </c>
      <c r="B163" s="4" t="s">
        <v>644</v>
      </c>
      <c r="C163" s="4" t="s">
        <v>645</v>
      </c>
      <c r="D163" s="4" t="s">
        <v>315</v>
      </c>
      <c r="E163" s="4" t="s">
        <v>322</v>
      </c>
      <c r="F163" s="4">
        <v>1</v>
      </c>
      <c r="G163" s="4" t="s">
        <v>311</v>
      </c>
      <c r="H163" s="4" t="s">
        <v>563</v>
      </c>
      <c r="I163" s="4"/>
      <c r="J163" s="4"/>
      <c r="K163" s="4"/>
      <c r="L163" s="19"/>
      <c r="M163" s="4">
        <v>0</v>
      </c>
      <c r="N163" s="4"/>
      <c r="O163" s="4" t="s">
        <v>305</v>
      </c>
      <c r="P163" s="4">
        <v>1</v>
      </c>
      <c r="Q163" s="6" t="s">
        <v>348</v>
      </c>
    </row>
    <row r="164" spans="1:17" x14ac:dyDescent="0.25">
      <c r="A164" s="5">
        <v>265</v>
      </c>
      <c r="B164" s="4" t="s">
        <v>646</v>
      </c>
      <c r="C164" s="4" t="s">
        <v>647</v>
      </c>
      <c r="D164" s="4" t="s">
        <v>315</v>
      </c>
      <c r="E164" s="4" t="s">
        <v>322</v>
      </c>
      <c r="F164" s="4">
        <v>1</v>
      </c>
      <c r="G164" s="4" t="s">
        <v>311</v>
      </c>
      <c r="H164" s="4" t="s">
        <v>647</v>
      </c>
      <c r="I164" s="4"/>
      <c r="J164" s="4"/>
      <c r="K164" s="4"/>
      <c r="L164" s="19"/>
      <c r="M164" s="4">
        <v>0</v>
      </c>
      <c r="N164" s="4"/>
      <c r="O164" s="4" t="s">
        <v>305</v>
      </c>
      <c r="P164" s="4">
        <v>1</v>
      </c>
      <c r="Q164" s="6" t="s">
        <v>351</v>
      </c>
    </row>
    <row r="165" spans="1:17" x14ac:dyDescent="0.25">
      <c r="A165" s="5">
        <v>55</v>
      </c>
      <c r="B165" s="4" t="s">
        <v>648</v>
      </c>
      <c r="C165" s="4" t="s">
        <v>649</v>
      </c>
      <c r="D165" s="4" t="s">
        <v>301</v>
      </c>
      <c r="E165" s="4" t="s">
        <v>301</v>
      </c>
      <c r="F165" s="4">
        <v>1</v>
      </c>
      <c r="G165" s="4" t="s">
        <v>303</v>
      </c>
      <c r="H165" s="4" t="s">
        <v>650</v>
      </c>
      <c r="I165" s="4"/>
      <c r="J165" s="4"/>
      <c r="K165" s="4">
        <v>2200</v>
      </c>
      <c r="L165" s="19">
        <v>44378</v>
      </c>
      <c r="M165" s="4">
        <v>0</v>
      </c>
      <c r="N165" s="4"/>
      <c r="O165" s="4" t="s">
        <v>305</v>
      </c>
      <c r="P165" s="4">
        <v>1</v>
      </c>
      <c r="Q165" s="6"/>
    </row>
    <row r="166" spans="1:17" x14ac:dyDescent="0.25">
      <c r="A166" s="5">
        <v>183</v>
      </c>
      <c r="B166" s="4" t="s">
        <v>651</v>
      </c>
      <c r="C166" s="4" t="s">
        <v>652</v>
      </c>
      <c r="D166" s="4" t="s">
        <v>315</v>
      </c>
      <c r="E166" s="4" t="s">
        <v>399</v>
      </c>
      <c r="F166" s="4">
        <v>1</v>
      </c>
      <c r="G166" s="4" t="s">
        <v>317</v>
      </c>
      <c r="H166" s="4" t="s">
        <v>652</v>
      </c>
      <c r="I166" s="4"/>
      <c r="J166" s="4"/>
      <c r="K166" s="4">
        <v>1710</v>
      </c>
      <c r="L166" s="19">
        <v>45200</v>
      </c>
      <c r="M166" s="4">
        <v>0</v>
      </c>
      <c r="N166" s="4"/>
      <c r="O166" s="4" t="s">
        <v>305</v>
      </c>
      <c r="P166" s="4">
        <v>1</v>
      </c>
      <c r="Q166" s="6" t="s">
        <v>319</v>
      </c>
    </row>
    <row r="167" spans="1:17" x14ac:dyDescent="0.25">
      <c r="A167" s="5">
        <v>243</v>
      </c>
      <c r="B167" s="4" t="s">
        <v>653</v>
      </c>
      <c r="C167" s="4" t="s">
        <v>654</v>
      </c>
      <c r="D167" s="4" t="s">
        <v>315</v>
      </c>
      <c r="E167" s="4" t="s">
        <v>380</v>
      </c>
      <c r="F167" s="4">
        <v>1</v>
      </c>
      <c r="G167" s="4" t="s">
        <v>317</v>
      </c>
      <c r="H167" s="4" t="s">
        <v>654</v>
      </c>
      <c r="I167" s="4"/>
      <c r="J167" s="4"/>
      <c r="K167" s="4">
        <v>0</v>
      </c>
      <c r="L167" s="19">
        <v>45292</v>
      </c>
      <c r="M167" s="4">
        <v>0</v>
      </c>
      <c r="N167" s="4"/>
      <c r="O167" s="4" t="s">
        <v>305</v>
      </c>
      <c r="P167" s="4">
        <v>1</v>
      </c>
      <c r="Q167" s="6" t="s">
        <v>348</v>
      </c>
    </row>
    <row r="168" spans="1:17" x14ac:dyDescent="0.25">
      <c r="A168" s="5">
        <v>56</v>
      </c>
      <c r="B168" s="4" t="s">
        <v>655</v>
      </c>
      <c r="C168" s="4" t="s">
        <v>656</v>
      </c>
      <c r="D168" s="4" t="s">
        <v>301</v>
      </c>
      <c r="E168" s="4" t="s">
        <v>657</v>
      </c>
      <c r="F168" s="4">
        <v>1</v>
      </c>
      <c r="G168" s="4" t="s">
        <v>303</v>
      </c>
      <c r="H168" s="4" t="s">
        <v>658</v>
      </c>
      <c r="I168" s="4"/>
      <c r="J168" s="4"/>
      <c r="K168" s="4">
        <v>2288</v>
      </c>
      <c r="L168" s="19">
        <v>45658</v>
      </c>
      <c r="M168" s="4">
        <v>0</v>
      </c>
      <c r="N168" s="4"/>
      <c r="O168" s="4" t="s">
        <v>305</v>
      </c>
      <c r="P168" s="4">
        <v>1</v>
      </c>
      <c r="Q168" s="6"/>
    </row>
    <row r="169" spans="1:17" x14ac:dyDescent="0.25">
      <c r="A169" s="5">
        <v>57</v>
      </c>
      <c r="B169" s="4" t="s">
        <v>659</v>
      </c>
      <c r="C169" s="4" t="s">
        <v>660</v>
      </c>
      <c r="D169" s="4" t="s">
        <v>301</v>
      </c>
      <c r="E169" s="4" t="s">
        <v>301</v>
      </c>
      <c r="F169" s="4">
        <v>1</v>
      </c>
      <c r="G169" s="4" t="s">
        <v>303</v>
      </c>
      <c r="H169" s="4" t="s">
        <v>661</v>
      </c>
      <c r="I169" s="4"/>
      <c r="J169" s="4"/>
      <c r="K169" s="4">
        <v>4293</v>
      </c>
      <c r="L169" s="19">
        <v>45658</v>
      </c>
      <c r="M169" s="4">
        <v>0</v>
      </c>
      <c r="N169" s="4"/>
      <c r="O169" s="4" t="s">
        <v>305</v>
      </c>
      <c r="P169" s="4">
        <v>1</v>
      </c>
      <c r="Q169" s="6"/>
    </row>
    <row r="170" spans="1:17" x14ac:dyDescent="0.25">
      <c r="A170" s="5">
        <v>201</v>
      </c>
      <c r="B170" s="4" t="s">
        <v>662</v>
      </c>
      <c r="C170" s="4" t="s">
        <v>663</v>
      </c>
      <c r="D170" s="4" t="s">
        <v>315</v>
      </c>
      <c r="E170" s="4" t="s">
        <v>380</v>
      </c>
      <c r="F170" s="4">
        <v>1</v>
      </c>
      <c r="G170" s="4" t="s">
        <v>317</v>
      </c>
      <c r="H170" s="4" t="s">
        <v>664</v>
      </c>
      <c r="I170" s="4"/>
      <c r="J170" s="4"/>
      <c r="K170" s="4">
        <v>233.6</v>
      </c>
      <c r="L170" s="19">
        <v>44927</v>
      </c>
      <c r="M170" s="4">
        <v>0</v>
      </c>
      <c r="N170" s="4"/>
      <c r="O170" s="4" t="s">
        <v>305</v>
      </c>
      <c r="P170" s="4">
        <v>1</v>
      </c>
      <c r="Q170" s="6" t="s">
        <v>382</v>
      </c>
    </row>
    <row r="171" spans="1:17" x14ac:dyDescent="0.25">
      <c r="A171" s="5">
        <v>202</v>
      </c>
      <c r="B171" s="4" t="s">
        <v>665</v>
      </c>
      <c r="C171" s="4" t="s">
        <v>666</v>
      </c>
      <c r="D171" s="4" t="s">
        <v>315</v>
      </c>
      <c r="E171" s="4" t="s">
        <v>380</v>
      </c>
      <c r="F171" s="4">
        <v>1</v>
      </c>
      <c r="G171" s="4" t="s">
        <v>317</v>
      </c>
      <c r="H171" s="4" t="s">
        <v>667</v>
      </c>
      <c r="I171" s="4"/>
      <c r="J171" s="4"/>
      <c r="K171" s="4">
        <v>152</v>
      </c>
      <c r="L171" s="19">
        <v>44927</v>
      </c>
      <c r="M171" s="4">
        <v>0</v>
      </c>
      <c r="N171" s="4"/>
      <c r="O171" s="4" t="s">
        <v>305</v>
      </c>
      <c r="P171" s="4">
        <v>1</v>
      </c>
      <c r="Q171" s="6" t="s">
        <v>382</v>
      </c>
    </row>
    <row r="172" spans="1:17" x14ac:dyDescent="0.25">
      <c r="A172" s="5">
        <v>6</v>
      </c>
      <c r="B172" s="4" t="s">
        <v>668</v>
      </c>
      <c r="C172" s="4" t="s">
        <v>669</v>
      </c>
      <c r="D172" s="4" t="s">
        <v>301</v>
      </c>
      <c r="E172" s="4"/>
      <c r="F172" s="4">
        <v>1</v>
      </c>
      <c r="G172" s="4" t="s">
        <v>317</v>
      </c>
      <c r="H172" s="4" t="s">
        <v>669</v>
      </c>
      <c r="I172" s="4"/>
      <c r="J172" s="4"/>
      <c r="K172" s="4">
        <v>50</v>
      </c>
      <c r="L172" s="19">
        <v>32874</v>
      </c>
      <c r="M172" s="4">
        <v>0</v>
      </c>
      <c r="N172" s="4"/>
      <c r="O172" s="4" t="s">
        <v>305</v>
      </c>
      <c r="P172" s="4">
        <v>0</v>
      </c>
      <c r="Q172" s="6"/>
    </row>
    <row r="173" spans="1:17" x14ac:dyDescent="0.25">
      <c r="A173" s="5">
        <v>58</v>
      </c>
      <c r="B173" s="4" t="s">
        <v>670</v>
      </c>
      <c r="C173" s="4" t="s">
        <v>671</v>
      </c>
      <c r="D173" s="4" t="s">
        <v>315</v>
      </c>
      <c r="E173" s="4" t="s">
        <v>322</v>
      </c>
      <c r="F173" s="4">
        <v>1</v>
      </c>
      <c r="G173" s="4" t="s">
        <v>317</v>
      </c>
      <c r="H173" s="4" t="s">
        <v>672</v>
      </c>
      <c r="I173" s="4"/>
      <c r="J173" s="4"/>
      <c r="K173" s="4">
        <v>400</v>
      </c>
      <c r="L173" s="19">
        <v>44378</v>
      </c>
      <c r="M173" s="4">
        <v>0</v>
      </c>
      <c r="N173" s="4"/>
      <c r="O173" s="4" t="s">
        <v>305</v>
      </c>
      <c r="P173" s="4">
        <v>1</v>
      </c>
      <c r="Q173" s="6" t="s">
        <v>319</v>
      </c>
    </row>
    <row r="174" spans="1:17" x14ac:dyDescent="0.25">
      <c r="A174" s="5">
        <v>4</v>
      </c>
      <c r="B174" s="4" t="s">
        <v>673</v>
      </c>
      <c r="C174" s="4" t="s">
        <v>674</v>
      </c>
      <c r="D174" s="4" t="s">
        <v>301</v>
      </c>
      <c r="E174" s="4"/>
      <c r="F174" s="4">
        <v>1</v>
      </c>
      <c r="G174" s="4" t="s">
        <v>317</v>
      </c>
      <c r="H174" s="4" t="s">
        <v>674</v>
      </c>
      <c r="I174" s="4"/>
      <c r="J174" s="4"/>
      <c r="K174" s="4">
        <v>0</v>
      </c>
      <c r="L174" s="19">
        <v>32874</v>
      </c>
      <c r="M174" s="4">
        <v>0</v>
      </c>
      <c r="N174" s="4"/>
      <c r="O174" s="4" t="s">
        <v>305</v>
      </c>
      <c r="P174" s="4">
        <v>0</v>
      </c>
      <c r="Q174" s="6"/>
    </row>
    <row r="175" spans="1:17" x14ac:dyDescent="0.25">
      <c r="A175" s="5">
        <v>10</v>
      </c>
      <c r="B175" s="4" t="s">
        <v>675</v>
      </c>
      <c r="C175" s="4" t="s">
        <v>676</v>
      </c>
      <c r="D175" s="4" t="s">
        <v>315</v>
      </c>
      <c r="E175" s="4"/>
      <c r="F175" s="4">
        <v>1</v>
      </c>
      <c r="G175" s="4" t="s">
        <v>317</v>
      </c>
      <c r="H175" s="4" t="s">
        <v>676</v>
      </c>
      <c r="I175" s="4"/>
      <c r="J175" s="4"/>
      <c r="K175" s="4">
        <v>0</v>
      </c>
      <c r="L175" s="19">
        <v>32874</v>
      </c>
      <c r="M175" s="4">
        <v>0</v>
      </c>
      <c r="N175" s="4"/>
      <c r="O175" s="4" t="s">
        <v>305</v>
      </c>
      <c r="P175" s="4">
        <v>1</v>
      </c>
      <c r="Q175" s="6"/>
    </row>
    <row r="176" spans="1:17" x14ac:dyDescent="0.25">
      <c r="A176" s="5">
        <v>59</v>
      </c>
      <c r="B176" s="4" t="s">
        <v>677</v>
      </c>
      <c r="C176" s="4" t="s">
        <v>678</v>
      </c>
      <c r="D176" s="4" t="s">
        <v>315</v>
      </c>
      <c r="E176" s="4" t="s">
        <v>322</v>
      </c>
      <c r="F176" s="4">
        <v>1</v>
      </c>
      <c r="G176" s="4" t="s">
        <v>303</v>
      </c>
      <c r="H176" s="4" t="s">
        <v>679</v>
      </c>
      <c r="I176" s="4"/>
      <c r="J176" s="4"/>
      <c r="K176" s="4">
        <v>472</v>
      </c>
      <c r="L176" s="19">
        <v>43922</v>
      </c>
      <c r="M176" s="4">
        <v>0</v>
      </c>
      <c r="N176" s="4"/>
      <c r="O176" s="4" t="s">
        <v>305</v>
      </c>
      <c r="P176" s="4">
        <v>1</v>
      </c>
      <c r="Q176" s="6"/>
    </row>
    <row r="177" spans="1:17" x14ac:dyDescent="0.25">
      <c r="A177" s="5">
        <v>60</v>
      </c>
      <c r="B177" s="4" t="s">
        <v>677</v>
      </c>
      <c r="C177" s="4" t="s">
        <v>678</v>
      </c>
      <c r="D177" s="4" t="s">
        <v>315</v>
      </c>
      <c r="E177" s="4" t="s">
        <v>322</v>
      </c>
      <c r="F177" s="4">
        <v>2</v>
      </c>
      <c r="G177" s="4" t="s">
        <v>303</v>
      </c>
      <c r="H177" s="4" t="s">
        <v>18</v>
      </c>
      <c r="I177" s="4"/>
      <c r="J177" s="4"/>
      <c r="K177" s="4">
        <v>536</v>
      </c>
      <c r="L177" s="19">
        <v>43922</v>
      </c>
      <c r="M177" s="4">
        <v>0</v>
      </c>
      <c r="N177" s="4"/>
      <c r="O177" s="4" t="s">
        <v>305</v>
      </c>
      <c r="P177" s="4">
        <v>1</v>
      </c>
      <c r="Q177" s="6"/>
    </row>
    <row r="178" spans="1:17" x14ac:dyDescent="0.25">
      <c r="A178" s="5">
        <v>61</v>
      </c>
      <c r="B178" s="4" t="s">
        <v>680</v>
      </c>
      <c r="C178" s="4" t="s">
        <v>681</v>
      </c>
      <c r="D178" s="4" t="s">
        <v>315</v>
      </c>
      <c r="E178" s="4" t="s">
        <v>322</v>
      </c>
      <c r="F178" s="4">
        <v>1</v>
      </c>
      <c r="G178" s="4" t="s">
        <v>303</v>
      </c>
      <c r="H178" s="4" t="s">
        <v>679</v>
      </c>
      <c r="I178" s="4"/>
      <c r="J178" s="4"/>
      <c r="K178" s="4">
        <v>920</v>
      </c>
      <c r="L178" s="19">
        <v>43922</v>
      </c>
      <c r="M178" s="4">
        <v>0</v>
      </c>
      <c r="N178" s="4"/>
      <c r="O178" s="4" t="s">
        <v>305</v>
      </c>
      <c r="P178" s="4">
        <v>1</v>
      </c>
      <c r="Q178" s="6"/>
    </row>
    <row r="179" spans="1:17" x14ac:dyDescent="0.25">
      <c r="A179" s="5">
        <v>62</v>
      </c>
      <c r="B179" s="4" t="s">
        <v>680</v>
      </c>
      <c r="C179" s="4" t="s">
        <v>681</v>
      </c>
      <c r="D179" s="4" t="s">
        <v>315</v>
      </c>
      <c r="E179" s="4" t="s">
        <v>322</v>
      </c>
      <c r="F179" s="4">
        <v>2</v>
      </c>
      <c r="G179" s="4" t="s">
        <v>303</v>
      </c>
      <c r="H179" s="4" t="s">
        <v>18</v>
      </c>
      <c r="I179" s="4"/>
      <c r="J179" s="4"/>
      <c r="K179" s="4">
        <v>864</v>
      </c>
      <c r="L179" s="19">
        <v>43922</v>
      </c>
      <c r="M179" s="4">
        <v>0</v>
      </c>
      <c r="N179" s="4"/>
      <c r="O179" s="4" t="s">
        <v>305</v>
      </c>
      <c r="P179" s="4">
        <v>1</v>
      </c>
      <c r="Q179" s="6"/>
    </row>
    <row r="180" spans="1:17" x14ac:dyDescent="0.25">
      <c r="A180" s="5">
        <v>63</v>
      </c>
      <c r="B180" s="4" t="s">
        <v>682</v>
      </c>
      <c r="C180" s="4" t="s">
        <v>683</v>
      </c>
      <c r="D180" s="4" t="s">
        <v>315</v>
      </c>
      <c r="E180" s="4" t="s">
        <v>322</v>
      </c>
      <c r="F180" s="4">
        <v>1</v>
      </c>
      <c r="G180" s="4" t="s">
        <v>303</v>
      </c>
      <c r="H180" s="4" t="s">
        <v>679</v>
      </c>
      <c r="I180" s="4"/>
      <c r="J180" s="4"/>
      <c r="K180" s="4">
        <v>364</v>
      </c>
      <c r="L180" s="19">
        <v>39814</v>
      </c>
      <c r="M180" s="4">
        <v>0</v>
      </c>
      <c r="N180" s="4"/>
      <c r="O180" s="4" t="s">
        <v>305</v>
      </c>
      <c r="P180" s="4">
        <v>1</v>
      </c>
      <c r="Q180" s="6"/>
    </row>
    <row r="181" spans="1:17" x14ac:dyDescent="0.25">
      <c r="A181" s="5">
        <v>64</v>
      </c>
      <c r="B181" s="4" t="s">
        <v>682</v>
      </c>
      <c r="C181" s="4" t="s">
        <v>683</v>
      </c>
      <c r="D181" s="4" t="s">
        <v>315</v>
      </c>
      <c r="E181" s="4" t="s">
        <v>322</v>
      </c>
      <c r="F181" s="4">
        <v>2</v>
      </c>
      <c r="G181" s="4" t="s">
        <v>303</v>
      </c>
      <c r="H181" s="4" t="s">
        <v>18</v>
      </c>
      <c r="I181" s="4"/>
      <c r="J181" s="4"/>
      <c r="K181" s="4">
        <v>332</v>
      </c>
      <c r="L181" s="19">
        <v>39814</v>
      </c>
      <c r="M181" s="4">
        <v>0</v>
      </c>
      <c r="N181" s="4"/>
      <c r="O181" s="4" t="s">
        <v>305</v>
      </c>
      <c r="P181" s="4">
        <v>1</v>
      </c>
      <c r="Q181" s="6"/>
    </row>
    <row r="182" spans="1:17" x14ac:dyDescent="0.25">
      <c r="A182" s="5">
        <v>65</v>
      </c>
      <c r="B182" s="4" t="s">
        <v>684</v>
      </c>
      <c r="C182" s="4" t="s">
        <v>685</v>
      </c>
      <c r="D182" s="4" t="s">
        <v>315</v>
      </c>
      <c r="E182" s="4" t="s">
        <v>322</v>
      </c>
      <c r="F182" s="4">
        <v>1</v>
      </c>
      <c r="G182" s="4" t="s">
        <v>303</v>
      </c>
      <c r="H182" s="4" t="s">
        <v>679</v>
      </c>
      <c r="I182" s="4"/>
      <c r="J182" s="4"/>
      <c r="K182" s="4">
        <v>472</v>
      </c>
      <c r="L182" s="19">
        <v>43922</v>
      </c>
      <c r="M182" s="4">
        <v>0</v>
      </c>
      <c r="N182" s="4"/>
      <c r="O182" s="4" t="s">
        <v>305</v>
      </c>
      <c r="P182" s="4">
        <v>1</v>
      </c>
      <c r="Q182" s="6"/>
    </row>
    <row r="183" spans="1:17" x14ac:dyDescent="0.25">
      <c r="A183" s="5">
        <v>66</v>
      </c>
      <c r="B183" s="4" t="s">
        <v>684</v>
      </c>
      <c r="C183" s="4" t="s">
        <v>685</v>
      </c>
      <c r="D183" s="4" t="s">
        <v>315</v>
      </c>
      <c r="E183" s="4" t="s">
        <v>322</v>
      </c>
      <c r="F183" s="4">
        <v>2</v>
      </c>
      <c r="G183" s="4" t="s">
        <v>303</v>
      </c>
      <c r="H183" s="4" t="s">
        <v>18</v>
      </c>
      <c r="I183" s="4"/>
      <c r="J183" s="4"/>
      <c r="K183" s="4">
        <v>536</v>
      </c>
      <c r="L183" s="19">
        <v>43922</v>
      </c>
      <c r="M183" s="4">
        <v>0</v>
      </c>
      <c r="N183" s="4"/>
      <c r="O183" s="4" t="s">
        <v>305</v>
      </c>
      <c r="P183" s="4">
        <v>1</v>
      </c>
      <c r="Q183" s="6"/>
    </row>
    <row r="184" spans="1:17" x14ac:dyDescent="0.25">
      <c r="A184" s="5">
        <v>130</v>
      </c>
      <c r="B184" s="4" t="s">
        <v>686</v>
      </c>
      <c r="C184" s="4" t="s">
        <v>687</v>
      </c>
      <c r="D184" s="4" t="s">
        <v>315</v>
      </c>
      <c r="E184" s="4" t="s">
        <v>316</v>
      </c>
      <c r="F184" s="4">
        <v>1</v>
      </c>
      <c r="G184" s="4" t="s">
        <v>317</v>
      </c>
      <c r="H184" s="4" t="s">
        <v>688</v>
      </c>
      <c r="I184" s="4"/>
      <c r="J184" s="4"/>
      <c r="K184" s="4">
        <v>640</v>
      </c>
      <c r="L184" s="19">
        <v>44927</v>
      </c>
      <c r="M184" s="4">
        <v>0</v>
      </c>
      <c r="N184" s="4"/>
      <c r="O184" s="4" t="s">
        <v>305</v>
      </c>
      <c r="P184" s="4">
        <v>1</v>
      </c>
      <c r="Q184" s="6" t="s">
        <v>319</v>
      </c>
    </row>
    <row r="185" spans="1:17" x14ac:dyDescent="0.25">
      <c r="A185" s="5">
        <v>67</v>
      </c>
      <c r="B185" s="4" t="s">
        <v>316</v>
      </c>
      <c r="C185" s="4" t="s">
        <v>316</v>
      </c>
      <c r="D185" s="4" t="s">
        <v>315</v>
      </c>
      <c r="E185" s="4" t="s">
        <v>316</v>
      </c>
      <c r="F185" s="4">
        <v>1</v>
      </c>
      <c r="G185" s="4" t="s">
        <v>317</v>
      </c>
      <c r="H185" s="4" t="s">
        <v>689</v>
      </c>
      <c r="I185" s="4"/>
      <c r="J185" s="4"/>
      <c r="K185" s="4">
        <v>1392</v>
      </c>
      <c r="L185" s="19">
        <v>43922</v>
      </c>
      <c r="M185" s="4">
        <v>0</v>
      </c>
      <c r="N185" s="4"/>
      <c r="O185" s="4" t="s">
        <v>305</v>
      </c>
      <c r="P185" s="4">
        <v>1</v>
      </c>
      <c r="Q185" s="6" t="s">
        <v>319</v>
      </c>
    </row>
    <row r="186" spans="1:17" x14ac:dyDescent="0.25">
      <c r="A186" s="5">
        <v>68</v>
      </c>
      <c r="B186" s="4" t="s">
        <v>690</v>
      </c>
      <c r="C186" s="4" t="s">
        <v>691</v>
      </c>
      <c r="D186" s="4" t="s">
        <v>315</v>
      </c>
      <c r="E186" s="4" t="s">
        <v>316</v>
      </c>
      <c r="F186" s="4">
        <v>1</v>
      </c>
      <c r="G186" s="4" t="s">
        <v>317</v>
      </c>
      <c r="H186" s="4" t="s">
        <v>689</v>
      </c>
      <c r="I186" s="4"/>
      <c r="J186" s="4"/>
      <c r="K186" s="4">
        <v>1880</v>
      </c>
      <c r="L186" s="19">
        <v>43922</v>
      </c>
      <c r="M186" s="4">
        <v>0</v>
      </c>
      <c r="N186" s="4"/>
      <c r="O186" s="4" t="s">
        <v>305</v>
      </c>
      <c r="P186" s="4">
        <v>1</v>
      </c>
      <c r="Q186" s="6" t="s">
        <v>319</v>
      </c>
    </row>
    <row r="187" spans="1:17" x14ac:dyDescent="0.25">
      <c r="A187" s="5">
        <v>90</v>
      </c>
      <c r="B187" s="4" t="s">
        <v>692</v>
      </c>
      <c r="C187" s="4" t="s">
        <v>693</v>
      </c>
      <c r="D187" s="4" t="s">
        <v>315</v>
      </c>
      <c r="E187" s="4" t="s">
        <v>316</v>
      </c>
      <c r="F187" s="4">
        <v>1</v>
      </c>
      <c r="G187" s="4" t="s">
        <v>317</v>
      </c>
      <c r="H187" s="4" t="s">
        <v>694</v>
      </c>
      <c r="I187" s="4"/>
      <c r="J187" s="4"/>
      <c r="K187" s="4">
        <v>0</v>
      </c>
      <c r="L187" s="19">
        <v>43466</v>
      </c>
      <c r="M187" s="4">
        <v>0</v>
      </c>
      <c r="N187" s="4"/>
      <c r="O187" s="4" t="s">
        <v>305</v>
      </c>
      <c r="P187" s="4">
        <v>1</v>
      </c>
      <c r="Q187" s="6" t="s">
        <v>351</v>
      </c>
    </row>
    <row r="188" spans="1:17" x14ac:dyDescent="0.25">
      <c r="A188" s="5">
        <v>91</v>
      </c>
      <c r="B188" s="4" t="s">
        <v>692</v>
      </c>
      <c r="C188" s="4" t="s">
        <v>693</v>
      </c>
      <c r="D188" s="4" t="s">
        <v>315</v>
      </c>
      <c r="E188" s="4" t="s">
        <v>316</v>
      </c>
      <c r="F188" s="4">
        <v>2</v>
      </c>
      <c r="G188" s="4" t="s">
        <v>317</v>
      </c>
      <c r="H188" s="4" t="s">
        <v>579</v>
      </c>
      <c r="I188" s="4"/>
      <c r="J188" s="4"/>
      <c r="K188" s="4">
        <v>0</v>
      </c>
      <c r="L188" s="19">
        <v>43466</v>
      </c>
      <c r="M188" s="4">
        <v>0</v>
      </c>
      <c r="N188" s="4"/>
      <c r="O188" s="4" t="s">
        <v>305</v>
      </c>
      <c r="P188" s="4">
        <v>1</v>
      </c>
      <c r="Q188" s="6" t="s">
        <v>695</v>
      </c>
    </row>
    <row r="189" spans="1:17" x14ac:dyDescent="0.25">
      <c r="A189" s="5">
        <v>69</v>
      </c>
      <c r="B189" s="4" t="s">
        <v>696</v>
      </c>
      <c r="C189" s="4" t="s">
        <v>697</v>
      </c>
      <c r="D189" s="4" t="s">
        <v>315</v>
      </c>
      <c r="E189" s="4" t="s">
        <v>316</v>
      </c>
      <c r="F189" s="4">
        <v>1</v>
      </c>
      <c r="G189" s="4" t="s">
        <v>317</v>
      </c>
      <c r="H189" s="4" t="s">
        <v>698</v>
      </c>
      <c r="I189" s="4"/>
      <c r="J189" s="4"/>
      <c r="K189" s="4">
        <v>2400</v>
      </c>
      <c r="L189" s="19">
        <v>43922</v>
      </c>
      <c r="M189" s="4">
        <v>0</v>
      </c>
      <c r="N189" s="4"/>
      <c r="O189" s="4" t="s">
        <v>305</v>
      </c>
      <c r="P189" s="4">
        <v>1</v>
      </c>
      <c r="Q189" s="6" t="s">
        <v>319</v>
      </c>
    </row>
    <row r="190" spans="1:17" x14ac:dyDescent="0.25">
      <c r="A190" s="5">
        <v>92</v>
      </c>
      <c r="B190" s="4" t="s">
        <v>699</v>
      </c>
      <c r="C190" s="4" t="s">
        <v>700</v>
      </c>
      <c r="D190" s="4" t="s">
        <v>315</v>
      </c>
      <c r="E190" s="4" t="s">
        <v>316</v>
      </c>
      <c r="F190" s="4">
        <v>1</v>
      </c>
      <c r="G190" s="4" t="s">
        <v>317</v>
      </c>
      <c r="H190" s="4" t="s">
        <v>701</v>
      </c>
      <c r="I190" s="4"/>
      <c r="J190" s="4"/>
      <c r="K190" s="4">
        <v>0</v>
      </c>
      <c r="L190" s="19">
        <v>43466</v>
      </c>
      <c r="M190" s="4">
        <v>0</v>
      </c>
      <c r="N190" s="4"/>
      <c r="O190" s="4" t="s">
        <v>305</v>
      </c>
      <c r="P190" s="4">
        <v>1</v>
      </c>
      <c r="Q190" s="6" t="s">
        <v>351</v>
      </c>
    </row>
    <row r="191" spans="1:17" x14ac:dyDescent="0.25">
      <c r="A191" s="5">
        <v>93</v>
      </c>
      <c r="B191" s="4" t="s">
        <v>699</v>
      </c>
      <c r="C191" s="4" t="s">
        <v>700</v>
      </c>
      <c r="D191" s="4" t="s">
        <v>315</v>
      </c>
      <c r="E191" s="4" t="s">
        <v>316</v>
      </c>
      <c r="F191" s="4">
        <v>2</v>
      </c>
      <c r="G191" s="4" t="s">
        <v>317</v>
      </c>
      <c r="H191" s="4" t="s">
        <v>579</v>
      </c>
      <c r="I191" s="4"/>
      <c r="J191" s="4"/>
      <c r="K191" s="4">
        <v>0</v>
      </c>
      <c r="L191" s="19">
        <v>43466</v>
      </c>
      <c r="M191" s="4">
        <v>0</v>
      </c>
      <c r="N191" s="4"/>
      <c r="O191" s="4" t="s">
        <v>305</v>
      </c>
      <c r="P191" s="4">
        <v>1</v>
      </c>
      <c r="Q191" s="6" t="s">
        <v>695</v>
      </c>
    </row>
    <row r="192" spans="1:17" x14ac:dyDescent="0.25">
      <c r="A192" s="5">
        <v>88</v>
      </c>
      <c r="B192" s="4" t="s">
        <v>702</v>
      </c>
      <c r="C192" s="4" t="s">
        <v>703</v>
      </c>
      <c r="D192" s="4" t="s">
        <v>315</v>
      </c>
      <c r="E192" s="4" t="s">
        <v>316</v>
      </c>
      <c r="F192" s="4">
        <v>1</v>
      </c>
      <c r="G192" s="4" t="s">
        <v>317</v>
      </c>
      <c r="H192" s="4" t="s">
        <v>704</v>
      </c>
      <c r="I192" s="4"/>
      <c r="J192" s="4"/>
      <c r="K192" s="4">
        <v>0</v>
      </c>
      <c r="L192" s="19">
        <v>43466</v>
      </c>
      <c r="M192" s="4">
        <v>0</v>
      </c>
      <c r="N192" s="4"/>
      <c r="O192" s="4" t="s">
        <v>305</v>
      </c>
      <c r="P192" s="4">
        <v>1</v>
      </c>
      <c r="Q192" s="6" t="s">
        <v>351</v>
      </c>
    </row>
    <row r="193" spans="1:17" x14ac:dyDescent="0.25">
      <c r="A193" s="5">
        <v>89</v>
      </c>
      <c r="B193" s="4" t="s">
        <v>702</v>
      </c>
      <c r="C193" s="4" t="s">
        <v>703</v>
      </c>
      <c r="D193" s="4" t="s">
        <v>315</v>
      </c>
      <c r="E193" s="4" t="s">
        <v>316</v>
      </c>
      <c r="F193" s="4">
        <v>2</v>
      </c>
      <c r="G193" s="4" t="s">
        <v>317</v>
      </c>
      <c r="H193" s="4" t="s">
        <v>579</v>
      </c>
      <c r="I193" s="4"/>
      <c r="J193" s="4"/>
      <c r="K193" s="4">
        <v>0</v>
      </c>
      <c r="L193" s="19">
        <v>43466</v>
      </c>
      <c r="M193" s="4">
        <v>0</v>
      </c>
      <c r="N193" s="4"/>
      <c r="O193" s="4" t="s">
        <v>305</v>
      </c>
      <c r="P193" s="4">
        <v>1</v>
      </c>
      <c r="Q193" s="6" t="s">
        <v>695</v>
      </c>
    </row>
    <row r="194" spans="1:17" x14ac:dyDescent="0.25">
      <c r="A194" s="5">
        <v>86</v>
      </c>
      <c r="B194" s="4" t="s">
        <v>705</v>
      </c>
      <c r="C194" s="4" t="s">
        <v>316</v>
      </c>
      <c r="D194" s="4" t="s">
        <v>315</v>
      </c>
      <c r="E194" s="4" t="s">
        <v>316</v>
      </c>
      <c r="F194" s="4">
        <v>1</v>
      </c>
      <c r="G194" s="4" t="s">
        <v>317</v>
      </c>
      <c r="H194" s="4" t="s">
        <v>689</v>
      </c>
      <c r="I194" s="4"/>
      <c r="J194" s="4"/>
      <c r="K194" s="4">
        <v>0</v>
      </c>
      <c r="L194" s="19">
        <v>41275</v>
      </c>
      <c r="M194" s="4">
        <v>0</v>
      </c>
      <c r="N194" s="4"/>
      <c r="O194" s="4" t="s">
        <v>305</v>
      </c>
      <c r="P194" s="4">
        <v>1</v>
      </c>
      <c r="Q194" s="6" t="s">
        <v>319</v>
      </c>
    </row>
    <row r="195" spans="1:17" x14ac:dyDescent="0.25">
      <c r="A195" s="5">
        <v>87</v>
      </c>
      <c r="B195" s="4" t="s">
        <v>705</v>
      </c>
      <c r="C195" s="4" t="s">
        <v>316</v>
      </c>
      <c r="D195" s="4" t="s">
        <v>315</v>
      </c>
      <c r="E195" s="4" t="s">
        <v>316</v>
      </c>
      <c r="F195" s="4">
        <v>2</v>
      </c>
      <c r="G195" s="4" t="s">
        <v>317</v>
      </c>
      <c r="H195" s="4" t="s">
        <v>706</v>
      </c>
      <c r="I195" s="4"/>
      <c r="J195" s="4"/>
      <c r="K195" s="4">
        <v>0</v>
      </c>
      <c r="L195" s="19">
        <v>41275</v>
      </c>
      <c r="M195" s="4">
        <v>0</v>
      </c>
      <c r="N195" s="4"/>
      <c r="O195" s="4" t="s">
        <v>305</v>
      </c>
      <c r="P195" s="4">
        <v>0</v>
      </c>
      <c r="Q195" s="6" t="s">
        <v>695</v>
      </c>
    </row>
    <row r="196" spans="1:17" x14ac:dyDescent="0.25">
      <c r="A196" s="5">
        <v>210</v>
      </c>
      <c r="B196" s="4" t="s">
        <v>707</v>
      </c>
      <c r="C196" s="4" t="s">
        <v>708</v>
      </c>
      <c r="D196" s="4" t="s">
        <v>315</v>
      </c>
      <c r="E196" s="4" t="s">
        <v>380</v>
      </c>
      <c r="F196" s="4">
        <v>1</v>
      </c>
      <c r="G196" s="4" t="s">
        <v>317</v>
      </c>
      <c r="H196" s="4" t="s">
        <v>709</v>
      </c>
      <c r="I196" s="4"/>
      <c r="J196" s="4"/>
      <c r="K196" s="4">
        <v>280.8</v>
      </c>
      <c r="L196" s="19">
        <v>44927</v>
      </c>
      <c r="M196" s="4">
        <v>0</v>
      </c>
      <c r="N196" s="4"/>
      <c r="O196" s="4" t="s">
        <v>305</v>
      </c>
      <c r="P196" s="4">
        <v>1</v>
      </c>
      <c r="Q196" s="6" t="s">
        <v>382</v>
      </c>
    </row>
    <row r="197" spans="1:17" x14ac:dyDescent="0.25">
      <c r="A197" s="5">
        <v>131</v>
      </c>
      <c r="B197" s="4" t="s">
        <v>710</v>
      </c>
      <c r="C197" s="4" t="s">
        <v>711</v>
      </c>
      <c r="D197" s="4" t="s">
        <v>315</v>
      </c>
      <c r="E197" s="4" t="s">
        <v>316</v>
      </c>
      <c r="F197" s="4">
        <v>1</v>
      </c>
      <c r="G197" s="4" t="s">
        <v>317</v>
      </c>
      <c r="H197" s="4" t="s">
        <v>712</v>
      </c>
      <c r="I197" s="4"/>
      <c r="J197" s="4"/>
      <c r="K197" s="4">
        <v>1200</v>
      </c>
      <c r="L197" s="19">
        <v>44927</v>
      </c>
      <c r="M197" s="4">
        <v>0</v>
      </c>
      <c r="N197" s="4"/>
      <c r="O197" s="4" t="s">
        <v>305</v>
      </c>
      <c r="P197" s="4">
        <v>1</v>
      </c>
      <c r="Q197" s="6" t="s">
        <v>319</v>
      </c>
    </row>
    <row r="198" spans="1:17" x14ac:dyDescent="0.25">
      <c r="A198" s="5">
        <v>132</v>
      </c>
      <c r="B198" s="4" t="s">
        <v>713</v>
      </c>
      <c r="C198" s="4" t="s">
        <v>714</v>
      </c>
      <c r="D198" s="4" t="s">
        <v>315</v>
      </c>
      <c r="E198" s="4" t="s">
        <v>316</v>
      </c>
      <c r="F198" s="4">
        <v>1</v>
      </c>
      <c r="G198" s="4" t="s">
        <v>317</v>
      </c>
      <c r="H198" s="4" t="s">
        <v>715</v>
      </c>
      <c r="I198" s="4"/>
      <c r="J198" s="4"/>
      <c r="K198" s="4">
        <v>640</v>
      </c>
      <c r="L198" s="19">
        <v>44927</v>
      </c>
      <c r="M198" s="4">
        <v>0</v>
      </c>
      <c r="N198" s="4"/>
      <c r="O198" s="4" t="s">
        <v>305</v>
      </c>
      <c r="P198" s="4">
        <v>1</v>
      </c>
      <c r="Q198" s="6" t="s">
        <v>319</v>
      </c>
    </row>
    <row r="199" spans="1:17" x14ac:dyDescent="0.25">
      <c r="A199" s="5">
        <v>133</v>
      </c>
      <c r="B199" s="4" t="s">
        <v>716</v>
      </c>
      <c r="C199" s="4" t="s">
        <v>717</v>
      </c>
      <c r="D199" s="4" t="s">
        <v>315</v>
      </c>
      <c r="E199" s="4" t="s">
        <v>316</v>
      </c>
      <c r="F199" s="4">
        <v>1</v>
      </c>
      <c r="G199" s="4" t="s">
        <v>317</v>
      </c>
      <c r="H199" s="4" t="s">
        <v>718</v>
      </c>
      <c r="I199" s="4"/>
      <c r="J199" s="4"/>
      <c r="K199" s="4">
        <v>640</v>
      </c>
      <c r="L199" s="19">
        <v>44927</v>
      </c>
      <c r="M199" s="4">
        <v>0</v>
      </c>
      <c r="N199" s="4"/>
      <c r="O199" s="4" t="s">
        <v>305</v>
      </c>
      <c r="P199" s="4">
        <v>1</v>
      </c>
      <c r="Q199" s="6" t="s">
        <v>319</v>
      </c>
    </row>
    <row r="200" spans="1:17" x14ac:dyDescent="0.25">
      <c r="A200" s="5">
        <v>191</v>
      </c>
      <c r="B200" s="4" t="s">
        <v>719</v>
      </c>
      <c r="C200" s="4" t="s">
        <v>720</v>
      </c>
      <c r="D200" s="4" t="s">
        <v>315</v>
      </c>
      <c r="E200" s="4" t="s">
        <v>316</v>
      </c>
      <c r="F200" s="4">
        <v>1</v>
      </c>
      <c r="G200" s="4" t="s">
        <v>317</v>
      </c>
      <c r="H200" s="4" t="s">
        <v>720</v>
      </c>
      <c r="I200" s="4"/>
      <c r="J200" s="4"/>
      <c r="K200" s="4">
        <v>250</v>
      </c>
      <c r="L200" s="19">
        <v>45200</v>
      </c>
      <c r="M200" s="4">
        <v>0</v>
      </c>
      <c r="N200" s="4"/>
      <c r="O200" s="4" t="s">
        <v>305</v>
      </c>
      <c r="P200" s="4">
        <v>1</v>
      </c>
      <c r="Q200" s="6" t="s">
        <v>319</v>
      </c>
    </row>
    <row r="201" spans="1:17" x14ac:dyDescent="0.25">
      <c r="A201" s="5">
        <v>134</v>
      </c>
      <c r="B201" s="4" t="s">
        <v>721</v>
      </c>
      <c r="C201" s="4" t="s">
        <v>722</v>
      </c>
      <c r="D201" s="4" t="s">
        <v>315</v>
      </c>
      <c r="E201" s="4" t="s">
        <v>316</v>
      </c>
      <c r="F201" s="4">
        <v>1</v>
      </c>
      <c r="G201" s="4" t="s">
        <v>317</v>
      </c>
      <c r="H201" s="4" t="s">
        <v>722</v>
      </c>
      <c r="I201" s="4"/>
      <c r="J201" s="4"/>
      <c r="K201" s="4">
        <v>492</v>
      </c>
      <c r="L201" s="19">
        <v>45658</v>
      </c>
      <c r="M201" s="4">
        <v>0</v>
      </c>
      <c r="N201" s="4"/>
      <c r="O201" s="4" t="s">
        <v>305</v>
      </c>
      <c r="P201" s="4">
        <v>1</v>
      </c>
      <c r="Q201" s="6" t="s">
        <v>319</v>
      </c>
    </row>
    <row r="202" spans="1:17" x14ac:dyDescent="0.25">
      <c r="A202" s="5">
        <v>295</v>
      </c>
      <c r="B202" s="4" t="s">
        <v>723</v>
      </c>
      <c r="C202" s="4" t="s">
        <v>722</v>
      </c>
      <c r="D202" s="4" t="s">
        <v>315</v>
      </c>
      <c r="E202" s="4" t="s">
        <v>316</v>
      </c>
      <c r="F202" s="4">
        <v>1</v>
      </c>
      <c r="G202" s="4" t="s">
        <v>317</v>
      </c>
      <c r="H202" s="4" t="s">
        <v>722</v>
      </c>
      <c r="I202" s="4"/>
      <c r="J202" s="4"/>
      <c r="K202" s="4">
        <v>0</v>
      </c>
      <c r="L202" s="19">
        <v>45658</v>
      </c>
      <c r="M202" s="4">
        <v>0</v>
      </c>
      <c r="N202" s="4"/>
      <c r="O202" s="4" t="s">
        <v>305</v>
      </c>
      <c r="P202" s="4">
        <v>1</v>
      </c>
      <c r="Q202" s="6" t="s">
        <v>695</v>
      </c>
    </row>
    <row r="203" spans="1:17" x14ac:dyDescent="0.25">
      <c r="A203" s="5">
        <v>121</v>
      </c>
      <c r="B203" s="4" t="s">
        <v>724</v>
      </c>
      <c r="C203" s="4" t="s">
        <v>725</v>
      </c>
      <c r="D203" s="4" t="s">
        <v>315</v>
      </c>
      <c r="E203" s="4" t="s">
        <v>316</v>
      </c>
      <c r="F203" s="4">
        <v>1</v>
      </c>
      <c r="G203" s="4" t="s">
        <v>311</v>
      </c>
      <c r="H203" s="4" t="s">
        <v>726</v>
      </c>
      <c r="I203" s="4"/>
      <c r="J203" s="4"/>
      <c r="K203" s="4">
        <v>0</v>
      </c>
      <c r="L203" s="19">
        <v>44927</v>
      </c>
      <c r="M203" s="4">
        <v>0</v>
      </c>
      <c r="N203" s="4"/>
      <c r="O203" s="4" t="s">
        <v>305</v>
      </c>
      <c r="P203" s="4">
        <v>1</v>
      </c>
      <c r="Q203" s="6" t="s">
        <v>351</v>
      </c>
    </row>
    <row r="204" spans="1:17" x14ac:dyDescent="0.25">
      <c r="A204" s="5">
        <v>138</v>
      </c>
      <c r="B204" s="4" t="s">
        <v>727</v>
      </c>
      <c r="C204" s="4" t="s">
        <v>728</v>
      </c>
      <c r="D204" s="4" t="s">
        <v>315</v>
      </c>
      <c r="E204" s="4" t="s">
        <v>316</v>
      </c>
      <c r="F204" s="4">
        <v>1</v>
      </c>
      <c r="G204" s="4" t="s">
        <v>311</v>
      </c>
      <c r="H204" s="4" t="s">
        <v>729</v>
      </c>
      <c r="I204" s="4"/>
      <c r="J204" s="4"/>
      <c r="K204" s="4">
        <v>0</v>
      </c>
      <c r="L204" s="19">
        <v>44927</v>
      </c>
      <c r="M204" s="4">
        <v>0</v>
      </c>
      <c r="N204" s="4"/>
      <c r="O204" s="4" t="s">
        <v>305</v>
      </c>
      <c r="P204" s="4">
        <v>1</v>
      </c>
      <c r="Q204" s="6" t="s">
        <v>351</v>
      </c>
    </row>
    <row r="205" spans="1:17" x14ac:dyDescent="0.25">
      <c r="A205" s="5">
        <v>122</v>
      </c>
      <c r="B205" s="4" t="s">
        <v>730</v>
      </c>
      <c r="C205" s="4" t="s">
        <v>731</v>
      </c>
      <c r="D205" s="4" t="s">
        <v>315</v>
      </c>
      <c r="E205" s="4" t="s">
        <v>316</v>
      </c>
      <c r="F205" s="4">
        <v>1</v>
      </c>
      <c r="G205" s="4" t="s">
        <v>311</v>
      </c>
      <c r="H205" s="4" t="s">
        <v>732</v>
      </c>
      <c r="I205" s="4"/>
      <c r="J205" s="4"/>
      <c r="K205" s="4">
        <v>0</v>
      </c>
      <c r="L205" s="19">
        <v>44927</v>
      </c>
      <c r="M205" s="4">
        <v>0</v>
      </c>
      <c r="N205" s="4"/>
      <c r="O205" s="4" t="s">
        <v>305</v>
      </c>
      <c r="P205" s="4">
        <v>1</v>
      </c>
      <c r="Q205" s="6" t="s">
        <v>351</v>
      </c>
    </row>
    <row r="206" spans="1:17" x14ac:dyDescent="0.25">
      <c r="A206" s="5">
        <v>137</v>
      </c>
      <c r="B206" s="4" t="s">
        <v>733</v>
      </c>
      <c r="C206" s="4" t="s">
        <v>734</v>
      </c>
      <c r="D206" s="4" t="s">
        <v>315</v>
      </c>
      <c r="E206" s="4" t="s">
        <v>316</v>
      </c>
      <c r="F206" s="4">
        <v>1</v>
      </c>
      <c r="G206" s="4" t="s">
        <v>311</v>
      </c>
      <c r="H206" s="4" t="s">
        <v>735</v>
      </c>
      <c r="I206" s="4"/>
      <c r="J206" s="4"/>
      <c r="K206" s="4">
        <v>0</v>
      </c>
      <c r="L206" s="19">
        <v>44927</v>
      </c>
      <c r="M206" s="4">
        <v>0</v>
      </c>
      <c r="N206" s="4"/>
      <c r="O206" s="4" t="s">
        <v>305</v>
      </c>
      <c r="P206" s="4">
        <v>1</v>
      </c>
      <c r="Q206" s="6" t="s">
        <v>351</v>
      </c>
    </row>
    <row r="207" spans="1:17" x14ac:dyDescent="0.25">
      <c r="A207" s="5">
        <v>135</v>
      </c>
      <c r="B207" s="4" t="s">
        <v>736</v>
      </c>
      <c r="C207" s="4" t="s">
        <v>737</v>
      </c>
      <c r="D207" s="4" t="s">
        <v>315</v>
      </c>
      <c r="E207" s="4" t="s">
        <v>316</v>
      </c>
      <c r="F207" s="4">
        <v>1</v>
      </c>
      <c r="G207" s="4" t="s">
        <v>317</v>
      </c>
      <c r="H207" s="4" t="s">
        <v>738</v>
      </c>
      <c r="I207" s="4"/>
      <c r="J207" s="4"/>
      <c r="K207" s="4">
        <v>1530</v>
      </c>
      <c r="L207" s="19">
        <v>45658</v>
      </c>
      <c r="M207" s="4">
        <v>0</v>
      </c>
      <c r="N207" s="4"/>
      <c r="O207" s="4" t="s">
        <v>305</v>
      </c>
      <c r="P207" s="4">
        <v>1</v>
      </c>
      <c r="Q207" s="6" t="s">
        <v>382</v>
      </c>
    </row>
    <row r="208" spans="1:17" x14ac:dyDescent="0.25">
      <c r="A208" s="5">
        <v>190</v>
      </c>
      <c r="B208" s="4" t="s">
        <v>739</v>
      </c>
      <c r="C208" s="4" t="s">
        <v>740</v>
      </c>
      <c r="D208" s="4" t="s">
        <v>315</v>
      </c>
      <c r="E208" s="4" t="s">
        <v>316</v>
      </c>
      <c r="F208" s="4">
        <v>1</v>
      </c>
      <c r="G208" s="4" t="s">
        <v>317</v>
      </c>
      <c r="H208" s="4" t="s">
        <v>740</v>
      </c>
      <c r="I208" s="4"/>
      <c r="J208" s="4"/>
      <c r="K208" s="4">
        <v>2000</v>
      </c>
      <c r="L208" s="19">
        <v>45200</v>
      </c>
      <c r="M208" s="4">
        <v>0</v>
      </c>
      <c r="N208" s="4"/>
      <c r="O208" s="4" t="s">
        <v>305</v>
      </c>
      <c r="P208" s="4">
        <v>1</v>
      </c>
      <c r="Q208" s="6" t="s">
        <v>319</v>
      </c>
    </row>
    <row r="209" spans="1:17" x14ac:dyDescent="0.25">
      <c r="A209" s="5">
        <v>189</v>
      </c>
      <c r="B209" s="4" t="s">
        <v>741</v>
      </c>
      <c r="C209" s="4" t="s">
        <v>742</v>
      </c>
      <c r="D209" s="4" t="s">
        <v>315</v>
      </c>
      <c r="E209" s="4" t="s">
        <v>316</v>
      </c>
      <c r="F209" s="4">
        <v>1</v>
      </c>
      <c r="G209" s="4" t="s">
        <v>317</v>
      </c>
      <c r="H209" s="4" t="s">
        <v>742</v>
      </c>
      <c r="I209" s="4"/>
      <c r="J209" s="4"/>
      <c r="K209" s="4">
        <v>950</v>
      </c>
      <c r="L209" s="19">
        <v>45200</v>
      </c>
      <c r="M209" s="4">
        <v>0</v>
      </c>
      <c r="N209" s="4"/>
      <c r="O209" s="4" t="s">
        <v>305</v>
      </c>
      <c r="P209" s="4">
        <v>1</v>
      </c>
      <c r="Q209" s="6" t="s">
        <v>319</v>
      </c>
    </row>
    <row r="210" spans="1:17" x14ac:dyDescent="0.25">
      <c r="A210" s="5">
        <v>123</v>
      </c>
      <c r="B210" s="4" t="s">
        <v>743</v>
      </c>
      <c r="C210" s="4" t="s">
        <v>744</v>
      </c>
      <c r="D210" s="4" t="s">
        <v>315</v>
      </c>
      <c r="E210" s="4" t="s">
        <v>316</v>
      </c>
      <c r="F210" s="4">
        <v>1</v>
      </c>
      <c r="G210" s="4" t="s">
        <v>311</v>
      </c>
      <c r="H210" s="4" t="s">
        <v>745</v>
      </c>
      <c r="I210" s="4"/>
      <c r="J210" s="4"/>
      <c r="K210" s="4">
        <v>0</v>
      </c>
      <c r="L210" s="19">
        <v>44927</v>
      </c>
      <c r="M210" s="4">
        <v>0</v>
      </c>
      <c r="N210" s="4"/>
      <c r="O210" s="4" t="s">
        <v>305</v>
      </c>
      <c r="P210" s="4">
        <v>1</v>
      </c>
      <c r="Q210" s="6" t="s">
        <v>351</v>
      </c>
    </row>
    <row r="211" spans="1:17" x14ac:dyDescent="0.25">
      <c r="A211" s="5">
        <v>136</v>
      </c>
      <c r="B211" s="4" t="s">
        <v>746</v>
      </c>
      <c r="C211" s="4" t="s">
        <v>747</v>
      </c>
      <c r="D211" s="4" t="s">
        <v>315</v>
      </c>
      <c r="E211" s="4" t="s">
        <v>316</v>
      </c>
      <c r="F211" s="4">
        <v>1</v>
      </c>
      <c r="G211" s="4" t="s">
        <v>311</v>
      </c>
      <c r="H211" s="4" t="s">
        <v>748</v>
      </c>
      <c r="I211" s="4"/>
      <c r="J211" s="4"/>
      <c r="K211" s="4">
        <v>0</v>
      </c>
      <c r="L211" s="19">
        <v>44927</v>
      </c>
      <c r="M211" s="4">
        <v>0</v>
      </c>
      <c r="N211" s="4"/>
      <c r="O211" s="4" t="s">
        <v>305</v>
      </c>
      <c r="P211" s="4">
        <v>1</v>
      </c>
      <c r="Q211" s="6" t="s">
        <v>351</v>
      </c>
    </row>
    <row r="212" spans="1:17" x14ac:dyDescent="0.25">
      <c r="A212" s="5">
        <v>172</v>
      </c>
      <c r="B212" s="4" t="s">
        <v>749</v>
      </c>
      <c r="C212" s="4" t="s">
        <v>750</v>
      </c>
      <c r="D212" s="4" t="s">
        <v>315</v>
      </c>
      <c r="E212" s="4" t="s">
        <v>399</v>
      </c>
      <c r="F212" s="4">
        <v>1</v>
      </c>
      <c r="G212" s="4" t="s">
        <v>317</v>
      </c>
      <c r="H212" s="4" t="s">
        <v>751</v>
      </c>
      <c r="I212" s="4"/>
      <c r="J212" s="4"/>
      <c r="K212" s="4">
        <v>4000</v>
      </c>
      <c r="L212" s="19">
        <v>45200</v>
      </c>
      <c r="M212" s="4">
        <v>0</v>
      </c>
      <c r="N212" s="4"/>
      <c r="O212" s="4" t="s">
        <v>305</v>
      </c>
      <c r="P212" s="4">
        <v>1</v>
      </c>
      <c r="Q212" s="6" t="s">
        <v>371</v>
      </c>
    </row>
    <row r="213" spans="1:17" x14ac:dyDescent="0.25">
      <c r="A213" s="5">
        <v>206</v>
      </c>
      <c r="B213" s="4" t="s">
        <v>752</v>
      </c>
      <c r="C213" s="4" t="s">
        <v>753</v>
      </c>
      <c r="D213" s="4" t="s">
        <v>315</v>
      </c>
      <c r="E213" s="4" t="s">
        <v>380</v>
      </c>
      <c r="F213" s="4">
        <v>1</v>
      </c>
      <c r="G213" s="4" t="s">
        <v>317</v>
      </c>
      <c r="H213" s="4" t="s">
        <v>754</v>
      </c>
      <c r="I213" s="4"/>
      <c r="J213" s="4"/>
      <c r="K213" s="4">
        <v>269.60000000000002</v>
      </c>
      <c r="L213" s="19">
        <v>44927</v>
      </c>
      <c r="M213" s="4">
        <v>0</v>
      </c>
      <c r="N213" s="4"/>
      <c r="O213" s="4" t="s">
        <v>305</v>
      </c>
      <c r="P213" s="4">
        <v>1</v>
      </c>
      <c r="Q213" s="6" t="s">
        <v>382</v>
      </c>
    </row>
    <row r="214" spans="1:17" x14ac:dyDescent="0.25">
      <c r="A214" s="5">
        <v>253</v>
      </c>
      <c r="B214" s="4" t="s">
        <v>755</v>
      </c>
      <c r="C214" s="4" t="s">
        <v>756</v>
      </c>
      <c r="D214" s="4" t="s">
        <v>315</v>
      </c>
      <c r="E214" s="4" t="s">
        <v>322</v>
      </c>
      <c r="F214" s="4">
        <v>1</v>
      </c>
      <c r="G214" s="4" t="s">
        <v>311</v>
      </c>
      <c r="H214" s="4" t="s">
        <v>757</v>
      </c>
      <c r="I214" s="4"/>
      <c r="J214" s="4"/>
      <c r="K214" s="4"/>
      <c r="L214" s="19"/>
      <c r="M214" s="4">
        <v>0</v>
      </c>
      <c r="N214" s="4"/>
      <c r="O214" s="4" t="s">
        <v>758</v>
      </c>
      <c r="P214" s="4">
        <v>1</v>
      </c>
      <c r="Q214" s="6" t="s">
        <v>351</v>
      </c>
    </row>
    <row r="215" spans="1:17" x14ac:dyDescent="0.25">
      <c r="A215" s="5">
        <v>254</v>
      </c>
      <c r="B215" s="4" t="s">
        <v>755</v>
      </c>
      <c r="C215" s="4" t="s">
        <v>756</v>
      </c>
      <c r="D215" s="4" t="s">
        <v>315</v>
      </c>
      <c r="E215" s="4" t="s">
        <v>322</v>
      </c>
      <c r="F215" s="4">
        <v>2</v>
      </c>
      <c r="G215" s="4" t="s">
        <v>317</v>
      </c>
      <c r="H215" s="4" t="s">
        <v>759</v>
      </c>
      <c r="I215" s="4"/>
      <c r="J215" s="4"/>
      <c r="K215" s="4"/>
      <c r="L215" s="19"/>
      <c r="M215" s="4">
        <v>0</v>
      </c>
      <c r="N215" s="4"/>
      <c r="O215" s="4" t="s">
        <v>758</v>
      </c>
      <c r="P215" s="4">
        <v>1</v>
      </c>
      <c r="Q215" s="6" t="s">
        <v>452</v>
      </c>
    </row>
    <row r="216" spans="1:17" x14ac:dyDescent="0.25">
      <c r="A216" s="5">
        <v>257</v>
      </c>
      <c r="B216" s="4" t="s">
        <v>760</v>
      </c>
      <c r="C216" s="4" t="s">
        <v>761</v>
      </c>
      <c r="D216" s="4" t="s">
        <v>315</v>
      </c>
      <c r="E216" s="4" t="s">
        <v>322</v>
      </c>
      <c r="F216" s="4">
        <v>1</v>
      </c>
      <c r="G216" s="4" t="s">
        <v>311</v>
      </c>
      <c r="H216" s="4" t="s">
        <v>762</v>
      </c>
      <c r="I216" s="4"/>
      <c r="J216" s="4"/>
      <c r="K216" s="4"/>
      <c r="L216" s="19"/>
      <c r="M216" s="4">
        <v>0</v>
      </c>
      <c r="N216" s="4"/>
      <c r="O216" s="4" t="s">
        <v>305</v>
      </c>
      <c r="P216" s="4">
        <v>1</v>
      </c>
      <c r="Q216" s="6" t="s">
        <v>351</v>
      </c>
    </row>
    <row r="217" spans="1:17" x14ac:dyDescent="0.25">
      <c r="A217" s="5">
        <v>258</v>
      </c>
      <c r="B217" s="4" t="s">
        <v>760</v>
      </c>
      <c r="C217" s="4" t="s">
        <v>761</v>
      </c>
      <c r="D217" s="4" t="s">
        <v>315</v>
      </c>
      <c r="E217" s="4" t="s">
        <v>322</v>
      </c>
      <c r="F217" s="4">
        <v>2</v>
      </c>
      <c r="G217" s="4" t="s">
        <v>317</v>
      </c>
      <c r="H217" s="4" t="s">
        <v>763</v>
      </c>
      <c r="I217" s="4"/>
      <c r="J217" s="4"/>
      <c r="K217" s="4"/>
      <c r="L217" s="19"/>
      <c r="M217" s="4">
        <v>0</v>
      </c>
      <c r="N217" s="4"/>
      <c r="O217" s="4" t="s">
        <v>305</v>
      </c>
      <c r="P217" s="4">
        <v>1</v>
      </c>
      <c r="Q217" s="6" t="s">
        <v>452</v>
      </c>
    </row>
    <row r="218" spans="1:17" x14ac:dyDescent="0.25">
      <c r="A218" s="5">
        <v>255</v>
      </c>
      <c r="B218" s="4" t="s">
        <v>764</v>
      </c>
      <c r="C218" s="4" t="s">
        <v>765</v>
      </c>
      <c r="D218" s="4" t="s">
        <v>315</v>
      </c>
      <c r="E218" s="4" t="s">
        <v>322</v>
      </c>
      <c r="F218" s="4">
        <v>1</v>
      </c>
      <c r="G218" s="4" t="s">
        <v>311</v>
      </c>
      <c r="H218" s="4" t="s">
        <v>766</v>
      </c>
      <c r="I218" s="4"/>
      <c r="J218" s="4"/>
      <c r="K218" s="4"/>
      <c r="L218" s="19"/>
      <c r="M218" s="4">
        <v>0</v>
      </c>
      <c r="N218" s="4"/>
      <c r="O218" s="4" t="s">
        <v>758</v>
      </c>
      <c r="P218" s="4">
        <v>1</v>
      </c>
      <c r="Q218" s="6" t="s">
        <v>351</v>
      </c>
    </row>
    <row r="219" spans="1:17" x14ac:dyDescent="0.25">
      <c r="A219" s="5">
        <v>256</v>
      </c>
      <c r="B219" s="4" t="s">
        <v>764</v>
      </c>
      <c r="C219" s="4" t="s">
        <v>765</v>
      </c>
      <c r="D219" s="4" t="s">
        <v>315</v>
      </c>
      <c r="E219" s="4" t="s">
        <v>322</v>
      </c>
      <c r="F219" s="4">
        <v>2</v>
      </c>
      <c r="G219" s="4" t="s">
        <v>317</v>
      </c>
      <c r="H219" s="4" t="s">
        <v>767</v>
      </c>
      <c r="I219" s="4"/>
      <c r="J219" s="4"/>
      <c r="K219" s="4"/>
      <c r="L219" s="19"/>
      <c r="M219" s="4">
        <v>0</v>
      </c>
      <c r="N219" s="4"/>
      <c r="O219" s="4" t="s">
        <v>758</v>
      </c>
      <c r="P219" s="4">
        <v>1</v>
      </c>
      <c r="Q219" s="6" t="s">
        <v>452</v>
      </c>
    </row>
    <row r="220" spans="1:17" x14ac:dyDescent="0.25">
      <c r="A220" s="5">
        <v>8</v>
      </c>
      <c r="B220" s="4" t="s">
        <v>768</v>
      </c>
      <c r="C220" s="4" t="s">
        <v>769</v>
      </c>
      <c r="D220" s="4" t="s">
        <v>301</v>
      </c>
      <c r="E220" s="4"/>
      <c r="F220" s="4">
        <v>1</v>
      </c>
      <c r="G220" s="4" t="s">
        <v>770</v>
      </c>
      <c r="H220" s="4" t="s">
        <v>769</v>
      </c>
      <c r="I220" s="4"/>
      <c r="J220" s="4"/>
      <c r="K220" s="4">
        <v>0</v>
      </c>
      <c r="L220" s="19">
        <v>32874</v>
      </c>
      <c r="M220" s="4">
        <v>0</v>
      </c>
      <c r="N220" s="4"/>
      <c r="O220" s="4" t="s">
        <v>305</v>
      </c>
      <c r="P220" s="4">
        <v>0</v>
      </c>
      <c r="Q220" s="6"/>
    </row>
    <row r="221" spans="1:17" x14ac:dyDescent="0.25">
      <c r="A221" s="5">
        <v>169</v>
      </c>
      <c r="B221" s="4" t="s">
        <v>771</v>
      </c>
      <c r="C221" s="4" t="s">
        <v>772</v>
      </c>
      <c r="D221" s="4" t="s">
        <v>315</v>
      </c>
      <c r="E221" s="4" t="s">
        <v>399</v>
      </c>
      <c r="F221" s="4">
        <v>1</v>
      </c>
      <c r="G221" s="4" t="s">
        <v>317</v>
      </c>
      <c r="H221" s="4" t="s">
        <v>773</v>
      </c>
      <c r="I221" s="4"/>
      <c r="J221" s="4"/>
      <c r="K221" s="4">
        <v>1600</v>
      </c>
      <c r="L221" s="19">
        <v>45200</v>
      </c>
      <c r="M221" s="4">
        <v>0</v>
      </c>
      <c r="N221" s="4"/>
      <c r="O221" s="4" t="s">
        <v>305</v>
      </c>
      <c r="P221" s="4">
        <v>1</v>
      </c>
      <c r="Q221" s="6" t="s">
        <v>371</v>
      </c>
    </row>
    <row r="222" spans="1:17" x14ac:dyDescent="0.25">
      <c r="A222" s="5">
        <v>165</v>
      </c>
      <c r="B222" s="4" t="s">
        <v>774</v>
      </c>
      <c r="C222" s="4" t="s">
        <v>775</v>
      </c>
      <c r="D222" s="4" t="s">
        <v>315</v>
      </c>
      <c r="E222" s="4" t="s">
        <v>322</v>
      </c>
      <c r="F222" s="4">
        <v>1</v>
      </c>
      <c r="G222" s="4" t="s">
        <v>317</v>
      </c>
      <c r="H222" s="4" t="s">
        <v>775</v>
      </c>
      <c r="I222" s="4"/>
      <c r="J222" s="4"/>
      <c r="K222" s="4">
        <v>1600</v>
      </c>
      <c r="L222" s="19">
        <v>45200</v>
      </c>
      <c r="M222" s="4">
        <v>0</v>
      </c>
      <c r="N222" s="4"/>
      <c r="O222" s="4" t="s">
        <v>305</v>
      </c>
      <c r="P222" s="4">
        <v>1</v>
      </c>
      <c r="Q222" s="6" t="s">
        <v>319</v>
      </c>
    </row>
    <row r="223" spans="1:17" x14ac:dyDescent="0.25">
      <c r="A223" s="5">
        <v>168</v>
      </c>
      <c r="B223" s="4" t="s">
        <v>776</v>
      </c>
      <c r="C223" s="4" t="s">
        <v>777</v>
      </c>
      <c r="D223" s="4" t="s">
        <v>315</v>
      </c>
      <c r="E223" s="4" t="s">
        <v>399</v>
      </c>
      <c r="F223" s="4">
        <v>1</v>
      </c>
      <c r="G223" s="4" t="s">
        <v>317</v>
      </c>
      <c r="H223" s="4" t="s">
        <v>778</v>
      </c>
      <c r="I223" s="4"/>
      <c r="J223" s="4"/>
      <c r="K223" s="4">
        <v>950</v>
      </c>
      <c r="L223" s="19">
        <v>45200</v>
      </c>
      <c r="M223" s="4">
        <v>0</v>
      </c>
      <c r="N223" s="4"/>
      <c r="O223" s="4" t="s">
        <v>305</v>
      </c>
      <c r="P223" s="4">
        <v>1</v>
      </c>
      <c r="Q223" s="6" t="s">
        <v>371</v>
      </c>
    </row>
    <row r="224" spans="1:17" x14ac:dyDescent="0.25">
      <c r="A224" s="5">
        <v>259</v>
      </c>
      <c r="B224" s="4" t="s">
        <v>779</v>
      </c>
      <c r="C224" s="4" t="s">
        <v>780</v>
      </c>
      <c r="D224" s="4" t="s">
        <v>315</v>
      </c>
      <c r="E224" s="4" t="s">
        <v>316</v>
      </c>
      <c r="F224" s="4">
        <v>1</v>
      </c>
      <c r="G224" s="4" t="s">
        <v>317</v>
      </c>
      <c r="H224" s="4" t="s">
        <v>742</v>
      </c>
      <c r="I224" s="4"/>
      <c r="J224" s="4"/>
      <c r="K224" s="4">
        <v>776</v>
      </c>
      <c r="L224" s="19">
        <v>45658</v>
      </c>
      <c r="M224" s="4">
        <v>0</v>
      </c>
      <c r="N224" s="4"/>
      <c r="O224" s="4" t="s">
        <v>305</v>
      </c>
      <c r="P224" s="4">
        <v>1</v>
      </c>
      <c r="Q224" s="6" t="s">
        <v>319</v>
      </c>
    </row>
    <row r="225" spans="1:17" x14ac:dyDescent="0.25">
      <c r="A225" s="5">
        <v>228</v>
      </c>
      <c r="B225" s="4" t="s">
        <v>781</v>
      </c>
      <c r="C225" s="4" t="s">
        <v>782</v>
      </c>
      <c r="D225" s="4" t="s">
        <v>315</v>
      </c>
      <c r="E225" s="4" t="s">
        <v>587</v>
      </c>
      <c r="F225" s="4">
        <v>1</v>
      </c>
      <c r="G225" s="4" t="s">
        <v>311</v>
      </c>
      <c r="H225" s="4" t="s">
        <v>783</v>
      </c>
      <c r="I225" s="4"/>
      <c r="J225" s="4"/>
      <c r="K225" s="4">
        <v>0</v>
      </c>
      <c r="L225" s="19">
        <v>45292</v>
      </c>
      <c r="M225" s="4">
        <v>0</v>
      </c>
      <c r="N225" s="4"/>
      <c r="O225" s="4" t="s">
        <v>305</v>
      </c>
      <c r="P225" s="4">
        <v>1</v>
      </c>
      <c r="Q225" s="6" t="s">
        <v>348</v>
      </c>
    </row>
    <row r="226" spans="1:17" x14ac:dyDescent="0.25">
      <c r="A226" s="5">
        <v>230</v>
      </c>
      <c r="B226" s="4" t="s">
        <v>784</v>
      </c>
      <c r="C226" s="4" t="s">
        <v>785</v>
      </c>
      <c r="D226" s="4" t="s">
        <v>315</v>
      </c>
      <c r="E226" s="4" t="s">
        <v>587</v>
      </c>
      <c r="F226" s="4">
        <v>1</v>
      </c>
      <c r="G226" s="4" t="s">
        <v>317</v>
      </c>
      <c r="H226" s="4" t="s">
        <v>785</v>
      </c>
      <c r="I226" s="4"/>
      <c r="J226" s="4"/>
      <c r="K226" s="4">
        <v>0</v>
      </c>
      <c r="L226" s="19">
        <v>45292</v>
      </c>
      <c r="M226" s="4">
        <v>0</v>
      </c>
      <c r="N226" s="4"/>
      <c r="O226" s="4" t="s">
        <v>305</v>
      </c>
      <c r="P226" s="4">
        <v>1</v>
      </c>
      <c r="Q226" s="6" t="s">
        <v>319</v>
      </c>
    </row>
    <row r="227" spans="1:17" x14ac:dyDescent="0.25">
      <c r="A227" s="5">
        <v>229</v>
      </c>
      <c r="B227" s="4" t="s">
        <v>786</v>
      </c>
      <c r="C227" s="4" t="s">
        <v>787</v>
      </c>
      <c r="D227" s="4" t="s">
        <v>315</v>
      </c>
      <c r="E227" s="4" t="s">
        <v>587</v>
      </c>
      <c r="F227" s="4">
        <v>1</v>
      </c>
      <c r="G227" s="4" t="s">
        <v>311</v>
      </c>
      <c r="H227" s="4" t="s">
        <v>788</v>
      </c>
      <c r="I227" s="4"/>
      <c r="J227" s="4"/>
      <c r="K227" s="4">
        <v>0</v>
      </c>
      <c r="L227" s="19">
        <v>45292</v>
      </c>
      <c r="M227" s="4">
        <v>0</v>
      </c>
      <c r="N227" s="4"/>
      <c r="O227" s="4" t="s">
        <v>305</v>
      </c>
      <c r="P227" s="4">
        <v>1</v>
      </c>
      <c r="Q227" s="6" t="s">
        <v>348</v>
      </c>
    </row>
    <row r="228" spans="1:17" x14ac:dyDescent="0.25">
      <c r="A228" s="5">
        <v>231</v>
      </c>
      <c r="B228" s="4" t="s">
        <v>789</v>
      </c>
      <c r="C228" s="4" t="s">
        <v>790</v>
      </c>
      <c r="D228" s="4" t="s">
        <v>315</v>
      </c>
      <c r="E228" s="4" t="s">
        <v>587</v>
      </c>
      <c r="F228" s="4">
        <v>1</v>
      </c>
      <c r="G228" s="4" t="s">
        <v>317</v>
      </c>
      <c r="H228" s="4" t="s">
        <v>790</v>
      </c>
      <c r="I228" s="4"/>
      <c r="J228" s="4"/>
      <c r="K228" s="4">
        <v>0</v>
      </c>
      <c r="L228" s="19">
        <v>45292</v>
      </c>
      <c r="M228" s="4">
        <v>0</v>
      </c>
      <c r="N228" s="4"/>
      <c r="O228" s="4" t="s">
        <v>305</v>
      </c>
      <c r="P228" s="4">
        <v>1</v>
      </c>
      <c r="Q228" s="6" t="s">
        <v>319</v>
      </c>
    </row>
    <row r="229" spans="1:17" x14ac:dyDescent="0.25">
      <c r="A229" s="5">
        <v>226</v>
      </c>
      <c r="B229" s="4" t="s">
        <v>791</v>
      </c>
      <c r="C229" s="4" t="s">
        <v>792</v>
      </c>
      <c r="D229" s="4" t="s">
        <v>315</v>
      </c>
      <c r="E229" s="4" t="s">
        <v>587</v>
      </c>
      <c r="F229" s="4">
        <v>1</v>
      </c>
      <c r="G229" s="4" t="s">
        <v>311</v>
      </c>
      <c r="H229" s="4" t="s">
        <v>793</v>
      </c>
      <c r="I229" s="4"/>
      <c r="J229" s="4"/>
      <c r="K229" s="4">
        <v>0</v>
      </c>
      <c r="L229" s="19">
        <v>45292</v>
      </c>
      <c r="M229" s="4">
        <v>0</v>
      </c>
      <c r="N229" s="4"/>
      <c r="O229" s="4" t="s">
        <v>305</v>
      </c>
      <c r="P229" s="4">
        <v>1</v>
      </c>
      <c r="Q229" s="6" t="s">
        <v>348</v>
      </c>
    </row>
    <row r="230" spans="1:17" x14ac:dyDescent="0.25">
      <c r="A230" s="5">
        <v>232</v>
      </c>
      <c r="B230" s="4" t="s">
        <v>794</v>
      </c>
      <c r="C230" s="4" t="s">
        <v>795</v>
      </c>
      <c r="D230" s="4" t="s">
        <v>315</v>
      </c>
      <c r="E230" s="4" t="s">
        <v>587</v>
      </c>
      <c r="F230" s="4">
        <v>1</v>
      </c>
      <c r="G230" s="4" t="s">
        <v>317</v>
      </c>
      <c r="H230" s="4" t="s">
        <v>795</v>
      </c>
      <c r="I230" s="4"/>
      <c r="J230" s="4"/>
      <c r="K230" s="4">
        <v>0</v>
      </c>
      <c r="L230" s="19">
        <v>45292</v>
      </c>
      <c r="M230" s="4">
        <v>0</v>
      </c>
      <c r="N230" s="4"/>
      <c r="O230" s="4" t="s">
        <v>305</v>
      </c>
      <c r="P230" s="4">
        <v>1</v>
      </c>
      <c r="Q230" s="6" t="s">
        <v>319</v>
      </c>
    </row>
    <row r="231" spans="1:17" x14ac:dyDescent="0.25">
      <c r="A231" s="5">
        <v>227</v>
      </c>
      <c r="B231" s="4" t="s">
        <v>796</v>
      </c>
      <c r="C231" s="4" t="s">
        <v>797</v>
      </c>
      <c r="D231" s="4" t="s">
        <v>315</v>
      </c>
      <c r="E231" s="4" t="s">
        <v>587</v>
      </c>
      <c r="F231" s="4">
        <v>1</v>
      </c>
      <c r="G231" s="4" t="s">
        <v>311</v>
      </c>
      <c r="H231" s="4" t="s">
        <v>798</v>
      </c>
      <c r="I231" s="4"/>
      <c r="J231" s="4"/>
      <c r="K231" s="4">
        <v>0</v>
      </c>
      <c r="L231" s="19">
        <v>45292</v>
      </c>
      <c r="M231" s="4">
        <v>0</v>
      </c>
      <c r="N231" s="4"/>
      <c r="O231" s="4" t="s">
        <v>305</v>
      </c>
      <c r="P231" s="4">
        <v>1</v>
      </c>
      <c r="Q231" s="6" t="s">
        <v>348</v>
      </c>
    </row>
    <row r="232" spans="1:17" x14ac:dyDescent="0.25">
      <c r="A232" s="5">
        <v>233</v>
      </c>
      <c r="B232" s="4" t="s">
        <v>799</v>
      </c>
      <c r="C232" s="4" t="s">
        <v>800</v>
      </c>
      <c r="D232" s="4" t="s">
        <v>315</v>
      </c>
      <c r="E232" s="4" t="s">
        <v>587</v>
      </c>
      <c r="F232" s="4">
        <v>1</v>
      </c>
      <c r="G232" s="4" t="s">
        <v>317</v>
      </c>
      <c r="H232" s="4" t="s">
        <v>800</v>
      </c>
      <c r="I232" s="4"/>
      <c r="J232" s="4"/>
      <c r="K232" s="4">
        <v>0</v>
      </c>
      <c r="L232" s="19">
        <v>45292</v>
      </c>
      <c r="M232" s="4">
        <v>0</v>
      </c>
      <c r="N232" s="4"/>
      <c r="O232" s="4" t="s">
        <v>305</v>
      </c>
      <c r="P232" s="4">
        <v>1</v>
      </c>
      <c r="Q232" s="6" t="s">
        <v>319</v>
      </c>
    </row>
    <row r="233" spans="1:17" x14ac:dyDescent="0.25">
      <c r="A233" s="5">
        <v>224</v>
      </c>
      <c r="B233" s="4" t="s">
        <v>801</v>
      </c>
      <c r="C233" s="4" t="s">
        <v>802</v>
      </c>
      <c r="D233" s="4" t="s">
        <v>315</v>
      </c>
      <c r="E233" s="4" t="s">
        <v>587</v>
      </c>
      <c r="F233" s="4">
        <v>1</v>
      </c>
      <c r="G233" s="4" t="s">
        <v>311</v>
      </c>
      <c r="H233" s="4" t="s">
        <v>803</v>
      </c>
      <c r="I233" s="4"/>
      <c r="J233" s="4"/>
      <c r="K233" s="4">
        <v>0</v>
      </c>
      <c r="L233" s="19">
        <v>45292</v>
      </c>
      <c r="M233" s="4">
        <v>0</v>
      </c>
      <c r="N233" s="4"/>
      <c r="O233" s="4" t="s">
        <v>305</v>
      </c>
      <c r="P233" s="4">
        <v>1</v>
      </c>
      <c r="Q233" s="6" t="s">
        <v>348</v>
      </c>
    </row>
    <row r="234" spans="1:17" x14ac:dyDescent="0.25">
      <c r="A234" s="5">
        <v>234</v>
      </c>
      <c r="B234" s="4" t="s">
        <v>804</v>
      </c>
      <c r="C234" s="4" t="s">
        <v>805</v>
      </c>
      <c r="D234" s="4" t="s">
        <v>315</v>
      </c>
      <c r="E234" s="4" t="s">
        <v>587</v>
      </c>
      <c r="F234" s="4">
        <v>1</v>
      </c>
      <c r="G234" s="4" t="s">
        <v>317</v>
      </c>
      <c r="H234" s="4" t="s">
        <v>805</v>
      </c>
      <c r="I234" s="4"/>
      <c r="J234" s="4"/>
      <c r="K234" s="4">
        <v>0</v>
      </c>
      <c r="L234" s="19">
        <v>45292</v>
      </c>
      <c r="M234" s="4">
        <v>0</v>
      </c>
      <c r="N234" s="4"/>
      <c r="O234" s="4" t="s">
        <v>305</v>
      </c>
      <c r="P234" s="4">
        <v>1</v>
      </c>
      <c r="Q234" s="6" t="s">
        <v>319</v>
      </c>
    </row>
    <row r="235" spans="1:17" x14ac:dyDescent="0.25">
      <c r="A235" s="5">
        <v>247</v>
      </c>
      <c r="B235" s="4" t="s">
        <v>806</v>
      </c>
      <c r="C235" s="4" t="s">
        <v>807</v>
      </c>
      <c r="D235" s="4" t="s">
        <v>315</v>
      </c>
      <c r="E235" s="4" t="s">
        <v>587</v>
      </c>
      <c r="F235" s="4">
        <v>1</v>
      </c>
      <c r="G235" s="4" t="s">
        <v>311</v>
      </c>
      <c r="H235" s="4" t="s">
        <v>808</v>
      </c>
      <c r="I235" s="4"/>
      <c r="J235" s="4"/>
      <c r="K235" s="4">
        <v>0</v>
      </c>
      <c r="L235" s="19">
        <v>45292</v>
      </c>
      <c r="M235" s="4">
        <v>0</v>
      </c>
      <c r="N235" s="4"/>
      <c r="O235" s="4" t="s">
        <v>305</v>
      </c>
      <c r="P235" s="4">
        <v>1</v>
      </c>
      <c r="Q235" s="6" t="s">
        <v>348</v>
      </c>
    </row>
    <row r="236" spans="1:17" x14ac:dyDescent="0.25">
      <c r="A236" s="5">
        <v>249</v>
      </c>
      <c r="B236" s="4" t="s">
        <v>809</v>
      </c>
      <c r="C236" s="4" t="s">
        <v>810</v>
      </c>
      <c r="D236" s="4" t="s">
        <v>315</v>
      </c>
      <c r="E236" s="4" t="s">
        <v>587</v>
      </c>
      <c r="F236" s="4">
        <v>1</v>
      </c>
      <c r="G236" s="4" t="s">
        <v>317</v>
      </c>
      <c r="H236" s="4" t="s">
        <v>810</v>
      </c>
      <c r="I236" s="4"/>
      <c r="J236" s="4"/>
      <c r="K236" s="4">
        <v>0</v>
      </c>
      <c r="L236" s="19">
        <v>45292</v>
      </c>
      <c r="M236" s="4">
        <v>0</v>
      </c>
      <c r="N236" s="4"/>
      <c r="O236" s="4" t="s">
        <v>305</v>
      </c>
      <c r="P236" s="4">
        <v>1</v>
      </c>
      <c r="Q236" s="6" t="s">
        <v>319</v>
      </c>
    </row>
    <row r="237" spans="1:17" x14ac:dyDescent="0.25">
      <c r="A237" s="5">
        <v>222</v>
      </c>
      <c r="B237" s="4" t="s">
        <v>811</v>
      </c>
      <c r="C237" s="4" t="s">
        <v>812</v>
      </c>
      <c r="D237" s="4" t="s">
        <v>315</v>
      </c>
      <c r="E237" s="4" t="s">
        <v>587</v>
      </c>
      <c r="F237" s="4">
        <v>1</v>
      </c>
      <c r="G237" s="4" t="s">
        <v>311</v>
      </c>
      <c r="H237" s="4" t="s">
        <v>813</v>
      </c>
      <c r="I237" s="4"/>
      <c r="J237" s="4"/>
      <c r="K237" s="4">
        <v>0</v>
      </c>
      <c r="L237" s="19">
        <v>45292</v>
      </c>
      <c r="M237" s="4">
        <v>0</v>
      </c>
      <c r="N237" s="4"/>
      <c r="O237" s="4" t="s">
        <v>305</v>
      </c>
      <c r="P237" s="4">
        <v>1</v>
      </c>
      <c r="Q237" s="6" t="s">
        <v>348</v>
      </c>
    </row>
    <row r="238" spans="1:17" x14ac:dyDescent="0.25">
      <c r="A238" s="5">
        <v>236</v>
      </c>
      <c r="B238" s="4" t="s">
        <v>814</v>
      </c>
      <c r="C238" s="4" t="s">
        <v>815</v>
      </c>
      <c r="D238" s="4" t="s">
        <v>315</v>
      </c>
      <c r="E238" s="4" t="s">
        <v>587</v>
      </c>
      <c r="F238" s="4">
        <v>1</v>
      </c>
      <c r="G238" s="4" t="s">
        <v>317</v>
      </c>
      <c r="H238" s="4" t="s">
        <v>815</v>
      </c>
      <c r="I238" s="4"/>
      <c r="J238" s="4"/>
      <c r="K238" s="4">
        <v>0</v>
      </c>
      <c r="L238" s="19">
        <v>45292</v>
      </c>
      <c r="M238" s="4">
        <v>0</v>
      </c>
      <c r="N238" s="4"/>
      <c r="O238" s="4" t="s">
        <v>305</v>
      </c>
      <c r="P238" s="4">
        <v>1</v>
      </c>
      <c r="Q238" s="6" t="s">
        <v>319</v>
      </c>
    </row>
    <row r="239" spans="1:17" x14ac:dyDescent="0.25">
      <c r="A239" s="5">
        <v>223</v>
      </c>
      <c r="B239" s="4" t="s">
        <v>816</v>
      </c>
      <c r="C239" s="4" t="s">
        <v>817</v>
      </c>
      <c r="D239" s="4" t="s">
        <v>315</v>
      </c>
      <c r="E239" s="4" t="s">
        <v>587</v>
      </c>
      <c r="F239" s="4">
        <v>1</v>
      </c>
      <c r="G239" s="4" t="s">
        <v>311</v>
      </c>
      <c r="H239" s="4" t="s">
        <v>818</v>
      </c>
      <c r="I239" s="4"/>
      <c r="J239" s="4"/>
      <c r="K239" s="4">
        <v>0</v>
      </c>
      <c r="L239" s="19">
        <v>45292</v>
      </c>
      <c r="M239" s="4">
        <v>0</v>
      </c>
      <c r="N239" s="4"/>
      <c r="O239" s="4" t="s">
        <v>305</v>
      </c>
      <c r="P239" s="4">
        <v>1</v>
      </c>
      <c r="Q239" s="6" t="s">
        <v>348</v>
      </c>
    </row>
    <row r="240" spans="1:17" x14ac:dyDescent="0.25">
      <c r="A240" s="5">
        <v>235</v>
      </c>
      <c r="B240" s="4" t="s">
        <v>819</v>
      </c>
      <c r="C240" s="4" t="s">
        <v>820</v>
      </c>
      <c r="D240" s="4" t="s">
        <v>315</v>
      </c>
      <c r="E240" s="4" t="s">
        <v>587</v>
      </c>
      <c r="F240" s="4">
        <v>1</v>
      </c>
      <c r="G240" s="4" t="s">
        <v>317</v>
      </c>
      <c r="H240" s="4" t="s">
        <v>820</v>
      </c>
      <c r="I240" s="4"/>
      <c r="J240" s="4"/>
      <c r="K240" s="4">
        <v>0</v>
      </c>
      <c r="L240" s="19">
        <v>45292</v>
      </c>
      <c r="M240" s="4">
        <v>0</v>
      </c>
      <c r="N240" s="4"/>
      <c r="O240" s="4" t="s">
        <v>305</v>
      </c>
      <c r="P240" s="4">
        <v>1</v>
      </c>
      <c r="Q240" s="6" t="s">
        <v>319</v>
      </c>
    </row>
    <row r="241" spans="1:17" x14ac:dyDescent="0.25">
      <c r="A241" s="5">
        <v>248</v>
      </c>
      <c r="B241" s="4" t="s">
        <v>821</v>
      </c>
      <c r="C241" s="4" t="s">
        <v>822</v>
      </c>
      <c r="D241" s="4" t="s">
        <v>315</v>
      </c>
      <c r="E241" s="4" t="s">
        <v>587</v>
      </c>
      <c r="F241" s="4">
        <v>1</v>
      </c>
      <c r="G241" s="4" t="s">
        <v>311</v>
      </c>
      <c r="H241" s="4" t="s">
        <v>823</v>
      </c>
      <c r="I241" s="4"/>
      <c r="J241" s="4"/>
      <c r="K241" s="4">
        <v>0</v>
      </c>
      <c r="L241" s="19">
        <v>45292</v>
      </c>
      <c r="M241" s="4">
        <v>0</v>
      </c>
      <c r="N241" s="4"/>
      <c r="O241" s="4" t="s">
        <v>305</v>
      </c>
      <c r="P241" s="4">
        <v>1</v>
      </c>
      <c r="Q241" s="6" t="s">
        <v>348</v>
      </c>
    </row>
    <row r="242" spans="1:17" x14ac:dyDescent="0.25">
      <c r="A242" s="5">
        <v>250</v>
      </c>
      <c r="B242" s="4" t="s">
        <v>824</v>
      </c>
      <c r="C242" s="4" t="s">
        <v>825</v>
      </c>
      <c r="D242" s="4" t="s">
        <v>315</v>
      </c>
      <c r="E242" s="4" t="s">
        <v>587</v>
      </c>
      <c r="F242" s="4">
        <v>1</v>
      </c>
      <c r="G242" s="4" t="s">
        <v>317</v>
      </c>
      <c r="H242" s="4" t="s">
        <v>825</v>
      </c>
      <c r="I242" s="4"/>
      <c r="J242" s="4"/>
      <c r="K242" s="4">
        <v>0</v>
      </c>
      <c r="L242" s="19">
        <v>45292</v>
      </c>
      <c r="M242" s="4">
        <v>0</v>
      </c>
      <c r="N242" s="4"/>
      <c r="O242" s="4" t="s">
        <v>305</v>
      </c>
      <c r="P242" s="4">
        <v>1</v>
      </c>
      <c r="Q242" s="6" t="s">
        <v>319</v>
      </c>
    </row>
    <row r="243" spans="1:17" x14ac:dyDescent="0.25">
      <c r="A243" s="5">
        <v>269</v>
      </c>
      <c r="B243" s="4" t="s">
        <v>826</v>
      </c>
      <c r="C243" s="4" t="s">
        <v>827</v>
      </c>
      <c r="D243" s="4" t="s">
        <v>315</v>
      </c>
      <c r="E243" s="4" t="s">
        <v>316</v>
      </c>
      <c r="F243" s="4">
        <v>1</v>
      </c>
      <c r="G243" s="4" t="s">
        <v>311</v>
      </c>
      <c r="H243" s="4" t="s">
        <v>827</v>
      </c>
      <c r="I243" s="4"/>
      <c r="J243" s="4"/>
      <c r="K243" s="4">
        <v>0</v>
      </c>
      <c r="L243" s="19">
        <v>45658</v>
      </c>
      <c r="M243" s="4">
        <v>0</v>
      </c>
      <c r="N243" s="4"/>
      <c r="O243" s="4" t="s">
        <v>305</v>
      </c>
      <c r="P243" s="4">
        <v>1</v>
      </c>
      <c r="Q243" s="6" t="s">
        <v>319</v>
      </c>
    </row>
    <row r="244" spans="1:17" x14ac:dyDescent="0.25">
      <c r="A244" s="5">
        <v>70</v>
      </c>
      <c r="B244" s="4" t="s">
        <v>828</v>
      </c>
      <c r="C244" s="4" t="s">
        <v>829</v>
      </c>
      <c r="D244" s="4" t="s">
        <v>301</v>
      </c>
      <c r="E244" s="4" t="s">
        <v>657</v>
      </c>
      <c r="F244" s="4">
        <v>1</v>
      </c>
      <c r="G244" s="4" t="s">
        <v>303</v>
      </c>
      <c r="H244" s="4" t="s">
        <v>830</v>
      </c>
      <c r="I244" s="4"/>
      <c r="J244" s="4"/>
      <c r="K244" s="4">
        <v>3969</v>
      </c>
      <c r="L244" s="19">
        <v>45658</v>
      </c>
      <c r="M244" s="4">
        <v>0</v>
      </c>
      <c r="N244" s="4"/>
      <c r="O244" s="4" t="s">
        <v>305</v>
      </c>
      <c r="P244" s="4">
        <v>1</v>
      </c>
      <c r="Q244" s="6"/>
    </row>
    <row r="245" spans="1:17" x14ac:dyDescent="0.25">
      <c r="A245" s="5">
        <v>71</v>
      </c>
      <c r="B245" s="4" t="s">
        <v>301</v>
      </c>
      <c r="C245" s="4" t="s">
        <v>831</v>
      </c>
      <c r="D245" s="4" t="s">
        <v>301</v>
      </c>
      <c r="E245" s="4" t="s">
        <v>301</v>
      </c>
      <c r="F245" s="4">
        <v>1</v>
      </c>
      <c r="G245" s="4" t="s">
        <v>434</v>
      </c>
      <c r="H245" s="4" t="s">
        <v>832</v>
      </c>
      <c r="I245" s="4"/>
      <c r="J245" s="4"/>
      <c r="K245" s="4">
        <v>24.5</v>
      </c>
      <c r="L245" s="19">
        <v>45658</v>
      </c>
      <c r="M245" s="4">
        <v>0</v>
      </c>
      <c r="N245" s="4"/>
      <c r="O245" s="4" t="s">
        <v>305</v>
      </c>
      <c r="P245" s="4">
        <v>1</v>
      </c>
      <c r="Q245" s="6"/>
    </row>
    <row r="246" spans="1:17" x14ac:dyDescent="0.25">
      <c r="A246" s="5">
        <v>72</v>
      </c>
      <c r="B246" s="4" t="s">
        <v>301</v>
      </c>
      <c r="C246" s="4" t="s">
        <v>831</v>
      </c>
      <c r="D246" s="4" t="s">
        <v>301</v>
      </c>
      <c r="E246" s="4" t="s">
        <v>301</v>
      </c>
      <c r="F246" s="4">
        <v>2</v>
      </c>
      <c r="G246" s="4" t="s">
        <v>303</v>
      </c>
      <c r="H246" s="4" t="s">
        <v>465</v>
      </c>
      <c r="I246" s="4"/>
      <c r="J246" s="4"/>
      <c r="K246" s="4">
        <v>2999.5</v>
      </c>
      <c r="L246" s="19">
        <v>45658</v>
      </c>
      <c r="M246" s="4">
        <v>0</v>
      </c>
      <c r="N246" s="4"/>
      <c r="O246" s="4" t="s">
        <v>305</v>
      </c>
      <c r="P246" s="4">
        <v>1</v>
      </c>
      <c r="Q246" s="6"/>
    </row>
    <row r="247" spans="1:17" x14ac:dyDescent="0.25">
      <c r="A247" s="5">
        <v>73</v>
      </c>
      <c r="B247" s="4" t="s">
        <v>833</v>
      </c>
      <c r="C247" s="4" t="s">
        <v>834</v>
      </c>
      <c r="D247" s="4" t="s">
        <v>301</v>
      </c>
      <c r="E247" s="4" t="s">
        <v>301</v>
      </c>
      <c r="F247" s="4">
        <v>1</v>
      </c>
      <c r="G247" s="4" t="s">
        <v>434</v>
      </c>
      <c r="H247" s="4" t="s">
        <v>832</v>
      </c>
      <c r="I247" s="4"/>
      <c r="J247" s="4"/>
      <c r="K247" s="4">
        <v>24.5</v>
      </c>
      <c r="L247" s="19">
        <v>45658</v>
      </c>
      <c r="M247" s="4">
        <v>0</v>
      </c>
      <c r="N247" s="4"/>
      <c r="O247" s="4" t="s">
        <v>305</v>
      </c>
      <c r="P247" s="4">
        <v>1</v>
      </c>
      <c r="Q247" s="6"/>
    </row>
    <row r="248" spans="1:17" x14ac:dyDescent="0.25">
      <c r="A248" s="5">
        <v>74</v>
      </c>
      <c r="B248" s="4" t="s">
        <v>835</v>
      </c>
      <c r="C248" s="4" t="s">
        <v>836</v>
      </c>
      <c r="D248" s="4" t="s">
        <v>301</v>
      </c>
      <c r="E248" s="4" t="s">
        <v>301</v>
      </c>
      <c r="F248" s="4">
        <v>1</v>
      </c>
      <c r="G248" s="4" t="s">
        <v>303</v>
      </c>
      <c r="H248" s="4" t="s">
        <v>837</v>
      </c>
      <c r="I248" s="4"/>
      <c r="J248" s="4"/>
      <c r="K248" s="4">
        <v>6032</v>
      </c>
      <c r="L248" s="19">
        <v>45658</v>
      </c>
      <c r="M248" s="4">
        <v>0</v>
      </c>
      <c r="N248" s="4"/>
      <c r="O248" s="4" t="s">
        <v>305</v>
      </c>
      <c r="P248" s="4">
        <v>1</v>
      </c>
      <c r="Q248" s="6"/>
    </row>
    <row r="249" spans="1:17" x14ac:dyDescent="0.25">
      <c r="A249" s="5">
        <v>75</v>
      </c>
      <c r="B249" s="4" t="s">
        <v>838</v>
      </c>
      <c r="C249" s="4" t="s">
        <v>839</v>
      </c>
      <c r="D249" s="4" t="s">
        <v>301</v>
      </c>
      <c r="E249" s="4" t="s">
        <v>301</v>
      </c>
      <c r="F249" s="4">
        <v>1</v>
      </c>
      <c r="G249" s="4" t="s">
        <v>303</v>
      </c>
      <c r="H249" s="4" t="s">
        <v>837</v>
      </c>
      <c r="I249" s="4"/>
      <c r="J249" s="4"/>
      <c r="K249" s="4">
        <v>7746</v>
      </c>
      <c r="L249" s="19">
        <v>45658</v>
      </c>
      <c r="M249" s="4">
        <v>0</v>
      </c>
      <c r="N249" s="4"/>
      <c r="O249" s="4" t="s">
        <v>305</v>
      </c>
      <c r="P249" s="4">
        <v>1</v>
      </c>
      <c r="Q249" s="6"/>
    </row>
    <row r="250" spans="1:17" x14ac:dyDescent="0.25">
      <c r="A250" s="5">
        <v>76</v>
      </c>
      <c r="B250" s="4" t="s">
        <v>840</v>
      </c>
      <c r="C250" s="4" t="s">
        <v>841</v>
      </c>
      <c r="D250" s="4" t="s">
        <v>301</v>
      </c>
      <c r="E250" s="4" t="s">
        <v>301</v>
      </c>
      <c r="F250" s="4">
        <v>1</v>
      </c>
      <c r="G250" s="4" t="s">
        <v>303</v>
      </c>
      <c r="H250" s="4" t="s">
        <v>837</v>
      </c>
      <c r="I250" s="4"/>
      <c r="J250" s="4"/>
      <c r="K250" s="4">
        <v>7746</v>
      </c>
      <c r="L250" s="19">
        <v>45658</v>
      </c>
      <c r="M250" s="4">
        <v>0</v>
      </c>
      <c r="N250" s="4"/>
      <c r="O250" s="4" t="s">
        <v>305</v>
      </c>
      <c r="P250" s="4">
        <v>1</v>
      </c>
      <c r="Q250" s="6"/>
    </row>
    <row r="251" spans="1:17" x14ac:dyDescent="0.25">
      <c r="A251" s="5">
        <v>77</v>
      </c>
      <c r="B251" s="4" t="s">
        <v>840</v>
      </c>
      <c r="C251" s="4" t="s">
        <v>841</v>
      </c>
      <c r="D251" s="4" t="s">
        <v>301</v>
      </c>
      <c r="E251" s="4" t="s">
        <v>301</v>
      </c>
      <c r="F251" s="4">
        <v>2</v>
      </c>
      <c r="G251" s="4" t="s">
        <v>311</v>
      </c>
      <c r="H251" s="4" t="s">
        <v>842</v>
      </c>
      <c r="I251" s="4"/>
      <c r="J251" s="4"/>
      <c r="K251" s="4">
        <v>1639</v>
      </c>
      <c r="L251" s="19">
        <v>45658</v>
      </c>
      <c r="M251" s="4">
        <v>0</v>
      </c>
      <c r="N251" s="4"/>
      <c r="O251" s="4" t="s">
        <v>305</v>
      </c>
      <c r="P251" s="4">
        <v>1</v>
      </c>
      <c r="Q251" s="6" t="s">
        <v>843</v>
      </c>
    </row>
    <row r="252" spans="1:17" x14ac:dyDescent="0.25">
      <c r="A252" s="5">
        <v>78</v>
      </c>
      <c r="B252" s="4" t="s">
        <v>844</v>
      </c>
      <c r="C252" s="4" t="s">
        <v>845</v>
      </c>
      <c r="D252" s="4" t="s">
        <v>301</v>
      </c>
      <c r="E252" s="4" t="s">
        <v>301</v>
      </c>
      <c r="F252" s="4">
        <v>1</v>
      </c>
      <c r="G252" s="4" t="s">
        <v>303</v>
      </c>
      <c r="H252" s="4" t="s">
        <v>837</v>
      </c>
      <c r="I252" s="4"/>
      <c r="J252" s="4"/>
      <c r="K252" s="4">
        <v>9609</v>
      </c>
      <c r="L252" s="19">
        <v>45658</v>
      </c>
      <c r="M252" s="4">
        <v>0</v>
      </c>
      <c r="N252" s="4"/>
      <c r="O252" s="4" t="s">
        <v>305</v>
      </c>
      <c r="P252" s="4">
        <v>1</v>
      </c>
      <c r="Q252" s="6"/>
    </row>
    <row r="253" spans="1:17" x14ac:dyDescent="0.25">
      <c r="A253" s="5">
        <v>79</v>
      </c>
      <c r="B253" s="4" t="s">
        <v>846</v>
      </c>
      <c r="C253" s="4" t="s">
        <v>847</v>
      </c>
      <c r="D253" s="4" t="s">
        <v>301</v>
      </c>
      <c r="E253" s="4" t="s">
        <v>301</v>
      </c>
      <c r="F253" s="4">
        <v>1</v>
      </c>
      <c r="G253" s="4" t="s">
        <v>311</v>
      </c>
      <c r="H253" s="4" t="s">
        <v>848</v>
      </c>
      <c r="I253" s="4"/>
      <c r="J253" s="4"/>
      <c r="K253" s="4">
        <v>2791</v>
      </c>
      <c r="L253" s="19">
        <v>45658</v>
      </c>
      <c r="M253" s="4">
        <v>0</v>
      </c>
      <c r="N253" s="4"/>
      <c r="O253" s="4" t="s">
        <v>305</v>
      </c>
      <c r="P253" s="4">
        <v>1</v>
      </c>
      <c r="Q253" s="6" t="s">
        <v>849</v>
      </c>
    </row>
    <row r="254" spans="1:17" x14ac:dyDescent="0.25">
      <c r="A254" s="5">
        <v>80</v>
      </c>
      <c r="B254" s="4" t="s">
        <v>850</v>
      </c>
      <c r="C254" s="4" t="s">
        <v>851</v>
      </c>
      <c r="D254" s="4" t="s">
        <v>301</v>
      </c>
      <c r="E254" s="4" t="s">
        <v>301</v>
      </c>
      <c r="F254" s="4">
        <v>1</v>
      </c>
      <c r="G254" s="4" t="s">
        <v>303</v>
      </c>
      <c r="H254" s="4" t="s">
        <v>852</v>
      </c>
      <c r="I254" s="4"/>
      <c r="J254" s="4"/>
      <c r="K254" s="4">
        <v>4293</v>
      </c>
      <c r="L254" s="19">
        <v>45658</v>
      </c>
      <c r="M254" s="4">
        <v>0</v>
      </c>
      <c r="N254" s="4"/>
      <c r="O254" s="4" t="s">
        <v>305</v>
      </c>
      <c r="P254" s="4">
        <v>1</v>
      </c>
      <c r="Q254" s="6"/>
    </row>
    <row r="255" spans="1:17" x14ac:dyDescent="0.25">
      <c r="A255" s="5">
        <v>154</v>
      </c>
      <c r="B255" s="4" t="s">
        <v>853</v>
      </c>
      <c r="C255" s="4" t="s">
        <v>854</v>
      </c>
      <c r="D255" s="4" t="s">
        <v>301</v>
      </c>
      <c r="E255" s="4" t="s">
        <v>301</v>
      </c>
      <c r="F255" s="4">
        <v>1</v>
      </c>
      <c r="G255" s="4" t="s">
        <v>303</v>
      </c>
      <c r="H255" s="4" t="s">
        <v>855</v>
      </c>
      <c r="I255" s="4"/>
      <c r="J255" s="4"/>
      <c r="K255" s="4">
        <v>4128</v>
      </c>
      <c r="L255" s="19">
        <v>45078</v>
      </c>
      <c r="M255" s="4">
        <v>0</v>
      </c>
      <c r="N255" s="4"/>
      <c r="O255" s="4" t="s">
        <v>305</v>
      </c>
      <c r="P255" s="4">
        <v>1</v>
      </c>
      <c r="Q255" s="6"/>
    </row>
    <row r="256" spans="1:17" x14ac:dyDescent="0.25">
      <c r="A256" s="5">
        <v>9</v>
      </c>
      <c r="B256" s="4" t="s">
        <v>856</v>
      </c>
      <c r="C256" s="4" t="s">
        <v>857</v>
      </c>
      <c r="D256" s="4" t="s">
        <v>301</v>
      </c>
      <c r="E256" s="4"/>
      <c r="F256" s="4">
        <v>1</v>
      </c>
      <c r="G256" s="4" t="s">
        <v>317</v>
      </c>
      <c r="H256" s="4" t="s">
        <v>857</v>
      </c>
      <c r="I256" s="4"/>
      <c r="J256" s="4"/>
      <c r="K256" s="4">
        <v>0</v>
      </c>
      <c r="L256" s="19">
        <v>32874</v>
      </c>
      <c r="M256" s="4">
        <v>0</v>
      </c>
      <c r="N256" s="4"/>
      <c r="O256" s="4" t="s">
        <v>305</v>
      </c>
      <c r="P256" s="4">
        <v>1</v>
      </c>
      <c r="Q256" s="6"/>
    </row>
    <row r="257" spans="1:17" x14ac:dyDescent="0.25">
      <c r="A257" s="5">
        <v>81</v>
      </c>
      <c r="B257" s="4" t="s">
        <v>858</v>
      </c>
      <c r="C257" s="4" t="s">
        <v>859</v>
      </c>
      <c r="D257" s="4" t="s">
        <v>301</v>
      </c>
      <c r="E257" s="4" t="s">
        <v>301</v>
      </c>
      <c r="F257" s="4">
        <v>1</v>
      </c>
      <c r="G257" s="4" t="s">
        <v>303</v>
      </c>
      <c r="H257" s="4" t="s">
        <v>860</v>
      </c>
      <c r="I257" s="4"/>
      <c r="J257" s="4"/>
      <c r="K257" s="4">
        <v>6365</v>
      </c>
      <c r="L257" s="19">
        <v>45658</v>
      </c>
      <c r="M257" s="4">
        <v>0</v>
      </c>
      <c r="N257" s="4"/>
      <c r="O257" s="4" t="s">
        <v>305</v>
      </c>
      <c r="P257" s="4">
        <v>1</v>
      </c>
      <c r="Q257" s="6"/>
    </row>
    <row r="258" spans="1:17" x14ac:dyDescent="0.25">
      <c r="A258" s="5">
        <v>82</v>
      </c>
      <c r="B258" s="4" t="s">
        <v>861</v>
      </c>
      <c r="C258" s="4" t="s">
        <v>862</v>
      </c>
      <c r="D258" s="4" t="s">
        <v>301</v>
      </c>
      <c r="E258" s="4" t="s">
        <v>301</v>
      </c>
      <c r="F258" s="4">
        <v>1</v>
      </c>
      <c r="G258" s="4" t="s">
        <v>303</v>
      </c>
      <c r="H258" s="4" t="s">
        <v>863</v>
      </c>
      <c r="I258" s="4"/>
      <c r="J258" s="4"/>
      <c r="K258" s="4">
        <v>7746</v>
      </c>
      <c r="L258" s="19">
        <v>45658</v>
      </c>
      <c r="M258" s="4">
        <v>0</v>
      </c>
      <c r="N258" s="4"/>
      <c r="O258" s="4" t="s">
        <v>305</v>
      </c>
      <c r="P258" s="4">
        <v>1</v>
      </c>
      <c r="Q258" s="6"/>
    </row>
    <row r="259" spans="1:17" x14ac:dyDescent="0.25">
      <c r="A259" s="5">
        <v>83</v>
      </c>
      <c r="B259" s="4" t="s">
        <v>861</v>
      </c>
      <c r="C259" s="4" t="s">
        <v>862</v>
      </c>
      <c r="D259" s="4" t="s">
        <v>301</v>
      </c>
      <c r="E259" s="4" t="s">
        <v>301</v>
      </c>
      <c r="F259" s="4">
        <v>2</v>
      </c>
      <c r="G259" s="4" t="s">
        <v>311</v>
      </c>
      <c r="H259" s="4" t="s">
        <v>864</v>
      </c>
      <c r="I259" s="4"/>
      <c r="J259" s="4"/>
      <c r="K259" s="4">
        <v>1231</v>
      </c>
      <c r="L259" s="19">
        <v>45658</v>
      </c>
      <c r="M259" s="4">
        <v>0</v>
      </c>
      <c r="N259" s="4"/>
      <c r="O259" s="4" t="s">
        <v>305</v>
      </c>
      <c r="P259" s="4">
        <v>1</v>
      </c>
      <c r="Q259" s="6" t="s">
        <v>865</v>
      </c>
    </row>
    <row r="260" spans="1:17" x14ac:dyDescent="0.25">
      <c r="A260" s="5">
        <v>84</v>
      </c>
      <c r="B260" s="4" t="s">
        <v>866</v>
      </c>
      <c r="C260" s="4" t="s">
        <v>867</v>
      </c>
      <c r="D260" s="4" t="s">
        <v>301</v>
      </c>
      <c r="E260" s="4" t="s">
        <v>301</v>
      </c>
      <c r="F260" s="4">
        <v>1</v>
      </c>
      <c r="G260" s="4" t="s">
        <v>303</v>
      </c>
      <c r="H260" s="4" t="s">
        <v>868</v>
      </c>
      <c r="I260" s="4"/>
      <c r="J260" s="4"/>
      <c r="K260" s="4">
        <v>4410</v>
      </c>
      <c r="L260" s="19">
        <v>45658</v>
      </c>
      <c r="M260" s="4">
        <v>0</v>
      </c>
      <c r="N260" s="4"/>
      <c r="O260" s="4" t="s">
        <v>305</v>
      </c>
      <c r="P260" s="4">
        <v>1</v>
      </c>
      <c r="Q260" s="6"/>
    </row>
    <row r="261" spans="1:17" x14ac:dyDescent="0.25">
      <c r="A261" s="5">
        <v>85</v>
      </c>
      <c r="B261" s="4" t="s">
        <v>869</v>
      </c>
      <c r="C261" s="4" t="s">
        <v>870</v>
      </c>
      <c r="D261" s="4" t="s">
        <v>301</v>
      </c>
      <c r="E261" s="4" t="s">
        <v>657</v>
      </c>
      <c r="F261" s="4">
        <v>1</v>
      </c>
      <c r="G261" s="4" t="s">
        <v>303</v>
      </c>
      <c r="H261" s="4" t="s">
        <v>871</v>
      </c>
      <c r="I261" s="4"/>
      <c r="J261" s="4"/>
      <c r="K261" s="4">
        <v>2716</v>
      </c>
      <c r="L261" s="19">
        <v>45658</v>
      </c>
      <c r="M261" s="4">
        <v>0</v>
      </c>
      <c r="N261" s="4"/>
      <c r="O261" s="4" t="s">
        <v>305</v>
      </c>
      <c r="P261" s="4">
        <v>1</v>
      </c>
      <c r="Q261" s="6"/>
    </row>
    <row r="262" spans="1:17" x14ac:dyDescent="0.25">
      <c r="A262" s="5">
        <v>241</v>
      </c>
      <c r="B262" s="4" t="s">
        <v>872</v>
      </c>
      <c r="C262" s="4" t="s">
        <v>873</v>
      </c>
      <c r="D262" s="4" t="s">
        <v>315</v>
      </c>
      <c r="E262" s="4" t="s">
        <v>587</v>
      </c>
      <c r="F262" s="4">
        <v>1</v>
      </c>
      <c r="G262" s="4" t="s">
        <v>317</v>
      </c>
      <c r="H262" s="4" t="s">
        <v>873</v>
      </c>
      <c r="I262" s="4"/>
      <c r="J262" s="4"/>
      <c r="K262" s="4">
        <v>0</v>
      </c>
      <c r="L262" s="19">
        <v>45292</v>
      </c>
      <c r="M262" s="4">
        <v>0</v>
      </c>
      <c r="N262" s="4"/>
      <c r="O262" s="4" t="s">
        <v>305</v>
      </c>
      <c r="P262" s="4">
        <v>1</v>
      </c>
      <c r="Q262" s="6" t="s">
        <v>452</v>
      </c>
    </row>
    <row r="263" spans="1:17" x14ac:dyDescent="0.25">
      <c r="A263" s="5">
        <v>242</v>
      </c>
      <c r="B263" s="4" t="s">
        <v>874</v>
      </c>
      <c r="C263" s="4" t="s">
        <v>875</v>
      </c>
      <c r="D263" s="4" t="s">
        <v>315</v>
      </c>
      <c r="E263" s="4" t="s">
        <v>587</v>
      </c>
      <c r="F263" s="4">
        <v>1</v>
      </c>
      <c r="G263" s="4" t="s">
        <v>317</v>
      </c>
      <c r="H263" s="4" t="s">
        <v>875</v>
      </c>
      <c r="I263" s="4"/>
      <c r="J263" s="4"/>
      <c r="K263" s="4">
        <v>0</v>
      </c>
      <c r="L263" s="19">
        <v>45292</v>
      </c>
      <c r="M263" s="4">
        <v>0</v>
      </c>
      <c r="N263" s="4"/>
      <c r="O263" s="4" t="s">
        <v>305</v>
      </c>
      <c r="P263" s="4">
        <v>1</v>
      </c>
      <c r="Q263" s="6" t="s">
        <v>452</v>
      </c>
    </row>
    <row r="264" spans="1:17" x14ac:dyDescent="0.25">
      <c r="A264" s="5">
        <v>252</v>
      </c>
      <c r="B264" s="4" t="s">
        <v>876</v>
      </c>
      <c r="C264" s="4" t="s">
        <v>877</v>
      </c>
      <c r="D264" s="4" t="s">
        <v>315</v>
      </c>
      <c r="E264" s="4" t="s">
        <v>587</v>
      </c>
      <c r="F264" s="4">
        <v>1</v>
      </c>
      <c r="G264" s="4" t="s">
        <v>317</v>
      </c>
      <c r="H264" s="4" t="s">
        <v>877</v>
      </c>
      <c r="I264" s="4"/>
      <c r="J264" s="4"/>
      <c r="K264" s="4">
        <v>0</v>
      </c>
      <c r="L264" s="19">
        <v>45292</v>
      </c>
      <c r="M264" s="4">
        <v>0</v>
      </c>
      <c r="N264" s="4"/>
      <c r="O264" s="4" t="s">
        <v>305</v>
      </c>
      <c r="P264" s="4">
        <v>1</v>
      </c>
      <c r="Q264" s="6" t="s">
        <v>452</v>
      </c>
    </row>
    <row r="265" spans="1:17" x14ac:dyDescent="0.25">
      <c r="A265" s="5">
        <v>288</v>
      </c>
      <c r="B265" s="4" t="s">
        <v>878</v>
      </c>
      <c r="C265" s="4" t="s">
        <v>879</v>
      </c>
      <c r="D265" s="4" t="s">
        <v>315</v>
      </c>
      <c r="E265" s="4" t="s">
        <v>322</v>
      </c>
      <c r="F265" s="4">
        <v>1</v>
      </c>
      <c r="G265" s="4" t="s">
        <v>317</v>
      </c>
      <c r="H265" s="4" t="s">
        <v>880</v>
      </c>
      <c r="I265" s="4"/>
      <c r="J265" s="4"/>
      <c r="K265" s="4">
        <v>2.2400000000000002</v>
      </c>
      <c r="L265" s="19">
        <v>45658</v>
      </c>
      <c r="M265" s="4">
        <v>0</v>
      </c>
      <c r="N265" s="4"/>
      <c r="O265" s="4" t="s">
        <v>305</v>
      </c>
      <c r="P265" s="4">
        <v>1</v>
      </c>
      <c r="Q265" s="6" t="s">
        <v>452</v>
      </c>
    </row>
    <row r="266" spans="1:17" x14ac:dyDescent="0.25">
      <c r="A266" s="5">
        <v>213</v>
      </c>
      <c r="B266" s="4" t="s">
        <v>881</v>
      </c>
      <c r="C266" s="4" t="s">
        <v>882</v>
      </c>
      <c r="D266" s="4" t="s">
        <v>315</v>
      </c>
      <c r="E266" s="4" t="s">
        <v>322</v>
      </c>
      <c r="F266" s="4">
        <v>1</v>
      </c>
      <c r="G266" s="4" t="s">
        <v>317</v>
      </c>
      <c r="H266" s="4" t="s">
        <v>108</v>
      </c>
      <c r="I266" s="4"/>
      <c r="J266" s="4"/>
      <c r="K266" s="4">
        <v>2.2400000000000002</v>
      </c>
      <c r="L266" s="19">
        <v>45658</v>
      </c>
      <c r="M266" s="4">
        <v>0</v>
      </c>
      <c r="N266" s="4"/>
      <c r="O266" s="4" t="s">
        <v>305</v>
      </c>
      <c r="P266" s="4">
        <v>1</v>
      </c>
      <c r="Q266" s="6" t="s">
        <v>547</v>
      </c>
    </row>
    <row r="267" spans="1:17" x14ac:dyDescent="0.25">
      <c r="A267" s="5">
        <v>214</v>
      </c>
      <c r="B267" s="4" t="s">
        <v>881</v>
      </c>
      <c r="C267" s="4" t="s">
        <v>882</v>
      </c>
      <c r="D267" s="4" t="s">
        <v>315</v>
      </c>
      <c r="E267" s="4" t="s">
        <v>322</v>
      </c>
      <c r="F267" s="4">
        <v>2</v>
      </c>
      <c r="G267" s="4" t="s">
        <v>317</v>
      </c>
      <c r="H267" s="4" t="s">
        <v>548</v>
      </c>
      <c r="I267" s="4"/>
      <c r="J267" s="4"/>
      <c r="K267" s="4">
        <v>4</v>
      </c>
      <c r="L267" s="19">
        <v>45658</v>
      </c>
      <c r="M267" s="4">
        <v>0</v>
      </c>
      <c r="N267" s="4"/>
      <c r="O267" s="4" t="s">
        <v>305</v>
      </c>
      <c r="P267" s="4">
        <v>1</v>
      </c>
      <c r="Q267" s="6" t="s">
        <v>549</v>
      </c>
    </row>
    <row r="268" spans="1:17" x14ac:dyDescent="0.25">
      <c r="A268" s="5">
        <v>239</v>
      </c>
      <c r="B268" s="4" t="s">
        <v>883</v>
      </c>
      <c r="C268" s="4" t="s">
        <v>884</v>
      </c>
      <c r="D268" s="4" t="s">
        <v>315</v>
      </c>
      <c r="E268" s="4" t="s">
        <v>587</v>
      </c>
      <c r="F268" s="4">
        <v>1</v>
      </c>
      <c r="G268" s="4" t="s">
        <v>317</v>
      </c>
      <c r="H268" s="4" t="s">
        <v>884</v>
      </c>
      <c r="I268" s="4"/>
      <c r="J268" s="4"/>
      <c r="K268" s="4">
        <v>0</v>
      </c>
      <c r="L268" s="19">
        <v>45292</v>
      </c>
      <c r="M268" s="4">
        <v>0</v>
      </c>
      <c r="N268" s="4"/>
      <c r="O268" s="4" t="s">
        <v>305</v>
      </c>
      <c r="P268" s="4">
        <v>1</v>
      </c>
      <c r="Q268" s="6" t="s">
        <v>452</v>
      </c>
    </row>
    <row r="269" spans="1:17" x14ac:dyDescent="0.25">
      <c r="A269" s="5">
        <v>237</v>
      </c>
      <c r="B269" s="4" t="s">
        <v>885</v>
      </c>
      <c r="C269" s="4" t="s">
        <v>886</v>
      </c>
      <c r="D269" s="4" t="s">
        <v>315</v>
      </c>
      <c r="E269" s="4" t="s">
        <v>587</v>
      </c>
      <c r="F269" s="4">
        <v>1</v>
      </c>
      <c r="G269" s="4" t="s">
        <v>317</v>
      </c>
      <c r="H269" s="4" t="s">
        <v>886</v>
      </c>
      <c r="I269" s="4"/>
      <c r="J269" s="4"/>
      <c r="K269" s="4">
        <v>0</v>
      </c>
      <c r="L269" s="19">
        <v>45292</v>
      </c>
      <c r="M269" s="4">
        <v>0</v>
      </c>
      <c r="N269" s="4"/>
      <c r="O269" s="4" t="s">
        <v>305</v>
      </c>
      <c r="P269" s="4">
        <v>1</v>
      </c>
      <c r="Q269" s="6" t="s">
        <v>452</v>
      </c>
    </row>
    <row r="270" spans="1:17" x14ac:dyDescent="0.25">
      <c r="A270" s="5">
        <v>238</v>
      </c>
      <c r="B270" s="4" t="s">
        <v>887</v>
      </c>
      <c r="C270" s="4" t="s">
        <v>888</v>
      </c>
      <c r="D270" s="4" t="s">
        <v>315</v>
      </c>
      <c r="E270" s="4" t="s">
        <v>587</v>
      </c>
      <c r="F270" s="4">
        <v>1</v>
      </c>
      <c r="G270" s="4" t="s">
        <v>317</v>
      </c>
      <c r="H270" s="4" t="s">
        <v>888</v>
      </c>
      <c r="I270" s="4"/>
      <c r="J270" s="4"/>
      <c r="K270" s="4">
        <v>0</v>
      </c>
      <c r="L270" s="19">
        <v>45292</v>
      </c>
      <c r="M270" s="4">
        <v>0</v>
      </c>
      <c r="N270" s="4"/>
      <c r="O270" s="4" t="s">
        <v>305</v>
      </c>
      <c r="P270" s="4">
        <v>1</v>
      </c>
      <c r="Q270" s="6" t="s">
        <v>452</v>
      </c>
    </row>
    <row r="271" spans="1:17" x14ac:dyDescent="0.25">
      <c r="A271" s="5">
        <v>251</v>
      </c>
      <c r="B271" s="4" t="s">
        <v>889</v>
      </c>
      <c r="C271" s="4" t="s">
        <v>890</v>
      </c>
      <c r="D271" s="4" t="s">
        <v>315</v>
      </c>
      <c r="E271" s="4" t="s">
        <v>587</v>
      </c>
      <c r="F271" s="4">
        <v>1</v>
      </c>
      <c r="G271" s="4" t="s">
        <v>317</v>
      </c>
      <c r="H271" s="4" t="s">
        <v>890</v>
      </c>
      <c r="I271" s="4"/>
      <c r="J271" s="4"/>
      <c r="K271" s="4">
        <v>0</v>
      </c>
      <c r="L271" s="19">
        <v>45292</v>
      </c>
      <c r="M271" s="4">
        <v>0</v>
      </c>
      <c r="N271" s="4"/>
      <c r="O271" s="4" t="s">
        <v>305</v>
      </c>
      <c r="P271" s="4">
        <v>1</v>
      </c>
      <c r="Q271" s="6" t="s">
        <v>452</v>
      </c>
    </row>
    <row r="272" spans="1:17" x14ac:dyDescent="0.25">
      <c r="A272" s="5">
        <v>215</v>
      </c>
      <c r="B272" s="4" t="s">
        <v>891</v>
      </c>
      <c r="C272" s="4" t="s">
        <v>892</v>
      </c>
      <c r="D272" s="4" t="s">
        <v>315</v>
      </c>
      <c r="E272" s="4" t="s">
        <v>322</v>
      </c>
      <c r="F272" s="4">
        <v>1</v>
      </c>
      <c r="G272" s="4" t="s">
        <v>317</v>
      </c>
      <c r="H272" s="4" t="s">
        <v>110</v>
      </c>
      <c r="I272" s="4"/>
      <c r="J272" s="4"/>
      <c r="K272" s="4">
        <v>4.4000000000000004</v>
      </c>
      <c r="L272" s="19">
        <v>45658</v>
      </c>
      <c r="M272" s="4">
        <v>0</v>
      </c>
      <c r="N272" s="4"/>
      <c r="O272" s="4" t="s">
        <v>305</v>
      </c>
      <c r="P272" s="4">
        <v>1</v>
      </c>
      <c r="Q272" s="6" t="s">
        <v>547</v>
      </c>
    </row>
    <row r="273" spans="1:17" x14ac:dyDescent="0.25">
      <c r="A273" s="5">
        <v>216</v>
      </c>
      <c r="B273" s="4" t="s">
        <v>891</v>
      </c>
      <c r="C273" s="4" t="s">
        <v>892</v>
      </c>
      <c r="D273" s="4" t="s">
        <v>315</v>
      </c>
      <c r="E273" s="4" t="s">
        <v>322</v>
      </c>
      <c r="F273" s="4">
        <v>2</v>
      </c>
      <c r="G273" s="4" t="s">
        <v>317</v>
      </c>
      <c r="H273" s="4" t="s">
        <v>559</v>
      </c>
      <c r="I273" s="4"/>
      <c r="J273" s="4"/>
      <c r="K273" s="4">
        <v>8</v>
      </c>
      <c r="L273" s="19">
        <v>45658</v>
      </c>
      <c r="M273" s="4">
        <v>0</v>
      </c>
      <c r="N273" s="4"/>
      <c r="O273" s="4" t="s">
        <v>305</v>
      </c>
      <c r="P273" s="4">
        <v>1</v>
      </c>
      <c r="Q273" s="6" t="s">
        <v>549</v>
      </c>
    </row>
    <row r="274" spans="1:17" x14ac:dyDescent="0.25">
      <c r="A274" s="5">
        <v>240</v>
      </c>
      <c r="B274" s="4" t="s">
        <v>893</v>
      </c>
      <c r="C274" s="4" t="s">
        <v>894</v>
      </c>
      <c r="D274" s="4" t="s">
        <v>315</v>
      </c>
      <c r="E274" s="4" t="s">
        <v>587</v>
      </c>
      <c r="F274" s="4">
        <v>1</v>
      </c>
      <c r="G274" s="4" t="s">
        <v>317</v>
      </c>
      <c r="H274" s="4" t="s">
        <v>894</v>
      </c>
      <c r="I274" s="4"/>
      <c r="J274" s="4"/>
      <c r="K274" s="4">
        <v>0</v>
      </c>
      <c r="L274" s="19">
        <v>45292</v>
      </c>
      <c r="M274" s="4">
        <v>0</v>
      </c>
      <c r="N274" s="4"/>
      <c r="O274" s="4" t="s">
        <v>305</v>
      </c>
      <c r="P274" s="4">
        <v>1</v>
      </c>
      <c r="Q274" s="6" t="s">
        <v>452</v>
      </c>
    </row>
    <row r="275" spans="1:17" x14ac:dyDescent="0.25">
      <c r="A275" s="5">
        <v>155</v>
      </c>
      <c r="B275" s="4" t="s">
        <v>895</v>
      </c>
      <c r="C275" s="4" t="s">
        <v>896</v>
      </c>
      <c r="D275" s="4" t="s">
        <v>301</v>
      </c>
      <c r="E275" s="4" t="s">
        <v>657</v>
      </c>
      <c r="F275" s="4">
        <v>1</v>
      </c>
      <c r="G275" s="4" t="s">
        <v>303</v>
      </c>
      <c r="H275" s="4" t="s">
        <v>897</v>
      </c>
      <c r="I275" s="4"/>
      <c r="J275" s="4"/>
      <c r="K275" s="4">
        <v>2200</v>
      </c>
      <c r="L275" s="19">
        <v>45078</v>
      </c>
      <c r="M275" s="4">
        <v>0</v>
      </c>
      <c r="N275" s="4"/>
      <c r="O275" s="4" t="s">
        <v>305</v>
      </c>
      <c r="P275" s="4">
        <v>1</v>
      </c>
      <c r="Q275" s="6"/>
    </row>
    <row r="276" spans="1:17" x14ac:dyDescent="0.25">
      <c r="A276" s="5">
        <v>204</v>
      </c>
      <c r="B276" s="4" t="s">
        <v>898</v>
      </c>
      <c r="C276" s="4" t="s">
        <v>899</v>
      </c>
      <c r="D276" s="4" t="s">
        <v>315</v>
      </c>
      <c r="E276" s="4" t="s">
        <v>380</v>
      </c>
      <c r="F276" s="4">
        <v>1</v>
      </c>
      <c r="G276" s="4" t="s">
        <v>317</v>
      </c>
      <c r="H276" s="4" t="s">
        <v>900</v>
      </c>
      <c r="I276" s="4"/>
      <c r="J276" s="4"/>
      <c r="K276" s="4">
        <v>162.4</v>
      </c>
      <c r="L276" s="19">
        <v>44927</v>
      </c>
      <c r="M276" s="4">
        <v>0</v>
      </c>
      <c r="N276" s="4"/>
      <c r="O276" s="4" t="s">
        <v>305</v>
      </c>
      <c r="P276" s="4">
        <v>1</v>
      </c>
      <c r="Q276" s="6" t="s">
        <v>382</v>
      </c>
    </row>
    <row r="277" spans="1:17" x14ac:dyDescent="0.25">
      <c r="A277" s="5">
        <v>264</v>
      </c>
      <c r="B277" s="4" t="s">
        <v>901</v>
      </c>
      <c r="C277" s="4" t="s">
        <v>902</v>
      </c>
      <c r="D277" s="4" t="s">
        <v>315</v>
      </c>
      <c r="E277" s="4" t="s">
        <v>322</v>
      </c>
      <c r="F277" s="4">
        <v>1</v>
      </c>
      <c r="G277" s="4" t="s">
        <v>317</v>
      </c>
      <c r="H277" s="4" t="s">
        <v>902</v>
      </c>
      <c r="I277" s="4"/>
      <c r="J277" s="4"/>
      <c r="K277" s="4"/>
      <c r="L277" s="19"/>
      <c r="M277" s="4">
        <v>0</v>
      </c>
      <c r="N277" s="4"/>
      <c r="O277" s="4" t="s">
        <v>305</v>
      </c>
      <c r="P277" s="4">
        <v>1</v>
      </c>
      <c r="Q277" s="6" t="s">
        <v>319</v>
      </c>
    </row>
    <row r="278" spans="1:17" x14ac:dyDescent="0.25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19"/>
      <c r="M278" s="4"/>
      <c r="N278" s="4"/>
      <c r="O278" s="4"/>
      <c r="P278" s="4"/>
      <c r="Q278" s="6"/>
    </row>
    <row r="279" spans="1:17" x14ac:dyDescent="0.25">
      <c r="A279" s="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19"/>
      <c r="M279" s="4"/>
      <c r="N279" s="4"/>
      <c r="O279" s="4"/>
      <c r="P279" s="4"/>
      <c r="Q279" s="6"/>
    </row>
    <row r="280" spans="1:17" x14ac:dyDescent="0.25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19"/>
      <c r="M280" s="4"/>
      <c r="N280" s="4"/>
      <c r="O280" s="4"/>
      <c r="P280" s="4"/>
      <c r="Q280" s="6"/>
    </row>
    <row r="281" spans="1:17" x14ac:dyDescent="0.25">
      <c r="A281" s="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19"/>
      <c r="M281" s="4"/>
      <c r="N281" s="4"/>
      <c r="O281" s="4"/>
      <c r="P281" s="4"/>
      <c r="Q281" s="6"/>
    </row>
    <row r="282" spans="1:17" x14ac:dyDescent="0.25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19"/>
      <c r="M282" s="4"/>
      <c r="N282" s="4"/>
      <c r="O282" s="4"/>
      <c r="P282" s="4"/>
      <c r="Q282" s="6"/>
    </row>
    <row r="283" spans="1:17" x14ac:dyDescent="0.25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19"/>
      <c r="M283" s="4"/>
      <c r="N283" s="4"/>
      <c r="O283" s="4"/>
      <c r="P283" s="4"/>
      <c r="Q283" s="6"/>
    </row>
    <row r="284" spans="1:17" x14ac:dyDescent="0.25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19"/>
      <c r="M284" s="4"/>
      <c r="N284" s="4"/>
      <c r="O284" s="4"/>
      <c r="P284" s="4"/>
      <c r="Q284" s="6"/>
    </row>
    <row r="285" spans="1:17" x14ac:dyDescent="0.25">
      <c r="A285" s="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19"/>
      <c r="M285" s="4"/>
      <c r="N285" s="4"/>
      <c r="O285" s="4"/>
      <c r="P285" s="4"/>
      <c r="Q285" s="6"/>
    </row>
    <row r="286" spans="1:17" x14ac:dyDescent="0.25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19"/>
      <c r="M286" s="4"/>
      <c r="N286" s="4"/>
      <c r="O286" s="4"/>
      <c r="P286" s="4"/>
      <c r="Q286" s="6"/>
    </row>
    <row r="287" spans="1:17" x14ac:dyDescent="0.25">
      <c r="A287" s="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19"/>
      <c r="M287" s="4"/>
      <c r="N287" s="4"/>
      <c r="O287" s="4"/>
      <c r="P287" s="4"/>
      <c r="Q287" s="6"/>
    </row>
    <row r="288" spans="1:17" x14ac:dyDescent="0.25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19"/>
      <c r="M288" s="4"/>
      <c r="N288" s="4"/>
      <c r="O288" s="4"/>
      <c r="P288" s="4"/>
      <c r="Q288" s="6"/>
    </row>
    <row r="289" spans="1:17" x14ac:dyDescent="0.25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19"/>
      <c r="M289" s="4"/>
      <c r="N289" s="4"/>
      <c r="O289" s="4"/>
      <c r="P289" s="4"/>
      <c r="Q289" s="6"/>
    </row>
    <row r="290" spans="1:17" x14ac:dyDescent="0.25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19"/>
      <c r="M290" s="4"/>
      <c r="N290" s="4"/>
      <c r="O290" s="4"/>
      <c r="P290" s="4"/>
      <c r="Q290" s="6"/>
    </row>
    <row r="291" spans="1:17" x14ac:dyDescent="0.25">
      <c r="A291" s="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19"/>
      <c r="M291" s="4"/>
      <c r="N291" s="4"/>
      <c r="O291" s="4"/>
      <c r="P291" s="4"/>
      <c r="Q291" s="6"/>
    </row>
    <row r="292" spans="1:17" x14ac:dyDescent="0.25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19"/>
      <c r="M292" s="4"/>
      <c r="N292" s="4"/>
      <c r="O292" s="4"/>
      <c r="P292" s="4"/>
      <c r="Q292" s="6"/>
    </row>
    <row r="293" spans="1:17" x14ac:dyDescent="0.25">
      <c r="A293" s="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19"/>
      <c r="M293" s="4"/>
      <c r="N293" s="4"/>
      <c r="O293" s="4"/>
      <c r="P293" s="4"/>
      <c r="Q293" s="6"/>
    </row>
    <row r="294" spans="1:17" x14ac:dyDescent="0.25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19"/>
      <c r="M294" s="4"/>
      <c r="N294" s="4"/>
      <c r="O294" s="4"/>
      <c r="P294" s="4"/>
      <c r="Q294" s="6"/>
    </row>
    <row r="295" spans="1:17" x14ac:dyDescent="0.25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19"/>
      <c r="M295" s="4"/>
      <c r="N295" s="4"/>
      <c r="O295" s="4"/>
      <c r="P295" s="4"/>
      <c r="Q295" s="6"/>
    </row>
    <row r="296" spans="1:17" x14ac:dyDescent="0.25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19"/>
      <c r="M296" s="4"/>
      <c r="N296" s="4"/>
      <c r="O296" s="4"/>
      <c r="P296" s="4"/>
      <c r="Q296" s="6"/>
    </row>
    <row r="297" spans="1:17" x14ac:dyDescent="0.25">
      <c r="A297" s="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19"/>
      <c r="M297" s="4"/>
      <c r="N297" s="4"/>
      <c r="O297" s="4"/>
      <c r="P297" s="4"/>
      <c r="Q297" s="6"/>
    </row>
    <row r="298" spans="1:17" x14ac:dyDescent="0.25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19"/>
      <c r="M298" s="4"/>
      <c r="N298" s="4"/>
      <c r="O298" s="4"/>
      <c r="P298" s="4"/>
      <c r="Q298" s="6"/>
    </row>
    <row r="299" spans="1:17" x14ac:dyDescent="0.25">
      <c r="A299" s="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19"/>
      <c r="M299" s="4"/>
      <c r="N299" s="4"/>
      <c r="O299" s="4"/>
      <c r="P299" s="4"/>
      <c r="Q299" s="6"/>
    </row>
    <row r="300" spans="1:17" x14ac:dyDescent="0.25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19"/>
      <c r="M300" s="4"/>
      <c r="N300" s="4"/>
      <c r="O300" s="4"/>
      <c r="P300" s="4"/>
      <c r="Q300" s="6"/>
    </row>
    <row r="301" spans="1:17" x14ac:dyDescent="0.25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19"/>
      <c r="M301" s="4"/>
      <c r="N301" s="4"/>
      <c r="O301" s="4"/>
      <c r="P301" s="4"/>
      <c r="Q301" s="6"/>
    </row>
    <row r="302" spans="1:17" x14ac:dyDescent="0.25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19"/>
      <c r="M302" s="4"/>
      <c r="N302" s="4"/>
      <c r="O302" s="4"/>
      <c r="P302" s="4"/>
      <c r="Q302" s="6"/>
    </row>
    <row r="303" spans="1:17" x14ac:dyDescent="0.25">
      <c r="A303" s="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19"/>
      <c r="M303" s="4"/>
      <c r="N303" s="4"/>
      <c r="O303" s="4"/>
      <c r="P303" s="4"/>
      <c r="Q303" s="6"/>
    </row>
    <row r="304" spans="1:17" x14ac:dyDescent="0.25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19"/>
      <c r="M304" s="4"/>
      <c r="N304" s="4"/>
      <c r="O304" s="4"/>
      <c r="P304" s="4"/>
      <c r="Q304" s="6"/>
    </row>
    <row r="305" spans="1:17" x14ac:dyDescent="0.25">
      <c r="A305" s="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19"/>
      <c r="M305" s="4"/>
      <c r="N305" s="4"/>
      <c r="O305" s="4"/>
      <c r="P305" s="4"/>
      <c r="Q305" s="6"/>
    </row>
    <row r="306" spans="1:17" x14ac:dyDescent="0.25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19"/>
      <c r="M306" s="4"/>
      <c r="N306" s="4"/>
      <c r="O306" s="4"/>
      <c r="P306" s="4"/>
      <c r="Q306" s="6"/>
    </row>
    <row r="307" spans="1:17" x14ac:dyDescent="0.25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19"/>
      <c r="M307" s="4"/>
      <c r="N307" s="4"/>
      <c r="O307" s="4"/>
      <c r="P307" s="4"/>
      <c r="Q307" s="6"/>
    </row>
    <row r="308" spans="1:17" x14ac:dyDescent="0.25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19"/>
      <c r="M308" s="4"/>
      <c r="N308" s="4"/>
      <c r="O308" s="4"/>
      <c r="P308" s="4"/>
      <c r="Q308" s="6"/>
    </row>
    <row r="309" spans="1:17" x14ac:dyDescent="0.25">
      <c r="A309" s="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19"/>
      <c r="M309" s="4"/>
      <c r="N309" s="4"/>
      <c r="O309" s="4"/>
      <c r="P309" s="4"/>
      <c r="Q309" s="6"/>
    </row>
    <row r="310" spans="1:17" x14ac:dyDescent="0.25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19"/>
      <c r="M310" s="4"/>
      <c r="N310" s="4"/>
      <c r="O310" s="4"/>
      <c r="P310" s="4"/>
      <c r="Q310" s="6"/>
    </row>
    <row r="311" spans="1:17" x14ac:dyDescent="0.25">
      <c r="A311" s="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19"/>
      <c r="M311" s="4"/>
      <c r="N311" s="4"/>
      <c r="O311" s="4"/>
      <c r="P311" s="4"/>
      <c r="Q311" s="6"/>
    </row>
    <row r="312" spans="1:17" x14ac:dyDescent="0.25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19"/>
      <c r="M312" s="4"/>
      <c r="N312" s="4"/>
      <c r="O312" s="4"/>
      <c r="P312" s="4"/>
      <c r="Q312" s="6"/>
    </row>
    <row r="313" spans="1:17" x14ac:dyDescent="0.25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19"/>
      <c r="M313" s="4"/>
      <c r="N313" s="4"/>
      <c r="O313" s="4"/>
      <c r="P313" s="4"/>
      <c r="Q313" s="6"/>
    </row>
    <row r="314" spans="1:17" x14ac:dyDescent="0.25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19"/>
      <c r="M314" s="4"/>
      <c r="N314" s="4"/>
      <c r="O314" s="4"/>
      <c r="P314" s="4"/>
      <c r="Q314" s="6"/>
    </row>
    <row r="315" spans="1:17" x14ac:dyDescent="0.25">
      <c r="A315" s="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19"/>
      <c r="M315" s="4"/>
      <c r="N315" s="4"/>
      <c r="O315" s="4"/>
      <c r="P315" s="4"/>
      <c r="Q315" s="6"/>
    </row>
    <row r="316" spans="1:17" x14ac:dyDescent="0.25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19"/>
      <c r="M316" s="4"/>
      <c r="N316" s="4"/>
      <c r="O316" s="4"/>
      <c r="P316" s="4"/>
      <c r="Q316" s="6"/>
    </row>
    <row r="317" spans="1:17" x14ac:dyDescent="0.25">
      <c r="A317" s="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19"/>
      <c r="M317" s="4"/>
      <c r="N317" s="4"/>
      <c r="O317" s="4"/>
      <c r="P317" s="4"/>
      <c r="Q317" s="6"/>
    </row>
    <row r="318" spans="1:17" x14ac:dyDescent="0.25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19"/>
      <c r="M318" s="4"/>
      <c r="N318" s="4"/>
      <c r="O318" s="4"/>
      <c r="P318" s="4"/>
      <c r="Q318" s="6"/>
    </row>
    <row r="319" spans="1:17" x14ac:dyDescent="0.25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19"/>
      <c r="M319" s="4"/>
      <c r="N319" s="4"/>
      <c r="O319" s="4"/>
      <c r="P319" s="4"/>
      <c r="Q319" s="6"/>
    </row>
    <row r="320" spans="1:17" x14ac:dyDescent="0.25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19"/>
      <c r="M320" s="4"/>
      <c r="N320" s="4"/>
      <c r="O320" s="4"/>
      <c r="P320" s="4"/>
      <c r="Q320" s="6"/>
    </row>
    <row r="321" spans="1:17" x14ac:dyDescent="0.25">
      <c r="A321" s="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19"/>
      <c r="M321" s="4"/>
      <c r="N321" s="4"/>
      <c r="O321" s="4"/>
      <c r="P321" s="4"/>
      <c r="Q321" s="6"/>
    </row>
    <row r="322" spans="1:17" x14ac:dyDescent="0.25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19"/>
      <c r="M322" s="4"/>
      <c r="N322" s="4"/>
      <c r="O322" s="4"/>
      <c r="P322" s="4"/>
      <c r="Q322" s="6"/>
    </row>
    <row r="323" spans="1:17" x14ac:dyDescent="0.25">
      <c r="A323" s="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19"/>
      <c r="M323" s="4"/>
      <c r="N323" s="4"/>
      <c r="O323" s="4"/>
      <c r="P323" s="4"/>
      <c r="Q323" s="6"/>
    </row>
    <row r="324" spans="1:17" x14ac:dyDescent="0.25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19"/>
      <c r="M324" s="4"/>
      <c r="N324" s="4"/>
      <c r="O324" s="4"/>
      <c r="P324" s="4"/>
      <c r="Q324" s="6"/>
    </row>
    <row r="325" spans="1:17" x14ac:dyDescent="0.25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19"/>
      <c r="M325" s="4"/>
      <c r="N325" s="4"/>
      <c r="O325" s="4"/>
      <c r="P325" s="4"/>
      <c r="Q325" s="6"/>
    </row>
    <row r="326" spans="1:17" x14ac:dyDescent="0.25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19"/>
      <c r="M326" s="4"/>
      <c r="N326" s="4"/>
      <c r="O326" s="4"/>
      <c r="P326" s="4"/>
      <c r="Q326" s="6"/>
    </row>
    <row r="327" spans="1:17" x14ac:dyDescent="0.25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19"/>
      <c r="M327" s="4"/>
      <c r="N327" s="4"/>
      <c r="O327" s="4"/>
      <c r="P327" s="4"/>
      <c r="Q327" s="6"/>
    </row>
    <row r="328" spans="1:17" x14ac:dyDescent="0.25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19"/>
      <c r="M328" s="4"/>
      <c r="N328" s="4"/>
      <c r="O328" s="4"/>
      <c r="P328" s="4"/>
      <c r="Q328" s="6"/>
    </row>
    <row r="329" spans="1:17" x14ac:dyDescent="0.25">
      <c r="A329" s="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19"/>
      <c r="M329" s="4"/>
      <c r="N329" s="4"/>
      <c r="O329" s="4"/>
      <c r="P329" s="4"/>
      <c r="Q329" s="6"/>
    </row>
    <row r="330" spans="1:17" x14ac:dyDescent="0.25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19"/>
      <c r="M330" s="4"/>
      <c r="N330" s="4"/>
      <c r="O330" s="4"/>
      <c r="P330" s="4"/>
      <c r="Q330" s="6"/>
    </row>
    <row r="331" spans="1:17" x14ac:dyDescent="0.25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19"/>
      <c r="M331" s="4"/>
      <c r="N331" s="4"/>
      <c r="O331" s="4"/>
      <c r="P331" s="4"/>
      <c r="Q331" s="6"/>
    </row>
    <row r="332" spans="1:17" x14ac:dyDescent="0.25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19"/>
      <c r="M332" s="4"/>
      <c r="N332" s="4"/>
      <c r="O332" s="4"/>
      <c r="P332" s="4"/>
      <c r="Q332" s="6"/>
    </row>
    <row r="333" spans="1:17" x14ac:dyDescent="0.25">
      <c r="A333" s="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6"/>
    </row>
    <row r="334" spans="1:17" x14ac:dyDescent="0.25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6"/>
    </row>
    <row r="335" spans="1:17" x14ac:dyDescent="0.25">
      <c r="A335" s="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6"/>
    </row>
    <row r="336" spans="1:17" x14ac:dyDescent="0.25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6"/>
    </row>
    <row r="337" spans="1:17" x14ac:dyDescent="0.25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6"/>
    </row>
    <row r="338" spans="1:17" x14ac:dyDescent="0.25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6"/>
    </row>
    <row r="339" spans="1:17" x14ac:dyDescent="0.25">
      <c r="A339" s="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6"/>
    </row>
    <row r="340" spans="1:17" x14ac:dyDescent="0.25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6"/>
    </row>
    <row r="341" spans="1:17" x14ac:dyDescent="0.25">
      <c r="A341" s="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6"/>
    </row>
    <row r="342" spans="1:17" x14ac:dyDescent="0.25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6"/>
    </row>
    <row r="343" spans="1:17" x14ac:dyDescent="0.25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6"/>
    </row>
    <row r="344" spans="1:17" x14ac:dyDescent="0.25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6"/>
    </row>
    <row r="345" spans="1:17" x14ac:dyDescent="0.25">
      <c r="A345" s="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6"/>
    </row>
    <row r="346" spans="1:17" x14ac:dyDescent="0.25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6"/>
    </row>
    <row r="347" spans="1:17" x14ac:dyDescent="0.25">
      <c r="A347" s="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6"/>
    </row>
    <row r="348" spans="1:17" x14ac:dyDescent="0.25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6"/>
    </row>
    <row r="349" spans="1:17" x14ac:dyDescent="0.25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6"/>
    </row>
    <row r="350" spans="1:17" x14ac:dyDescent="0.25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6"/>
    </row>
    <row r="351" spans="1:17" x14ac:dyDescent="0.25">
      <c r="A351" s="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6"/>
    </row>
    <row r="352" spans="1:17" x14ac:dyDescent="0.25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6"/>
    </row>
    <row r="353" spans="1:17" x14ac:dyDescent="0.25">
      <c r="A353" s="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6"/>
    </row>
    <row r="354" spans="1:17" x14ac:dyDescent="0.25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6"/>
    </row>
    <row r="355" spans="1:17" x14ac:dyDescent="0.25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6"/>
    </row>
    <row r="356" spans="1:17" x14ac:dyDescent="0.25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6"/>
    </row>
    <row r="357" spans="1:17" x14ac:dyDescent="0.25">
      <c r="A357" s="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6"/>
    </row>
    <row r="358" spans="1:17" x14ac:dyDescent="0.25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6"/>
    </row>
    <row r="359" spans="1:17" x14ac:dyDescent="0.25">
      <c r="A359" s="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6"/>
    </row>
    <row r="360" spans="1:17" x14ac:dyDescent="0.25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6"/>
    </row>
    <row r="361" spans="1:17" x14ac:dyDescent="0.25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6"/>
    </row>
    <row r="362" spans="1:17" x14ac:dyDescent="0.25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6"/>
    </row>
    <row r="363" spans="1:17" x14ac:dyDescent="0.25">
      <c r="A363" s="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6"/>
    </row>
    <row r="364" spans="1:17" x14ac:dyDescent="0.25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6"/>
    </row>
    <row r="365" spans="1:17" x14ac:dyDescent="0.25">
      <c r="A365" s="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6"/>
    </row>
    <row r="366" spans="1:17" x14ac:dyDescent="0.25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6"/>
    </row>
    <row r="367" spans="1:17" x14ac:dyDescent="0.25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6"/>
    </row>
    <row r="368" spans="1:17" x14ac:dyDescent="0.25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6"/>
    </row>
    <row r="369" spans="1:17" x14ac:dyDescent="0.25">
      <c r="A369" s="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6"/>
    </row>
    <row r="370" spans="1:17" x14ac:dyDescent="0.25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6"/>
    </row>
    <row r="371" spans="1:17" x14ac:dyDescent="0.25">
      <c r="A371" s="16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"/>
  <sheetViews>
    <sheetView workbookViewId="0"/>
  </sheetViews>
  <sheetFormatPr defaultRowHeight="15" x14ac:dyDescent="0.25"/>
  <sheetData>
    <row r="1" spans="1:17" ht="45" customHeight="1" x14ac:dyDescent="0.25">
      <c r="A1" s="20" t="s">
        <v>282</v>
      </c>
      <c r="B1" s="21" t="s">
        <v>283</v>
      </c>
      <c r="C1" s="21" t="s">
        <v>284</v>
      </c>
      <c r="D1" s="21" t="s">
        <v>285</v>
      </c>
      <c r="E1" s="21" t="s">
        <v>286</v>
      </c>
      <c r="F1" s="21" t="s">
        <v>287</v>
      </c>
      <c r="G1" s="21" t="s">
        <v>288</v>
      </c>
      <c r="H1" s="21" t="s">
        <v>289</v>
      </c>
      <c r="I1" s="21" t="s">
        <v>290</v>
      </c>
      <c r="J1" s="21" t="s">
        <v>291</v>
      </c>
      <c r="K1" s="21" t="s">
        <v>292</v>
      </c>
      <c r="L1" s="21" t="s">
        <v>293</v>
      </c>
      <c r="M1" s="21" t="s">
        <v>294</v>
      </c>
      <c r="N1" s="21" t="s">
        <v>295</v>
      </c>
      <c r="O1" s="21" t="s">
        <v>296</v>
      </c>
      <c r="P1" s="21" t="s">
        <v>297</v>
      </c>
      <c r="Q1" s="22" t="s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6"/>
  <sheetViews>
    <sheetView workbookViewId="0"/>
  </sheetViews>
  <sheetFormatPr defaultRowHeight="15" x14ac:dyDescent="0.25"/>
  <cols>
    <col min="1" max="1" width="30" customWidth="1"/>
    <col min="2" max="2" width="95" customWidth="1"/>
  </cols>
  <sheetData>
    <row r="1" spans="1:2" x14ac:dyDescent="0.25">
      <c r="A1" s="23" t="s">
        <v>279</v>
      </c>
      <c r="B1" s="24" t="s">
        <v>281</v>
      </c>
    </row>
    <row r="2" spans="1:2" x14ac:dyDescent="0.25">
      <c r="A2" s="5" t="s">
        <v>904</v>
      </c>
      <c r="B2" s="6" t="s">
        <v>905</v>
      </c>
    </row>
    <row r="3" spans="1:2" x14ac:dyDescent="0.25">
      <c r="A3" s="5" t="s">
        <v>906</v>
      </c>
      <c r="B3" s="6" t="s">
        <v>907</v>
      </c>
    </row>
    <row r="4" spans="1:2" x14ac:dyDescent="0.25">
      <c r="A4" s="5" t="s">
        <v>908</v>
      </c>
      <c r="B4" s="6" t="s">
        <v>909</v>
      </c>
    </row>
    <row r="5" spans="1:2" x14ac:dyDescent="0.25">
      <c r="A5" s="5" t="s">
        <v>910</v>
      </c>
      <c r="B5" s="6">
        <v>367</v>
      </c>
    </row>
    <row r="6" spans="1:2" x14ac:dyDescent="0.25">
      <c r="A6" s="5"/>
      <c r="B6" s="6"/>
    </row>
    <row r="7" spans="1:2" x14ac:dyDescent="0.25">
      <c r="A7" s="5" t="s">
        <v>911</v>
      </c>
      <c r="B7" s="6" t="s">
        <v>912</v>
      </c>
    </row>
    <row r="8" spans="1:2" x14ac:dyDescent="0.25">
      <c r="A8" s="5" t="s">
        <v>95</v>
      </c>
      <c r="B8" s="6" t="s">
        <v>913</v>
      </c>
    </row>
    <row r="9" spans="1:2" x14ac:dyDescent="0.25">
      <c r="A9" s="5" t="s">
        <v>100</v>
      </c>
      <c r="B9" s="6" t="s">
        <v>914</v>
      </c>
    </row>
    <row r="10" spans="1:2" x14ac:dyDescent="0.25">
      <c r="A10" s="5" t="s">
        <v>915</v>
      </c>
      <c r="B10" s="6" t="s">
        <v>916</v>
      </c>
    </row>
    <row r="11" spans="1:2" x14ac:dyDescent="0.25">
      <c r="A11" s="5" t="s">
        <v>917</v>
      </c>
      <c r="B11" s="6" t="s">
        <v>918</v>
      </c>
    </row>
    <row r="12" spans="1:2" x14ac:dyDescent="0.25">
      <c r="A12" s="5" t="s">
        <v>177</v>
      </c>
      <c r="B12" s="6" t="s">
        <v>919</v>
      </c>
    </row>
    <row r="13" spans="1:2" x14ac:dyDescent="0.25">
      <c r="A13" s="5" t="s">
        <v>920</v>
      </c>
      <c r="B13" s="6" t="s">
        <v>921</v>
      </c>
    </row>
    <row r="14" spans="1:2" x14ac:dyDescent="0.25">
      <c r="A14" s="5" t="s">
        <v>922</v>
      </c>
      <c r="B14" s="6" t="s">
        <v>923</v>
      </c>
    </row>
    <row r="15" spans="1:2" x14ac:dyDescent="0.25">
      <c r="A15" s="5"/>
      <c r="B15" s="6"/>
    </row>
    <row r="16" spans="1:2" x14ac:dyDescent="0.25">
      <c r="A16" s="16" t="s">
        <v>924</v>
      </c>
      <c r="B16" s="18" t="s">
        <v>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00"/>
  <sheetViews>
    <sheetView topLeftCell="A42" workbookViewId="0">
      <selection activeCell="I36" sqref="I36"/>
    </sheetView>
  </sheetViews>
  <sheetFormatPr defaultRowHeight="15" x14ac:dyDescent="0.25"/>
  <cols>
    <col min="1" max="1" width="12" customWidth="1"/>
    <col min="2" max="2" width="10" customWidth="1"/>
    <col min="3" max="3" width="16" customWidth="1"/>
    <col min="4" max="4" width="44" customWidth="1"/>
    <col min="5" max="5" width="36" customWidth="1"/>
    <col min="6" max="6" width="44" customWidth="1"/>
    <col min="7" max="7" width="22" customWidth="1"/>
    <col min="8" max="8" width="14" customWidth="1"/>
    <col min="9" max="9" width="50" customWidth="1"/>
    <col min="10" max="10" width="22" customWidth="1"/>
    <col min="11" max="11" width="44" customWidth="1"/>
    <col min="12" max="12" width="12" customWidth="1"/>
    <col min="13" max="13" width="14" customWidth="1"/>
    <col min="14" max="14" width="12" customWidth="1"/>
    <col min="15" max="15" width="14" customWidth="1"/>
    <col min="16" max="16" width="48" customWidth="1"/>
    <col min="17" max="18" width="14" customWidth="1"/>
    <col min="19" max="20" width="16" customWidth="1"/>
    <col min="21" max="21" width="14" customWidth="1"/>
    <col min="22" max="22" width="18" customWidth="1"/>
    <col min="23" max="23" width="14" customWidth="1"/>
    <col min="24" max="24" width="12" customWidth="1"/>
    <col min="25" max="25" width="18" customWidth="1"/>
  </cols>
  <sheetData>
    <row r="1" spans="1:25" ht="30" x14ac:dyDescent="0.25">
      <c r="A1" s="64" t="s">
        <v>926</v>
      </c>
      <c r="B1" s="65" t="s">
        <v>927</v>
      </c>
      <c r="C1" s="65" t="s">
        <v>928</v>
      </c>
      <c r="D1" s="65" t="s">
        <v>929</v>
      </c>
      <c r="E1" s="65" t="s">
        <v>281</v>
      </c>
      <c r="F1" s="65" t="s">
        <v>930</v>
      </c>
      <c r="G1" s="65" t="s">
        <v>931</v>
      </c>
      <c r="H1" s="65" t="s">
        <v>282</v>
      </c>
      <c r="I1" s="65" t="s">
        <v>932</v>
      </c>
      <c r="J1" s="65" t="s">
        <v>283</v>
      </c>
      <c r="K1" s="65" t="s">
        <v>284</v>
      </c>
      <c r="L1" s="65" t="s">
        <v>285</v>
      </c>
      <c r="M1" s="65" t="s">
        <v>286</v>
      </c>
      <c r="N1" s="65" t="s">
        <v>287</v>
      </c>
      <c r="O1" s="65" t="s">
        <v>288</v>
      </c>
      <c r="P1" s="65" t="s">
        <v>289</v>
      </c>
      <c r="Q1" s="65" t="s">
        <v>290</v>
      </c>
      <c r="R1" s="65" t="s">
        <v>291</v>
      </c>
      <c r="S1" s="65" t="s">
        <v>292</v>
      </c>
      <c r="T1" s="65" t="s">
        <v>293</v>
      </c>
      <c r="U1" s="65" t="s">
        <v>294</v>
      </c>
      <c r="V1" s="65" t="s">
        <v>295</v>
      </c>
      <c r="W1" s="65" t="s">
        <v>296</v>
      </c>
      <c r="X1" s="65" t="s">
        <v>297</v>
      </c>
      <c r="Y1" s="66" t="s">
        <v>298</v>
      </c>
    </row>
    <row r="2" spans="1:25" x14ac:dyDescent="0.25">
      <c r="A2" s="29"/>
      <c r="B2" s="25"/>
      <c r="C2" s="25"/>
      <c r="D2" s="25"/>
      <c r="E2" s="25"/>
      <c r="F2" s="25"/>
      <c r="G2" s="26"/>
      <c r="H2" s="25"/>
      <c r="I2" s="25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30"/>
    </row>
    <row r="3" spans="1:25" x14ac:dyDescent="0.25">
      <c r="A3" s="29"/>
      <c r="B3" s="25"/>
      <c r="C3" s="25"/>
      <c r="D3" s="25"/>
      <c r="E3" s="25"/>
      <c r="F3" s="25"/>
      <c r="G3" s="26"/>
      <c r="H3" s="25"/>
      <c r="I3" s="25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30"/>
    </row>
    <row r="4" spans="1:25" x14ac:dyDescent="0.25">
      <c r="A4" s="29"/>
      <c r="B4" s="25"/>
      <c r="C4" s="25"/>
      <c r="D4" s="25"/>
      <c r="E4" s="25"/>
      <c r="F4" s="25"/>
      <c r="G4" s="26"/>
      <c r="H4" s="25"/>
      <c r="I4" s="25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30"/>
    </row>
    <row r="5" spans="1:25" x14ac:dyDescent="0.25">
      <c r="A5" s="29"/>
      <c r="B5" s="25"/>
      <c r="C5" s="25"/>
      <c r="D5" s="25"/>
      <c r="E5" s="25"/>
      <c r="F5" s="25"/>
      <c r="G5" s="26"/>
      <c r="H5" s="25"/>
      <c r="I5" s="25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30"/>
    </row>
    <row r="6" spans="1:25" x14ac:dyDescent="0.25">
      <c r="A6" s="29"/>
      <c r="B6" s="25"/>
      <c r="C6" s="25"/>
      <c r="D6" s="25"/>
      <c r="E6" s="25"/>
      <c r="F6" s="25"/>
      <c r="G6" s="26"/>
      <c r="H6" s="25"/>
      <c r="I6" s="25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30"/>
    </row>
    <row r="7" spans="1:25" x14ac:dyDescent="0.25">
      <c r="A7" s="29"/>
      <c r="B7" s="25"/>
      <c r="C7" s="25"/>
      <c r="D7" s="25"/>
      <c r="E7" s="25"/>
      <c r="F7" s="25"/>
      <c r="G7" s="26"/>
      <c r="H7" s="25"/>
      <c r="I7" s="25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30"/>
    </row>
    <row r="8" spans="1:25" x14ac:dyDescent="0.25">
      <c r="A8" s="29"/>
      <c r="B8" s="25"/>
      <c r="C8" s="25"/>
      <c r="D8" s="25"/>
      <c r="E8" s="25"/>
      <c r="F8" s="25"/>
      <c r="G8" s="26"/>
      <c r="H8" s="25"/>
      <c r="I8" s="25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30"/>
    </row>
    <row r="9" spans="1:25" x14ac:dyDescent="0.25">
      <c r="A9" s="29"/>
      <c r="B9" s="25"/>
      <c r="C9" s="25"/>
      <c r="D9" s="25"/>
      <c r="E9" s="25"/>
      <c r="F9" s="25"/>
      <c r="G9" s="26"/>
      <c r="H9" s="25"/>
      <c r="I9" s="25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30"/>
    </row>
    <row r="10" spans="1:25" x14ac:dyDescent="0.25">
      <c r="A10" s="29"/>
      <c r="B10" s="25"/>
      <c r="C10" s="25"/>
      <c r="D10" s="25"/>
      <c r="E10" s="25"/>
      <c r="F10" s="25"/>
      <c r="G10" s="26"/>
      <c r="H10" s="25"/>
      <c r="I10" s="25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30"/>
    </row>
    <row r="11" spans="1:25" x14ac:dyDescent="0.25">
      <c r="A11" s="29"/>
      <c r="B11" s="25"/>
      <c r="C11" s="25"/>
      <c r="D11" s="25"/>
      <c r="E11" s="25"/>
      <c r="F11" s="25"/>
      <c r="G11" s="26"/>
      <c r="H11" s="25"/>
      <c r="I11" s="25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30"/>
    </row>
    <row r="12" spans="1:25" x14ac:dyDescent="0.25">
      <c r="A12" s="29"/>
      <c r="B12" s="25"/>
      <c r="C12" s="25"/>
      <c r="D12" s="25"/>
      <c r="E12" s="25"/>
      <c r="F12" s="25"/>
      <c r="G12" s="26"/>
      <c r="H12" s="25"/>
      <c r="I12" s="25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30"/>
    </row>
    <row r="13" spans="1:25" x14ac:dyDescent="0.25">
      <c r="A13" s="29"/>
      <c r="B13" s="25"/>
      <c r="C13" s="25"/>
      <c r="D13" s="25"/>
      <c r="E13" s="25"/>
      <c r="F13" s="25"/>
      <c r="G13" s="26"/>
      <c r="H13" s="25"/>
      <c r="I13" s="25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30"/>
    </row>
    <row r="14" spans="1:25" x14ac:dyDescent="0.25">
      <c r="A14" s="29"/>
      <c r="B14" s="25"/>
      <c r="C14" s="25"/>
      <c r="D14" s="25"/>
      <c r="E14" s="25"/>
      <c r="F14" s="25"/>
      <c r="G14" s="26"/>
      <c r="H14" s="25"/>
      <c r="I14" s="25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30"/>
    </row>
    <row r="15" spans="1:25" x14ac:dyDescent="0.25">
      <c r="A15" s="29"/>
      <c r="B15" s="25"/>
      <c r="C15" s="25"/>
      <c r="D15" s="25"/>
      <c r="E15" s="25"/>
      <c r="F15" s="25"/>
      <c r="G15" s="26"/>
      <c r="H15" s="25"/>
      <c r="I15" s="25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30"/>
    </row>
    <row r="16" spans="1:25" x14ac:dyDescent="0.25">
      <c r="A16" s="29"/>
      <c r="B16" s="25"/>
      <c r="C16" s="25"/>
      <c r="D16" s="25"/>
      <c r="E16" s="25"/>
      <c r="F16" s="25"/>
      <c r="G16" s="26"/>
      <c r="H16" s="25"/>
      <c r="I16" s="25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30"/>
    </row>
    <row r="17" spans="1:25" x14ac:dyDescent="0.25">
      <c r="A17" s="29"/>
      <c r="B17" s="25"/>
      <c r="C17" s="25"/>
      <c r="D17" s="25"/>
      <c r="E17" s="25"/>
      <c r="F17" s="25"/>
      <c r="G17" s="26"/>
      <c r="H17" s="25"/>
      <c r="I17" s="25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30"/>
    </row>
    <row r="18" spans="1:25" x14ac:dyDescent="0.25">
      <c r="A18" s="29"/>
      <c r="B18" s="25"/>
      <c r="C18" s="25"/>
      <c r="D18" s="25"/>
      <c r="E18" s="25"/>
      <c r="F18" s="25"/>
      <c r="G18" s="26"/>
      <c r="H18" s="25"/>
      <c r="I18" s="25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30"/>
    </row>
    <row r="19" spans="1:25" x14ac:dyDescent="0.25">
      <c r="A19" s="29"/>
      <c r="B19" s="25"/>
      <c r="C19" s="25"/>
      <c r="D19" s="25"/>
      <c r="E19" s="25"/>
      <c r="F19" s="25"/>
      <c r="G19" s="26"/>
      <c r="H19" s="25"/>
      <c r="I19" s="25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30"/>
    </row>
    <row r="20" spans="1:25" x14ac:dyDescent="0.25">
      <c r="A20" s="29"/>
      <c r="B20" s="25"/>
      <c r="C20" s="25"/>
      <c r="D20" s="25"/>
      <c r="E20" s="25"/>
      <c r="F20" s="25"/>
      <c r="G20" s="26"/>
      <c r="H20" s="25"/>
      <c r="I20" s="25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30"/>
    </row>
    <row r="21" spans="1:25" x14ac:dyDescent="0.25">
      <c r="A21" s="29"/>
      <c r="B21" s="25"/>
      <c r="C21" s="25"/>
      <c r="D21" s="25"/>
      <c r="E21" s="25"/>
      <c r="F21" s="25"/>
      <c r="G21" s="26"/>
      <c r="H21" s="25"/>
      <c r="I21" s="25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30"/>
    </row>
    <row r="22" spans="1:25" x14ac:dyDescent="0.25">
      <c r="A22" s="29"/>
      <c r="B22" s="25"/>
      <c r="C22" s="25"/>
      <c r="D22" s="25"/>
      <c r="E22" s="25"/>
      <c r="F22" s="25"/>
      <c r="G22" s="26"/>
      <c r="H22" s="25"/>
      <c r="I22" s="25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30"/>
    </row>
    <row r="23" spans="1:25" x14ac:dyDescent="0.25">
      <c r="A23" s="29"/>
      <c r="B23" s="25"/>
      <c r="C23" s="25"/>
      <c r="D23" s="25"/>
      <c r="E23" s="25"/>
      <c r="F23" s="25"/>
      <c r="G23" s="26"/>
      <c r="H23" s="25"/>
      <c r="I23" s="25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30"/>
    </row>
    <row r="24" spans="1:25" x14ac:dyDescent="0.25">
      <c r="A24" s="29"/>
      <c r="B24" s="25"/>
      <c r="C24" s="25"/>
      <c r="D24" s="25"/>
      <c r="E24" s="25"/>
      <c r="F24" s="25"/>
      <c r="G24" s="26"/>
      <c r="H24" s="25"/>
      <c r="I24" s="25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30"/>
    </row>
    <row r="25" spans="1:25" x14ac:dyDescent="0.25">
      <c r="A25" s="29"/>
      <c r="B25" s="25"/>
      <c r="C25" s="25"/>
      <c r="D25" s="25"/>
      <c r="E25" s="25"/>
      <c r="F25" s="25"/>
      <c r="G25" s="26"/>
      <c r="H25" s="25"/>
      <c r="I25" s="25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30"/>
    </row>
    <row r="26" spans="1:25" x14ac:dyDescent="0.25">
      <c r="A26" s="29"/>
      <c r="B26" s="25"/>
      <c r="C26" s="25"/>
      <c r="D26" s="25"/>
      <c r="E26" s="25"/>
      <c r="F26" s="25"/>
      <c r="G26" s="26"/>
      <c r="H26" s="25"/>
      <c r="I26" s="25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30"/>
    </row>
    <row r="27" spans="1:25" x14ac:dyDescent="0.25">
      <c r="A27" s="29"/>
      <c r="B27" s="25"/>
      <c r="C27" s="25"/>
      <c r="D27" s="25"/>
      <c r="E27" s="25"/>
      <c r="F27" s="25"/>
      <c r="G27" s="26"/>
      <c r="H27" s="25"/>
      <c r="I27" s="25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30"/>
    </row>
    <row r="28" spans="1:25" x14ac:dyDescent="0.25">
      <c r="A28" s="29"/>
      <c r="B28" s="25"/>
      <c r="C28" s="25"/>
      <c r="D28" s="25"/>
      <c r="E28" s="25"/>
      <c r="F28" s="25"/>
      <c r="G28" s="26"/>
      <c r="H28" s="25"/>
      <c r="I28" s="25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30"/>
    </row>
    <row r="29" spans="1:25" x14ac:dyDescent="0.25">
      <c r="A29" s="29"/>
      <c r="B29" s="25"/>
      <c r="C29" s="25"/>
      <c r="D29" s="25"/>
      <c r="E29" s="25"/>
      <c r="F29" s="25"/>
      <c r="G29" s="26"/>
      <c r="H29" s="25"/>
      <c r="I29" s="25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30"/>
    </row>
    <row r="30" spans="1:25" x14ac:dyDescent="0.25">
      <c r="A30" s="29"/>
      <c r="B30" s="25"/>
      <c r="C30" s="25"/>
      <c r="D30" s="25"/>
      <c r="E30" s="25"/>
      <c r="F30" s="25"/>
      <c r="G30" s="26"/>
      <c r="H30" s="25"/>
      <c r="I30" s="25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30"/>
    </row>
    <row r="31" spans="1:25" x14ac:dyDescent="0.25">
      <c r="A31" s="29"/>
      <c r="B31" s="25"/>
      <c r="C31" s="25"/>
      <c r="D31" s="25"/>
      <c r="E31" s="25"/>
      <c r="F31" s="25"/>
      <c r="G31" s="26"/>
      <c r="H31" s="25"/>
      <c r="I31" s="25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30"/>
    </row>
    <row r="32" spans="1:25" x14ac:dyDescent="0.25">
      <c r="A32" s="29"/>
      <c r="B32" s="25"/>
      <c r="C32" s="25"/>
      <c r="D32" s="25"/>
      <c r="E32" s="25"/>
      <c r="F32" s="25"/>
      <c r="G32" s="26"/>
      <c r="H32" s="25"/>
      <c r="I32" s="25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30"/>
    </row>
    <row r="33" spans="1:25" x14ac:dyDescent="0.25">
      <c r="A33" s="29"/>
      <c r="B33" s="25"/>
      <c r="C33" s="25"/>
      <c r="D33" s="25"/>
      <c r="E33" s="25"/>
      <c r="F33" s="25"/>
      <c r="G33" s="26"/>
      <c r="H33" s="25"/>
      <c r="I33" s="25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30"/>
    </row>
    <row r="34" spans="1:25" x14ac:dyDescent="0.25">
      <c r="A34" s="29"/>
      <c r="B34" s="25"/>
      <c r="C34" s="25"/>
      <c r="D34" s="25"/>
      <c r="E34" s="25"/>
      <c r="F34" s="25"/>
      <c r="G34" s="26"/>
      <c r="H34" s="25"/>
      <c r="I34" s="25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30"/>
    </row>
    <row r="35" spans="1:25" x14ac:dyDescent="0.25">
      <c r="A35" s="29"/>
      <c r="B35" s="25"/>
      <c r="C35" s="25"/>
      <c r="D35" s="25"/>
      <c r="E35" s="25"/>
      <c r="F35" s="25"/>
      <c r="G35" s="26"/>
      <c r="H35" s="25"/>
      <c r="I35" s="25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30"/>
    </row>
    <row r="36" spans="1:25" x14ac:dyDescent="0.25">
      <c r="A36" s="29"/>
      <c r="B36" s="25"/>
      <c r="C36" s="25"/>
      <c r="D36" s="25"/>
      <c r="E36" s="25"/>
      <c r="F36" s="25"/>
      <c r="G36" s="26"/>
      <c r="H36" s="25"/>
      <c r="I36" s="25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30"/>
    </row>
    <row r="37" spans="1:25" x14ac:dyDescent="0.25">
      <c r="A37" s="29"/>
      <c r="B37" s="25"/>
      <c r="C37" s="25"/>
      <c r="D37" s="25"/>
      <c r="E37" s="25"/>
      <c r="F37" s="25"/>
      <c r="G37" s="26"/>
      <c r="H37" s="25"/>
      <c r="I37" s="25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0"/>
    </row>
    <row r="38" spans="1:25" x14ac:dyDescent="0.25">
      <c r="A38" s="29"/>
      <c r="B38" s="25"/>
      <c r="C38" s="25"/>
      <c r="D38" s="25"/>
      <c r="E38" s="25"/>
      <c r="F38" s="25"/>
      <c r="G38" s="26"/>
      <c r="H38" s="25"/>
      <c r="I38" s="25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30"/>
    </row>
    <row r="39" spans="1:25" x14ac:dyDescent="0.25">
      <c r="A39" s="29"/>
      <c r="B39" s="25"/>
      <c r="C39" s="25"/>
      <c r="D39" s="25"/>
      <c r="E39" s="25"/>
      <c r="F39" s="25"/>
      <c r="G39" s="26"/>
      <c r="H39" s="25"/>
      <c r="I39" s="25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8"/>
      <c r="U39" s="27"/>
      <c r="V39" s="27"/>
      <c r="W39" s="27"/>
      <c r="X39" s="27"/>
      <c r="Y39" s="30"/>
    </row>
    <row r="40" spans="1:25" x14ac:dyDescent="0.25">
      <c r="A40" s="29"/>
      <c r="B40" s="25"/>
      <c r="C40" s="25"/>
      <c r="D40" s="25"/>
      <c r="E40" s="25"/>
      <c r="F40" s="25"/>
      <c r="G40" s="26"/>
      <c r="H40" s="25"/>
      <c r="I40" s="25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8"/>
      <c r="U40" s="27"/>
      <c r="V40" s="27"/>
      <c r="W40" s="27"/>
      <c r="X40" s="27"/>
      <c r="Y40" s="30"/>
    </row>
    <row r="41" spans="1:25" x14ac:dyDescent="0.25">
      <c r="A41" s="29"/>
      <c r="B41" s="25"/>
      <c r="C41" s="25"/>
      <c r="D41" s="25"/>
      <c r="E41" s="25"/>
      <c r="F41" s="25"/>
      <c r="G41" s="26"/>
      <c r="H41" s="25"/>
      <c r="I41" s="25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30"/>
    </row>
    <row r="42" spans="1:25" x14ac:dyDescent="0.25">
      <c r="A42" s="29"/>
      <c r="B42" s="25"/>
      <c r="C42" s="25"/>
      <c r="D42" s="25"/>
      <c r="E42" s="25"/>
      <c r="F42" s="25"/>
      <c r="G42" s="26"/>
      <c r="H42" s="25"/>
      <c r="I42" s="25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8"/>
      <c r="U42" s="27"/>
      <c r="V42" s="27"/>
      <c r="W42" s="27"/>
      <c r="X42" s="27"/>
      <c r="Y42" s="30"/>
    </row>
    <row r="43" spans="1:25" x14ac:dyDescent="0.25">
      <c r="A43" s="29"/>
      <c r="B43" s="25"/>
      <c r="C43" s="25"/>
      <c r="D43" s="25"/>
      <c r="E43" s="25"/>
      <c r="F43" s="25"/>
      <c r="G43" s="26"/>
      <c r="H43" s="25"/>
      <c r="I43" s="25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8"/>
      <c r="U43" s="27"/>
      <c r="V43" s="27"/>
      <c r="W43" s="27"/>
      <c r="X43" s="27"/>
      <c r="Y43" s="30"/>
    </row>
    <row r="44" spans="1:25" x14ac:dyDescent="0.25">
      <c r="A44" s="29"/>
      <c r="B44" s="25"/>
      <c r="C44" s="25"/>
      <c r="D44" s="25"/>
      <c r="E44" s="25"/>
      <c r="F44" s="25"/>
      <c r="G44" s="26"/>
      <c r="H44" s="25"/>
      <c r="I44" s="25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30"/>
    </row>
    <row r="45" spans="1:25" x14ac:dyDescent="0.25">
      <c r="A45" s="29"/>
      <c r="B45" s="25"/>
      <c r="C45" s="25"/>
      <c r="D45" s="25"/>
      <c r="E45" s="25"/>
      <c r="F45" s="25"/>
      <c r="G45" s="26"/>
      <c r="H45" s="25"/>
      <c r="I45" s="25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8"/>
      <c r="U45" s="27"/>
      <c r="V45" s="27"/>
      <c r="W45" s="27"/>
      <c r="X45" s="27"/>
      <c r="Y45" s="30"/>
    </row>
    <row r="46" spans="1:25" x14ac:dyDescent="0.25">
      <c r="A46" s="29"/>
      <c r="B46" s="25"/>
      <c r="C46" s="25"/>
      <c r="D46" s="25"/>
      <c r="E46" s="25"/>
      <c r="F46" s="25"/>
      <c r="G46" s="26"/>
      <c r="H46" s="25"/>
      <c r="I46" s="25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8"/>
      <c r="U46" s="27"/>
      <c r="V46" s="27"/>
      <c r="W46" s="27"/>
      <c r="X46" s="27"/>
      <c r="Y46" s="30"/>
    </row>
    <row r="47" spans="1:25" x14ac:dyDescent="0.25">
      <c r="A47" s="29"/>
      <c r="B47" s="25"/>
      <c r="C47" s="25"/>
      <c r="D47" s="25"/>
      <c r="E47" s="25"/>
      <c r="F47" s="25"/>
      <c r="G47" s="26"/>
      <c r="H47" s="25"/>
      <c r="I47" s="25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30"/>
    </row>
    <row r="48" spans="1:25" x14ac:dyDescent="0.25">
      <c r="A48" s="29"/>
      <c r="B48" s="25"/>
      <c r="C48" s="25"/>
      <c r="D48" s="25"/>
      <c r="E48" s="25"/>
      <c r="F48" s="25"/>
      <c r="G48" s="26"/>
      <c r="H48" s="25"/>
      <c r="I48" s="25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8"/>
      <c r="U48" s="27"/>
      <c r="V48" s="27"/>
      <c r="W48" s="27"/>
      <c r="X48" s="27"/>
      <c r="Y48" s="30"/>
    </row>
    <row r="49" spans="1:25" x14ac:dyDescent="0.25">
      <c r="A49" s="29"/>
      <c r="B49" s="25"/>
      <c r="C49" s="25"/>
      <c r="D49" s="25"/>
      <c r="E49" s="25"/>
      <c r="F49" s="25"/>
      <c r="G49" s="26"/>
      <c r="H49" s="25"/>
      <c r="I49" s="25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8"/>
      <c r="U49" s="27"/>
      <c r="V49" s="27"/>
      <c r="W49" s="27"/>
      <c r="X49" s="27"/>
      <c r="Y49" s="30"/>
    </row>
    <row r="50" spans="1:25" x14ac:dyDescent="0.25">
      <c r="A50" s="29"/>
      <c r="B50" s="25"/>
      <c r="C50" s="25"/>
      <c r="D50" s="25"/>
      <c r="E50" s="25"/>
      <c r="F50" s="25"/>
      <c r="G50" s="26"/>
      <c r="H50" s="25"/>
      <c r="I50" s="25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30"/>
    </row>
    <row r="51" spans="1:25" x14ac:dyDescent="0.25">
      <c r="A51" s="29"/>
      <c r="B51" s="25"/>
      <c r="C51" s="25"/>
      <c r="D51" s="25"/>
      <c r="E51" s="25"/>
      <c r="F51" s="25"/>
      <c r="G51" s="26"/>
      <c r="H51" s="25"/>
      <c r="I51" s="25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30"/>
    </row>
    <row r="52" spans="1:25" x14ac:dyDescent="0.25">
      <c r="A52" s="29"/>
      <c r="B52" s="25"/>
      <c r="C52" s="25"/>
      <c r="D52" s="25"/>
      <c r="E52" s="25"/>
      <c r="F52" s="25"/>
      <c r="G52" s="26"/>
      <c r="H52" s="25"/>
      <c r="I52" s="25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30"/>
    </row>
    <row r="53" spans="1:25" x14ac:dyDescent="0.25">
      <c r="A53" s="29"/>
      <c r="B53" s="25"/>
      <c r="C53" s="25"/>
      <c r="D53" s="25"/>
      <c r="E53" s="25"/>
      <c r="F53" s="25"/>
      <c r="G53" s="26"/>
      <c r="H53" s="25"/>
      <c r="I53" s="25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30"/>
    </row>
    <row r="54" spans="1:25" x14ac:dyDescent="0.25">
      <c r="A54" s="29"/>
      <c r="B54" s="25"/>
      <c r="C54" s="25"/>
      <c r="D54" s="25"/>
      <c r="E54" s="25"/>
      <c r="F54" s="25"/>
      <c r="G54" s="26"/>
      <c r="H54" s="25"/>
      <c r="I54" s="25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8"/>
      <c r="U54" s="27"/>
      <c r="V54" s="27"/>
      <c r="W54" s="27"/>
      <c r="X54" s="27"/>
      <c r="Y54" s="30"/>
    </row>
    <row r="55" spans="1:25" x14ac:dyDescent="0.25">
      <c r="A55" s="29"/>
      <c r="B55" s="25"/>
      <c r="C55" s="25"/>
      <c r="D55" s="25"/>
      <c r="E55" s="25"/>
      <c r="F55" s="25"/>
      <c r="G55" s="26"/>
      <c r="H55" s="25"/>
      <c r="I55" s="25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8"/>
      <c r="U55" s="27"/>
      <c r="V55" s="27"/>
      <c r="W55" s="27"/>
      <c r="X55" s="27"/>
      <c r="Y55" s="30"/>
    </row>
    <row r="56" spans="1:25" x14ac:dyDescent="0.25">
      <c r="A56" s="29"/>
      <c r="B56" s="25"/>
      <c r="C56" s="25"/>
      <c r="D56" s="25"/>
      <c r="E56" s="25"/>
      <c r="F56" s="25"/>
      <c r="G56" s="26"/>
      <c r="H56" s="25"/>
      <c r="I56" s="25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30"/>
    </row>
    <row r="57" spans="1:25" x14ac:dyDescent="0.25">
      <c r="A57" s="29"/>
      <c r="B57" s="25"/>
      <c r="C57" s="25"/>
      <c r="D57" s="25"/>
      <c r="E57" s="25"/>
      <c r="F57" s="25"/>
      <c r="G57" s="26"/>
      <c r="H57" s="25"/>
      <c r="I57" s="25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8"/>
      <c r="U57" s="27"/>
      <c r="V57" s="27"/>
      <c r="W57" s="27"/>
      <c r="X57" s="27"/>
      <c r="Y57" s="30"/>
    </row>
    <row r="58" spans="1:25" x14ac:dyDescent="0.25">
      <c r="A58" s="29"/>
      <c r="B58" s="25"/>
      <c r="C58" s="25"/>
      <c r="D58" s="25"/>
      <c r="E58" s="25"/>
      <c r="F58" s="25"/>
      <c r="G58" s="26"/>
      <c r="H58" s="25"/>
      <c r="I58" s="25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8"/>
      <c r="U58" s="27"/>
      <c r="V58" s="27"/>
      <c r="W58" s="27"/>
      <c r="X58" s="27"/>
      <c r="Y58" s="30"/>
    </row>
    <row r="59" spans="1:25" x14ac:dyDescent="0.25">
      <c r="A59" s="29"/>
      <c r="B59" s="25"/>
      <c r="C59" s="25"/>
      <c r="D59" s="25"/>
      <c r="E59" s="25"/>
      <c r="F59" s="25"/>
      <c r="G59" s="26"/>
      <c r="H59" s="25"/>
      <c r="I59" s="25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30"/>
    </row>
    <row r="60" spans="1:25" x14ac:dyDescent="0.25">
      <c r="A60" s="29"/>
      <c r="B60" s="25"/>
      <c r="C60" s="25"/>
      <c r="D60" s="25"/>
      <c r="E60" s="25"/>
      <c r="F60" s="25"/>
      <c r="G60" s="26"/>
      <c r="H60" s="25"/>
      <c r="I60" s="25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8"/>
      <c r="U60" s="27"/>
      <c r="V60" s="27"/>
      <c r="W60" s="27"/>
      <c r="X60" s="27"/>
      <c r="Y60" s="30"/>
    </row>
    <row r="61" spans="1:25" x14ac:dyDescent="0.25">
      <c r="A61" s="29"/>
      <c r="B61" s="25"/>
      <c r="C61" s="25"/>
      <c r="D61" s="25"/>
      <c r="E61" s="25"/>
      <c r="F61" s="25"/>
      <c r="G61" s="26"/>
      <c r="H61" s="25"/>
      <c r="I61" s="25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8"/>
      <c r="U61" s="27"/>
      <c r="V61" s="27"/>
      <c r="W61" s="27"/>
      <c r="X61" s="27"/>
      <c r="Y61" s="30"/>
    </row>
    <row r="62" spans="1:25" x14ac:dyDescent="0.25">
      <c r="A62" s="29"/>
      <c r="B62" s="25"/>
      <c r="C62" s="25"/>
      <c r="D62" s="25"/>
      <c r="E62" s="25"/>
      <c r="F62" s="25"/>
      <c r="G62" s="26"/>
      <c r="H62" s="25"/>
      <c r="I62" s="25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30"/>
    </row>
    <row r="63" spans="1:25" x14ac:dyDescent="0.25">
      <c r="A63" s="29"/>
      <c r="B63" s="25"/>
      <c r="C63" s="25"/>
      <c r="D63" s="25"/>
      <c r="E63" s="25"/>
      <c r="F63" s="25"/>
      <c r="G63" s="26"/>
      <c r="H63" s="25"/>
      <c r="I63" s="25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8"/>
      <c r="U63" s="27"/>
      <c r="V63" s="27"/>
      <c r="W63" s="27"/>
      <c r="X63" s="27"/>
      <c r="Y63" s="30"/>
    </row>
    <row r="64" spans="1:25" x14ac:dyDescent="0.25">
      <c r="A64" s="29"/>
      <c r="B64" s="25"/>
      <c r="C64" s="25"/>
      <c r="D64" s="25"/>
      <c r="E64" s="25"/>
      <c r="F64" s="25"/>
      <c r="G64" s="26"/>
      <c r="H64" s="25"/>
      <c r="I64" s="25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8"/>
      <c r="U64" s="27"/>
      <c r="V64" s="27"/>
      <c r="W64" s="27"/>
      <c r="X64" s="27"/>
      <c r="Y64" s="30"/>
    </row>
    <row r="65" spans="1:25" x14ac:dyDescent="0.25">
      <c r="A65" s="29"/>
      <c r="B65" s="25"/>
      <c r="C65" s="25"/>
      <c r="D65" s="25"/>
      <c r="E65" s="25"/>
      <c r="F65" s="25"/>
      <c r="G65" s="26"/>
      <c r="H65" s="25"/>
      <c r="I65" s="25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30"/>
    </row>
    <row r="66" spans="1:25" x14ac:dyDescent="0.25">
      <c r="A66" s="29"/>
      <c r="B66" s="25"/>
      <c r="C66" s="25"/>
      <c r="D66" s="25"/>
      <c r="E66" s="25"/>
      <c r="F66" s="25"/>
      <c r="G66" s="26"/>
      <c r="H66" s="25"/>
      <c r="I66" s="25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30"/>
    </row>
    <row r="67" spans="1:25" x14ac:dyDescent="0.25">
      <c r="A67" s="29"/>
      <c r="B67" s="25"/>
      <c r="C67" s="25"/>
      <c r="D67" s="25"/>
      <c r="E67" s="25"/>
      <c r="F67" s="25"/>
      <c r="G67" s="26"/>
      <c r="H67" s="25"/>
      <c r="I67" s="25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30"/>
    </row>
    <row r="68" spans="1:25" x14ac:dyDescent="0.25">
      <c r="A68" s="29"/>
      <c r="B68" s="25"/>
      <c r="C68" s="25"/>
      <c r="D68" s="25"/>
      <c r="E68" s="25"/>
      <c r="F68" s="25"/>
      <c r="G68" s="26"/>
      <c r="H68" s="25"/>
      <c r="I68" s="25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30"/>
    </row>
    <row r="69" spans="1:25" x14ac:dyDescent="0.25">
      <c r="A69" s="31"/>
      <c r="B69" s="8"/>
      <c r="C69" s="8"/>
      <c r="D69" s="8"/>
      <c r="E69" s="8"/>
      <c r="F69" s="8"/>
      <c r="G69" s="9"/>
      <c r="H69" s="8"/>
      <c r="I69" s="8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2"/>
    </row>
    <row r="70" spans="1:25" x14ac:dyDescent="0.25">
      <c r="A70" s="31"/>
      <c r="B70" s="8"/>
      <c r="C70" s="8"/>
      <c r="D70" s="8"/>
      <c r="E70" s="8"/>
      <c r="F70" s="8"/>
      <c r="G70" s="9"/>
      <c r="H70" s="8"/>
      <c r="I70" s="8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32"/>
    </row>
    <row r="71" spans="1:25" x14ac:dyDescent="0.25">
      <c r="A71" s="31"/>
      <c r="B71" s="8"/>
      <c r="C71" s="8"/>
      <c r="D71" s="8"/>
      <c r="E71" s="8"/>
      <c r="F71" s="8"/>
      <c r="G71" s="9"/>
      <c r="H71" s="8"/>
      <c r="I71" s="8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2"/>
    </row>
    <row r="72" spans="1:25" x14ac:dyDescent="0.25">
      <c r="A72" s="74"/>
      <c r="B72" s="75"/>
      <c r="C72" s="75"/>
      <c r="D72" s="75"/>
      <c r="E72" s="75"/>
      <c r="F72" s="75"/>
      <c r="G72" s="76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8"/>
    </row>
    <row r="73" spans="1:25" x14ac:dyDescent="0.25">
      <c r="A73" s="31"/>
      <c r="B73" s="8"/>
      <c r="C73" s="8"/>
      <c r="D73" s="8"/>
      <c r="E73" s="8"/>
      <c r="F73" s="8"/>
      <c r="G73" s="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32"/>
    </row>
    <row r="74" spans="1:25" x14ac:dyDescent="0.25">
      <c r="A74" s="33"/>
      <c r="B74" s="34"/>
      <c r="C74" s="34"/>
      <c r="D74" s="34"/>
      <c r="E74" s="34"/>
      <c r="F74" s="34"/>
      <c r="G74" s="35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7"/>
    </row>
    <row r="75" spans="1:25" x14ac:dyDescent="0.25">
      <c r="A75" s="31"/>
      <c r="B75" s="8"/>
      <c r="C75" s="8"/>
      <c r="D75" s="8"/>
      <c r="E75" s="8"/>
      <c r="F75" s="8"/>
      <c r="G75" s="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32"/>
    </row>
    <row r="76" spans="1:25" x14ac:dyDescent="0.25">
      <c r="A76" s="31"/>
      <c r="B76" s="8"/>
      <c r="C76" s="8"/>
      <c r="D76" s="8"/>
      <c r="E76" s="8"/>
      <c r="F76" s="8"/>
      <c r="G76" s="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32"/>
    </row>
    <row r="77" spans="1:25" x14ac:dyDescent="0.25">
      <c r="A77" s="31"/>
      <c r="B77" s="8"/>
      <c r="C77" s="8"/>
      <c r="D77" s="8"/>
      <c r="E77" s="8"/>
      <c r="F77" s="8"/>
      <c r="G77" s="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32"/>
    </row>
    <row r="78" spans="1:25" x14ac:dyDescent="0.25">
      <c r="A78" s="31"/>
      <c r="B78" s="8"/>
      <c r="C78" s="8"/>
      <c r="D78" s="8"/>
      <c r="E78" s="8"/>
      <c r="F78" s="8"/>
      <c r="G78" s="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32"/>
    </row>
    <row r="79" spans="1:25" x14ac:dyDescent="0.25">
      <c r="A79" s="31"/>
      <c r="B79" s="8"/>
      <c r="C79" s="8"/>
      <c r="D79" s="8"/>
      <c r="E79" s="8"/>
      <c r="F79" s="8"/>
      <c r="G79" s="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32"/>
    </row>
    <row r="80" spans="1:25" x14ac:dyDescent="0.25">
      <c r="A80" s="31"/>
      <c r="B80" s="8"/>
      <c r="C80" s="8"/>
      <c r="D80" s="8"/>
      <c r="E80" s="8"/>
      <c r="F80" s="8"/>
      <c r="G80" s="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32"/>
    </row>
    <row r="81" spans="1:25" x14ac:dyDescent="0.25">
      <c r="A81" s="31"/>
      <c r="B81" s="8"/>
      <c r="C81" s="8"/>
      <c r="D81" s="8"/>
      <c r="E81" s="8"/>
      <c r="F81" s="8"/>
      <c r="G81" s="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32"/>
    </row>
    <row r="82" spans="1:25" x14ac:dyDescent="0.25">
      <c r="A82" s="31"/>
      <c r="B82" s="8"/>
      <c r="C82" s="8"/>
      <c r="D82" s="8"/>
      <c r="E82" s="8"/>
      <c r="F82" s="8"/>
      <c r="G82" s="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32"/>
    </row>
    <row r="83" spans="1:25" x14ac:dyDescent="0.25">
      <c r="A83" s="31"/>
      <c r="B83" s="8"/>
      <c r="C83" s="8"/>
      <c r="D83" s="8"/>
      <c r="E83" s="8"/>
      <c r="F83" s="8"/>
      <c r="G83" s="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32"/>
    </row>
    <row r="84" spans="1:25" x14ac:dyDescent="0.25">
      <c r="A84" s="31"/>
      <c r="B84" s="8"/>
      <c r="C84" s="8"/>
      <c r="D84" s="8"/>
      <c r="E84" s="8"/>
      <c r="F84" s="8"/>
      <c r="G84" s="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32"/>
    </row>
    <row r="85" spans="1:25" x14ac:dyDescent="0.25">
      <c r="A85" s="31"/>
      <c r="B85" s="8"/>
      <c r="C85" s="8"/>
      <c r="D85" s="8"/>
      <c r="E85" s="8"/>
      <c r="F85" s="8"/>
      <c r="G85" s="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32"/>
    </row>
    <row r="86" spans="1:25" x14ac:dyDescent="0.25">
      <c r="A86" s="31"/>
      <c r="B86" s="8"/>
      <c r="C86" s="8"/>
      <c r="D86" s="8"/>
      <c r="E86" s="8"/>
      <c r="F86" s="8"/>
      <c r="G86" s="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32"/>
    </row>
    <row r="87" spans="1:25" x14ac:dyDescent="0.25">
      <c r="A87" s="31"/>
      <c r="B87" s="8"/>
      <c r="C87" s="8"/>
      <c r="D87" s="8"/>
      <c r="E87" s="8"/>
      <c r="F87" s="8"/>
      <c r="G87" s="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32"/>
    </row>
    <row r="88" spans="1:25" x14ac:dyDescent="0.25">
      <c r="A88" s="31"/>
      <c r="B88" s="8"/>
      <c r="C88" s="8"/>
      <c r="D88" s="8"/>
      <c r="E88" s="8"/>
      <c r="F88" s="8"/>
      <c r="G88" s="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32"/>
    </row>
    <row r="89" spans="1:25" x14ac:dyDescent="0.25">
      <c r="A89" s="31"/>
      <c r="B89" s="8"/>
      <c r="C89" s="8"/>
      <c r="D89" s="8"/>
      <c r="E89" s="8"/>
      <c r="F89" s="8"/>
      <c r="G89" s="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32"/>
    </row>
    <row r="90" spans="1:25" x14ac:dyDescent="0.25">
      <c r="A90" s="31"/>
      <c r="B90" s="8"/>
      <c r="C90" s="8"/>
      <c r="D90" s="8"/>
      <c r="E90" s="8"/>
      <c r="F90" s="8"/>
      <c r="G90" s="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32"/>
    </row>
    <row r="91" spans="1:25" x14ac:dyDescent="0.25">
      <c r="A91" s="31"/>
      <c r="B91" s="8"/>
      <c r="C91" s="8"/>
      <c r="D91" s="8"/>
      <c r="E91" s="8"/>
      <c r="F91" s="8"/>
      <c r="G91" s="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32"/>
    </row>
    <row r="92" spans="1:25" x14ac:dyDescent="0.25">
      <c r="A92" s="31"/>
      <c r="B92" s="8"/>
      <c r="C92" s="8"/>
      <c r="D92" s="8"/>
      <c r="E92" s="8"/>
      <c r="F92" s="8"/>
      <c r="G92" s="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32"/>
    </row>
    <row r="93" spans="1:25" x14ac:dyDescent="0.25">
      <c r="A93" s="31"/>
      <c r="B93" s="8"/>
      <c r="C93" s="8"/>
      <c r="D93" s="8"/>
      <c r="E93" s="8"/>
      <c r="F93" s="8"/>
      <c r="G93" s="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32"/>
    </row>
    <row r="94" spans="1:25" x14ac:dyDescent="0.25">
      <c r="A94" s="31"/>
      <c r="B94" s="8"/>
      <c r="C94" s="8"/>
      <c r="D94" s="8"/>
      <c r="E94" s="8"/>
      <c r="F94" s="8"/>
      <c r="G94" s="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32"/>
    </row>
    <row r="95" spans="1:25" x14ac:dyDescent="0.25">
      <c r="A95" s="31"/>
      <c r="B95" s="8"/>
      <c r="C95" s="8"/>
      <c r="D95" s="8"/>
      <c r="E95" s="8"/>
      <c r="F95" s="8"/>
      <c r="G95" s="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32"/>
    </row>
    <row r="96" spans="1:25" x14ac:dyDescent="0.25">
      <c r="A96" s="31"/>
      <c r="B96" s="8"/>
      <c r="C96" s="8"/>
      <c r="D96" s="8"/>
      <c r="E96" s="8"/>
      <c r="F96" s="8"/>
      <c r="G96" s="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32"/>
    </row>
    <row r="97" spans="1:25" x14ac:dyDescent="0.25">
      <c r="A97" s="31"/>
      <c r="B97" s="8"/>
      <c r="C97" s="8"/>
      <c r="D97" s="8"/>
      <c r="E97" s="8"/>
      <c r="F97" s="8"/>
      <c r="G97" s="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32"/>
    </row>
    <row r="98" spans="1:25" x14ac:dyDescent="0.25">
      <c r="A98" s="31"/>
      <c r="B98" s="8"/>
      <c r="C98" s="8"/>
      <c r="D98" s="8"/>
      <c r="E98" s="8"/>
      <c r="F98" s="8"/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32"/>
    </row>
    <row r="99" spans="1:25" x14ac:dyDescent="0.25">
      <c r="A99" s="31"/>
      <c r="B99" s="8"/>
      <c r="C99" s="8"/>
      <c r="D99" s="8"/>
      <c r="E99" s="8"/>
      <c r="F99" s="8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32"/>
    </row>
    <row r="100" spans="1:25" x14ac:dyDescent="0.25">
      <c r="A100" s="31"/>
      <c r="B100" s="8"/>
      <c r="C100" s="8"/>
      <c r="D100" s="8"/>
      <c r="E100" s="8"/>
      <c r="F100" s="8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32"/>
    </row>
    <row r="101" spans="1:25" x14ac:dyDescent="0.25">
      <c r="A101" s="31"/>
      <c r="B101" s="8"/>
      <c r="C101" s="8"/>
      <c r="D101" s="8"/>
      <c r="E101" s="8"/>
      <c r="F101" s="8"/>
      <c r="G101" s="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32"/>
    </row>
    <row r="102" spans="1:25" x14ac:dyDescent="0.25">
      <c r="A102" s="31"/>
      <c r="B102" s="8"/>
      <c r="C102" s="8"/>
      <c r="D102" s="8"/>
      <c r="E102" s="8"/>
      <c r="F102" s="8"/>
      <c r="G102" s="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32"/>
    </row>
    <row r="103" spans="1:25" x14ac:dyDescent="0.25">
      <c r="A103" s="31"/>
      <c r="B103" s="8"/>
      <c r="C103" s="8"/>
      <c r="D103" s="8"/>
      <c r="E103" s="8"/>
      <c r="F103" s="8"/>
      <c r="G103" s="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32"/>
    </row>
    <row r="104" spans="1:25" x14ac:dyDescent="0.25">
      <c r="A104" s="31"/>
      <c r="B104" s="8"/>
      <c r="C104" s="8"/>
      <c r="D104" s="8"/>
      <c r="E104" s="8"/>
      <c r="F104" s="8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32"/>
    </row>
    <row r="105" spans="1:25" x14ac:dyDescent="0.25">
      <c r="A105" s="31"/>
      <c r="B105" s="8"/>
      <c r="C105" s="8"/>
      <c r="D105" s="8"/>
      <c r="E105" s="8"/>
      <c r="F105" s="8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32"/>
    </row>
    <row r="106" spans="1:25" x14ac:dyDescent="0.25">
      <c r="A106" s="31"/>
      <c r="B106" s="8"/>
      <c r="C106" s="8"/>
      <c r="D106" s="8"/>
      <c r="E106" s="8"/>
      <c r="F106" s="8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32"/>
    </row>
    <row r="107" spans="1:25" x14ac:dyDescent="0.25">
      <c r="A107" s="31"/>
      <c r="B107" s="8"/>
      <c r="C107" s="8"/>
      <c r="D107" s="8"/>
      <c r="E107" s="8"/>
      <c r="F107" s="8"/>
      <c r="G107" s="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32"/>
    </row>
    <row r="108" spans="1:25" x14ac:dyDescent="0.25">
      <c r="A108" s="31"/>
      <c r="B108" s="8"/>
      <c r="C108" s="8"/>
      <c r="D108" s="8"/>
      <c r="E108" s="8"/>
      <c r="F108" s="8"/>
      <c r="G108" s="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32"/>
    </row>
    <row r="109" spans="1:25" x14ac:dyDescent="0.25">
      <c r="A109" s="31"/>
      <c r="B109" s="8"/>
      <c r="C109" s="8"/>
      <c r="D109" s="8"/>
      <c r="E109" s="8"/>
      <c r="F109" s="8"/>
      <c r="G109" s="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32"/>
    </row>
    <row r="110" spans="1:25" x14ac:dyDescent="0.25">
      <c r="A110" s="31"/>
      <c r="B110" s="8"/>
      <c r="C110" s="8"/>
      <c r="D110" s="8"/>
      <c r="E110" s="8"/>
      <c r="F110" s="8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32"/>
    </row>
    <row r="111" spans="1:25" x14ac:dyDescent="0.25">
      <c r="A111" s="31"/>
      <c r="B111" s="8"/>
      <c r="C111" s="8"/>
      <c r="D111" s="8"/>
      <c r="E111" s="8"/>
      <c r="F111" s="8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32"/>
    </row>
    <row r="112" spans="1:25" x14ac:dyDescent="0.25">
      <c r="A112" s="31"/>
      <c r="B112" s="8"/>
      <c r="C112" s="8"/>
      <c r="D112" s="8"/>
      <c r="E112" s="8"/>
      <c r="F112" s="8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32"/>
    </row>
    <row r="113" spans="1:25" x14ac:dyDescent="0.25">
      <c r="A113" s="31"/>
      <c r="B113" s="8"/>
      <c r="C113" s="8"/>
      <c r="D113" s="8"/>
      <c r="E113" s="8"/>
      <c r="F113" s="8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32"/>
    </row>
    <row r="114" spans="1:25" x14ac:dyDescent="0.25">
      <c r="A114" s="31"/>
      <c r="B114" s="8"/>
      <c r="C114" s="8"/>
      <c r="D114" s="8"/>
      <c r="E114" s="8"/>
      <c r="F114" s="8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32"/>
    </row>
    <row r="115" spans="1:25" x14ac:dyDescent="0.25">
      <c r="A115" s="31"/>
      <c r="B115" s="8"/>
      <c r="C115" s="8"/>
      <c r="D115" s="8"/>
      <c r="E115" s="8"/>
      <c r="F115" s="8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32"/>
    </row>
    <row r="116" spans="1:25" x14ac:dyDescent="0.25">
      <c r="A116" s="31"/>
      <c r="B116" s="8"/>
      <c r="C116" s="8"/>
      <c r="D116" s="8"/>
      <c r="E116" s="8"/>
      <c r="F116" s="8"/>
      <c r="G116" s="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32"/>
    </row>
    <row r="117" spans="1:25" x14ac:dyDescent="0.25">
      <c r="A117" s="31"/>
      <c r="B117" s="8"/>
      <c r="C117" s="8"/>
      <c r="D117" s="8"/>
      <c r="E117" s="8"/>
      <c r="F117" s="8"/>
      <c r="G117" s="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32"/>
    </row>
    <row r="118" spans="1:25" x14ac:dyDescent="0.25">
      <c r="A118" s="31"/>
      <c r="B118" s="8"/>
      <c r="C118" s="8"/>
      <c r="D118" s="8"/>
      <c r="E118" s="8"/>
      <c r="F118" s="8"/>
      <c r="G118" s="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32"/>
    </row>
    <row r="119" spans="1:25" x14ac:dyDescent="0.25">
      <c r="A119" s="31"/>
      <c r="B119" s="8"/>
      <c r="C119" s="8"/>
      <c r="D119" s="8"/>
      <c r="E119" s="8"/>
      <c r="F119" s="8"/>
      <c r="G119" s="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32"/>
    </row>
    <row r="120" spans="1:25" x14ac:dyDescent="0.25">
      <c r="A120" s="31"/>
      <c r="B120" s="8"/>
      <c r="C120" s="8"/>
      <c r="D120" s="8"/>
      <c r="E120" s="8"/>
      <c r="F120" s="8"/>
      <c r="G120" s="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32"/>
    </row>
    <row r="121" spans="1:25" x14ac:dyDescent="0.25">
      <c r="A121" s="31"/>
      <c r="B121" s="8"/>
      <c r="C121" s="8"/>
      <c r="D121" s="8"/>
      <c r="E121" s="8"/>
      <c r="F121" s="8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32"/>
    </row>
    <row r="122" spans="1:25" x14ac:dyDescent="0.25">
      <c r="A122" s="31"/>
      <c r="B122" s="8"/>
      <c r="C122" s="8"/>
      <c r="D122" s="8"/>
      <c r="E122" s="8"/>
      <c r="F122" s="8"/>
      <c r="G122" s="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32"/>
    </row>
    <row r="123" spans="1:25" x14ac:dyDescent="0.25">
      <c r="A123" s="31"/>
      <c r="B123" s="8"/>
      <c r="C123" s="8"/>
      <c r="D123" s="8"/>
      <c r="E123" s="8"/>
      <c r="F123" s="8"/>
      <c r="G123" s="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32"/>
    </row>
    <row r="124" spans="1:25" x14ac:dyDescent="0.25">
      <c r="A124" s="31"/>
      <c r="B124" s="8"/>
      <c r="C124" s="8"/>
      <c r="D124" s="8"/>
      <c r="E124" s="8"/>
      <c r="F124" s="8"/>
      <c r="G124" s="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32"/>
    </row>
    <row r="125" spans="1:25" x14ac:dyDescent="0.25">
      <c r="A125" s="31"/>
      <c r="B125" s="8"/>
      <c r="C125" s="8"/>
      <c r="D125" s="8"/>
      <c r="E125" s="8"/>
      <c r="F125" s="8"/>
      <c r="G125" s="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32"/>
    </row>
    <row r="126" spans="1:25" x14ac:dyDescent="0.25">
      <c r="A126" s="31"/>
      <c r="B126" s="8"/>
      <c r="C126" s="8"/>
      <c r="D126" s="8"/>
      <c r="E126" s="8"/>
      <c r="F126" s="8"/>
      <c r="G126" s="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32"/>
    </row>
    <row r="127" spans="1:25" x14ac:dyDescent="0.25">
      <c r="A127" s="31"/>
      <c r="B127" s="8"/>
      <c r="C127" s="8"/>
      <c r="D127" s="8"/>
      <c r="E127" s="8"/>
      <c r="F127" s="8"/>
      <c r="G127" s="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32"/>
    </row>
    <row r="128" spans="1:25" x14ac:dyDescent="0.25">
      <c r="A128" s="31"/>
      <c r="B128" s="8"/>
      <c r="C128" s="8"/>
      <c r="D128" s="8"/>
      <c r="E128" s="8"/>
      <c r="F128" s="8"/>
      <c r="G128" s="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32"/>
    </row>
    <row r="129" spans="1:25" x14ac:dyDescent="0.25">
      <c r="A129" s="31"/>
      <c r="B129" s="8"/>
      <c r="C129" s="8"/>
      <c r="D129" s="8"/>
      <c r="E129" s="8"/>
      <c r="F129" s="8"/>
      <c r="G129" s="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32"/>
    </row>
    <row r="130" spans="1:25" x14ac:dyDescent="0.25">
      <c r="A130" s="31"/>
      <c r="B130" s="8"/>
      <c r="C130" s="8"/>
      <c r="D130" s="8"/>
      <c r="E130" s="8"/>
      <c r="F130" s="8"/>
      <c r="G130" s="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32"/>
    </row>
    <row r="131" spans="1:25" x14ac:dyDescent="0.25">
      <c r="A131" s="31"/>
      <c r="B131" s="8"/>
      <c r="C131" s="8"/>
      <c r="D131" s="8"/>
      <c r="E131" s="8"/>
      <c r="F131" s="8"/>
      <c r="G131" s="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32"/>
    </row>
    <row r="132" spans="1:25" x14ac:dyDescent="0.25">
      <c r="A132" s="31"/>
      <c r="B132" s="8"/>
      <c r="C132" s="8"/>
      <c r="D132" s="8"/>
      <c r="E132" s="8"/>
      <c r="F132" s="8"/>
      <c r="G132" s="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32"/>
    </row>
    <row r="133" spans="1:25" x14ac:dyDescent="0.25">
      <c r="A133" s="31"/>
      <c r="B133" s="8"/>
      <c r="C133" s="8"/>
      <c r="D133" s="8"/>
      <c r="E133" s="8"/>
      <c r="F133" s="8"/>
      <c r="G133" s="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32"/>
    </row>
    <row r="134" spans="1:25" x14ac:dyDescent="0.25">
      <c r="A134" s="31"/>
      <c r="B134" s="8"/>
      <c r="C134" s="8"/>
      <c r="D134" s="8"/>
      <c r="E134" s="8"/>
      <c r="F134" s="8"/>
      <c r="G134" s="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32"/>
    </row>
    <row r="135" spans="1:25" x14ac:dyDescent="0.25">
      <c r="A135" s="31"/>
      <c r="B135" s="8"/>
      <c r="C135" s="8"/>
      <c r="D135" s="8"/>
      <c r="E135" s="8"/>
      <c r="F135" s="8"/>
      <c r="G135" s="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32"/>
    </row>
    <row r="136" spans="1:25" x14ac:dyDescent="0.25">
      <c r="A136" s="31"/>
      <c r="B136" s="8"/>
      <c r="C136" s="8"/>
      <c r="D136" s="8"/>
      <c r="E136" s="8"/>
      <c r="F136" s="8"/>
      <c r="G136" s="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32"/>
    </row>
    <row r="137" spans="1:25" x14ac:dyDescent="0.25">
      <c r="A137" s="31"/>
      <c r="B137" s="8"/>
      <c r="C137" s="8"/>
      <c r="D137" s="8"/>
      <c r="E137" s="8"/>
      <c r="F137" s="8"/>
      <c r="G137" s="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32"/>
    </row>
    <row r="138" spans="1:25" x14ac:dyDescent="0.25">
      <c r="A138" s="31"/>
      <c r="B138" s="8"/>
      <c r="C138" s="8"/>
      <c r="D138" s="8"/>
      <c r="E138" s="8"/>
      <c r="F138" s="8"/>
      <c r="G138" s="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32"/>
    </row>
    <row r="139" spans="1:25" x14ac:dyDescent="0.25">
      <c r="A139" s="31"/>
      <c r="B139" s="8"/>
      <c r="C139" s="8"/>
      <c r="D139" s="8"/>
      <c r="E139" s="8"/>
      <c r="F139" s="8"/>
      <c r="G139" s="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32"/>
    </row>
    <row r="140" spans="1:25" x14ac:dyDescent="0.25">
      <c r="A140" s="31"/>
      <c r="B140" s="8"/>
      <c r="C140" s="8"/>
      <c r="D140" s="8"/>
      <c r="E140" s="8"/>
      <c r="F140" s="8"/>
      <c r="G140" s="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32"/>
    </row>
    <row r="141" spans="1:25" x14ac:dyDescent="0.25">
      <c r="A141" s="31"/>
      <c r="B141" s="8"/>
      <c r="C141" s="8"/>
      <c r="D141" s="8"/>
      <c r="E141" s="8"/>
      <c r="F141" s="8"/>
      <c r="G141" s="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32"/>
    </row>
    <row r="142" spans="1:25" x14ac:dyDescent="0.25">
      <c r="A142" s="31"/>
      <c r="B142" s="8"/>
      <c r="C142" s="8"/>
      <c r="D142" s="8"/>
      <c r="E142" s="8"/>
      <c r="F142" s="8"/>
      <c r="G142" s="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32"/>
    </row>
    <row r="143" spans="1:25" x14ac:dyDescent="0.25">
      <c r="A143" s="31"/>
      <c r="B143" s="8"/>
      <c r="C143" s="8"/>
      <c r="D143" s="8"/>
      <c r="E143" s="8"/>
      <c r="F143" s="8"/>
      <c r="G143" s="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32"/>
    </row>
    <row r="144" spans="1:25" x14ac:dyDescent="0.25">
      <c r="A144" s="31"/>
      <c r="B144" s="8"/>
      <c r="C144" s="8"/>
      <c r="D144" s="8"/>
      <c r="E144" s="8"/>
      <c r="F144" s="8"/>
      <c r="G144" s="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32"/>
    </row>
    <row r="145" spans="1:25" x14ac:dyDescent="0.25">
      <c r="A145" s="31"/>
      <c r="B145" s="8"/>
      <c r="C145" s="8"/>
      <c r="D145" s="8"/>
      <c r="E145" s="8"/>
      <c r="F145" s="8"/>
      <c r="G145" s="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32"/>
    </row>
    <row r="146" spans="1:25" x14ac:dyDescent="0.25">
      <c r="A146" s="31"/>
      <c r="B146" s="8"/>
      <c r="C146" s="8"/>
      <c r="D146" s="8"/>
      <c r="E146" s="8"/>
      <c r="F146" s="8"/>
      <c r="G146" s="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32"/>
    </row>
    <row r="147" spans="1:25" x14ac:dyDescent="0.25">
      <c r="A147" s="31"/>
      <c r="B147" s="8"/>
      <c r="C147" s="8"/>
      <c r="D147" s="8"/>
      <c r="E147" s="8"/>
      <c r="F147" s="8"/>
      <c r="G147" s="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32"/>
    </row>
    <row r="148" spans="1:25" x14ac:dyDescent="0.25">
      <c r="A148" s="31"/>
      <c r="B148" s="8"/>
      <c r="C148" s="8"/>
      <c r="D148" s="8"/>
      <c r="E148" s="8"/>
      <c r="F148" s="8"/>
      <c r="G148" s="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32"/>
    </row>
    <row r="149" spans="1:25" x14ac:dyDescent="0.25">
      <c r="A149" s="31"/>
      <c r="B149" s="8"/>
      <c r="C149" s="8"/>
      <c r="D149" s="8"/>
      <c r="E149" s="8"/>
      <c r="F149" s="8"/>
      <c r="G149" s="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32"/>
    </row>
    <row r="150" spans="1:25" x14ac:dyDescent="0.25">
      <c r="A150" s="31"/>
      <c r="B150" s="8"/>
      <c r="C150" s="8"/>
      <c r="D150" s="8"/>
      <c r="E150" s="8"/>
      <c r="F150" s="8"/>
      <c r="G150" s="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32"/>
    </row>
    <row r="151" spans="1:25" x14ac:dyDescent="0.25">
      <c r="A151" s="31"/>
      <c r="B151" s="8"/>
      <c r="C151" s="8"/>
      <c r="D151" s="8"/>
      <c r="E151" s="8"/>
      <c r="F151" s="8"/>
      <c r="G151" s="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32"/>
    </row>
    <row r="152" spans="1:25" x14ac:dyDescent="0.25">
      <c r="A152" s="31"/>
      <c r="B152" s="8"/>
      <c r="C152" s="8"/>
      <c r="D152" s="8"/>
      <c r="E152" s="8"/>
      <c r="F152" s="8"/>
      <c r="G152" s="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32"/>
    </row>
    <row r="153" spans="1:25" x14ac:dyDescent="0.25">
      <c r="A153" s="31"/>
      <c r="B153" s="8"/>
      <c r="C153" s="8"/>
      <c r="D153" s="8"/>
      <c r="E153" s="8"/>
      <c r="F153" s="8"/>
      <c r="G153" s="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32"/>
    </row>
    <row r="154" spans="1:25" x14ac:dyDescent="0.25">
      <c r="A154" s="31"/>
      <c r="B154" s="8"/>
      <c r="C154" s="8"/>
      <c r="D154" s="8"/>
      <c r="E154" s="8"/>
      <c r="F154" s="8"/>
      <c r="G154" s="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32"/>
    </row>
    <row r="155" spans="1:25" x14ac:dyDescent="0.25">
      <c r="A155" s="31"/>
      <c r="B155" s="8"/>
      <c r="C155" s="8"/>
      <c r="D155" s="8"/>
      <c r="E155" s="8"/>
      <c r="F155" s="8"/>
      <c r="G155" s="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32"/>
    </row>
    <row r="156" spans="1:25" x14ac:dyDescent="0.25">
      <c r="A156" s="31"/>
      <c r="B156" s="8"/>
      <c r="C156" s="8"/>
      <c r="D156" s="8"/>
      <c r="E156" s="8"/>
      <c r="F156" s="8"/>
      <c r="G156" s="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32"/>
    </row>
    <row r="157" spans="1:25" x14ac:dyDescent="0.25">
      <c r="A157" s="31"/>
      <c r="B157" s="8"/>
      <c r="C157" s="8"/>
      <c r="D157" s="8"/>
      <c r="E157" s="8"/>
      <c r="F157" s="8"/>
      <c r="G157" s="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32"/>
    </row>
    <row r="158" spans="1:25" x14ac:dyDescent="0.25">
      <c r="A158" s="31"/>
      <c r="B158" s="8"/>
      <c r="C158" s="8"/>
      <c r="D158" s="8"/>
      <c r="E158" s="8"/>
      <c r="F158" s="8"/>
      <c r="G158" s="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32"/>
    </row>
    <row r="159" spans="1:25" x14ac:dyDescent="0.25">
      <c r="A159" s="31"/>
      <c r="B159" s="8"/>
      <c r="C159" s="8"/>
      <c r="D159" s="8"/>
      <c r="E159" s="8"/>
      <c r="F159" s="8"/>
      <c r="G159" s="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32"/>
    </row>
    <row r="160" spans="1:25" x14ac:dyDescent="0.25">
      <c r="A160" s="31"/>
      <c r="B160" s="8"/>
      <c r="C160" s="8"/>
      <c r="D160" s="8"/>
      <c r="E160" s="8"/>
      <c r="F160" s="8"/>
      <c r="G160" s="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32"/>
    </row>
    <row r="161" spans="1:25" x14ac:dyDescent="0.25">
      <c r="A161" s="31"/>
      <c r="B161" s="8"/>
      <c r="C161" s="8"/>
      <c r="D161" s="8"/>
      <c r="E161" s="8"/>
      <c r="F161" s="8"/>
      <c r="G161" s="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32"/>
    </row>
    <row r="162" spans="1:25" x14ac:dyDescent="0.25">
      <c r="A162" s="31"/>
      <c r="B162" s="8"/>
      <c r="C162" s="8"/>
      <c r="D162" s="8"/>
      <c r="E162" s="8"/>
      <c r="F162" s="8"/>
      <c r="G162" s="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32"/>
    </row>
    <row r="163" spans="1:25" x14ac:dyDescent="0.25">
      <c r="A163" s="31"/>
      <c r="B163" s="8"/>
      <c r="C163" s="8"/>
      <c r="D163" s="8"/>
      <c r="E163" s="8"/>
      <c r="F163" s="8"/>
      <c r="G163" s="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32"/>
    </row>
    <row r="164" spans="1:25" x14ac:dyDescent="0.25">
      <c r="A164" s="31"/>
      <c r="B164" s="8"/>
      <c r="C164" s="8"/>
      <c r="D164" s="8"/>
      <c r="E164" s="8"/>
      <c r="F164" s="8"/>
      <c r="G164" s="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32"/>
    </row>
    <row r="165" spans="1:25" x14ac:dyDescent="0.25">
      <c r="A165" s="31"/>
      <c r="B165" s="8"/>
      <c r="C165" s="8"/>
      <c r="D165" s="8"/>
      <c r="E165" s="8"/>
      <c r="F165" s="8"/>
      <c r="G165" s="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32"/>
    </row>
    <row r="166" spans="1:25" x14ac:dyDescent="0.25">
      <c r="A166" s="31"/>
      <c r="B166" s="8"/>
      <c r="C166" s="8"/>
      <c r="D166" s="8"/>
      <c r="E166" s="8"/>
      <c r="F166" s="8"/>
      <c r="G166" s="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32"/>
    </row>
    <row r="167" spans="1:25" x14ac:dyDescent="0.25">
      <c r="A167" s="31"/>
      <c r="B167" s="8"/>
      <c r="C167" s="8"/>
      <c r="D167" s="8"/>
      <c r="E167" s="8"/>
      <c r="F167" s="8"/>
      <c r="G167" s="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32"/>
    </row>
    <row r="168" spans="1:25" x14ac:dyDescent="0.25">
      <c r="A168" s="31"/>
      <c r="B168" s="8"/>
      <c r="C168" s="8"/>
      <c r="D168" s="8"/>
      <c r="E168" s="8"/>
      <c r="F168" s="8"/>
      <c r="G168" s="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32"/>
    </row>
    <row r="169" spans="1:25" x14ac:dyDescent="0.25">
      <c r="A169" s="31"/>
      <c r="B169" s="8"/>
      <c r="C169" s="8"/>
      <c r="D169" s="8"/>
      <c r="E169" s="8"/>
      <c r="F169" s="8"/>
      <c r="G169" s="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32"/>
    </row>
    <row r="170" spans="1:25" x14ac:dyDescent="0.25">
      <c r="A170" s="31"/>
      <c r="B170" s="8"/>
      <c r="C170" s="8"/>
      <c r="D170" s="8"/>
      <c r="E170" s="8"/>
      <c r="F170" s="8"/>
      <c r="G170" s="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32"/>
    </row>
    <row r="171" spans="1:25" x14ac:dyDescent="0.25">
      <c r="A171" s="31"/>
      <c r="B171" s="8"/>
      <c r="C171" s="8"/>
      <c r="D171" s="8"/>
      <c r="E171" s="8"/>
      <c r="F171" s="8"/>
      <c r="G171" s="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32"/>
    </row>
    <row r="172" spans="1:25" x14ac:dyDescent="0.25">
      <c r="A172" s="31"/>
      <c r="B172" s="8"/>
      <c r="C172" s="8"/>
      <c r="D172" s="8"/>
      <c r="E172" s="8"/>
      <c r="F172" s="8"/>
      <c r="G172" s="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32"/>
    </row>
    <row r="173" spans="1:25" x14ac:dyDescent="0.25">
      <c r="A173" s="31"/>
      <c r="B173" s="8"/>
      <c r="C173" s="8"/>
      <c r="D173" s="8"/>
      <c r="E173" s="8"/>
      <c r="F173" s="8"/>
      <c r="G173" s="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32"/>
    </row>
    <row r="174" spans="1:25" x14ac:dyDescent="0.25">
      <c r="A174" s="31"/>
      <c r="B174" s="8"/>
      <c r="C174" s="8"/>
      <c r="D174" s="8"/>
      <c r="E174" s="8"/>
      <c r="F174" s="8"/>
      <c r="G174" s="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32"/>
    </row>
    <row r="175" spans="1:25" x14ac:dyDescent="0.25">
      <c r="A175" s="31"/>
      <c r="B175" s="8"/>
      <c r="C175" s="8"/>
      <c r="D175" s="8"/>
      <c r="E175" s="8"/>
      <c r="F175" s="8"/>
      <c r="G175" s="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32"/>
    </row>
    <row r="176" spans="1:25" x14ac:dyDescent="0.25">
      <c r="A176" s="31"/>
      <c r="B176" s="8"/>
      <c r="C176" s="8"/>
      <c r="D176" s="8"/>
      <c r="E176" s="8"/>
      <c r="F176" s="8"/>
      <c r="G176" s="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32"/>
    </row>
    <row r="177" spans="1:25" x14ac:dyDescent="0.25">
      <c r="A177" s="31"/>
      <c r="B177" s="8"/>
      <c r="C177" s="8"/>
      <c r="D177" s="8"/>
      <c r="E177" s="8"/>
      <c r="F177" s="8"/>
      <c r="G177" s="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32"/>
    </row>
    <row r="178" spans="1:25" x14ac:dyDescent="0.25">
      <c r="A178" s="31"/>
      <c r="B178" s="8"/>
      <c r="C178" s="8"/>
      <c r="D178" s="8"/>
      <c r="E178" s="8"/>
      <c r="F178" s="8"/>
      <c r="G178" s="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32"/>
    </row>
    <row r="179" spans="1:25" x14ac:dyDescent="0.25">
      <c r="A179" s="31"/>
      <c r="B179" s="8"/>
      <c r="C179" s="8"/>
      <c r="D179" s="8"/>
      <c r="E179" s="8"/>
      <c r="F179" s="8"/>
      <c r="G179" s="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32"/>
    </row>
    <row r="180" spans="1:25" x14ac:dyDescent="0.25">
      <c r="A180" s="31"/>
      <c r="B180" s="8"/>
      <c r="C180" s="8"/>
      <c r="D180" s="8"/>
      <c r="E180" s="8"/>
      <c r="F180" s="8"/>
      <c r="G180" s="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32"/>
    </row>
    <row r="181" spans="1:25" x14ac:dyDescent="0.25">
      <c r="A181" s="31"/>
      <c r="B181" s="8"/>
      <c r="C181" s="8"/>
      <c r="D181" s="8"/>
      <c r="E181" s="8"/>
      <c r="F181" s="8"/>
      <c r="G181" s="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32"/>
    </row>
    <row r="182" spans="1:25" x14ac:dyDescent="0.25">
      <c r="A182" s="31"/>
      <c r="B182" s="8"/>
      <c r="C182" s="8"/>
      <c r="D182" s="8"/>
      <c r="E182" s="8"/>
      <c r="F182" s="8"/>
      <c r="G182" s="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32"/>
    </row>
    <row r="183" spans="1:25" x14ac:dyDescent="0.25">
      <c r="A183" s="31"/>
      <c r="B183" s="8"/>
      <c r="C183" s="8"/>
      <c r="D183" s="8"/>
      <c r="E183" s="8"/>
      <c r="F183" s="8"/>
      <c r="G183" s="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32"/>
    </row>
    <row r="184" spans="1:25" x14ac:dyDescent="0.25">
      <c r="A184" s="31"/>
      <c r="B184" s="8"/>
      <c r="C184" s="8"/>
      <c r="D184" s="8"/>
      <c r="E184" s="8"/>
      <c r="F184" s="8"/>
      <c r="G184" s="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32"/>
    </row>
    <row r="185" spans="1:25" x14ac:dyDescent="0.25">
      <c r="A185" s="31"/>
      <c r="B185" s="8"/>
      <c r="C185" s="8"/>
      <c r="D185" s="8"/>
      <c r="E185" s="8"/>
      <c r="F185" s="8"/>
      <c r="G185" s="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32"/>
    </row>
    <row r="186" spans="1:25" x14ac:dyDescent="0.25">
      <c r="A186" s="31"/>
      <c r="B186" s="8"/>
      <c r="C186" s="8"/>
      <c r="D186" s="8"/>
      <c r="E186" s="8"/>
      <c r="F186" s="8"/>
      <c r="G186" s="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32"/>
    </row>
    <row r="187" spans="1:25" x14ac:dyDescent="0.25">
      <c r="A187" s="31"/>
      <c r="B187" s="8"/>
      <c r="C187" s="8"/>
      <c r="D187" s="8"/>
      <c r="E187" s="8"/>
      <c r="F187" s="8"/>
      <c r="G187" s="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32"/>
    </row>
    <row r="188" spans="1:25" x14ac:dyDescent="0.25">
      <c r="A188" s="31"/>
      <c r="B188" s="8"/>
      <c r="C188" s="8"/>
      <c r="D188" s="8"/>
      <c r="E188" s="8"/>
      <c r="F188" s="8"/>
      <c r="G188" s="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32"/>
    </row>
    <row r="189" spans="1:25" x14ac:dyDescent="0.25">
      <c r="A189" s="31"/>
      <c r="B189" s="8"/>
      <c r="C189" s="8"/>
      <c r="D189" s="8"/>
      <c r="E189" s="8"/>
      <c r="F189" s="8"/>
      <c r="G189" s="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32"/>
    </row>
    <row r="190" spans="1:25" x14ac:dyDescent="0.25">
      <c r="A190" s="31"/>
      <c r="B190" s="8"/>
      <c r="C190" s="8"/>
      <c r="D190" s="8"/>
      <c r="E190" s="8"/>
      <c r="F190" s="8"/>
      <c r="G190" s="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32"/>
    </row>
    <row r="191" spans="1:25" x14ac:dyDescent="0.25">
      <c r="A191" s="31"/>
      <c r="B191" s="8"/>
      <c r="C191" s="8"/>
      <c r="D191" s="8"/>
      <c r="E191" s="8"/>
      <c r="F191" s="8"/>
      <c r="G191" s="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32"/>
    </row>
    <row r="192" spans="1:25" x14ac:dyDescent="0.25">
      <c r="A192" s="31"/>
      <c r="B192" s="8"/>
      <c r="C192" s="8"/>
      <c r="D192" s="8"/>
      <c r="E192" s="8"/>
      <c r="F192" s="8"/>
      <c r="G192" s="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32"/>
    </row>
    <row r="193" spans="1:25" x14ac:dyDescent="0.25">
      <c r="A193" s="31"/>
      <c r="B193" s="8"/>
      <c r="C193" s="8"/>
      <c r="D193" s="8"/>
      <c r="E193" s="8"/>
      <c r="F193" s="8"/>
      <c r="G193" s="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32"/>
    </row>
    <row r="194" spans="1:25" x14ac:dyDescent="0.25">
      <c r="A194" s="31" t="str">
        <f>IF($C194="","",INDEX(Taxepunkter!$A:$A,$C194))</f>
        <v/>
      </c>
      <c r="B194" s="8"/>
      <c r="C194" s="8"/>
      <c r="D194" s="8" t="str">
        <f>IF($C194="","",_xludf.TEXTJOIN(" ",TRUE,INDEX(Taxepunkter!$C:$C,$C194),INDEX(Taxepunkter!$D:$D,$C194)))</f>
        <v/>
      </c>
      <c r="E194" s="8" t="str">
        <f t="shared" ref="E171:E200" si="0">IF($C194="","","Saknas i EDP – föreslagen ny taxa")</f>
        <v/>
      </c>
      <c r="F194" s="8" t="str">
        <f t="shared" ref="F171:F200" si="1">IF($C194="","","Automatiserad mall: fyll Rad i Taxepunkter och FöreslagenTaxekod")</f>
        <v/>
      </c>
      <c r="G194" s="9"/>
      <c r="H194" s="10" t="str">
        <f t="shared" ref="H171:H200" si="2">IF($C194="","",$C194)</f>
        <v/>
      </c>
      <c r="I194" s="10" t="str">
        <f>IF($C194="","",INDEX(Taxepunkter!$B:$B,$C194)&amp;" / "&amp;INDEX(Taxepunkter!$C:$C,$C194))</f>
        <v/>
      </c>
      <c r="J194" s="10" t="str">
        <f t="shared" ref="J171:J200" si="3">IF($G194="","",$G194)</f>
        <v/>
      </c>
      <c r="K194" s="10" t="str">
        <f>IF($C194="","",INDEX(Taxepunkter!$C:$C,$C194)&amp;IF(INDEX(Taxepunkter!$D:$D,$C194)="","",". "&amp;INDEX(Taxepunkter!$D:$D,$C194)))</f>
        <v/>
      </c>
      <c r="L194" s="10" t="str">
        <f t="shared" ref="L171:L200" si="4">IF($C194="","","RENH")</f>
        <v/>
      </c>
      <c r="M194" s="10" t="str">
        <f t="shared" ref="M171:M200" si="5">IF($C194="","","HUSH")</f>
        <v/>
      </c>
      <c r="N194" s="10" t="str">
        <f t="shared" ref="N171:N200" si="6">IF($C194="","",1)</f>
        <v/>
      </c>
      <c r="O194" s="10" t="str">
        <f t="shared" ref="O171:O200" si="7">IF($C194="","","ÅRKV")</f>
        <v/>
      </c>
      <c r="P194" s="10" t="str">
        <f>IF($C194="","",_xludf.TEXTJOIN(" ",TRUE,INDEX(Taxepunkter!$C:$C,$C194),INDEX(Taxepunkter!$D:$D,$C194)))</f>
        <v/>
      </c>
      <c r="Q194" s="10"/>
      <c r="R194" s="10"/>
      <c r="S194" s="10"/>
      <c r="T194" s="10"/>
      <c r="U194" s="10" t="str">
        <f t="shared" ref="U171:U200" si="8">IF($C194="","",0)</f>
        <v/>
      </c>
      <c r="V194" s="10"/>
      <c r="W194" s="10" t="str">
        <f t="shared" ref="W171:W200" si="9">IF($C194="","","-")</f>
        <v/>
      </c>
      <c r="X194" s="10" t="str">
        <f t="shared" ref="X171:X200" si="10">IF($C194="","",1)</f>
        <v/>
      </c>
      <c r="Y194" s="32" t="str">
        <f t="shared" ref="Y171:Y200" si="11">IF($C194="","","ANTB")</f>
        <v/>
      </c>
    </row>
    <row r="195" spans="1:25" x14ac:dyDescent="0.25">
      <c r="A195" s="31" t="str">
        <f>IF($C195="","",INDEX(Taxepunkter!$A:$A,$C195))</f>
        <v/>
      </c>
      <c r="B195" s="8"/>
      <c r="C195" s="8"/>
      <c r="D195" s="8" t="str">
        <f>IF($C195="","",_xludf.TEXTJOIN(" ",TRUE,INDEX(Taxepunkter!$C:$C,$C195),INDEX(Taxepunkter!$D:$D,$C195)))</f>
        <v/>
      </c>
      <c r="E195" s="8" t="str">
        <f t="shared" si="0"/>
        <v/>
      </c>
      <c r="F195" s="8" t="str">
        <f t="shared" si="1"/>
        <v/>
      </c>
      <c r="G195" s="9"/>
      <c r="H195" s="10" t="str">
        <f t="shared" si="2"/>
        <v/>
      </c>
      <c r="I195" s="10" t="str">
        <f>IF($C195="","",INDEX(Taxepunkter!$B:$B,$C195)&amp;" / "&amp;INDEX(Taxepunkter!$C:$C,$C195))</f>
        <v/>
      </c>
      <c r="J195" s="10" t="str">
        <f t="shared" si="3"/>
        <v/>
      </c>
      <c r="K195" s="10" t="str">
        <f>IF($C195="","",INDEX(Taxepunkter!$C:$C,$C195)&amp;IF(INDEX(Taxepunkter!$D:$D,$C195)="","",". "&amp;INDEX(Taxepunkter!$D:$D,$C195)))</f>
        <v/>
      </c>
      <c r="L195" s="10" t="str">
        <f t="shared" si="4"/>
        <v/>
      </c>
      <c r="M195" s="10" t="str">
        <f t="shared" si="5"/>
        <v/>
      </c>
      <c r="N195" s="10" t="str">
        <f t="shared" si="6"/>
        <v/>
      </c>
      <c r="O195" s="10" t="str">
        <f t="shared" si="7"/>
        <v/>
      </c>
      <c r="P195" s="10" t="str">
        <f>IF($C195="","",_xludf.TEXTJOIN(" ",TRUE,INDEX(Taxepunkter!$C:$C,$C195),INDEX(Taxepunkter!$D:$D,$C195)))</f>
        <v/>
      </c>
      <c r="Q195" s="10"/>
      <c r="R195" s="10"/>
      <c r="S195" s="10"/>
      <c r="T195" s="10"/>
      <c r="U195" s="10" t="str">
        <f t="shared" si="8"/>
        <v/>
      </c>
      <c r="V195" s="10"/>
      <c r="W195" s="10" t="str">
        <f t="shared" si="9"/>
        <v/>
      </c>
      <c r="X195" s="10" t="str">
        <f t="shared" si="10"/>
        <v/>
      </c>
      <c r="Y195" s="32" t="str">
        <f t="shared" si="11"/>
        <v/>
      </c>
    </row>
    <row r="196" spans="1:25" x14ac:dyDescent="0.25">
      <c r="A196" s="31" t="str">
        <f>IF($C196="","",INDEX(Taxepunkter!$A:$A,$C196))</f>
        <v/>
      </c>
      <c r="B196" s="8"/>
      <c r="C196" s="8"/>
      <c r="D196" s="8" t="str">
        <f>IF($C196="","",_xludf.TEXTJOIN(" ",TRUE,INDEX(Taxepunkter!$C:$C,$C196),INDEX(Taxepunkter!$D:$D,$C196)))</f>
        <v/>
      </c>
      <c r="E196" s="8" t="str">
        <f t="shared" si="0"/>
        <v/>
      </c>
      <c r="F196" s="8" t="str">
        <f t="shared" si="1"/>
        <v/>
      </c>
      <c r="G196" s="9"/>
      <c r="H196" s="10" t="str">
        <f t="shared" si="2"/>
        <v/>
      </c>
      <c r="I196" s="10" t="str">
        <f>IF($C196="","",INDEX(Taxepunkter!$B:$B,$C196)&amp;" / "&amp;INDEX(Taxepunkter!$C:$C,$C196))</f>
        <v/>
      </c>
      <c r="J196" s="10" t="str">
        <f t="shared" si="3"/>
        <v/>
      </c>
      <c r="K196" s="10" t="str">
        <f>IF($C196="","",INDEX(Taxepunkter!$C:$C,$C196)&amp;IF(INDEX(Taxepunkter!$D:$D,$C196)="","",". "&amp;INDEX(Taxepunkter!$D:$D,$C196)))</f>
        <v/>
      </c>
      <c r="L196" s="10" t="str">
        <f t="shared" si="4"/>
        <v/>
      </c>
      <c r="M196" s="10" t="str">
        <f t="shared" si="5"/>
        <v/>
      </c>
      <c r="N196" s="10" t="str">
        <f t="shared" si="6"/>
        <v/>
      </c>
      <c r="O196" s="10" t="str">
        <f t="shared" si="7"/>
        <v/>
      </c>
      <c r="P196" s="10" t="str">
        <f>IF($C196="","",_xludf.TEXTJOIN(" ",TRUE,INDEX(Taxepunkter!$C:$C,$C196),INDEX(Taxepunkter!$D:$D,$C196)))</f>
        <v/>
      </c>
      <c r="Q196" s="10"/>
      <c r="R196" s="10"/>
      <c r="S196" s="10"/>
      <c r="T196" s="10"/>
      <c r="U196" s="10" t="str">
        <f t="shared" si="8"/>
        <v/>
      </c>
      <c r="V196" s="10"/>
      <c r="W196" s="10" t="str">
        <f t="shared" si="9"/>
        <v/>
      </c>
      <c r="X196" s="10" t="str">
        <f t="shared" si="10"/>
        <v/>
      </c>
      <c r="Y196" s="32" t="str">
        <f t="shared" si="11"/>
        <v/>
      </c>
    </row>
    <row r="197" spans="1:25" x14ac:dyDescent="0.25">
      <c r="A197" s="31" t="str">
        <f>IF($C197="","",INDEX(Taxepunkter!$A:$A,$C197))</f>
        <v/>
      </c>
      <c r="B197" s="8"/>
      <c r="C197" s="8"/>
      <c r="D197" s="8" t="str">
        <f>IF($C197="","",_xludf.TEXTJOIN(" ",TRUE,INDEX(Taxepunkter!$C:$C,$C197),INDEX(Taxepunkter!$D:$D,$C197)))</f>
        <v/>
      </c>
      <c r="E197" s="8" t="str">
        <f t="shared" si="0"/>
        <v/>
      </c>
      <c r="F197" s="8" t="str">
        <f t="shared" si="1"/>
        <v/>
      </c>
      <c r="G197" s="9"/>
      <c r="H197" s="10" t="str">
        <f t="shared" si="2"/>
        <v/>
      </c>
      <c r="I197" s="10" t="str">
        <f>IF($C197="","",INDEX(Taxepunkter!$B:$B,$C197)&amp;" / "&amp;INDEX(Taxepunkter!$C:$C,$C197))</f>
        <v/>
      </c>
      <c r="J197" s="10" t="str">
        <f t="shared" si="3"/>
        <v/>
      </c>
      <c r="K197" s="10" t="str">
        <f>IF($C197="","",INDEX(Taxepunkter!$C:$C,$C197)&amp;IF(INDEX(Taxepunkter!$D:$D,$C197)="","",". "&amp;INDEX(Taxepunkter!$D:$D,$C197)))</f>
        <v/>
      </c>
      <c r="L197" s="10" t="str">
        <f t="shared" si="4"/>
        <v/>
      </c>
      <c r="M197" s="10" t="str">
        <f t="shared" si="5"/>
        <v/>
      </c>
      <c r="N197" s="10" t="str">
        <f t="shared" si="6"/>
        <v/>
      </c>
      <c r="O197" s="10" t="str">
        <f t="shared" si="7"/>
        <v/>
      </c>
      <c r="P197" s="10" t="str">
        <f>IF($C197="","",_xludf.TEXTJOIN(" ",TRUE,INDEX(Taxepunkter!$C:$C,$C197),INDEX(Taxepunkter!$D:$D,$C197)))</f>
        <v/>
      </c>
      <c r="Q197" s="10"/>
      <c r="R197" s="10"/>
      <c r="S197" s="10"/>
      <c r="T197" s="10"/>
      <c r="U197" s="10" t="str">
        <f t="shared" si="8"/>
        <v/>
      </c>
      <c r="V197" s="10"/>
      <c r="W197" s="10" t="str">
        <f t="shared" si="9"/>
        <v/>
      </c>
      <c r="X197" s="10" t="str">
        <f t="shared" si="10"/>
        <v/>
      </c>
      <c r="Y197" s="32" t="str">
        <f t="shared" si="11"/>
        <v/>
      </c>
    </row>
    <row r="198" spans="1:25" x14ac:dyDescent="0.25">
      <c r="A198" s="31" t="str">
        <f>IF($C198="","",INDEX(Taxepunkter!$A:$A,$C198))</f>
        <v/>
      </c>
      <c r="B198" s="8"/>
      <c r="C198" s="8"/>
      <c r="D198" s="8" t="str">
        <f>IF($C198="","",_xludf.TEXTJOIN(" ",TRUE,INDEX(Taxepunkter!$C:$C,$C198),INDEX(Taxepunkter!$D:$D,$C198)))</f>
        <v/>
      </c>
      <c r="E198" s="8" t="str">
        <f t="shared" si="0"/>
        <v/>
      </c>
      <c r="F198" s="8" t="str">
        <f t="shared" si="1"/>
        <v/>
      </c>
      <c r="G198" s="9"/>
      <c r="H198" s="10" t="str">
        <f t="shared" si="2"/>
        <v/>
      </c>
      <c r="I198" s="10" t="str">
        <f>IF($C198="","",INDEX(Taxepunkter!$B:$B,$C198)&amp;" / "&amp;INDEX(Taxepunkter!$C:$C,$C198))</f>
        <v/>
      </c>
      <c r="J198" s="10" t="str">
        <f t="shared" si="3"/>
        <v/>
      </c>
      <c r="K198" s="10" t="str">
        <f>IF($C198="","",INDEX(Taxepunkter!$C:$C,$C198)&amp;IF(INDEX(Taxepunkter!$D:$D,$C198)="","",". "&amp;INDEX(Taxepunkter!$D:$D,$C198)))</f>
        <v/>
      </c>
      <c r="L198" s="10" t="str">
        <f t="shared" si="4"/>
        <v/>
      </c>
      <c r="M198" s="10" t="str">
        <f t="shared" si="5"/>
        <v/>
      </c>
      <c r="N198" s="10" t="str">
        <f t="shared" si="6"/>
        <v/>
      </c>
      <c r="O198" s="10" t="str">
        <f t="shared" si="7"/>
        <v/>
      </c>
      <c r="P198" s="10" t="str">
        <f>IF($C198="","",_xludf.TEXTJOIN(" ",TRUE,INDEX(Taxepunkter!$C:$C,$C198),INDEX(Taxepunkter!$D:$D,$C198)))</f>
        <v/>
      </c>
      <c r="Q198" s="10"/>
      <c r="R198" s="10"/>
      <c r="S198" s="10"/>
      <c r="T198" s="10"/>
      <c r="U198" s="10" t="str">
        <f t="shared" si="8"/>
        <v/>
      </c>
      <c r="V198" s="10"/>
      <c r="W198" s="10" t="str">
        <f t="shared" si="9"/>
        <v/>
      </c>
      <c r="X198" s="10" t="str">
        <f t="shared" si="10"/>
        <v/>
      </c>
      <c r="Y198" s="32" t="str">
        <f t="shared" si="11"/>
        <v/>
      </c>
    </row>
    <row r="199" spans="1:25" x14ac:dyDescent="0.25">
      <c r="A199" s="31" t="str">
        <f>IF($C199="","",INDEX(Taxepunkter!$A:$A,$C199))</f>
        <v/>
      </c>
      <c r="B199" s="8"/>
      <c r="C199" s="8"/>
      <c r="D199" s="8" t="str">
        <f>IF($C199="","",_xludf.TEXTJOIN(" ",TRUE,INDEX(Taxepunkter!$C:$C,$C199),INDEX(Taxepunkter!$D:$D,$C199)))</f>
        <v/>
      </c>
      <c r="E199" s="8" t="str">
        <f t="shared" si="0"/>
        <v/>
      </c>
      <c r="F199" s="8" t="str">
        <f t="shared" si="1"/>
        <v/>
      </c>
      <c r="G199" s="9"/>
      <c r="H199" s="10" t="str">
        <f t="shared" si="2"/>
        <v/>
      </c>
      <c r="I199" s="10" t="str">
        <f>IF($C199="","",INDEX(Taxepunkter!$B:$B,$C199)&amp;" / "&amp;INDEX(Taxepunkter!$C:$C,$C199))</f>
        <v/>
      </c>
      <c r="J199" s="10" t="str">
        <f t="shared" si="3"/>
        <v/>
      </c>
      <c r="K199" s="10" t="str">
        <f>IF($C199="","",INDEX(Taxepunkter!$C:$C,$C199)&amp;IF(INDEX(Taxepunkter!$D:$D,$C199)="","",". "&amp;INDEX(Taxepunkter!$D:$D,$C199)))</f>
        <v/>
      </c>
      <c r="L199" s="10" t="str">
        <f t="shared" si="4"/>
        <v/>
      </c>
      <c r="M199" s="10" t="str">
        <f t="shared" si="5"/>
        <v/>
      </c>
      <c r="N199" s="10" t="str">
        <f t="shared" si="6"/>
        <v/>
      </c>
      <c r="O199" s="10" t="str">
        <f t="shared" si="7"/>
        <v/>
      </c>
      <c r="P199" s="10" t="str">
        <f>IF($C199="","",_xludf.TEXTJOIN(" ",TRUE,INDEX(Taxepunkter!$C:$C,$C199),INDEX(Taxepunkter!$D:$D,$C199)))</f>
        <v/>
      </c>
      <c r="Q199" s="10"/>
      <c r="R199" s="10"/>
      <c r="S199" s="10"/>
      <c r="T199" s="10"/>
      <c r="U199" s="10" t="str">
        <f t="shared" si="8"/>
        <v/>
      </c>
      <c r="V199" s="10"/>
      <c r="W199" s="10" t="str">
        <f t="shared" si="9"/>
        <v/>
      </c>
      <c r="X199" s="10" t="str">
        <f t="shared" si="10"/>
        <v/>
      </c>
      <c r="Y199" s="32" t="str">
        <f t="shared" si="11"/>
        <v/>
      </c>
    </row>
    <row r="200" spans="1:25" x14ac:dyDescent="0.25">
      <c r="A200" s="33" t="str">
        <f>IF($C200="","",INDEX(Taxepunkter!$A:$A,$C200))</f>
        <v/>
      </c>
      <c r="B200" s="34"/>
      <c r="C200" s="34"/>
      <c r="D200" s="34" t="str">
        <f>IF($C200="","",_xludf.TEXTJOIN(" ",TRUE,INDEX(Taxepunkter!$C:$C,$C200),INDEX(Taxepunkter!$D:$D,$C200)))</f>
        <v/>
      </c>
      <c r="E200" s="34" t="str">
        <f t="shared" si="0"/>
        <v/>
      </c>
      <c r="F200" s="34" t="str">
        <f t="shared" si="1"/>
        <v/>
      </c>
      <c r="G200" s="35"/>
      <c r="H200" s="36" t="str">
        <f t="shared" si="2"/>
        <v/>
      </c>
      <c r="I200" s="36" t="str">
        <f>IF($C200="","",INDEX(Taxepunkter!$B:$B,$C200)&amp;" / "&amp;INDEX(Taxepunkter!$C:$C,$C200))</f>
        <v/>
      </c>
      <c r="J200" s="36" t="str">
        <f t="shared" si="3"/>
        <v/>
      </c>
      <c r="K200" s="36" t="str">
        <f>IF($C200="","",INDEX(Taxepunkter!$C:$C,$C200)&amp;IF(INDEX(Taxepunkter!$D:$D,$C200)="","",". "&amp;INDEX(Taxepunkter!$D:$D,$C200)))</f>
        <v/>
      </c>
      <c r="L200" s="36" t="str">
        <f t="shared" si="4"/>
        <v/>
      </c>
      <c r="M200" s="36" t="str">
        <f t="shared" si="5"/>
        <v/>
      </c>
      <c r="N200" s="36" t="str">
        <f t="shared" si="6"/>
        <v/>
      </c>
      <c r="O200" s="36" t="str">
        <f t="shared" si="7"/>
        <v/>
      </c>
      <c r="P200" s="36" t="str">
        <f>IF($C200="","",_xludf.TEXTJOIN(" ",TRUE,INDEX(Taxepunkter!$C:$C,$C200),INDEX(Taxepunkter!$D:$D,$C200)))</f>
        <v/>
      </c>
      <c r="Q200" s="36"/>
      <c r="R200" s="36"/>
      <c r="S200" s="36"/>
      <c r="T200" s="36"/>
      <c r="U200" s="36" t="str">
        <f t="shared" si="8"/>
        <v/>
      </c>
      <c r="V200" s="36"/>
      <c r="W200" s="36" t="str">
        <f t="shared" si="9"/>
        <v/>
      </c>
      <c r="X200" s="36" t="str">
        <f t="shared" si="10"/>
        <v/>
      </c>
      <c r="Y200" s="37" t="str">
        <f t="shared" si="11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0"/>
  <sheetViews>
    <sheetView workbookViewId="0"/>
  </sheetViews>
  <sheetFormatPr defaultRowHeight="15" x14ac:dyDescent="0.25"/>
  <cols>
    <col min="1" max="1" width="18" customWidth="1"/>
    <col min="2" max="2" width="22" customWidth="1"/>
    <col min="3" max="3" width="38" customWidth="1"/>
    <col min="4" max="4" width="22" customWidth="1"/>
    <col min="5" max="5" width="42" customWidth="1"/>
    <col min="6" max="6" width="35" customWidth="1"/>
    <col min="7" max="7" width="18" customWidth="1"/>
    <col min="8" max="8" width="65" customWidth="1"/>
  </cols>
  <sheetData>
    <row r="1" spans="1:8" x14ac:dyDescent="0.25">
      <c r="A1" s="62" t="s">
        <v>950</v>
      </c>
      <c r="B1" s="63" t="s">
        <v>934</v>
      </c>
      <c r="C1" s="63" t="s">
        <v>951</v>
      </c>
      <c r="D1" s="63" t="s">
        <v>952</v>
      </c>
      <c r="E1" s="63" t="s">
        <v>953</v>
      </c>
      <c r="F1" s="63" t="s">
        <v>954</v>
      </c>
      <c r="G1" s="63" t="s">
        <v>281</v>
      </c>
      <c r="H1" s="67" t="s">
        <v>912</v>
      </c>
    </row>
    <row r="2" spans="1:8" x14ac:dyDescent="0.25">
      <c r="A2" s="43" t="s">
        <v>955</v>
      </c>
      <c r="B2" s="10" t="s">
        <v>956</v>
      </c>
      <c r="C2" s="10" t="s">
        <v>144</v>
      </c>
      <c r="D2" s="10" t="s">
        <v>36</v>
      </c>
      <c r="E2" s="10" t="s">
        <v>957</v>
      </c>
      <c r="F2" s="10" t="s">
        <v>958</v>
      </c>
      <c r="G2" s="10" t="s">
        <v>959</v>
      </c>
      <c r="H2" s="32"/>
    </row>
    <row r="3" spans="1:8" x14ac:dyDescent="0.25">
      <c r="A3" s="43" t="s">
        <v>960</v>
      </c>
      <c r="B3" s="10" t="s">
        <v>956</v>
      </c>
      <c r="C3" s="10" t="s">
        <v>961</v>
      </c>
      <c r="D3" s="10" t="s">
        <v>962</v>
      </c>
      <c r="E3" s="10" t="s">
        <v>963</v>
      </c>
      <c r="F3" s="10" t="s">
        <v>964</v>
      </c>
      <c r="G3" s="10" t="s">
        <v>959</v>
      </c>
      <c r="H3" s="32" t="s">
        <v>965</v>
      </c>
    </row>
    <row r="4" spans="1:8" x14ac:dyDescent="0.25">
      <c r="A4" s="43" t="s">
        <v>966</v>
      </c>
      <c r="B4" s="10" t="s">
        <v>967</v>
      </c>
      <c r="C4" s="10" t="s">
        <v>968</v>
      </c>
      <c r="D4" s="10" t="s">
        <v>936</v>
      </c>
      <c r="E4" s="10" t="s">
        <v>969</v>
      </c>
      <c r="F4" s="10" t="s">
        <v>970</v>
      </c>
      <c r="G4" s="10" t="s">
        <v>959</v>
      </c>
      <c r="H4" s="32" t="s">
        <v>971</v>
      </c>
    </row>
    <row r="5" spans="1:8" x14ac:dyDescent="0.25">
      <c r="A5" s="43" t="s">
        <v>972</v>
      </c>
      <c r="B5" s="10" t="s">
        <v>967</v>
      </c>
      <c r="C5" s="10" t="s">
        <v>973</v>
      </c>
      <c r="D5" s="10" t="s">
        <v>91</v>
      </c>
      <c r="E5" s="10" t="s">
        <v>969</v>
      </c>
      <c r="F5" s="10" t="s">
        <v>970</v>
      </c>
      <c r="G5" s="10" t="s">
        <v>959</v>
      </c>
      <c r="H5" s="32" t="s">
        <v>971</v>
      </c>
    </row>
    <row r="6" spans="1:8" x14ac:dyDescent="0.25">
      <c r="A6" s="43" t="s">
        <v>974</v>
      </c>
      <c r="B6" s="10" t="s">
        <v>975</v>
      </c>
      <c r="C6" s="10" t="s">
        <v>976</v>
      </c>
      <c r="D6" s="10" t="s">
        <v>36</v>
      </c>
      <c r="E6" s="10" t="s">
        <v>957</v>
      </c>
      <c r="F6" s="10" t="s">
        <v>977</v>
      </c>
      <c r="G6" s="10" t="s">
        <v>959</v>
      </c>
      <c r="H6" s="32"/>
    </row>
    <row r="7" spans="1:8" x14ac:dyDescent="0.25">
      <c r="A7" s="43" t="s">
        <v>978</v>
      </c>
      <c r="B7" s="10" t="s">
        <v>975</v>
      </c>
      <c r="C7" s="10" t="s">
        <v>979</v>
      </c>
      <c r="D7" s="10" t="s">
        <v>560</v>
      </c>
      <c r="E7" s="10" t="s">
        <v>980</v>
      </c>
      <c r="F7" s="10" t="s">
        <v>981</v>
      </c>
      <c r="G7" s="10" t="s">
        <v>959</v>
      </c>
      <c r="H7" s="32"/>
    </row>
    <row r="8" spans="1:8" x14ac:dyDescent="0.25">
      <c r="A8" s="43" t="s">
        <v>982</v>
      </c>
      <c r="B8" s="10" t="s">
        <v>975</v>
      </c>
      <c r="C8" s="10" t="s">
        <v>983</v>
      </c>
      <c r="D8" s="10" t="s">
        <v>64</v>
      </c>
      <c r="E8" s="10" t="s">
        <v>984</v>
      </c>
      <c r="F8" s="10" t="s">
        <v>985</v>
      </c>
      <c r="G8" s="10" t="s">
        <v>959</v>
      </c>
      <c r="H8" s="32"/>
    </row>
    <row r="9" spans="1:8" x14ac:dyDescent="0.25">
      <c r="A9" s="43" t="s">
        <v>986</v>
      </c>
      <c r="B9" s="10" t="s">
        <v>975</v>
      </c>
      <c r="C9" s="10" t="s">
        <v>987</v>
      </c>
      <c r="D9" s="10" t="s">
        <v>69</v>
      </c>
      <c r="E9" s="10" t="s">
        <v>988</v>
      </c>
      <c r="F9" s="10" t="s">
        <v>985</v>
      </c>
      <c r="G9" s="10" t="s">
        <v>959</v>
      </c>
      <c r="H9" s="32"/>
    </row>
    <row r="10" spans="1:8" x14ac:dyDescent="0.25">
      <c r="A10" s="43" t="s">
        <v>989</v>
      </c>
      <c r="B10" s="10" t="s">
        <v>975</v>
      </c>
      <c r="C10" s="10" t="s">
        <v>990</v>
      </c>
      <c r="D10" s="10" t="s">
        <v>76</v>
      </c>
      <c r="E10" s="10" t="s">
        <v>969</v>
      </c>
      <c r="F10" s="10" t="s">
        <v>970</v>
      </c>
      <c r="G10" s="10" t="s">
        <v>959</v>
      </c>
      <c r="H10" s="32" t="s">
        <v>991</v>
      </c>
    </row>
    <row r="11" spans="1:8" x14ac:dyDescent="0.25">
      <c r="A11" s="43" t="s">
        <v>992</v>
      </c>
      <c r="B11" s="10" t="s">
        <v>975</v>
      </c>
      <c r="C11" s="10" t="s">
        <v>993</v>
      </c>
      <c r="D11" s="10" t="s">
        <v>73</v>
      </c>
      <c r="E11" s="10" t="s">
        <v>969</v>
      </c>
      <c r="F11" s="10" t="s">
        <v>970</v>
      </c>
      <c r="G11" s="10" t="s">
        <v>959</v>
      </c>
      <c r="H11" s="32" t="s">
        <v>994</v>
      </c>
    </row>
    <row r="12" spans="1:8" x14ac:dyDescent="0.25">
      <c r="A12" s="43" t="s">
        <v>995</v>
      </c>
      <c r="B12" s="10" t="s">
        <v>996</v>
      </c>
      <c r="C12" s="10" t="s">
        <v>997</v>
      </c>
      <c r="D12" s="10" t="s">
        <v>39</v>
      </c>
      <c r="E12" s="10" t="s">
        <v>998</v>
      </c>
      <c r="F12" s="10" t="s">
        <v>999</v>
      </c>
      <c r="G12" s="10" t="s">
        <v>959</v>
      </c>
      <c r="H12" s="32"/>
    </row>
    <row r="13" spans="1:8" x14ac:dyDescent="0.25">
      <c r="A13" s="43" t="s">
        <v>1000</v>
      </c>
      <c r="B13" s="10" t="s">
        <v>1001</v>
      </c>
      <c r="C13" s="10" t="s">
        <v>1002</v>
      </c>
      <c r="D13" s="10" t="s">
        <v>70</v>
      </c>
      <c r="E13" s="10" t="s">
        <v>1003</v>
      </c>
      <c r="F13" s="10" t="s">
        <v>284</v>
      </c>
      <c r="G13" s="10" t="s">
        <v>959</v>
      </c>
      <c r="H13" s="32"/>
    </row>
    <row r="14" spans="1:8" x14ac:dyDescent="0.25">
      <c r="A14" s="43" t="s">
        <v>1004</v>
      </c>
      <c r="B14" s="10" t="s">
        <v>1001</v>
      </c>
      <c r="C14" s="10" t="s">
        <v>1005</v>
      </c>
      <c r="D14" s="10" t="s">
        <v>39</v>
      </c>
      <c r="E14" s="10" t="s">
        <v>998</v>
      </c>
      <c r="F14" s="10" t="s">
        <v>284</v>
      </c>
      <c r="G14" s="10" t="s">
        <v>959</v>
      </c>
      <c r="H14" s="32"/>
    </row>
    <row r="15" spans="1:8" x14ac:dyDescent="0.25">
      <c r="A15" s="43" t="s">
        <v>1006</v>
      </c>
      <c r="B15" s="10" t="s">
        <v>1001</v>
      </c>
      <c r="C15" s="10" t="s">
        <v>1007</v>
      </c>
      <c r="D15" s="10" t="s">
        <v>36</v>
      </c>
      <c r="E15" s="10" t="s">
        <v>957</v>
      </c>
      <c r="F15" s="10" t="s">
        <v>284</v>
      </c>
      <c r="G15" s="10" t="s">
        <v>959</v>
      </c>
      <c r="H15" s="32"/>
    </row>
    <row r="16" spans="1:8" x14ac:dyDescent="0.25">
      <c r="A16" s="43" t="s">
        <v>1008</v>
      </c>
      <c r="B16" s="10" t="s">
        <v>1001</v>
      </c>
      <c r="C16" s="10" t="s">
        <v>1009</v>
      </c>
      <c r="D16" s="10" t="s">
        <v>64</v>
      </c>
      <c r="E16" s="10" t="s">
        <v>984</v>
      </c>
      <c r="F16" s="10" t="s">
        <v>284</v>
      </c>
      <c r="G16" s="10" t="s">
        <v>959</v>
      </c>
      <c r="H16" s="32"/>
    </row>
    <row r="17" spans="1:8" x14ac:dyDescent="0.25">
      <c r="A17" s="43" t="s">
        <v>1010</v>
      </c>
      <c r="B17" s="10" t="s">
        <v>1001</v>
      </c>
      <c r="C17" s="10" t="s">
        <v>1011</v>
      </c>
      <c r="D17" s="10" t="s">
        <v>67</v>
      </c>
      <c r="E17" s="10" t="s">
        <v>1012</v>
      </c>
      <c r="F17" s="10" t="s">
        <v>284</v>
      </c>
      <c r="G17" s="10" t="s">
        <v>959</v>
      </c>
      <c r="H17" s="32"/>
    </row>
    <row r="18" spans="1:8" x14ac:dyDescent="0.25">
      <c r="A18" s="43" t="s">
        <v>1013</v>
      </c>
      <c r="B18" s="10" t="s">
        <v>1014</v>
      </c>
      <c r="C18" s="10" t="s">
        <v>1015</v>
      </c>
      <c r="D18" s="10" t="s">
        <v>36</v>
      </c>
      <c r="E18" s="10" t="s">
        <v>957</v>
      </c>
      <c r="F18" s="10" t="s">
        <v>284</v>
      </c>
      <c r="G18" s="10" t="s">
        <v>959</v>
      </c>
      <c r="H18" s="32"/>
    </row>
    <row r="19" spans="1:8" x14ac:dyDescent="0.25">
      <c r="A19" s="43" t="s">
        <v>1016</v>
      </c>
      <c r="B19" s="10" t="s">
        <v>1014</v>
      </c>
      <c r="C19" s="10" t="s">
        <v>1017</v>
      </c>
      <c r="D19" s="10" t="s">
        <v>60</v>
      </c>
      <c r="E19" s="10" t="s">
        <v>1018</v>
      </c>
      <c r="F19" s="10" t="s">
        <v>284</v>
      </c>
      <c r="G19" s="10" t="s">
        <v>959</v>
      </c>
      <c r="H19" s="32"/>
    </row>
    <row r="20" spans="1:8" x14ac:dyDescent="0.25">
      <c r="A20" s="43" t="s">
        <v>263</v>
      </c>
      <c r="B20" s="10" t="s">
        <v>1014</v>
      </c>
      <c r="C20" s="10" t="s">
        <v>1019</v>
      </c>
      <c r="D20" s="10" t="s">
        <v>62</v>
      </c>
      <c r="E20" s="10" t="s">
        <v>969</v>
      </c>
      <c r="F20" s="10" t="s">
        <v>1020</v>
      </c>
      <c r="G20" s="10" t="s">
        <v>1021</v>
      </c>
      <c r="H20" s="32" t="s">
        <v>1022</v>
      </c>
    </row>
    <row r="21" spans="1:8" x14ac:dyDescent="0.25">
      <c r="A21" s="43" t="s">
        <v>1023</v>
      </c>
      <c r="B21" s="10" t="s">
        <v>1024</v>
      </c>
      <c r="C21" s="10" t="s">
        <v>21</v>
      </c>
      <c r="D21" s="10" t="s">
        <v>42</v>
      </c>
      <c r="E21" s="10" t="s">
        <v>1025</v>
      </c>
      <c r="F21" s="10" t="s">
        <v>284</v>
      </c>
      <c r="G21" s="10" t="s">
        <v>959</v>
      </c>
      <c r="H21" s="32"/>
    </row>
    <row r="22" spans="1:8" x14ac:dyDescent="0.25">
      <c r="A22" s="43" t="s">
        <v>1026</v>
      </c>
      <c r="B22" s="10" t="s">
        <v>1024</v>
      </c>
      <c r="C22" s="10" t="s">
        <v>1027</v>
      </c>
      <c r="D22" s="10" t="s">
        <v>66</v>
      </c>
      <c r="E22" s="10" t="s">
        <v>1028</v>
      </c>
      <c r="F22" s="10" t="s">
        <v>1029</v>
      </c>
      <c r="G22" s="10" t="s">
        <v>959</v>
      </c>
      <c r="H22" s="32" t="s">
        <v>1030</v>
      </c>
    </row>
    <row r="23" spans="1:8" x14ac:dyDescent="0.25">
      <c r="A23" s="43" t="s">
        <v>1031</v>
      </c>
      <c r="B23" s="10" t="s">
        <v>1032</v>
      </c>
      <c r="C23" s="10" t="s">
        <v>949</v>
      </c>
      <c r="D23" s="10" t="s">
        <v>1033</v>
      </c>
      <c r="E23" s="10" t="s">
        <v>1034</v>
      </c>
      <c r="F23" s="10" t="s">
        <v>284</v>
      </c>
      <c r="G23" s="10" t="s">
        <v>959</v>
      </c>
      <c r="H23" s="32" t="s">
        <v>1035</v>
      </c>
    </row>
    <row r="24" spans="1:8" x14ac:dyDescent="0.25">
      <c r="A24" s="43" t="s">
        <v>1036</v>
      </c>
      <c r="B24" s="10" t="s">
        <v>1032</v>
      </c>
      <c r="C24" s="10" t="s">
        <v>23</v>
      </c>
      <c r="D24" s="10" t="s">
        <v>1033</v>
      </c>
      <c r="E24" s="10" t="s">
        <v>1034</v>
      </c>
      <c r="F24" s="10" t="s">
        <v>284</v>
      </c>
      <c r="G24" s="10" t="s">
        <v>959</v>
      </c>
      <c r="H24" s="32" t="s">
        <v>1035</v>
      </c>
    </row>
    <row r="25" spans="1:8" x14ac:dyDescent="0.25">
      <c r="A25" s="43" t="s">
        <v>1037</v>
      </c>
      <c r="B25" s="10" t="s">
        <v>1038</v>
      </c>
      <c r="C25" s="10" t="s">
        <v>1039</v>
      </c>
      <c r="D25" s="10" t="s">
        <v>1040</v>
      </c>
      <c r="E25" s="10" t="s">
        <v>1041</v>
      </c>
      <c r="F25" s="10" t="s">
        <v>1042</v>
      </c>
      <c r="G25" s="10" t="s">
        <v>959</v>
      </c>
      <c r="H25" s="32"/>
    </row>
    <row r="26" spans="1:8" x14ac:dyDescent="0.25">
      <c r="A26" s="43" t="s">
        <v>1043</v>
      </c>
      <c r="B26" s="10" t="s">
        <v>1044</v>
      </c>
      <c r="C26" s="10" t="s">
        <v>1045</v>
      </c>
      <c r="D26" s="10" t="s">
        <v>1046</v>
      </c>
      <c r="E26" s="10" t="s">
        <v>1047</v>
      </c>
      <c r="F26" s="10" t="s">
        <v>286</v>
      </c>
      <c r="G26" s="10" t="s">
        <v>959</v>
      </c>
      <c r="H26" s="32"/>
    </row>
    <row r="27" spans="1:8" x14ac:dyDescent="0.25">
      <c r="A27" s="43" t="s">
        <v>1048</v>
      </c>
      <c r="B27" s="10" t="s">
        <v>950</v>
      </c>
      <c r="C27" s="10" t="s">
        <v>1049</v>
      </c>
      <c r="D27" s="10" t="s">
        <v>1050</v>
      </c>
      <c r="E27" s="10" t="s">
        <v>1051</v>
      </c>
      <c r="F27" s="10" t="s">
        <v>985</v>
      </c>
      <c r="G27" s="10" t="s">
        <v>959</v>
      </c>
      <c r="H27" s="32"/>
    </row>
    <row r="28" spans="1:8" x14ac:dyDescent="0.25">
      <c r="A28" s="43" t="s">
        <v>317</v>
      </c>
      <c r="B28" s="10" t="s">
        <v>288</v>
      </c>
      <c r="C28" s="10" t="s">
        <v>1052</v>
      </c>
      <c r="D28" s="10" t="s">
        <v>317</v>
      </c>
      <c r="E28" s="10" t="s">
        <v>1053</v>
      </c>
      <c r="F28" s="10" t="s">
        <v>1054</v>
      </c>
      <c r="G28" s="10" t="s">
        <v>959</v>
      </c>
      <c r="H28" s="32"/>
    </row>
    <row r="29" spans="1:8" x14ac:dyDescent="0.25">
      <c r="A29" s="43" t="s">
        <v>311</v>
      </c>
      <c r="B29" s="10" t="s">
        <v>288</v>
      </c>
      <c r="C29" s="10" t="s">
        <v>1055</v>
      </c>
      <c r="D29" s="10" t="s">
        <v>311</v>
      </c>
      <c r="E29" s="10" t="s">
        <v>1056</v>
      </c>
      <c r="F29" s="10" t="s">
        <v>1054</v>
      </c>
      <c r="G29" s="10" t="s">
        <v>959</v>
      </c>
      <c r="H29" s="32"/>
    </row>
    <row r="30" spans="1:8" x14ac:dyDescent="0.25">
      <c r="A30" s="43" t="s">
        <v>303</v>
      </c>
      <c r="B30" s="10" t="s">
        <v>288</v>
      </c>
      <c r="C30" s="10" t="s">
        <v>1057</v>
      </c>
      <c r="D30" s="10" t="s">
        <v>303</v>
      </c>
      <c r="E30" s="10" t="s">
        <v>1058</v>
      </c>
      <c r="F30" s="10" t="s">
        <v>1054</v>
      </c>
      <c r="G30" s="10" t="s">
        <v>959</v>
      </c>
      <c r="H30" s="32"/>
    </row>
    <row r="31" spans="1:8" x14ac:dyDescent="0.25">
      <c r="A31" s="43" t="s">
        <v>434</v>
      </c>
      <c r="B31" s="10" t="s">
        <v>288</v>
      </c>
      <c r="C31" s="10" t="s">
        <v>832</v>
      </c>
      <c r="D31" s="10" t="s">
        <v>434</v>
      </c>
      <c r="E31" s="10" t="s">
        <v>1058</v>
      </c>
      <c r="F31" s="10" t="s">
        <v>1054</v>
      </c>
      <c r="G31" s="10" t="s">
        <v>959</v>
      </c>
      <c r="H31" s="32"/>
    </row>
    <row r="32" spans="1:8" x14ac:dyDescent="0.25">
      <c r="A32" s="43" t="s">
        <v>1059</v>
      </c>
      <c r="B32" s="10" t="s">
        <v>288</v>
      </c>
      <c r="C32" s="10" t="s">
        <v>1060</v>
      </c>
      <c r="D32" s="10" t="s">
        <v>1059</v>
      </c>
      <c r="E32" s="10" t="s">
        <v>1058</v>
      </c>
      <c r="F32" s="10" t="s">
        <v>1054</v>
      </c>
      <c r="G32" s="10" t="s">
        <v>959</v>
      </c>
      <c r="H32" s="32"/>
    </row>
    <row r="33" spans="1:8" x14ac:dyDescent="0.25">
      <c r="A33" s="43" t="s">
        <v>351</v>
      </c>
      <c r="B33" s="10" t="s">
        <v>298</v>
      </c>
      <c r="C33" s="10" t="s">
        <v>1061</v>
      </c>
      <c r="D33" s="10" t="s">
        <v>351</v>
      </c>
      <c r="E33" s="10" t="s">
        <v>1062</v>
      </c>
      <c r="F33" s="10" t="s">
        <v>1063</v>
      </c>
      <c r="G33" s="10" t="s">
        <v>959</v>
      </c>
      <c r="H33" s="32"/>
    </row>
    <row r="34" spans="1:8" x14ac:dyDescent="0.25">
      <c r="A34" s="43" t="s">
        <v>319</v>
      </c>
      <c r="B34" s="10" t="s">
        <v>298</v>
      </c>
      <c r="C34" s="10" t="s">
        <v>1064</v>
      </c>
      <c r="D34" s="10" t="s">
        <v>319</v>
      </c>
      <c r="E34" s="10" t="s">
        <v>1065</v>
      </c>
      <c r="F34" s="10" t="s">
        <v>1063</v>
      </c>
      <c r="G34" s="10" t="s">
        <v>959</v>
      </c>
      <c r="H34" s="32"/>
    </row>
    <row r="35" spans="1:8" x14ac:dyDescent="0.25">
      <c r="A35" s="43" t="s">
        <v>456</v>
      </c>
      <c r="B35" s="10" t="s">
        <v>298</v>
      </c>
      <c r="C35" s="10" t="s">
        <v>1066</v>
      </c>
      <c r="D35" s="10" t="s">
        <v>456</v>
      </c>
      <c r="E35" s="10" t="s">
        <v>1067</v>
      </c>
      <c r="F35" s="10" t="s">
        <v>1063</v>
      </c>
      <c r="G35" s="10" t="s">
        <v>959</v>
      </c>
      <c r="H35" s="32"/>
    </row>
    <row r="36" spans="1:8" x14ac:dyDescent="0.25">
      <c r="A36" s="43" t="s">
        <v>473</v>
      </c>
      <c r="B36" s="10" t="s">
        <v>298</v>
      </c>
      <c r="C36" s="10" t="s">
        <v>1068</v>
      </c>
      <c r="D36" s="10" t="s">
        <v>473</v>
      </c>
      <c r="E36" s="10" t="s">
        <v>1058</v>
      </c>
      <c r="F36" s="10" t="s">
        <v>1063</v>
      </c>
      <c r="G36" s="10" t="s">
        <v>959</v>
      </c>
      <c r="H36" s="32"/>
    </row>
    <row r="37" spans="1:8" x14ac:dyDescent="0.25">
      <c r="A37" s="43" t="s">
        <v>452</v>
      </c>
      <c r="B37" s="10" t="s">
        <v>298</v>
      </c>
      <c r="C37" s="10" t="s">
        <v>1069</v>
      </c>
      <c r="D37" s="10" t="s">
        <v>452</v>
      </c>
      <c r="E37" s="10" t="s">
        <v>1070</v>
      </c>
      <c r="F37" s="10" t="s">
        <v>1063</v>
      </c>
      <c r="G37" s="10" t="s">
        <v>959</v>
      </c>
      <c r="H37" s="32"/>
    </row>
    <row r="38" spans="1:8" x14ac:dyDescent="0.25">
      <c r="A38" s="43" t="s">
        <v>1071</v>
      </c>
      <c r="B38" s="10" t="s">
        <v>298</v>
      </c>
      <c r="C38" s="10" t="s">
        <v>1072</v>
      </c>
      <c r="D38" s="10" t="s">
        <v>1071</v>
      </c>
      <c r="E38" s="10" t="s">
        <v>1073</v>
      </c>
      <c r="F38" s="10" t="s">
        <v>1074</v>
      </c>
      <c r="G38" s="10" t="s">
        <v>959</v>
      </c>
      <c r="H38" s="32"/>
    </row>
    <row r="39" spans="1:8" x14ac:dyDescent="0.25">
      <c r="A39" s="43" t="s">
        <v>933</v>
      </c>
      <c r="B39" s="10" t="s">
        <v>298</v>
      </c>
      <c r="C39" s="10" t="s">
        <v>1075</v>
      </c>
      <c r="D39" s="10" t="s">
        <v>933</v>
      </c>
      <c r="E39" s="10" t="s">
        <v>1073</v>
      </c>
      <c r="F39" s="10" t="s">
        <v>1074</v>
      </c>
      <c r="G39" s="10" t="s">
        <v>959</v>
      </c>
      <c r="H39" s="32"/>
    </row>
    <row r="40" spans="1:8" x14ac:dyDescent="0.25">
      <c r="A40" s="43" t="s">
        <v>1076</v>
      </c>
      <c r="B40" s="10" t="s">
        <v>298</v>
      </c>
      <c r="C40" s="10" t="s">
        <v>1077</v>
      </c>
      <c r="D40" s="10" t="s">
        <v>1076</v>
      </c>
      <c r="E40" s="10" t="s">
        <v>1078</v>
      </c>
      <c r="F40" s="10" t="s">
        <v>1063</v>
      </c>
      <c r="G40" s="10" t="s">
        <v>959</v>
      </c>
      <c r="H40" s="32"/>
    </row>
    <row r="41" spans="1:8" x14ac:dyDescent="0.25">
      <c r="A41" s="43" t="s">
        <v>1079</v>
      </c>
      <c r="B41" s="10" t="s">
        <v>298</v>
      </c>
      <c r="C41" s="10" t="s">
        <v>1080</v>
      </c>
      <c r="D41" s="10" t="s">
        <v>1079</v>
      </c>
      <c r="E41" s="10" t="s">
        <v>1081</v>
      </c>
      <c r="F41" s="10" t="s">
        <v>1063</v>
      </c>
      <c r="G41" s="10" t="s">
        <v>959</v>
      </c>
      <c r="H41" s="32"/>
    </row>
    <row r="42" spans="1:8" x14ac:dyDescent="0.25">
      <c r="A42" s="43"/>
      <c r="B42" s="10"/>
      <c r="C42" s="10"/>
      <c r="D42" s="10"/>
      <c r="E42" s="10"/>
      <c r="F42" s="10"/>
      <c r="G42" s="10"/>
      <c r="H42" s="32"/>
    </row>
    <row r="43" spans="1:8" x14ac:dyDescent="0.25">
      <c r="A43" s="43"/>
      <c r="B43" s="10"/>
      <c r="C43" s="10"/>
      <c r="D43" s="10"/>
      <c r="E43" s="10"/>
      <c r="F43" s="10"/>
      <c r="G43" s="10"/>
      <c r="H43" s="32"/>
    </row>
    <row r="44" spans="1:8" x14ac:dyDescent="0.25">
      <c r="A44" s="43"/>
      <c r="B44" s="10"/>
      <c r="C44" s="10"/>
      <c r="D44" s="10"/>
      <c r="E44" s="10"/>
      <c r="F44" s="10"/>
      <c r="G44" s="10"/>
      <c r="H44" s="32"/>
    </row>
    <row r="45" spans="1:8" x14ac:dyDescent="0.25">
      <c r="A45" s="43" t="s">
        <v>942</v>
      </c>
      <c r="B45" s="10" t="s">
        <v>1024</v>
      </c>
      <c r="C45" s="10" t="s">
        <v>1082</v>
      </c>
      <c r="D45" s="10" t="s">
        <v>97</v>
      </c>
      <c r="E45" s="10" t="s">
        <v>969</v>
      </c>
      <c r="F45" s="10" t="s">
        <v>970</v>
      </c>
      <c r="G45" s="10" t="s">
        <v>959</v>
      </c>
      <c r="H45" s="32" t="s">
        <v>1083</v>
      </c>
    </row>
    <row r="46" spans="1:8" x14ac:dyDescent="0.25">
      <c r="A46" s="43"/>
      <c r="B46" s="10"/>
      <c r="C46" s="10"/>
      <c r="D46" s="10"/>
      <c r="E46" s="10"/>
      <c r="F46" s="10"/>
      <c r="G46" s="10"/>
      <c r="H46" s="32"/>
    </row>
    <row r="47" spans="1:8" x14ac:dyDescent="0.25">
      <c r="A47" s="43"/>
      <c r="B47" s="10"/>
      <c r="C47" s="10"/>
      <c r="D47" s="10"/>
      <c r="E47" s="10"/>
      <c r="F47" s="10"/>
      <c r="G47" s="10"/>
      <c r="H47" s="32"/>
    </row>
    <row r="48" spans="1:8" x14ac:dyDescent="0.25">
      <c r="A48" s="43"/>
      <c r="B48" s="10"/>
      <c r="C48" s="10"/>
      <c r="D48" s="10"/>
      <c r="E48" s="10"/>
      <c r="F48" s="10"/>
      <c r="G48" s="10"/>
      <c r="H48" s="32"/>
    </row>
    <row r="49" spans="1:8" x14ac:dyDescent="0.25">
      <c r="A49" s="43" t="s">
        <v>81</v>
      </c>
      <c r="B49" s="10" t="s">
        <v>1084</v>
      </c>
      <c r="C49" s="10" t="s">
        <v>1085</v>
      </c>
      <c r="D49" s="10" t="s">
        <v>81</v>
      </c>
      <c r="E49" s="10" t="s">
        <v>1086</v>
      </c>
      <c r="F49" s="10" t="s">
        <v>1087</v>
      </c>
      <c r="G49" s="10" t="s">
        <v>1088</v>
      </c>
      <c r="H49" s="32" t="s">
        <v>1089</v>
      </c>
    </row>
    <row r="50" spans="1:8" x14ac:dyDescent="0.25">
      <c r="A50" s="43" t="s">
        <v>83</v>
      </c>
      <c r="B50" s="10" t="s">
        <v>1084</v>
      </c>
      <c r="C50" s="10" t="s">
        <v>1090</v>
      </c>
      <c r="D50" s="10" t="s">
        <v>83</v>
      </c>
      <c r="E50" s="10" t="s">
        <v>1086</v>
      </c>
      <c r="F50" s="10" t="s">
        <v>1087</v>
      </c>
      <c r="G50" s="10" t="s">
        <v>1088</v>
      </c>
      <c r="H50" s="32"/>
    </row>
    <row r="51" spans="1:8" x14ac:dyDescent="0.25">
      <c r="A51" s="43" t="s">
        <v>87</v>
      </c>
      <c r="B51" s="10" t="s">
        <v>1091</v>
      </c>
      <c r="C51" s="10" t="s">
        <v>1092</v>
      </c>
      <c r="D51" s="10" t="s">
        <v>87</v>
      </c>
      <c r="E51" s="10" t="s">
        <v>1086</v>
      </c>
      <c r="F51" s="10" t="s">
        <v>1093</v>
      </c>
      <c r="G51" s="10" t="s">
        <v>1088</v>
      </c>
      <c r="H51" s="32" t="s">
        <v>1094</v>
      </c>
    </row>
    <row r="52" spans="1:8" x14ac:dyDescent="0.25">
      <c r="A52" s="43" t="s">
        <v>272</v>
      </c>
      <c r="B52" s="10" t="s">
        <v>1084</v>
      </c>
      <c r="C52" s="10" t="s">
        <v>1095</v>
      </c>
      <c r="D52" s="10" t="s">
        <v>272</v>
      </c>
      <c r="E52" s="10" t="s">
        <v>1096</v>
      </c>
      <c r="F52" s="10" t="s">
        <v>1087</v>
      </c>
      <c r="G52" s="10" t="s">
        <v>1088</v>
      </c>
      <c r="H52" s="32" t="s">
        <v>1089</v>
      </c>
    </row>
    <row r="53" spans="1:8" x14ac:dyDescent="0.25">
      <c r="A53" s="43" t="s">
        <v>93</v>
      </c>
      <c r="B53" s="10" t="s">
        <v>1084</v>
      </c>
      <c r="C53" s="10" t="s">
        <v>1090</v>
      </c>
      <c r="D53" s="10" t="s">
        <v>93</v>
      </c>
      <c r="E53" s="10" t="s">
        <v>1096</v>
      </c>
      <c r="F53" s="10" t="s">
        <v>1087</v>
      </c>
      <c r="G53" s="10" t="s">
        <v>1088</v>
      </c>
      <c r="H53" s="32"/>
    </row>
    <row r="54" spans="1:8" x14ac:dyDescent="0.25">
      <c r="A54" s="43" t="s">
        <v>91</v>
      </c>
      <c r="B54" s="10" t="s">
        <v>1084</v>
      </c>
      <c r="C54" s="10" t="s">
        <v>1097</v>
      </c>
      <c r="D54" s="10" t="s">
        <v>91</v>
      </c>
      <c r="E54" s="10" t="s">
        <v>1096</v>
      </c>
      <c r="F54" s="10" t="s">
        <v>1098</v>
      </c>
      <c r="G54" s="10" t="s">
        <v>1088</v>
      </c>
      <c r="H54" s="32"/>
    </row>
    <row r="55" spans="1:8" x14ac:dyDescent="0.25">
      <c r="A55" s="43" t="s">
        <v>942</v>
      </c>
      <c r="B55" s="10" t="s">
        <v>1024</v>
      </c>
      <c r="C55" s="10" t="s">
        <v>1082</v>
      </c>
      <c r="D55" s="10" t="s">
        <v>97</v>
      </c>
      <c r="E55" s="10" t="s">
        <v>1099</v>
      </c>
      <c r="F55" s="10" t="s">
        <v>970</v>
      </c>
      <c r="G55" s="10" t="s">
        <v>959</v>
      </c>
      <c r="H55" s="32" t="s">
        <v>1100</v>
      </c>
    </row>
    <row r="56" spans="1:8" x14ac:dyDescent="0.25">
      <c r="A56" s="43" t="s">
        <v>273</v>
      </c>
      <c r="B56" s="10" t="s">
        <v>1084</v>
      </c>
      <c r="C56" s="10" t="s">
        <v>1101</v>
      </c>
      <c r="D56" s="10" t="s">
        <v>273</v>
      </c>
      <c r="E56" s="10" t="s">
        <v>1102</v>
      </c>
      <c r="F56" s="10" t="s">
        <v>1103</v>
      </c>
      <c r="G56" s="10" t="s">
        <v>1088</v>
      </c>
      <c r="H56" s="32" t="s">
        <v>1104</v>
      </c>
    </row>
    <row r="57" spans="1:8" x14ac:dyDescent="0.25">
      <c r="A57" s="43" t="s">
        <v>98</v>
      </c>
      <c r="B57" s="10" t="s">
        <v>1084</v>
      </c>
      <c r="C57" s="10" t="s">
        <v>1105</v>
      </c>
      <c r="D57" s="10" t="s">
        <v>98</v>
      </c>
      <c r="E57" s="10" t="s">
        <v>1102</v>
      </c>
      <c r="F57" s="10" t="s">
        <v>1103</v>
      </c>
      <c r="G57" s="10" t="s">
        <v>1088</v>
      </c>
      <c r="H57" s="32" t="s">
        <v>1106</v>
      </c>
    </row>
    <row r="58" spans="1:8" x14ac:dyDescent="0.25">
      <c r="A58" s="43"/>
      <c r="B58" s="10"/>
      <c r="C58" s="10"/>
      <c r="D58" s="10"/>
      <c r="E58" s="10"/>
      <c r="F58" s="10"/>
      <c r="G58" s="10"/>
      <c r="H58" s="32"/>
    </row>
    <row r="59" spans="1:8" x14ac:dyDescent="0.25">
      <c r="A59" s="43" t="s">
        <v>103</v>
      </c>
      <c r="B59" s="10" t="s">
        <v>1084</v>
      </c>
      <c r="C59" s="10" t="s">
        <v>1107</v>
      </c>
      <c r="D59" s="10" t="s">
        <v>103</v>
      </c>
      <c r="E59" s="10" t="s">
        <v>1108</v>
      </c>
      <c r="F59" s="10" t="s">
        <v>1109</v>
      </c>
      <c r="G59" s="10" t="s">
        <v>1088</v>
      </c>
      <c r="H59" s="32" t="s">
        <v>1110</v>
      </c>
    </row>
    <row r="60" spans="1:8" x14ac:dyDescent="0.25">
      <c r="A60" s="43" t="s">
        <v>275</v>
      </c>
      <c r="B60" s="10" t="s">
        <v>1091</v>
      </c>
      <c r="C60" s="10" t="s">
        <v>274</v>
      </c>
      <c r="D60" s="10" t="s">
        <v>275</v>
      </c>
      <c r="E60" s="10" t="s">
        <v>1108</v>
      </c>
      <c r="F60" s="10" t="s">
        <v>1111</v>
      </c>
      <c r="G60" s="10" t="s">
        <v>1088</v>
      </c>
      <c r="H60" s="32"/>
    </row>
    <row r="61" spans="1:8" x14ac:dyDescent="0.25">
      <c r="A61" s="43" t="s">
        <v>105</v>
      </c>
      <c r="B61" s="10" t="s">
        <v>1091</v>
      </c>
      <c r="C61" s="10" t="s">
        <v>104</v>
      </c>
      <c r="D61" s="10" t="s">
        <v>105</v>
      </c>
      <c r="E61" s="10" t="s">
        <v>1108</v>
      </c>
      <c r="F61" s="10" t="s">
        <v>1111</v>
      </c>
      <c r="G61" s="10" t="s">
        <v>1088</v>
      </c>
      <c r="H61" s="32"/>
    </row>
    <row r="62" spans="1:8" x14ac:dyDescent="0.25">
      <c r="A62" s="43" t="s">
        <v>1112</v>
      </c>
      <c r="B62" s="10" t="s">
        <v>1113</v>
      </c>
      <c r="C62" s="10" t="s">
        <v>1114</v>
      </c>
      <c r="D62" s="10" t="s">
        <v>275</v>
      </c>
      <c r="E62" s="10" t="s">
        <v>1108</v>
      </c>
      <c r="F62" s="10" t="s">
        <v>1111</v>
      </c>
      <c r="G62" s="10" t="s">
        <v>1088</v>
      </c>
      <c r="H62" s="32"/>
    </row>
    <row r="63" spans="1:8" x14ac:dyDescent="0.25">
      <c r="A63" s="43"/>
      <c r="B63" s="10"/>
      <c r="C63" s="10"/>
      <c r="D63" s="10"/>
      <c r="E63" s="10"/>
      <c r="F63" s="10"/>
      <c r="G63" s="10"/>
      <c r="H63" s="32"/>
    </row>
    <row r="64" spans="1:8" x14ac:dyDescent="0.25">
      <c r="A64" s="43"/>
      <c r="B64" s="10"/>
      <c r="C64" s="10"/>
      <c r="D64" s="10"/>
      <c r="E64" s="10"/>
      <c r="F64" s="10"/>
      <c r="G64" s="10"/>
      <c r="H64" s="32"/>
    </row>
    <row r="65" spans="1:8" x14ac:dyDescent="0.25">
      <c r="A65" s="43"/>
      <c r="B65" s="10"/>
      <c r="C65" s="10"/>
      <c r="D65" s="10"/>
      <c r="E65" s="10"/>
      <c r="F65" s="10"/>
      <c r="G65" s="10"/>
      <c r="H65" s="32"/>
    </row>
    <row r="66" spans="1:8" x14ac:dyDescent="0.25">
      <c r="A66" s="43"/>
      <c r="B66" s="10"/>
      <c r="C66" s="10"/>
      <c r="D66" s="10"/>
      <c r="E66" s="10"/>
      <c r="F66" s="10"/>
      <c r="G66" s="10"/>
      <c r="H66" s="32"/>
    </row>
    <row r="67" spans="1:8" x14ac:dyDescent="0.25">
      <c r="A67" s="43"/>
      <c r="B67" s="10"/>
      <c r="C67" s="10"/>
      <c r="D67" s="10"/>
      <c r="E67" s="10"/>
      <c r="F67" s="10"/>
      <c r="G67" s="10"/>
      <c r="H67" s="32"/>
    </row>
    <row r="68" spans="1:8" x14ac:dyDescent="0.25">
      <c r="A68" s="43"/>
      <c r="B68" s="10"/>
      <c r="C68" s="10"/>
      <c r="D68" s="10"/>
      <c r="E68" s="10"/>
      <c r="F68" s="10"/>
      <c r="G68" s="10"/>
      <c r="H68" s="32"/>
    </row>
    <row r="69" spans="1:8" x14ac:dyDescent="0.25">
      <c r="A69" s="43"/>
      <c r="B69" s="10"/>
      <c r="C69" s="10"/>
      <c r="D69" s="10"/>
      <c r="E69" s="10"/>
      <c r="F69" s="10"/>
      <c r="G69" s="10"/>
      <c r="H69" s="32"/>
    </row>
    <row r="70" spans="1:8" x14ac:dyDescent="0.25">
      <c r="A70" s="43"/>
      <c r="B70" s="10"/>
      <c r="C70" s="10"/>
      <c r="D70" s="10"/>
      <c r="E70" s="10"/>
      <c r="F70" s="10"/>
      <c r="G70" s="10"/>
      <c r="H70" s="32"/>
    </row>
    <row r="71" spans="1:8" x14ac:dyDescent="0.25">
      <c r="A71" s="43"/>
      <c r="B71" s="10"/>
      <c r="C71" s="10"/>
      <c r="D71" s="10"/>
      <c r="E71" s="10"/>
      <c r="F71" s="10"/>
      <c r="G71" s="10"/>
      <c r="H71" s="32"/>
    </row>
    <row r="72" spans="1:8" x14ac:dyDescent="0.25">
      <c r="A72" s="43"/>
      <c r="B72" s="10"/>
      <c r="C72" s="10"/>
      <c r="D72" s="10"/>
      <c r="E72" s="10"/>
      <c r="F72" s="10"/>
      <c r="G72" s="10"/>
      <c r="H72" s="32"/>
    </row>
    <row r="73" spans="1:8" x14ac:dyDescent="0.25">
      <c r="A73" s="43"/>
      <c r="B73" s="10"/>
      <c r="C73" s="10"/>
      <c r="D73" s="10"/>
      <c r="E73" s="10"/>
      <c r="F73" s="10"/>
      <c r="G73" s="10"/>
      <c r="H73" s="32"/>
    </row>
    <row r="74" spans="1:8" x14ac:dyDescent="0.25">
      <c r="A74" s="43"/>
      <c r="B74" s="10"/>
      <c r="C74" s="10"/>
      <c r="D74" s="10"/>
      <c r="E74" s="10"/>
      <c r="F74" s="10"/>
      <c r="G74" s="10"/>
      <c r="H74" s="32"/>
    </row>
    <row r="75" spans="1:8" x14ac:dyDescent="0.25">
      <c r="A75" s="43"/>
      <c r="B75" s="10"/>
      <c r="C75" s="10"/>
      <c r="D75" s="10"/>
      <c r="E75" s="10"/>
      <c r="F75" s="10"/>
      <c r="G75" s="10"/>
      <c r="H75" s="32"/>
    </row>
    <row r="76" spans="1:8" x14ac:dyDescent="0.25">
      <c r="A76" s="43"/>
      <c r="B76" s="10"/>
      <c r="C76" s="10"/>
      <c r="D76" s="10"/>
      <c r="E76" s="10"/>
      <c r="F76" s="10"/>
      <c r="G76" s="10"/>
      <c r="H76" s="32"/>
    </row>
    <row r="77" spans="1:8" x14ac:dyDescent="0.25">
      <c r="A77" s="43"/>
      <c r="B77" s="10"/>
      <c r="C77" s="10"/>
      <c r="D77" s="10"/>
      <c r="E77" s="10"/>
      <c r="F77" s="10"/>
      <c r="G77" s="10"/>
      <c r="H77" s="32"/>
    </row>
    <row r="78" spans="1:8" x14ac:dyDescent="0.25">
      <c r="A78" s="43"/>
      <c r="B78" s="10"/>
      <c r="C78" s="10"/>
      <c r="D78" s="10"/>
      <c r="E78" s="10"/>
      <c r="F78" s="10"/>
      <c r="G78" s="10"/>
      <c r="H78" s="32"/>
    </row>
    <row r="79" spans="1:8" x14ac:dyDescent="0.25">
      <c r="A79" s="43"/>
      <c r="B79" s="10"/>
      <c r="C79" s="10"/>
      <c r="D79" s="10"/>
      <c r="E79" s="10"/>
      <c r="F79" s="10"/>
      <c r="G79" s="10"/>
      <c r="H79" s="32"/>
    </row>
    <row r="80" spans="1:8" x14ac:dyDescent="0.25">
      <c r="A80" s="44"/>
      <c r="B80" s="36"/>
      <c r="C80" s="36"/>
      <c r="D80" s="36"/>
      <c r="E80" s="36"/>
      <c r="F80" s="36"/>
      <c r="G80" s="36"/>
      <c r="H80" s="3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8"/>
  <sheetViews>
    <sheetView workbookViewId="0"/>
  </sheetViews>
  <sheetFormatPr defaultRowHeight="15" x14ac:dyDescent="0.25"/>
  <cols>
    <col min="1" max="1" width="52" customWidth="1"/>
    <col min="2" max="3" width="18" customWidth="1"/>
  </cols>
  <sheetData>
    <row r="1" spans="1:26" x14ac:dyDescent="0.25">
      <c r="A1" s="62" t="s">
        <v>1115</v>
      </c>
      <c r="B1" s="63"/>
      <c r="C1" s="67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" t="s">
        <v>1116</v>
      </c>
      <c r="B2" s="4"/>
      <c r="C2" s="6"/>
    </row>
    <row r="3" spans="1:26" x14ac:dyDescent="0.25">
      <c r="A3" s="5"/>
      <c r="B3" s="4"/>
      <c r="C3" s="6"/>
    </row>
    <row r="4" spans="1:26" x14ac:dyDescent="0.25">
      <c r="A4" s="5" t="s">
        <v>1117</v>
      </c>
      <c r="B4" s="4" t="s">
        <v>1118</v>
      </c>
      <c r="C4" s="6"/>
    </row>
    <row r="5" spans="1:26" x14ac:dyDescent="0.25">
      <c r="A5" s="5" t="s">
        <v>1119</v>
      </c>
      <c r="B5" s="45">
        <v>0.25</v>
      </c>
      <c r="C5" s="47" t="s">
        <v>1120</v>
      </c>
    </row>
    <row r="6" spans="1:26" x14ac:dyDescent="0.25">
      <c r="A6" s="5"/>
      <c r="B6" s="45"/>
      <c r="C6" s="47"/>
    </row>
    <row r="7" spans="1:26" x14ac:dyDescent="0.25">
      <c r="A7" s="48" t="s">
        <v>1121</v>
      </c>
      <c r="B7" s="46" t="s">
        <v>1122</v>
      </c>
      <c r="C7" s="49" t="s">
        <v>1123</v>
      </c>
    </row>
    <row r="8" spans="1:26" x14ac:dyDescent="0.25">
      <c r="A8" s="5" t="s">
        <v>1124</v>
      </c>
      <c r="B8" s="45">
        <v>1500</v>
      </c>
      <c r="C8" s="47">
        <v>1875</v>
      </c>
    </row>
    <row r="9" spans="1:26" x14ac:dyDescent="0.25">
      <c r="A9" s="5" t="s">
        <v>1125</v>
      </c>
      <c r="B9" s="45">
        <v>125</v>
      </c>
      <c r="C9" s="47">
        <v>156.25</v>
      </c>
    </row>
    <row r="10" spans="1:26" x14ac:dyDescent="0.25">
      <c r="A10" s="5" t="s">
        <v>1126</v>
      </c>
      <c r="B10" s="45">
        <v>145</v>
      </c>
      <c r="C10" s="47">
        <v>181.25</v>
      </c>
    </row>
    <row r="11" spans="1:26" x14ac:dyDescent="0.25">
      <c r="A11" s="5" t="s">
        <v>1127</v>
      </c>
      <c r="B11" s="45">
        <v>165</v>
      </c>
      <c r="C11" s="47">
        <v>206.25</v>
      </c>
    </row>
    <row r="12" spans="1:26" x14ac:dyDescent="0.25">
      <c r="A12" s="5" t="s">
        <v>1128</v>
      </c>
      <c r="B12" s="45">
        <v>1500</v>
      </c>
      <c r="C12" s="47">
        <v>1875</v>
      </c>
    </row>
    <row r="13" spans="1:26" x14ac:dyDescent="0.25">
      <c r="A13" s="5" t="s">
        <v>1129</v>
      </c>
      <c r="B13" s="45">
        <v>25</v>
      </c>
      <c r="C13" s="47">
        <v>31.25</v>
      </c>
    </row>
    <row r="14" spans="1:26" x14ac:dyDescent="0.25">
      <c r="A14" s="5" t="s">
        <v>1130</v>
      </c>
      <c r="B14" s="45">
        <v>30</v>
      </c>
      <c r="C14" s="47">
        <v>37.5</v>
      </c>
    </row>
    <row r="15" spans="1:26" x14ac:dyDescent="0.25">
      <c r="A15" s="5" t="s">
        <v>1131</v>
      </c>
      <c r="B15" s="45">
        <v>35</v>
      </c>
      <c r="C15" s="47">
        <v>43.75</v>
      </c>
    </row>
    <row r="16" spans="1:26" x14ac:dyDescent="0.25">
      <c r="A16" s="5" t="s">
        <v>1132</v>
      </c>
      <c r="B16" s="45">
        <v>50</v>
      </c>
      <c r="C16" s="47">
        <v>62.5</v>
      </c>
    </row>
    <row r="17" spans="1:3" x14ac:dyDescent="0.25">
      <c r="A17" s="5" t="s">
        <v>1133</v>
      </c>
      <c r="B17" s="45">
        <v>85</v>
      </c>
      <c r="C17" s="47">
        <v>106.25</v>
      </c>
    </row>
    <row r="18" spans="1:3" x14ac:dyDescent="0.25">
      <c r="A18" s="5" t="s">
        <v>1134</v>
      </c>
      <c r="B18" s="45">
        <v>300</v>
      </c>
      <c r="C18" s="47">
        <v>375</v>
      </c>
    </row>
    <row r="19" spans="1:3" x14ac:dyDescent="0.25">
      <c r="A19" s="5" t="s">
        <v>1135</v>
      </c>
      <c r="B19" s="45">
        <v>450</v>
      </c>
      <c r="C19" s="47">
        <v>562.5</v>
      </c>
    </row>
    <row r="20" spans="1:3" x14ac:dyDescent="0.25">
      <c r="A20" s="5" t="s">
        <v>1136</v>
      </c>
      <c r="B20" s="45">
        <v>450</v>
      </c>
      <c r="C20" s="47">
        <v>562.5</v>
      </c>
    </row>
    <row r="21" spans="1:3" x14ac:dyDescent="0.25">
      <c r="A21" s="5" t="s">
        <v>1137</v>
      </c>
      <c r="B21" s="45">
        <v>300</v>
      </c>
      <c r="C21" s="47">
        <v>375</v>
      </c>
    </row>
    <row r="22" spans="1:3" x14ac:dyDescent="0.25">
      <c r="A22" s="5" t="s">
        <v>987</v>
      </c>
      <c r="B22" s="45">
        <v>3600</v>
      </c>
      <c r="C22" s="47">
        <v>4500</v>
      </c>
    </row>
    <row r="23" spans="1:3" x14ac:dyDescent="0.25">
      <c r="A23" s="5" t="s">
        <v>983</v>
      </c>
      <c r="B23" s="45">
        <v>4200</v>
      </c>
      <c r="C23" s="47">
        <v>5250</v>
      </c>
    </row>
    <row r="24" spans="1:3" x14ac:dyDescent="0.25">
      <c r="A24" s="5" t="s">
        <v>1138</v>
      </c>
      <c r="B24" s="45" t="s">
        <v>1139</v>
      </c>
      <c r="C24" s="47" t="s">
        <v>1139</v>
      </c>
    </row>
    <row r="25" spans="1:3" x14ac:dyDescent="0.25">
      <c r="A25" s="5"/>
      <c r="B25" s="4"/>
      <c r="C25" s="6"/>
    </row>
    <row r="26" spans="1:3" x14ac:dyDescent="0.25">
      <c r="A26" s="5"/>
      <c r="B26" s="4"/>
      <c r="C26" s="6"/>
    </row>
    <row r="27" spans="1:3" x14ac:dyDescent="0.25">
      <c r="A27" s="5" t="s">
        <v>1140</v>
      </c>
      <c r="B27" s="4" t="s">
        <v>1141</v>
      </c>
      <c r="C27" s="6"/>
    </row>
    <row r="28" spans="1:3" x14ac:dyDescent="0.25">
      <c r="A28" s="16" t="s">
        <v>954</v>
      </c>
      <c r="B28" s="17" t="s">
        <v>1142</v>
      </c>
      <c r="C28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5"/>
  <sheetViews>
    <sheetView workbookViewId="0"/>
  </sheetViews>
  <sheetFormatPr defaultRowHeight="15" x14ac:dyDescent="0.25"/>
  <cols>
    <col min="1" max="1" width="18" customWidth="1"/>
    <col min="2" max="2" width="38" customWidth="1"/>
    <col min="3" max="3" width="58" customWidth="1"/>
  </cols>
  <sheetData>
    <row r="1" spans="1:26" x14ac:dyDescent="0.25">
      <c r="A1" s="62" t="s">
        <v>1143</v>
      </c>
      <c r="B1" s="63" t="s">
        <v>938</v>
      </c>
      <c r="C1" s="67" t="s">
        <v>1144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" t="s">
        <v>317</v>
      </c>
      <c r="B2" s="4" t="s">
        <v>1052</v>
      </c>
      <c r="C2" s="6" t="s">
        <v>1145</v>
      </c>
    </row>
    <row r="3" spans="1:26" x14ac:dyDescent="0.25">
      <c r="A3" s="5" t="s">
        <v>311</v>
      </c>
      <c r="B3" s="4" t="s">
        <v>1055</v>
      </c>
      <c r="C3" s="6" t="s">
        <v>1145</v>
      </c>
    </row>
    <row r="4" spans="1:26" x14ac:dyDescent="0.25">
      <c r="A4" s="5" t="s">
        <v>303</v>
      </c>
      <c r="B4" s="4" t="s">
        <v>1057</v>
      </c>
      <c r="C4" s="6" t="s">
        <v>1146</v>
      </c>
    </row>
    <row r="5" spans="1:26" x14ac:dyDescent="0.25">
      <c r="A5" s="5" t="s">
        <v>434</v>
      </c>
      <c r="B5" s="4" t="s">
        <v>832</v>
      </c>
      <c r="C5" s="6" t="s">
        <v>1147</v>
      </c>
    </row>
    <row r="6" spans="1:26" x14ac:dyDescent="0.25">
      <c r="A6" s="5" t="s">
        <v>1059</v>
      </c>
      <c r="B6" s="4" t="s">
        <v>1060</v>
      </c>
      <c r="C6" s="6" t="s">
        <v>1146</v>
      </c>
    </row>
    <row r="7" spans="1:26" x14ac:dyDescent="0.25">
      <c r="A7" s="5" t="s">
        <v>351</v>
      </c>
      <c r="B7" s="4" t="s">
        <v>1061</v>
      </c>
      <c r="C7" s="6" t="s">
        <v>1148</v>
      </c>
    </row>
    <row r="8" spans="1:26" x14ac:dyDescent="0.25">
      <c r="A8" s="5" t="s">
        <v>319</v>
      </c>
      <c r="B8" s="4" t="s">
        <v>1064</v>
      </c>
      <c r="C8" s="6" t="s">
        <v>1148</v>
      </c>
    </row>
    <row r="9" spans="1:26" x14ac:dyDescent="0.25">
      <c r="A9" s="5" t="s">
        <v>452</v>
      </c>
      <c r="B9" s="4" t="s">
        <v>1069</v>
      </c>
      <c r="C9" s="6" t="s">
        <v>1148</v>
      </c>
    </row>
    <row r="10" spans="1:26" x14ac:dyDescent="0.25">
      <c r="A10" s="5" t="s">
        <v>1071</v>
      </c>
      <c r="B10" s="4" t="s">
        <v>1072</v>
      </c>
      <c r="C10" s="6" t="s">
        <v>1149</v>
      </c>
    </row>
    <row r="11" spans="1:26" x14ac:dyDescent="0.25">
      <c r="A11" s="5" t="s">
        <v>933</v>
      </c>
      <c r="B11" s="4" t="s">
        <v>1075</v>
      </c>
      <c r="C11" s="6" t="s">
        <v>1149</v>
      </c>
    </row>
    <row r="12" spans="1:26" x14ac:dyDescent="0.25">
      <c r="A12" s="5" t="s">
        <v>473</v>
      </c>
      <c r="B12" s="4" t="s">
        <v>1068</v>
      </c>
      <c r="C12" s="6" t="s">
        <v>1148</v>
      </c>
    </row>
    <row r="13" spans="1:26" x14ac:dyDescent="0.25">
      <c r="A13" s="5" t="s">
        <v>456</v>
      </c>
      <c r="B13" s="4" t="s">
        <v>1066</v>
      </c>
      <c r="C13" s="6" t="s">
        <v>1148</v>
      </c>
    </row>
    <row r="14" spans="1:26" x14ac:dyDescent="0.25">
      <c r="A14" s="5" t="s">
        <v>1076</v>
      </c>
      <c r="B14" s="4" t="s">
        <v>1077</v>
      </c>
      <c r="C14" s="6" t="s">
        <v>1148</v>
      </c>
    </row>
    <row r="15" spans="1:26" x14ac:dyDescent="0.25">
      <c r="A15" s="16" t="s">
        <v>1079</v>
      </c>
      <c r="B15" s="17" t="s">
        <v>1080</v>
      </c>
      <c r="C15" s="18" t="s">
        <v>1148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00"/>
  <sheetViews>
    <sheetView workbookViewId="0"/>
  </sheetViews>
  <sheetFormatPr defaultRowHeight="15" x14ac:dyDescent="0.25"/>
  <cols>
    <col min="1" max="1" width="22" customWidth="1"/>
    <col min="2" max="2" width="90" customWidth="1"/>
  </cols>
  <sheetData>
    <row r="1" spans="1:26" ht="45" x14ac:dyDescent="0.25">
      <c r="A1" s="41" t="s">
        <v>1150</v>
      </c>
      <c r="B1" s="4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1" t="s">
        <v>1151</v>
      </c>
      <c r="B2" s="52" t="s">
        <v>1152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1" t="s">
        <v>1153</v>
      </c>
      <c r="B3" s="52" t="s">
        <v>1154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1" t="s">
        <v>1155</v>
      </c>
      <c r="B4" s="52" t="s">
        <v>1156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1" t="s">
        <v>281</v>
      </c>
      <c r="B5" s="52" t="s">
        <v>1157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3" t="s">
        <v>1158</v>
      </c>
      <c r="B6" s="54" t="s">
        <v>1159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00"/>
  <sheetViews>
    <sheetView workbookViewId="0"/>
  </sheetViews>
  <sheetFormatPr defaultRowHeight="15" x14ac:dyDescent="0.25"/>
  <cols>
    <col min="1" max="1" width="12" customWidth="1"/>
    <col min="2" max="2" width="34" customWidth="1"/>
    <col min="3" max="3" width="100" customWidth="1"/>
  </cols>
  <sheetData>
    <row r="1" spans="1:26" x14ac:dyDescent="0.25">
      <c r="A1" s="62" t="s">
        <v>1160</v>
      </c>
      <c r="B1" s="63" t="s">
        <v>1140</v>
      </c>
      <c r="C1" s="67" t="s">
        <v>1161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1" t="s">
        <v>1162</v>
      </c>
      <c r="B2" s="50" t="s">
        <v>1163</v>
      </c>
      <c r="C2" s="52" t="s">
        <v>1164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1" t="s">
        <v>1165</v>
      </c>
      <c r="B3" s="50" t="s">
        <v>1166</v>
      </c>
      <c r="C3" s="52" t="s">
        <v>1167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1" t="s">
        <v>1168</v>
      </c>
      <c r="B4" s="50" t="s">
        <v>1169</v>
      </c>
      <c r="C4" s="52" t="s">
        <v>1170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1" t="s">
        <v>1171</v>
      </c>
      <c r="B5" s="50" t="s">
        <v>7</v>
      </c>
      <c r="C5" s="52" t="s">
        <v>1172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1" t="s">
        <v>1173</v>
      </c>
      <c r="B6" s="50" t="s">
        <v>1174</v>
      </c>
      <c r="C6" s="52" t="s">
        <v>1175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51" t="s">
        <v>1176</v>
      </c>
      <c r="B7" s="50" t="s">
        <v>8</v>
      </c>
      <c r="C7" s="52" t="s">
        <v>1177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1" t="s">
        <v>1178</v>
      </c>
      <c r="B8" s="50" t="s">
        <v>1179</v>
      </c>
      <c r="C8" s="52" t="s">
        <v>1180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1" t="s">
        <v>1181</v>
      </c>
      <c r="B9" s="50" t="s">
        <v>12</v>
      </c>
      <c r="C9" s="52" t="s">
        <v>1182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1" t="s">
        <v>1183</v>
      </c>
      <c r="B10" s="50" t="s">
        <v>1184</v>
      </c>
      <c r="C10" s="52" t="s">
        <v>1185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51" t="s">
        <v>1186</v>
      </c>
      <c r="B11" s="50" t="s">
        <v>935</v>
      </c>
      <c r="C11" s="52" t="s">
        <v>1187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1" t="s">
        <v>1188</v>
      </c>
      <c r="B12" s="50" t="s">
        <v>1189</v>
      </c>
      <c r="C12" s="52" t="s">
        <v>1190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51" t="s">
        <v>1191</v>
      </c>
      <c r="B13" s="50" t="s">
        <v>1192</v>
      </c>
      <c r="C13" s="52" t="s">
        <v>1193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51" t="s">
        <v>1194</v>
      </c>
      <c r="B14" s="50" t="s">
        <v>1195</v>
      </c>
      <c r="C14" s="52" t="s">
        <v>1196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1" t="s">
        <v>1197</v>
      </c>
      <c r="B15" s="50" t="s">
        <v>1026</v>
      </c>
      <c r="C15" s="52" t="s">
        <v>1198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51" t="s">
        <v>1199</v>
      </c>
      <c r="B16" s="50" t="s">
        <v>942</v>
      </c>
      <c r="C16" s="52" t="s">
        <v>1200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51" t="s">
        <v>1201</v>
      </c>
      <c r="B17" s="50" t="s">
        <v>960</v>
      </c>
      <c r="C17" s="52" t="s">
        <v>1202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51" t="s">
        <v>1203</v>
      </c>
      <c r="B18" s="50" t="s">
        <v>1204</v>
      </c>
      <c r="C18" s="52" t="s">
        <v>1205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51" t="s">
        <v>1206</v>
      </c>
      <c r="B19" s="50" t="s">
        <v>1207</v>
      </c>
      <c r="C19" s="52" t="s">
        <v>1208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51" t="s">
        <v>1209</v>
      </c>
      <c r="B20" s="50" t="s">
        <v>1210</v>
      </c>
      <c r="C20" s="52" t="s">
        <v>1211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51" t="s">
        <v>1212</v>
      </c>
      <c r="B21" s="50" t="s">
        <v>1213</v>
      </c>
      <c r="C21" s="52" t="s">
        <v>1214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51" t="s">
        <v>1215</v>
      </c>
      <c r="B22" s="50" t="s">
        <v>1216</v>
      </c>
      <c r="C22" s="52" t="s">
        <v>1217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51" t="s">
        <v>1218</v>
      </c>
      <c r="B23" s="50" t="s">
        <v>1219</v>
      </c>
      <c r="C23" s="52" t="s">
        <v>1220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51" t="s">
        <v>1221</v>
      </c>
      <c r="B24" s="50" t="s">
        <v>1222</v>
      </c>
      <c r="C24" s="52" t="s">
        <v>1223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51" t="s">
        <v>1224</v>
      </c>
      <c r="B25" s="50" t="s">
        <v>1225</v>
      </c>
      <c r="C25" s="52" t="s">
        <v>1226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51"/>
      <c r="B26" s="50"/>
      <c r="C26" s="5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51"/>
      <c r="B27" s="50"/>
      <c r="C27" s="5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51"/>
      <c r="B28" s="50"/>
      <c r="C28" s="5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51"/>
      <c r="B29" s="50"/>
      <c r="C29" s="5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53"/>
      <c r="B30" s="55"/>
      <c r="C30" s="5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300"/>
  <sheetViews>
    <sheetView workbookViewId="0"/>
  </sheetViews>
  <sheetFormatPr defaultRowHeight="15" x14ac:dyDescent="0.25"/>
  <cols>
    <col min="1" max="1" width="10" customWidth="1"/>
    <col min="2" max="2" width="34" customWidth="1"/>
    <col min="3" max="3" width="100" customWidth="1"/>
  </cols>
  <sheetData>
    <row r="1" spans="1:26" x14ac:dyDescent="0.25">
      <c r="A1" s="62" t="s">
        <v>1227</v>
      </c>
      <c r="B1" s="63" t="s">
        <v>1228</v>
      </c>
      <c r="C1" s="67" t="s">
        <v>1161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1">
        <v>1</v>
      </c>
      <c r="B2" s="50" t="s">
        <v>1229</v>
      </c>
      <c r="C2" s="52" t="s">
        <v>1230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1">
        <v>2</v>
      </c>
      <c r="B3" s="50" t="s">
        <v>1231</v>
      </c>
      <c r="C3" s="52" t="s">
        <v>1232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1">
        <v>3</v>
      </c>
      <c r="B4" s="50" t="s">
        <v>1233</v>
      </c>
      <c r="C4" s="52" t="s">
        <v>1234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1">
        <v>4</v>
      </c>
      <c r="B5" s="50" t="s">
        <v>1235</v>
      </c>
      <c r="C5" s="52" t="s">
        <v>1236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1">
        <v>5</v>
      </c>
      <c r="B6" s="50" t="s">
        <v>1237</v>
      </c>
      <c r="C6" s="52" t="s">
        <v>1238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51">
        <v>6</v>
      </c>
      <c r="B7" s="50" t="s">
        <v>1239</v>
      </c>
      <c r="C7" s="52" t="s">
        <v>1240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1">
        <v>7</v>
      </c>
      <c r="B8" s="50" t="s">
        <v>1241</v>
      </c>
      <c r="C8" s="52" t="s">
        <v>1242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1">
        <v>8</v>
      </c>
      <c r="B9" s="50" t="s">
        <v>1243</v>
      </c>
      <c r="C9" s="52" t="s">
        <v>1244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1">
        <v>9</v>
      </c>
      <c r="B10" s="50" t="s">
        <v>1245</v>
      </c>
      <c r="C10" s="52" t="s">
        <v>1246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51">
        <v>10</v>
      </c>
      <c r="B11" s="50" t="s">
        <v>1247</v>
      </c>
      <c r="C11" s="52" t="s">
        <v>1248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1">
        <v>11</v>
      </c>
      <c r="B12" s="50" t="s">
        <v>1249</v>
      </c>
      <c r="C12" s="52" t="s">
        <v>1250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51">
        <v>12</v>
      </c>
      <c r="B13" s="50" t="s">
        <v>1251</v>
      </c>
      <c r="C13" s="52" t="s">
        <v>1252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51"/>
      <c r="B14" s="50"/>
      <c r="C14" s="5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1"/>
      <c r="B15" s="50"/>
      <c r="C15" s="5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51"/>
      <c r="B16" s="50"/>
      <c r="C16" s="5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51"/>
      <c r="B17" s="50"/>
      <c r="C17" s="5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51"/>
      <c r="B18" s="50"/>
      <c r="C18" s="5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51"/>
      <c r="B19" s="50"/>
      <c r="C19" s="5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53"/>
      <c r="B20" s="55"/>
      <c r="C20" s="5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300"/>
  <sheetViews>
    <sheetView workbookViewId="0"/>
  </sheetViews>
  <sheetFormatPr defaultRowHeight="15" x14ac:dyDescent="0.25"/>
  <cols>
    <col min="1" max="1" width="28" customWidth="1"/>
    <col min="2" max="2" width="16" customWidth="1"/>
    <col min="3" max="3" width="50" customWidth="1"/>
    <col min="4" max="4" width="24" customWidth="1"/>
    <col min="5" max="5" width="70" customWidth="1"/>
  </cols>
  <sheetData>
    <row r="1" spans="1:26" ht="30" x14ac:dyDescent="0.25">
      <c r="A1" s="62" t="s">
        <v>1253</v>
      </c>
      <c r="B1" s="63" t="s">
        <v>1254</v>
      </c>
      <c r="C1" s="63" t="s">
        <v>1255</v>
      </c>
      <c r="D1" s="63" t="s">
        <v>1256</v>
      </c>
      <c r="E1" s="67" t="s">
        <v>912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1" t="s">
        <v>1257</v>
      </c>
      <c r="B2" s="50" t="s">
        <v>1258</v>
      </c>
      <c r="C2" s="50" t="s">
        <v>1259</v>
      </c>
      <c r="D2" s="50" t="s">
        <v>1258</v>
      </c>
      <c r="E2" s="52" t="s">
        <v>1260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1" t="s">
        <v>939</v>
      </c>
      <c r="B3" s="50" t="s">
        <v>1258</v>
      </c>
      <c r="C3" s="50" t="s">
        <v>1261</v>
      </c>
      <c r="D3" s="50" t="s">
        <v>1258</v>
      </c>
      <c r="E3" s="52" t="s">
        <v>1262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1" t="s">
        <v>1263</v>
      </c>
      <c r="B4" s="50" t="s">
        <v>1264</v>
      </c>
      <c r="C4" s="50" t="s">
        <v>1265</v>
      </c>
      <c r="D4" s="50" t="s">
        <v>1258</v>
      </c>
      <c r="E4" s="52" t="s">
        <v>1266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1" t="s">
        <v>1267</v>
      </c>
      <c r="B5" s="50" t="s">
        <v>1258</v>
      </c>
      <c r="C5" s="50" t="s">
        <v>1268</v>
      </c>
      <c r="D5" s="50" t="s">
        <v>1258</v>
      </c>
      <c r="E5" s="52" t="s">
        <v>1269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1" t="s">
        <v>941</v>
      </c>
      <c r="B6" s="50" t="s">
        <v>1258</v>
      </c>
      <c r="C6" s="50" t="s">
        <v>1270</v>
      </c>
      <c r="D6" s="50" t="s">
        <v>1271</v>
      </c>
      <c r="E6" s="52" t="s">
        <v>1272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51" t="s">
        <v>935</v>
      </c>
      <c r="B7" s="50" t="s">
        <v>1258</v>
      </c>
      <c r="C7" s="50" t="s">
        <v>1273</v>
      </c>
      <c r="D7" s="50" t="s">
        <v>1271</v>
      </c>
      <c r="E7" s="52" t="s">
        <v>1272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1" t="s">
        <v>940</v>
      </c>
      <c r="B8" s="50" t="s">
        <v>1258</v>
      </c>
      <c r="C8" s="50" t="s">
        <v>1274</v>
      </c>
      <c r="D8" s="50" t="s">
        <v>1271</v>
      </c>
      <c r="E8" s="52" t="s">
        <v>1275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1" t="s">
        <v>1276</v>
      </c>
      <c r="B9" s="50" t="s">
        <v>1258</v>
      </c>
      <c r="C9" s="50" t="s">
        <v>945</v>
      </c>
      <c r="D9" s="50" t="s">
        <v>1271</v>
      </c>
      <c r="E9" s="52" t="s">
        <v>1277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1"/>
      <c r="B10" s="50"/>
      <c r="C10" s="50"/>
      <c r="D10" s="50"/>
      <c r="E10" s="5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51"/>
      <c r="B11" s="50"/>
      <c r="C11" s="50"/>
      <c r="D11" s="50"/>
      <c r="E11" s="5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1"/>
      <c r="B12" s="50"/>
      <c r="C12" s="50"/>
      <c r="D12" s="50"/>
      <c r="E12" s="5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51"/>
      <c r="B13" s="50"/>
      <c r="C13" s="50"/>
      <c r="D13" s="50"/>
      <c r="E13" s="5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51"/>
      <c r="B14" s="50"/>
      <c r="C14" s="50"/>
      <c r="D14" s="50"/>
      <c r="E14" s="5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3"/>
      <c r="B15" s="55"/>
      <c r="C15" s="55"/>
      <c r="D15" s="55"/>
      <c r="E15" s="5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300"/>
  <sheetViews>
    <sheetView workbookViewId="0"/>
  </sheetViews>
  <sheetFormatPr defaultRowHeight="15" x14ac:dyDescent="0.25"/>
  <cols>
    <col min="1" max="1" width="120" customWidth="1"/>
  </cols>
  <sheetData>
    <row r="1" spans="1:26" x14ac:dyDescent="0.25">
      <c r="A1" s="56" t="s">
        <v>1278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7" t="s">
        <v>1279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7" t="s">
        <v>1280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7" t="s">
        <v>1281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7" t="s">
        <v>1282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7" t="s">
        <v>1283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57" t="s">
        <v>1284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7" t="s">
        <v>1285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7" t="s">
        <v>1286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7" t="s">
        <v>1287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57" t="s">
        <v>1288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7" t="s">
        <v>1289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57" t="s">
        <v>1290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57" t="s">
        <v>1291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8" t="s">
        <v>1292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300"/>
  <sheetViews>
    <sheetView workbookViewId="0"/>
  </sheetViews>
  <sheetFormatPr defaultRowHeight="15" x14ac:dyDescent="0.25"/>
  <cols>
    <col min="1" max="1" width="120" customWidth="1"/>
  </cols>
  <sheetData>
    <row r="1" spans="1:26" x14ac:dyDescent="0.25">
      <c r="A1" s="56" t="s">
        <v>1293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7" t="s">
        <v>1294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7" t="s">
        <v>1295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8" t="s">
        <v>1296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300"/>
  <sheetViews>
    <sheetView workbookViewId="0"/>
  </sheetViews>
  <sheetFormatPr defaultRowHeight="15" x14ac:dyDescent="0.25"/>
  <cols>
    <col min="1" max="1" width="26" customWidth="1"/>
    <col min="2" max="2" width="22" customWidth="1"/>
    <col min="3" max="3" width="90" customWidth="1"/>
  </cols>
  <sheetData>
    <row r="1" spans="1:26" x14ac:dyDescent="0.25">
      <c r="A1" s="62" t="s">
        <v>1297</v>
      </c>
      <c r="B1" s="63" t="s">
        <v>281</v>
      </c>
      <c r="C1" s="67" t="s">
        <v>1298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1" t="s">
        <v>941</v>
      </c>
      <c r="B2" s="50" t="s">
        <v>1299</v>
      </c>
      <c r="C2" s="52" t="s">
        <v>1300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1" t="s">
        <v>935</v>
      </c>
      <c r="B3" s="50" t="s">
        <v>1299</v>
      </c>
      <c r="C3" s="52" t="s">
        <v>1301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1" t="s">
        <v>940</v>
      </c>
      <c r="B4" s="50" t="s">
        <v>1299</v>
      </c>
      <c r="C4" s="52" t="s">
        <v>1302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1" t="s">
        <v>1303</v>
      </c>
      <c r="B5" s="50" t="s">
        <v>1304</v>
      </c>
      <c r="C5" s="52" t="s">
        <v>1305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1" t="s">
        <v>1306</v>
      </c>
      <c r="B6" s="50" t="s">
        <v>1307</v>
      </c>
      <c r="C6" s="52" t="s">
        <v>1308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51" t="s">
        <v>1309</v>
      </c>
      <c r="B7" s="50" t="s">
        <v>1310</v>
      </c>
      <c r="C7" s="52" t="s">
        <v>1311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1" t="s">
        <v>1213</v>
      </c>
      <c r="B8" s="50" t="s">
        <v>1312</v>
      </c>
      <c r="C8" s="52" t="s">
        <v>1313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1"/>
      <c r="B9" s="50"/>
      <c r="C9" s="5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1"/>
      <c r="B10" s="50"/>
      <c r="C10" s="5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51"/>
      <c r="B11" s="50"/>
      <c r="C11" s="5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1"/>
      <c r="B12" s="50"/>
      <c r="C12" s="5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51"/>
      <c r="B13" s="50"/>
      <c r="C13" s="5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51"/>
      <c r="B14" s="50"/>
      <c r="C14" s="5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3"/>
      <c r="B15" s="55"/>
      <c r="C15" s="5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300"/>
  <sheetViews>
    <sheetView workbookViewId="0"/>
  </sheetViews>
  <sheetFormatPr defaultRowHeight="15" x14ac:dyDescent="0.25"/>
  <cols>
    <col min="1" max="1" width="18" customWidth="1"/>
    <col min="2" max="2" width="24" customWidth="1"/>
    <col min="3" max="3" width="26" customWidth="1"/>
    <col min="4" max="4" width="42" customWidth="1"/>
    <col min="5" max="5" width="90" customWidth="1"/>
    <col min="6" max="6" width="18" customWidth="1"/>
  </cols>
  <sheetData>
    <row r="1" spans="1:26" ht="30" x14ac:dyDescent="0.25">
      <c r="A1" s="62" t="s">
        <v>1314</v>
      </c>
      <c r="B1" s="63" t="s">
        <v>1315</v>
      </c>
      <c r="C1" s="63" t="s">
        <v>934</v>
      </c>
      <c r="D1" s="63" t="s">
        <v>1316</v>
      </c>
      <c r="E1" s="63" t="s">
        <v>1317</v>
      </c>
      <c r="F1" s="67" t="s">
        <v>1318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1" t="s">
        <v>299</v>
      </c>
      <c r="B2" s="50" t="s">
        <v>2</v>
      </c>
      <c r="C2" s="50" t="s">
        <v>1319</v>
      </c>
      <c r="D2" s="50" t="s">
        <v>1111</v>
      </c>
      <c r="E2" s="50" t="s">
        <v>1320</v>
      </c>
      <c r="F2" s="52" t="s">
        <v>1258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1" t="s">
        <v>1321</v>
      </c>
      <c r="B3" s="50" t="s">
        <v>3</v>
      </c>
      <c r="C3" s="50" t="s">
        <v>1319</v>
      </c>
      <c r="D3" s="50" t="s">
        <v>1111</v>
      </c>
      <c r="E3" s="50" t="s">
        <v>1322</v>
      </c>
      <c r="F3" s="52" t="s">
        <v>1258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1" t="s">
        <v>1323</v>
      </c>
      <c r="B4" s="50" t="s">
        <v>4</v>
      </c>
      <c r="C4" s="50" t="s">
        <v>1319</v>
      </c>
      <c r="D4" s="50" t="s">
        <v>1111</v>
      </c>
      <c r="E4" s="50" t="s">
        <v>1324</v>
      </c>
      <c r="F4" s="52" t="s">
        <v>1258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1" t="s">
        <v>1325</v>
      </c>
      <c r="B5" s="50" t="s">
        <v>5</v>
      </c>
      <c r="C5" s="50" t="s">
        <v>1319</v>
      </c>
      <c r="D5" s="50" t="s">
        <v>1111</v>
      </c>
      <c r="E5" s="50" t="s">
        <v>1326</v>
      </c>
      <c r="F5" s="52" t="s">
        <v>1258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1" t="s">
        <v>1327</v>
      </c>
      <c r="B6" s="50" t="s">
        <v>6</v>
      </c>
      <c r="C6" s="50" t="s">
        <v>1319</v>
      </c>
      <c r="D6" s="50" t="s">
        <v>1328</v>
      </c>
      <c r="E6" s="50" t="s">
        <v>1329</v>
      </c>
      <c r="F6" s="52" t="s">
        <v>1258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51" t="s">
        <v>1330</v>
      </c>
      <c r="B7" s="50" t="s">
        <v>7</v>
      </c>
      <c r="C7" s="50" t="s">
        <v>1331</v>
      </c>
      <c r="D7" s="50" t="s">
        <v>939</v>
      </c>
      <c r="E7" s="50" t="s">
        <v>1332</v>
      </c>
      <c r="F7" s="52" t="s">
        <v>1258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1" t="s">
        <v>1333</v>
      </c>
      <c r="B8" s="50" t="s">
        <v>8</v>
      </c>
      <c r="C8" s="50" t="s">
        <v>1334</v>
      </c>
      <c r="D8" s="50" t="s">
        <v>1335</v>
      </c>
      <c r="E8" s="50" t="str">
        <f>IF($F7&lt;&gt;"",$F7,IFERROR(_xludf.XLOOKUP(ROW(),Taxa_Saknas!$H:$H,Taxa_Saknas!$G:$G),""))</f>
        <v>Ja</v>
      </c>
      <c r="F8" s="52" t="s">
        <v>1271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1" t="s">
        <v>1336</v>
      </c>
      <c r="B9" s="50" t="s">
        <v>9</v>
      </c>
      <c r="C9" s="50" t="s">
        <v>1334</v>
      </c>
      <c r="D9" s="50" t="s">
        <v>1337</v>
      </c>
      <c r="E9" s="50" t="s">
        <v>1338</v>
      </c>
      <c r="F9" s="52" t="s">
        <v>1271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1" t="s">
        <v>1339</v>
      </c>
      <c r="B10" s="50" t="s">
        <v>10</v>
      </c>
      <c r="C10" s="50" t="s">
        <v>1334</v>
      </c>
      <c r="D10" s="50" t="s">
        <v>1340</v>
      </c>
      <c r="E10" s="50" t="s">
        <v>1341</v>
      </c>
      <c r="F10" s="52" t="s">
        <v>1271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51" t="s">
        <v>1342</v>
      </c>
      <c r="B11" s="50" t="s">
        <v>11</v>
      </c>
      <c r="C11" s="50" t="s">
        <v>1334</v>
      </c>
      <c r="D11" s="50" t="s">
        <v>1343</v>
      </c>
      <c r="E11" s="50" t="s">
        <v>1344</v>
      </c>
      <c r="F11" s="52" t="s">
        <v>1271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1" t="s">
        <v>1345</v>
      </c>
      <c r="B12" s="50" t="s">
        <v>12</v>
      </c>
      <c r="C12" s="50" t="s">
        <v>1346</v>
      </c>
      <c r="D12" s="50" t="s">
        <v>1347</v>
      </c>
      <c r="E12" s="50" t="s">
        <v>1348</v>
      </c>
      <c r="F12" s="52" t="s">
        <v>1258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51" t="s">
        <v>577</v>
      </c>
      <c r="B13" s="50" t="s">
        <v>13</v>
      </c>
      <c r="C13" s="50" t="s">
        <v>1319</v>
      </c>
      <c r="D13" s="50" t="s">
        <v>1349</v>
      </c>
      <c r="E13" s="50" t="s">
        <v>1350</v>
      </c>
      <c r="F13" s="52" t="s">
        <v>1258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51" t="s">
        <v>1351</v>
      </c>
      <c r="B14" s="50" t="s">
        <v>14</v>
      </c>
      <c r="C14" s="50" t="s">
        <v>1334</v>
      </c>
      <c r="D14" s="50" t="s">
        <v>1352</v>
      </c>
      <c r="E14" s="50" t="str">
        <f>IFERROR(IF(J7&lt;&gt;"",J7*1.25,IF(K7&lt;&gt;"",K7*1.25,"")),"")</f>
        <v/>
      </c>
      <c r="F14" s="52" t="s">
        <v>1271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1" t="s">
        <v>1353</v>
      </c>
      <c r="B15" s="50" t="s">
        <v>15</v>
      </c>
      <c r="C15" s="50" t="s">
        <v>1334</v>
      </c>
      <c r="D15" s="50" t="s">
        <v>1354</v>
      </c>
      <c r="E15" s="50" t="str">
        <f>IFERROR(IF(J7&lt;&gt;"",L7*J7,IF(K7&lt;&gt;"",L7*K7,"")),"")</f>
        <v/>
      </c>
      <c r="F15" s="52" t="s">
        <v>1271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51"/>
      <c r="B16" s="50"/>
      <c r="C16" s="50"/>
      <c r="D16" s="50"/>
      <c r="E16" s="50"/>
      <c r="F16" s="5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51" t="s">
        <v>1355</v>
      </c>
      <c r="B17" s="50" t="s">
        <v>1161</v>
      </c>
      <c r="C17" s="50"/>
      <c r="D17" s="50"/>
      <c r="E17" s="50"/>
      <c r="F17" s="5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51" t="s">
        <v>1356</v>
      </c>
      <c r="B18" s="50" t="s">
        <v>1357</v>
      </c>
      <c r="C18" s="50"/>
      <c r="D18" s="50"/>
      <c r="E18" s="50"/>
      <c r="F18" s="5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51" t="s">
        <v>1358</v>
      </c>
      <c r="B19" s="50" t="s">
        <v>1359</v>
      </c>
      <c r="C19" s="50"/>
      <c r="D19" s="50"/>
      <c r="E19" s="50"/>
      <c r="F19" s="5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51" t="s">
        <v>1360</v>
      </c>
      <c r="B20" s="50" t="s">
        <v>1361</v>
      </c>
      <c r="C20" s="50"/>
      <c r="D20" s="50"/>
      <c r="E20" s="50"/>
      <c r="F20" s="5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51" t="s">
        <v>1362</v>
      </c>
      <c r="B21" s="50" t="s">
        <v>1363</v>
      </c>
      <c r="C21" s="50"/>
      <c r="D21" s="50"/>
      <c r="E21" s="50"/>
      <c r="F21" s="5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60" t="s">
        <v>1364</v>
      </c>
      <c r="B22" s="59" t="s">
        <v>1365</v>
      </c>
      <c r="C22" s="59" t="s">
        <v>1366</v>
      </c>
      <c r="D22" s="59" t="s">
        <v>1140</v>
      </c>
      <c r="E22" s="59" t="s">
        <v>952</v>
      </c>
      <c r="F22" s="61" t="s">
        <v>1318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51" t="s">
        <v>1367</v>
      </c>
      <c r="B23" s="50" t="s">
        <v>1368</v>
      </c>
      <c r="C23" s="50" t="s">
        <v>1369</v>
      </c>
      <c r="D23" s="50" t="s">
        <v>1370</v>
      </c>
      <c r="E23" s="50" t="s">
        <v>16</v>
      </c>
      <c r="F23" s="52" t="s">
        <v>1271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51" t="s">
        <v>1371</v>
      </c>
      <c r="B24" s="50" t="s">
        <v>1372</v>
      </c>
      <c r="C24" s="50" t="s">
        <v>1373</v>
      </c>
      <c r="D24" s="50" t="s">
        <v>1374</v>
      </c>
      <c r="E24" s="50" t="s">
        <v>1375</v>
      </c>
      <c r="F24" s="52" t="s">
        <v>1258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51"/>
      <c r="B25" s="50"/>
      <c r="C25" s="50"/>
      <c r="D25" s="50"/>
      <c r="E25" s="50"/>
      <c r="F25" s="5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51"/>
      <c r="B26" s="50"/>
      <c r="C26" s="50"/>
      <c r="D26" s="50"/>
      <c r="E26" s="50"/>
      <c r="F26" s="5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51"/>
      <c r="B27" s="50"/>
      <c r="C27" s="50"/>
      <c r="D27" s="50"/>
      <c r="E27" s="50"/>
      <c r="F27" s="5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51"/>
      <c r="B28" s="50"/>
      <c r="C28" s="50"/>
      <c r="D28" s="50"/>
      <c r="E28" s="50"/>
      <c r="F28" s="5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51"/>
      <c r="B29" s="50"/>
      <c r="C29" s="50"/>
      <c r="D29" s="50"/>
      <c r="E29" s="50"/>
      <c r="F29" s="5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53"/>
      <c r="B30" s="55"/>
      <c r="C30" s="55"/>
      <c r="D30" s="55"/>
      <c r="E30" s="55"/>
      <c r="F30" s="5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301"/>
  <sheetViews>
    <sheetView workbookViewId="0"/>
  </sheetViews>
  <sheetFormatPr defaultRowHeight="15" x14ac:dyDescent="0.25"/>
  <cols>
    <col min="1" max="1" width="18" customWidth="1"/>
    <col min="2" max="2" width="50" customWidth="1"/>
    <col min="3" max="3" width="90" customWidth="1"/>
  </cols>
  <sheetData>
    <row r="1" spans="1:26" x14ac:dyDescent="0.25">
      <c r="A1" s="62" t="s">
        <v>1376</v>
      </c>
      <c r="B1" s="63" t="s">
        <v>1377</v>
      </c>
      <c r="C1" s="67" t="s">
        <v>1378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1" t="s">
        <v>1379</v>
      </c>
      <c r="B2" s="50" t="s">
        <v>1380</v>
      </c>
      <c r="C2" s="52" t="s">
        <v>1381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1" t="s">
        <v>1379</v>
      </c>
      <c r="B3" s="50" t="s">
        <v>1382</v>
      </c>
      <c r="C3" s="52" t="s">
        <v>1383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1" t="s">
        <v>1379</v>
      </c>
      <c r="B4" s="50" t="s">
        <v>1384</v>
      </c>
      <c r="C4" s="52" t="s">
        <v>1385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1" t="s">
        <v>1379</v>
      </c>
      <c r="B5" s="50" t="s">
        <v>1386</v>
      </c>
      <c r="C5" s="52" t="s">
        <v>1387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1" t="s">
        <v>1379</v>
      </c>
      <c r="B6" s="50" t="s">
        <v>1388</v>
      </c>
      <c r="C6" s="52" t="s">
        <v>1389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51" t="s">
        <v>1379</v>
      </c>
      <c r="B7" s="50" t="s">
        <v>1390</v>
      </c>
      <c r="C7" s="52" t="s">
        <v>1391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1" t="s">
        <v>1379</v>
      </c>
      <c r="B8" s="50" t="s">
        <v>1392</v>
      </c>
      <c r="C8" s="52" t="s">
        <v>1393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1" t="s">
        <v>1379</v>
      </c>
      <c r="B9" s="50" t="s">
        <v>1394</v>
      </c>
      <c r="C9" s="52" t="s">
        <v>1395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1"/>
      <c r="B10" s="50"/>
      <c r="C10" s="5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51"/>
      <c r="B11" s="50"/>
      <c r="C11" s="5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1"/>
      <c r="B12" s="50"/>
      <c r="C12" s="5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51"/>
      <c r="B13" s="50"/>
      <c r="C13" s="5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51"/>
      <c r="B14" s="50"/>
      <c r="C14" s="5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1"/>
      <c r="B15" s="50"/>
      <c r="C15" s="5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51"/>
      <c r="B16" s="50"/>
      <c r="C16" s="5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51"/>
      <c r="B17" s="50"/>
      <c r="C17" s="5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51"/>
      <c r="B18" s="50"/>
      <c r="C18" s="5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51"/>
      <c r="B19" s="50"/>
      <c r="C19" s="5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53"/>
      <c r="B20" s="55"/>
      <c r="C20" s="5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t="s">
        <v>1396</v>
      </c>
      <c r="B301" t="s">
        <v>1397</v>
      </c>
      <c r="C301" t="s">
        <v>1398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300"/>
  <sheetViews>
    <sheetView workbookViewId="0"/>
  </sheetViews>
  <sheetFormatPr defaultRowHeight="15" x14ac:dyDescent="0.25"/>
  <cols>
    <col min="1" max="1" width="24" customWidth="1"/>
    <col min="2" max="2" width="14" customWidth="1"/>
    <col min="3" max="4" width="60" customWidth="1"/>
  </cols>
  <sheetData>
    <row r="1" spans="1:26" x14ac:dyDescent="0.25">
      <c r="A1" s="62" t="s">
        <v>1399</v>
      </c>
      <c r="B1" s="63" t="s">
        <v>1400</v>
      </c>
      <c r="C1" s="63" t="s">
        <v>1401</v>
      </c>
      <c r="D1" s="67" t="s">
        <v>952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1" t="s">
        <v>1315</v>
      </c>
      <c r="B2" s="50" t="s">
        <v>1402</v>
      </c>
      <c r="C2" s="50" t="s">
        <v>1403</v>
      </c>
      <c r="D2" s="52" t="s">
        <v>1404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1" t="s">
        <v>1405</v>
      </c>
      <c r="B3" s="50" t="s">
        <v>1406</v>
      </c>
      <c r="C3" s="50" t="s">
        <v>1407</v>
      </c>
      <c r="D3" s="52" t="s">
        <v>1408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1" t="s">
        <v>1409</v>
      </c>
      <c r="B4" s="50" t="s">
        <v>1410</v>
      </c>
      <c r="C4" s="50" t="s">
        <v>1411</v>
      </c>
      <c r="D4" s="52" t="s">
        <v>1412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1" t="s">
        <v>1413</v>
      </c>
      <c r="B5" s="50" t="s">
        <v>1414</v>
      </c>
      <c r="C5" s="50" t="s">
        <v>1415</v>
      </c>
      <c r="D5" s="52" t="s">
        <v>1416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1" t="s">
        <v>1417</v>
      </c>
      <c r="B6" s="50" t="s">
        <v>1418</v>
      </c>
      <c r="C6" s="50" t="s">
        <v>1419</v>
      </c>
      <c r="D6" s="52" t="s">
        <v>1420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51" t="s">
        <v>1421</v>
      </c>
      <c r="B7" s="50" t="s">
        <v>1422</v>
      </c>
      <c r="C7" s="50" t="s">
        <v>1423</v>
      </c>
      <c r="D7" s="52" t="s">
        <v>1424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1" t="s">
        <v>944</v>
      </c>
      <c r="B8" s="50" t="s">
        <v>1425</v>
      </c>
      <c r="C8" s="50" t="s">
        <v>1426</v>
      </c>
      <c r="D8" s="52" t="s">
        <v>1427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1" t="s">
        <v>1428</v>
      </c>
      <c r="B9" s="50" t="s">
        <v>1429</v>
      </c>
      <c r="C9" s="50" t="s">
        <v>1430</v>
      </c>
      <c r="D9" s="52" t="s">
        <v>1431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1"/>
      <c r="B10" s="50"/>
      <c r="C10" s="50"/>
      <c r="D10" s="5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71" t="s">
        <v>948</v>
      </c>
      <c r="B11" s="72" t="s">
        <v>1432</v>
      </c>
      <c r="C11" s="72" t="s">
        <v>1401</v>
      </c>
      <c r="D11" s="73" t="s">
        <v>912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1" t="s">
        <v>1433</v>
      </c>
      <c r="B12" s="50" t="s">
        <v>1434</v>
      </c>
      <c r="C12" s="50" t="s">
        <v>1435</v>
      </c>
      <c r="D12" s="52" t="s">
        <v>1436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51" t="s">
        <v>1437</v>
      </c>
      <c r="B13" s="50" t="s">
        <v>1438</v>
      </c>
      <c r="C13" s="50" t="s">
        <v>1439</v>
      </c>
      <c r="D13" s="52" t="s">
        <v>1440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51" t="s">
        <v>1441</v>
      </c>
      <c r="B14" s="50" t="s">
        <v>1438</v>
      </c>
      <c r="C14" s="50" t="s">
        <v>1442</v>
      </c>
      <c r="D14" s="52" t="s">
        <v>1443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3" t="s">
        <v>1444</v>
      </c>
      <c r="B15" s="55" t="s">
        <v>1445</v>
      </c>
      <c r="C15" s="55" t="s">
        <v>1446</v>
      </c>
      <c r="D15" s="54" t="s">
        <v>1447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51"/>
      <c r="B16" s="50"/>
      <c r="C16" s="50"/>
      <c r="D16" s="5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51"/>
      <c r="B17" s="50"/>
      <c r="C17" s="50"/>
      <c r="D17" s="5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51"/>
      <c r="B18" s="50"/>
      <c r="C18" s="50"/>
      <c r="D18" s="5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51"/>
      <c r="B19" s="50"/>
      <c r="C19" s="50"/>
      <c r="D19" s="5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53"/>
      <c r="B20" s="55"/>
      <c r="C20" s="55"/>
      <c r="D20" s="5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300"/>
  <sheetViews>
    <sheetView workbookViewId="0"/>
  </sheetViews>
  <sheetFormatPr defaultRowHeight="15" x14ac:dyDescent="0.25"/>
  <cols>
    <col min="1" max="1" width="12" customWidth="1"/>
    <col min="2" max="2" width="26" customWidth="1"/>
    <col min="3" max="3" width="22" customWidth="1"/>
    <col min="4" max="4" width="38" customWidth="1"/>
    <col min="5" max="5" width="80" customWidth="1"/>
    <col min="6" max="6" width="20" customWidth="1"/>
  </cols>
  <sheetData>
    <row r="1" spans="1:26" x14ac:dyDescent="0.25">
      <c r="A1" s="62" t="s">
        <v>1314</v>
      </c>
      <c r="B1" s="63" t="s">
        <v>1315</v>
      </c>
      <c r="C1" s="63" t="s">
        <v>934</v>
      </c>
      <c r="D1" s="63" t="s">
        <v>1316</v>
      </c>
      <c r="E1" s="63" t="s">
        <v>1448</v>
      </c>
      <c r="F1" s="67" t="s">
        <v>1318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1" t="s">
        <v>299</v>
      </c>
      <c r="B2" s="50" t="s">
        <v>926</v>
      </c>
      <c r="C2" s="50" t="s">
        <v>1449</v>
      </c>
      <c r="D2" s="50" t="s">
        <v>1450</v>
      </c>
      <c r="E2" s="50" t="s">
        <v>1451</v>
      </c>
      <c r="F2" s="52" t="s">
        <v>1258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1" t="s">
        <v>1321</v>
      </c>
      <c r="B3" s="50" t="s">
        <v>927</v>
      </c>
      <c r="C3" s="50" t="s">
        <v>1449</v>
      </c>
      <c r="D3" s="50" t="s">
        <v>1452</v>
      </c>
      <c r="E3" s="50" t="s">
        <v>1453</v>
      </c>
      <c r="F3" s="52" t="s">
        <v>1258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1" t="s">
        <v>1323</v>
      </c>
      <c r="B4" s="50" t="s">
        <v>928</v>
      </c>
      <c r="C4" s="50" t="s">
        <v>1449</v>
      </c>
      <c r="D4" s="50" t="s">
        <v>941</v>
      </c>
      <c r="E4" s="50" t="s">
        <v>1454</v>
      </c>
      <c r="F4" s="52" t="s">
        <v>1258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1" t="s">
        <v>1325</v>
      </c>
      <c r="B5" s="50" t="s">
        <v>929</v>
      </c>
      <c r="C5" s="50" t="s">
        <v>1449</v>
      </c>
      <c r="D5" s="50" t="s">
        <v>1111</v>
      </c>
      <c r="E5" s="50" t="s">
        <v>1455</v>
      </c>
      <c r="F5" s="52" t="s">
        <v>1258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1" t="s">
        <v>1327</v>
      </c>
      <c r="B6" s="50" t="s">
        <v>281</v>
      </c>
      <c r="C6" s="50" t="s">
        <v>1449</v>
      </c>
      <c r="D6" s="50" t="s">
        <v>1456</v>
      </c>
      <c r="E6" s="50" t="s">
        <v>1457</v>
      </c>
      <c r="F6" s="52" t="s">
        <v>1258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51" t="s">
        <v>1330</v>
      </c>
      <c r="B7" s="50" t="s">
        <v>930</v>
      </c>
      <c r="C7" s="50" t="s">
        <v>1449</v>
      </c>
      <c r="D7" s="50" t="s">
        <v>1456</v>
      </c>
      <c r="E7" s="50" t="s">
        <v>1458</v>
      </c>
      <c r="F7" s="52" t="s">
        <v>1258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1" t="s">
        <v>1333</v>
      </c>
      <c r="B8" s="50" t="s">
        <v>931</v>
      </c>
      <c r="C8" s="50" t="s">
        <v>1413</v>
      </c>
      <c r="D8" s="50" t="s">
        <v>1459</v>
      </c>
      <c r="E8" s="50" t="s">
        <v>1460</v>
      </c>
      <c r="F8" s="52" t="s">
        <v>1258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1" t="s">
        <v>1336</v>
      </c>
      <c r="B9" s="50" t="s">
        <v>282</v>
      </c>
      <c r="C9" s="50" t="s">
        <v>1461</v>
      </c>
      <c r="D9" s="50" t="s">
        <v>941</v>
      </c>
      <c r="E9" s="50" t="s">
        <v>1462</v>
      </c>
      <c r="F9" s="52" t="s">
        <v>1258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1" t="s">
        <v>1339</v>
      </c>
      <c r="B10" s="50" t="s">
        <v>932</v>
      </c>
      <c r="C10" s="50" t="s">
        <v>1449</v>
      </c>
      <c r="D10" s="50" t="s">
        <v>941</v>
      </c>
      <c r="E10" s="50" t="s">
        <v>1463</v>
      </c>
      <c r="F10" s="52" t="s">
        <v>1258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51" t="s">
        <v>1464</v>
      </c>
      <c r="B11" s="50" t="s">
        <v>1465</v>
      </c>
      <c r="C11" s="50" t="s">
        <v>1466</v>
      </c>
      <c r="D11" s="50" t="s">
        <v>939</v>
      </c>
      <c r="E11" s="50" t="s">
        <v>1467</v>
      </c>
      <c r="F11" s="52" t="s">
        <v>1468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1"/>
      <c r="B12" s="50"/>
      <c r="C12" s="50"/>
      <c r="D12" s="50"/>
      <c r="E12" s="50"/>
      <c r="F12" s="5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9" t="s">
        <v>947</v>
      </c>
      <c r="B13" s="38" t="s">
        <v>1469</v>
      </c>
      <c r="C13" s="38" t="s">
        <v>934</v>
      </c>
      <c r="D13" s="38" t="s">
        <v>1316</v>
      </c>
      <c r="E13" s="38" t="s">
        <v>1448</v>
      </c>
      <c r="F13" s="40" t="s">
        <v>1318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51" t="s">
        <v>1470</v>
      </c>
      <c r="B14" s="50" t="s">
        <v>928</v>
      </c>
      <c r="C14" s="50" t="s">
        <v>1319</v>
      </c>
      <c r="D14" s="50" t="s">
        <v>941</v>
      </c>
      <c r="E14" s="50" t="s">
        <v>1471</v>
      </c>
      <c r="F14" s="52" t="s">
        <v>1258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1" t="s">
        <v>1472</v>
      </c>
      <c r="B15" s="50" t="s">
        <v>931</v>
      </c>
      <c r="C15" s="50" t="s">
        <v>1319</v>
      </c>
      <c r="D15" s="50" t="s">
        <v>1473</v>
      </c>
      <c r="E15" s="50" t="s">
        <v>1474</v>
      </c>
      <c r="F15" s="52" t="s">
        <v>1258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51" t="s">
        <v>1475</v>
      </c>
      <c r="B16" s="50" t="s">
        <v>1476</v>
      </c>
      <c r="C16" s="50" t="s">
        <v>1477</v>
      </c>
      <c r="D16" s="50" t="s">
        <v>1478</v>
      </c>
      <c r="E16" s="50" t="s">
        <v>1479</v>
      </c>
      <c r="F16" s="52" t="s">
        <v>1480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51"/>
      <c r="B17" s="50"/>
      <c r="C17" s="50"/>
      <c r="D17" s="50"/>
      <c r="E17" s="50"/>
      <c r="F17" s="5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51"/>
      <c r="B18" s="50"/>
      <c r="C18" s="50"/>
      <c r="D18" s="50"/>
      <c r="E18" s="50"/>
      <c r="F18" s="5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51"/>
      <c r="B19" s="50"/>
      <c r="C19" s="50"/>
      <c r="D19" s="50"/>
      <c r="E19" s="50"/>
      <c r="F19" s="5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51"/>
      <c r="B20" s="50"/>
      <c r="C20" s="50"/>
      <c r="D20" s="50"/>
      <c r="E20" s="50"/>
      <c r="F20" s="5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51"/>
      <c r="B21" s="50"/>
      <c r="C21" s="50"/>
      <c r="D21" s="50"/>
      <c r="E21" s="50"/>
      <c r="F21" s="5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51"/>
      <c r="B22" s="50"/>
      <c r="C22" s="50"/>
      <c r="D22" s="50"/>
      <c r="E22" s="50"/>
      <c r="F22" s="5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51"/>
      <c r="B23" s="50"/>
      <c r="C23" s="50"/>
      <c r="D23" s="50"/>
      <c r="E23" s="50"/>
      <c r="F23" s="5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51"/>
      <c r="B24" s="50"/>
      <c r="C24" s="50"/>
      <c r="D24" s="50"/>
      <c r="E24" s="50"/>
      <c r="F24" s="5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51"/>
      <c r="B25" s="50"/>
      <c r="C25" s="50"/>
      <c r="D25" s="50"/>
      <c r="E25" s="50"/>
      <c r="F25" s="5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51"/>
      <c r="B26" s="50"/>
      <c r="C26" s="50"/>
      <c r="D26" s="50"/>
      <c r="E26" s="50"/>
      <c r="F26" s="5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51"/>
      <c r="B27" s="50"/>
      <c r="C27" s="50"/>
      <c r="D27" s="50"/>
      <c r="E27" s="50"/>
      <c r="F27" s="5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51"/>
      <c r="B28" s="50"/>
      <c r="C28" s="50"/>
      <c r="D28" s="50"/>
      <c r="E28" s="50"/>
      <c r="F28" s="5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51"/>
      <c r="B29" s="50"/>
      <c r="C29" s="50"/>
      <c r="D29" s="50"/>
      <c r="E29" s="50"/>
      <c r="F29" s="5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53"/>
      <c r="B30" s="55"/>
      <c r="C30" s="55"/>
      <c r="D30" s="55"/>
      <c r="E30" s="55"/>
      <c r="F30" s="5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300"/>
  <sheetViews>
    <sheetView workbookViewId="0"/>
  </sheetViews>
  <sheetFormatPr defaultRowHeight="15" x14ac:dyDescent="0.25"/>
  <cols>
    <col min="1" max="1" width="12" customWidth="1"/>
    <col min="2" max="2" width="28" customWidth="1"/>
    <col min="3" max="3" width="48" customWidth="1"/>
    <col min="4" max="4" width="90" customWidth="1"/>
  </cols>
  <sheetData>
    <row r="1" spans="1:26" x14ac:dyDescent="0.25">
      <c r="A1" s="62" t="s">
        <v>1314</v>
      </c>
      <c r="B1" s="63" t="s">
        <v>1315</v>
      </c>
      <c r="C1" s="63" t="s">
        <v>1481</v>
      </c>
      <c r="D1" s="67" t="s">
        <v>1140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1" t="s">
        <v>299</v>
      </c>
      <c r="B2" s="50" t="s">
        <v>282</v>
      </c>
      <c r="C2" s="50" t="s">
        <v>1482</v>
      </c>
      <c r="D2" s="52" t="s">
        <v>1483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1" t="s">
        <v>1321</v>
      </c>
      <c r="B3" s="50" t="s">
        <v>283</v>
      </c>
      <c r="C3" s="50" t="s">
        <v>1484</v>
      </c>
      <c r="D3" s="52" t="s">
        <v>1485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1" t="s">
        <v>1323</v>
      </c>
      <c r="B4" s="50" t="s">
        <v>284</v>
      </c>
      <c r="C4" s="50" t="s">
        <v>1486</v>
      </c>
      <c r="D4" s="52" t="s">
        <v>1487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1" t="s">
        <v>1325</v>
      </c>
      <c r="B5" s="50" t="s">
        <v>285</v>
      </c>
      <c r="C5" s="50" t="s">
        <v>1488</v>
      </c>
      <c r="D5" s="52" t="s">
        <v>1489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1" t="s">
        <v>1327</v>
      </c>
      <c r="B6" s="50" t="s">
        <v>286</v>
      </c>
      <c r="C6" s="50" t="s">
        <v>1490</v>
      </c>
      <c r="D6" s="52" t="s">
        <v>1491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51" t="s">
        <v>1330</v>
      </c>
      <c r="B7" s="50" t="s">
        <v>287</v>
      </c>
      <c r="C7" s="50" t="s">
        <v>1492</v>
      </c>
      <c r="D7" s="52" t="s">
        <v>1493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1" t="s">
        <v>1333</v>
      </c>
      <c r="B8" s="50" t="s">
        <v>288</v>
      </c>
      <c r="C8" s="50" t="s">
        <v>1494</v>
      </c>
      <c r="D8" s="52" t="s">
        <v>1495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1" t="s">
        <v>1336</v>
      </c>
      <c r="B9" s="50" t="s">
        <v>289</v>
      </c>
      <c r="C9" s="50" t="s">
        <v>1496</v>
      </c>
      <c r="D9" s="52" t="s">
        <v>1497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1" t="s">
        <v>1345</v>
      </c>
      <c r="B10" s="50" t="s">
        <v>292</v>
      </c>
      <c r="C10" s="50" t="s">
        <v>1498</v>
      </c>
      <c r="D10" s="52" t="s">
        <v>1499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51" t="s">
        <v>1500</v>
      </c>
      <c r="B11" s="50" t="s">
        <v>298</v>
      </c>
      <c r="C11" s="50" t="s">
        <v>1501</v>
      </c>
      <c r="D11" s="52" t="s">
        <v>1502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1"/>
      <c r="B12" s="50"/>
      <c r="C12" s="50"/>
      <c r="D12" s="5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51"/>
      <c r="B13" s="50"/>
      <c r="C13" s="50"/>
      <c r="D13" s="5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51"/>
      <c r="B14" s="50"/>
      <c r="C14" s="50"/>
      <c r="D14" s="5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1"/>
      <c r="B15" s="50"/>
      <c r="C15" s="50"/>
      <c r="D15" s="5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51"/>
      <c r="B16" s="50"/>
      <c r="C16" s="50"/>
      <c r="D16" s="5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51"/>
      <c r="B17" s="50"/>
      <c r="C17" s="50"/>
      <c r="D17" s="5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51"/>
      <c r="B18" s="50"/>
      <c r="C18" s="50"/>
      <c r="D18" s="5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51"/>
      <c r="B19" s="50"/>
      <c r="C19" s="50"/>
      <c r="D19" s="5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53"/>
      <c r="B20" s="55"/>
      <c r="C20" s="55"/>
      <c r="D20" s="5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300"/>
  <sheetViews>
    <sheetView workbookViewId="0"/>
  </sheetViews>
  <sheetFormatPr defaultRowHeight="15" x14ac:dyDescent="0.25"/>
  <cols>
    <col min="1" max="2" width="30" customWidth="1"/>
    <col min="3" max="3" width="90" customWidth="1"/>
    <col min="4" max="4" width="20" customWidth="1"/>
  </cols>
  <sheetData>
    <row r="1" spans="1:26" x14ac:dyDescent="0.25">
      <c r="A1" s="62" t="s">
        <v>1503</v>
      </c>
      <c r="B1" s="63" t="s">
        <v>280</v>
      </c>
      <c r="C1" s="63" t="s">
        <v>1504</v>
      </c>
      <c r="D1" s="67" t="s">
        <v>281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1" t="s">
        <v>1505</v>
      </c>
      <c r="B2" s="50" t="s">
        <v>1506</v>
      </c>
      <c r="C2" s="50" t="s">
        <v>1507</v>
      </c>
      <c r="D2" s="52" t="s">
        <v>937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51" t="s">
        <v>1477</v>
      </c>
      <c r="B3" s="50" t="s">
        <v>1508</v>
      </c>
      <c r="C3" s="50" t="s">
        <v>1509</v>
      </c>
      <c r="D3" s="52" t="s">
        <v>937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1" t="s">
        <v>1510</v>
      </c>
      <c r="B4" s="50" t="s">
        <v>1511</v>
      </c>
      <c r="C4" s="50" t="s">
        <v>1512</v>
      </c>
      <c r="D4" s="52" t="s">
        <v>937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1" t="s">
        <v>1513</v>
      </c>
      <c r="B5" s="50" t="s">
        <v>1511</v>
      </c>
      <c r="C5" s="50" t="s">
        <v>1514</v>
      </c>
      <c r="D5" s="52" t="s">
        <v>937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1" t="s">
        <v>1213</v>
      </c>
      <c r="B6" s="50" t="s">
        <v>1515</v>
      </c>
      <c r="C6" s="50" t="s">
        <v>1516</v>
      </c>
      <c r="D6" s="52" t="s">
        <v>937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51" t="s">
        <v>1179</v>
      </c>
      <c r="B7" s="50" t="s">
        <v>1517</v>
      </c>
      <c r="C7" s="50" t="s">
        <v>1518</v>
      </c>
      <c r="D7" s="52" t="s">
        <v>937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1" t="s">
        <v>1184</v>
      </c>
      <c r="B8" s="50" t="s">
        <v>1517</v>
      </c>
      <c r="C8" s="50" t="s">
        <v>1519</v>
      </c>
      <c r="D8" s="52" t="s">
        <v>937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51" t="s">
        <v>1520</v>
      </c>
      <c r="B9" s="50" t="s">
        <v>1521</v>
      </c>
      <c r="C9" s="50" t="s">
        <v>1522</v>
      </c>
      <c r="D9" s="52" t="s">
        <v>937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1" t="s">
        <v>946</v>
      </c>
      <c r="B10" s="50" t="s">
        <v>1523</v>
      </c>
      <c r="C10" s="50" t="s">
        <v>1524</v>
      </c>
      <c r="D10" s="52" t="s">
        <v>1525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51" t="s">
        <v>1526</v>
      </c>
      <c r="B11" s="50" t="s">
        <v>1523</v>
      </c>
      <c r="C11" s="50" t="s">
        <v>1527</v>
      </c>
      <c r="D11" s="52" t="s">
        <v>1525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1"/>
      <c r="B12" s="50"/>
      <c r="C12" s="50"/>
      <c r="D12" s="5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51" t="s">
        <v>1222</v>
      </c>
      <c r="B13" s="50" t="s">
        <v>1515</v>
      </c>
      <c r="C13" s="50" t="s">
        <v>1528</v>
      </c>
      <c r="D13" s="52" t="s">
        <v>937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51" t="s">
        <v>1529</v>
      </c>
      <c r="B14" s="50" t="s">
        <v>1515</v>
      </c>
      <c r="C14" s="50" t="s">
        <v>1530</v>
      </c>
      <c r="D14" s="52" t="s">
        <v>937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51"/>
      <c r="B15" s="50"/>
      <c r="C15" s="50"/>
      <c r="D15" s="5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51"/>
      <c r="B16" s="50"/>
      <c r="C16" s="50"/>
      <c r="D16" s="5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51"/>
      <c r="B17" s="50"/>
      <c r="C17" s="50"/>
      <c r="D17" s="5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51"/>
      <c r="B18" s="50"/>
      <c r="C18" s="50"/>
      <c r="D18" s="5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51"/>
      <c r="B19" s="50"/>
      <c r="C19" s="50"/>
      <c r="D19" s="5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53"/>
      <c r="B20" s="55"/>
      <c r="C20" s="55"/>
      <c r="D20" s="5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0"/>
  <sheetViews>
    <sheetView workbookViewId="0"/>
  </sheetViews>
  <sheetFormatPr defaultRowHeight="15" x14ac:dyDescent="0.25"/>
  <cols>
    <col min="1" max="1" width="28" customWidth="1"/>
    <col min="2" max="2" width="30" customWidth="1"/>
    <col min="3" max="3" width="16" customWidth="1"/>
    <col min="4" max="4" width="90" customWidth="1"/>
  </cols>
  <sheetData>
    <row r="1" spans="1:4" x14ac:dyDescent="0.25">
      <c r="A1" s="62" t="s">
        <v>943</v>
      </c>
      <c r="B1" s="63" t="s">
        <v>279</v>
      </c>
      <c r="C1" s="63" t="s">
        <v>280</v>
      </c>
      <c r="D1" s="67" t="s">
        <v>912</v>
      </c>
    </row>
    <row r="2" spans="1:4" x14ac:dyDescent="0.25">
      <c r="A2" s="5" t="s">
        <v>1531</v>
      </c>
      <c r="B2" s="4" t="s">
        <v>8</v>
      </c>
      <c r="C2" s="4" t="s">
        <v>937</v>
      </c>
      <c r="D2" s="6" t="s">
        <v>1532</v>
      </c>
    </row>
    <row r="3" spans="1:4" x14ac:dyDescent="0.25">
      <c r="A3" s="5" t="s">
        <v>1533</v>
      </c>
      <c r="B3" s="4" t="s">
        <v>9</v>
      </c>
      <c r="C3" s="4" t="s">
        <v>937</v>
      </c>
      <c r="D3" s="6" t="s">
        <v>1534</v>
      </c>
    </row>
    <row r="4" spans="1:4" x14ac:dyDescent="0.25">
      <c r="A4" s="5" t="s">
        <v>1535</v>
      </c>
      <c r="B4" s="4" t="s">
        <v>10</v>
      </c>
      <c r="C4" s="4" t="s">
        <v>937</v>
      </c>
      <c r="D4" s="6" t="s">
        <v>1536</v>
      </c>
    </row>
    <row r="5" spans="1:4" x14ac:dyDescent="0.25">
      <c r="A5" s="5" t="s">
        <v>1537</v>
      </c>
      <c r="B5" s="4" t="s">
        <v>1179</v>
      </c>
      <c r="C5" s="4" t="s">
        <v>937</v>
      </c>
      <c r="D5" s="6" t="s">
        <v>1538</v>
      </c>
    </row>
    <row r="6" spans="1:4" x14ac:dyDescent="0.25">
      <c r="A6" s="5" t="s">
        <v>1539</v>
      </c>
      <c r="B6" s="4" t="s">
        <v>1540</v>
      </c>
      <c r="C6" s="4" t="s">
        <v>937</v>
      </c>
      <c r="D6" s="6" t="s">
        <v>1541</v>
      </c>
    </row>
    <row r="7" spans="1:4" x14ac:dyDescent="0.25">
      <c r="A7" s="5" t="s">
        <v>1542</v>
      </c>
      <c r="B7" s="4" t="s">
        <v>1543</v>
      </c>
      <c r="C7" s="4" t="s">
        <v>937</v>
      </c>
      <c r="D7" s="6" t="s">
        <v>1544</v>
      </c>
    </row>
    <row r="8" spans="1:4" x14ac:dyDescent="0.25">
      <c r="A8" s="5" t="s">
        <v>1545</v>
      </c>
      <c r="B8" s="4" t="s">
        <v>946</v>
      </c>
      <c r="C8" s="4" t="s">
        <v>937</v>
      </c>
      <c r="D8" s="6" t="s">
        <v>1546</v>
      </c>
    </row>
    <row r="9" spans="1:4" x14ac:dyDescent="0.25">
      <c r="A9" s="5" t="s">
        <v>1547</v>
      </c>
      <c r="B9" s="4" t="s">
        <v>947</v>
      </c>
      <c r="C9" s="4" t="s">
        <v>937</v>
      </c>
      <c r="D9" s="6" t="s">
        <v>1548</v>
      </c>
    </row>
    <row r="10" spans="1:4" x14ac:dyDescent="0.25">
      <c r="A10" s="5"/>
      <c r="B10" s="4"/>
      <c r="C10" s="4"/>
      <c r="D10" s="6"/>
    </row>
    <row r="11" spans="1:4" x14ac:dyDescent="0.25">
      <c r="A11" s="5"/>
      <c r="B11" s="4"/>
      <c r="C11" s="4"/>
      <c r="D11" s="6"/>
    </row>
    <row r="12" spans="1:4" x14ac:dyDescent="0.25">
      <c r="A12" s="5"/>
      <c r="B12" s="4"/>
      <c r="C12" s="4"/>
      <c r="D12" s="6"/>
    </row>
    <row r="13" spans="1:4" x14ac:dyDescent="0.25">
      <c r="A13" s="5"/>
      <c r="B13" s="4"/>
      <c r="C13" s="4"/>
      <c r="D13" s="6"/>
    </row>
    <row r="14" spans="1:4" x14ac:dyDescent="0.25">
      <c r="A14" s="5"/>
      <c r="B14" s="4"/>
      <c r="C14" s="4"/>
      <c r="D14" s="6"/>
    </row>
    <row r="15" spans="1:4" x14ac:dyDescent="0.25">
      <c r="A15" s="5"/>
      <c r="B15" s="4"/>
      <c r="C15" s="4"/>
      <c r="D15" s="6"/>
    </row>
    <row r="16" spans="1:4" x14ac:dyDescent="0.25">
      <c r="A16" s="5"/>
      <c r="B16" s="4"/>
      <c r="C16" s="4"/>
      <c r="D16" s="6"/>
    </row>
    <row r="17" spans="1:4" x14ac:dyDescent="0.25">
      <c r="A17" s="5"/>
      <c r="B17" s="4"/>
      <c r="C17" s="4"/>
      <c r="D17" s="6"/>
    </row>
    <row r="18" spans="1:4" x14ac:dyDescent="0.25">
      <c r="A18" s="5"/>
      <c r="B18" s="4"/>
      <c r="C18" s="4"/>
      <c r="D18" s="6"/>
    </row>
    <row r="19" spans="1:4" x14ac:dyDescent="0.25">
      <c r="A19" s="5"/>
      <c r="B19" s="4"/>
      <c r="C19" s="4"/>
      <c r="D19" s="6"/>
    </row>
    <row r="20" spans="1:4" x14ac:dyDescent="0.25">
      <c r="A20" s="16"/>
      <c r="B20" s="17"/>
      <c r="C20" s="17"/>
      <c r="D20" s="1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3"/>
  <sheetViews>
    <sheetView workbookViewId="0"/>
  </sheetViews>
  <sheetFormatPr defaultRowHeight="15" x14ac:dyDescent="0.25"/>
  <cols>
    <col min="1" max="1" width="28" customWidth="1"/>
    <col min="2" max="2" width="90" customWidth="1"/>
  </cols>
  <sheetData>
    <row r="1" spans="1:2" x14ac:dyDescent="0.25">
      <c r="A1" s="81" t="s">
        <v>1549</v>
      </c>
      <c r="B1" s="81" t="s">
        <v>1432</v>
      </c>
    </row>
    <row r="2" spans="1:2" x14ac:dyDescent="0.25">
      <c r="A2" s="82" t="s">
        <v>1550</v>
      </c>
      <c r="B2" s="1" t="s">
        <v>1551</v>
      </c>
    </row>
    <row r="3" spans="1:2" x14ac:dyDescent="0.25">
      <c r="A3" s="82" t="s">
        <v>281</v>
      </c>
      <c r="B3" s="1" t="s">
        <v>1552</v>
      </c>
    </row>
    <row r="4" spans="1:2" x14ac:dyDescent="0.25">
      <c r="A4" s="82" t="s">
        <v>1521</v>
      </c>
      <c r="B4" s="1" t="s">
        <v>1396</v>
      </c>
    </row>
    <row r="5" spans="1:2" x14ac:dyDescent="0.25">
      <c r="A5" s="82" t="s">
        <v>1553</v>
      </c>
      <c r="B5" s="1" t="s">
        <v>1554</v>
      </c>
    </row>
    <row r="6" spans="1:2" x14ac:dyDescent="0.25">
      <c r="A6" s="82" t="s">
        <v>1555</v>
      </c>
      <c r="B6" s="1" t="s">
        <v>1556</v>
      </c>
    </row>
    <row r="7" spans="1:2" x14ac:dyDescent="0.25">
      <c r="A7" s="82" t="s">
        <v>1557</v>
      </c>
      <c r="B7" s="1" t="s">
        <v>939</v>
      </c>
    </row>
    <row r="8" spans="1:2" x14ac:dyDescent="0.25">
      <c r="A8" s="82" t="s">
        <v>1558</v>
      </c>
      <c r="B8" s="1">
        <v>277</v>
      </c>
    </row>
    <row r="9" spans="1:2" x14ac:dyDescent="0.25">
      <c r="A9" s="82" t="s">
        <v>1559</v>
      </c>
      <c r="B9" s="1">
        <v>276</v>
      </c>
    </row>
    <row r="10" spans="1:2" x14ac:dyDescent="0.25">
      <c r="A10" s="82" t="s">
        <v>1560</v>
      </c>
      <c r="B10" s="1" t="s">
        <v>1561</v>
      </c>
    </row>
    <row r="11" spans="1:2" x14ac:dyDescent="0.25">
      <c r="A11" s="82" t="s">
        <v>1562</v>
      </c>
      <c r="B11" s="1" t="s">
        <v>1563</v>
      </c>
    </row>
    <row r="12" spans="1:2" x14ac:dyDescent="0.25">
      <c r="A12" s="82" t="s">
        <v>1562</v>
      </c>
      <c r="B12" s="1" t="s">
        <v>1564</v>
      </c>
    </row>
    <row r="13" spans="1:2" x14ac:dyDescent="0.25">
      <c r="A13" s="82" t="s">
        <v>1562</v>
      </c>
      <c r="B13" s="1" t="s">
        <v>1565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0"/>
  <sheetViews>
    <sheetView workbookViewId="0">
      <selection activeCell="L29" sqref="L29"/>
    </sheetView>
  </sheetViews>
  <sheetFormatPr defaultRowHeight="15" x14ac:dyDescent="0.25"/>
  <cols>
    <col min="1" max="1" width="28" customWidth="1"/>
    <col min="2" max="2" width="70" customWidth="1"/>
  </cols>
  <sheetData>
    <row r="1" spans="1:2" x14ac:dyDescent="0.25">
      <c r="A1" s="81" t="s">
        <v>279</v>
      </c>
      <c r="B1" s="81" t="s">
        <v>1432</v>
      </c>
    </row>
    <row r="2" spans="1:2" x14ac:dyDescent="0.25">
      <c r="A2" s="1" t="s">
        <v>1566</v>
      </c>
      <c r="B2" s="1" t="s">
        <v>1556</v>
      </c>
    </row>
    <row r="3" spans="1:2" x14ac:dyDescent="0.25">
      <c r="A3" s="1" t="s">
        <v>954</v>
      </c>
      <c r="B3" s="1" t="s">
        <v>1567</v>
      </c>
    </row>
    <row r="4" spans="1:2" x14ac:dyDescent="0.25">
      <c r="A4" s="1" t="s">
        <v>1568</v>
      </c>
      <c r="B4" s="1" t="s">
        <v>939</v>
      </c>
    </row>
    <row r="5" spans="1:2" x14ac:dyDescent="0.25">
      <c r="A5" s="1" t="s">
        <v>1569</v>
      </c>
      <c r="B5" s="1" t="s">
        <v>1570</v>
      </c>
    </row>
    <row r="6" spans="1:2" x14ac:dyDescent="0.25">
      <c r="A6" s="1" t="s">
        <v>1571</v>
      </c>
      <c r="B6" s="1">
        <v>276</v>
      </c>
    </row>
    <row r="7" spans="1:2" x14ac:dyDescent="0.25">
      <c r="A7" s="1" t="s">
        <v>1572</v>
      </c>
      <c r="B7" s="1" t="s">
        <v>299</v>
      </c>
    </row>
    <row r="8" spans="1:2" x14ac:dyDescent="0.25">
      <c r="A8" s="1" t="s">
        <v>1573</v>
      </c>
      <c r="B8" s="1" t="s">
        <v>901</v>
      </c>
    </row>
    <row r="9" spans="1:2" x14ac:dyDescent="0.25">
      <c r="A9" s="1" t="s">
        <v>941</v>
      </c>
      <c r="B9" s="1" t="s">
        <v>1574</v>
      </c>
    </row>
    <row r="10" spans="1:2" x14ac:dyDescent="0.25">
      <c r="A10" s="1" t="s">
        <v>939</v>
      </c>
      <c r="B10" s="1" t="s">
        <v>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Taxepunkter</vt:lpstr>
      <vt:lpstr>Taxepunkter_Rådata</vt:lpstr>
      <vt:lpstr>Taxa_från_edp</vt:lpstr>
      <vt:lpstr>Taxa_till_edp</vt:lpstr>
      <vt:lpstr>QA Word-Excel struktur</vt:lpstr>
      <vt:lpstr>Taxa_Saknas</vt:lpstr>
      <vt:lpstr>Taxekod_Tolkning</vt:lpstr>
      <vt:lpstr>Källa_Prislista_DH</vt:lpstr>
      <vt:lpstr>Källa_Kvantitetskoder</vt:lpstr>
      <vt:lpstr>01_Projektöversikt</vt:lpstr>
      <vt:lpstr>02_Projektregler</vt:lpstr>
      <vt:lpstr>03_Arbetsflöde</vt:lpstr>
      <vt:lpstr>04_Källdokument</vt:lpstr>
      <vt:lpstr>06_Prompt_ChatGPT</vt:lpstr>
      <vt:lpstr>07_Word_export_senare</vt:lpstr>
      <vt:lpstr>Projektstatus</vt:lpstr>
      <vt:lpstr>Dokumentation_Taxepunkter</vt:lpstr>
      <vt:lpstr>Beslutslogg</vt:lpstr>
      <vt:lpstr>Färgstandard</vt:lpstr>
      <vt:lpstr>Dokumentation_Taxa_Saknas</vt:lpstr>
      <vt:lpstr>Dokumentation_Taxa_från_edp</vt:lpstr>
      <vt:lpstr>Revision_Etapp1</vt:lpstr>
      <vt:lpstr>Revision_Formler_DV</vt:lpstr>
      <vt:lpstr>00_MasterInfo</vt:lpstr>
      <vt:lpstr>EDP_Import_Logg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 Hjelte</dc:creator>
  <cp:lastModifiedBy>Isak Hjelte</cp:lastModifiedBy>
  <dcterms:created xsi:type="dcterms:W3CDTF">2026-07-07T11:22:20Z</dcterms:created>
  <dcterms:modified xsi:type="dcterms:W3CDTF">2026-07-07T15:57:02Z</dcterms:modified>
</cp:coreProperties>
</file>