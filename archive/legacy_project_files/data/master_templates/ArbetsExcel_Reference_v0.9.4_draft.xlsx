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ak.Hjelte\Downloads\"/>
    </mc:Choice>
  </mc:AlternateContent>
  <xr:revisionPtr revIDLastSave="0" documentId="13_ncr:1_{412B3C50-E6B9-44F0-A534-7644805C57DA}" xr6:coauthVersionLast="47" xr6:coauthVersionMax="47" xr10:uidLastSave="{00000000-0000-0000-0000-000000000000}"/>
  <bookViews>
    <workbookView xWindow="38280" yWindow="-120" windowWidth="38640" windowHeight="21120" activeTab="8" xr2:uid="{00000000-000D-0000-FFFF-FFFF00000000}"/>
  </bookViews>
  <sheets>
    <sheet name="Dashboard" sheetId="1" r:id="rId1"/>
    <sheet name="Taxepunkter" sheetId="2" r:id="rId2"/>
    <sheet name="Taxepunkter_Rådata" sheetId="3" r:id="rId3"/>
    <sheet name="Pivot Variant" sheetId="4" r:id="rId4"/>
    <sheet name="Pivot Paragraf" sheetId="5" r:id="rId5"/>
    <sheet name="Pivot Kapitel" sheetId="6" r:id="rId6"/>
    <sheet name="Diagram Intäkt" sheetId="7" r:id="rId7"/>
    <sheet name="Kontroller" sheetId="8" r:id="rId8"/>
    <sheet name="Taxa_från_edp" sheetId="9" r:id="rId9"/>
    <sheet name="Taxa_till_edp" sheetId="10" r:id="rId10"/>
    <sheet name="Sammanställning" sheetId="11" r:id="rId11"/>
    <sheet name="Kostnadstäckning" sheetId="12" r:id="rId12"/>
    <sheet name="QA Word-Excel struktur" sheetId="13" r:id="rId13"/>
    <sheet name="Taxa_Saknas" sheetId="14" r:id="rId14"/>
    <sheet name="Kontrollrapport" sheetId="15" r:id="rId15"/>
    <sheet name="Taxekod_Tolkning" sheetId="16" r:id="rId16"/>
    <sheet name="Källa_Prislista_DH" sheetId="17" r:id="rId17"/>
    <sheet name="Källa_Kvantitetskoder" sheetId="18" r:id="rId18"/>
    <sheet name="01_Projektöversikt" sheetId="19" r:id="rId19"/>
    <sheet name="02_Projektregler" sheetId="20" r:id="rId20"/>
    <sheet name="03_Arbetsflöde" sheetId="21" r:id="rId21"/>
    <sheet name="04_Källdokument" sheetId="22" r:id="rId22"/>
    <sheet name="06_Prompt_ChatGPT" sheetId="23" r:id="rId23"/>
    <sheet name="07_Word_export_senare" sheetId="24" r:id="rId24"/>
    <sheet name="Projektstatus" sheetId="25" r:id="rId25"/>
    <sheet name="Dokumentation_Taxepunkter" sheetId="26" r:id="rId26"/>
    <sheet name="Beslutslogg" sheetId="27" r:id="rId27"/>
    <sheet name="Färgstandard" sheetId="28" r:id="rId28"/>
    <sheet name="Dokumentation_Taxa_Saknas" sheetId="29" r:id="rId29"/>
    <sheet name="Dokumentation_Taxa_från_edp" sheetId="30" r:id="rId30"/>
    <sheet name="Revision_Etapp1" sheetId="31" r:id="rId31"/>
    <sheet name="Revision_Formler_DV" sheetId="32" r:id="rId32"/>
  </sheets>
  <definedNames>
    <definedName name="Factors_TK00001">#REF!</definedName>
    <definedName name="Factors_TK00002">#REF!</definedName>
    <definedName name="Factors_TK00003">#REF!</definedName>
    <definedName name="Factors_TK00004">#REF!</definedName>
    <definedName name="Factors_TK00005">#REF!</definedName>
    <definedName name="Factors_TK00006">#REF!</definedName>
    <definedName name="Factors_TK00007">#REF!</definedName>
    <definedName name="Factors_TK00008">#REF!</definedName>
    <definedName name="Factors_TK00009">#REF!</definedName>
    <definedName name="Factors_TK00010">#REF!</definedName>
    <definedName name="Factors_TK00011">#REF!</definedName>
    <definedName name="Factors_TK00012">#REF!</definedName>
    <definedName name="Factors_TK00013">#REF!</definedName>
    <definedName name="Factors_TK00014">#REF!</definedName>
    <definedName name="Factors_TK00015">#REF!</definedName>
    <definedName name="Factors_TK00016">#REF!</definedName>
    <definedName name="Factors_TK00017">#REF!</definedName>
    <definedName name="Factors_TK00018">#REF!</definedName>
    <definedName name="Factors_TK00019">#REF!</definedName>
    <definedName name="Factors_TK00020">#REF!</definedName>
    <definedName name="Factors_TK00021">#REF!</definedName>
    <definedName name="Factors_TK00022">#REF!</definedName>
    <definedName name="Factors_TK00023">#REF!</definedName>
    <definedName name="Factors_TK00024">#REF!</definedName>
    <definedName name="Factors_TK00025">#REF!</definedName>
    <definedName name="Factors_TK00026">#REF!</definedName>
    <definedName name="Factors_TK00027">#REF!</definedName>
    <definedName name="Factors_TK00028">#REF!</definedName>
    <definedName name="Factors_TK00029">#REF!</definedName>
    <definedName name="Factors_TK00030">#REF!</definedName>
    <definedName name="Factors_TK00031">#REF!</definedName>
    <definedName name="Factors_TK00032">#REF!</definedName>
    <definedName name="Factors_TK00033">#REF!</definedName>
    <definedName name="Factors_TK00034">#REF!</definedName>
    <definedName name="Factors_TK00035">#REF!</definedName>
    <definedName name="Factors_TK00036">#REF!</definedName>
    <definedName name="Factors_TK00037">#REF!</definedName>
    <definedName name="Factors_TK00038">#REF!</definedName>
    <definedName name="Factors_TK00039">#REF!</definedName>
    <definedName name="Factors_TK00040">#REF!</definedName>
    <definedName name="Factors_TK00041">#REF!</definedName>
    <definedName name="Factors_TK00042">#REF!</definedName>
    <definedName name="Factors_TK00043">#REF!</definedName>
    <definedName name="Factors_TK00044">#REF!</definedName>
    <definedName name="Factors_TK00045">#REF!</definedName>
    <definedName name="Factors_TK00046">#REF!</definedName>
    <definedName name="Factors_TK00047">#REF!</definedName>
    <definedName name="Factors_TK00048">#REF!</definedName>
    <definedName name="Factors_TK00049">#REF!</definedName>
    <definedName name="Factors_TK00050">#REF!</definedName>
    <definedName name="Factors_TK00051">#REF!</definedName>
    <definedName name="Factors_TK00052">#REF!</definedName>
    <definedName name="Factors_TK00053">#REF!</definedName>
    <definedName name="Factors_TK00054">#REF!</definedName>
    <definedName name="Factors_TK00055">#REF!</definedName>
    <definedName name="Factors_TK00056">#REF!</definedName>
    <definedName name="Factors_TK00057">#REF!</definedName>
    <definedName name="Factors_TK00058">#REF!</definedName>
    <definedName name="Factors_TK00059">#REF!</definedName>
    <definedName name="Factors_TK00060">#REF!</definedName>
    <definedName name="Factors_TK00061">#REF!</definedName>
    <definedName name="Factors_TK00062">#REF!</definedName>
    <definedName name="Factors_TK00063">#REF!</definedName>
    <definedName name="Factors_TK00064">#REF!</definedName>
    <definedName name="Factors_TK00065">#REF!</definedName>
    <definedName name="Factors_TK00066">#REF!</definedName>
    <definedName name="Factors_TK00067">#REF!</definedName>
    <definedName name="Factors_TK00068">#REF!</definedName>
    <definedName name="Factors_TK00069">#REF!</definedName>
    <definedName name="Factors_TK00070">#REF!</definedName>
    <definedName name="Factors_TK00071">#REF!</definedName>
    <definedName name="Factors_TK00072">#REF!</definedName>
    <definedName name="Factors_TK00073">#REF!</definedName>
    <definedName name="Factors_TK00074">#REF!</definedName>
    <definedName name="Factors_TK00075">#REF!</definedName>
    <definedName name="Factors_TK00076">#REF!</definedName>
    <definedName name="Factors_TK00077">#REF!</definedName>
    <definedName name="Factors_TK00078">#REF!</definedName>
    <definedName name="Factors_TK00079">#REF!</definedName>
    <definedName name="Factors_TK00080">#REF!</definedName>
    <definedName name="Factors_TK00081">#REF!</definedName>
    <definedName name="Factors_TK00082">#REF!</definedName>
    <definedName name="Factors_TK00083">#REF!</definedName>
    <definedName name="Factors_TK00084">#REF!</definedName>
    <definedName name="Factors_TK00085">#REF!</definedName>
    <definedName name="Factors_TK00086">#REF!</definedName>
    <definedName name="Factors_TK00087">#REF!</definedName>
    <definedName name="Factors_TK00088">#REF!</definedName>
    <definedName name="Factors_TK00089">#REF!</definedName>
    <definedName name="Factors_TK00090">#REF!</definedName>
    <definedName name="Factors_TK00091">#REF!</definedName>
    <definedName name="Factors_TK00092">#REF!</definedName>
    <definedName name="Factors_TK00093">#REF!</definedName>
    <definedName name="Factors_TK00094">#REF!</definedName>
    <definedName name="Factors_TK00095">#REF!</definedName>
    <definedName name="Factors_TK00096">#REF!</definedName>
    <definedName name="Factors_TK00097">#REF!</definedName>
    <definedName name="Factors_TK00098">#REF!</definedName>
    <definedName name="Factors_TK00099">#REF!</definedName>
    <definedName name="Factors_TK00100">#REF!</definedName>
    <definedName name="Factors_TK00101">#REF!</definedName>
    <definedName name="Factors_TK00102">#REF!</definedName>
    <definedName name="Factors_TK00103">#REF!</definedName>
    <definedName name="Factors_TK00104">#REF!</definedName>
    <definedName name="Factors_TK00105">#REF!</definedName>
    <definedName name="Factors_TK00106">#REF!</definedName>
    <definedName name="Factors_TK00107">#REF!</definedName>
    <definedName name="Factors_TK00108">#REF!</definedName>
    <definedName name="Factors_TK00109">#REF!</definedName>
    <definedName name="Factors_TK00110">#REF!</definedName>
    <definedName name="Factors_TK00111">#REF!</definedName>
    <definedName name="Factors_TK00112">#REF!</definedName>
    <definedName name="Factors_TK00113">#REF!</definedName>
    <definedName name="Factors_TK00114">#REF!</definedName>
    <definedName name="Factors_TK00115">#REF!</definedName>
    <definedName name="Factors_TK00116">#REF!</definedName>
    <definedName name="Factors_TK00117">#REF!</definedName>
    <definedName name="Factors_TK00118">#REF!</definedName>
    <definedName name="Factors_TK00119">#REF!</definedName>
    <definedName name="Factors_TK00120">#REF!</definedName>
    <definedName name="Factors_TK00121">#REF!</definedName>
    <definedName name="Factors_TK00122">#REF!</definedName>
    <definedName name="Factors_TK00123">#REF!</definedName>
    <definedName name="Factors_TK00124">#REF!</definedName>
    <definedName name="Factors_TK00125">#REF!</definedName>
    <definedName name="Factors_TK00126">#REF!</definedName>
    <definedName name="Factors_TK00127">#REF!</definedName>
    <definedName name="Factors_TK00128">#REF!</definedName>
    <definedName name="Factors_TK00129">#REF!</definedName>
    <definedName name="Factors_TK00130">#REF!</definedName>
    <definedName name="Factors_TK00131">#REF!</definedName>
    <definedName name="Factors_TK00132">#REF!</definedName>
    <definedName name="Factors_TK00133">#REF!</definedName>
    <definedName name="Factors_TK00134">#REF!</definedName>
    <definedName name="Factors_TK00135">#REF!</definedName>
    <definedName name="Factors_TK00136">#REF!</definedName>
    <definedName name="Factors_TK00137">#REF!</definedName>
    <definedName name="Factors_TK00138">#REF!</definedName>
    <definedName name="Factors_TK00139">#REF!</definedName>
    <definedName name="Factors_TK00140">#REF!</definedName>
    <definedName name="Factors_TK00141">#REF!</definedName>
    <definedName name="Factors_TK00142">#REF!</definedName>
    <definedName name="Factors_TK00143">#REF!</definedName>
    <definedName name="Factors_TK00144">#REF!</definedName>
    <definedName name="Factors_TK00145">#REF!</definedName>
    <definedName name="Factors_TK00146">#REF!</definedName>
    <definedName name="Factors_TK00147">#REF!</definedName>
    <definedName name="Factors_TK00148">#REF!</definedName>
    <definedName name="Factors_TK00149">#REF!</definedName>
    <definedName name="Factors_TK00150">#REF!</definedName>
    <definedName name="Factors_TK00151">#REF!</definedName>
    <definedName name="Factors_TK00152">#REF!</definedName>
    <definedName name="Factors_TK00153">#REF!</definedName>
    <definedName name="Factors_TK00154">#REF!</definedName>
    <definedName name="Factors_TK00155">#REF!</definedName>
    <definedName name="Factors_TK00156">#REF!</definedName>
    <definedName name="Factors_TK00157">#REF!</definedName>
    <definedName name="Factors_TK00158">#REF!</definedName>
    <definedName name="Factors_TK00159">#REF!</definedName>
    <definedName name="Factors_TK00160">#REF!</definedName>
    <definedName name="Factors_TK00161">#REF!</definedName>
    <definedName name="Factors_TK00162">#REF!</definedName>
    <definedName name="Factors_TK00163">#REF!</definedName>
    <definedName name="Factors_TK00164">#REF!</definedName>
    <definedName name="Factors_TK00165">#REF!</definedName>
    <definedName name="Factors_TK00166">#REF!</definedName>
    <definedName name="Factors_TK00167">#REF!</definedName>
    <definedName name="Factors_TK00168">#REF!</definedName>
    <definedName name="Factors_TK00169">#REF!</definedName>
    <definedName name="Factors_TK00170">#REF!</definedName>
    <definedName name="Factors_TK00171">#REF!</definedName>
    <definedName name="Factors_TK00172">#REF!</definedName>
    <definedName name="Factors_TK00173">#REF!</definedName>
    <definedName name="Factors_TK00174">#REF!</definedName>
    <definedName name="Factors_TK00175">#REF!</definedName>
    <definedName name="Factors_TK00176">#REF!</definedName>
    <definedName name="Factors_TK00177">#REF!</definedName>
    <definedName name="Factors_TK00178">#REF!</definedName>
    <definedName name="Factors_TK00179">#REF!</definedName>
    <definedName name="Factors_TK00180">#REF!</definedName>
    <definedName name="Factors_TK00181">#REF!</definedName>
    <definedName name="Factors_TK00182">#REF!</definedName>
    <definedName name="Factors_TK00183">#REF!</definedName>
    <definedName name="Factors_TK00184">#REF!</definedName>
    <definedName name="Factors_TK00185">#REF!</definedName>
    <definedName name="Factors_TK00186">#REF!</definedName>
    <definedName name="Factors_TK00187">#REF!</definedName>
    <definedName name="Factors_TK00188">#REF!</definedName>
    <definedName name="Factors_TK00189">#REF!</definedName>
    <definedName name="Factors_TK00190">#REF!</definedName>
    <definedName name="Factors_TK00191">#REF!</definedName>
    <definedName name="Factors_TK00192">#REF!</definedName>
    <definedName name="Factors_TK00193">#REF!</definedName>
    <definedName name="Factors_TK00194">#REF!</definedName>
    <definedName name="Factors_TK00195">#REF!</definedName>
    <definedName name="Factors_TK00196">#REF!</definedName>
    <definedName name="Factors_TK00197">#REF!</definedName>
    <definedName name="Factors_TK00198">#REF!</definedName>
    <definedName name="Factors_TK00199">#REF!</definedName>
    <definedName name="Factors_TK00200">#REF!</definedName>
    <definedName name="Factors_TK00201">#REF!</definedName>
    <definedName name="Factors_TK00202">#REF!</definedName>
    <definedName name="Factors_TK00203">#REF!</definedName>
    <definedName name="Factors_TK00204">#REF!</definedName>
    <definedName name="Factors_TK00205">#REF!</definedName>
    <definedName name="Factors_TK00206">#REF!</definedName>
    <definedName name="Factors_TK00207">#REF!</definedName>
    <definedName name="Factors_TK00208">#REF!</definedName>
    <definedName name="Factors_TK00209">#REF!</definedName>
    <definedName name="Factors_TK00210">#REF!</definedName>
    <definedName name="Factors_TK00211">#REF!</definedName>
    <definedName name="Factors_TK00212">#REF!</definedName>
    <definedName name="Factors_TK00213">#REF!</definedName>
    <definedName name="Factors_TK00214">#REF!</definedName>
    <definedName name="Factors_TK00215">#REF!</definedName>
    <definedName name="Factors_TK00216">#REF!</definedName>
    <definedName name="Factors_TK00217">#REF!</definedName>
    <definedName name="Factors_TK00218">#REF!</definedName>
    <definedName name="Factors_TK00219">#REF!</definedName>
    <definedName name="Factors_TK00220">#REF!</definedName>
    <definedName name="Factors_TK00221">#REF!</definedName>
    <definedName name="Factors_TK00222">#REF!</definedName>
    <definedName name="Factors_TK00223">#REF!</definedName>
    <definedName name="Factors_TK00224">#REF!</definedName>
    <definedName name="Factors_TK00225">#REF!</definedName>
    <definedName name="Factors_TK00226">#REF!</definedName>
    <definedName name="Factors_TK00227">#REF!</definedName>
    <definedName name="Factors_TK00228">#REF!</definedName>
    <definedName name="Factors_TK00229">#REF!</definedName>
    <definedName name="Factors_TK00230">#REF!</definedName>
    <definedName name="Factors_TK00231">#REF!</definedName>
    <definedName name="Factors_TK00232">#REF!</definedName>
    <definedName name="Factors_TK00233">#REF!</definedName>
    <definedName name="Factors_TK00234">#REF!</definedName>
    <definedName name="Factors_TK00235">#REF!</definedName>
    <definedName name="Factors_TK00236">#REF!</definedName>
    <definedName name="Factors_TK00237">#REF!</definedName>
    <definedName name="Factors_TK00238">#REF!</definedName>
    <definedName name="Factors_TK00239">#REF!</definedName>
    <definedName name="Factors_TK00240">#REF!</definedName>
    <definedName name="Factors_TK00241">#REF!</definedName>
    <definedName name="Factors_TK00242">#REF!</definedName>
    <definedName name="Factors_TK00243">#REF!</definedName>
    <definedName name="Factors_TK00244">#REF!</definedName>
    <definedName name="Factors_TK00245">#REF!</definedName>
    <definedName name="Factors_TK00246">#REF!</definedName>
    <definedName name="Factors_TK00247">#REF!</definedName>
    <definedName name="Factors_TK00248">#REF!</definedName>
    <definedName name="Factors_TK00249">#REF!</definedName>
    <definedName name="Factors_TK00250">#REF!</definedName>
    <definedName name="Factors_TK00251">#REF!</definedName>
    <definedName name="Factors_TK00252">#REF!</definedName>
    <definedName name="Factors_TK00253">#REF!</definedName>
    <definedName name="Factors_TK00254">#REF!</definedName>
    <definedName name="Factors_TK00255">#REF!</definedName>
    <definedName name="Factors_TK00256">#REF!</definedName>
    <definedName name="Factors_TK00257">#REF!</definedName>
    <definedName name="Factors_TK00258">#REF!</definedName>
    <definedName name="Factors_TK00259">#REF!</definedName>
    <definedName name="Factors_TK00260">#REF!</definedName>
    <definedName name="Factors_TK00261">#REF!</definedName>
    <definedName name="Factors_TK00262">#REF!</definedName>
    <definedName name="Factors_TK00263">#REF!</definedName>
    <definedName name="Factors_TK00264">#REF!</definedName>
    <definedName name="Factors_TK00265">#REF!</definedName>
    <definedName name="Factors_TK00266">#REF!</definedName>
    <definedName name="Factors_TK00267">#REF!</definedName>
    <definedName name="Factors_TK00268">#REF!</definedName>
    <definedName name="Factors_TK00269">#REF!</definedName>
    <definedName name="Factors_TK00270">#REF!</definedName>
    <definedName name="Factors_TK00271">#REF!</definedName>
    <definedName name="Factors_TK00272">#REF!</definedName>
    <definedName name="Factors_TK00273">#REF!</definedName>
    <definedName name="Factors_TK0027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1" i="2" l="1"/>
  <c r="N371" i="2" s="1"/>
  <c r="H371" i="2"/>
  <c r="E15" i="26"/>
  <c r="E14" i="26"/>
  <c r="E8" i="26"/>
  <c r="Y200" i="14"/>
  <c r="X200" i="14"/>
  <c r="W200" i="14"/>
  <c r="U200" i="14"/>
  <c r="P200" i="14"/>
  <c r="O200" i="14"/>
  <c r="N200" i="14"/>
  <c r="M200" i="14"/>
  <c r="L200" i="14"/>
  <c r="K200" i="14"/>
  <c r="J200" i="14"/>
  <c r="I200" i="14"/>
  <c r="H200" i="14"/>
  <c r="F200" i="14"/>
  <c r="E200" i="14"/>
  <c r="D200" i="14"/>
  <c r="A200" i="14"/>
  <c r="Y199" i="14"/>
  <c r="X199" i="14"/>
  <c r="W199" i="14"/>
  <c r="U199" i="14"/>
  <c r="P199" i="14"/>
  <c r="O199" i="14"/>
  <c r="N199" i="14"/>
  <c r="M199" i="14"/>
  <c r="L199" i="14"/>
  <c r="K199" i="14"/>
  <c r="J199" i="14"/>
  <c r="I199" i="14"/>
  <c r="H199" i="14"/>
  <c r="F199" i="14"/>
  <c r="E199" i="14"/>
  <c r="D199" i="14"/>
  <c r="A199" i="14"/>
  <c r="Y198" i="14"/>
  <c r="X198" i="14"/>
  <c r="W198" i="14"/>
  <c r="U198" i="14"/>
  <c r="P198" i="14"/>
  <c r="O198" i="14"/>
  <c r="N198" i="14"/>
  <c r="M198" i="14"/>
  <c r="L198" i="14"/>
  <c r="K198" i="14"/>
  <c r="J198" i="14"/>
  <c r="I198" i="14"/>
  <c r="H198" i="14"/>
  <c r="F198" i="14"/>
  <c r="E198" i="14"/>
  <c r="D198" i="14"/>
  <c r="A198" i="14"/>
  <c r="Y197" i="14"/>
  <c r="X197" i="14"/>
  <c r="W197" i="14"/>
  <c r="U197" i="14"/>
  <c r="P197" i="14"/>
  <c r="O197" i="14"/>
  <c r="N197" i="14"/>
  <c r="M197" i="14"/>
  <c r="L197" i="14"/>
  <c r="K197" i="14"/>
  <c r="J197" i="14"/>
  <c r="I197" i="14"/>
  <c r="H197" i="14"/>
  <c r="F197" i="14"/>
  <c r="E197" i="14"/>
  <c r="D197" i="14"/>
  <c r="A197" i="14"/>
  <c r="Y196" i="14"/>
  <c r="X196" i="14"/>
  <c r="W196" i="14"/>
  <c r="U196" i="14"/>
  <c r="P196" i="14"/>
  <c r="O196" i="14"/>
  <c r="N196" i="14"/>
  <c r="M196" i="14"/>
  <c r="L196" i="14"/>
  <c r="K196" i="14"/>
  <c r="J196" i="14"/>
  <c r="I196" i="14"/>
  <c r="H196" i="14"/>
  <c r="F196" i="14"/>
  <c r="E196" i="14"/>
  <c r="D196" i="14"/>
  <c r="A196" i="14"/>
  <c r="Y195" i="14"/>
  <c r="X195" i="14"/>
  <c r="W195" i="14"/>
  <c r="U195" i="14"/>
  <c r="P195" i="14"/>
  <c r="O195" i="14"/>
  <c r="N195" i="14"/>
  <c r="M195" i="14"/>
  <c r="L195" i="14"/>
  <c r="K195" i="14"/>
  <c r="J195" i="14"/>
  <c r="I195" i="14"/>
  <c r="H195" i="14"/>
  <c r="F195" i="14"/>
  <c r="E195" i="14"/>
  <c r="D195" i="14"/>
  <c r="A195" i="14"/>
  <c r="Y194" i="14"/>
  <c r="X194" i="14"/>
  <c r="W194" i="14"/>
  <c r="U194" i="14"/>
  <c r="P194" i="14"/>
  <c r="O194" i="14"/>
  <c r="N194" i="14"/>
  <c r="M194" i="14"/>
  <c r="L194" i="14"/>
  <c r="K194" i="14"/>
  <c r="J194" i="14"/>
  <c r="I194" i="14"/>
  <c r="H194" i="14"/>
  <c r="F194" i="14"/>
  <c r="E194" i="14"/>
  <c r="D194" i="14"/>
  <c r="A194" i="14"/>
  <c r="Y193" i="14"/>
  <c r="X193" i="14"/>
  <c r="W193" i="14"/>
  <c r="U193" i="14"/>
  <c r="P193" i="14"/>
  <c r="O193" i="14"/>
  <c r="N193" i="14"/>
  <c r="M193" i="14"/>
  <c r="L193" i="14"/>
  <c r="K193" i="14"/>
  <c r="J193" i="14"/>
  <c r="I193" i="14"/>
  <c r="H193" i="14"/>
  <c r="F193" i="14"/>
  <c r="E193" i="14"/>
  <c r="D193" i="14"/>
  <c r="A193" i="14"/>
  <c r="Y192" i="14"/>
  <c r="X192" i="14"/>
  <c r="W192" i="14"/>
  <c r="U192" i="14"/>
  <c r="P192" i="14"/>
  <c r="O192" i="14"/>
  <c r="N192" i="14"/>
  <c r="M192" i="14"/>
  <c r="L192" i="14"/>
  <c r="K192" i="14"/>
  <c r="J192" i="14"/>
  <c r="I192" i="14"/>
  <c r="H192" i="14"/>
  <c r="F192" i="14"/>
  <c r="E192" i="14"/>
  <c r="D192" i="14"/>
  <c r="A192" i="14"/>
  <c r="Y191" i="14"/>
  <c r="X191" i="14"/>
  <c r="W191" i="14"/>
  <c r="U191" i="14"/>
  <c r="P191" i="14"/>
  <c r="O191" i="14"/>
  <c r="N191" i="14"/>
  <c r="M191" i="14"/>
  <c r="L191" i="14"/>
  <c r="K191" i="14"/>
  <c r="J191" i="14"/>
  <c r="I191" i="14"/>
  <c r="H191" i="14"/>
  <c r="F191" i="14"/>
  <c r="E191" i="14"/>
  <c r="D191" i="14"/>
  <c r="A191" i="14"/>
  <c r="Y190" i="14"/>
  <c r="X190" i="14"/>
  <c r="W190" i="14"/>
  <c r="U190" i="14"/>
  <c r="P190" i="14"/>
  <c r="O190" i="14"/>
  <c r="N190" i="14"/>
  <c r="M190" i="14"/>
  <c r="L190" i="14"/>
  <c r="K190" i="14"/>
  <c r="J190" i="14"/>
  <c r="I190" i="14"/>
  <c r="H190" i="14"/>
  <c r="F190" i="14"/>
  <c r="E190" i="14"/>
  <c r="D190" i="14"/>
  <c r="A190" i="14"/>
  <c r="Y189" i="14"/>
  <c r="X189" i="14"/>
  <c r="W189" i="14"/>
  <c r="U189" i="14"/>
  <c r="P189" i="14"/>
  <c r="O189" i="14"/>
  <c r="N189" i="14"/>
  <c r="M189" i="14"/>
  <c r="L189" i="14"/>
  <c r="K189" i="14"/>
  <c r="J189" i="14"/>
  <c r="I189" i="14"/>
  <c r="H189" i="14"/>
  <c r="F189" i="14"/>
  <c r="E189" i="14"/>
  <c r="D189" i="14"/>
  <c r="A189" i="14"/>
  <c r="Y188" i="14"/>
  <c r="X188" i="14"/>
  <c r="W188" i="14"/>
  <c r="U188" i="14"/>
  <c r="P188" i="14"/>
  <c r="O188" i="14"/>
  <c r="N188" i="14"/>
  <c r="M188" i="14"/>
  <c r="L188" i="14"/>
  <c r="K188" i="14"/>
  <c r="J188" i="14"/>
  <c r="I188" i="14"/>
  <c r="H188" i="14"/>
  <c r="F188" i="14"/>
  <c r="E188" i="14"/>
  <c r="D188" i="14"/>
  <c r="A188" i="14"/>
  <c r="Y187" i="14"/>
  <c r="X187" i="14"/>
  <c r="W187" i="14"/>
  <c r="U187" i="14"/>
  <c r="P187" i="14"/>
  <c r="O187" i="14"/>
  <c r="N187" i="14"/>
  <c r="M187" i="14"/>
  <c r="L187" i="14"/>
  <c r="K187" i="14"/>
  <c r="J187" i="14"/>
  <c r="I187" i="14"/>
  <c r="H187" i="14"/>
  <c r="F187" i="14"/>
  <c r="E187" i="14"/>
  <c r="D187" i="14"/>
  <c r="A187" i="14"/>
  <c r="Y186" i="14"/>
  <c r="X186" i="14"/>
  <c r="W186" i="14"/>
  <c r="U186" i="14"/>
  <c r="P186" i="14"/>
  <c r="O186" i="14"/>
  <c r="N186" i="14"/>
  <c r="M186" i="14"/>
  <c r="L186" i="14"/>
  <c r="K186" i="14"/>
  <c r="J186" i="14"/>
  <c r="I186" i="14"/>
  <c r="H186" i="14"/>
  <c r="F186" i="14"/>
  <c r="E186" i="14"/>
  <c r="D186" i="14"/>
  <c r="A186" i="14"/>
  <c r="Y185" i="14"/>
  <c r="X185" i="14"/>
  <c r="W185" i="14"/>
  <c r="U185" i="14"/>
  <c r="P185" i="14"/>
  <c r="O185" i="14"/>
  <c r="N185" i="14"/>
  <c r="M185" i="14"/>
  <c r="L185" i="14"/>
  <c r="K185" i="14"/>
  <c r="J185" i="14"/>
  <c r="I185" i="14"/>
  <c r="H185" i="14"/>
  <c r="F185" i="14"/>
  <c r="E185" i="14"/>
  <c r="D185" i="14"/>
  <c r="A185" i="14"/>
  <c r="Y184" i="14"/>
  <c r="X184" i="14"/>
  <c r="W184" i="14"/>
  <c r="U184" i="14"/>
  <c r="P184" i="14"/>
  <c r="O184" i="14"/>
  <c r="N184" i="14"/>
  <c r="M184" i="14"/>
  <c r="L184" i="14"/>
  <c r="K184" i="14"/>
  <c r="J184" i="14"/>
  <c r="I184" i="14"/>
  <c r="H184" i="14"/>
  <c r="F184" i="14"/>
  <c r="E184" i="14"/>
  <c r="D184" i="14"/>
  <c r="A184" i="14"/>
  <c r="Y183" i="14"/>
  <c r="X183" i="14"/>
  <c r="W183" i="14"/>
  <c r="U183" i="14"/>
  <c r="P183" i="14"/>
  <c r="O183" i="14"/>
  <c r="N183" i="14"/>
  <c r="M183" i="14"/>
  <c r="L183" i="14"/>
  <c r="K183" i="14"/>
  <c r="J183" i="14"/>
  <c r="I183" i="14"/>
  <c r="H183" i="14"/>
  <c r="F183" i="14"/>
  <c r="E183" i="14"/>
  <c r="D183" i="14"/>
  <c r="A183" i="14"/>
  <c r="Y182" i="14"/>
  <c r="X182" i="14"/>
  <c r="W182" i="14"/>
  <c r="U182" i="14"/>
  <c r="P182" i="14"/>
  <c r="O182" i="14"/>
  <c r="N182" i="14"/>
  <c r="M182" i="14"/>
  <c r="L182" i="14"/>
  <c r="K182" i="14"/>
  <c r="J182" i="14"/>
  <c r="I182" i="14"/>
  <c r="H182" i="14"/>
  <c r="F182" i="14"/>
  <c r="E182" i="14"/>
  <c r="D182" i="14"/>
  <c r="A182" i="14"/>
  <c r="Y181" i="14"/>
  <c r="X181" i="14"/>
  <c r="W181" i="14"/>
  <c r="U181" i="14"/>
  <c r="P181" i="14"/>
  <c r="O181" i="14"/>
  <c r="N181" i="14"/>
  <c r="M181" i="14"/>
  <c r="L181" i="14"/>
  <c r="K181" i="14"/>
  <c r="J181" i="14"/>
  <c r="I181" i="14"/>
  <c r="H181" i="14"/>
  <c r="F181" i="14"/>
  <c r="E181" i="14"/>
  <c r="D181" i="14"/>
  <c r="A181" i="14"/>
  <c r="Y180" i="14"/>
  <c r="X180" i="14"/>
  <c r="W180" i="14"/>
  <c r="U180" i="14"/>
  <c r="P180" i="14"/>
  <c r="O180" i="14"/>
  <c r="N180" i="14"/>
  <c r="M180" i="14"/>
  <c r="L180" i="14"/>
  <c r="K180" i="14"/>
  <c r="J180" i="14"/>
  <c r="I180" i="14"/>
  <c r="H180" i="14"/>
  <c r="F180" i="14"/>
  <c r="E180" i="14"/>
  <c r="D180" i="14"/>
  <c r="A180" i="14"/>
  <c r="Y179" i="14"/>
  <c r="X179" i="14"/>
  <c r="W179" i="14"/>
  <c r="U179" i="14"/>
  <c r="P179" i="14"/>
  <c r="O179" i="14"/>
  <c r="N179" i="14"/>
  <c r="M179" i="14"/>
  <c r="L179" i="14"/>
  <c r="K179" i="14"/>
  <c r="J179" i="14"/>
  <c r="I179" i="14"/>
  <c r="H179" i="14"/>
  <c r="F179" i="14"/>
  <c r="E179" i="14"/>
  <c r="D179" i="14"/>
  <c r="A179" i="14"/>
  <c r="Y178" i="14"/>
  <c r="X178" i="14"/>
  <c r="W178" i="14"/>
  <c r="U178" i="14"/>
  <c r="P178" i="14"/>
  <c r="O178" i="14"/>
  <c r="N178" i="14"/>
  <c r="M178" i="14"/>
  <c r="L178" i="14"/>
  <c r="K178" i="14"/>
  <c r="J178" i="14"/>
  <c r="I178" i="14"/>
  <c r="H178" i="14"/>
  <c r="F178" i="14"/>
  <c r="E178" i="14"/>
  <c r="D178" i="14"/>
  <c r="A178" i="14"/>
  <c r="Y177" i="14"/>
  <c r="X177" i="14"/>
  <c r="W177" i="14"/>
  <c r="U177" i="14"/>
  <c r="P177" i="14"/>
  <c r="O177" i="14"/>
  <c r="N177" i="14"/>
  <c r="M177" i="14"/>
  <c r="L177" i="14"/>
  <c r="K177" i="14"/>
  <c r="J177" i="14"/>
  <c r="I177" i="14"/>
  <c r="H177" i="14"/>
  <c r="F177" i="14"/>
  <c r="E177" i="14"/>
  <c r="D177" i="14"/>
  <c r="A177" i="14"/>
  <c r="Y176" i="14"/>
  <c r="X176" i="14"/>
  <c r="W176" i="14"/>
  <c r="U176" i="14"/>
  <c r="P176" i="14"/>
  <c r="O176" i="14"/>
  <c r="N176" i="14"/>
  <c r="M176" i="14"/>
  <c r="L176" i="14"/>
  <c r="K176" i="14"/>
  <c r="J176" i="14"/>
  <c r="I176" i="14"/>
  <c r="H176" i="14"/>
  <c r="F176" i="14"/>
  <c r="E176" i="14"/>
  <c r="D176" i="14"/>
  <c r="A176" i="14"/>
  <c r="Y175" i="14"/>
  <c r="X175" i="14"/>
  <c r="W175" i="14"/>
  <c r="U175" i="14"/>
  <c r="P175" i="14"/>
  <c r="O175" i="14"/>
  <c r="N175" i="14"/>
  <c r="M175" i="14"/>
  <c r="L175" i="14"/>
  <c r="K175" i="14"/>
  <c r="J175" i="14"/>
  <c r="I175" i="14"/>
  <c r="H175" i="14"/>
  <c r="F175" i="14"/>
  <c r="E175" i="14"/>
  <c r="D175" i="14"/>
  <c r="A175" i="14"/>
  <c r="Y174" i="14"/>
  <c r="X174" i="14"/>
  <c r="W174" i="14"/>
  <c r="U174" i="14"/>
  <c r="P174" i="14"/>
  <c r="O174" i="14"/>
  <c r="N174" i="14"/>
  <c r="M174" i="14"/>
  <c r="L174" i="14"/>
  <c r="K174" i="14"/>
  <c r="J174" i="14"/>
  <c r="I174" i="14"/>
  <c r="H174" i="14"/>
  <c r="F174" i="14"/>
  <c r="E174" i="14"/>
  <c r="D174" i="14"/>
  <c r="A174" i="14"/>
  <c r="Y173" i="14"/>
  <c r="X173" i="14"/>
  <c r="W173" i="14"/>
  <c r="U173" i="14"/>
  <c r="P173" i="14"/>
  <c r="O173" i="14"/>
  <c r="N173" i="14"/>
  <c r="M173" i="14"/>
  <c r="L173" i="14"/>
  <c r="K173" i="14"/>
  <c r="J173" i="14"/>
  <c r="I173" i="14"/>
  <c r="H173" i="14"/>
  <c r="F173" i="14"/>
  <c r="E173" i="14"/>
  <c r="D173" i="14"/>
  <c r="A173" i="14"/>
  <c r="Y172" i="14"/>
  <c r="X172" i="14"/>
  <c r="W172" i="14"/>
  <c r="U172" i="14"/>
  <c r="P172" i="14"/>
  <c r="O172" i="14"/>
  <c r="N172" i="14"/>
  <c r="M172" i="14"/>
  <c r="L172" i="14"/>
  <c r="K172" i="14"/>
  <c r="J172" i="14"/>
  <c r="I172" i="14"/>
  <c r="H172" i="14"/>
  <c r="F172" i="14"/>
  <c r="E172" i="14"/>
  <c r="D172" i="14"/>
  <c r="A172" i="14"/>
  <c r="Y171" i="14"/>
  <c r="X171" i="14"/>
  <c r="W171" i="14"/>
  <c r="U171" i="14"/>
  <c r="P171" i="14"/>
  <c r="O171" i="14"/>
  <c r="N171" i="14"/>
  <c r="M171" i="14"/>
  <c r="L171" i="14"/>
  <c r="K171" i="14"/>
  <c r="J171" i="14"/>
  <c r="I171" i="14"/>
  <c r="H171" i="14"/>
  <c r="F171" i="14"/>
  <c r="E171" i="14"/>
  <c r="D171" i="14"/>
  <c r="A171" i="14"/>
  <c r="Y170" i="14"/>
  <c r="X170" i="14"/>
  <c r="W170" i="14"/>
  <c r="U170" i="14"/>
  <c r="P170" i="14"/>
  <c r="O170" i="14"/>
  <c r="N170" i="14"/>
  <c r="M170" i="14"/>
  <c r="L170" i="14"/>
  <c r="K170" i="14"/>
  <c r="J170" i="14"/>
  <c r="I170" i="14"/>
  <c r="H170" i="14"/>
  <c r="F170" i="14"/>
  <c r="E170" i="14"/>
  <c r="D170" i="14"/>
  <c r="A170" i="14"/>
  <c r="Y169" i="14"/>
  <c r="X169" i="14"/>
  <c r="W169" i="14"/>
  <c r="U169" i="14"/>
  <c r="P169" i="14"/>
  <c r="O169" i="14"/>
  <c r="N169" i="14"/>
  <c r="M169" i="14"/>
  <c r="L169" i="14"/>
  <c r="K169" i="14"/>
  <c r="J169" i="14"/>
  <c r="I169" i="14"/>
  <c r="H169" i="14"/>
  <c r="F169" i="14"/>
  <c r="E169" i="14"/>
  <c r="D169" i="14"/>
  <c r="A169" i="14"/>
  <c r="Y168" i="14"/>
  <c r="X168" i="14"/>
  <c r="W168" i="14"/>
  <c r="U168" i="14"/>
  <c r="P168" i="14"/>
  <c r="O168" i="14"/>
  <c r="N168" i="14"/>
  <c r="M168" i="14"/>
  <c r="L168" i="14"/>
  <c r="K168" i="14"/>
  <c r="J168" i="14"/>
  <c r="I168" i="14"/>
  <c r="H168" i="14"/>
  <c r="F168" i="14"/>
  <c r="E168" i="14"/>
  <c r="D168" i="14"/>
  <c r="A168" i="14"/>
  <c r="Y167" i="14"/>
  <c r="X167" i="14"/>
  <c r="W167" i="14"/>
  <c r="U167" i="14"/>
  <c r="P167" i="14"/>
  <c r="O167" i="14"/>
  <c r="N167" i="14"/>
  <c r="M167" i="14"/>
  <c r="L167" i="14"/>
  <c r="K167" i="14"/>
  <c r="J167" i="14"/>
  <c r="I167" i="14"/>
  <c r="H167" i="14"/>
  <c r="F167" i="14"/>
  <c r="E167" i="14"/>
  <c r="D167" i="14"/>
  <c r="A167" i="14"/>
  <c r="Y166" i="14"/>
  <c r="X166" i="14"/>
  <c r="W166" i="14"/>
  <c r="U166" i="14"/>
  <c r="P166" i="14"/>
  <c r="O166" i="14"/>
  <c r="N166" i="14"/>
  <c r="M166" i="14"/>
  <c r="L166" i="14"/>
  <c r="K166" i="14"/>
  <c r="J166" i="14"/>
  <c r="I166" i="14"/>
  <c r="H166" i="14"/>
  <c r="F166" i="14"/>
  <c r="E166" i="14"/>
  <c r="D166" i="14"/>
  <c r="A166" i="14"/>
  <c r="Y165" i="14"/>
  <c r="X165" i="14"/>
  <c r="W165" i="14"/>
  <c r="U165" i="14"/>
  <c r="P165" i="14"/>
  <c r="O165" i="14"/>
  <c r="N165" i="14"/>
  <c r="M165" i="14"/>
  <c r="L165" i="14"/>
  <c r="K165" i="14"/>
  <c r="J165" i="14"/>
  <c r="I165" i="14"/>
  <c r="H165" i="14"/>
  <c r="F165" i="14"/>
  <c r="E165" i="14"/>
  <c r="D165" i="14"/>
  <c r="A165" i="14"/>
  <c r="Y164" i="14"/>
  <c r="X164" i="14"/>
  <c r="W164" i="14"/>
  <c r="U164" i="14"/>
  <c r="P164" i="14"/>
  <c r="O164" i="14"/>
  <c r="N164" i="14"/>
  <c r="M164" i="14"/>
  <c r="L164" i="14"/>
  <c r="K164" i="14"/>
  <c r="J164" i="14"/>
  <c r="I164" i="14"/>
  <c r="H164" i="14"/>
  <c r="F164" i="14"/>
  <c r="E164" i="14"/>
  <c r="D164" i="14"/>
  <c r="A164" i="14"/>
  <c r="Y163" i="14"/>
  <c r="X163" i="14"/>
  <c r="W163" i="14"/>
  <c r="U163" i="14"/>
  <c r="P163" i="14"/>
  <c r="O163" i="14"/>
  <c r="N163" i="14"/>
  <c r="M163" i="14"/>
  <c r="L163" i="14"/>
  <c r="K163" i="14"/>
  <c r="J163" i="14"/>
  <c r="I163" i="14"/>
  <c r="H163" i="14"/>
  <c r="F163" i="14"/>
  <c r="E163" i="14"/>
  <c r="D163" i="14"/>
  <c r="A163" i="14"/>
  <c r="Y162" i="14"/>
  <c r="X162" i="14"/>
  <c r="W162" i="14"/>
  <c r="U162" i="14"/>
  <c r="P162" i="14"/>
  <c r="O162" i="14"/>
  <c r="N162" i="14"/>
  <c r="M162" i="14"/>
  <c r="L162" i="14"/>
  <c r="K162" i="14"/>
  <c r="J162" i="14"/>
  <c r="I162" i="14"/>
  <c r="H162" i="14"/>
  <c r="F162" i="14"/>
  <c r="E162" i="14"/>
  <c r="D162" i="14"/>
  <c r="A162" i="14"/>
  <c r="Y161" i="14"/>
  <c r="X161" i="14"/>
  <c r="W161" i="14"/>
  <c r="U161" i="14"/>
  <c r="P161" i="14"/>
  <c r="O161" i="14"/>
  <c r="N161" i="14"/>
  <c r="M161" i="14"/>
  <c r="L161" i="14"/>
  <c r="K161" i="14"/>
  <c r="J161" i="14"/>
  <c r="I161" i="14"/>
  <c r="H161" i="14"/>
  <c r="F161" i="14"/>
  <c r="E161" i="14"/>
  <c r="D161" i="14"/>
  <c r="A161" i="14"/>
  <c r="Y160" i="14"/>
  <c r="X160" i="14"/>
  <c r="W160" i="14"/>
  <c r="U160" i="14"/>
  <c r="P160" i="14"/>
  <c r="O160" i="14"/>
  <c r="N160" i="14"/>
  <c r="M160" i="14"/>
  <c r="L160" i="14"/>
  <c r="K160" i="14"/>
  <c r="J160" i="14"/>
  <c r="I160" i="14"/>
  <c r="H160" i="14"/>
  <c r="F160" i="14"/>
  <c r="E160" i="14"/>
  <c r="D160" i="14"/>
  <c r="A160" i="14"/>
  <c r="Y159" i="14"/>
  <c r="X159" i="14"/>
  <c r="W159" i="14"/>
  <c r="U159" i="14"/>
  <c r="P159" i="14"/>
  <c r="O159" i="14"/>
  <c r="N159" i="14"/>
  <c r="M159" i="14"/>
  <c r="L159" i="14"/>
  <c r="K159" i="14"/>
  <c r="J159" i="14"/>
  <c r="I159" i="14"/>
  <c r="H159" i="14"/>
  <c r="F159" i="14"/>
  <c r="E159" i="14"/>
  <c r="D159" i="14"/>
  <c r="A159" i="14"/>
  <c r="Y158" i="14"/>
  <c r="X158" i="14"/>
  <c r="W158" i="14"/>
  <c r="U158" i="14"/>
  <c r="P158" i="14"/>
  <c r="O158" i="14"/>
  <c r="N158" i="14"/>
  <c r="M158" i="14"/>
  <c r="L158" i="14"/>
  <c r="K158" i="14"/>
  <c r="J158" i="14"/>
  <c r="I158" i="14"/>
  <c r="H158" i="14"/>
  <c r="F158" i="14"/>
  <c r="E158" i="14"/>
  <c r="D158" i="14"/>
  <c r="A158" i="14"/>
  <c r="Y157" i="14"/>
  <c r="X157" i="14"/>
  <c r="W157" i="14"/>
  <c r="U157" i="14"/>
  <c r="P157" i="14"/>
  <c r="O157" i="14"/>
  <c r="N157" i="14"/>
  <c r="M157" i="14"/>
  <c r="L157" i="14"/>
  <c r="K157" i="14"/>
  <c r="J157" i="14"/>
  <c r="I157" i="14"/>
  <c r="H157" i="14"/>
  <c r="F157" i="14"/>
  <c r="E157" i="14"/>
  <c r="D157" i="14"/>
  <c r="A157" i="14"/>
  <c r="Y156" i="14"/>
  <c r="X156" i="14"/>
  <c r="W156" i="14"/>
  <c r="U156" i="14"/>
  <c r="P156" i="14"/>
  <c r="O156" i="14"/>
  <c r="N156" i="14"/>
  <c r="M156" i="14"/>
  <c r="L156" i="14"/>
  <c r="K156" i="14"/>
  <c r="J156" i="14"/>
  <c r="I156" i="14"/>
  <c r="H156" i="14"/>
  <c r="F156" i="14"/>
  <c r="E156" i="14"/>
  <c r="D156" i="14"/>
  <c r="A156" i="14"/>
  <c r="Y155" i="14"/>
  <c r="X155" i="14"/>
  <c r="W155" i="14"/>
  <c r="U155" i="14"/>
  <c r="P155" i="14"/>
  <c r="O155" i="14"/>
  <c r="N155" i="14"/>
  <c r="M155" i="14"/>
  <c r="L155" i="14"/>
  <c r="K155" i="14"/>
  <c r="J155" i="14"/>
  <c r="I155" i="14"/>
  <c r="H155" i="14"/>
  <c r="F155" i="14"/>
  <c r="E155" i="14"/>
  <c r="D155" i="14"/>
  <c r="A155" i="14"/>
  <c r="Y154" i="14"/>
  <c r="X154" i="14"/>
  <c r="W154" i="14"/>
  <c r="U154" i="14"/>
  <c r="P154" i="14"/>
  <c r="O154" i="14"/>
  <c r="N154" i="14"/>
  <c r="M154" i="14"/>
  <c r="L154" i="14"/>
  <c r="K154" i="14"/>
  <c r="J154" i="14"/>
  <c r="I154" i="14"/>
  <c r="H154" i="14"/>
  <c r="F154" i="14"/>
  <c r="E154" i="14"/>
  <c r="D154" i="14"/>
  <c r="A154" i="14"/>
  <c r="Y153" i="14"/>
  <c r="X153" i="14"/>
  <c r="W153" i="14"/>
  <c r="U153" i="14"/>
  <c r="P153" i="14"/>
  <c r="O153" i="14"/>
  <c r="N153" i="14"/>
  <c r="M153" i="14"/>
  <c r="L153" i="14"/>
  <c r="K153" i="14"/>
  <c r="J153" i="14"/>
  <c r="I153" i="14"/>
  <c r="H153" i="14"/>
  <c r="F153" i="14"/>
  <c r="E153" i="14"/>
  <c r="D153" i="14"/>
  <c r="A153" i="14"/>
  <c r="Y152" i="14"/>
  <c r="X152" i="14"/>
  <c r="W152" i="14"/>
  <c r="U152" i="14"/>
  <c r="P152" i="14"/>
  <c r="O152" i="14"/>
  <c r="N152" i="14"/>
  <c r="M152" i="14"/>
  <c r="L152" i="14"/>
  <c r="K152" i="14"/>
  <c r="J152" i="14"/>
  <c r="I152" i="14"/>
  <c r="H152" i="14"/>
  <c r="F152" i="14"/>
  <c r="E152" i="14"/>
  <c r="D152" i="14"/>
  <c r="A152" i="14"/>
  <c r="Y151" i="14"/>
  <c r="X151" i="14"/>
  <c r="W151" i="14"/>
  <c r="U151" i="14"/>
  <c r="P151" i="14"/>
  <c r="O151" i="14"/>
  <c r="N151" i="14"/>
  <c r="M151" i="14"/>
  <c r="L151" i="14"/>
  <c r="K151" i="14"/>
  <c r="J151" i="14"/>
  <c r="I151" i="14"/>
  <c r="H151" i="14"/>
  <c r="F151" i="14"/>
  <c r="E151" i="14"/>
  <c r="D151" i="14"/>
  <c r="A151" i="14"/>
  <c r="Y150" i="14"/>
  <c r="X150" i="14"/>
  <c r="W150" i="14"/>
  <c r="U150" i="14"/>
  <c r="P150" i="14"/>
  <c r="O150" i="14"/>
  <c r="N150" i="14"/>
  <c r="M150" i="14"/>
  <c r="L150" i="14"/>
  <c r="K150" i="14"/>
  <c r="J150" i="14"/>
  <c r="I150" i="14"/>
  <c r="H150" i="14"/>
  <c r="F150" i="14"/>
  <c r="E150" i="14"/>
  <c r="D150" i="14"/>
  <c r="A150" i="14"/>
  <c r="Y149" i="14"/>
  <c r="X149" i="14"/>
  <c r="W149" i="14"/>
  <c r="U149" i="14"/>
  <c r="P149" i="14"/>
  <c r="O149" i="14"/>
  <c r="N149" i="14"/>
  <c r="M149" i="14"/>
  <c r="L149" i="14"/>
  <c r="K149" i="14"/>
  <c r="J149" i="14"/>
  <c r="I149" i="14"/>
  <c r="H149" i="14"/>
  <c r="F149" i="14"/>
  <c r="E149" i="14"/>
  <c r="D149" i="14"/>
  <c r="A149" i="14"/>
  <c r="Y148" i="14"/>
  <c r="X148" i="14"/>
  <c r="W148" i="14"/>
  <c r="U148" i="14"/>
  <c r="P148" i="14"/>
  <c r="O148" i="14"/>
  <c r="N148" i="14"/>
  <c r="M148" i="14"/>
  <c r="L148" i="14"/>
  <c r="K148" i="14"/>
  <c r="J148" i="14"/>
  <c r="I148" i="14"/>
  <c r="H148" i="14"/>
  <c r="F148" i="14"/>
  <c r="E148" i="14"/>
  <c r="D148" i="14"/>
  <c r="A148" i="14"/>
  <c r="Y147" i="14"/>
  <c r="X147" i="14"/>
  <c r="W147" i="14"/>
  <c r="U147" i="14"/>
  <c r="P147" i="14"/>
  <c r="O147" i="14"/>
  <c r="N147" i="14"/>
  <c r="M147" i="14"/>
  <c r="L147" i="14"/>
  <c r="K147" i="14"/>
  <c r="J147" i="14"/>
  <c r="I147" i="14"/>
  <c r="H147" i="14"/>
  <c r="F147" i="14"/>
  <c r="E147" i="14"/>
  <c r="D147" i="14"/>
  <c r="A147" i="14"/>
  <c r="Y146" i="14"/>
  <c r="X146" i="14"/>
  <c r="W146" i="14"/>
  <c r="U146" i="14"/>
  <c r="P146" i="14"/>
  <c r="O146" i="14"/>
  <c r="N146" i="14"/>
  <c r="M146" i="14"/>
  <c r="L146" i="14"/>
  <c r="K146" i="14"/>
  <c r="J146" i="14"/>
  <c r="I146" i="14"/>
  <c r="H146" i="14"/>
  <c r="F146" i="14"/>
  <c r="E146" i="14"/>
  <c r="D146" i="14"/>
  <c r="A146" i="14"/>
  <c r="Y145" i="14"/>
  <c r="X145" i="14"/>
  <c r="W145" i="14"/>
  <c r="U145" i="14"/>
  <c r="P145" i="14"/>
  <c r="O145" i="14"/>
  <c r="N145" i="14"/>
  <c r="M145" i="14"/>
  <c r="L145" i="14"/>
  <c r="K145" i="14"/>
  <c r="J145" i="14"/>
  <c r="I145" i="14"/>
  <c r="H145" i="14"/>
  <c r="F145" i="14"/>
  <c r="E145" i="14"/>
  <c r="D145" i="14"/>
  <c r="A145" i="14"/>
  <c r="Y144" i="14"/>
  <c r="X144" i="14"/>
  <c r="W144" i="14"/>
  <c r="U144" i="14"/>
  <c r="P144" i="14"/>
  <c r="O144" i="14"/>
  <c r="N144" i="14"/>
  <c r="M144" i="14"/>
  <c r="L144" i="14"/>
  <c r="K144" i="14"/>
  <c r="J144" i="14"/>
  <c r="I144" i="14"/>
  <c r="H144" i="14"/>
  <c r="F144" i="14"/>
  <c r="E144" i="14"/>
  <c r="D144" i="14"/>
  <c r="A144" i="14"/>
  <c r="Y143" i="14"/>
  <c r="X143" i="14"/>
  <c r="W143" i="14"/>
  <c r="U143" i="14"/>
  <c r="P143" i="14"/>
  <c r="O143" i="14"/>
  <c r="N143" i="14"/>
  <c r="M143" i="14"/>
  <c r="L143" i="14"/>
  <c r="K143" i="14"/>
  <c r="J143" i="14"/>
  <c r="I143" i="14"/>
  <c r="H143" i="14"/>
  <c r="F143" i="14"/>
  <c r="E143" i="14"/>
  <c r="D143" i="14"/>
  <c r="A143" i="14"/>
  <c r="Y142" i="14"/>
  <c r="X142" i="14"/>
  <c r="W142" i="14"/>
  <c r="U142" i="14"/>
  <c r="P142" i="14"/>
  <c r="O142" i="14"/>
  <c r="N142" i="14"/>
  <c r="M142" i="14"/>
  <c r="L142" i="14"/>
  <c r="K142" i="14"/>
  <c r="J142" i="14"/>
  <c r="I142" i="14"/>
  <c r="H142" i="14"/>
  <c r="F142" i="14"/>
  <c r="E142" i="14"/>
  <c r="D142" i="14"/>
  <c r="A142" i="14"/>
  <c r="Y141" i="14"/>
  <c r="X141" i="14"/>
  <c r="W141" i="14"/>
  <c r="U141" i="14"/>
  <c r="P141" i="14"/>
  <c r="O141" i="14"/>
  <c r="N141" i="14"/>
  <c r="M141" i="14"/>
  <c r="L141" i="14"/>
  <c r="K141" i="14"/>
  <c r="J141" i="14"/>
  <c r="I141" i="14"/>
  <c r="H141" i="14"/>
  <c r="F141" i="14"/>
  <c r="E141" i="14"/>
  <c r="D141" i="14"/>
  <c r="A141" i="14"/>
  <c r="Y140" i="14"/>
  <c r="X140" i="14"/>
  <c r="W140" i="14"/>
  <c r="U140" i="14"/>
  <c r="P140" i="14"/>
  <c r="O140" i="14"/>
  <c r="N140" i="14"/>
  <c r="M140" i="14"/>
  <c r="L140" i="14"/>
  <c r="K140" i="14"/>
  <c r="J140" i="14"/>
  <c r="I140" i="14"/>
  <c r="H140" i="14"/>
  <c r="F140" i="14"/>
  <c r="E140" i="14"/>
  <c r="D140" i="14"/>
  <c r="A140" i="14"/>
  <c r="Y139" i="14"/>
  <c r="X139" i="14"/>
  <c r="W139" i="14"/>
  <c r="U139" i="14"/>
  <c r="P139" i="14"/>
  <c r="O139" i="14"/>
  <c r="N139" i="14"/>
  <c r="M139" i="14"/>
  <c r="L139" i="14"/>
  <c r="K139" i="14"/>
  <c r="J139" i="14"/>
  <c r="I139" i="14"/>
  <c r="H139" i="14"/>
  <c r="F139" i="14"/>
  <c r="E139" i="14"/>
  <c r="D139" i="14"/>
  <c r="A139" i="14"/>
  <c r="Y138" i="14"/>
  <c r="X138" i="14"/>
  <c r="W138" i="14"/>
  <c r="U138" i="14"/>
  <c r="P138" i="14"/>
  <c r="O138" i="14"/>
  <c r="N138" i="14"/>
  <c r="M138" i="14"/>
  <c r="L138" i="14"/>
  <c r="K138" i="14"/>
  <c r="J138" i="14"/>
  <c r="I138" i="14"/>
  <c r="H138" i="14"/>
  <c r="F138" i="14"/>
  <c r="E138" i="14"/>
  <c r="D138" i="14"/>
  <c r="A138" i="14"/>
  <c r="Y137" i="14"/>
  <c r="X137" i="14"/>
  <c r="W137" i="14"/>
  <c r="U137" i="14"/>
  <c r="P137" i="14"/>
  <c r="O137" i="14"/>
  <c r="N137" i="14"/>
  <c r="M137" i="14"/>
  <c r="L137" i="14"/>
  <c r="K137" i="14"/>
  <c r="J137" i="14"/>
  <c r="I137" i="14"/>
  <c r="H137" i="14"/>
  <c r="F137" i="14"/>
  <c r="E137" i="14"/>
  <c r="D137" i="14"/>
  <c r="A137" i="14"/>
  <c r="Y136" i="14"/>
  <c r="X136" i="14"/>
  <c r="W136" i="14"/>
  <c r="U136" i="14"/>
  <c r="P136" i="14"/>
  <c r="O136" i="14"/>
  <c r="N136" i="14"/>
  <c r="M136" i="14"/>
  <c r="L136" i="14"/>
  <c r="K136" i="14"/>
  <c r="J136" i="14"/>
  <c r="I136" i="14"/>
  <c r="H136" i="14"/>
  <c r="F136" i="14"/>
  <c r="E136" i="14"/>
  <c r="D136" i="14"/>
  <c r="A136" i="14"/>
  <c r="Y135" i="14"/>
  <c r="X135" i="14"/>
  <c r="W135" i="14"/>
  <c r="U135" i="14"/>
  <c r="P135" i="14"/>
  <c r="O135" i="14"/>
  <c r="N135" i="14"/>
  <c r="M135" i="14"/>
  <c r="L135" i="14"/>
  <c r="K135" i="14"/>
  <c r="J135" i="14"/>
  <c r="I135" i="14"/>
  <c r="H135" i="14"/>
  <c r="F135" i="14"/>
  <c r="E135" i="14"/>
  <c r="D135" i="14"/>
  <c r="A135" i="14"/>
  <c r="Y134" i="14"/>
  <c r="X134" i="14"/>
  <c r="W134" i="14"/>
  <c r="U134" i="14"/>
  <c r="P134" i="14"/>
  <c r="O134" i="14"/>
  <c r="N134" i="14"/>
  <c r="M134" i="14"/>
  <c r="L134" i="14"/>
  <c r="K134" i="14"/>
  <c r="J134" i="14"/>
  <c r="I134" i="14"/>
  <c r="H134" i="14"/>
  <c r="F134" i="14"/>
  <c r="E134" i="14"/>
  <c r="D134" i="14"/>
  <c r="A134" i="14"/>
  <c r="Y133" i="14"/>
  <c r="X133" i="14"/>
  <c r="W133" i="14"/>
  <c r="U133" i="14"/>
  <c r="P133" i="14"/>
  <c r="O133" i="14"/>
  <c r="N133" i="14"/>
  <c r="M133" i="14"/>
  <c r="L133" i="14"/>
  <c r="K133" i="14"/>
  <c r="J133" i="14"/>
  <c r="I133" i="14"/>
  <c r="H133" i="14"/>
  <c r="F133" i="14"/>
  <c r="E133" i="14"/>
  <c r="D133" i="14"/>
  <c r="A133" i="14"/>
  <c r="Y132" i="14"/>
  <c r="X132" i="14"/>
  <c r="W132" i="14"/>
  <c r="U132" i="14"/>
  <c r="P132" i="14"/>
  <c r="O132" i="14"/>
  <c r="N132" i="14"/>
  <c r="M132" i="14"/>
  <c r="L132" i="14"/>
  <c r="K132" i="14"/>
  <c r="J132" i="14"/>
  <c r="I132" i="14"/>
  <c r="H132" i="14"/>
  <c r="F132" i="14"/>
  <c r="E132" i="14"/>
  <c r="D132" i="14"/>
  <c r="A132" i="14"/>
  <c r="Y131" i="14"/>
  <c r="X131" i="14"/>
  <c r="W131" i="14"/>
  <c r="U131" i="14"/>
  <c r="P131" i="14"/>
  <c r="O131" i="14"/>
  <c r="N131" i="14"/>
  <c r="M131" i="14"/>
  <c r="L131" i="14"/>
  <c r="K131" i="14"/>
  <c r="J131" i="14"/>
  <c r="I131" i="14"/>
  <c r="H131" i="14"/>
  <c r="F131" i="14"/>
  <c r="E131" i="14"/>
  <c r="D131" i="14"/>
  <c r="A131" i="14"/>
  <c r="Y130" i="14"/>
  <c r="X130" i="14"/>
  <c r="W130" i="14"/>
  <c r="U130" i="14"/>
  <c r="P130" i="14"/>
  <c r="O130" i="14"/>
  <c r="N130" i="14"/>
  <c r="M130" i="14"/>
  <c r="L130" i="14"/>
  <c r="K130" i="14"/>
  <c r="J130" i="14"/>
  <c r="I130" i="14"/>
  <c r="H130" i="14"/>
  <c r="F130" i="14"/>
  <c r="E130" i="14"/>
  <c r="D130" i="14"/>
  <c r="A130" i="14"/>
  <c r="Y129" i="14"/>
  <c r="X129" i="14"/>
  <c r="W129" i="14"/>
  <c r="U129" i="14"/>
  <c r="P129" i="14"/>
  <c r="O129" i="14"/>
  <c r="N129" i="14"/>
  <c r="M129" i="14"/>
  <c r="L129" i="14"/>
  <c r="K129" i="14"/>
  <c r="J129" i="14"/>
  <c r="I129" i="14"/>
  <c r="H129" i="14"/>
  <c r="F129" i="14"/>
  <c r="E129" i="14"/>
  <c r="D129" i="14"/>
  <c r="A129" i="14"/>
  <c r="Y128" i="14"/>
  <c r="X128" i="14"/>
  <c r="W128" i="14"/>
  <c r="U128" i="14"/>
  <c r="P128" i="14"/>
  <c r="O128" i="14"/>
  <c r="N128" i="14"/>
  <c r="M128" i="14"/>
  <c r="L128" i="14"/>
  <c r="K128" i="14"/>
  <c r="J128" i="14"/>
  <c r="I128" i="14"/>
  <c r="H128" i="14"/>
  <c r="F128" i="14"/>
  <c r="E128" i="14"/>
  <c r="D128" i="14"/>
  <c r="A128" i="14"/>
  <c r="Y127" i="14"/>
  <c r="X127" i="14"/>
  <c r="W127" i="14"/>
  <c r="U127" i="14"/>
  <c r="P127" i="14"/>
  <c r="O127" i="14"/>
  <c r="N127" i="14"/>
  <c r="M127" i="14"/>
  <c r="L127" i="14"/>
  <c r="K127" i="14"/>
  <c r="J127" i="14"/>
  <c r="I127" i="14"/>
  <c r="H127" i="14"/>
  <c r="F127" i="14"/>
  <c r="E127" i="14"/>
  <c r="D127" i="14"/>
  <c r="A127" i="14"/>
  <c r="Y126" i="14"/>
  <c r="X126" i="14"/>
  <c r="W126" i="14"/>
  <c r="U126" i="14"/>
  <c r="P126" i="14"/>
  <c r="O126" i="14"/>
  <c r="N126" i="14"/>
  <c r="M126" i="14"/>
  <c r="L126" i="14"/>
  <c r="K126" i="14"/>
  <c r="J126" i="14"/>
  <c r="I126" i="14"/>
  <c r="H126" i="14"/>
  <c r="F126" i="14"/>
  <c r="E126" i="14"/>
  <c r="D126" i="14"/>
  <c r="A126" i="14"/>
  <c r="Y125" i="14"/>
  <c r="X125" i="14"/>
  <c r="W125" i="14"/>
  <c r="U125" i="14"/>
  <c r="P125" i="14"/>
  <c r="O125" i="14"/>
  <c r="N125" i="14"/>
  <c r="M125" i="14"/>
  <c r="L125" i="14"/>
  <c r="K125" i="14"/>
  <c r="J125" i="14"/>
  <c r="I125" i="14"/>
  <c r="H125" i="14"/>
  <c r="F125" i="14"/>
  <c r="E125" i="14"/>
  <c r="D125" i="14"/>
  <c r="A125" i="14"/>
  <c r="Y124" i="14"/>
  <c r="X124" i="14"/>
  <c r="W124" i="14"/>
  <c r="U124" i="14"/>
  <c r="P124" i="14"/>
  <c r="O124" i="14"/>
  <c r="N124" i="14"/>
  <c r="M124" i="14"/>
  <c r="L124" i="14"/>
  <c r="K124" i="14"/>
  <c r="J124" i="14"/>
  <c r="I124" i="14"/>
  <c r="H124" i="14"/>
  <c r="F124" i="14"/>
  <c r="E124" i="14"/>
  <c r="D124" i="14"/>
  <c r="A124" i="14"/>
  <c r="Y123" i="14"/>
  <c r="X123" i="14"/>
  <c r="W123" i="14"/>
  <c r="U123" i="14"/>
  <c r="P123" i="14"/>
  <c r="O123" i="14"/>
  <c r="N123" i="14"/>
  <c r="M123" i="14"/>
  <c r="L123" i="14"/>
  <c r="K123" i="14"/>
  <c r="J123" i="14"/>
  <c r="I123" i="14"/>
  <c r="H123" i="14"/>
  <c r="F123" i="14"/>
  <c r="E123" i="14"/>
  <c r="D123" i="14"/>
  <c r="A123" i="14"/>
  <c r="Y122" i="14"/>
  <c r="X122" i="14"/>
  <c r="W122" i="14"/>
  <c r="U122" i="14"/>
  <c r="P122" i="14"/>
  <c r="O122" i="14"/>
  <c r="N122" i="14"/>
  <c r="M122" i="14"/>
  <c r="L122" i="14"/>
  <c r="K122" i="14"/>
  <c r="J122" i="14"/>
  <c r="I122" i="14"/>
  <c r="H122" i="14"/>
  <c r="F122" i="14"/>
  <c r="E122" i="14"/>
  <c r="D122" i="14"/>
  <c r="A122" i="14"/>
  <c r="Y121" i="14"/>
  <c r="X121" i="14"/>
  <c r="W121" i="14"/>
  <c r="U121" i="14"/>
  <c r="P121" i="14"/>
  <c r="O121" i="14"/>
  <c r="N121" i="14"/>
  <c r="M121" i="14"/>
  <c r="L121" i="14"/>
  <c r="K121" i="14"/>
  <c r="J121" i="14"/>
  <c r="I121" i="14"/>
  <c r="H121" i="14"/>
  <c r="F121" i="14"/>
  <c r="E121" i="14"/>
  <c r="D121" i="14"/>
  <c r="A121" i="14"/>
  <c r="Y120" i="14"/>
  <c r="X120" i="14"/>
  <c r="W120" i="14"/>
  <c r="U120" i="14"/>
  <c r="P120" i="14"/>
  <c r="O120" i="14"/>
  <c r="N120" i="14"/>
  <c r="M120" i="14"/>
  <c r="L120" i="14"/>
  <c r="K120" i="14"/>
  <c r="J120" i="14"/>
  <c r="I120" i="14"/>
  <c r="H120" i="14"/>
  <c r="F120" i="14"/>
  <c r="E120" i="14"/>
  <c r="D120" i="14"/>
  <c r="A120" i="14"/>
  <c r="Y119" i="14"/>
  <c r="X119" i="14"/>
  <c r="W119" i="14"/>
  <c r="U119" i="14"/>
  <c r="P119" i="14"/>
  <c r="O119" i="14"/>
  <c r="N119" i="14"/>
  <c r="M119" i="14"/>
  <c r="L119" i="14"/>
  <c r="K119" i="14"/>
  <c r="J119" i="14"/>
  <c r="I119" i="14"/>
  <c r="H119" i="14"/>
  <c r="F119" i="14"/>
  <c r="E119" i="14"/>
  <c r="D119" i="14"/>
  <c r="A119" i="14"/>
  <c r="Y118" i="14"/>
  <c r="X118" i="14"/>
  <c r="W118" i="14"/>
  <c r="U118" i="14"/>
  <c r="P118" i="14"/>
  <c r="O118" i="14"/>
  <c r="N118" i="14"/>
  <c r="M118" i="14"/>
  <c r="L118" i="14"/>
  <c r="K118" i="14"/>
  <c r="J118" i="14"/>
  <c r="I118" i="14"/>
  <c r="H118" i="14"/>
  <c r="F118" i="14"/>
  <c r="E118" i="14"/>
  <c r="D118" i="14"/>
  <c r="A118" i="14"/>
  <c r="Y117" i="14"/>
  <c r="X117" i="14"/>
  <c r="W117" i="14"/>
  <c r="U117" i="14"/>
  <c r="P117" i="14"/>
  <c r="O117" i="14"/>
  <c r="N117" i="14"/>
  <c r="M117" i="14"/>
  <c r="L117" i="14"/>
  <c r="K117" i="14"/>
  <c r="J117" i="14"/>
  <c r="I117" i="14"/>
  <c r="H117" i="14"/>
  <c r="F117" i="14"/>
  <c r="E117" i="14"/>
  <c r="D117" i="14"/>
  <c r="A117" i="14"/>
  <c r="Y116" i="14"/>
  <c r="X116" i="14"/>
  <c r="W116" i="14"/>
  <c r="U116" i="14"/>
  <c r="P116" i="14"/>
  <c r="O116" i="14"/>
  <c r="N116" i="14"/>
  <c r="M116" i="14"/>
  <c r="L116" i="14"/>
  <c r="K116" i="14"/>
  <c r="J116" i="14"/>
  <c r="I116" i="14"/>
  <c r="H116" i="14"/>
  <c r="F116" i="14"/>
  <c r="E116" i="14"/>
  <c r="D116" i="14"/>
  <c r="A116" i="14"/>
  <c r="Y115" i="14"/>
  <c r="X115" i="14"/>
  <c r="W115" i="14"/>
  <c r="U115" i="14"/>
  <c r="P115" i="14"/>
  <c r="O115" i="14"/>
  <c r="N115" i="14"/>
  <c r="M115" i="14"/>
  <c r="L115" i="14"/>
  <c r="K115" i="14"/>
  <c r="J115" i="14"/>
  <c r="I115" i="14"/>
  <c r="H115" i="14"/>
  <c r="F115" i="14"/>
  <c r="E115" i="14"/>
  <c r="D115" i="14"/>
  <c r="A115" i="14"/>
  <c r="Y114" i="14"/>
  <c r="X114" i="14"/>
  <c r="W114" i="14"/>
  <c r="U114" i="14"/>
  <c r="P114" i="14"/>
  <c r="O114" i="14"/>
  <c r="N114" i="14"/>
  <c r="M114" i="14"/>
  <c r="L114" i="14"/>
  <c r="K114" i="14"/>
  <c r="J114" i="14"/>
  <c r="I114" i="14"/>
  <c r="H114" i="14"/>
  <c r="F114" i="14"/>
  <c r="E114" i="14"/>
  <c r="D114" i="14"/>
  <c r="A114" i="14"/>
  <c r="Y113" i="14"/>
  <c r="X113" i="14"/>
  <c r="W113" i="14"/>
  <c r="U113" i="14"/>
  <c r="P113" i="14"/>
  <c r="O113" i="14"/>
  <c r="N113" i="14"/>
  <c r="M113" i="14"/>
  <c r="L113" i="14"/>
  <c r="K113" i="14"/>
  <c r="J113" i="14"/>
  <c r="I113" i="14"/>
  <c r="H113" i="14"/>
  <c r="F113" i="14"/>
  <c r="E113" i="14"/>
  <c r="D113" i="14"/>
  <c r="A113" i="14"/>
  <c r="Y112" i="14"/>
  <c r="X112" i="14"/>
  <c r="W112" i="14"/>
  <c r="U112" i="14"/>
  <c r="P112" i="14"/>
  <c r="O112" i="14"/>
  <c r="N112" i="14"/>
  <c r="M112" i="14"/>
  <c r="L112" i="14"/>
  <c r="K112" i="14"/>
  <c r="J112" i="14"/>
  <c r="I112" i="14"/>
  <c r="H112" i="14"/>
  <c r="F112" i="14"/>
  <c r="E112" i="14"/>
  <c r="D112" i="14"/>
  <c r="A112" i="14"/>
  <c r="Y111" i="14"/>
  <c r="X111" i="14"/>
  <c r="W111" i="14"/>
  <c r="U111" i="14"/>
  <c r="P111" i="14"/>
  <c r="O111" i="14"/>
  <c r="N111" i="14"/>
  <c r="M111" i="14"/>
  <c r="L111" i="14"/>
  <c r="K111" i="14"/>
  <c r="J111" i="14"/>
  <c r="I111" i="14"/>
  <c r="H111" i="14"/>
  <c r="F111" i="14"/>
  <c r="E111" i="14"/>
  <c r="D111" i="14"/>
  <c r="A111" i="14"/>
  <c r="Y110" i="14"/>
  <c r="X110" i="14"/>
  <c r="W110" i="14"/>
  <c r="U110" i="14"/>
  <c r="P110" i="14"/>
  <c r="O110" i="14"/>
  <c r="N110" i="14"/>
  <c r="M110" i="14"/>
  <c r="L110" i="14"/>
  <c r="K110" i="14"/>
  <c r="J110" i="14"/>
  <c r="I110" i="14"/>
  <c r="H110" i="14"/>
  <c r="F110" i="14"/>
  <c r="E110" i="14"/>
  <c r="D110" i="14"/>
  <c r="A110" i="14"/>
  <c r="Y109" i="14"/>
  <c r="X109" i="14"/>
  <c r="W109" i="14"/>
  <c r="U109" i="14"/>
  <c r="P109" i="14"/>
  <c r="O109" i="14"/>
  <c r="N109" i="14"/>
  <c r="M109" i="14"/>
  <c r="L109" i="14"/>
  <c r="K109" i="14"/>
  <c r="J109" i="14"/>
  <c r="I109" i="14"/>
  <c r="H109" i="14"/>
  <c r="F109" i="14"/>
  <c r="E109" i="14"/>
  <c r="D109" i="14"/>
  <c r="A109" i="14"/>
  <c r="Y108" i="14"/>
  <c r="X108" i="14"/>
  <c r="W108" i="14"/>
  <c r="U108" i="14"/>
  <c r="P108" i="14"/>
  <c r="O108" i="14"/>
  <c r="N108" i="14"/>
  <c r="M108" i="14"/>
  <c r="L108" i="14"/>
  <c r="K108" i="14"/>
  <c r="J108" i="14"/>
  <c r="I108" i="14"/>
  <c r="H108" i="14"/>
  <c r="F108" i="14"/>
  <c r="E108" i="14"/>
  <c r="D108" i="14"/>
  <c r="A108" i="14"/>
  <c r="Y107" i="14"/>
  <c r="X107" i="14"/>
  <c r="W107" i="14"/>
  <c r="U107" i="14"/>
  <c r="P107" i="14"/>
  <c r="O107" i="14"/>
  <c r="N107" i="14"/>
  <c r="M107" i="14"/>
  <c r="L107" i="14"/>
  <c r="K107" i="14"/>
  <c r="J107" i="14"/>
  <c r="I107" i="14"/>
  <c r="H107" i="14"/>
  <c r="F107" i="14"/>
  <c r="E107" i="14"/>
  <c r="D107" i="14"/>
  <c r="A107" i="14"/>
  <c r="Y106" i="14"/>
  <c r="X106" i="14"/>
  <c r="W106" i="14"/>
  <c r="U106" i="14"/>
  <c r="P106" i="14"/>
  <c r="O106" i="14"/>
  <c r="N106" i="14"/>
  <c r="M106" i="14"/>
  <c r="L106" i="14"/>
  <c r="K106" i="14"/>
  <c r="J106" i="14"/>
  <c r="I106" i="14"/>
  <c r="H106" i="14"/>
  <c r="F106" i="14"/>
  <c r="E106" i="14"/>
  <c r="D106" i="14"/>
  <c r="A106" i="14"/>
  <c r="Y105" i="14"/>
  <c r="X105" i="14"/>
  <c r="W105" i="14"/>
  <c r="U105" i="14"/>
  <c r="P105" i="14"/>
  <c r="O105" i="14"/>
  <c r="N105" i="14"/>
  <c r="M105" i="14"/>
  <c r="L105" i="14"/>
  <c r="K105" i="14"/>
  <c r="J105" i="14"/>
  <c r="I105" i="14"/>
  <c r="H105" i="14"/>
  <c r="F105" i="14"/>
  <c r="E105" i="14"/>
  <c r="D105" i="14"/>
  <c r="A105" i="14"/>
  <c r="Y104" i="14"/>
  <c r="X104" i="14"/>
  <c r="W104" i="14"/>
  <c r="U104" i="14"/>
  <c r="P104" i="14"/>
  <c r="O104" i="14"/>
  <c r="N104" i="14"/>
  <c r="M104" i="14"/>
  <c r="L104" i="14"/>
  <c r="K104" i="14"/>
  <c r="J104" i="14"/>
  <c r="I104" i="14"/>
  <c r="H104" i="14"/>
  <c r="F104" i="14"/>
  <c r="E104" i="14"/>
  <c r="D104" i="14"/>
  <c r="A104" i="14"/>
  <c r="Y103" i="14"/>
  <c r="X103" i="14"/>
  <c r="W103" i="14"/>
  <c r="U103" i="14"/>
  <c r="P103" i="14"/>
  <c r="O103" i="14"/>
  <c r="N103" i="14"/>
  <c r="M103" i="14"/>
  <c r="L103" i="14"/>
  <c r="K103" i="14"/>
  <c r="J103" i="14"/>
  <c r="I103" i="14"/>
  <c r="H103" i="14"/>
  <c r="F103" i="14"/>
  <c r="E103" i="14"/>
  <c r="D103" i="14"/>
  <c r="A103" i="14"/>
  <c r="Y102" i="14"/>
  <c r="X102" i="14"/>
  <c r="W102" i="14"/>
  <c r="U102" i="14"/>
  <c r="P102" i="14"/>
  <c r="O102" i="14"/>
  <c r="N102" i="14"/>
  <c r="M102" i="14"/>
  <c r="L102" i="14"/>
  <c r="K102" i="14"/>
  <c r="J102" i="14"/>
  <c r="I102" i="14"/>
  <c r="H102" i="14"/>
  <c r="F102" i="14"/>
  <c r="E102" i="14"/>
  <c r="D102" i="14"/>
  <c r="A102" i="14"/>
  <c r="Y101" i="14"/>
  <c r="X101" i="14"/>
  <c r="W101" i="14"/>
  <c r="U101" i="14"/>
  <c r="P101" i="14"/>
  <c r="O101" i="14"/>
  <c r="N101" i="14"/>
  <c r="M101" i="14"/>
  <c r="L101" i="14"/>
  <c r="K101" i="14"/>
  <c r="J101" i="14"/>
  <c r="I101" i="14"/>
  <c r="H101" i="14"/>
  <c r="F101" i="14"/>
  <c r="E101" i="14"/>
  <c r="D101" i="14"/>
  <c r="A101" i="14"/>
  <c r="Y100" i="14"/>
  <c r="X100" i="14"/>
  <c r="W100" i="14"/>
  <c r="U100" i="14"/>
  <c r="P100" i="14"/>
  <c r="O100" i="14"/>
  <c r="N100" i="14"/>
  <c r="M100" i="14"/>
  <c r="L100" i="14"/>
  <c r="K100" i="14"/>
  <c r="J100" i="14"/>
  <c r="I100" i="14"/>
  <c r="H100" i="14"/>
  <c r="F100" i="14"/>
  <c r="E100" i="14"/>
  <c r="D100" i="14"/>
  <c r="A100" i="14"/>
  <c r="Y99" i="14"/>
  <c r="X99" i="14"/>
  <c r="W99" i="14"/>
  <c r="U99" i="14"/>
  <c r="P99" i="14"/>
  <c r="O99" i="14"/>
  <c r="N99" i="14"/>
  <c r="M99" i="14"/>
  <c r="L99" i="14"/>
  <c r="K99" i="14"/>
  <c r="J99" i="14"/>
  <c r="I99" i="14"/>
  <c r="H99" i="14"/>
  <c r="F99" i="14"/>
  <c r="E99" i="14"/>
  <c r="D99" i="14"/>
  <c r="A99" i="14"/>
  <c r="Y98" i="14"/>
  <c r="X98" i="14"/>
  <c r="W98" i="14"/>
  <c r="U98" i="14"/>
  <c r="P98" i="14"/>
  <c r="O98" i="14"/>
  <c r="N98" i="14"/>
  <c r="M98" i="14"/>
  <c r="L98" i="14"/>
  <c r="K98" i="14"/>
  <c r="J98" i="14"/>
  <c r="I98" i="14"/>
  <c r="H98" i="14"/>
  <c r="F98" i="14"/>
  <c r="E98" i="14"/>
  <c r="D98" i="14"/>
  <c r="A98" i="14"/>
  <c r="Y97" i="14"/>
  <c r="X97" i="14"/>
  <c r="W97" i="14"/>
  <c r="U97" i="14"/>
  <c r="P97" i="14"/>
  <c r="O97" i="14"/>
  <c r="N97" i="14"/>
  <c r="M97" i="14"/>
  <c r="L97" i="14"/>
  <c r="K97" i="14"/>
  <c r="J97" i="14"/>
  <c r="I97" i="14"/>
  <c r="H97" i="14"/>
  <c r="F97" i="14"/>
  <c r="E97" i="14"/>
  <c r="D97" i="14"/>
  <c r="A97" i="14"/>
  <c r="Y96" i="14"/>
  <c r="X96" i="14"/>
  <c r="W96" i="14"/>
  <c r="U96" i="14"/>
  <c r="P96" i="14"/>
  <c r="O96" i="14"/>
  <c r="N96" i="14"/>
  <c r="M96" i="14"/>
  <c r="L96" i="14"/>
  <c r="K96" i="14"/>
  <c r="J96" i="14"/>
  <c r="I96" i="14"/>
  <c r="H96" i="14"/>
  <c r="F96" i="14"/>
  <c r="E96" i="14"/>
  <c r="D96" i="14"/>
  <c r="A96" i="14"/>
  <c r="Y95" i="14"/>
  <c r="X95" i="14"/>
  <c r="W95" i="14"/>
  <c r="U95" i="14"/>
  <c r="P95" i="14"/>
  <c r="O95" i="14"/>
  <c r="N95" i="14"/>
  <c r="M95" i="14"/>
  <c r="L95" i="14"/>
  <c r="K95" i="14"/>
  <c r="J95" i="14"/>
  <c r="I95" i="14"/>
  <c r="H95" i="14"/>
  <c r="F95" i="14"/>
  <c r="E95" i="14"/>
  <c r="D95" i="14"/>
  <c r="A95" i="14"/>
  <c r="Y94" i="14"/>
  <c r="X94" i="14"/>
  <c r="W94" i="14"/>
  <c r="U94" i="14"/>
  <c r="P94" i="14"/>
  <c r="O94" i="14"/>
  <c r="N94" i="14"/>
  <c r="M94" i="14"/>
  <c r="L94" i="14"/>
  <c r="K94" i="14"/>
  <c r="J94" i="14"/>
  <c r="I94" i="14"/>
  <c r="H94" i="14"/>
  <c r="F94" i="14"/>
  <c r="E94" i="14"/>
  <c r="D94" i="14"/>
  <c r="A94" i="14"/>
  <c r="Y93" i="14"/>
  <c r="X93" i="14"/>
  <c r="W93" i="14"/>
  <c r="U93" i="14"/>
  <c r="P93" i="14"/>
  <c r="O93" i="14"/>
  <c r="N93" i="14"/>
  <c r="M93" i="14"/>
  <c r="L93" i="14"/>
  <c r="K93" i="14"/>
  <c r="J93" i="14"/>
  <c r="I93" i="14"/>
  <c r="H93" i="14"/>
  <c r="F93" i="14"/>
  <c r="E93" i="14"/>
  <c r="D93" i="14"/>
  <c r="A93" i="14"/>
  <c r="Y92" i="14"/>
  <c r="X92" i="14"/>
  <c r="W92" i="14"/>
  <c r="U92" i="14"/>
  <c r="P92" i="14"/>
  <c r="O92" i="14"/>
  <c r="N92" i="14"/>
  <c r="M92" i="14"/>
  <c r="L92" i="14"/>
  <c r="K92" i="14"/>
  <c r="J92" i="14"/>
  <c r="I92" i="14"/>
  <c r="H92" i="14"/>
  <c r="F92" i="14"/>
  <c r="E92" i="14"/>
  <c r="D92" i="14"/>
  <c r="A92" i="14"/>
  <c r="Y91" i="14"/>
  <c r="X91" i="14"/>
  <c r="W91" i="14"/>
  <c r="U91" i="14"/>
  <c r="P91" i="14"/>
  <c r="O91" i="14"/>
  <c r="N91" i="14"/>
  <c r="M91" i="14"/>
  <c r="L91" i="14"/>
  <c r="K91" i="14"/>
  <c r="J91" i="14"/>
  <c r="I91" i="14"/>
  <c r="H91" i="14"/>
  <c r="F91" i="14"/>
  <c r="E91" i="14"/>
  <c r="D91" i="14"/>
  <c r="A91" i="14"/>
  <c r="Y90" i="14"/>
  <c r="X90" i="14"/>
  <c r="W90" i="14"/>
  <c r="U90" i="14"/>
  <c r="P90" i="14"/>
  <c r="O90" i="14"/>
  <c r="N90" i="14"/>
  <c r="M90" i="14"/>
  <c r="L90" i="14"/>
  <c r="K90" i="14"/>
  <c r="J90" i="14"/>
  <c r="I90" i="14"/>
  <c r="H90" i="14"/>
  <c r="F90" i="14"/>
  <c r="E90" i="14"/>
  <c r="D90" i="14"/>
  <c r="A90" i="14"/>
  <c r="Y89" i="14"/>
  <c r="X89" i="14"/>
  <c r="W89" i="14"/>
  <c r="U89" i="14"/>
  <c r="P89" i="14"/>
  <c r="O89" i="14"/>
  <c r="N89" i="14"/>
  <c r="M89" i="14"/>
  <c r="L89" i="14"/>
  <c r="K89" i="14"/>
  <c r="J89" i="14"/>
  <c r="I89" i="14"/>
  <c r="H89" i="14"/>
  <c r="F89" i="14"/>
  <c r="E89" i="14"/>
  <c r="D89" i="14"/>
  <c r="A89" i="14"/>
  <c r="Y88" i="14"/>
  <c r="X88" i="14"/>
  <c r="W88" i="14"/>
  <c r="U88" i="14"/>
  <c r="P88" i="14"/>
  <c r="O88" i="14"/>
  <c r="N88" i="14"/>
  <c r="M88" i="14"/>
  <c r="L88" i="14"/>
  <c r="K88" i="14"/>
  <c r="J88" i="14"/>
  <c r="I88" i="14"/>
  <c r="H88" i="14"/>
  <c r="F88" i="14"/>
  <c r="E88" i="14"/>
  <c r="D88" i="14"/>
  <c r="A88" i="14"/>
  <c r="Y87" i="14"/>
  <c r="X87" i="14"/>
  <c r="W87" i="14"/>
  <c r="U87" i="14"/>
  <c r="P87" i="14"/>
  <c r="O87" i="14"/>
  <c r="N87" i="14"/>
  <c r="M87" i="14"/>
  <c r="L87" i="14"/>
  <c r="K87" i="14"/>
  <c r="J87" i="14"/>
  <c r="I87" i="14"/>
  <c r="H87" i="14"/>
  <c r="F87" i="14"/>
  <c r="E87" i="14"/>
  <c r="D87" i="14"/>
  <c r="A87" i="14"/>
  <c r="Y86" i="14"/>
  <c r="X86" i="14"/>
  <c r="W86" i="14"/>
  <c r="U86" i="14"/>
  <c r="P86" i="14"/>
  <c r="O86" i="14"/>
  <c r="N86" i="14"/>
  <c r="M86" i="14"/>
  <c r="L86" i="14"/>
  <c r="K86" i="14"/>
  <c r="J86" i="14"/>
  <c r="I86" i="14"/>
  <c r="H86" i="14"/>
  <c r="F86" i="14"/>
  <c r="E86" i="14"/>
  <c r="D86" i="14"/>
  <c r="A86" i="14"/>
  <c r="Y85" i="14"/>
  <c r="X85" i="14"/>
  <c r="W85" i="14"/>
  <c r="U85" i="14"/>
  <c r="P85" i="14"/>
  <c r="O85" i="14"/>
  <c r="N85" i="14"/>
  <c r="M85" i="14"/>
  <c r="L85" i="14"/>
  <c r="K85" i="14"/>
  <c r="J85" i="14"/>
  <c r="I85" i="14"/>
  <c r="H85" i="14"/>
  <c r="F85" i="14"/>
  <c r="E85" i="14"/>
  <c r="D85" i="14"/>
  <c r="A85" i="14"/>
  <c r="Y84" i="14"/>
  <c r="X84" i="14"/>
  <c r="W84" i="14"/>
  <c r="U84" i="14"/>
  <c r="P84" i="14"/>
  <c r="O84" i="14"/>
  <c r="N84" i="14"/>
  <c r="M84" i="14"/>
  <c r="L84" i="14"/>
  <c r="K84" i="14"/>
  <c r="J84" i="14"/>
  <c r="I84" i="14"/>
  <c r="H84" i="14"/>
  <c r="F84" i="14"/>
  <c r="E84" i="14"/>
  <c r="D84" i="14"/>
  <c r="A84" i="14"/>
  <c r="Y83" i="14"/>
  <c r="X83" i="14"/>
  <c r="W83" i="14"/>
  <c r="U83" i="14"/>
  <c r="P83" i="14"/>
  <c r="O83" i="14"/>
  <c r="N83" i="14"/>
  <c r="M83" i="14"/>
  <c r="L83" i="14"/>
  <c r="K83" i="14"/>
  <c r="J83" i="14"/>
  <c r="I83" i="14"/>
  <c r="H83" i="14"/>
  <c r="F83" i="14"/>
  <c r="E83" i="14"/>
  <c r="D83" i="14"/>
  <c r="A83" i="14"/>
  <c r="Y82" i="14"/>
  <c r="X82" i="14"/>
  <c r="W82" i="14"/>
  <c r="U82" i="14"/>
  <c r="P82" i="14"/>
  <c r="O82" i="14"/>
  <c r="N82" i="14"/>
  <c r="M82" i="14"/>
  <c r="L82" i="14"/>
  <c r="K82" i="14"/>
  <c r="J82" i="14"/>
  <c r="I82" i="14"/>
  <c r="H82" i="14"/>
  <c r="F82" i="14"/>
  <c r="E82" i="14"/>
  <c r="D82" i="14"/>
  <c r="A82" i="14"/>
  <c r="Y81" i="14"/>
  <c r="X81" i="14"/>
  <c r="W81" i="14"/>
  <c r="U81" i="14"/>
  <c r="P81" i="14"/>
  <c r="O81" i="14"/>
  <c r="N81" i="14"/>
  <c r="M81" i="14"/>
  <c r="L81" i="14"/>
  <c r="K81" i="14"/>
  <c r="J81" i="14"/>
  <c r="I81" i="14"/>
  <c r="H81" i="14"/>
  <c r="F81" i="14"/>
  <c r="E81" i="14"/>
  <c r="D81" i="14"/>
  <c r="A81" i="14"/>
  <c r="Y80" i="14"/>
  <c r="X80" i="14"/>
  <c r="W80" i="14"/>
  <c r="U80" i="14"/>
  <c r="P80" i="14"/>
  <c r="O80" i="14"/>
  <c r="N80" i="14"/>
  <c r="M80" i="14"/>
  <c r="L80" i="14"/>
  <c r="K80" i="14"/>
  <c r="J80" i="14"/>
  <c r="I80" i="14"/>
  <c r="H80" i="14"/>
  <c r="F80" i="14"/>
  <c r="E80" i="14"/>
  <c r="D80" i="14"/>
  <c r="A80" i="14"/>
  <c r="Y79" i="14"/>
  <c r="X79" i="14"/>
  <c r="W79" i="14"/>
  <c r="U79" i="14"/>
  <c r="P79" i="14"/>
  <c r="O79" i="14"/>
  <c r="N79" i="14"/>
  <c r="M79" i="14"/>
  <c r="L79" i="14"/>
  <c r="K79" i="14"/>
  <c r="J79" i="14"/>
  <c r="I79" i="14"/>
  <c r="H79" i="14"/>
  <c r="F79" i="14"/>
  <c r="E79" i="14"/>
  <c r="D79" i="14"/>
  <c r="A79" i="14"/>
  <c r="Y78" i="14"/>
  <c r="X78" i="14"/>
  <c r="W78" i="14"/>
  <c r="U78" i="14"/>
  <c r="P78" i="14"/>
  <c r="O78" i="14"/>
  <c r="N78" i="14"/>
  <c r="M78" i="14"/>
  <c r="L78" i="14"/>
  <c r="K78" i="14"/>
  <c r="J78" i="14"/>
  <c r="I78" i="14"/>
  <c r="H78" i="14"/>
  <c r="F78" i="14"/>
  <c r="E78" i="14"/>
  <c r="D78" i="14"/>
  <c r="A78" i="14"/>
  <c r="Y77" i="14"/>
  <c r="X77" i="14"/>
  <c r="W77" i="14"/>
  <c r="U77" i="14"/>
  <c r="P77" i="14"/>
  <c r="O77" i="14"/>
  <c r="N77" i="14"/>
  <c r="M77" i="14"/>
  <c r="L77" i="14"/>
  <c r="K77" i="14"/>
  <c r="J77" i="14"/>
  <c r="I77" i="14"/>
  <c r="H77" i="14"/>
  <c r="F77" i="14"/>
  <c r="E77" i="14"/>
  <c r="D77" i="14"/>
  <c r="A77" i="14"/>
  <c r="Y76" i="14"/>
  <c r="X76" i="14"/>
  <c r="W76" i="14"/>
  <c r="U76" i="14"/>
  <c r="P76" i="14"/>
  <c r="O76" i="14"/>
  <c r="N76" i="14"/>
  <c r="M76" i="14"/>
  <c r="L76" i="14"/>
  <c r="K76" i="14"/>
  <c r="J76" i="14"/>
  <c r="I76" i="14"/>
  <c r="H76" i="14"/>
  <c r="F76" i="14"/>
  <c r="E76" i="14"/>
  <c r="D76" i="14"/>
  <c r="A76" i="14"/>
  <c r="Y75" i="14"/>
  <c r="X75" i="14"/>
  <c r="W75" i="14"/>
  <c r="U75" i="14"/>
  <c r="P75" i="14"/>
  <c r="O75" i="14"/>
  <c r="N75" i="14"/>
  <c r="M75" i="14"/>
  <c r="L75" i="14"/>
  <c r="K75" i="14"/>
  <c r="J75" i="14"/>
  <c r="I75" i="14"/>
  <c r="H75" i="14"/>
  <c r="F75" i="14"/>
  <c r="E75" i="14"/>
  <c r="D75" i="14"/>
  <c r="A75" i="14"/>
  <c r="C5" i="12"/>
  <c r="D35" i="11"/>
  <c r="D31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L292" i="3"/>
  <c r="K292" i="3"/>
  <c r="F292" i="3"/>
  <c r="E292" i="3"/>
  <c r="D292" i="3"/>
  <c r="C292" i="3"/>
  <c r="B292" i="3"/>
  <c r="A292" i="3"/>
  <c r="L291" i="3"/>
  <c r="K291" i="3"/>
  <c r="F291" i="3"/>
  <c r="E291" i="3"/>
  <c r="D291" i="3"/>
  <c r="C291" i="3"/>
  <c r="B291" i="3"/>
  <c r="A291" i="3"/>
  <c r="L290" i="3"/>
  <c r="K290" i="3"/>
  <c r="F290" i="3"/>
  <c r="E290" i="3"/>
  <c r="D290" i="3"/>
  <c r="C290" i="3"/>
  <c r="B290" i="3"/>
  <c r="A290" i="3"/>
  <c r="L289" i="3"/>
  <c r="K289" i="3"/>
  <c r="F289" i="3"/>
  <c r="E289" i="3"/>
  <c r="D289" i="3"/>
  <c r="C289" i="3"/>
  <c r="B289" i="3"/>
  <c r="A289" i="3"/>
  <c r="L288" i="3"/>
  <c r="K288" i="3"/>
  <c r="F288" i="3"/>
  <c r="E288" i="3"/>
  <c r="D288" i="3"/>
  <c r="C288" i="3"/>
  <c r="B288" i="3"/>
  <c r="A288" i="3"/>
  <c r="L287" i="3"/>
  <c r="K287" i="3"/>
  <c r="F287" i="3"/>
  <c r="E287" i="3"/>
  <c r="D287" i="3"/>
  <c r="C287" i="3"/>
  <c r="B287" i="3"/>
  <c r="A287" i="3"/>
  <c r="L286" i="3"/>
  <c r="K286" i="3"/>
  <c r="F286" i="3"/>
  <c r="E286" i="3"/>
  <c r="D286" i="3"/>
  <c r="C286" i="3"/>
  <c r="B286" i="3"/>
  <c r="A286" i="3"/>
  <c r="L285" i="3"/>
  <c r="K285" i="3"/>
  <c r="F285" i="3"/>
  <c r="E285" i="3"/>
  <c r="D285" i="3"/>
  <c r="C285" i="3"/>
  <c r="B285" i="3"/>
  <c r="A285" i="3"/>
  <c r="L284" i="3"/>
  <c r="K284" i="3"/>
  <c r="F284" i="3"/>
  <c r="E284" i="3"/>
  <c r="D284" i="3"/>
  <c r="C284" i="3"/>
  <c r="B284" i="3"/>
  <c r="A284" i="3"/>
  <c r="L283" i="3"/>
  <c r="K283" i="3"/>
  <c r="F283" i="3"/>
  <c r="E283" i="3"/>
  <c r="D283" i="3"/>
  <c r="C283" i="3"/>
  <c r="B283" i="3"/>
  <c r="A283" i="3"/>
  <c r="L282" i="3"/>
  <c r="K282" i="3"/>
  <c r="F282" i="3"/>
  <c r="E282" i="3"/>
  <c r="D282" i="3"/>
  <c r="C282" i="3"/>
  <c r="B282" i="3"/>
  <c r="A282" i="3"/>
  <c r="L281" i="3"/>
  <c r="K281" i="3"/>
  <c r="F281" i="3"/>
  <c r="E281" i="3"/>
  <c r="D281" i="3"/>
  <c r="C281" i="3"/>
  <c r="B281" i="3"/>
  <c r="A281" i="3"/>
  <c r="L280" i="3"/>
  <c r="K280" i="3"/>
  <c r="F280" i="3"/>
  <c r="E280" i="3"/>
  <c r="D280" i="3"/>
  <c r="C280" i="3"/>
  <c r="B280" i="3"/>
  <c r="A280" i="3"/>
  <c r="L279" i="3"/>
  <c r="K279" i="3"/>
  <c r="F279" i="3"/>
  <c r="E279" i="3"/>
  <c r="D279" i="3"/>
  <c r="C279" i="3"/>
  <c r="B279" i="3"/>
  <c r="A279" i="3"/>
  <c r="L278" i="3"/>
  <c r="K278" i="3"/>
  <c r="F278" i="3"/>
  <c r="E278" i="3"/>
  <c r="D278" i="3"/>
  <c r="C278" i="3"/>
  <c r="B278" i="3"/>
  <c r="A278" i="3"/>
  <c r="L277" i="3"/>
  <c r="K277" i="3"/>
  <c r="F277" i="3"/>
  <c r="E277" i="3"/>
  <c r="D277" i="3"/>
  <c r="C277" i="3"/>
  <c r="B277" i="3"/>
  <c r="A277" i="3"/>
  <c r="L276" i="3"/>
  <c r="K276" i="3"/>
  <c r="F276" i="3"/>
  <c r="E276" i="3"/>
  <c r="D276" i="3"/>
  <c r="C276" i="3"/>
  <c r="B276" i="3"/>
  <c r="A276" i="3"/>
  <c r="L275" i="3"/>
  <c r="K275" i="3"/>
  <c r="F275" i="3"/>
  <c r="E275" i="3"/>
  <c r="D275" i="3"/>
  <c r="C275" i="3"/>
  <c r="B275" i="3"/>
  <c r="A275" i="3"/>
  <c r="L274" i="3"/>
  <c r="K274" i="3"/>
  <c r="F274" i="3"/>
  <c r="E274" i="3"/>
  <c r="D274" i="3"/>
  <c r="C274" i="3"/>
  <c r="B274" i="3"/>
  <c r="A274" i="3"/>
  <c r="L273" i="3"/>
  <c r="K273" i="3"/>
  <c r="F273" i="3"/>
  <c r="E273" i="3"/>
  <c r="D273" i="3"/>
  <c r="C273" i="3"/>
  <c r="B273" i="3"/>
  <c r="A273" i="3"/>
  <c r="L272" i="3"/>
  <c r="K272" i="3"/>
  <c r="F272" i="3"/>
  <c r="E272" i="3"/>
  <c r="D272" i="3"/>
  <c r="C272" i="3"/>
  <c r="B272" i="3"/>
  <c r="A272" i="3"/>
  <c r="L271" i="3"/>
  <c r="K271" i="3"/>
  <c r="F271" i="3"/>
  <c r="E271" i="3"/>
  <c r="D271" i="3"/>
  <c r="C271" i="3"/>
  <c r="B271" i="3"/>
  <c r="A271" i="3"/>
  <c r="L270" i="3"/>
  <c r="K270" i="3"/>
  <c r="F270" i="3"/>
  <c r="E270" i="3"/>
  <c r="D270" i="3"/>
  <c r="C270" i="3"/>
  <c r="B270" i="3"/>
  <c r="A270" i="3"/>
  <c r="L269" i="3"/>
  <c r="K269" i="3"/>
  <c r="F269" i="3"/>
  <c r="E269" i="3"/>
  <c r="D269" i="3"/>
  <c r="C269" i="3"/>
  <c r="B269" i="3"/>
  <c r="A269" i="3"/>
  <c r="L268" i="3"/>
  <c r="K268" i="3"/>
  <c r="F268" i="3"/>
  <c r="E268" i="3"/>
  <c r="D268" i="3"/>
  <c r="C268" i="3"/>
  <c r="B268" i="3"/>
  <c r="A268" i="3"/>
  <c r="L267" i="3"/>
  <c r="K267" i="3"/>
  <c r="F267" i="3"/>
  <c r="E267" i="3"/>
  <c r="D267" i="3"/>
  <c r="C267" i="3"/>
  <c r="B267" i="3"/>
  <c r="A267" i="3"/>
  <c r="L266" i="3"/>
  <c r="K266" i="3"/>
  <c r="F266" i="3"/>
  <c r="E266" i="3"/>
  <c r="D266" i="3"/>
  <c r="C266" i="3"/>
  <c r="B266" i="3"/>
  <c r="A266" i="3"/>
  <c r="L265" i="3"/>
  <c r="K265" i="3"/>
  <c r="F265" i="3"/>
  <c r="E265" i="3"/>
  <c r="D265" i="3"/>
  <c r="C265" i="3"/>
  <c r="B265" i="3"/>
  <c r="A265" i="3"/>
  <c r="L264" i="3"/>
  <c r="K264" i="3"/>
  <c r="F264" i="3"/>
  <c r="E264" i="3"/>
  <c r="D264" i="3"/>
  <c r="C264" i="3"/>
  <c r="B264" i="3"/>
  <c r="A264" i="3"/>
  <c r="L263" i="3"/>
  <c r="K263" i="3"/>
  <c r="F263" i="3"/>
  <c r="E263" i="3"/>
  <c r="D263" i="3"/>
  <c r="C263" i="3"/>
  <c r="B263" i="3"/>
  <c r="A263" i="3"/>
  <c r="L262" i="3"/>
  <c r="K262" i="3"/>
  <c r="F262" i="3"/>
  <c r="E262" i="3"/>
  <c r="D262" i="3"/>
  <c r="C262" i="3"/>
  <c r="B262" i="3"/>
  <c r="A262" i="3"/>
  <c r="L261" i="3"/>
  <c r="K261" i="3"/>
  <c r="F261" i="3"/>
  <c r="E261" i="3"/>
  <c r="D261" i="3"/>
  <c r="C261" i="3"/>
  <c r="B261" i="3"/>
  <c r="A261" i="3"/>
  <c r="L260" i="3"/>
  <c r="K260" i="3"/>
  <c r="F260" i="3"/>
  <c r="E260" i="3"/>
  <c r="D260" i="3"/>
  <c r="C260" i="3"/>
  <c r="B260" i="3"/>
  <c r="A260" i="3"/>
  <c r="L259" i="3"/>
  <c r="K259" i="3"/>
  <c r="F259" i="3"/>
  <c r="E259" i="3"/>
  <c r="D259" i="3"/>
  <c r="C259" i="3"/>
  <c r="B259" i="3"/>
  <c r="A259" i="3"/>
  <c r="L258" i="3"/>
  <c r="K258" i="3"/>
  <c r="F258" i="3"/>
  <c r="E258" i="3"/>
  <c r="D258" i="3"/>
  <c r="C258" i="3"/>
  <c r="B258" i="3"/>
  <c r="A258" i="3"/>
  <c r="L257" i="3"/>
  <c r="K257" i="3"/>
  <c r="F257" i="3"/>
  <c r="E257" i="3"/>
  <c r="D257" i="3"/>
  <c r="C257" i="3"/>
  <c r="B257" i="3"/>
  <c r="A257" i="3"/>
  <c r="L256" i="3"/>
  <c r="K256" i="3"/>
  <c r="F256" i="3"/>
  <c r="E256" i="3"/>
  <c r="D256" i="3"/>
  <c r="C256" i="3"/>
  <c r="B256" i="3"/>
  <c r="A256" i="3"/>
  <c r="L255" i="3"/>
  <c r="K255" i="3"/>
  <c r="F255" i="3"/>
  <c r="E255" i="3"/>
  <c r="D255" i="3"/>
  <c r="C255" i="3"/>
  <c r="B255" i="3"/>
  <c r="A255" i="3"/>
  <c r="L254" i="3"/>
  <c r="K254" i="3"/>
  <c r="F254" i="3"/>
  <c r="E254" i="3"/>
  <c r="D254" i="3"/>
  <c r="C254" i="3"/>
  <c r="B254" i="3"/>
  <c r="A254" i="3"/>
  <c r="L253" i="3"/>
  <c r="K253" i="3"/>
  <c r="F253" i="3"/>
  <c r="E253" i="3"/>
  <c r="D253" i="3"/>
  <c r="C253" i="3"/>
  <c r="B253" i="3"/>
  <c r="A253" i="3"/>
  <c r="L252" i="3"/>
  <c r="K252" i="3"/>
  <c r="F252" i="3"/>
  <c r="E252" i="3"/>
  <c r="D252" i="3"/>
  <c r="C252" i="3"/>
  <c r="B252" i="3"/>
  <c r="A252" i="3"/>
  <c r="L251" i="3"/>
  <c r="K251" i="3"/>
  <c r="F251" i="3"/>
  <c r="E251" i="3"/>
  <c r="D251" i="3"/>
  <c r="C251" i="3"/>
  <c r="B251" i="3"/>
  <c r="A251" i="3"/>
  <c r="L250" i="3"/>
  <c r="K250" i="3"/>
  <c r="F250" i="3"/>
  <c r="E250" i="3"/>
  <c r="D250" i="3"/>
  <c r="C250" i="3"/>
  <c r="B250" i="3"/>
  <c r="A250" i="3"/>
  <c r="L249" i="3"/>
  <c r="K249" i="3"/>
  <c r="F249" i="3"/>
  <c r="E249" i="3"/>
  <c r="D249" i="3"/>
  <c r="C249" i="3"/>
  <c r="B249" i="3"/>
  <c r="A249" i="3"/>
  <c r="L248" i="3"/>
  <c r="K248" i="3"/>
  <c r="F248" i="3"/>
  <c r="E248" i="3"/>
  <c r="D248" i="3"/>
  <c r="C248" i="3"/>
  <c r="B248" i="3"/>
  <c r="A248" i="3"/>
  <c r="L247" i="3"/>
  <c r="K247" i="3"/>
  <c r="F247" i="3"/>
  <c r="E247" i="3"/>
  <c r="D247" i="3"/>
  <c r="C247" i="3"/>
  <c r="B247" i="3"/>
  <c r="A247" i="3"/>
  <c r="L246" i="3"/>
  <c r="K246" i="3"/>
  <c r="F246" i="3"/>
  <c r="E246" i="3"/>
  <c r="D246" i="3"/>
  <c r="C246" i="3"/>
  <c r="B246" i="3"/>
  <c r="A246" i="3"/>
  <c r="L245" i="3"/>
  <c r="K245" i="3"/>
  <c r="F245" i="3"/>
  <c r="E245" i="3"/>
  <c r="D245" i="3"/>
  <c r="C245" i="3"/>
  <c r="B245" i="3"/>
  <c r="A245" i="3"/>
  <c r="L244" i="3"/>
  <c r="K244" i="3"/>
  <c r="F244" i="3"/>
  <c r="E244" i="3"/>
  <c r="D244" i="3"/>
  <c r="C244" i="3"/>
  <c r="B244" i="3"/>
  <c r="A244" i="3"/>
  <c r="L243" i="3"/>
  <c r="K243" i="3"/>
  <c r="F243" i="3"/>
  <c r="E243" i="3"/>
  <c r="D243" i="3"/>
  <c r="C243" i="3"/>
  <c r="B243" i="3"/>
  <c r="A243" i="3"/>
  <c r="L242" i="3"/>
  <c r="K242" i="3"/>
  <c r="F242" i="3"/>
  <c r="E242" i="3"/>
  <c r="D242" i="3"/>
  <c r="C242" i="3"/>
  <c r="B242" i="3"/>
  <c r="A242" i="3"/>
  <c r="L241" i="3"/>
  <c r="K241" i="3"/>
  <c r="F241" i="3"/>
  <c r="E241" i="3"/>
  <c r="D241" i="3"/>
  <c r="C241" i="3"/>
  <c r="B241" i="3"/>
  <c r="A241" i="3"/>
  <c r="L240" i="3"/>
  <c r="K240" i="3"/>
  <c r="F240" i="3"/>
  <c r="E240" i="3"/>
  <c r="D240" i="3"/>
  <c r="C240" i="3"/>
  <c r="B240" i="3"/>
  <c r="A240" i="3"/>
  <c r="L239" i="3"/>
  <c r="K239" i="3"/>
  <c r="F239" i="3"/>
  <c r="E239" i="3"/>
  <c r="D239" i="3"/>
  <c r="C239" i="3"/>
  <c r="B239" i="3"/>
  <c r="A239" i="3"/>
  <c r="L238" i="3"/>
  <c r="K238" i="3"/>
  <c r="F238" i="3"/>
  <c r="E238" i="3"/>
  <c r="D238" i="3"/>
  <c r="C238" i="3"/>
  <c r="B238" i="3"/>
  <c r="A238" i="3"/>
  <c r="L237" i="3"/>
  <c r="K237" i="3"/>
  <c r="F237" i="3"/>
  <c r="E237" i="3"/>
  <c r="D237" i="3"/>
  <c r="C237" i="3"/>
  <c r="B237" i="3"/>
  <c r="A237" i="3"/>
  <c r="L236" i="3"/>
  <c r="K236" i="3"/>
  <c r="F236" i="3"/>
  <c r="E236" i="3"/>
  <c r="D236" i="3"/>
  <c r="C236" i="3"/>
  <c r="B236" i="3"/>
  <c r="A236" i="3"/>
  <c r="L235" i="3"/>
  <c r="K235" i="3"/>
  <c r="F235" i="3"/>
  <c r="E235" i="3"/>
  <c r="D235" i="3"/>
  <c r="C235" i="3"/>
  <c r="B235" i="3"/>
  <c r="A235" i="3"/>
  <c r="L234" i="3"/>
  <c r="K234" i="3"/>
  <c r="F234" i="3"/>
  <c r="E234" i="3"/>
  <c r="D234" i="3"/>
  <c r="C234" i="3"/>
  <c r="B234" i="3"/>
  <c r="A234" i="3"/>
  <c r="L233" i="3"/>
  <c r="K233" i="3"/>
  <c r="F233" i="3"/>
  <c r="E233" i="3"/>
  <c r="D233" i="3"/>
  <c r="C233" i="3"/>
  <c r="B233" i="3"/>
  <c r="A233" i="3"/>
  <c r="L232" i="3"/>
  <c r="K232" i="3"/>
  <c r="F232" i="3"/>
  <c r="E232" i="3"/>
  <c r="D232" i="3"/>
  <c r="C232" i="3"/>
  <c r="B232" i="3"/>
  <c r="A232" i="3"/>
  <c r="L231" i="3"/>
  <c r="K231" i="3"/>
  <c r="F231" i="3"/>
  <c r="E231" i="3"/>
  <c r="D231" i="3"/>
  <c r="C231" i="3"/>
  <c r="B231" i="3"/>
  <c r="A231" i="3"/>
  <c r="L230" i="3"/>
  <c r="K230" i="3"/>
  <c r="F230" i="3"/>
  <c r="E230" i="3"/>
  <c r="D230" i="3"/>
  <c r="C230" i="3"/>
  <c r="B230" i="3"/>
  <c r="A230" i="3"/>
  <c r="L229" i="3"/>
  <c r="K229" i="3"/>
  <c r="F229" i="3"/>
  <c r="E229" i="3"/>
  <c r="D229" i="3"/>
  <c r="C229" i="3"/>
  <c r="B229" i="3"/>
  <c r="A229" i="3"/>
  <c r="L228" i="3"/>
  <c r="K228" i="3"/>
  <c r="F228" i="3"/>
  <c r="E228" i="3"/>
  <c r="D228" i="3"/>
  <c r="C228" i="3"/>
  <c r="B228" i="3"/>
  <c r="A228" i="3"/>
  <c r="L227" i="3"/>
  <c r="K227" i="3"/>
  <c r="F227" i="3"/>
  <c r="E227" i="3"/>
  <c r="D227" i="3"/>
  <c r="C227" i="3"/>
  <c r="B227" i="3"/>
  <c r="A227" i="3"/>
  <c r="L226" i="3"/>
  <c r="K226" i="3"/>
  <c r="F226" i="3"/>
  <c r="E226" i="3"/>
  <c r="D226" i="3"/>
  <c r="C226" i="3"/>
  <c r="B226" i="3"/>
  <c r="A226" i="3"/>
  <c r="L225" i="3"/>
  <c r="K225" i="3"/>
  <c r="F225" i="3"/>
  <c r="E225" i="3"/>
  <c r="D225" i="3"/>
  <c r="C225" i="3"/>
  <c r="B225" i="3"/>
  <c r="A225" i="3"/>
  <c r="L224" i="3"/>
  <c r="K224" i="3"/>
  <c r="F224" i="3"/>
  <c r="E224" i="3"/>
  <c r="D224" i="3"/>
  <c r="C224" i="3"/>
  <c r="B224" i="3"/>
  <c r="A224" i="3"/>
  <c r="L223" i="3"/>
  <c r="K223" i="3"/>
  <c r="F223" i="3"/>
  <c r="E223" i="3"/>
  <c r="D223" i="3"/>
  <c r="C223" i="3"/>
  <c r="B223" i="3"/>
  <c r="A223" i="3"/>
  <c r="L222" i="3"/>
  <c r="K222" i="3"/>
  <c r="F222" i="3"/>
  <c r="E222" i="3"/>
  <c r="D222" i="3"/>
  <c r="C222" i="3"/>
  <c r="B222" i="3"/>
  <c r="A222" i="3"/>
  <c r="L221" i="3"/>
  <c r="K221" i="3"/>
  <c r="F221" i="3"/>
  <c r="E221" i="3"/>
  <c r="D221" i="3"/>
  <c r="C221" i="3"/>
  <c r="B221" i="3"/>
  <c r="A221" i="3"/>
  <c r="L220" i="3"/>
  <c r="K220" i="3"/>
  <c r="F220" i="3"/>
  <c r="E220" i="3"/>
  <c r="D220" i="3"/>
  <c r="C220" i="3"/>
  <c r="B220" i="3"/>
  <c r="A220" i="3"/>
  <c r="L219" i="3"/>
  <c r="K219" i="3"/>
  <c r="F219" i="3"/>
  <c r="E219" i="3"/>
  <c r="D219" i="3"/>
  <c r="C219" i="3"/>
  <c r="B219" i="3"/>
  <c r="A219" i="3"/>
  <c r="L218" i="3"/>
  <c r="K218" i="3"/>
  <c r="F218" i="3"/>
  <c r="E218" i="3"/>
  <c r="D218" i="3"/>
  <c r="C218" i="3"/>
  <c r="B218" i="3"/>
  <c r="A218" i="3"/>
  <c r="L217" i="3"/>
  <c r="K217" i="3"/>
  <c r="F217" i="3"/>
  <c r="E217" i="3"/>
  <c r="D217" i="3"/>
  <c r="C217" i="3"/>
  <c r="B217" i="3"/>
  <c r="A217" i="3"/>
  <c r="L216" i="3"/>
  <c r="K216" i="3"/>
  <c r="F216" i="3"/>
  <c r="E216" i="3"/>
  <c r="D216" i="3"/>
  <c r="C216" i="3"/>
  <c r="B216" i="3"/>
  <c r="A216" i="3"/>
  <c r="L215" i="3"/>
  <c r="K215" i="3"/>
  <c r="F215" i="3"/>
  <c r="E215" i="3"/>
  <c r="D215" i="3"/>
  <c r="C215" i="3"/>
  <c r="B215" i="3"/>
  <c r="A215" i="3"/>
  <c r="L214" i="3"/>
  <c r="K214" i="3"/>
  <c r="F214" i="3"/>
  <c r="E214" i="3"/>
  <c r="D214" i="3"/>
  <c r="C214" i="3"/>
  <c r="B214" i="3"/>
  <c r="A214" i="3"/>
  <c r="L213" i="3"/>
  <c r="K213" i="3"/>
  <c r="F213" i="3"/>
  <c r="E213" i="3"/>
  <c r="D213" i="3"/>
  <c r="C213" i="3"/>
  <c r="B213" i="3"/>
  <c r="A213" i="3"/>
  <c r="L212" i="3"/>
  <c r="K212" i="3"/>
  <c r="F212" i="3"/>
  <c r="E212" i="3"/>
  <c r="D212" i="3"/>
  <c r="C212" i="3"/>
  <c r="B212" i="3"/>
  <c r="A212" i="3"/>
  <c r="L211" i="3"/>
  <c r="K211" i="3"/>
  <c r="F211" i="3"/>
  <c r="E211" i="3"/>
  <c r="D211" i="3"/>
  <c r="C211" i="3"/>
  <c r="B211" i="3"/>
  <c r="A211" i="3"/>
  <c r="L210" i="3"/>
  <c r="K210" i="3"/>
  <c r="F210" i="3"/>
  <c r="E210" i="3"/>
  <c r="D210" i="3"/>
  <c r="C210" i="3"/>
  <c r="B210" i="3"/>
  <c r="A210" i="3"/>
  <c r="L209" i="3"/>
  <c r="K209" i="3"/>
  <c r="F209" i="3"/>
  <c r="E209" i="3"/>
  <c r="D209" i="3"/>
  <c r="C209" i="3"/>
  <c r="B209" i="3"/>
  <c r="A209" i="3"/>
  <c r="L208" i="3"/>
  <c r="K208" i="3"/>
  <c r="F208" i="3"/>
  <c r="E208" i="3"/>
  <c r="D208" i="3"/>
  <c r="C208" i="3"/>
  <c r="B208" i="3"/>
  <c r="A208" i="3"/>
  <c r="L207" i="3"/>
  <c r="K207" i="3"/>
  <c r="F207" i="3"/>
  <c r="E207" i="3"/>
  <c r="D207" i="3"/>
  <c r="C207" i="3"/>
  <c r="B207" i="3"/>
  <c r="A207" i="3"/>
  <c r="L206" i="3"/>
  <c r="K206" i="3"/>
  <c r="F206" i="3"/>
  <c r="E206" i="3"/>
  <c r="D206" i="3"/>
  <c r="C206" i="3"/>
  <c r="B206" i="3"/>
  <c r="A206" i="3"/>
  <c r="L205" i="3"/>
  <c r="K205" i="3"/>
  <c r="F205" i="3"/>
  <c r="E205" i="3"/>
  <c r="D205" i="3"/>
  <c r="C205" i="3"/>
  <c r="B205" i="3"/>
  <c r="A205" i="3"/>
  <c r="L204" i="3"/>
  <c r="K204" i="3"/>
  <c r="F204" i="3"/>
  <c r="E204" i="3"/>
  <c r="D204" i="3"/>
  <c r="C204" i="3"/>
  <c r="B204" i="3"/>
  <c r="A204" i="3"/>
  <c r="L203" i="3"/>
  <c r="K203" i="3"/>
  <c r="F203" i="3"/>
  <c r="E203" i="3"/>
  <c r="D203" i="3"/>
  <c r="C203" i="3"/>
  <c r="B203" i="3"/>
  <c r="A203" i="3"/>
  <c r="L202" i="3"/>
  <c r="K202" i="3"/>
  <c r="F202" i="3"/>
  <c r="E202" i="3"/>
  <c r="D202" i="3"/>
  <c r="C202" i="3"/>
  <c r="B202" i="3"/>
  <c r="A202" i="3"/>
  <c r="L201" i="3"/>
  <c r="K201" i="3"/>
  <c r="F201" i="3"/>
  <c r="E201" i="3"/>
  <c r="D201" i="3"/>
  <c r="C201" i="3"/>
  <c r="B201" i="3"/>
  <c r="A201" i="3"/>
  <c r="L200" i="3"/>
  <c r="K200" i="3"/>
  <c r="F200" i="3"/>
  <c r="E200" i="3"/>
  <c r="D200" i="3"/>
  <c r="C200" i="3"/>
  <c r="B200" i="3"/>
  <c r="A200" i="3"/>
  <c r="L199" i="3"/>
  <c r="K199" i="3"/>
  <c r="F199" i="3"/>
  <c r="E199" i="3"/>
  <c r="D199" i="3"/>
  <c r="C199" i="3"/>
  <c r="B199" i="3"/>
  <c r="A199" i="3"/>
  <c r="L198" i="3"/>
  <c r="K198" i="3"/>
  <c r="F198" i="3"/>
  <c r="E198" i="3"/>
  <c r="D198" i="3"/>
  <c r="C198" i="3"/>
  <c r="B198" i="3"/>
  <c r="A198" i="3"/>
  <c r="L197" i="3"/>
  <c r="K197" i="3"/>
  <c r="F197" i="3"/>
  <c r="E197" i="3"/>
  <c r="D197" i="3"/>
  <c r="C197" i="3"/>
  <c r="B197" i="3"/>
  <c r="A197" i="3"/>
  <c r="L196" i="3"/>
  <c r="K196" i="3"/>
  <c r="F196" i="3"/>
  <c r="E196" i="3"/>
  <c r="D196" i="3"/>
  <c r="C196" i="3"/>
  <c r="B196" i="3"/>
  <c r="A196" i="3"/>
  <c r="L195" i="3"/>
  <c r="K195" i="3"/>
  <c r="F195" i="3"/>
  <c r="E195" i="3"/>
  <c r="D195" i="3"/>
  <c r="C195" i="3"/>
  <c r="B195" i="3"/>
  <c r="A195" i="3"/>
  <c r="L194" i="3"/>
  <c r="K194" i="3"/>
  <c r="F194" i="3"/>
  <c r="E194" i="3"/>
  <c r="D194" i="3"/>
  <c r="C194" i="3"/>
  <c r="B194" i="3"/>
  <c r="A194" i="3"/>
  <c r="L193" i="3"/>
  <c r="K193" i="3"/>
  <c r="F193" i="3"/>
  <c r="E193" i="3"/>
  <c r="D193" i="3"/>
  <c r="C193" i="3"/>
  <c r="B193" i="3"/>
  <c r="A193" i="3"/>
  <c r="L192" i="3"/>
  <c r="K192" i="3"/>
  <c r="F192" i="3"/>
  <c r="E192" i="3"/>
  <c r="D192" i="3"/>
  <c r="C192" i="3"/>
  <c r="B192" i="3"/>
  <c r="A192" i="3"/>
  <c r="L191" i="3"/>
  <c r="K191" i="3"/>
  <c r="F191" i="3"/>
  <c r="E191" i="3"/>
  <c r="D191" i="3"/>
  <c r="C191" i="3"/>
  <c r="B191" i="3"/>
  <c r="A191" i="3"/>
  <c r="L190" i="3"/>
  <c r="K190" i="3"/>
  <c r="F190" i="3"/>
  <c r="E190" i="3"/>
  <c r="D190" i="3"/>
  <c r="C190" i="3"/>
  <c r="B190" i="3"/>
  <c r="A190" i="3"/>
  <c r="L189" i="3"/>
  <c r="K189" i="3"/>
  <c r="F189" i="3"/>
  <c r="E189" i="3"/>
  <c r="D189" i="3"/>
  <c r="C189" i="3"/>
  <c r="B189" i="3"/>
  <c r="A189" i="3"/>
  <c r="L188" i="3"/>
  <c r="K188" i="3"/>
  <c r="F188" i="3"/>
  <c r="E188" i="3"/>
  <c r="D188" i="3"/>
  <c r="C188" i="3"/>
  <c r="B188" i="3"/>
  <c r="A188" i="3"/>
  <c r="L187" i="3"/>
  <c r="K187" i="3"/>
  <c r="F187" i="3"/>
  <c r="E187" i="3"/>
  <c r="D187" i="3"/>
  <c r="C187" i="3"/>
  <c r="B187" i="3"/>
  <c r="A187" i="3"/>
  <c r="L186" i="3"/>
  <c r="K186" i="3"/>
  <c r="F186" i="3"/>
  <c r="E186" i="3"/>
  <c r="D186" i="3"/>
  <c r="C186" i="3"/>
  <c r="B186" i="3"/>
  <c r="A186" i="3"/>
  <c r="L185" i="3"/>
  <c r="K185" i="3"/>
  <c r="F185" i="3"/>
  <c r="E185" i="3"/>
  <c r="D185" i="3"/>
  <c r="C185" i="3"/>
  <c r="B185" i="3"/>
  <c r="A185" i="3"/>
  <c r="L184" i="3"/>
  <c r="K184" i="3"/>
  <c r="F184" i="3"/>
  <c r="E184" i="3"/>
  <c r="D184" i="3"/>
  <c r="C184" i="3"/>
  <c r="B184" i="3"/>
  <c r="A184" i="3"/>
  <c r="L183" i="3"/>
  <c r="K183" i="3"/>
  <c r="F183" i="3"/>
  <c r="E183" i="3"/>
  <c r="D183" i="3"/>
  <c r="C183" i="3"/>
  <c r="B183" i="3"/>
  <c r="A183" i="3"/>
  <c r="L182" i="3"/>
  <c r="K182" i="3"/>
  <c r="F182" i="3"/>
  <c r="E182" i="3"/>
  <c r="D182" i="3"/>
  <c r="C182" i="3"/>
  <c r="B182" i="3"/>
  <c r="A182" i="3"/>
  <c r="L181" i="3"/>
  <c r="K181" i="3"/>
  <c r="F181" i="3"/>
  <c r="E181" i="3"/>
  <c r="D181" i="3"/>
  <c r="C181" i="3"/>
  <c r="B181" i="3"/>
  <c r="A181" i="3"/>
  <c r="L180" i="3"/>
  <c r="K180" i="3"/>
  <c r="F180" i="3"/>
  <c r="E180" i="3"/>
  <c r="D180" i="3"/>
  <c r="C180" i="3"/>
  <c r="B180" i="3"/>
  <c r="A180" i="3"/>
  <c r="L179" i="3"/>
  <c r="K179" i="3"/>
  <c r="F179" i="3"/>
  <c r="E179" i="3"/>
  <c r="D179" i="3"/>
  <c r="C179" i="3"/>
  <c r="B179" i="3"/>
  <c r="A179" i="3"/>
  <c r="L178" i="3"/>
  <c r="K178" i="3"/>
  <c r="F178" i="3"/>
  <c r="E178" i="3"/>
  <c r="D178" i="3"/>
  <c r="C178" i="3"/>
  <c r="B178" i="3"/>
  <c r="A178" i="3"/>
  <c r="L177" i="3"/>
  <c r="K177" i="3"/>
  <c r="F177" i="3"/>
  <c r="E177" i="3"/>
  <c r="D177" i="3"/>
  <c r="C177" i="3"/>
  <c r="B177" i="3"/>
  <c r="A177" i="3"/>
  <c r="L176" i="3"/>
  <c r="K176" i="3"/>
  <c r="F176" i="3"/>
  <c r="E176" i="3"/>
  <c r="D176" i="3"/>
  <c r="C176" i="3"/>
  <c r="B176" i="3"/>
  <c r="A176" i="3"/>
  <c r="L175" i="3"/>
  <c r="K175" i="3"/>
  <c r="F175" i="3"/>
  <c r="E175" i="3"/>
  <c r="D175" i="3"/>
  <c r="C175" i="3"/>
  <c r="B175" i="3"/>
  <c r="A175" i="3"/>
  <c r="L174" i="3"/>
  <c r="K174" i="3"/>
  <c r="F174" i="3"/>
  <c r="E174" i="3"/>
  <c r="D174" i="3"/>
  <c r="C174" i="3"/>
  <c r="B174" i="3"/>
  <c r="A174" i="3"/>
  <c r="L173" i="3"/>
  <c r="K173" i="3"/>
  <c r="F173" i="3"/>
  <c r="E173" i="3"/>
  <c r="D173" i="3"/>
  <c r="C173" i="3"/>
  <c r="B173" i="3"/>
  <c r="A173" i="3"/>
  <c r="L172" i="3"/>
  <c r="K172" i="3"/>
  <c r="F172" i="3"/>
  <c r="E172" i="3"/>
  <c r="D172" i="3"/>
  <c r="C172" i="3"/>
  <c r="B172" i="3"/>
  <c r="A172" i="3"/>
  <c r="L171" i="3"/>
  <c r="K171" i="3"/>
  <c r="F171" i="3"/>
  <c r="E171" i="3"/>
  <c r="D171" i="3"/>
  <c r="C171" i="3"/>
  <c r="B171" i="3"/>
  <c r="A171" i="3"/>
  <c r="L170" i="3"/>
  <c r="K170" i="3"/>
  <c r="F170" i="3"/>
  <c r="E170" i="3"/>
  <c r="D170" i="3"/>
  <c r="C170" i="3"/>
  <c r="B170" i="3"/>
  <c r="A170" i="3"/>
  <c r="L169" i="3"/>
  <c r="K169" i="3"/>
  <c r="F169" i="3"/>
  <c r="E169" i="3"/>
  <c r="D169" i="3"/>
  <c r="C169" i="3"/>
  <c r="B169" i="3"/>
  <c r="A169" i="3"/>
  <c r="L168" i="3"/>
  <c r="K168" i="3"/>
  <c r="F168" i="3"/>
  <c r="E168" i="3"/>
  <c r="D168" i="3"/>
  <c r="C168" i="3"/>
  <c r="B168" i="3"/>
  <c r="A168" i="3"/>
  <c r="L167" i="3"/>
  <c r="K167" i="3"/>
  <c r="F167" i="3"/>
  <c r="E167" i="3"/>
  <c r="D167" i="3"/>
  <c r="C167" i="3"/>
  <c r="B167" i="3"/>
  <c r="A167" i="3"/>
  <c r="L166" i="3"/>
  <c r="K166" i="3"/>
  <c r="F166" i="3"/>
  <c r="E166" i="3"/>
  <c r="D166" i="3"/>
  <c r="C166" i="3"/>
  <c r="B166" i="3"/>
  <c r="A166" i="3"/>
  <c r="L165" i="3"/>
  <c r="K165" i="3"/>
  <c r="F165" i="3"/>
  <c r="E165" i="3"/>
  <c r="D165" i="3"/>
  <c r="C165" i="3"/>
  <c r="B165" i="3"/>
  <c r="A165" i="3"/>
  <c r="L164" i="3"/>
  <c r="K164" i="3"/>
  <c r="F164" i="3"/>
  <c r="E164" i="3"/>
  <c r="D164" i="3"/>
  <c r="C164" i="3"/>
  <c r="B164" i="3"/>
  <c r="A164" i="3"/>
  <c r="L163" i="3"/>
  <c r="K163" i="3"/>
  <c r="F163" i="3"/>
  <c r="E163" i="3"/>
  <c r="D163" i="3"/>
  <c r="C163" i="3"/>
  <c r="B163" i="3"/>
  <c r="A163" i="3"/>
  <c r="L162" i="3"/>
  <c r="K162" i="3"/>
  <c r="F162" i="3"/>
  <c r="E162" i="3"/>
  <c r="D162" i="3"/>
  <c r="C162" i="3"/>
  <c r="B162" i="3"/>
  <c r="A162" i="3"/>
  <c r="L161" i="3"/>
  <c r="K161" i="3"/>
  <c r="F161" i="3"/>
  <c r="E161" i="3"/>
  <c r="D161" i="3"/>
  <c r="C161" i="3"/>
  <c r="B161" i="3"/>
  <c r="A161" i="3"/>
  <c r="L160" i="3"/>
  <c r="K160" i="3"/>
  <c r="F160" i="3"/>
  <c r="E160" i="3"/>
  <c r="D160" i="3"/>
  <c r="C160" i="3"/>
  <c r="B160" i="3"/>
  <c r="A160" i="3"/>
  <c r="L159" i="3"/>
  <c r="K159" i="3"/>
  <c r="F159" i="3"/>
  <c r="E159" i="3"/>
  <c r="D159" i="3"/>
  <c r="C159" i="3"/>
  <c r="B159" i="3"/>
  <c r="A159" i="3"/>
  <c r="L158" i="3"/>
  <c r="K158" i="3"/>
  <c r="F158" i="3"/>
  <c r="E158" i="3"/>
  <c r="D158" i="3"/>
  <c r="C158" i="3"/>
  <c r="B158" i="3"/>
  <c r="A158" i="3"/>
  <c r="L157" i="3"/>
  <c r="K157" i="3"/>
  <c r="F157" i="3"/>
  <c r="E157" i="3"/>
  <c r="D157" i="3"/>
  <c r="C157" i="3"/>
  <c r="B157" i="3"/>
  <c r="A157" i="3"/>
  <c r="L156" i="3"/>
  <c r="K156" i="3"/>
  <c r="F156" i="3"/>
  <c r="E156" i="3"/>
  <c r="D156" i="3"/>
  <c r="C156" i="3"/>
  <c r="B156" i="3"/>
  <c r="A156" i="3"/>
  <c r="L155" i="3"/>
  <c r="K155" i="3"/>
  <c r="F155" i="3"/>
  <c r="E155" i="3"/>
  <c r="D155" i="3"/>
  <c r="C155" i="3"/>
  <c r="B155" i="3"/>
  <c r="A155" i="3"/>
  <c r="L154" i="3"/>
  <c r="K154" i="3"/>
  <c r="F154" i="3"/>
  <c r="E154" i="3"/>
  <c r="D154" i="3"/>
  <c r="C154" i="3"/>
  <c r="B154" i="3"/>
  <c r="A154" i="3"/>
  <c r="L153" i="3"/>
  <c r="K153" i="3"/>
  <c r="F153" i="3"/>
  <c r="E153" i="3"/>
  <c r="D153" i="3"/>
  <c r="C153" i="3"/>
  <c r="B153" i="3"/>
  <c r="A153" i="3"/>
  <c r="L152" i="3"/>
  <c r="K152" i="3"/>
  <c r="F152" i="3"/>
  <c r="E152" i="3"/>
  <c r="D152" i="3"/>
  <c r="C152" i="3"/>
  <c r="B152" i="3"/>
  <c r="A152" i="3"/>
  <c r="L151" i="3"/>
  <c r="K151" i="3"/>
  <c r="F151" i="3"/>
  <c r="E151" i="3"/>
  <c r="D151" i="3"/>
  <c r="C151" i="3"/>
  <c r="B151" i="3"/>
  <c r="A151" i="3"/>
  <c r="L150" i="3"/>
  <c r="K150" i="3"/>
  <c r="F150" i="3"/>
  <c r="E150" i="3"/>
  <c r="D150" i="3"/>
  <c r="C150" i="3"/>
  <c r="B150" i="3"/>
  <c r="A150" i="3"/>
  <c r="L149" i="3"/>
  <c r="K149" i="3"/>
  <c r="F149" i="3"/>
  <c r="E149" i="3"/>
  <c r="D149" i="3"/>
  <c r="C149" i="3"/>
  <c r="B149" i="3"/>
  <c r="A149" i="3"/>
  <c r="L148" i="3"/>
  <c r="K148" i="3"/>
  <c r="F148" i="3"/>
  <c r="E148" i="3"/>
  <c r="D148" i="3"/>
  <c r="C148" i="3"/>
  <c r="B148" i="3"/>
  <c r="A148" i="3"/>
  <c r="L147" i="3"/>
  <c r="K147" i="3"/>
  <c r="F147" i="3"/>
  <c r="E147" i="3"/>
  <c r="D147" i="3"/>
  <c r="C147" i="3"/>
  <c r="B147" i="3"/>
  <c r="A147" i="3"/>
  <c r="L146" i="3"/>
  <c r="K146" i="3"/>
  <c r="F146" i="3"/>
  <c r="E146" i="3"/>
  <c r="D146" i="3"/>
  <c r="C146" i="3"/>
  <c r="B146" i="3"/>
  <c r="A146" i="3"/>
  <c r="L145" i="3"/>
  <c r="K145" i="3"/>
  <c r="F145" i="3"/>
  <c r="E145" i="3"/>
  <c r="D145" i="3"/>
  <c r="C145" i="3"/>
  <c r="B145" i="3"/>
  <c r="A145" i="3"/>
  <c r="L144" i="3"/>
  <c r="K144" i="3"/>
  <c r="F144" i="3"/>
  <c r="E144" i="3"/>
  <c r="D144" i="3"/>
  <c r="C144" i="3"/>
  <c r="B144" i="3"/>
  <c r="A144" i="3"/>
  <c r="L143" i="3"/>
  <c r="K143" i="3"/>
  <c r="F143" i="3"/>
  <c r="E143" i="3"/>
  <c r="D143" i="3"/>
  <c r="C143" i="3"/>
  <c r="B143" i="3"/>
  <c r="A143" i="3"/>
  <c r="L142" i="3"/>
  <c r="K142" i="3"/>
  <c r="F142" i="3"/>
  <c r="E142" i="3"/>
  <c r="D142" i="3"/>
  <c r="C142" i="3"/>
  <c r="B142" i="3"/>
  <c r="A142" i="3"/>
  <c r="L141" i="3"/>
  <c r="K141" i="3"/>
  <c r="F141" i="3"/>
  <c r="E141" i="3"/>
  <c r="D141" i="3"/>
  <c r="C141" i="3"/>
  <c r="B141" i="3"/>
  <c r="A141" i="3"/>
  <c r="L140" i="3"/>
  <c r="K140" i="3"/>
  <c r="F140" i="3"/>
  <c r="E140" i="3"/>
  <c r="D140" i="3"/>
  <c r="C140" i="3"/>
  <c r="B140" i="3"/>
  <c r="A140" i="3"/>
  <c r="L139" i="3"/>
  <c r="K139" i="3"/>
  <c r="F139" i="3"/>
  <c r="E139" i="3"/>
  <c r="D139" i="3"/>
  <c r="C139" i="3"/>
  <c r="B139" i="3"/>
  <c r="A139" i="3"/>
  <c r="L138" i="3"/>
  <c r="K138" i="3"/>
  <c r="F138" i="3"/>
  <c r="E138" i="3"/>
  <c r="D138" i="3"/>
  <c r="C138" i="3"/>
  <c r="B138" i="3"/>
  <c r="A138" i="3"/>
  <c r="L137" i="3"/>
  <c r="K137" i="3"/>
  <c r="F137" i="3"/>
  <c r="E137" i="3"/>
  <c r="D137" i="3"/>
  <c r="C137" i="3"/>
  <c r="B137" i="3"/>
  <c r="A137" i="3"/>
  <c r="L136" i="3"/>
  <c r="K136" i="3"/>
  <c r="F136" i="3"/>
  <c r="E136" i="3"/>
  <c r="D136" i="3"/>
  <c r="C136" i="3"/>
  <c r="B136" i="3"/>
  <c r="A136" i="3"/>
  <c r="L135" i="3"/>
  <c r="K135" i="3"/>
  <c r="F135" i="3"/>
  <c r="E135" i="3"/>
  <c r="D135" i="3"/>
  <c r="C135" i="3"/>
  <c r="B135" i="3"/>
  <c r="A135" i="3"/>
  <c r="L134" i="3"/>
  <c r="K134" i="3"/>
  <c r="F134" i="3"/>
  <c r="E134" i="3"/>
  <c r="D134" i="3"/>
  <c r="C134" i="3"/>
  <c r="B134" i="3"/>
  <c r="A134" i="3"/>
  <c r="L133" i="3"/>
  <c r="K133" i="3"/>
  <c r="F133" i="3"/>
  <c r="E133" i="3"/>
  <c r="D133" i="3"/>
  <c r="C133" i="3"/>
  <c r="B133" i="3"/>
  <c r="A133" i="3"/>
  <c r="L132" i="3"/>
  <c r="K132" i="3"/>
  <c r="F132" i="3"/>
  <c r="E132" i="3"/>
  <c r="D132" i="3"/>
  <c r="C132" i="3"/>
  <c r="B132" i="3"/>
  <c r="A132" i="3"/>
  <c r="L131" i="3"/>
  <c r="K131" i="3"/>
  <c r="F131" i="3"/>
  <c r="E131" i="3"/>
  <c r="D131" i="3"/>
  <c r="C131" i="3"/>
  <c r="B131" i="3"/>
  <c r="A131" i="3"/>
  <c r="L130" i="3"/>
  <c r="K130" i="3"/>
  <c r="F130" i="3"/>
  <c r="E130" i="3"/>
  <c r="D130" i="3"/>
  <c r="C130" i="3"/>
  <c r="B130" i="3"/>
  <c r="A130" i="3"/>
  <c r="L129" i="3"/>
  <c r="K129" i="3"/>
  <c r="F129" i="3"/>
  <c r="E129" i="3"/>
  <c r="D129" i="3"/>
  <c r="C129" i="3"/>
  <c r="B129" i="3"/>
  <c r="A129" i="3"/>
  <c r="L128" i="3"/>
  <c r="K128" i="3"/>
  <c r="F128" i="3"/>
  <c r="E128" i="3"/>
  <c r="D128" i="3"/>
  <c r="C128" i="3"/>
  <c r="B128" i="3"/>
  <c r="A128" i="3"/>
  <c r="L127" i="3"/>
  <c r="K127" i="3"/>
  <c r="F127" i="3"/>
  <c r="E127" i="3"/>
  <c r="D127" i="3"/>
  <c r="C127" i="3"/>
  <c r="B127" i="3"/>
  <c r="A127" i="3"/>
  <c r="L126" i="3"/>
  <c r="K126" i="3"/>
  <c r="F126" i="3"/>
  <c r="E126" i="3"/>
  <c r="D126" i="3"/>
  <c r="C126" i="3"/>
  <c r="B126" i="3"/>
  <c r="A126" i="3"/>
  <c r="L125" i="3"/>
  <c r="K125" i="3"/>
  <c r="F125" i="3"/>
  <c r="E125" i="3"/>
  <c r="D125" i="3"/>
  <c r="C125" i="3"/>
  <c r="B125" i="3"/>
  <c r="A125" i="3"/>
  <c r="L124" i="3"/>
  <c r="K124" i="3"/>
  <c r="F124" i="3"/>
  <c r="E124" i="3"/>
  <c r="D124" i="3"/>
  <c r="C124" i="3"/>
  <c r="B124" i="3"/>
  <c r="A124" i="3"/>
  <c r="L123" i="3"/>
  <c r="K123" i="3"/>
  <c r="F123" i="3"/>
  <c r="E123" i="3"/>
  <c r="D123" i="3"/>
  <c r="C123" i="3"/>
  <c r="B123" i="3"/>
  <c r="A123" i="3"/>
  <c r="L122" i="3"/>
  <c r="K122" i="3"/>
  <c r="F122" i="3"/>
  <c r="E122" i="3"/>
  <c r="D122" i="3"/>
  <c r="C122" i="3"/>
  <c r="B122" i="3"/>
  <c r="A122" i="3"/>
  <c r="L121" i="3"/>
  <c r="K121" i="3"/>
  <c r="F121" i="3"/>
  <c r="E121" i="3"/>
  <c r="D121" i="3"/>
  <c r="C121" i="3"/>
  <c r="B121" i="3"/>
  <c r="A121" i="3"/>
  <c r="L120" i="3"/>
  <c r="K120" i="3"/>
  <c r="F120" i="3"/>
  <c r="E120" i="3"/>
  <c r="D120" i="3"/>
  <c r="C120" i="3"/>
  <c r="B120" i="3"/>
  <c r="A120" i="3"/>
  <c r="L119" i="3"/>
  <c r="K119" i="3"/>
  <c r="F119" i="3"/>
  <c r="E119" i="3"/>
  <c r="D119" i="3"/>
  <c r="C119" i="3"/>
  <c r="B119" i="3"/>
  <c r="A119" i="3"/>
  <c r="L118" i="3"/>
  <c r="K118" i="3"/>
  <c r="F118" i="3"/>
  <c r="E118" i="3"/>
  <c r="D118" i="3"/>
  <c r="C118" i="3"/>
  <c r="B118" i="3"/>
  <c r="A118" i="3"/>
  <c r="L117" i="3"/>
  <c r="K117" i="3"/>
  <c r="F117" i="3"/>
  <c r="E117" i="3"/>
  <c r="D117" i="3"/>
  <c r="C117" i="3"/>
  <c r="B117" i="3"/>
  <c r="A117" i="3"/>
  <c r="L116" i="3"/>
  <c r="K116" i="3"/>
  <c r="F116" i="3"/>
  <c r="E116" i="3"/>
  <c r="D116" i="3"/>
  <c r="C116" i="3"/>
  <c r="B116" i="3"/>
  <c r="A116" i="3"/>
  <c r="L115" i="3"/>
  <c r="K115" i="3"/>
  <c r="F115" i="3"/>
  <c r="E115" i="3"/>
  <c r="D115" i="3"/>
  <c r="C115" i="3"/>
  <c r="B115" i="3"/>
  <c r="A115" i="3"/>
  <c r="L114" i="3"/>
  <c r="K114" i="3"/>
  <c r="F114" i="3"/>
  <c r="E114" i="3"/>
  <c r="D114" i="3"/>
  <c r="C114" i="3"/>
  <c r="B114" i="3"/>
  <c r="A114" i="3"/>
  <c r="L113" i="3"/>
  <c r="K113" i="3"/>
  <c r="F113" i="3"/>
  <c r="E113" i="3"/>
  <c r="D113" i="3"/>
  <c r="C113" i="3"/>
  <c r="B113" i="3"/>
  <c r="A113" i="3"/>
  <c r="L112" i="3"/>
  <c r="K112" i="3"/>
  <c r="F112" i="3"/>
  <c r="E112" i="3"/>
  <c r="D112" i="3"/>
  <c r="C112" i="3"/>
  <c r="B112" i="3"/>
  <c r="A112" i="3"/>
  <c r="L111" i="3"/>
  <c r="K111" i="3"/>
  <c r="F111" i="3"/>
  <c r="E111" i="3"/>
  <c r="D111" i="3"/>
  <c r="C111" i="3"/>
  <c r="B111" i="3"/>
  <c r="A111" i="3"/>
  <c r="L110" i="3"/>
  <c r="K110" i="3"/>
  <c r="F110" i="3"/>
  <c r="E110" i="3"/>
  <c r="D110" i="3"/>
  <c r="C110" i="3"/>
  <c r="B110" i="3"/>
  <c r="A110" i="3"/>
  <c r="L109" i="3"/>
  <c r="K109" i="3"/>
  <c r="F109" i="3"/>
  <c r="E109" i="3"/>
  <c r="D109" i="3"/>
  <c r="C109" i="3"/>
  <c r="B109" i="3"/>
  <c r="A109" i="3"/>
  <c r="L108" i="3"/>
  <c r="K108" i="3"/>
  <c r="F108" i="3"/>
  <c r="E108" i="3"/>
  <c r="D108" i="3"/>
  <c r="C108" i="3"/>
  <c r="B108" i="3"/>
  <c r="A108" i="3"/>
  <c r="L107" i="3"/>
  <c r="K107" i="3"/>
  <c r="F107" i="3"/>
  <c r="E107" i="3"/>
  <c r="D107" i="3"/>
  <c r="C107" i="3"/>
  <c r="B107" i="3"/>
  <c r="A107" i="3"/>
  <c r="L106" i="3"/>
  <c r="K106" i="3"/>
  <c r="F106" i="3"/>
  <c r="E106" i="3"/>
  <c r="D106" i="3"/>
  <c r="C106" i="3"/>
  <c r="B106" i="3"/>
  <c r="A106" i="3"/>
  <c r="L105" i="3"/>
  <c r="K105" i="3"/>
  <c r="F105" i="3"/>
  <c r="E105" i="3"/>
  <c r="D105" i="3"/>
  <c r="C105" i="3"/>
  <c r="B105" i="3"/>
  <c r="A105" i="3"/>
  <c r="L104" i="3"/>
  <c r="K104" i="3"/>
  <c r="F104" i="3"/>
  <c r="E104" i="3"/>
  <c r="D104" i="3"/>
  <c r="C104" i="3"/>
  <c r="B104" i="3"/>
  <c r="A104" i="3"/>
  <c r="L103" i="3"/>
  <c r="K103" i="3"/>
  <c r="F103" i="3"/>
  <c r="E103" i="3"/>
  <c r="D103" i="3"/>
  <c r="C103" i="3"/>
  <c r="B103" i="3"/>
  <c r="A103" i="3"/>
  <c r="L102" i="3"/>
  <c r="K102" i="3"/>
  <c r="F102" i="3"/>
  <c r="E102" i="3"/>
  <c r="D102" i="3"/>
  <c r="C102" i="3"/>
  <c r="B102" i="3"/>
  <c r="A102" i="3"/>
  <c r="L101" i="3"/>
  <c r="K101" i="3"/>
  <c r="F101" i="3"/>
  <c r="E101" i="3"/>
  <c r="D101" i="3"/>
  <c r="C101" i="3"/>
  <c r="B101" i="3"/>
  <c r="A101" i="3"/>
  <c r="L100" i="3"/>
  <c r="K100" i="3"/>
  <c r="F100" i="3"/>
  <c r="E100" i="3"/>
  <c r="D100" i="3"/>
  <c r="C100" i="3"/>
  <c r="B100" i="3"/>
  <c r="A100" i="3"/>
  <c r="L99" i="3"/>
  <c r="K99" i="3"/>
  <c r="F99" i="3"/>
  <c r="E99" i="3"/>
  <c r="D99" i="3"/>
  <c r="C99" i="3"/>
  <c r="B99" i="3"/>
  <c r="A99" i="3"/>
  <c r="L98" i="3"/>
  <c r="K98" i="3"/>
  <c r="F98" i="3"/>
  <c r="E98" i="3"/>
  <c r="D98" i="3"/>
  <c r="C98" i="3"/>
  <c r="B98" i="3"/>
  <c r="A98" i="3"/>
  <c r="L97" i="3"/>
  <c r="K97" i="3"/>
  <c r="F97" i="3"/>
  <c r="E97" i="3"/>
  <c r="D97" i="3"/>
  <c r="C97" i="3"/>
  <c r="B97" i="3"/>
  <c r="A97" i="3"/>
  <c r="L96" i="3"/>
  <c r="K96" i="3"/>
  <c r="F96" i="3"/>
  <c r="E96" i="3"/>
  <c r="D96" i="3"/>
  <c r="C96" i="3"/>
  <c r="B96" i="3"/>
  <c r="A96" i="3"/>
  <c r="L95" i="3"/>
  <c r="K95" i="3"/>
  <c r="F95" i="3"/>
  <c r="E95" i="3"/>
  <c r="D95" i="3"/>
  <c r="C95" i="3"/>
  <c r="B95" i="3"/>
  <c r="A95" i="3"/>
  <c r="L94" i="3"/>
  <c r="K94" i="3"/>
  <c r="F94" i="3"/>
  <c r="E94" i="3"/>
  <c r="D94" i="3"/>
  <c r="C94" i="3"/>
  <c r="B94" i="3"/>
  <c r="A94" i="3"/>
  <c r="L93" i="3"/>
  <c r="K93" i="3"/>
  <c r="F93" i="3"/>
  <c r="E93" i="3"/>
  <c r="D93" i="3"/>
  <c r="C93" i="3"/>
  <c r="B93" i="3"/>
  <c r="A93" i="3"/>
  <c r="L92" i="3"/>
  <c r="K92" i="3"/>
  <c r="F92" i="3"/>
  <c r="E92" i="3"/>
  <c r="D92" i="3"/>
  <c r="C92" i="3"/>
  <c r="B92" i="3"/>
  <c r="A92" i="3"/>
  <c r="L91" i="3"/>
  <c r="K91" i="3"/>
  <c r="F91" i="3"/>
  <c r="E91" i="3"/>
  <c r="D91" i="3"/>
  <c r="C91" i="3"/>
  <c r="B91" i="3"/>
  <c r="A91" i="3"/>
  <c r="L90" i="3"/>
  <c r="K90" i="3"/>
  <c r="F90" i="3"/>
  <c r="E90" i="3"/>
  <c r="D90" i="3"/>
  <c r="C90" i="3"/>
  <c r="B90" i="3"/>
  <c r="A90" i="3"/>
  <c r="L89" i="3"/>
  <c r="K89" i="3"/>
  <c r="F89" i="3"/>
  <c r="E89" i="3"/>
  <c r="D89" i="3"/>
  <c r="C89" i="3"/>
  <c r="B89" i="3"/>
  <c r="A89" i="3"/>
  <c r="L88" i="3"/>
  <c r="K88" i="3"/>
  <c r="F88" i="3"/>
  <c r="E88" i="3"/>
  <c r="D88" i="3"/>
  <c r="C88" i="3"/>
  <c r="B88" i="3"/>
  <c r="A88" i="3"/>
  <c r="L87" i="3"/>
  <c r="K87" i="3"/>
  <c r="F87" i="3"/>
  <c r="E87" i="3"/>
  <c r="D87" i="3"/>
  <c r="C87" i="3"/>
  <c r="B87" i="3"/>
  <c r="A87" i="3"/>
  <c r="L86" i="3"/>
  <c r="K86" i="3"/>
  <c r="F86" i="3"/>
  <c r="E86" i="3"/>
  <c r="D86" i="3"/>
  <c r="C86" i="3"/>
  <c r="B86" i="3"/>
  <c r="A86" i="3"/>
  <c r="L85" i="3"/>
  <c r="K85" i="3"/>
  <c r="F85" i="3"/>
  <c r="E85" i="3"/>
  <c r="D85" i="3"/>
  <c r="C85" i="3"/>
  <c r="B85" i="3"/>
  <c r="A85" i="3"/>
  <c r="L84" i="3"/>
  <c r="K84" i="3"/>
  <c r="F84" i="3"/>
  <c r="E84" i="3"/>
  <c r="D84" i="3"/>
  <c r="C84" i="3"/>
  <c r="B84" i="3"/>
  <c r="A84" i="3"/>
  <c r="L83" i="3"/>
  <c r="K83" i="3"/>
  <c r="F83" i="3"/>
  <c r="E83" i="3"/>
  <c r="D83" i="3"/>
  <c r="C83" i="3"/>
  <c r="B83" i="3"/>
  <c r="A83" i="3"/>
  <c r="L82" i="3"/>
  <c r="K82" i="3"/>
  <c r="F82" i="3"/>
  <c r="E82" i="3"/>
  <c r="D82" i="3"/>
  <c r="C82" i="3"/>
  <c r="B82" i="3"/>
  <c r="A82" i="3"/>
  <c r="L81" i="3"/>
  <c r="K81" i="3"/>
  <c r="F81" i="3"/>
  <c r="E81" i="3"/>
  <c r="D81" i="3"/>
  <c r="C81" i="3"/>
  <c r="B81" i="3"/>
  <c r="A81" i="3"/>
  <c r="L80" i="3"/>
  <c r="K80" i="3"/>
  <c r="F80" i="3"/>
  <c r="E80" i="3"/>
  <c r="D80" i="3"/>
  <c r="C80" i="3"/>
  <c r="B80" i="3"/>
  <c r="A80" i="3"/>
  <c r="L79" i="3"/>
  <c r="K79" i="3"/>
  <c r="F79" i="3"/>
  <c r="E79" i="3"/>
  <c r="D79" i="3"/>
  <c r="C79" i="3"/>
  <c r="B79" i="3"/>
  <c r="A79" i="3"/>
  <c r="L78" i="3"/>
  <c r="K78" i="3"/>
  <c r="F78" i="3"/>
  <c r="E78" i="3"/>
  <c r="D78" i="3"/>
  <c r="C78" i="3"/>
  <c r="B78" i="3"/>
  <c r="A78" i="3"/>
  <c r="L77" i="3"/>
  <c r="K77" i="3"/>
  <c r="F77" i="3"/>
  <c r="E77" i="3"/>
  <c r="D77" i="3"/>
  <c r="C77" i="3"/>
  <c r="B77" i="3"/>
  <c r="A77" i="3"/>
  <c r="L76" i="3"/>
  <c r="K76" i="3"/>
  <c r="F76" i="3"/>
  <c r="E76" i="3"/>
  <c r="D76" i="3"/>
  <c r="C76" i="3"/>
  <c r="B76" i="3"/>
  <c r="A76" i="3"/>
  <c r="L75" i="3"/>
  <c r="K75" i="3"/>
  <c r="F75" i="3"/>
  <c r="E75" i="3"/>
  <c r="D75" i="3"/>
  <c r="C75" i="3"/>
  <c r="B75" i="3"/>
  <c r="A75" i="3"/>
  <c r="L74" i="3"/>
  <c r="K74" i="3"/>
  <c r="F74" i="3"/>
  <c r="E74" i="3"/>
  <c r="D74" i="3"/>
  <c r="C74" i="3"/>
  <c r="B74" i="3"/>
  <c r="A74" i="3"/>
  <c r="L73" i="3"/>
  <c r="K73" i="3"/>
  <c r="F73" i="3"/>
  <c r="E73" i="3"/>
  <c r="D73" i="3"/>
  <c r="C73" i="3"/>
  <c r="B73" i="3"/>
  <c r="A73" i="3"/>
  <c r="L72" i="3"/>
  <c r="K72" i="3"/>
  <c r="F72" i="3"/>
  <c r="E72" i="3"/>
  <c r="D72" i="3"/>
  <c r="C72" i="3"/>
  <c r="B72" i="3"/>
  <c r="A72" i="3"/>
  <c r="L71" i="3"/>
  <c r="K71" i="3"/>
  <c r="F71" i="3"/>
  <c r="E71" i="3"/>
  <c r="D71" i="3"/>
  <c r="C71" i="3"/>
  <c r="B71" i="3"/>
  <c r="A71" i="3"/>
  <c r="L70" i="3"/>
  <c r="K70" i="3"/>
  <c r="F70" i="3"/>
  <c r="E70" i="3"/>
  <c r="D70" i="3"/>
  <c r="C70" i="3"/>
  <c r="B70" i="3"/>
  <c r="A70" i="3"/>
  <c r="L69" i="3"/>
  <c r="K69" i="3"/>
  <c r="F69" i="3"/>
  <c r="E69" i="3"/>
  <c r="D69" i="3"/>
  <c r="C69" i="3"/>
  <c r="B69" i="3"/>
  <c r="A69" i="3"/>
  <c r="L68" i="3"/>
  <c r="K68" i="3"/>
  <c r="F68" i="3"/>
  <c r="E68" i="3"/>
  <c r="D68" i="3"/>
  <c r="C68" i="3"/>
  <c r="B68" i="3"/>
  <c r="A68" i="3"/>
  <c r="L67" i="3"/>
  <c r="K67" i="3"/>
  <c r="F67" i="3"/>
  <c r="E67" i="3"/>
  <c r="D67" i="3"/>
  <c r="C67" i="3"/>
  <c r="B67" i="3"/>
  <c r="A67" i="3"/>
  <c r="L66" i="3"/>
  <c r="K66" i="3"/>
  <c r="F66" i="3"/>
  <c r="E66" i="3"/>
  <c r="D66" i="3"/>
  <c r="C66" i="3"/>
  <c r="B66" i="3"/>
  <c r="A66" i="3"/>
  <c r="L65" i="3"/>
  <c r="K65" i="3"/>
  <c r="F65" i="3"/>
  <c r="E65" i="3"/>
  <c r="D65" i="3"/>
  <c r="C65" i="3"/>
  <c r="B65" i="3"/>
  <c r="A65" i="3"/>
  <c r="L64" i="3"/>
  <c r="K64" i="3"/>
  <c r="F64" i="3"/>
  <c r="E64" i="3"/>
  <c r="D64" i="3"/>
  <c r="C64" i="3"/>
  <c r="B64" i="3"/>
  <c r="A64" i="3"/>
  <c r="L63" i="3"/>
  <c r="K63" i="3"/>
  <c r="F63" i="3"/>
  <c r="E63" i="3"/>
  <c r="D63" i="3"/>
  <c r="C63" i="3"/>
  <c r="B63" i="3"/>
  <c r="A63" i="3"/>
  <c r="L62" i="3"/>
  <c r="K62" i="3"/>
  <c r="F62" i="3"/>
  <c r="E62" i="3"/>
  <c r="D62" i="3"/>
  <c r="C62" i="3"/>
  <c r="B62" i="3"/>
  <c r="A62" i="3"/>
  <c r="L61" i="3"/>
  <c r="K61" i="3"/>
  <c r="F61" i="3"/>
  <c r="E61" i="3"/>
  <c r="D61" i="3"/>
  <c r="C61" i="3"/>
  <c r="B61" i="3"/>
  <c r="A61" i="3"/>
  <c r="L60" i="3"/>
  <c r="K60" i="3"/>
  <c r="F60" i="3"/>
  <c r="E60" i="3"/>
  <c r="D60" i="3"/>
  <c r="C60" i="3"/>
  <c r="B60" i="3"/>
  <c r="A60" i="3"/>
  <c r="L59" i="3"/>
  <c r="K59" i="3"/>
  <c r="F59" i="3"/>
  <c r="E59" i="3"/>
  <c r="D59" i="3"/>
  <c r="C59" i="3"/>
  <c r="B59" i="3"/>
  <c r="A59" i="3"/>
  <c r="L58" i="3"/>
  <c r="K58" i="3"/>
  <c r="F58" i="3"/>
  <c r="E58" i="3"/>
  <c r="D58" i="3"/>
  <c r="C58" i="3"/>
  <c r="B58" i="3"/>
  <c r="A58" i="3"/>
  <c r="L57" i="3"/>
  <c r="K57" i="3"/>
  <c r="F57" i="3"/>
  <c r="E57" i="3"/>
  <c r="D57" i="3"/>
  <c r="C57" i="3"/>
  <c r="B57" i="3"/>
  <c r="A57" i="3"/>
  <c r="L56" i="3"/>
  <c r="K56" i="3"/>
  <c r="F56" i="3"/>
  <c r="E56" i="3"/>
  <c r="D56" i="3"/>
  <c r="C56" i="3"/>
  <c r="B56" i="3"/>
  <c r="A56" i="3"/>
  <c r="L55" i="3"/>
  <c r="K55" i="3"/>
  <c r="F55" i="3"/>
  <c r="E55" i="3"/>
  <c r="D55" i="3"/>
  <c r="C55" i="3"/>
  <c r="B55" i="3"/>
  <c r="A55" i="3"/>
  <c r="L54" i="3"/>
  <c r="K54" i="3"/>
  <c r="F54" i="3"/>
  <c r="E54" i="3"/>
  <c r="D54" i="3"/>
  <c r="C54" i="3"/>
  <c r="B54" i="3"/>
  <c r="A54" i="3"/>
  <c r="L53" i="3"/>
  <c r="K53" i="3"/>
  <c r="F53" i="3"/>
  <c r="E53" i="3"/>
  <c r="D53" i="3"/>
  <c r="C53" i="3"/>
  <c r="B53" i="3"/>
  <c r="A53" i="3"/>
  <c r="L52" i="3"/>
  <c r="K52" i="3"/>
  <c r="F52" i="3"/>
  <c r="E52" i="3"/>
  <c r="D52" i="3"/>
  <c r="C52" i="3"/>
  <c r="B52" i="3"/>
  <c r="A52" i="3"/>
  <c r="L51" i="3"/>
  <c r="K51" i="3"/>
  <c r="F51" i="3"/>
  <c r="E51" i="3"/>
  <c r="D51" i="3"/>
  <c r="C51" i="3"/>
  <c r="B51" i="3"/>
  <c r="A51" i="3"/>
  <c r="L50" i="3"/>
  <c r="K50" i="3"/>
  <c r="F50" i="3"/>
  <c r="E50" i="3"/>
  <c r="D50" i="3"/>
  <c r="C50" i="3"/>
  <c r="B50" i="3"/>
  <c r="A50" i="3"/>
  <c r="L49" i="3"/>
  <c r="K49" i="3"/>
  <c r="F49" i="3"/>
  <c r="E49" i="3"/>
  <c r="D49" i="3"/>
  <c r="C49" i="3"/>
  <c r="B49" i="3"/>
  <c r="A49" i="3"/>
  <c r="L48" i="3"/>
  <c r="K48" i="3"/>
  <c r="F48" i="3"/>
  <c r="E48" i="3"/>
  <c r="D48" i="3"/>
  <c r="C48" i="3"/>
  <c r="B48" i="3"/>
  <c r="A48" i="3"/>
  <c r="L47" i="3"/>
  <c r="K47" i="3"/>
  <c r="F47" i="3"/>
  <c r="E47" i="3"/>
  <c r="D47" i="3"/>
  <c r="C47" i="3"/>
  <c r="B47" i="3"/>
  <c r="A47" i="3"/>
  <c r="L46" i="3"/>
  <c r="K46" i="3"/>
  <c r="F46" i="3"/>
  <c r="E46" i="3"/>
  <c r="D46" i="3"/>
  <c r="C46" i="3"/>
  <c r="B46" i="3"/>
  <c r="A46" i="3"/>
  <c r="L45" i="3"/>
  <c r="K45" i="3"/>
  <c r="F45" i="3"/>
  <c r="E45" i="3"/>
  <c r="D45" i="3"/>
  <c r="C45" i="3"/>
  <c r="B45" i="3"/>
  <c r="A45" i="3"/>
  <c r="L44" i="3"/>
  <c r="K44" i="3"/>
  <c r="F44" i="3"/>
  <c r="E44" i="3"/>
  <c r="D44" i="3"/>
  <c r="C44" i="3"/>
  <c r="B44" i="3"/>
  <c r="A44" i="3"/>
  <c r="L43" i="3"/>
  <c r="K43" i="3"/>
  <c r="F43" i="3"/>
  <c r="E43" i="3"/>
  <c r="D43" i="3"/>
  <c r="C43" i="3"/>
  <c r="B43" i="3"/>
  <c r="A43" i="3"/>
  <c r="L42" i="3"/>
  <c r="K42" i="3"/>
  <c r="F42" i="3"/>
  <c r="E42" i="3"/>
  <c r="D42" i="3"/>
  <c r="C42" i="3"/>
  <c r="B42" i="3"/>
  <c r="A42" i="3"/>
  <c r="L41" i="3"/>
  <c r="K41" i="3"/>
  <c r="F41" i="3"/>
  <c r="E41" i="3"/>
  <c r="D41" i="3"/>
  <c r="C41" i="3"/>
  <c r="B41" i="3"/>
  <c r="A41" i="3"/>
  <c r="L40" i="3"/>
  <c r="K40" i="3"/>
  <c r="F40" i="3"/>
  <c r="E40" i="3"/>
  <c r="D40" i="3"/>
  <c r="C40" i="3"/>
  <c r="B40" i="3"/>
  <c r="A40" i="3"/>
  <c r="L39" i="3"/>
  <c r="K39" i="3"/>
  <c r="F39" i="3"/>
  <c r="E39" i="3"/>
  <c r="D39" i="3"/>
  <c r="C39" i="3"/>
  <c r="B39" i="3"/>
  <c r="A39" i="3"/>
  <c r="L38" i="3"/>
  <c r="K38" i="3"/>
  <c r="F38" i="3"/>
  <c r="E38" i="3"/>
  <c r="D38" i="3"/>
  <c r="C38" i="3"/>
  <c r="B38" i="3"/>
  <c r="A38" i="3"/>
  <c r="L37" i="3"/>
  <c r="K37" i="3"/>
  <c r="F37" i="3"/>
  <c r="E37" i="3"/>
  <c r="D37" i="3"/>
  <c r="C37" i="3"/>
  <c r="B37" i="3"/>
  <c r="A37" i="3"/>
  <c r="L36" i="3"/>
  <c r="K36" i="3"/>
  <c r="F36" i="3"/>
  <c r="E36" i="3"/>
  <c r="D36" i="3"/>
  <c r="C36" i="3"/>
  <c r="B36" i="3"/>
  <c r="A36" i="3"/>
  <c r="L35" i="3"/>
  <c r="K35" i="3"/>
  <c r="F35" i="3"/>
  <c r="E35" i="3"/>
  <c r="D35" i="3"/>
  <c r="C35" i="3"/>
  <c r="B35" i="3"/>
  <c r="A35" i="3"/>
  <c r="L34" i="3"/>
  <c r="K34" i="3"/>
  <c r="F34" i="3"/>
  <c r="E34" i="3"/>
  <c r="D34" i="3"/>
  <c r="C34" i="3"/>
  <c r="B34" i="3"/>
  <c r="A34" i="3"/>
  <c r="L33" i="3"/>
  <c r="K33" i="3"/>
  <c r="F33" i="3"/>
  <c r="E33" i="3"/>
  <c r="D33" i="3"/>
  <c r="C33" i="3"/>
  <c r="B33" i="3"/>
  <c r="A33" i="3"/>
  <c r="L32" i="3"/>
  <c r="K32" i="3"/>
  <c r="F32" i="3"/>
  <c r="E32" i="3"/>
  <c r="D32" i="3"/>
  <c r="C32" i="3"/>
  <c r="B32" i="3"/>
  <c r="A32" i="3"/>
  <c r="L31" i="3"/>
  <c r="K31" i="3"/>
  <c r="F31" i="3"/>
  <c r="E31" i="3"/>
  <c r="D31" i="3"/>
  <c r="C31" i="3"/>
  <c r="B31" i="3"/>
  <c r="A31" i="3"/>
  <c r="L30" i="3"/>
  <c r="K30" i="3"/>
  <c r="F30" i="3"/>
  <c r="E30" i="3"/>
  <c r="D30" i="3"/>
  <c r="C30" i="3"/>
  <c r="B30" i="3"/>
  <c r="A30" i="3"/>
  <c r="L29" i="3"/>
  <c r="K29" i="3"/>
  <c r="F29" i="3"/>
  <c r="E29" i="3"/>
  <c r="D29" i="3"/>
  <c r="C29" i="3"/>
  <c r="B29" i="3"/>
  <c r="A29" i="3"/>
  <c r="L28" i="3"/>
  <c r="K28" i="3"/>
  <c r="F28" i="3"/>
  <c r="E28" i="3"/>
  <c r="D28" i="3"/>
  <c r="C28" i="3"/>
  <c r="B28" i="3"/>
  <c r="A28" i="3"/>
  <c r="L27" i="3"/>
  <c r="K27" i="3"/>
  <c r="F27" i="3"/>
  <c r="E27" i="3"/>
  <c r="D27" i="3"/>
  <c r="C27" i="3"/>
  <c r="B27" i="3"/>
  <c r="A27" i="3"/>
  <c r="L26" i="3"/>
  <c r="K26" i="3"/>
  <c r="F26" i="3"/>
  <c r="E26" i="3"/>
  <c r="D26" i="3"/>
  <c r="C26" i="3"/>
  <c r="B26" i="3"/>
  <c r="A26" i="3"/>
  <c r="L25" i="3"/>
  <c r="K25" i="3"/>
  <c r="F25" i="3"/>
  <c r="E25" i="3"/>
  <c r="D25" i="3"/>
  <c r="C25" i="3"/>
  <c r="B25" i="3"/>
  <c r="A25" i="3"/>
  <c r="L24" i="3"/>
  <c r="K24" i="3"/>
  <c r="F24" i="3"/>
  <c r="E24" i="3"/>
  <c r="D24" i="3"/>
  <c r="C24" i="3"/>
  <c r="B24" i="3"/>
  <c r="A24" i="3"/>
  <c r="L23" i="3"/>
  <c r="K23" i="3"/>
  <c r="F23" i="3"/>
  <c r="E23" i="3"/>
  <c r="D23" i="3"/>
  <c r="C23" i="3"/>
  <c r="B23" i="3"/>
  <c r="A23" i="3"/>
  <c r="L22" i="3"/>
  <c r="K22" i="3"/>
  <c r="F22" i="3"/>
  <c r="E22" i="3"/>
  <c r="D22" i="3"/>
  <c r="C22" i="3"/>
  <c r="B22" i="3"/>
  <c r="A22" i="3"/>
  <c r="L21" i="3"/>
  <c r="K21" i="3"/>
  <c r="F21" i="3"/>
  <c r="E21" i="3"/>
  <c r="D21" i="3"/>
  <c r="C21" i="3"/>
  <c r="B21" i="3"/>
  <c r="A21" i="3"/>
  <c r="L20" i="3"/>
  <c r="K20" i="3"/>
  <c r="F20" i="3"/>
  <c r="E20" i="3"/>
  <c r="D20" i="3"/>
  <c r="C20" i="3"/>
  <c r="B20" i="3"/>
  <c r="A20" i="3"/>
  <c r="L19" i="3"/>
  <c r="K19" i="3"/>
  <c r="F19" i="3"/>
  <c r="E19" i="3"/>
  <c r="D19" i="3"/>
  <c r="C19" i="3"/>
  <c r="B19" i="3"/>
  <c r="A19" i="3"/>
  <c r="L18" i="3"/>
  <c r="K18" i="3"/>
  <c r="F18" i="3"/>
  <c r="E18" i="3"/>
  <c r="D18" i="3"/>
  <c r="C18" i="3"/>
  <c r="B18" i="3"/>
  <c r="A18" i="3"/>
  <c r="L17" i="3"/>
  <c r="K17" i="3"/>
  <c r="F17" i="3"/>
  <c r="E17" i="3"/>
  <c r="D17" i="3"/>
  <c r="C17" i="3"/>
  <c r="B17" i="3"/>
  <c r="A17" i="3"/>
  <c r="L16" i="3"/>
  <c r="K16" i="3"/>
  <c r="F16" i="3"/>
  <c r="E16" i="3"/>
  <c r="D16" i="3"/>
  <c r="C16" i="3"/>
  <c r="B16" i="3"/>
  <c r="A16" i="3"/>
  <c r="L15" i="3"/>
  <c r="K15" i="3"/>
  <c r="F15" i="3"/>
  <c r="E15" i="3"/>
  <c r="D15" i="3"/>
  <c r="C15" i="3"/>
  <c r="B15" i="3"/>
  <c r="A15" i="3"/>
  <c r="L14" i="3"/>
  <c r="K14" i="3"/>
  <c r="F14" i="3"/>
  <c r="E14" i="3"/>
  <c r="D14" i="3"/>
  <c r="C14" i="3"/>
  <c r="B14" i="3"/>
  <c r="A14" i="3"/>
  <c r="L13" i="3"/>
  <c r="K13" i="3"/>
  <c r="F13" i="3"/>
  <c r="E13" i="3"/>
  <c r="D13" i="3"/>
  <c r="C13" i="3"/>
  <c r="B13" i="3"/>
  <c r="A13" i="3"/>
  <c r="L12" i="3"/>
  <c r="K12" i="3"/>
  <c r="F12" i="3"/>
  <c r="E12" i="3"/>
  <c r="D12" i="3"/>
  <c r="C12" i="3"/>
  <c r="B12" i="3"/>
  <c r="A12" i="3"/>
  <c r="L11" i="3"/>
  <c r="K11" i="3"/>
  <c r="F11" i="3"/>
  <c r="E11" i="3"/>
  <c r="D11" i="3"/>
  <c r="C11" i="3"/>
  <c r="B11" i="3"/>
  <c r="A11" i="3"/>
  <c r="L10" i="3"/>
  <c r="K10" i="3"/>
  <c r="F10" i="3"/>
  <c r="E10" i="3"/>
  <c r="D10" i="3"/>
  <c r="C10" i="3"/>
  <c r="B10" i="3"/>
  <c r="A10" i="3"/>
  <c r="L9" i="3"/>
  <c r="K9" i="3"/>
  <c r="F9" i="3"/>
  <c r="E9" i="3"/>
  <c r="D9" i="3"/>
  <c r="C9" i="3"/>
  <c r="B9" i="3"/>
  <c r="A9" i="3"/>
  <c r="L8" i="3"/>
  <c r="K8" i="3"/>
  <c r="F8" i="3"/>
  <c r="E8" i="3"/>
  <c r="D8" i="3"/>
  <c r="C8" i="3"/>
  <c r="B8" i="3"/>
  <c r="A8" i="3"/>
  <c r="L7" i="3"/>
  <c r="K7" i="3"/>
  <c r="F7" i="3"/>
  <c r="E7" i="3"/>
  <c r="D7" i="3"/>
  <c r="C7" i="3"/>
  <c r="B7" i="3"/>
  <c r="A7" i="3"/>
  <c r="L6" i="3"/>
  <c r="K6" i="3"/>
  <c r="F6" i="3"/>
  <c r="E6" i="3"/>
  <c r="D6" i="3"/>
  <c r="C6" i="3"/>
  <c r="B6" i="3"/>
  <c r="A6" i="3"/>
  <c r="L5" i="3"/>
  <c r="K5" i="3"/>
  <c r="F5" i="3"/>
  <c r="E5" i="3"/>
  <c r="D5" i="3"/>
  <c r="C5" i="3"/>
  <c r="B5" i="3"/>
  <c r="A5" i="3"/>
  <c r="L4" i="3"/>
  <c r="K4" i="3"/>
  <c r="F4" i="3"/>
  <c r="E4" i="3"/>
  <c r="D4" i="3"/>
  <c r="C4" i="3"/>
  <c r="B4" i="3"/>
  <c r="A4" i="3"/>
  <c r="L3" i="3"/>
  <c r="K3" i="3"/>
  <c r="F3" i="3"/>
  <c r="E3" i="3"/>
  <c r="D3" i="3"/>
  <c r="C3" i="3"/>
  <c r="B3" i="3"/>
  <c r="A3" i="3"/>
  <c r="L2" i="3"/>
  <c r="K2" i="3"/>
  <c r="F2" i="3"/>
  <c r="E2" i="3"/>
  <c r="D2" i="3"/>
  <c r="C2" i="3"/>
  <c r="B2" i="3"/>
  <c r="A2" i="3"/>
  <c r="J379" i="2"/>
  <c r="N379" i="2" s="1"/>
  <c r="I379" i="2"/>
  <c r="H379" i="2"/>
  <c r="G379" i="2"/>
  <c r="J378" i="2"/>
  <c r="N378" i="2" s="1"/>
  <c r="I378" i="2"/>
  <c r="H378" i="2"/>
  <c r="G378" i="2"/>
  <c r="J377" i="2"/>
  <c r="N377" i="2" s="1"/>
  <c r="I377" i="2"/>
  <c r="H377" i="2"/>
  <c r="G377" i="2"/>
  <c r="J376" i="2"/>
  <c r="N376" i="2" s="1"/>
  <c r="I376" i="2"/>
  <c r="H376" i="2"/>
  <c r="G376" i="2"/>
  <c r="J375" i="2"/>
  <c r="N375" i="2" s="1"/>
  <c r="I375" i="2"/>
  <c r="H375" i="2"/>
  <c r="G375" i="2"/>
  <c r="J374" i="2"/>
  <c r="N374" i="2" s="1"/>
  <c r="I374" i="2"/>
  <c r="H374" i="2"/>
  <c r="G374" i="2"/>
  <c r="J373" i="2"/>
  <c r="N373" i="2" s="1"/>
  <c r="I373" i="2"/>
  <c r="H373" i="2"/>
  <c r="G373" i="2"/>
  <c r="J372" i="2"/>
  <c r="N372" i="2" s="1"/>
  <c r="I372" i="2"/>
  <c r="H372" i="2"/>
  <c r="G372" i="2"/>
  <c r="I371" i="2"/>
  <c r="G371" i="2"/>
  <c r="M370" i="2"/>
  <c r="J370" i="2"/>
  <c r="N370" i="2" s="1"/>
  <c r="I370" i="2"/>
  <c r="H370" i="2"/>
  <c r="G370" i="2"/>
  <c r="N369" i="2"/>
  <c r="M369" i="2"/>
  <c r="J369" i="2"/>
  <c r="I369" i="2"/>
  <c r="H369" i="2"/>
  <c r="G369" i="2"/>
  <c r="M368" i="2"/>
  <c r="J368" i="2"/>
  <c r="N368" i="2" s="1"/>
  <c r="I368" i="2"/>
  <c r="H368" i="2"/>
  <c r="G368" i="2"/>
  <c r="N367" i="2"/>
  <c r="M367" i="2"/>
  <c r="J367" i="2"/>
  <c r="I367" i="2"/>
  <c r="H367" i="2"/>
  <c r="G367" i="2"/>
  <c r="J366" i="2"/>
  <c r="N366" i="2" s="1"/>
  <c r="I366" i="2"/>
  <c r="H366" i="2"/>
  <c r="G366" i="2"/>
  <c r="M365" i="2"/>
  <c r="J365" i="2"/>
  <c r="N365" i="2" s="1"/>
  <c r="I365" i="2"/>
  <c r="H365" i="2"/>
  <c r="G365" i="2"/>
  <c r="M364" i="2"/>
  <c r="J364" i="2"/>
  <c r="N364" i="2" s="1"/>
  <c r="I364" i="2"/>
  <c r="H364" i="2"/>
  <c r="G364" i="2"/>
  <c r="J363" i="2"/>
  <c r="N363" i="2" s="1"/>
  <c r="I363" i="2"/>
  <c r="H363" i="2"/>
  <c r="G363" i="2"/>
  <c r="J362" i="2"/>
  <c r="N362" i="2" s="1"/>
  <c r="I362" i="2"/>
  <c r="H362" i="2"/>
  <c r="G362" i="2"/>
  <c r="J361" i="2"/>
  <c r="N361" i="2" s="1"/>
  <c r="I361" i="2"/>
  <c r="H361" i="2"/>
  <c r="G361" i="2"/>
  <c r="J360" i="2"/>
  <c r="N360" i="2" s="1"/>
  <c r="I360" i="2"/>
  <c r="H360" i="2"/>
  <c r="G360" i="2"/>
  <c r="N359" i="2"/>
  <c r="J359" i="2"/>
  <c r="M359" i="2" s="1"/>
  <c r="I359" i="2"/>
  <c r="H359" i="2"/>
  <c r="G359" i="2"/>
  <c r="M358" i="2"/>
  <c r="J358" i="2"/>
  <c r="N358" i="2" s="1"/>
  <c r="I358" i="2"/>
  <c r="H358" i="2"/>
  <c r="G358" i="2"/>
  <c r="N357" i="2"/>
  <c r="M357" i="2"/>
  <c r="J357" i="2"/>
  <c r="I357" i="2"/>
  <c r="H357" i="2"/>
  <c r="G357" i="2"/>
  <c r="M356" i="2"/>
  <c r="J356" i="2"/>
  <c r="N356" i="2" s="1"/>
  <c r="I356" i="2"/>
  <c r="H356" i="2"/>
  <c r="G356" i="2"/>
  <c r="N355" i="2"/>
  <c r="M355" i="2"/>
  <c r="J355" i="2"/>
  <c r="I355" i="2"/>
  <c r="H355" i="2"/>
  <c r="G355" i="2"/>
  <c r="M354" i="2"/>
  <c r="J354" i="2"/>
  <c r="N354" i="2" s="1"/>
  <c r="I354" i="2"/>
  <c r="H354" i="2"/>
  <c r="G354" i="2"/>
  <c r="J353" i="2"/>
  <c r="N353" i="2" s="1"/>
  <c r="I353" i="2"/>
  <c r="H353" i="2"/>
  <c r="G353" i="2"/>
  <c r="J352" i="2"/>
  <c r="N352" i="2" s="1"/>
  <c r="I352" i="2"/>
  <c r="H352" i="2"/>
  <c r="G352" i="2"/>
  <c r="M351" i="2"/>
  <c r="J351" i="2"/>
  <c r="N351" i="2" s="1"/>
  <c r="I351" i="2"/>
  <c r="H351" i="2"/>
  <c r="G351" i="2"/>
  <c r="J350" i="2"/>
  <c r="N350" i="2" s="1"/>
  <c r="I350" i="2"/>
  <c r="H350" i="2"/>
  <c r="G350" i="2"/>
  <c r="J349" i="2"/>
  <c r="N349" i="2" s="1"/>
  <c r="I349" i="2"/>
  <c r="H349" i="2"/>
  <c r="G349" i="2"/>
  <c r="J348" i="2"/>
  <c r="N348" i="2" s="1"/>
  <c r="I348" i="2"/>
  <c r="H348" i="2"/>
  <c r="G348" i="2"/>
  <c r="N347" i="2"/>
  <c r="J347" i="2"/>
  <c r="M347" i="2" s="1"/>
  <c r="I347" i="2"/>
  <c r="H347" i="2"/>
  <c r="G347" i="2"/>
  <c r="M346" i="2"/>
  <c r="J346" i="2"/>
  <c r="N346" i="2" s="1"/>
  <c r="I346" i="2"/>
  <c r="H346" i="2"/>
  <c r="G346" i="2"/>
  <c r="N345" i="2"/>
  <c r="M345" i="2"/>
  <c r="J345" i="2"/>
  <c r="I345" i="2"/>
  <c r="H345" i="2"/>
  <c r="G345" i="2"/>
  <c r="M344" i="2"/>
  <c r="J344" i="2"/>
  <c r="N344" i="2" s="1"/>
  <c r="I344" i="2"/>
  <c r="H344" i="2"/>
  <c r="G344" i="2"/>
  <c r="N343" i="2"/>
  <c r="M343" i="2"/>
  <c r="J343" i="2"/>
  <c r="I343" i="2"/>
  <c r="H343" i="2"/>
  <c r="G343" i="2"/>
  <c r="J342" i="2"/>
  <c r="N342" i="2" s="1"/>
  <c r="I342" i="2"/>
  <c r="H342" i="2"/>
  <c r="G342" i="2"/>
  <c r="M341" i="2"/>
  <c r="J341" i="2"/>
  <c r="N341" i="2" s="1"/>
  <c r="I341" i="2"/>
  <c r="H341" i="2"/>
  <c r="G341" i="2"/>
  <c r="M340" i="2"/>
  <c r="J340" i="2"/>
  <c r="N340" i="2" s="1"/>
  <c r="I340" i="2"/>
  <c r="H340" i="2"/>
  <c r="G340" i="2"/>
  <c r="J339" i="2"/>
  <c r="N339" i="2" s="1"/>
  <c r="I339" i="2"/>
  <c r="H339" i="2"/>
  <c r="G339" i="2"/>
  <c r="J338" i="2"/>
  <c r="N338" i="2" s="1"/>
  <c r="I338" i="2"/>
  <c r="H338" i="2"/>
  <c r="G338" i="2"/>
  <c r="M337" i="2"/>
  <c r="J337" i="2"/>
  <c r="N337" i="2" s="1"/>
  <c r="I337" i="2"/>
  <c r="H337" i="2"/>
  <c r="G337" i="2"/>
  <c r="J336" i="2"/>
  <c r="N336" i="2" s="1"/>
  <c r="I336" i="2"/>
  <c r="H336" i="2"/>
  <c r="G336" i="2"/>
  <c r="N335" i="2"/>
  <c r="J335" i="2"/>
  <c r="M335" i="2" s="1"/>
  <c r="I335" i="2"/>
  <c r="H335" i="2"/>
  <c r="G335" i="2"/>
  <c r="M334" i="2"/>
  <c r="J334" i="2"/>
  <c r="N334" i="2" s="1"/>
  <c r="I334" i="2"/>
  <c r="H334" i="2"/>
  <c r="G334" i="2"/>
  <c r="N333" i="2"/>
  <c r="M333" i="2"/>
  <c r="J333" i="2"/>
  <c r="I333" i="2"/>
  <c r="H333" i="2"/>
  <c r="G333" i="2"/>
  <c r="M332" i="2"/>
  <c r="J332" i="2"/>
  <c r="N332" i="2" s="1"/>
  <c r="I332" i="2"/>
  <c r="H332" i="2"/>
  <c r="G332" i="2"/>
  <c r="N331" i="2"/>
  <c r="M331" i="2"/>
  <c r="J331" i="2"/>
  <c r="I331" i="2"/>
  <c r="H331" i="2"/>
  <c r="G331" i="2"/>
  <c r="M330" i="2"/>
  <c r="J330" i="2"/>
  <c r="N330" i="2" s="1"/>
  <c r="I330" i="2"/>
  <c r="H330" i="2"/>
  <c r="G330" i="2"/>
  <c r="J329" i="2"/>
  <c r="N329" i="2" s="1"/>
  <c r="I329" i="2"/>
  <c r="H329" i="2"/>
  <c r="G329" i="2"/>
  <c r="J328" i="2"/>
  <c r="I328" i="2"/>
  <c r="I292" i="3" s="1"/>
  <c r="H328" i="2"/>
  <c r="H292" i="3" s="1"/>
  <c r="G328" i="2"/>
  <c r="G292" i="3" s="1"/>
  <c r="M327" i="2"/>
  <c r="J327" i="2"/>
  <c r="J291" i="3" s="1"/>
  <c r="I327" i="2"/>
  <c r="I291" i="3" s="1"/>
  <c r="H327" i="2"/>
  <c r="H291" i="3" s="1"/>
  <c r="G327" i="2"/>
  <c r="G291" i="3" s="1"/>
  <c r="M326" i="2"/>
  <c r="J326" i="2"/>
  <c r="I326" i="2"/>
  <c r="I290" i="3" s="1"/>
  <c r="H326" i="2"/>
  <c r="H290" i="3" s="1"/>
  <c r="G326" i="2"/>
  <c r="G290" i="3" s="1"/>
  <c r="J325" i="2"/>
  <c r="J289" i="3" s="1"/>
  <c r="I325" i="2"/>
  <c r="I289" i="3" s="1"/>
  <c r="H325" i="2"/>
  <c r="H289" i="3" s="1"/>
  <c r="G325" i="2"/>
  <c r="G289" i="3" s="1"/>
  <c r="J324" i="2"/>
  <c r="I324" i="2"/>
  <c r="I288" i="3" s="1"/>
  <c r="H324" i="2"/>
  <c r="H288" i="3" s="1"/>
  <c r="G324" i="2"/>
  <c r="G288" i="3" s="1"/>
  <c r="N323" i="2"/>
  <c r="J323" i="2"/>
  <c r="J287" i="3" s="1"/>
  <c r="I323" i="2"/>
  <c r="I287" i="3" s="1"/>
  <c r="H323" i="2"/>
  <c r="H287" i="3" s="1"/>
  <c r="G323" i="2"/>
  <c r="G287" i="3" s="1"/>
  <c r="M322" i="2"/>
  <c r="J322" i="2"/>
  <c r="I322" i="2"/>
  <c r="I286" i="3" s="1"/>
  <c r="H322" i="2"/>
  <c r="H286" i="3" s="1"/>
  <c r="G322" i="2"/>
  <c r="G286" i="3" s="1"/>
  <c r="N321" i="2"/>
  <c r="M321" i="2"/>
  <c r="J321" i="2"/>
  <c r="J285" i="3" s="1"/>
  <c r="I321" i="2"/>
  <c r="I285" i="3" s="1"/>
  <c r="H321" i="2"/>
  <c r="H285" i="3" s="1"/>
  <c r="G321" i="2"/>
  <c r="G285" i="3" s="1"/>
  <c r="M320" i="2"/>
  <c r="J320" i="2"/>
  <c r="I320" i="2"/>
  <c r="I284" i="3" s="1"/>
  <c r="H320" i="2"/>
  <c r="H284" i="3" s="1"/>
  <c r="G320" i="2"/>
  <c r="G284" i="3" s="1"/>
  <c r="N319" i="2"/>
  <c r="M319" i="2"/>
  <c r="J319" i="2"/>
  <c r="J283" i="3" s="1"/>
  <c r="I319" i="2"/>
  <c r="I283" i="3" s="1"/>
  <c r="H319" i="2"/>
  <c r="H283" i="3" s="1"/>
  <c r="G319" i="2"/>
  <c r="G283" i="3" s="1"/>
  <c r="J318" i="2"/>
  <c r="I318" i="2"/>
  <c r="I282" i="3" s="1"/>
  <c r="H318" i="2"/>
  <c r="H282" i="3" s="1"/>
  <c r="G318" i="2"/>
  <c r="G282" i="3" s="1"/>
  <c r="M317" i="2"/>
  <c r="J317" i="2"/>
  <c r="J281" i="3" s="1"/>
  <c r="I317" i="2"/>
  <c r="I281" i="3" s="1"/>
  <c r="H317" i="2"/>
  <c r="H281" i="3" s="1"/>
  <c r="G317" i="2"/>
  <c r="G281" i="3" s="1"/>
  <c r="M316" i="2"/>
  <c r="J316" i="2"/>
  <c r="I316" i="2"/>
  <c r="I280" i="3" s="1"/>
  <c r="H316" i="2"/>
  <c r="H280" i="3" s="1"/>
  <c r="G316" i="2"/>
  <c r="G280" i="3" s="1"/>
  <c r="J315" i="2"/>
  <c r="J279" i="3" s="1"/>
  <c r="I315" i="2"/>
  <c r="I279" i="3" s="1"/>
  <c r="H315" i="2"/>
  <c r="H279" i="3" s="1"/>
  <c r="G315" i="2"/>
  <c r="G279" i="3" s="1"/>
  <c r="J314" i="2"/>
  <c r="I314" i="2"/>
  <c r="I278" i="3" s="1"/>
  <c r="H314" i="2"/>
  <c r="H278" i="3" s="1"/>
  <c r="G314" i="2"/>
  <c r="G278" i="3" s="1"/>
  <c r="N313" i="2"/>
  <c r="M313" i="2"/>
  <c r="J313" i="2"/>
  <c r="J277" i="3" s="1"/>
  <c r="I313" i="2"/>
  <c r="I277" i="3" s="1"/>
  <c r="H313" i="2"/>
  <c r="H277" i="3" s="1"/>
  <c r="G313" i="2"/>
  <c r="G277" i="3" s="1"/>
  <c r="J312" i="2"/>
  <c r="I312" i="2"/>
  <c r="I276" i="3" s="1"/>
  <c r="H312" i="2"/>
  <c r="H276" i="3" s="1"/>
  <c r="G312" i="2"/>
  <c r="G276" i="3" s="1"/>
  <c r="N311" i="2"/>
  <c r="J311" i="2"/>
  <c r="J275" i="3" s="1"/>
  <c r="I311" i="2"/>
  <c r="I275" i="3" s="1"/>
  <c r="H311" i="2"/>
  <c r="H275" i="3" s="1"/>
  <c r="G311" i="2"/>
  <c r="G275" i="3" s="1"/>
  <c r="M310" i="2"/>
  <c r="J310" i="2"/>
  <c r="I310" i="2"/>
  <c r="I274" i="3" s="1"/>
  <c r="H310" i="2"/>
  <c r="H274" i="3" s="1"/>
  <c r="G310" i="2"/>
  <c r="G274" i="3" s="1"/>
  <c r="N309" i="2"/>
  <c r="M309" i="2"/>
  <c r="J309" i="2"/>
  <c r="J273" i="3" s="1"/>
  <c r="I309" i="2"/>
  <c r="I273" i="3" s="1"/>
  <c r="H309" i="2"/>
  <c r="H273" i="3" s="1"/>
  <c r="G309" i="2"/>
  <c r="G273" i="3" s="1"/>
  <c r="M308" i="2"/>
  <c r="J308" i="2"/>
  <c r="I308" i="2"/>
  <c r="I272" i="3" s="1"/>
  <c r="H308" i="2"/>
  <c r="H272" i="3" s="1"/>
  <c r="G308" i="2"/>
  <c r="G272" i="3" s="1"/>
  <c r="N307" i="2"/>
  <c r="M307" i="2"/>
  <c r="J307" i="2"/>
  <c r="J271" i="3" s="1"/>
  <c r="I307" i="2"/>
  <c r="I271" i="3" s="1"/>
  <c r="H307" i="2"/>
  <c r="H271" i="3" s="1"/>
  <c r="G307" i="2"/>
  <c r="G271" i="3" s="1"/>
  <c r="M306" i="2"/>
  <c r="J306" i="2"/>
  <c r="I306" i="2"/>
  <c r="I270" i="3" s="1"/>
  <c r="H306" i="2"/>
  <c r="H270" i="3" s="1"/>
  <c r="G306" i="2"/>
  <c r="G270" i="3" s="1"/>
  <c r="J305" i="2"/>
  <c r="J269" i="3" s="1"/>
  <c r="I305" i="2"/>
  <c r="I269" i="3" s="1"/>
  <c r="H305" i="2"/>
  <c r="H269" i="3" s="1"/>
  <c r="G305" i="2"/>
  <c r="G269" i="3" s="1"/>
  <c r="J304" i="2"/>
  <c r="I304" i="2"/>
  <c r="I268" i="3" s="1"/>
  <c r="H304" i="2"/>
  <c r="H268" i="3" s="1"/>
  <c r="G304" i="2"/>
  <c r="G268" i="3" s="1"/>
  <c r="M303" i="2"/>
  <c r="J303" i="2"/>
  <c r="J267" i="3" s="1"/>
  <c r="I303" i="2"/>
  <c r="I267" i="3" s="1"/>
  <c r="H303" i="2"/>
  <c r="H267" i="3" s="1"/>
  <c r="G303" i="2"/>
  <c r="G267" i="3" s="1"/>
  <c r="M302" i="2"/>
  <c r="J302" i="2"/>
  <c r="I302" i="2"/>
  <c r="I266" i="3" s="1"/>
  <c r="H302" i="2"/>
  <c r="H266" i="3" s="1"/>
  <c r="G302" i="2"/>
  <c r="G266" i="3" s="1"/>
  <c r="J301" i="2"/>
  <c r="J265" i="3" s="1"/>
  <c r="I301" i="2"/>
  <c r="I265" i="3" s="1"/>
  <c r="H301" i="2"/>
  <c r="H265" i="3" s="1"/>
  <c r="G301" i="2"/>
  <c r="G265" i="3" s="1"/>
  <c r="J300" i="2"/>
  <c r="I300" i="2"/>
  <c r="I264" i="3" s="1"/>
  <c r="H300" i="2"/>
  <c r="H264" i="3" s="1"/>
  <c r="G300" i="2"/>
  <c r="G264" i="3" s="1"/>
  <c r="N299" i="2"/>
  <c r="J299" i="2"/>
  <c r="J263" i="3" s="1"/>
  <c r="I299" i="2"/>
  <c r="I263" i="3" s="1"/>
  <c r="H299" i="2"/>
  <c r="H263" i="3" s="1"/>
  <c r="G299" i="2"/>
  <c r="G263" i="3" s="1"/>
  <c r="M298" i="2"/>
  <c r="J298" i="2"/>
  <c r="I298" i="2"/>
  <c r="I262" i="3" s="1"/>
  <c r="H298" i="2"/>
  <c r="H262" i="3" s="1"/>
  <c r="G298" i="2"/>
  <c r="G262" i="3" s="1"/>
  <c r="N297" i="2"/>
  <c r="M297" i="2"/>
  <c r="J297" i="2"/>
  <c r="J261" i="3" s="1"/>
  <c r="I297" i="2"/>
  <c r="I261" i="3" s="1"/>
  <c r="H297" i="2"/>
  <c r="H261" i="3" s="1"/>
  <c r="G297" i="2"/>
  <c r="G261" i="3" s="1"/>
  <c r="M296" i="2"/>
  <c r="J296" i="2"/>
  <c r="I296" i="2"/>
  <c r="I260" i="3" s="1"/>
  <c r="H296" i="2"/>
  <c r="H260" i="3" s="1"/>
  <c r="G296" i="2"/>
  <c r="G260" i="3" s="1"/>
  <c r="N295" i="2"/>
  <c r="M295" i="2"/>
  <c r="J295" i="2"/>
  <c r="J259" i="3" s="1"/>
  <c r="I295" i="2"/>
  <c r="I259" i="3" s="1"/>
  <c r="H295" i="2"/>
  <c r="H259" i="3" s="1"/>
  <c r="G295" i="2"/>
  <c r="G259" i="3" s="1"/>
  <c r="J294" i="2"/>
  <c r="I294" i="2"/>
  <c r="I258" i="3" s="1"/>
  <c r="H294" i="2"/>
  <c r="H258" i="3" s="1"/>
  <c r="G294" i="2"/>
  <c r="G258" i="3" s="1"/>
  <c r="M293" i="2"/>
  <c r="J293" i="2"/>
  <c r="J257" i="3" s="1"/>
  <c r="I293" i="2"/>
  <c r="I257" i="3" s="1"/>
  <c r="H293" i="2"/>
  <c r="H257" i="3" s="1"/>
  <c r="G293" i="2"/>
  <c r="G257" i="3" s="1"/>
  <c r="M292" i="2"/>
  <c r="J292" i="2"/>
  <c r="I292" i="2"/>
  <c r="I256" i="3" s="1"/>
  <c r="H292" i="2"/>
  <c r="H256" i="3" s="1"/>
  <c r="G292" i="2"/>
  <c r="G256" i="3" s="1"/>
  <c r="J291" i="2"/>
  <c r="J255" i="3" s="1"/>
  <c r="I291" i="2"/>
  <c r="I255" i="3" s="1"/>
  <c r="H291" i="2"/>
  <c r="H255" i="3" s="1"/>
  <c r="G291" i="2"/>
  <c r="G255" i="3" s="1"/>
  <c r="J290" i="2"/>
  <c r="I290" i="2"/>
  <c r="I254" i="3" s="1"/>
  <c r="H290" i="2"/>
  <c r="H254" i="3" s="1"/>
  <c r="G290" i="2"/>
  <c r="G254" i="3" s="1"/>
  <c r="M289" i="2"/>
  <c r="J289" i="2"/>
  <c r="J253" i="3" s="1"/>
  <c r="I289" i="2"/>
  <c r="I253" i="3" s="1"/>
  <c r="H289" i="2"/>
  <c r="H253" i="3" s="1"/>
  <c r="G289" i="2"/>
  <c r="G253" i="3" s="1"/>
  <c r="J288" i="2"/>
  <c r="I288" i="2"/>
  <c r="I252" i="3" s="1"/>
  <c r="H288" i="2"/>
  <c r="H252" i="3" s="1"/>
  <c r="G288" i="2"/>
  <c r="G252" i="3" s="1"/>
  <c r="N287" i="2"/>
  <c r="J287" i="2"/>
  <c r="J251" i="3" s="1"/>
  <c r="I287" i="2"/>
  <c r="I251" i="3" s="1"/>
  <c r="H287" i="2"/>
  <c r="H251" i="3" s="1"/>
  <c r="G287" i="2"/>
  <c r="G251" i="3" s="1"/>
  <c r="M286" i="2"/>
  <c r="J286" i="2"/>
  <c r="I286" i="2"/>
  <c r="I250" i="3" s="1"/>
  <c r="H286" i="2"/>
  <c r="H250" i="3" s="1"/>
  <c r="G286" i="2"/>
  <c r="G250" i="3" s="1"/>
  <c r="N285" i="2"/>
  <c r="M285" i="2"/>
  <c r="J285" i="2"/>
  <c r="J249" i="3" s="1"/>
  <c r="I285" i="2"/>
  <c r="I249" i="3" s="1"/>
  <c r="H285" i="2"/>
  <c r="H249" i="3" s="1"/>
  <c r="G285" i="2"/>
  <c r="G249" i="3" s="1"/>
  <c r="M284" i="2"/>
  <c r="J284" i="2"/>
  <c r="I284" i="2"/>
  <c r="I248" i="3" s="1"/>
  <c r="H284" i="2"/>
  <c r="H248" i="3" s="1"/>
  <c r="G284" i="2"/>
  <c r="G248" i="3" s="1"/>
  <c r="N283" i="2"/>
  <c r="M283" i="2"/>
  <c r="J283" i="2"/>
  <c r="J247" i="3" s="1"/>
  <c r="I283" i="2"/>
  <c r="I247" i="3" s="1"/>
  <c r="H283" i="2"/>
  <c r="H247" i="3" s="1"/>
  <c r="G283" i="2"/>
  <c r="G247" i="3" s="1"/>
  <c r="M282" i="2"/>
  <c r="J282" i="2"/>
  <c r="I282" i="2"/>
  <c r="I246" i="3" s="1"/>
  <c r="H282" i="2"/>
  <c r="H246" i="3" s="1"/>
  <c r="G282" i="2"/>
  <c r="G246" i="3" s="1"/>
  <c r="J281" i="2"/>
  <c r="J245" i="3" s="1"/>
  <c r="I281" i="2"/>
  <c r="I245" i="3" s="1"/>
  <c r="H281" i="2"/>
  <c r="H245" i="3" s="1"/>
  <c r="G281" i="2"/>
  <c r="G245" i="3" s="1"/>
  <c r="J280" i="2"/>
  <c r="I280" i="2"/>
  <c r="I244" i="3" s="1"/>
  <c r="H280" i="2"/>
  <c r="H244" i="3" s="1"/>
  <c r="G280" i="2"/>
  <c r="G244" i="3" s="1"/>
  <c r="J279" i="2"/>
  <c r="J243" i="3" s="1"/>
  <c r="I279" i="2"/>
  <c r="I243" i="3" s="1"/>
  <c r="H279" i="2"/>
  <c r="H243" i="3" s="1"/>
  <c r="G279" i="2"/>
  <c r="G243" i="3" s="1"/>
  <c r="M278" i="2"/>
  <c r="J278" i="2"/>
  <c r="I278" i="2"/>
  <c r="I242" i="3" s="1"/>
  <c r="H278" i="2"/>
  <c r="H242" i="3" s="1"/>
  <c r="G278" i="2"/>
  <c r="G242" i="3" s="1"/>
  <c r="J277" i="2"/>
  <c r="J241" i="3" s="1"/>
  <c r="I277" i="2"/>
  <c r="I241" i="3" s="1"/>
  <c r="H277" i="2"/>
  <c r="H241" i="3" s="1"/>
  <c r="G277" i="2"/>
  <c r="G241" i="3" s="1"/>
  <c r="J276" i="2"/>
  <c r="I276" i="2"/>
  <c r="I240" i="3" s="1"/>
  <c r="H276" i="2"/>
  <c r="H240" i="3" s="1"/>
  <c r="G276" i="2"/>
  <c r="G240" i="3" s="1"/>
  <c r="N275" i="2"/>
  <c r="J275" i="2"/>
  <c r="J239" i="3" s="1"/>
  <c r="I275" i="2"/>
  <c r="I239" i="3" s="1"/>
  <c r="H275" i="2"/>
  <c r="H239" i="3" s="1"/>
  <c r="G275" i="2"/>
  <c r="G239" i="3" s="1"/>
  <c r="M274" i="2"/>
  <c r="J274" i="2"/>
  <c r="I274" i="2"/>
  <c r="I238" i="3" s="1"/>
  <c r="H274" i="2"/>
  <c r="H238" i="3" s="1"/>
  <c r="G274" i="2"/>
  <c r="G238" i="3" s="1"/>
  <c r="N273" i="2"/>
  <c r="M273" i="2"/>
  <c r="J273" i="2"/>
  <c r="J237" i="3" s="1"/>
  <c r="I273" i="2"/>
  <c r="I237" i="3" s="1"/>
  <c r="H273" i="2"/>
  <c r="H237" i="3" s="1"/>
  <c r="G273" i="2"/>
  <c r="G237" i="3" s="1"/>
  <c r="M272" i="2"/>
  <c r="J272" i="2"/>
  <c r="I272" i="2"/>
  <c r="I236" i="3" s="1"/>
  <c r="H272" i="2"/>
  <c r="H236" i="3" s="1"/>
  <c r="G272" i="2"/>
  <c r="G236" i="3" s="1"/>
  <c r="N271" i="2"/>
  <c r="M271" i="2"/>
  <c r="J271" i="2"/>
  <c r="J235" i="3" s="1"/>
  <c r="I271" i="2"/>
  <c r="I235" i="3" s="1"/>
  <c r="H271" i="2"/>
  <c r="H235" i="3" s="1"/>
  <c r="G271" i="2"/>
  <c r="G235" i="3" s="1"/>
  <c r="J270" i="2"/>
  <c r="I270" i="2"/>
  <c r="I234" i="3" s="1"/>
  <c r="H270" i="2"/>
  <c r="H234" i="3" s="1"/>
  <c r="G270" i="2"/>
  <c r="G234" i="3" s="1"/>
  <c r="M269" i="2"/>
  <c r="J269" i="2"/>
  <c r="J233" i="3" s="1"/>
  <c r="I269" i="2"/>
  <c r="I233" i="3" s="1"/>
  <c r="H269" i="2"/>
  <c r="H233" i="3" s="1"/>
  <c r="G269" i="2"/>
  <c r="G233" i="3" s="1"/>
  <c r="J268" i="2"/>
  <c r="I268" i="2"/>
  <c r="I232" i="3" s="1"/>
  <c r="H268" i="2"/>
  <c r="H232" i="3" s="1"/>
  <c r="G268" i="2"/>
  <c r="G232" i="3" s="1"/>
  <c r="J267" i="2"/>
  <c r="J231" i="3" s="1"/>
  <c r="I267" i="2"/>
  <c r="I231" i="3" s="1"/>
  <c r="H267" i="2"/>
  <c r="H231" i="3" s="1"/>
  <c r="G267" i="2"/>
  <c r="G231" i="3" s="1"/>
  <c r="J266" i="2"/>
  <c r="I266" i="2"/>
  <c r="I230" i="3" s="1"/>
  <c r="H266" i="2"/>
  <c r="H230" i="3" s="1"/>
  <c r="G266" i="2"/>
  <c r="G230" i="3" s="1"/>
  <c r="M265" i="2"/>
  <c r="J265" i="2"/>
  <c r="J229" i="3" s="1"/>
  <c r="I265" i="2"/>
  <c r="I229" i="3" s="1"/>
  <c r="H265" i="2"/>
  <c r="H229" i="3" s="1"/>
  <c r="G265" i="2"/>
  <c r="G229" i="3" s="1"/>
  <c r="M264" i="2"/>
  <c r="J264" i="2"/>
  <c r="I264" i="2"/>
  <c r="I228" i="3" s="1"/>
  <c r="H264" i="2"/>
  <c r="H228" i="3" s="1"/>
  <c r="G264" i="2"/>
  <c r="G228" i="3" s="1"/>
  <c r="N263" i="2"/>
  <c r="J263" i="2"/>
  <c r="J227" i="3" s="1"/>
  <c r="I263" i="2"/>
  <c r="I227" i="3" s="1"/>
  <c r="H263" i="2"/>
  <c r="H227" i="3" s="1"/>
  <c r="G263" i="2"/>
  <c r="G227" i="3" s="1"/>
  <c r="M262" i="2"/>
  <c r="J262" i="2"/>
  <c r="I262" i="2"/>
  <c r="I226" i="3" s="1"/>
  <c r="H262" i="2"/>
  <c r="H226" i="3" s="1"/>
  <c r="G262" i="2"/>
  <c r="G226" i="3" s="1"/>
  <c r="N261" i="2"/>
  <c r="M261" i="2"/>
  <c r="J261" i="2"/>
  <c r="J225" i="3" s="1"/>
  <c r="I261" i="2"/>
  <c r="I225" i="3" s="1"/>
  <c r="H261" i="2"/>
  <c r="H225" i="3" s="1"/>
  <c r="G261" i="2"/>
  <c r="G225" i="3" s="1"/>
  <c r="M260" i="2"/>
  <c r="J260" i="2"/>
  <c r="I260" i="2"/>
  <c r="I224" i="3" s="1"/>
  <c r="H260" i="2"/>
  <c r="H224" i="3" s="1"/>
  <c r="G260" i="2"/>
  <c r="G224" i="3" s="1"/>
  <c r="N259" i="2"/>
  <c r="M259" i="2"/>
  <c r="J259" i="2"/>
  <c r="J223" i="3" s="1"/>
  <c r="I259" i="2"/>
  <c r="I223" i="3" s="1"/>
  <c r="H259" i="2"/>
  <c r="H223" i="3" s="1"/>
  <c r="G259" i="2"/>
  <c r="G223" i="3" s="1"/>
  <c r="M258" i="2"/>
  <c r="J258" i="2"/>
  <c r="I258" i="2"/>
  <c r="I222" i="3" s="1"/>
  <c r="H258" i="2"/>
  <c r="H222" i="3" s="1"/>
  <c r="G258" i="2"/>
  <c r="G222" i="3" s="1"/>
  <c r="J257" i="2"/>
  <c r="J221" i="3" s="1"/>
  <c r="I257" i="2"/>
  <c r="I221" i="3" s="1"/>
  <c r="H257" i="2"/>
  <c r="H221" i="3" s="1"/>
  <c r="G257" i="2"/>
  <c r="G221" i="3" s="1"/>
  <c r="J256" i="2"/>
  <c r="I256" i="2"/>
  <c r="I220" i="3" s="1"/>
  <c r="H256" i="2"/>
  <c r="H220" i="3" s="1"/>
  <c r="G256" i="2"/>
  <c r="G220" i="3" s="1"/>
  <c r="J255" i="2"/>
  <c r="J219" i="3" s="1"/>
  <c r="I255" i="2"/>
  <c r="I219" i="3" s="1"/>
  <c r="H255" i="2"/>
  <c r="H219" i="3" s="1"/>
  <c r="G255" i="2"/>
  <c r="G219" i="3" s="1"/>
  <c r="M254" i="2"/>
  <c r="J254" i="2"/>
  <c r="I254" i="2"/>
  <c r="I218" i="3" s="1"/>
  <c r="H254" i="2"/>
  <c r="H218" i="3" s="1"/>
  <c r="G254" i="2"/>
  <c r="G218" i="3" s="1"/>
  <c r="J253" i="2"/>
  <c r="J217" i="3" s="1"/>
  <c r="I253" i="2"/>
  <c r="I217" i="3" s="1"/>
  <c r="H253" i="2"/>
  <c r="H217" i="3" s="1"/>
  <c r="G253" i="2"/>
  <c r="G217" i="3" s="1"/>
  <c r="J252" i="2"/>
  <c r="I252" i="2"/>
  <c r="I216" i="3" s="1"/>
  <c r="H252" i="2"/>
  <c r="H216" i="3" s="1"/>
  <c r="G252" i="2"/>
  <c r="G216" i="3" s="1"/>
  <c r="N251" i="2"/>
  <c r="M251" i="2"/>
  <c r="J251" i="2"/>
  <c r="J215" i="3" s="1"/>
  <c r="I251" i="2"/>
  <c r="I215" i="3" s="1"/>
  <c r="H251" i="2"/>
  <c r="H215" i="3" s="1"/>
  <c r="G251" i="2"/>
  <c r="G215" i="3" s="1"/>
  <c r="M250" i="2"/>
  <c r="J250" i="2"/>
  <c r="I250" i="2"/>
  <c r="I214" i="3" s="1"/>
  <c r="H250" i="2"/>
  <c r="H214" i="3" s="1"/>
  <c r="G250" i="2"/>
  <c r="G214" i="3" s="1"/>
  <c r="N249" i="2"/>
  <c r="M249" i="2"/>
  <c r="J249" i="2"/>
  <c r="J213" i="3" s="1"/>
  <c r="I249" i="2"/>
  <c r="I213" i="3" s="1"/>
  <c r="H249" i="2"/>
  <c r="H213" i="3" s="1"/>
  <c r="G249" i="2"/>
  <c r="G213" i="3" s="1"/>
  <c r="M248" i="2"/>
  <c r="J248" i="2"/>
  <c r="I248" i="2"/>
  <c r="I212" i="3" s="1"/>
  <c r="H248" i="2"/>
  <c r="H212" i="3" s="1"/>
  <c r="G248" i="2"/>
  <c r="G212" i="3" s="1"/>
  <c r="N247" i="2"/>
  <c r="M247" i="2"/>
  <c r="J247" i="2"/>
  <c r="J211" i="3" s="1"/>
  <c r="I247" i="2"/>
  <c r="I211" i="3" s="1"/>
  <c r="H247" i="2"/>
  <c r="H211" i="3" s="1"/>
  <c r="G247" i="2"/>
  <c r="G211" i="3" s="1"/>
  <c r="M246" i="2"/>
  <c r="J246" i="2"/>
  <c r="I246" i="2"/>
  <c r="I210" i="3" s="1"/>
  <c r="H246" i="2"/>
  <c r="H210" i="3" s="1"/>
  <c r="G246" i="2"/>
  <c r="G210" i="3" s="1"/>
  <c r="M245" i="2"/>
  <c r="J245" i="2"/>
  <c r="J209" i="3" s="1"/>
  <c r="I245" i="2"/>
  <c r="H245" i="2"/>
  <c r="H209" i="3" s="1"/>
  <c r="G245" i="2"/>
  <c r="G209" i="3" s="1"/>
  <c r="J244" i="2"/>
  <c r="I244" i="2"/>
  <c r="I208" i="3" s="1"/>
  <c r="H244" i="2"/>
  <c r="H208" i="3" s="1"/>
  <c r="G244" i="2"/>
  <c r="G208" i="3" s="1"/>
  <c r="J243" i="2"/>
  <c r="J207" i="3" s="1"/>
  <c r="I243" i="2"/>
  <c r="I207" i="3" s="1"/>
  <c r="H243" i="2"/>
  <c r="H207" i="3" s="1"/>
  <c r="G243" i="2"/>
  <c r="G207" i="3" s="1"/>
  <c r="J242" i="2"/>
  <c r="I242" i="2"/>
  <c r="I206" i="3" s="1"/>
  <c r="H242" i="2"/>
  <c r="H206" i="3" s="1"/>
  <c r="G242" i="2"/>
  <c r="G206" i="3" s="1"/>
  <c r="M241" i="2"/>
  <c r="J241" i="2"/>
  <c r="J205" i="3" s="1"/>
  <c r="I241" i="2"/>
  <c r="I205" i="3" s="1"/>
  <c r="H241" i="2"/>
  <c r="H205" i="3" s="1"/>
  <c r="G241" i="2"/>
  <c r="G205" i="3" s="1"/>
  <c r="J240" i="2"/>
  <c r="J204" i="3" s="1"/>
  <c r="I240" i="2"/>
  <c r="I204" i="3" s="1"/>
  <c r="H240" i="2"/>
  <c r="H204" i="3" s="1"/>
  <c r="G240" i="2"/>
  <c r="G204" i="3" s="1"/>
  <c r="M239" i="2"/>
  <c r="J239" i="2"/>
  <c r="J203" i="3" s="1"/>
  <c r="I239" i="2"/>
  <c r="I203" i="3" s="1"/>
  <c r="H239" i="2"/>
  <c r="H203" i="3" s="1"/>
  <c r="G239" i="2"/>
  <c r="G203" i="3" s="1"/>
  <c r="J238" i="2"/>
  <c r="J202" i="3" s="1"/>
  <c r="I238" i="2"/>
  <c r="I202" i="3" s="1"/>
  <c r="H238" i="2"/>
  <c r="H202" i="3" s="1"/>
  <c r="G238" i="2"/>
  <c r="G202" i="3" s="1"/>
  <c r="M237" i="2"/>
  <c r="J237" i="2"/>
  <c r="J201" i="3" s="1"/>
  <c r="I237" i="2"/>
  <c r="I201" i="3" s="1"/>
  <c r="H237" i="2"/>
  <c r="H201" i="3" s="1"/>
  <c r="G237" i="2"/>
  <c r="G201" i="3" s="1"/>
  <c r="J236" i="2"/>
  <c r="J200" i="3" s="1"/>
  <c r="I236" i="2"/>
  <c r="I200" i="3" s="1"/>
  <c r="H236" i="2"/>
  <c r="H200" i="3" s="1"/>
  <c r="G236" i="2"/>
  <c r="G200" i="3" s="1"/>
  <c r="M235" i="2"/>
  <c r="J235" i="2"/>
  <c r="J199" i="3" s="1"/>
  <c r="I235" i="2"/>
  <c r="I199" i="3" s="1"/>
  <c r="H235" i="2"/>
  <c r="H199" i="3" s="1"/>
  <c r="G235" i="2"/>
  <c r="G199" i="3" s="1"/>
  <c r="N234" i="2"/>
  <c r="M234" i="2"/>
  <c r="M233" i="2"/>
  <c r="J233" i="2"/>
  <c r="J198" i="3" s="1"/>
  <c r="I233" i="2"/>
  <c r="I198" i="3" s="1"/>
  <c r="H233" i="2"/>
  <c r="H198" i="3" s="1"/>
  <c r="G233" i="2"/>
  <c r="G198" i="3" s="1"/>
  <c r="M232" i="2"/>
  <c r="J232" i="2"/>
  <c r="J197" i="3" s="1"/>
  <c r="I232" i="2"/>
  <c r="I197" i="3" s="1"/>
  <c r="H232" i="2"/>
  <c r="H197" i="3" s="1"/>
  <c r="G232" i="2"/>
  <c r="G197" i="3" s="1"/>
  <c r="M231" i="2"/>
  <c r="J231" i="2"/>
  <c r="J196" i="3" s="1"/>
  <c r="I231" i="2"/>
  <c r="H231" i="2"/>
  <c r="H196" i="3" s="1"/>
  <c r="G231" i="2"/>
  <c r="G196" i="3" s="1"/>
  <c r="M230" i="2"/>
  <c r="J230" i="2"/>
  <c r="J195" i="3" s="1"/>
  <c r="I230" i="2"/>
  <c r="I195" i="3" s="1"/>
  <c r="H230" i="2"/>
  <c r="H195" i="3" s="1"/>
  <c r="G230" i="2"/>
  <c r="G195" i="3" s="1"/>
  <c r="M229" i="2"/>
  <c r="J229" i="2"/>
  <c r="J194" i="3" s="1"/>
  <c r="I229" i="2"/>
  <c r="I194" i="3" s="1"/>
  <c r="H229" i="2"/>
  <c r="H194" i="3" s="1"/>
  <c r="G229" i="2"/>
  <c r="G194" i="3" s="1"/>
  <c r="M228" i="2"/>
  <c r="J228" i="2"/>
  <c r="J193" i="3" s="1"/>
  <c r="I228" i="2"/>
  <c r="I193" i="3" s="1"/>
  <c r="H228" i="2"/>
  <c r="H193" i="3" s="1"/>
  <c r="G228" i="2"/>
  <c r="G193" i="3" s="1"/>
  <c r="M227" i="2"/>
  <c r="J227" i="2"/>
  <c r="J192" i="3" s="1"/>
  <c r="I227" i="2"/>
  <c r="I192" i="3" s="1"/>
  <c r="H227" i="2"/>
  <c r="H192" i="3" s="1"/>
  <c r="G227" i="2"/>
  <c r="G192" i="3" s="1"/>
  <c r="N226" i="2"/>
  <c r="M226" i="2"/>
  <c r="N225" i="2"/>
  <c r="M225" i="2"/>
  <c r="J225" i="2"/>
  <c r="J191" i="3" s="1"/>
  <c r="I225" i="2"/>
  <c r="I191" i="3" s="1"/>
  <c r="H225" i="2"/>
  <c r="H191" i="3" s="1"/>
  <c r="G225" i="2"/>
  <c r="G191" i="3" s="1"/>
  <c r="N224" i="2"/>
  <c r="M224" i="2"/>
  <c r="J224" i="2"/>
  <c r="J190" i="3" s="1"/>
  <c r="I224" i="2"/>
  <c r="I190" i="3" s="1"/>
  <c r="H224" i="2"/>
  <c r="H190" i="3" s="1"/>
  <c r="G224" i="2"/>
  <c r="G190" i="3" s="1"/>
  <c r="N223" i="2"/>
  <c r="M223" i="2"/>
  <c r="J223" i="2"/>
  <c r="J189" i="3" s="1"/>
  <c r="I223" i="2"/>
  <c r="H223" i="2"/>
  <c r="H189" i="3" s="1"/>
  <c r="G223" i="2"/>
  <c r="G189" i="3" s="1"/>
  <c r="N222" i="2"/>
  <c r="M222" i="2"/>
  <c r="J222" i="2"/>
  <c r="J188" i="3" s="1"/>
  <c r="I222" i="2"/>
  <c r="I188" i="3" s="1"/>
  <c r="H222" i="2"/>
  <c r="H188" i="3" s="1"/>
  <c r="G222" i="2"/>
  <c r="G188" i="3" s="1"/>
  <c r="N221" i="2"/>
  <c r="M221" i="2"/>
  <c r="J221" i="2"/>
  <c r="J187" i="3" s="1"/>
  <c r="I221" i="2"/>
  <c r="I187" i="3" s="1"/>
  <c r="H221" i="2"/>
  <c r="H187" i="3" s="1"/>
  <c r="G221" i="2"/>
  <c r="G187" i="3" s="1"/>
  <c r="N220" i="2"/>
  <c r="M220" i="2"/>
  <c r="J220" i="2"/>
  <c r="J186" i="3" s="1"/>
  <c r="I220" i="2"/>
  <c r="I186" i="3" s="1"/>
  <c r="H220" i="2"/>
  <c r="H186" i="3" s="1"/>
  <c r="G220" i="2"/>
  <c r="G186" i="3" s="1"/>
  <c r="N219" i="2"/>
  <c r="M219" i="2"/>
  <c r="J219" i="2"/>
  <c r="J185" i="3" s="1"/>
  <c r="I219" i="2"/>
  <c r="I185" i="3" s="1"/>
  <c r="H219" i="2"/>
  <c r="H185" i="3" s="1"/>
  <c r="G219" i="2"/>
  <c r="G185" i="3" s="1"/>
  <c r="N218" i="2"/>
  <c r="M218" i="2"/>
  <c r="J218" i="2"/>
  <c r="J184" i="3" s="1"/>
  <c r="I218" i="2"/>
  <c r="I184" i="3" s="1"/>
  <c r="H218" i="2"/>
  <c r="H184" i="3" s="1"/>
  <c r="G218" i="2"/>
  <c r="G184" i="3" s="1"/>
  <c r="N217" i="2"/>
  <c r="M217" i="2"/>
  <c r="J217" i="2"/>
  <c r="J183" i="3" s="1"/>
  <c r="I217" i="2"/>
  <c r="H217" i="2"/>
  <c r="H183" i="3" s="1"/>
  <c r="G217" i="2"/>
  <c r="G183" i="3" s="1"/>
  <c r="N216" i="2"/>
  <c r="M216" i="2"/>
  <c r="J216" i="2"/>
  <c r="J182" i="3" s="1"/>
  <c r="I216" i="2"/>
  <c r="I182" i="3" s="1"/>
  <c r="H216" i="2"/>
  <c r="H182" i="3" s="1"/>
  <c r="G216" i="2"/>
  <c r="G182" i="3" s="1"/>
  <c r="N215" i="2"/>
  <c r="M215" i="2"/>
  <c r="J215" i="2"/>
  <c r="J181" i="3" s="1"/>
  <c r="I215" i="2"/>
  <c r="I181" i="3" s="1"/>
  <c r="H215" i="2"/>
  <c r="H181" i="3" s="1"/>
  <c r="G215" i="2"/>
  <c r="G181" i="3" s="1"/>
  <c r="N214" i="2"/>
  <c r="M214" i="2"/>
  <c r="J214" i="2"/>
  <c r="J180" i="3" s="1"/>
  <c r="I214" i="2"/>
  <c r="I180" i="3" s="1"/>
  <c r="H214" i="2"/>
  <c r="H180" i="3" s="1"/>
  <c r="G214" i="2"/>
  <c r="G180" i="3" s="1"/>
  <c r="N213" i="2"/>
  <c r="M213" i="2"/>
  <c r="M212" i="2"/>
  <c r="J212" i="2"/>
  <c r="J179" i="3" s="1"/>
  <c r="I212" i="2"/>
  <c r="I179" i="3" s="1"/>
  <c r="H212" i="2"/>
  <c r="H179" i="3" s="1"/>
  <c r="G212" i="2"/>
  <c r="G179" i="3" s="1"/>
  <c r="M211" i="2"/>
  <c r="J211" i="2"/>
  <c r="J178" i="3" s="1"/>
  <c r="I211" i="2"/>
  <c r="H211" i="2"/>
  <c r="H178" i="3" s="1"/>
  <c r="G211" i="2"/>
  <c r="G178" i="3" s="1"/>
  <c r="M210" i="2"/>
  <c r="J210" i="2"/>
  <c r="J177" i="3" s="1"/>
  <c r="I210" i="2"/>
  <c r="I177" i="3" s="1"/>
  <c r="H210" i="2"/>
  <c r="H177" i="3" s="1"/>
  <c r="G210" i="2"/>
  <c r="G177" i="3" s="1"/>
  <c r="M209" i="2"/>
  <c r="J209" i="2"/>
  <c r="J176" i="3" s="1"/>
  <c r="I209" i="2"/>
  <c r="I176" i="3" s="1"/>
  <c r="H209" i="2"/>
  <c r="H176" i="3" s="1"/>
  <c r="G209" i="2"/>
  <c r="G176" i="3" s="1"/>
  <c r="M208" i="2"/>
  <c r="J208" i="2"/>
  <c r="J175" i="3" s="1"/>
  <c r="I208" i="2"/>
  <c r="I175" i="3" s="1"/>
  <c r="H208" i="2"/>
  <c r="H175" i="3" s="1"/>
  <c r="G208" i="2"/>
  <c r="G175" i="3" s="1"/>
  <c r="M207" i="2"/>
  <c r="J207" i="2"/>
  <c r="J174" i="3" s="1"/>
  <c r="I207" i="2"/>
  <c r="I174" i="3" s="1"/>
  <c r="H207" i="2"/>
  <c r="H174" i="3" s="1"/>
  <c r="G207" i="2"/>
  <c r="G174" i="3" s="1"/>
  <c r="M206" i="2"/>
  <c r="J206" i="2"/>
  <c r="N206" i="2" s="1"/>
  <c r="I206" i="2"/>
  <c r="H206" i="2"/>
  <c r="G206" i="2"/>
  <c r="M205" i="2"/>
  <c r="J205" i="2"/>
  <c r="J173" i="3" s="1"/>
  <c r="I205" i="2"/>
  <c r="I173" i="3" s="1"/>
  <c r="H205" i="2"/>
  <c r="H173" i="3" s="1"/>
  <c r="G205" i="2"/>
  <c r="G173" i="3" s="1"/>
  <c r="M204" i="2"/>
  <c r="J204" i="2"/>
  <c r="J172" i="3" s="1"/>
  <c r="I204" i="2"/>
  <c r="I172" i="3" s="1"/>
  <c r="H204" i="2"/>
  <c r="H172" i="3" s="1"/>
  <c r="G204" i="2"/>
  <c r="G172" i="3" s="1"/>
  <c r="M203" i="2"/>
  <c r="J203" i="2"/>
  <c r="J171" i="3" s="1"/>
  <c r="I203" i="2"/>
  <c r="I171" i="3" s="1"/>
  <c r="H203" i="2"/>
  <c r="H171" i="3" s="1"/>
  <c r="G203" i="2"/>
  <c r="G171" i="3" s="1"/>
  <c r="M202" i="2"/>
  <c r="J202" i="2"/>
  <c r="J170" i="3" s="1"/>
  <c r="I202" i="2"/>
  <c r="I170" i="3" s="1"/>
  <c r="H202" i="2"/>
  <c r="H170" i="3" s="1"/>
  <c r="G202" i="2"/>
  <c r="G170" i="3" s="1"/>
  <c r="M201" i="2"/>
  <c r="J201" i="2"/>
  <c r="J169" i="3" s="1"/>
  <c r="I201" i="2"/>
  <c r="I169" i="3" s="1"/>
  <c r="H201" i="2"/>
  <c r="H169" i="3" s="1"/>
  <c r="G201" i="2"/>
  <c r="G169" i="3" s="1"/>
  <c r="M200" i="2"/>
  <c r="J200" i="2"/>
  <c r="J168" i="3" s="1"/>
  <c r="I200" i="2"/>
  <c r="I168" i="3" s="1"/>
  <c r="H200" i="2"/>
  <c r="H168" i="3" s="1"/>
  <c r="G200" i="2"/>
  <c r="G168" i="3" s="1"/>
  <c r="M199" i="2"/>
  <c r="J199" i="2"/>
  <c r="J167" i="3" s="1"/>
  <c r="I199" i="2"/>
  <c r="H199" i="2"/>
  <c r="H167" i="3" s="1"/>
  <c r="G199" i="2"/>
  <c r="G167" i="3" s="1"/>
  <c r="M198" i="2"/>
  <c r="J198" i="2"/>
  <c r="N198" i="2" s="1"/>
  <c r="I198" i="2"/>
  <c r="H198" i="2"/>
  <c r="G198" i="2"/>
  <c r="M197" i="2"/>
  <c r="J197" i="2"/>
  <c r="J166" i="3" s="1"/>
  <c r="I197" i="2"/>
  <c r="I166" i="3" s="1"/>
  <c r="H197" i="2"/>
  <c r="H166" i="3" s="1"/>
  <c r="G197" i="2"/>
  <c r="G166" i="3" s="1"/>
  <c r="M196" i="2"/>
  <c r="J196" i="2"/>
  <c r="J165" i="3" s="1"/>
  <c r="I196" i="2"/>
  <c r="I165" i="3" s="1"/>
  <c r="H196" i="2"/>
  <c r="H165" i="3" s="1"/>
  <c r="G196" i="2"/>
  <c r="G165" i="3" s="1"/>
  <c r="M195" i="2"/>
  <c r="J195" i="2"/>
  <c r="J164" i="3" s="1"/>
  <c r="I195" i="2"/>
  <c r="I164" i="3" s="1"/>
  <c r="H195" i="2"/>
  <c r="H164" i="3" s="1"/>
  <c r="G195" i="2"/>
  <c r="G164" i="3" s="1"/>
  <c r="M194" i="2"/>
  <c r="J194" i="2"/>
  <c r="J163" i="3" s="1"/>
  <c r="I194" i="2"/>
  <c r="I163" i="3" s="1"/>
  <c r="H194" i="2"/>
  <c r="H163" i="3" s="1"/>
  <c r="G194" i="2"/>
  <c r="G163" i="3" s="1"/>
  <c r="M193" i="2"/>
  <c r="J193" i="2"/>
  <c r="J162" i="3" s="1"/>
  <c r="I193" i="2"/>
  <c r="I162" i="3" s="1"/>
  <c r="H193" i="2"/>
  <c r="H162" i="3" s="1"/>
  <c r="G193" i="2"/>
  <c r="G162" i="3" s="1"/>
  <c r="M192" i="2"/>
  <c r="J192" i="2"/>
  <c r="J161" i="3" s="1"/>
  <c r="I192" i="2"/>
  <c r="I161" i="3" s="1"/>
  <c r="H192" i="2"/>
  <c r="H161" i="3" s="1"/>
  <c r="G192" i="2"/>
  <c r="G161" i="3" s="1"/>
  <c r="M191" i="2"/>
  <c r="J191" i="2"/>
  <c r="J160" i="3" s="1"/>
  <c r="I191" i="2"/>
  <c r="I160" i="3" s="1"/>
  <c r="H191" i="2"/>
  <c r="H160" i="3" s="1"/>
  <c r="G191" i="2"/>
  <c r="G160" i="3" s="1"/>
  <c r="M190" i="2"/>
  <c r="J190" i="2"/>
  <c r="J159" i="3" s="1"/>
  <c r="I190" i="2"/>
  <c r="I159" i="3" s="1"/>
  <c r="H190" i="2"/>
  <c r="H159" i="3" s="1"/>
  <c r="G190" i="2"/>
  <c r="G159" i="3" s="1"/>
  <c r="M189" i="2"/>
  <c r="J189" i="2"/>
  <c r="J158" i="3" s="1"/>
  <c r="I189" i="2"/>
  <c r="I158" i="3" s="1"/>
  <c r="H189" i="2"/>
  <c r="H158" i="3" s="1"/>
  <c r="G189" i="2"/>
  <c r="G158" i="3" s="1"/>
  <c r="M188" i="2"/>
  <c r="J188" i="2"/>
  <c r="J157" i="3" s="1"/>
  <c r="I188" i="2"/>
  <c r="I157" i="3" s="1"/>
  <c r="H188" i="2"/>
  <c r="H157" i="3" s="1"/>
  <c r="G188" i="2"/>
  <c r="G157" i="3" s="1"/>
  <c r="M187" i="2"/>
  <c r="J187" i="2"/>
  <c r="J156" i="3" s="1"/>
  <c r="I187" i="2"/>
  <c r="I156" i="3" s="1"/>
  <c r="H187" i="2"/>
  <c r="H156" i="3" s="1"/>
  <c r="G187" i="2"/>
  <c r="G156" i="3" s="1"/>
  <c r="M186" i="2"/>
  <c r="J186" i="2"/>
  <c r="N186" i="2" s="1"/>
  <c r="I186" i="2"/>
  <c r="D27" i="11" s="1"/>
  <c r="H186" i="2"/>
  <c r="G186" i="2"/>
  <c r="M185" i="2"/>
  <c r="J185" i="2"/>
  <c r="J155" i="3" s="1"/>
  <c r="I185" i="2"/>
  <c r="I155" i="3" s="1"/>
  <c r="H185" i="2"/>
  <c r="H155" i="3" s="1"/>
  <c r="G185" i="2"/>
  <c r="G155" i="3" s="1"/>
  <c r="M184" i="2"/>
  <c r="J184" i="2"/>
  <c r="J154" i="3" s="1"/>
  <c r="I184" i="2"/>
  <c r="I154" i="3" s="1"/>
  <c r="H184" i="2"/>
  <c r="H154" i="3" s="1"/>
  <c r="G184" i="2"/>
  <c r="G154" i="3" s="1"/>
  <c r="N183" i="2"/>
  <c r="M183" i="2"/>
  <c r="M182" i="2"/>
  <c r="J182" i="2"/>
  <c r="J153" i="3" s="1"/>
  <c r="I182" i="2"/>
  <c r="I153" i="3" s="1"/>
  <c r="H182" i="2"/>
  <c r="H153" i="3" s="1"/>
  <c r="G182" i="2"/>
  <c r="G153" i="3" s="1"/>
  <c r="M181" i="2"/>
  <c r="J181" i="2"/>
  <c r="J152" i="3" s="1"/>
  <c r="I181" i="2"/>
  <c r="I152" i="3" s="1"/>
  <c r="H181" i="2"/>
  <c r="H152" i="3" s="1"/>
  <c r="G181" i="2"/>
  <c r="G152" i="3" s="1"/>
  <c r="M180" i="2"/>
  <c r="J180" i="2"/>
  <c r="J151" i="3" s="1"/>
  <c r="I180" i="2"/>
  <c r="I151" i="3" s="1"/>
  <c r="H180" i="2"/>
  <c r="H151" i="3" s="1"/>
  <c r="G180" i="2"/>
  <c r="G151" i="3" s="1"/>
  <c r="M179" i="2"/>
  <c r="J179" i="2"/>
  <c r="J150" i="3" s="1"/>
  <c r="I179" i="2"/>
  <c r="I150" i="3" s="1"/>
  <c r="H179" i="2"/>
  <c r="H150" i="3" s="1"/>
  <c r="G179" i="2"/>
  <c r="G150" i="3" s="1"/>
  <c r="M178" i="2"/>
  <c r="J178" i="2"/>
  <c r="N178" i="2" s="1"/>
  <c r="I178" i="2"/>
  <c r="I149" i="3" s="1"/>
  <c r="H178" i="2"/>
  <c r="H149" i="3" s="1"/>
  <c r="G178" i="2"/>
  <c r="G149" i="3" s="1"/>
  <c r="M177" i="2"/>
  <c r="J177" i="2"/>
  <c r="J148" i="3" s="1"/>
  <c r="I177" i="2"/>
  <c r="I148" i="3" s="1"/>
  <c r="H177" i="2"/>
  <c r="H148" i="3" s="1"/>
  <c r="G177" i="2"/>
  <c r="G148" i="3" s="1"/>
  <c r="M176" i="2"/>
  <c r="J176" i="2"/>
  <c r="J147" i="3" s="1"/>
  <c r="I176" i="2"/>
  <c r="I147" i="3" s="1"/>
  <c r="H176" i="2"/>
  <c r="H147" i="3" s="1"/>
  <c r="G176" i="2"/>
  <c r="G147" i="3" s="1"/>
  <c r="N175" i="2"/>
  <c r="M175" i="2"/>
  <c r="N174" i="2"/>
  <c r="M174" i="2"/>
  <c r="J174" i="2"/>
  <c r="J146" i="3" s="1"/>
  <c r="I174" i="2"/>
  <c r="I146" i="3" s="1"/>
  <c r="H174" i="2"/>
  <c r="H146" i="3" s="1"/>
  <c r="G174" i="2"/>
  <c r="G146" i="3" s="1"/>
  <c r="N173" i="2"/>
  <c r="M173" i="2"/>
  <c r="J173" i="2"/>
  <c r="J145" i="3" s="1"/>
  <c r="I173" i="2"/>
  <c r="I145" i="3" s="1"/>
  <c r="H173" i="2"/>
  <c r="H145" i="3" s="1"/>
  <c r="G173" i="2"/>
  <c r="G145" i="3" s="1"/>
  <c r="N172" i="2"/>
  <c r="M172" i="2"/>
  <c r="J172" i="2"/>
  <c r="J144" i="3" s="1"/>
  <c r="I172" i="2"/>
  <c r="I144" i="3" s="1"/>
  <c r="H172" i="2"/>
  <c r="H144" i="3" s="1"/>
  <c r="G172" i="2"/>
  <c r="G144" i="3" s="1"/>
  <c r="N171" i="2"/>
  <c r="M171" i="2"/>
  <c r="J171" i="2"/>
  <c r="J143" i="3" s="1"/>
  <c r="I171" i="2"/>
  <c r="I143" i="3" s="1"/>
  <c r="H171" i="2"/>
  <c r="H143" i="3" s="1"/>
  <c r="G171" i="2"/>
  <c r="G143" i="3" s="1"/>
  <c r="N170" i="2"/>
  <c r="M170" i="2"/>
  <c r="J170" i="2"/>
  <c r="J142" i="3" s="1"/>
  <c r="I170" i="2"/>
  <c r="I142" i="3" s="1"/>
  <c r="H170" i="2"/>
  <c r="H142" i="3" s="1"/>
  <c r="G170" i="2"/>
  <c r="G142" i="3" s="1"/>
  <c r="N169" i="2"/>
  <c r="M169" i="2"/>
  <c r="J169" i="2"/>
  <c r="J141" i="3" s="1"/>
  <c r="I169" i="2"/>
  <c r="I141" i="3" s="1"/>
  <c r="H169" i="2"/>
  <c r="H141" i="3" s="1"/>
  <c r="G169" i="2"/>
  <c r="G141" i="3" s="1"/>
  <c r="N168" i="2"/>
  <c r="M168" i="2"/>
  <c r="J168" i="2"/>
  <c r="J140" i="3" s="1"/>
  <c r="I168" i="2"/>
  <c r="I140" i="3" s="1"/>
  <c r="H168" i="2"/>
  <c r="H140" i="3" s="1"/>
  <c r="G168" i="2"/>
  <c r="G140" i="3" s="1"/>
  <c r="N167" i="2"/>
  <c r="M167" i="2"/>
  <c r="J167" i="2"/>
  <c r="J139" i="3" s="1"/>
  <c r="I167" i="2"/>
  <c r="I139" i="3" s="1"/>
  <c r="H167" i="2"/>
  <c r="H139" i="3" s="1"/>
  <c r="G167" i="2"/>
  <c r="G139" i="3" s="1"/>
  <c r="N166" i="2"/>
  <c r="M166" i="2"/>
  <c r="J166" i="2"/>
  <c r="J138" i="3" s="1"/>
  <c r="I166" i="2"/>
  <c r="I138" i="3" s="1"/>
  <c r="H166" i="2"/>
  <c r="H138" i="3" s="1"/>
  <c r="G166" i="2"/>
  <c r="G138" i="3" s="1"/>
  <c r="N165" i="2"/>
  <c r="M165" i="2"/>
  <c r="J165" i="2"/>
  <c r="J137" i="3" s="1"/>
  <c r="I165" i="2"/>
  <c r="I137" i="3" s="1"/>
  <c r="H165" i="2"/>
  <c r="H137" i="3" s="1"/>
  <c r="G165" i="2"/>
  <c r="G137" i="3" s="1"/>
  <c r="N164" i="2"/>
  <c r="M164" i="2"/>
  <c r="J164" i="2"/>
  <c r="J136" i="3" s="1"/>
  <c r="I164" i="2"/>
  <c r="I136" i="3" s="1"/>
  <c r="H164" i="2"/>
  <c r="H136" i="3" s="1"/>
  <c r="G164" i="2"/>
  <c r="G136" i="3" s="1"/>
  <c r="N163" i="2"/>
  <c r="M163" i="2"/>
  <c r="M162" i="2"/>
  <c r="J162" i="2"/>
  <c r="J135" i="3" s="1"/>
  <c r="I162" i="2"/>
  <c r="I135" i="3" s="1"/>
  <c r="H162" i="2"/>
  <c r="H135" i="3" s="1"/>
  <c r="G162" i="2"/>
  <c r="G135" i="3" s="1"/>
  <c r="M161" i="2"/>
  <c r="J161" i="2"/>
  <c r="J134" i="3" s="1"/>
  <c r="I161" i="2"/>
  <c r="I134" i="3" s="1"/>
  <c r="H161" i="2"/>
  <c r="H134" i="3" s="1"/>
  <c r="G161" i="2"/>
  <c r="G134" i="3" s="1"/>
  <c r="M160" i="2"/>
  <c r="J160" i="2"/>
  <c r="J133" i="3" s="1"/>
  <c r="I160" i="2"/>
  <c r="I133" i="3" s="1"/>
  <c r="H160" i="2"/>
  <c r="H133" i="3" s="1"/>
  <c r="G160" i="2"/>
  <c r="G133" i="3" s="1"/>
  <c r="M159" i="2"/>
  <c r="J159" i="2"/>
  <c r="N159" i="2" s="1"/>
  <c r="I159" i="2"/>
  <c r="I132" i="3" s="1"/>
  <c r="H159" i="2"/>
  <c r="H132" i="3" s="1"/>
  <c r="G159" i="2"/>
  <c r="G132" i="3" s="1"/>
  <c r="M158" i="2"/>
  <c r="J158" i="2"/>
  <c r="J131" i="3" s="1"/>
  <c r="I158" i="2"/>
  <c r="I131" i="3" s="1"/>
  <c r="H158" i="2"/>
  <c r="H131" i="3" s="1"/>
  <c r="G158" i="2"/>
  <c r="G131" i="3" s="1"/>
  <c r="M157" i="2"/>
  <c r="J157" i="2"/>
  <c r="J130" i="3" s="1"/>
  <c r="I157" i="2"/>
  <c r="I130" i="3" s="1"/>
  <c r="H157" i="2"/>
  <c r="H130" i="3" s="1"/>
  <c r="G157" i="2"/>
  <c r="G130" i="3" s="1"/>
  <c r="M156" i="2"/>
  <c r="J156" i="2"/>
  <c r="N156" i="2" s="1"/>
  <c r="I156" i="2"/>
  <c r="H156" i="2"/>
  <c r="G156" i="2"/>
  <c r="M155" i="2"/>
  <c r="J155" i="2"/>
  <c r="J129" i="3" s="1"/>
  <c r="I155" i="2"/>
  <c r="I129" i="3" s="1"/>
  <c r="H155" i="2"/>
  <c r="H129" i="3" s="1"/>
  <c r="G155" i="2"/>
  <c r="G129" i="3" s="1"/>
  <c r="M154" i="2"/>
  <c r="J154" i="2"/>
  <c r="J128" i="3" s="1"/>
  <c r="I154" i="2"/>
  <c r="I128" i="3" s="1"/>
  <c r="H154" i="2"/>
  <c r="H128" i="3" s="1"/>
  <c r="G154" i="2"/>
  <c r="G128" i="3" s="1"/>
  <c r="M153" i="2"/>
  <c r="J153" i="2"/>
  <c r="J127" i="3" s="1"/>
  <c r="I153" i="2"/>
  <c r="I127" i="3" s="1"/>
  <c r="H153" i="2"/>
  <c r="H127" i="3" s="1"/>
  <c r="G153" i="2"/>
  <c r="G127" i="3" s="1"/>
  <c r="M152" i="2"/>
  <c r="J152" i="2"/>
  <c r="J126" i="3" s="1"/>
  <c r="I152" i="2"/>
  <c r="I126" i="3" s="1"/>
  <c r="H152" i="2"/>
  <c r="H126" i="3" s="1"/>
  <c r="G152" i="2"/>
  <c r="G126" i="3" s="1"/>
  <c r="N151" i="2"/>
  <c r="M151" i="2"/>
  <c r="M150" i="2"/>
  <c r="J150" i="2"/>
  <c r="N150" i="2" s="1"/>
  <c r="I150" i="2"/>
  <c r="I125" i="3" s="1"/>
  <c r="H150" i="2"/>
  <c r="H125" i="3" s="1"/>
  <c r="G150" i="2"/>
  <c r="G125" i="3" s="1"/>
  <c r="M149" i="2"/>
  <c r="J149" i="2"/>
  <c r="J124" i="3" s="1"/>
  <c r="I149" i="2"/>
  <c r="I124" i="3" s="1"/>
  <c r="H149" i="2"/>
  <c r="H124" i="3" s="1"/>
  <c r="G149" i="2"/>
  <c r="G124" i="3" s="1"/>
  <c r="M148" i="2"/>
  <c r="J148" i="2"/>
  <c r="J123" i="3" s="1"/>
  <c r="I148" i="2"/>
  <c r="I123" i="3" s="1"/>
  <c r="H148" i="2"/>
  <c r="H123" i="3" s="1"/>
  <c r="G148" i="2"/>
  <c r="G123" i="3" s="1"/>
  <c r="M147" i="2"/>
  <c r="J147" i="2"/>
  <c r="J122" i="3" s="1"/>
  <c r="I147" i="2"/>
  <c r="I122" i="3" s="1"/>
  <c r="H147" i="2"/>
  <c r="H122" i="3" s="1"/>
  <c r="G147" i="2"/>
  <c r="G122" i="3" s="1"/>
  <c r="M146" i="2"/>
  <c r="J146" i="2"/>
  <c r="N146" i="2" s="1"/>
  <c r="I146" i="2"/>
  <c r="H146" i="2"/>
  <c r="G146" i="2"/>
  <c r="M145" i="2"/>
  <c r="J145" i="2"/>
  <c r="J121" i="3" s="1"/>
  <c r="I145" i="2"/>
  <c r="I121" i="3" s="1"/>
  <c r="H145" i="2"/>
  <c r="H121" i="3" s="1"/>
  <c r="G145" i="2"/>
  <c r="G121" i="3" s="1"/>
  <c r="M144" i="2"/>
  <c r="J144" i="2"/>
  <c r="J120" i="3" s="1"/>
  <c r="I144" i="2"/>
  <c r="I120" i="3" s="1"/>
  <c r="H144" i="2"/>
  <c r="H120" i="3" s="1"/>
  <c r="G144" i="2"/>
  <c r="G120" i="3" s="1"/>
  <c r="N143" i="2"/>
  <c r="M143" i="2"/>
  <c r="N142" i="2"/>
  <c r="M142" i="2"/>
  <c r="J142" i="2"/>
  <c r="J119" i="3" s="1"/>
  <c r="I142" i="2"/>
  <c r="I119" i="3" s="1"/>
  <c r="H142" i="2"/>
  <c r="H119" i="3" s="1"/>
  <c r="G142" i="2"/>
  <c r="G119" i="3" s="1"/>
  <c r="N141" i="2"/>
  <c r="M141" i="2"/>
  <c r="J141" i="2"/>
  <c r="J118" i="3" s="1"/>
  <c r="I141" i="2"/>
  <c r="I118" i="3" s="1"/>
  <c r="H141" i="2"/>
  <c r="H118" i="3" s="1"/>
  <c r="G141" i="2"/>
  <c r="G118" i="3" s="1"/>
  <c r="N140" i="2"/>
  <c r="M140" i="2"/>
  <c r="J140" i="2"/>
  <c r="J117" i="3" s="1"/>
  <c r="I140" i="2"/>
  <c r="I117" i="3" s="1"/>
  <c r="H140" i="2"/>
  <c r="H117" i="3" s="1"/>
  <c r="G140" i="2"/>
  <c r="G117" i="3" s="1"/>
  <c r="N139" i="2"/>
  <c r="M139" i="2"/>
  <c r="J139" i="2"/>
  <c r="J116" i="3" s="1"/>
  <c r="I139" i="2"/>
  <c r="I116" i="3" s="1"/>
  <c r="H139" i="2"/>
  <c r="H116" i="3" s="1"/>
  <c r="G139" i="2"/>
  <c r="G116" i="3" s="1"/>
  <c r="N138" i="2"/>
  <c r="M138" i="2"/>
  <c r="J138" i="2"/>
  <c r="J115" i="3" s="1"/>
  <c r="I138" i="2"/>
  <c r="I115" i="3" s="1"/>
  <c r="H138" i="2"/>
  <c r="H115" i="3" s="1"/>
  <c r="G138" i="2"/>
  <c r="G115" i="3" s="1"/>
  <c r="N137" i="2"/>
  <c r="M137" i="2"/>
  <c r="J137" i="2"/>
  <c r="J114" i="3" s="1"/>
  <c r="I137" i="2"/>
  <c r="I114" i="3" s="1"/>
  <c r="H137" i="2"/>
  <c r="H114" i="3" s="1"/>
  <c r="G137" i="2"/>
  <c r="G114" i="3" s="1"/>
  <c r="N136" i="2"/>
  <c r="M136" i="2"/>
  <c r="J136" i="2"/>
  <c r="J113" i="3" s="1"/>
  <c r="I136" i="2"/>
  <c r="I113" i="3" s="1"/>
  <c r="H136" i="2"/>
  <c r="H113" i="3" s="1"/>
  <c r="G136" i="2"/>
  <c r="G113" i="3" s="1"/>
  <c r="N135" i="2"/>
  <c r="M135" i="2"/>
  <c r="J135" i="2"/>
  <c r="J112" i="3" s="1"/>
  <c r="I135" i="2"/>
  <c r="I112" i="3" s="1"/>
  <c r="H135" i="2"/>
  <c r="H112" i="3" s="1"/>
  <c r="G135" i="2"/>
  <c r="G112" i="3" s="1"/>
  <c r="N134" i="2"/>
  <c r="M134" i="2"/>
  <c r="J134" i="2"/>
  <c r="J111" i="3" s="1"/>
  <c r="I134" i="2"/>
  <c r="I111" i="3" s="1"/>
  <c r="H134" i="2"/>
  <c r="H111" i="3" s="1"/>
  <c r="G134" i="2"/>
  <c r="G111" i="3" s="1"/>
  <c r="N133" i="2"/>
  <c r="M133" i="2"/>
  <c r="J133" i="2"/>
  <c r="J110" i="3" s="1"/>
  <c r="I133" i="2"/>
  <c r="I110" i="3" s="1"/>
  <c r="H133" i="2"/>
  <c r="H110" i="3" s="1"/>
  <c r="G133" i="2"/>
  <c r="G110" i="3" s="1"/>
  <c r="N132" i="2"/>
  <c r="M132" i="2"/>
  <c r="J132" i="2"/>
  <c r="J109" i="3" s="1"/>
  <c r="I132" i="2"/>
  <c r="I109" i="3" s="1"/>
  <c r="H132" i="2"/>
  <c r="H109" i="3" s="1"/>
  <c r="G132" i="2"/>
  <c r="G109" i="3" s="1"/>
  <c r="N131" i="2"/>
  <c r="M131" i="2"/>
  <c r="J131" i="2"/>
  <c r="J108" i="3" s="1"/>
  <c r="I131" i="2"/>
  <c r="I108" i="3" s="1"/>
  <c r="H131" i="2"/>
  <c r="H108" i="3" s="1"/>
  <c r="G131" i="2"/>
  <c r="G108" i="3" s="1"/>
  <c r="N130" i="2"/>
  <c r="M130" i="2"/>
  <c r="J130" i="2"/>
  <c r="J107" i="3" s="1"/>
  <c r="I130" i="2"/>
  <c r="I107" i="3" s="1"/>
  <c r="H130" i="2"/>
  <c r="H107" i="3" s="1"/>
  <c r="G130" i="2"/>
  <c r="G107" i="3" s="1"/>
  <c r="N129" i="2"/>
  <c r="M129" i="2"/>
  <c r="J129" i="2"/>
  <c r="J106" i="3" s="1"/>
  <c r="I129" i="2"/>
  <c r="I106" i="3" s="1"/>
  <c r="H129" i="2"/>
  <c r="H106" i="3" s="1"/>
  <c r="G129" i="2"/>
  <c r="G106" i="3" s="1"/>
  <c r="N128" i="2"/>
  <c r="M128" i="2"/>
  <c r="J128" i="2"/>
  <c r="J105" i="3" s="1"/>
  <c r="I128" i="2"/>
  <c r="I105" i="3" s="1"/>
  <c r="H128" i="2"/>
  <c r="H105" i="3" s="1"/>
  <c r="G128" i="2"/>
  <c r="G105" i="3" s="1"/>
  <c r="N127" i="2"/>
  <c r="M127" i="2"/>
  <c r="J127" i="2"/>
  <c r="J104" i="3" s="1"/>
  <c r="I127" i="2"/>
  <c r="I104" i="3" s="1"/>
  <c r="H127" i="2"/>
  <c r="H104" i="3" s="1"/>
  <c r="G127" i="2"/>
  <c r="G104" i="3" s="1"/>
  <c r="N126" i="2"/>
  <c r="M126" i="2"/>
  <c r="J126" i="2"/>
  <c r="J103" i="3" s="1"/>
  <c r="I126" i="2"/>
  <c r="I103" i="3" s="1"/>
  <c r="H126" i="2"/>
  <c r="H103" i="3" s="1"/>
  <c r="G126" i="2"/>
  <c r="G103" i="3" s="1"/>
  <c r="N125" i="2"/>
  <c r="M125" i="2"/>
  <c r="J125" i="2"/>
  <c r="J102" i="3" s="1"/>
  <c r="I125" i="2"/>
  <c r="I102" i="3" s="1"/>
  <c r="H125" i="2"/>
  <c r="H102" i="3" s="1"/>
  <c r="G125" i="2"/>
  <c r="G102" i="3" s="1"/>
  <c r="N124" i="2"/>
  <c r="M124" i="2"/>
  <c r="J124" i="2"/>
  <c r="J101" i="3" s="1"/>
  <c r="I124" i="2"/>
  <c r="I101" i="3" s="1"/>
  <c r="H124" i="2"/>
  <c r="H101" i="3" s="1"/>
  <c r="G124" i="2"/>
  <c r="G101" i="3" s="1"/>
  <c r="N123" i="2"/>
  <c r="M123" i="2"/>
  <c r="J123" i="2"/>
  <c r="J100" i="3" s="1"/>
  <c r="I123" i="2"/>
  <c r="I100" i="3" s="1"/>
  <c r="H123" i="2"/>
  <c r="H100" i="3" s="1"/>
  <c r="G123" i="2"/>
  <c r="G100" i="3" s="1"/>
  <c r="N122" i="2"/>
  <c r="M122" i="2"/>
  <c r="J122" i="2"/>
  <c r="J99" i="3" s="1"/>
  <c r="I122" i="2"/>
  <c r="I99" i="3" s="1"/>
  <c r="H122" i="2"/>
  <c r="H99" i="3" s="1"/>
  <c r="G122" i="2"/>
  <c r="G99" i="3" s="1"/>
  <c r="N121" i="2"/>
  <c r="M121" i="2"/>
  <c r="J121" i="2"/>
  <c r="J98" i="3" s="1"/>
  <c r="I121" i="2"/>
  <c r="I98" i="3" s="1"/>
  <c r="H121" i="2"/>
  <c r="H98" i="3" s="1"/>
  <c r="G121" i="2"/>
  <c r="G98" i="3" s="1"/>
  <c r="N120" i="2"/>
  <c r="M120" i="2"/>
  <c r="J120" i="2"/>
  <c r="J97" i="3" s="1"/>
  <c r="I120" i="2"/>
  <c r="I97" i="3" s="1"/>
  <c r="H120" i="2"/>
  <c r="H97" i="3" s="1"/>
  <c r="G120" i="2"/>
  <c r="G97" i="3" s="1"/>
  <c r="N119" i="2"/>
  <c r="M119" i="2"/>
  <c r="J119" i="2"/>
  <c r="I119" i="2"/>
  <c r="H119" i="2"/>
  <c r="G119" i="2"/>
  <c r="N118" i="2"/>
  <c r="M118" i="2"/>
  <c r="J118" i="2"/>
  <c r="J96" i="3" s="1"/>
  <c r="I118" i="2"/>
  <c r="I96" i="3" s="1"/>
  <c r="H118" i="2"/>
  <c r="H96" i="3" s="1"/>
  <c r="G118" i="2"/>
  <c r="G96" i="3" s="1"/>
  <c r="N117" i="2"/>
  <c r="M117" i="2"/>
  <c r="J117" i="2"/>
  <c r="J95" i="3" s="1"/>
  <c r="I117" i="2"/>
  <c r="I95" i="3" s="1"/>
  <c r="H117" i="2"/>
  <c r="H95" i="3" s="1"/>
  <c r="G117" i="2"/>
  <c r="G95" i="3" s="1"/>
  <c r="N116" i="2"/>
  <c r="M116" i="2"/>
  <c r="M115" i="2"/>
  <c r="J115" i="2"/>
  <c r="J94" i="3" s="1"/>
  <c r="I115" i="2"/>
  <c r="I94" i="3" s="1"/>
  <c r="H115" i="2"/>
  <c r="H94" i="3" s="1"/>
  <c r="G115" i="2"/>
  <c r="G94" i="3" s="1"/>
  <c r="M114" i="2"/>
  <c r="J114" i="2"/>
  <c r="J93" i="3" s="1"/>
  <c r="I114" i="2"/>
  <c r="I93" i="3" s="1"/>
  <c r="H114" i="2"/>
  <c r="H93" i="3" s="1"/>
  <c r="G114" i="2"/>
  <c r="G93" i="3" s="1"/>
  <c r="M113" i="2"/>
  <c r="J113" i="2"/>
  <c r="N113" i="2" s="1"/>
  <c r="I113" i="2"/>
  <c r="I92" i="3" s="1"/>
  <c r="H113" i="2"/>
  <c r="H92" i="3" s="1"/>
  <c r="G113" i="2"/>
  <c r="G92" i="3" s="1"/>
  <c r="M112" i="2"/>
  <c r="J112" i="2"/>
  <c r="J91" i="3" s="1"/>
  <c r="I112" i="2"/>
  <c r="I91" i="3" s="1"/>
  <c r="H112" i="2"/>
  <c r="H91" i="3" s="1"/>
  <c r="G112" i="2"/>
  <c r="G91" i="3" s="1"/>
  <c r="M111" i="2"/>
  <c r="J111" i="2"/>
  <c r="N111" i="2" s="1"/>
  <c r="I111" i="2"/>
  <c r="H111" i="2"/>
  <c r="H90" i="3" s="1"/>
  <c r="G111" i="2"/>
  <c r="G90" i="3" s="1"/>
  <c r="M110" i="2"/>
  <c r="J110" i="2"/>
  <c r="N110" i="2" s="1"/>
  <c r="I110" i="2"/>
  <c r="H110" i="2"/>
  <c r="G110" i="2"/>
  <c r="M109" i="2"/>
  <c r="J109" i="2"/>
  <c r="J89" i="3" s="1"/>
  <c r="I109" i="2"/>
  <c r="I89" i="3" s="1"/>
  <c r="H109" i="2"/>
  <c r="H89" i="3" s="1"/>
  <c r="G109" i="2"/>
  <c r="G89" i="3" s="1"/>
  <c r="M108" i="2"/>
  <c r="J108" i="2"/>
  <c r="J88" i="3" s="1"/>
  <c r="I108" i="2"/>
  <c r="I88" i="3" s="1"/>
  <c r="H108" i="2"/>
  <c r="H88" i="3" s="1"/>
  <c r="G108" i="2"/>
  <c r="G88" i="3" s="1"/>
  <c r="M107" i="2"/>
  <c r="J107" i="2"/>
  <c r="J87" i="3" s="1"/>
  <c r="I107" i="2"/>
  <c r="I87" i="3" s="1"/>
  <c r="H107" i="2"/>
  <c r="H87" i="3" s="1"/>
  <c r="G107" i="2"/>
  <c r="G87" i="3" s="1"/>
  <c r="M106" i="2"/>
  <c r="J106" i="2"/>
  <c r="J86" i="3" s="1"/>
  <c r="I106" i="2"/>
  <c r="I86" i="3" s="1"/>
  <c r="H106" i="2"/>
  <c r="H86" i="3" s="1"/>
  <c r="G106" i="2"/>
  <c r="G86" i="3" s="1"/>
  <c r="M105" i="2"/>
  <c r="J105" i="2"/>
  <c r="J85" i="3" s="1"/>
  <c r="I105" i="2"/>
  <c r="I85" i="3" s="1"/>
  <c r="H105" i="2"/>
  <c r="H85" i="3" s="1"/>
  <c r="G105" i="2"/>
  <c r="G85" i="3" s="1"/>
  <c r="M104" i="2"/>
  <c r="J104" i="2"/>
  <c r="N104" i="2" s="1"/>
  <c r="I104" i="2"/>
  <c r="H104" i="2"/>
  <c r="G104" i="2"/>
  <c r="M103" i="2"/>
  <c r="J103" i="2"/>
  <c r="N103" i="2" s="1"/>
  <c r="I103" i="2"/>
  <c r="I84" i="3" s="1"/>
  <c r="H103" i="2"/>
  <c r="H84" i="3" s="1"/>
  <c r="G103" i="2"/>
  <c r="G84" i="3" s="1"/>
  <c r="M102" i="2"/>
  <c r="J102" i="2"/>
  <c r="N102" i="2" s="1"/>
  <c r="I102" i="2"/>
  <c r="I83" i="3" s="1"/>
  <c r="H102" i="2"/>
  <c r="H83" i="3" s="1"/>
  <c r="G102" i="2"/>
  <c r="G83" i="3" s="1"/>
  <c r="N101" i="2"/>
  <c r="M101" i="2"/>
  <c r="M100" i="2"/>
  <c r="J100" i="2"/>
  <c r="N100" i="2" s="1"/>
  <c r="I100" i="2"/>
  <c r="I82" i="3" s="1"/>
  <c r="H100" i="2"/>
  <c r="H82" i="3" s="1"/>
  <c r="G100" i="2"/>
  <c r="G82" i="3" s="1"/>
  <c r="M99" i="2"/>
  <c r="J99" i="2"/>
  <c r="J81" i="3" s="1"/>
  <c r="I99" i="2"/>
  <c r="I81" i="3" s="1"/>
  <c r="H99" i="2"/>
  <c r="H81" i="3" s="1"/>
  <c r="G99" i="2"/>
  <c r="G81" i="3" s="1"/>
  <c r="M98" i="2"/>
  <c r="J98" i="2"/>
  <c r="N98" i="2" s="1"/>
  <c r="I98" i="2"/>
  <c r="I80" i="3" s="1"/>
  <c r="H98" i="2"/>
  <c r="H80" i="3" s="1"/>
  <c r="G98" i="2"/>
  <c r="G80" i="3" s="1"/>
  <c r="M97" i="2"/>
  <c r="J97" i="2"/>
  <c r="N97" i="2" s="1"/>
  <c r="I97" i="2"/>
  <c r="H97" i="2"/>
  <c r="G97" i="2"/>
  <c r="M96" i="2"/>
  <c r="J96" i="2"/>
  <c r="N96" i="2" s="1"/>
  <c r="I96" i="2"/>
  <c r="I79" i="3" s="1"/>
  <c r="H96" i="2"/>
  <c r="H79" i="3" s="1"/>
  <c r="G96" i="2"/>
  <c r="G79" i="3" s="1"/>
  <c r="M95" i="2"/>
  <c r="J95" i="2"/>
  <c r="J78" i="3" s="1"/>
  <c r="I95" i="2"/>
  <c r="I78" i="3" s="1"/>
  <c r="H95" i="2"/>
  <c r="H78" i="3" s="1"/>
  <c r="G95" i="2"/>
  <c r="G78" i="3" s="1"/>
  <c r="M94" i="2"/>
  <c r="J94" i="2"/>
  <c r="N94" i="2" s="1"/>
  <c r="I94" i="2"/>
  <c r="H94" i="2"/>
  <c r="G94" i="2"/>
  <c r="M93" i="2"/>
  <c r="J93" i="2"/>
  <c r="J77" i="3" s="1"/>
  <c r="I93" i="2"/>
  <c r="I77" i="3" s="1"/>
  <c r="H93" i="2"/>
  <c r="H77" i="3" s="1"/>
  <c r="G93" i="2"/>
  <c r="G77" i="3" s="1"/>
  <c r="M92" i="2"/>
  <c r="J92" i="2"/>
  <c r="J76" i="3" s="1"/>
  <c r="I92" i="2"/>
  <c r="I76" i="3" s="1"/>
  <c r="H92" i="2"/>
  <c r="H76" i="3" s="1"/>
  <c r="G92" i="2"/>
  <c r="G76" i="3" s="1"/>
  <c r="M91" i="2"/>
  <c r="J91" i="2"/>
  <c r="N91" i="2" s="1"/>
  <c r="I91" i="2"/>
  <c r="H91" i="2"/>
  <c r="G91" i="2"/>
  <c r="J90" i="2"/>
  <c r="J75" i="3" s="1"/>
  <c r="I90" i="2"/>
  <c r="I75" i="3" s="1"/>
  <c r="H90" i="2"/>
  <c r="H75" i="3" s="1"/>
  <c r="G90" i="2"/>
  <c r="G75" i="3" s="1"/>
  <c r="M89" i="2"/>
  <c r="J89" i="2"/>
  <c r="J74" i="3" s="1"/>
  <c r="I89" i="2"/>
  <c r="I74" i="3" s="1"/>
  <c r="H89" i="2"/>
  <c r="H74" i="3" s="1"/>
  <c r="G89" i="2"/>
  <c r="G74" i="3" s="1"/>
  <c r="J88" i="2"/>
  <c r="J73" i="3" s="1"/>
  <c r="I88" i="2"/>
  <c r="I73" i="3" s="1"/>
  <c r="H88" i="2"/>
  <c r="H73" i="3" s="1"/>
  <c r="G88" i="2"/>
  <c r="G73" i="3" s="1"/>
  <c r="M87" i="2"/>
  <c r="J87" i="2"/>
  <c r="N87" i="2" s="1"/>
  <c r="I87" i="2"/>
  <c r="I72" i="3" s="1"/>
  <c r="H87" i="2"/>
  <c r="H72" i="3" s="1"/>
  <c r="G87" i="2"/>
  <c r="G72" i="3" s="1"/>
  <c r="J86" i="2"/>
  <c r="N86" i="2" s="1"/>
  <c r="I86" i="2"/>
  <c r="I71" i="3" s="1"/>
  <c r="H86" i="2"/>
  <c r="H71" i="3" s="1"/>
  <c r="G86" i="2"/>
  <c r="G71" i="3" s="1"/>
  <c r="J85" i="2"/>
  <c r="J70" i="3" s="1"/>
  <c r="I85" i="2"/>
  <c r="I70" i="3" s="1"/>
  <c r="H85" i="2"/>
  <c r="H70" i="3" s="1"/>
  <c r="G85" i="2"/>
  <c r="G70" i="3" s="1"/>
  <c r="N84" i="2"/>
  <c r="M84" i="2"/>
  <c r="N83" i="2"/>
  <c r="M83" i="2"/>
  <c r="J83" i="2"/>
  <c r="J69" i="3" s="1"/>
  <c r="I83" i="2"/>
  <c r="I69" i="3" s="1"/>
  <c r="H83" i="2"/>
  <c r="H69" i="3" s="1"/>
  <c r="G83" i="2"/>
  <c r="G69" i="3" s="1"/>
  <c r="N82" i="2"/>
  <c r="M82" i="2"/>
  <c r="J82" i="2"/>
  <c r="I82" i="2"/>
  <c r="H82" i="2"/>
  <c r="G82" i="2"/>
  <c r="N81" i="2"/>
  <c r="M81" i="2"/>
  <c r="J81" i="2"/>
  <c r="J68" i="3" s="1"/>
  <c r="I81" i="2"/>
  <c r="I68" i="3" s="1"/>
  <c r="H81" i="2"/>
  <c r="H68" i="3" s="1"/>
  <c r="G81" i="2"/>
  <c r="G68" i="3" s="1"/>
  <c r="N80" i="2"/>
  <c r="M80" i="2"/>
  <c r="J80" i="2"/>
  <c r="J67" i="3" s="1"/>
  <c r="I80" i="2"/>
  <c r="I67" i="3" s="1"/>
  <c r="H80" i="2"/>
  <c r="H67" i="3" s="1"/>
  <c r="G80" i="2"/>
  <c r="G67" i="3" s="1"/>
  <c r="N79" i="2"/>
  <c r="M79" i="2"/>
  <c r="J79" i="2"/>
  <c r="I79" i="2"/>
  <c r="H79" i="2"/>
  <c r="G79" i="2"/>
  <c r="N78" i="2"/>
  <c r="M78" i="2"/>
  <c r="J78" i="2"/>
  <c r="J66" i="3" s="1"/>
  <c r="I78" i="2"/>
  <c r="I66" i="3" s="1"/>
  <c r="H78" i="2"/>
  <c r="H66" i="3" s="1"/>
  <c r="G78" i="2"/>
  <c r="G66" i="3" s="1"/>
  <c r="N77" i="2"/>
  <c r="M77" i="2"/>
  <c r="J77" i="2"/>
  <c r="J65" i="3" s="1"/>
  <c r="I77" i="2"/>
  <c r="I65" i="3" s="1"/>
  <c r="H77" i="2"/>
  <c r="H65" i="3" s="1"/>
  <c r="G77" i="2"/>
  <c r="G65" i="3" s="1"/>
  <c r="N76" i="2"/>
  <c r="M76" i="2"/>
  <c r="J76" i="2"/>
  <c r="I76" i="2"/>
  <c r="H76" i="2"/>
  <c r="G76" i="2"/>
  <c r="N75" i="2"/>
  <c r="M75" i="2"/>
  <c r="J75" i="2"/>
  <c r="J64" i="3" s="1"/>
  <c r="I75" i="2"/>
  <c r="I64" i="3" s="1"/>
  <c r="H75" i="2"/>
  <c r="H64" i="3" s="1"/>
  <c r="G75" i="2"/>
  <c r="G64" i="3" s="1"/>
  <c r="N74" i="2"/>
  <c r="M74" i="2"/>
  <c r="J74" i="2"/>
  <c r="J63" i="3" s="1"/>
  <c r="I74" i="2"/>
  <c r="I63" i="3" s="1"/>
  <c r="H74" i="2"/>
  <c r="H63" i="3" s="1"/>
  <c r="G74" i="2"/>
  <c r="G63" i="3" s="1"/>
  <c r="N73" i="2"/>
  <c r="M73" i="2"/>
  <c r="J73" i="2"/>
  <c r="J62" i="3" s="1"/>
  <c r="I73" i="2"/>
  <c r="I62" i="3" s="1"/>
  <c r="H73" i="2"/>
  <c r="H62" i="3" s="1"/>
  <c r="G73" i="2"/>
  <c r="G62" i="3" s="1"/>
  <c r="N72" i="2"/>
  <c r="M72" i="2"/>
  <c r="J72" i="2"/>
  <c r="I72" i="2"/>
  <c r="H72" i="2"/>
  <c r="G72" i="2"/>
  <c r="N71" i="2"/>
  <c r="M71" i="2"/>
  <c r="J71" i="2"/>
  <c r="J61" i="3" s="1"/>
  <c r="I71" i="2"/>
  <c r="I61" i="3" s="1"/>
  <c r="H71" i="2"/>
  <c r="H61" i="3" s="1"/>
  <c r="G71" i="2"/>
  <c r="G61" i="3" s="1"/>
  <c r="N70" i="2"/>
  <c r="M70" i="2"/>
  <c r="J70" i="2"/>
  <c r="J60" i="3" s="1"/>
  <c r="I70" i="2"/>
  <c r="I60" i="3" s="1"/>
  <c r="H70" i="2"/>
  <c r="H60" i="3" s="1"/>
  <c r="G70" i="2"/>
  <c r="G60" i="3" s="1"/>
  <c r="N69" i="2"/>
  <c r="M69" i="2"/>
  <c r="J69" i="2"/>
  <c r="J59" i="3" s="1"/>
  <c r="I69" i="2"/>
  <c r="I59" i="3" s="1"/>
  <c r="H69" i="2"/>
  <c r="H59" i="3" s="1"/>
  <c r="G69" i="2"/>
  <c r="G59" i="3" s="1"/>
  <c r="N68" i="2"/>
  <c r="M68" i="2"/>
  <c r="J68" i="2"/>
  <c r="J58" i="3" s="1"/>
  <c r="I68" i="2"/>
  <c r="I58" i="3" s="1"/>
  <c r="H68" i="2"/>
  <c r="H58" i="3" s="1"/>
  <c r="G68" i="2"/>
  <c r="G58" i="3" s="1"/>
  <c r="M67" i="2"/>
  <c r="J67" i="2"/>
  <c r="N67" i="2" s="1"/>
  <c r="I67" i="2"/>
  <c r="I57" i="3" s="1"/>
  <c r="H67" i="2"/>
  <c r="H57" i="3" s="1"/>
  <c r="G67" i="2"/>
  <c r="G57" i="3" s="1"/>
  <c r="N66" i="2"/>
  <c r="M66" i="2"/>
  <c r="J66" i="2"/>
  <c r="J56" i="3" s="1"/>
  <c r="I66" i="2"/>
  <c r="I56" i="3" s="1"/>
  <c r="H66" i="2"/>
  <c r="H56" i="3" s="1"/>
  <c r="G66" i="2"/>
  <c r="G56" i="3" s="1"/>
  <c r="J65" i="2"/>
  <c r="M65" i="2" s="1"/>
  <c r="I65" i="2"/>
  <c r="I55" i="3" s="1"/>
  <c r="H65" i="2"/>
  <c r="H55" i="3" s="1"/>
  <c r="G65" i="2"/>
  <c r="G55" i="3" s="1"/>
  <c r="N64" i="2"/>
  <c r="M64" i="2"/>
  <c r="J64" i="2"/>
  <c r="J54" i="3" s="1"/>
  <c r="I64" i="2"/>
  <c r="I54" i="3" s="1"/>
  <c r="H64" i="2"/>
  <c r="H54" i="3" s="1"/>
  <c r="G64" i="2"/>
  <c r="G54" i="3" s="1"/>
  <c r="J63" i="2"/>
  <c r="I63" i="2"/>
  <c r="I53" i="3" s="1"/>
  <c r="H63" i="2"/>
  <c r="H53" i="3" s="1"/>
  <c r="G63" i="2"/>
  <c r="G53" i="3" s="1"/>
  <c r="N62" i="2"/>
  <c r="M62" i="2"/>
  <c r="J62" i="2"/>
  <c r="J52" i="3" s="1"/>
  <c r="I62" i="2"/>
  <c r="I52" i="3" s="1"/>
  <c r="H62" i="2"/>
  <c r="H52" i="3" s="1"/>
  <c r="G62" i="2"/>
  <c r="G52" i="3" s="1"/>
  <c r="J61" i="2"/>
  <c r="I61" i="2"/>
  <c r="I51" i="3" s="1"/>
  <c r="H61" i="2"/>
  <c r="H51" i="3" s="1"/>
  <c r="G61" i="2"/>
  <c r="G51" i="3" s="1"/>
  <c r="N60" i="2"/>
  <c r="M60" i="2"/>
  <c r="J60" i="2"/>
  <c r="J50" i="3" s="1"/>
  <c r="I60" i="2"/>
  <c r="I50" i="3" s="1"/>
  <c r="H60" i="2"/>
  <c r="H50" i="3" s="1"/>
  <c r="G60" i="2"/>
  <c r="G50" i="3" s="1"/>
  <c r="J59" i="2"/>
  <c r="I59" i="2"/>
  <c r="I49" i="3" s="1"/>
  <c r="H59" i="2"/>
  <c r="H49" i="3" s="1"/>
  <c r="G59" i="2"/>
  <c r="G49" i="3" s="1"/>
  <c r="N58" i="2"/>
  <c r="M58" i="2"/>
  <c r="J58" i="2"/>
  <c r="I58" i="2"/>
  <c r="H58" i="2"/>
  <c r="G58" i="2"/>
  <c r="J57" i="2"/>
  <c r="I57" i="2"/>
  <c r="I48" i="3" s="1"/>
  <c r="H57" i="2"/>
  <c r="H48" i="3" s="1"/>
  <c r="G57" i="2"/>
  <c r="G48" i="3" s="1"/>
  <c r="N56" i="2"/>
  <c r="M56" i="2"/>
  <c r="J56" i="2"/>
  <c r="J47" i="3" s="1"/>
  <c r="I56" i="2"/>
  <c r="I47" i="3" s="1"/>
  <c r="H56" i="2"/>
  <c r="H47" i="3" s="1"/>
  <c r="G56" i="2"/>
  <c r="G47" i="3" s="1"/>
  <c r="J55" i="2"/>
  <c r="I55" i="2"/>
  <c r="I46" i="3" s="1"/>
  <c r="H55" i="2"/>
  <c r="H46" i="3" s="1"/>
  <c r="G55" i="2"/>
  <c r="G46" i="3" s="1"/>
  <c r="N54" i="2"/>
  <c r="M54" i="2"/>
  <c r="J54" i="2"/>
  <c r="J45" i="3" s="1"/>
  <c r="I54" i="2"/>
  <c r="I45" i="3" s="1"/>
  <c r="H54" i="2"/>
  <c r="H45" i="3" s="1"/>
  <c r="G54" i="2"/>
  <c r="G45" i="3" s="1"/>
  <c r="J53" i="2"/>
  <c r="I53" i="2"/>
  <c r="I44" i="3" s="1"/>
  <c r="H53" i="2"/>
  <c r="H44" i="3" s="1"/>
  <c r="G53" i="2"/>
  <c r="G44" i="3" s="1"/>
  <c r="N52" i="2"/>
  <c r="M52" i="2"/>
  <c r="J52" i="2"/>
  <c r="J43" i="3" s="1"/>
  <c r="I52" i="2"/>
  <c r="I43" i="3" s="1"/>
  <c r="H52" i="2"/>
  <c r="H43" i="3" s="1"/>
  <c r="G52" i="2"/>
  <c r="G43" i="3" s="1"/>
  <c r="J51" i="2"/>
  <c r="I51" i="2"/>
  <c r="I42" i="3" s="1"/>
  <c r="H51" i="2"/>
  <c r="H42" i="3" s="1"/>
  <c r="G51" i="2"/>
  <c r="G42" i="3" s="1"/>
  <c r="N50" i="2"/>
  <c r="M50" i="2"/>
  <c r="J50" i="2"/>
  <c r="J41" i="3" s="1"/>
  <c r="I50" i="2"/>
  <c r="I41" i="3" s="1"/>
  <c r="H50" i="2"/>
  <c r="H41" i="3" s="1"/>
  <c r="G50" i="2"/>
  <c r="G41" i="3" s="1"/>
  <c r="J49" i="2"/>
  <c r="I49" i="2"/>
  <c r="I40" i="3" s="1"/>
  <c r="H49" i="2"/>
  <c r="H40" i="3" s="1"/>
  <c r="G49" i="2"/>
  <c r="G40" i="3" s="1"/>
  <c r="N48" i="2"/>
  <c r="M48" i="2"/>
  <c r="J48" i="2"/>
  <c r="J39" i="3" s="1"/>
  <c r="I48" i="2"/>
  <c r="I39" i="3" s="1"/>
  <c r="H48" i="2"/>
  <c r="H39" i="3" s="1"/>
  <c r="G48" i="2"/>
  <c r="G39" i="3" s="1"/>
  <c r="J47" i="2"/>
  <c r="I47" i="2"/>
  <c r="I38" i="3" s="1"/>
  <c r="H47" i="2"/>
  <c r="H38" i="3" s="1"/>
  <c r="G47" i="2"/>
  <c r="G38" i="3" s="1"/>
  <c r="N46" i="2"/>
  <c r="M46" i="2"/>
  <c r="J46" i="2"/>
  <c r="J37" i="3" s="1"/>
  <c r="I46" i="2"/>
  <c r="I37" i="3" s="1"/>
  <c r="H46" i="2"/>
  <c r="H37" i="3" s="1"/>
  <c r="G46" i="2"/>
  <c r="G37" i="3" s="1"/>
  <c r="J45" i="2"/>
  <c r="I45" i="2"/>
  <c r="I36" i="3" s="1"/>
  <c r="H45" i="2"/>
  <c r="H36" i="3" s="1"/>
  <c r="G45" i="2"/>
  <c r="G36" i="3" s="1"/>
  <c r="N44" i="2"/>
  <c r="M44" i="2"/>
  <c r="J44" i="2"/>
  <c r="J35" i="3" s="1"/>
  <c r="I44" i="2"/>
  <c r="I35" i="3" s="1"/>
  <c r="H44" i="2"/>
  <c r="H35" i="3" s="1"/>
  <c r="G44" i="2"/>
  <c r="G35" i="3" s="1"/>
  <c r="J43" i="2"/>
  <c r="I43" i="2"/>
  <c r="I34" i="3" s="1"/>
  <c r="H43" i="2"/>
  <c r="H34" i="3" s="1"/>
  <c r="G43" i="2"/>
  <c r="G34" i="3" s="1"/>
  <c r="N42" i="2"/>
  <c r="M42" i="2"/>
  <c r="J42" i="2"/>
  <c r="J33" i="3" s="1"/>
  <c r="I42" i="2"/>
  <c r="I33" i="3" s="1"/>
  <c r="H42" i="2"/>
  <c r="H33" i="3" s="1"/>
  <c r="G42" i="2"/>
  <c r="G33" i="3" s="1"/>
  <c r="J41" i="2"/>
  <c r="M41" i="2" s="1"/>
  <c r="I41" i="2"/>
  <c r="I32" i="3" s="1"/>
  <c r="H41" i="2"/>
  <c r="H32" i="3" s="1"/>
  <c r="G41" i="2"/>
  <c r="G32" i="3" s="1"/>
  <c r="N40" i="2"/>
  <c r="M40" i="2"/>
  <c r="J40" i="2"/>
  <c r="J31" i="3" s="1"/>
  <c r="I40" i="2"/>
  <c r="I31" i="3" s="1"/>
  <c r="H40" i="2"/>
  <c r="H31" i="3" s="1"/>
  <c r="G40" i="2"/>
  <c r="G31" i="3" s="1"/>
  <c r="M39" i="2"/>
  <c r="J39" i="2"/>
  <c r="I39" i="2"/>
  <c r="I30" i="3" s="1"/>
  <c r="H39" i="2"/>
  <c r="H30" i="3" s="1"/>
  <c r="G39" i="2"/>
  <c r="G30" i="3" s="1"/>
  <c r="N38" i="2"/>
  <c r="M38" i="2"/>
  <c r="J38" i="2"/>
  <c r="J29" i="3" s="1"/>
  <c r="I38" i="2"/>
  <c r="I29" i="3" s="1"/>
  <c r="H38" i="2"/>
  <c r="H29" i="3" s="1"/>
  <c r="G38" i="2"/>
  <c r="G29" i="3" s="1"/>
  <c r="J37" i="2"/>
  <c r="I37" i="2"/>
  <c r="I28" i="3" s="1"/>
  <c r="H37" i="2"/>
  <c r="H28" i="3" s="1"/>
  <c r="G37" i="2"/>
  <c r="G28" i="3" s="1"/>
  <c r="N36" i="2"/>
  <c r="M36" i="2"/>
  <c r="J36" i="2"/>
  <c r="J27" i="3" s="1"/>
  <c r="I36" i="2"/>
  <c r="I27" i="3" s="1"/>
  <c r="H36" i="2"/>
  <c r="H27" i="3" s="1"/>
  <c r="G36" i="2"/>
  <c r="G27" i="3" s="1"/>
  <c r="J35" i="2"/>
  <c r="M35" i="2" s="1"/>
  <c r="I35" i="2"/>
  <c r="I26" i="3" s="1"/>
  <c r="H35" i="2"/>
  <c r="H26" i="3" s="1"/>
  <c r="G35" i="2"/>
  <c r="G26" i="3" s="1"/>
  <c r="N34" i="2"/>
  <c r="M34" i="2"/>
  <c r="J34" i="2"/>
  <c r="J25" i="3" s="1"/>
  <c r="I34" i="2"/>
  <c r="I25" i="3" s="1"/>
  <c r="H34" i="2"/>
  <c r="H25" i="3" s="1"/>
  <c r="G34" i="2"/>
  <c r="G25" i="3" s="1"/>
  <c r="M33" i="2"/>
  <c r="J33" i="2"/>
  <c r="I33" i="2"/>
  <c r="I24" i="3" s="1"/>
  <c r="H33" i="2"/>
  <c r="H24" i="3" s="1"/>
  <c r="G33" i="2"/>
  <c r="G24" i="3" s="1"/>
  <c r="N32" i="2"/>
  <c r="M32" i="2"/>
  <c r="J32" i="2"/>
  <c r="J23" i="3" s="1"/>
  <c r="I32" i="2"/>
  <c r="I23" i="3" s="1"/>
  <c r="H32" i="2"/>
  <c r="H23" i="3" s="1"/>
  <c r="G32" i="2"/>
  <c r="G23" i="3" s="1"/>
  <c r="J31" i="2"/>
  <c r="M31" i="2" s="1"/>
  <c r="I31" i="2"/>
  <c r="I22" i="3" s="1"/>
  <c r="H31" i="2"/>
  <c r="H22" i="3" s="1"/>
  <c r="G31" i="2"/>
  <c r="G22" i="3" s="1"/>
  <c r="N30" i="2"/>
  <c r="M30" i="2"/>
  <c r="J30" i="2"/>
  <c r="J21" i="3" s="1"/>
  <c r="I30" i="2"/>
  <c r="I21" i="3" s="1"/>
  <c r="H30" i="2"/>
  <c r="H21" i="3" s="1"/>
  <c r="G30" i="2"/>
  <c r="G21" i="3" s="1"/>
  <c r="J29" i="2"/>
  <c r="I29" i="2"/>
  <c r="I20" i="3" s="1"/>
  <c r="H29" i="2"/>
  <c r="H20" i="3" s="1"/>
  <c r="G29" i="2"/>
  <c r="G20" i="3" s="1"/>
  <c r="N28" i="2"/>
  <c r="M28" i="2"/>
  <c r="J27" i="2"/>
  <c r="N27" i="2" s="1"/>
  <c r="I27" i="2"/>
  <c r="I19" i="3" s="1"/>
  <c r="H27" i="2"/>
  <c r="H19" i="3" s="1"/>
  <c r="G27" i="2"/>
  <c r="G19" i="3" s="1"/>
  <c r="N26" i="2"/>
  <c r="M26" i="2"/>
  <c r="J26" i="2"/>
  <c r="J18" i="3" s="1"/>
  <c r="I26" i="2"/>
  <c r="I18" i="3" s="1"/>
  <c r="H26" i="2"/>
  <c r="H18" i="3" s="1"/>
  <c r="G26" i="2"/>
  <c r="G18" i="3" s="1"/>
  <c r="J25" i="2"/>
  <c r="N25" i="2" s="1"/>
  <c r="I25" i="2"/>
  <c r="I17" i="3" s="1"/>
  <c r="H25" i="2"/>
  <c r="H17" i="3" s="1"/>
  <c r="G25" i="2"/>
  <c r="G17" i="3" s="1"/>
  <c r="N24" i="2"/>
  <c r="M24" i="2"/>
  <c r="J24" i="2"/>
  <c r="J16" i="3" s="1"/>
  <c r="I24" i="2"/>
  <c r="I16" i="3" s="1"/>
  <c r="H24" i="2"/>
  <c r="H16" i="3" s="1"/>
  <c r="G24" i="2"/>
  <c r="G16" i="3" s="1"/>
  <c r="J23" i="2"/>
  <c r="N23" i="2" s="1"/>
  <c r="I23" i="2"/>
  <c r="I15" i="3" s="1"/>
  <c r="H23" i="2"/>
  <c r="H15" i="3" s="1"/>
  <c r="G23" i="2"/>
  <c r="G15" i="3" s="1"/>
  <c r="N22" i="2"/>
  <c r="M22" i="2"/>
  <c r="J21" i="2"/>
  <c r="J14" i="3" s="1"/>
  <c r="I21" i="2"/>
  <c r="I14" i="3" s="1"/>
  <c r="H21" i="2"/>
  <c r="H14" i="3" s="1"/>
  <c r="G21" i="2"/>
  <c r="G14" i="3" s="1"/>
  <c r="N20" i="2"/>
  <c r="J20" i="2"/>
  <c r="J13" i="3" s="1"/>
  <c r="I20" i="2"/>
  <c r="I13" i="3" s="1"/>
  <c r="H20" i="2"/>
  <c r="H13" i="3" s="1"/>
  <c r="G20" i="2"/>
  <c r="G13" i="3" s="1"/>
  <c r="J19" i="2"/>
  <c r="N19" i="2" s="1"/>
  <c r="I19" i="2"/>
  <c r="H19" i="2"/>
  <c r="G19" i="2"/>
  <c r="N18" i="2"/>
  <c r="J18" i="2"/>
  <c r="M18" i="2" s="1"/>
  <c r="I18" i="2"/>
  <c r="H18" i="2"/>
  <c r="H12" i="3" s="1"/>
  <c r="G18" i="2"/>
  <c r="G12" i="3" s="1"/>
  <c r="J17" i="2"/>
  <c r="N17" i="2" s="1"/>
  <c r="I17" i="2"/>
  <c r="I11" i="3" s="1"/>
  <c r="H17" i="2"/>
  <c r="H11" i="3" s="1"/>
  <c r="G17" i="2"/>
  <c r="G11" i="3" s="1"/>
  <c r="N16" i="2"/>
  <c r="J16" i="2"/>
  <c r="M16" i="2" s="1"/>
  <c r="I16" i="2"/>
  <c r="H16" i="2"/>
  <c r="G16" i="2"/>
  <c r="J15" i="2"/>
  <c r="J10" i="3" s="1"/>
  <c r="I15" i="2"/>
  <c r="I10" i="3" s="1"/>
  <c r="H15" i="2"/>
  <c r="H10" i="3" s="1"/>
  <c r="G15" i="2"/>
  <c r="G10" i="3" s="1"/>
  <c r="J14" i="2"/>
  <c r="N14" i="2" s="1"/>
  <c r="I14" i="2"/>
  <c r="I9" i="3" s="1"/>
  <c r="H14" i="2"/>
  <c r="H9" i="3" s="1"/>
  <c r="G14" i="2"/>
  <c r="G9" i="3" s="1"/>
  <c r="J13" i="2"/>
  <c r="J8" i="3" s="1"/>
  <c r="I13" i="2"/>
  <c r="I8" i="3" s="1"/>
  <c r="H13" i="2"/>
  <c r="H8" i="3" s="1"/>
  <c r="G13" i="2"/>
  <c r="G8" i="3" s="1"/>
  <c r="J12" i="2"/>
  <c r="N12" i="2" s="1"/>
  <c r="I12" i="2"/>
  <c r="I7" i="3" s="1"/>
  <c r="H12" i="2"/>
  <c r="H7" i="3" s="1"/>
  <c r="G12" i="2"/>
  <c r="G7" i="3" s="1"/>
  <c r="J11" i="2"/>
  <c r="J6" i="3" s="1"/>
  <c r="I11" i="2"/>
  <c r="I6" i="3" s="1"/>
  <c r="H11" i="2"/>
  <c r="H6" i="3" s="1"/>
  <c r="G11" i="2"/>
  <c r="G6" i="3" s="1"/>
  <c r="J10" i="2"/>
  <c r="N10" i="2" s="1"/>
  <c r="I10" i="2"/>
  <c r="I5" i="3" s="1"/>
  <c r="H10" i="2"/>
  <c r="H5" i="3" s="1"/>
  <c r="G10" i="2"/>
  <c r="G5" i="3" s="1"/>
  <c r="J9" i="2"/>
  <c r="J4" i="3" s="1"/>
  <c r="I9" i="2"/>
  <c r="I4" i="3" s="1"/>
  <c r="H9" i="2"/>
  <c r="H4" i="3" s="1"/>
  <c r="G9" i="2"/>
  <c r="G4" i="3" s="1"/>
  <c r="J8" i="2"/>
  <c r="J3" i="3" s="1"/>
  <c r="I8" i="2"/>
  <c r="I3" i="3" s="1"/>
  <c r="H8" i="2"/>
  <c r="H3" i="3" s="1"/>
  <c r="G8" i="2"/>
  <c r="G3" i="3" s="1"/>
  <c r="J7" i="2"/>
  <c r="J2" i="3" s="1"/>
  <c r="I7" i="2"/>
  <c r="H7" i="2"/>
  <c r="H2" i="3" s="1"/>
  <c r="G7" i="2"/>
  <c r="G2" i="3" s="1"/>
  <c r="B4" i="1"/>
  <c r="B3" i="1"/>
  <c r="M371" i="2" l="1"/>
  <c r="M55" i="2"/>
  <c r="N55" i="2"/>
  <c r="J46" i="3"/>
  <c r="N39" i="2"/>
  <c r="J30" i="3"/>
  <c r="M53" i="2"/>
  <c r="N53" i="2"/>
  <c r="J44" i="3"/>
  <c r="M63" i="2"/>
  <c r="J53" i="3"/>
  <c r="N63" i="2"/>
  <c r="N33" i="2"/>
  <c r="J24" i="3"/>
  <c r="J51" i="3"/>
  <c r="M61" i="2"/>
  <c r="N61" i="2"/>
  <c r="N29" i="2"/>
  <c r="J20" i="3"/>
  <c r="D4" i="11"/>
  <c r="C3" i="12"/>
  <c r="I2" i="3"/>
  <c r="M43" i="2"/>
  <c r="N43" i="2"/>
  <c r="J34" i="3"/>
  <c r="N41" i="2"/>
  <c r="J32" i="3"/>
  <c r="J28" i="3"/>
  <c r="N37" i="2"/>
  <c r="J26" i="3"/>
  <c r="N35" i="2"/>
  <c r="M37" i="2"/>
  <c r="M51" i="2"/>
  <c r="N51" i="2"/>
  <c r="J42" i="3"/>
  <c r="N31" i="2"/>
  <c r="J22" i="3"/>
  <c r="J40" i="3"/>
  <c r="M49" i="2"/>
  <c r="N49" i="2"/>
  <c r="D5" i="11"/>
  <c r="I12" i="3"/>
  <c r="M29" i="2"/>
  <c r="J38" i="3"/>
  <c r="M47" i="2"/>
  <c r="N47" i="2"/>
  <c r="J49" i="3"/>
  <c r="M59" i="2"/>
  <c r="N59" i="2"/>
  <c r="M45" i="2"/>
  <c r="N45" i="2"/>
  <c r="J36" i="3"/>
  <c r="M57" i="2"/>
  <c r="N57" i="2"/>
  <c r="J48" i="3"/>
  <c r="J210" i="3"/>
  <c r="N246" i="2"/>
  <c r="J234" i="3"/>
  <c r="N270" i="2"/>
  <c r="J258" i="3"/>
  <c r="N294" i="2"/>
  <c r="J282" i="3"/>
  <c r="N318" i="2"/>
  <c r="M379" i="2"/>
  <c r="J12" i="3"/>
  <c r="J72" i="3"/>
  <c r="J84" i="3"/>
  <c r="M85" i="2"/>
  <c r="J208" i="3"/>
  <c r="N244" i="2"/>
  <c r="M257" i="2"/>
  <c r="J232" i="3"/>
  <c r="N268" i="2"/>
  <c r="M270" i="2"/>
  <c r="M281" i="2"/>
  <c r="J256" i="3"/>
  <c r="N292" i="2"/>
  <c r="M294" i="2"/>
  <c r="M305" i="2"/>
  <c r="J280" i="3"/>
  <c r="N316" i="2"/>
  <c r="M318" i="2"/>
  <c r="M329" i="2"/>
  <c r="M342" i="2"/>
  <c r="M353" i="2"/>
  <c r="M366" i="2"/>
  <c r="M377" i="2"/>
  <c r="J11" i="3"/>
  <c r="J71" i="3"/>
  <c r="J83" i="3"/>
  <c r="M7" i="2"/>
  <c r="M9" i="2"/>
  <c r="M11" i="2"/>
  <c r="M13" i="2"/>
  <c r="M15" i="2"/>
  <c r="M17" i="2"/>
  <c r="M19" i="2"/>
  <c r="M21" i="2"/>
  <c r="N7" i="2"/>
  <c r="N9" i="2"/>
  <c r="N11" i="2"/>
  <c r="N13" i="2"/>
  <c r="N15" i="2"/>
  <c r="N21" i="2"/>
  <c r="N85" i="2"/>
  <c r="N89" i="2"/>
  <c r="N93" i="2"/>
  <c r="N95" i="2"/>
  <c r="N99" i="2"/>
  <c r="N145" i="2"/>
  <c r="N147" i="2"/>
  <c r="N149" i="2"/>
  <c r="N177" i="2"/>
  <c r="N179" i="2"/>
  <c r="N181" i="2"/>
  <c r="N227" i="2"/>
  <c r="N229" i="2"/>
  <c r="N231" i="2"/>
  <c r="N233" i="2"/>
  <c r="J206" i="3"/>
  <c r="N242" i="2"/>
  <c r="M244" i="2"/>
  <c r="M255" i="2"/>
  <c r="N257" i="2"/>
  <c r="J230" i="3"/>
  <c r="N266" i="2"/>
  <c r="M268" i="2"/>
  <c r="M279" i="2"/>
  <c r="N281" i="2"/>
  <c r="J254" i="3"/>
  <c r="N290" i="2"/>
  <c r="N305" i="2"/>
  <c r="J278" i="3"/>
  <c r="N314" i="2"/>
  <c r="M375" i="2"/>
  <c r="B30" i="5"/>
  <c r="B18" i="5"/>
  <c r="B6" i="5"/>
  <c r="C65" i="4"/>
  <c r="C53" i="4"/>
  <c r="C41" i="4"/>
  <c r="C29" i="4"/>
  <c r="C17" i="4"/>
  <c r="C5" i="4"/>
  <c r="B4" i="8"/>
  <c r="B29" i="5"/>
  <c r="B17" i="5"/>
  <c r="B5" i="5"/>
  <c r="C64" i="4"/>
  <c r="C52" i="4"/>
  <c r="C40" i="4"/>
  <c r="C28" i="4"/>
  <c r="C16" i="4"/>
  <c r="C4" i="4"/>
  <c r="B8" i="6"/>
  <c r="B28" i="5"/>
  <c r="B16" i="5"/>
  <c r="B4" i="5"/>
  <c r="C63" i="4"/>
  <c r="C51" i="4"/>
  <c r="C39" i="4"/>
  <c r="C27" i="4"/>
  <c r="C15" i="4"/>
  <c r="B7" i="6"/>
  <c r="B27" i="5"/>
  <c r="B15" i="5"/>
  <c r="C74" i="4"/>
  <c r="C62" i="4"/>
  <c r="C50" i="4"/>
  <c r="C38" i="4"/>
  <c r="C26" i="4"/>
  <c r="C14" i="4"/>
  <c r="B6" i="6"/>
  <c r="B26" i="5"/>
  <c r="B14" i="5"/>
  <c r="C73" i="4"/>
  <c r="C61" i="4"/>
  <c r="C49" i="4"/>
  <c r="C37" i="4"/>
  <c r="C25" i="4"/>
  <c r="C13" i="4"/>
  <c r="B5" i="6"/>
  <c r="B25" i="5"/>
  <c r="B13" i="5"/>
  <c r="C72" i="4"/>
  <c r="C60" i="4"/>
  <c r="C48" i="4"/>
  <c r="C36" i="4"/>
  <c r="C24" i="4"/>
  <c r="C12" i="4"/>
  <c r="B4" i="6"/>
  <c r="B24" i="5"/>
  <c r="B12" i="5"/>
  <c r="C71" i="4"/>
  <c r="C59" i="4"/>
  <c r="C47" i="4"/>
  <c r="C35" i="4"/>
  <c r="C23" i="4"/>
  <c r="B35" i="5"/>
  <c r="B23" i="5"/>
  <c r="B11" i="5"/>
  <c r="C70" i="4"/>
  <c r="B32" i="5"/>
  <c r="C67" i="4"/>
  <c r="C34" i="4"/>
  <c r="C9" i="4"/>
  <c r="B31" i="5"/>
  <c r="C66" i="4"/>
  <c r="C33" i="4"/>
  <c r="C8" i="4"/>
  <c r="B22" i="5"/>
  <c r="C58" i="4"/>
  <c r="C32" i="4"/>
  <c r="C7" i="4"/>
  <c r="B21" i="5"/>
  <c r="C57" i="4"/>
  <c r="C31" i="4"/>
  <c r="C6" i="4"/>
  <c r="B20" i="5"/>
  <c r="C56" i="4"/>
  <c r="C30" i="4"/>
  <c r="B19" i="5"/>
  <c r="C55" i="4"/>
  <c r="C22" i="4"/>
  <c r="B10" i="5"/>
  <c r="C54" i="4"/>
  <c r="C21" i="4"/>
  <c r="B9" i="5"/>
  <c r="C46" i="4"/>
  <c r="C20" i="4"/>
  <c r="B8" i="5"/>
  <c r="C45" i="4"/>
  <c r="C19" i="4"/>
  <c r="B7" i="5"/>
  <c r="C44" i="4"/>
  <c r="C18" i="4"/>
  <c r="B34" i="5"/>
  <c r="C69" i="4"/>
  <c r="C43" i="4"/>
  <c r="C11" i="4"/>
  <c r="B33" i="5"/>
  <c r="C68" i="4"/>
  <c r="C42" i="4"/>
  <c r="C10" i="4"/>
  <c r="J82" i="3"/>
  <c r="J125" i="3"/>
  <c r="J132" i="3"/>
  <c r="J149" i="3"/>
  <c r="D30" i="11"/>
  <c r="I183" i="3"/>
  <c r="D32" i="11"/>
  <c r="M236" i="2"/>
  <c r="M238" i="2"/>
  <c r="M240" i="2"/>
  <c r="M242" i="2"/>
  <c r="M253" i="2"/>
  <c r="N255" i="2"/>
  <c r="J228" i="3"/>
  <c r="N264" i="2"/>
  <c r="M266" i="2"/>
  <c r="M277" i="2"/>
  <c r="N279" i="2"/>
  <c r="J252" i="3"/>
  <c r="N288" i="2"/>
  <c r="M290" i="2"/>
  <c r="M301" i="2"/>
  <c r="N303" i="2"/>
  <c r="J276" i="3"/>
  <c r="N312" i="2"/>
  <c r="M314" i="2"/>
  <c r="M325" i="2"/>
  <c r="N327" i="2"/>
  <c r="M338" i="2"/>
  <c r="M349" i="2"/>
  <c r="M362" i="2"/>
  <c r="M373" i="2"/>
  <c r="J9" i="3"/>
  <c r="J57" i="3"/>
  <c r="I189" i="3"/>
  <c r="N106" i="2"/>
  <c r="N108" i="2"/>
  <c r="N112" i="2"/>
  <c r="N114" i="2"/>
  <c r="N152" i="2"/>
  <c r="N154" i="2"/>
  <c r="N158" i="2"/>
  <c r="N160" i="2"/>
  <c r="N162" i="2"/>
  <c r="N184" i="2"/>
  <c r="N188" i="2"/>
  <c r="N190" i="2"/>
  <c r="N192" i="2"/>
  <c r="N194" i="2"/>
  <c r="N196" i="2"/>
  <c r="N200" i="2"/>
  <c r="N202" i="2"/>
  <c r="N204" i="2"/>
  <c r="N208" i="2"/>
  <c r="N210" i="2"/>
  <c r="N212" i="2"/>
  <c r="N236" i="2"/>
  <c r="N238" i="2"/>
  <c r="N240" i="2"/>
  <c r="N253" i="2"/>
  <c r="J226" i="3"/>
  <c r="N262" i="2"/>
  <c r="M275" i="2"/>
  <c r="N277" i="2"/>
  <c r="J250" i="3"/>
  <c r="N286" i="2"/>
  <c r="M288" i="2"/>
  <c r="M299" i="2"/>
  <c r="N301" i="2"/>
  <c r="J274" i="3"/>
  <c r="N310" i="2"/>
  <c r="M312" i="2"/>
  <c r="M323" i="2"/>
  <c r="N325" i="2"/>
  <c r="M336" i="2"/>
  <c r="M360" i="2"/>
  <c r="J80" i="3"/>
  <c r="J92" i="3"/>
  <c r="D26" i="11"/>
  <c r="D34" i="11"/>
  <c r="I209" i="3"/>
  <c r="J224" i="3"/>
  <c r="N260" i="2"/>
  <c r="J248" i="3"/>
  <c r="N284" i="2"/>
  <c r="J272" i="3"/>
  <c r="N308" i="2"/>
  <c r="J7" i="3"/>
  <c r="J19" i="3"/>
  <c r="J55" i="3"/>
  <c r="J79" i="3"/>
  <c r="J222" i="3"/>
  <c r="N258" i="2"/>
  <c r="J246" i="3"/>
  <c r="N282" i="2"/>
  <c r="J270" i="3"/>
  <c r="N306" i="2"/>
  <c r="N65" i="2"/>
  <c r="M8" i="2"/>
  <c r="M10" i="2"/>
  <c r="M12" i="2"/>
  <c r="M14" i="2"/>
  <c r="M20" i="2"/>
  <c r="D6" i="11"/>
  <c r="M86" i="2"/>
  <c r="M88" i="2"/>
  <c r="M90" i="2"/>
  <c r="D10" i="11"/>
  <c r="D28" i="11"/>
  <c r="I167" i="3"/>
  <c r="D29" i="11"/>
  <c r="I178" i="3"/>
  <c r="J220" i="3"/>
  <c r="N256" i="2"/>
  <c r="J244" i="3"/>
  <c r="N280" i="2"/>
  <c r="J268" i="3"/>
  <c r="N304" i="2"/>
  <c r="J292" i="3"/>
  <c r="N328" i="2"/>
  <c r="M378" i="2"/>
  <c r="J5" i="3"/>
  <c r="B5" i="1" s="1"/>
  <c r="B6" i="1" s="1"/>
  <c r="J17" i="3"/>
  <c r="N8" i="2"/>
  <c r="N88" i="2"/>
  <c r="N90" i="2"/>
  <c r="N92" i="2"/>
  <c r="N144" i="2"/>
  <c r="N148" i="2"/>
  <c r="N176" i="2"/>
  <c r="N180" i="2"/>
  <c r="N182" i="2"/>
  <c r="N228" i="2"/>
  <c r="N230" i="2"/>
  <c r="N232" i="2"/>
  <c r="M243" i="2"/>
  <c r="N245" i="2"/>
  <c r="J218" i="3"/>
  <c r="N254" i="2"/>
  <c r="M256" i="2"/>
  <c r="M267" i="2"/>
  <c r="N269" i="2"/>
  <c r="J242" i="3"/>
  <c r="N278" i="2"/>
  <c r="M280" i="2"/>
  <c r="M291" i="2"/>
  <c r="N293" i="2"/>
  <c r="J266" i="3"/>
  <c r="N302" i="2"/>
  <c r="M304" i="2"/>
  <c r="M315" i="2"/>
  <c r="N317" i="2"/>
  <c r="J290" i="3"/>
  <c r="N326" i="2"/>
  <c r="M328" i="2"/>
  <c r="M339" i="2"/>
  <c r="M352" i="2"/>
  <c r="M363" i="2"/>
  <c r="M376" i="2"/>
  <c r="I90" i="3"/>
  <c r="D9" i="11"/>
  <c r="N243" i="2"/>
  <c r="J216" i="3"/>
  <c r="N252" i="2"/>
  <c r="N267" i="2"/>
  <c r="J240" i="3"/>
  <c r="N276" i="2"/>
  <c r="N291" i="2"/>
  <c r="J264" i="3"/>
  <c r="N300" i="2"/>
  <c r="N315" i="2"/>
  <c r="J288" i="3"/>
  <c r="N324" i="2"/>
  <c r="M350" i="2"/>
  <c r="M361" i="2"/>
  <c r="M374" i="2"/>
  <c r="J15" i="3"/>
  <c r="J90" i="3"/>
  <c r="M23" i="2"/>
  <c r="M25" i="2"/>
  <c r="M27" i="2"/>
  <c r="D7" i="11"/>
  <c r="D8" i="11"/>
  <c r="N105" i="2"/>
  <c r="N107" i="2"/>
  <c r="N109" i="2"/>
  <c r="N115" i="2"/>
  <c r="N153" i="2"/>
  <c r="N155" i="2"/>
  <c r="N157" i="2"/>
  <c r="N161" i="2"/>
  <c r="N185" i="2"/>
  <c r="N187" i="2"/>
  <c r="N189" i="2"/>
  <c r="N191" i="2"/>
  <c r="N193" i="2"/>
  <c r="N195" i="2"/>
  <c r="N197" i="2"/>
  <c r="N199" i="2"/>
  <c r="N201" i="2"/>
  <c r="N203" i="2"/>
  <c r="N205" i="2"/>
  <c r="N207" i="2"/>
  <c r="N209" i="2"/>
  <c r="N211" i="2"/>
  <c r="N235" i="2"/>
  <c r="N237" i="2"/>
  <c r="N239" i="2"/>
  <c r="N241" i="2"/>
  <c r="J214" i="3"/>
  <c r="N250" i="2"/>
  <c r="M252" i="2"/>
  <c r="M263" i="2"/>
  <c r="N265" i="2"/>
  <c r="J238" i="3"/>
  <c r="N274" i="2"/>
  <c r="M276" i="2"/>
  <c r="M287" i="2"/>
  <c r="N289" i="2"/>
  <c r="J262" i="3"/>
  <c r="N298" i="2"/>
  <c r="M300" i="2"/>
  <c r="M311" i="2"/>
  <c r="J286" i="3"/>
  <c r="N322" i="2"/>
  <c r="M324" i="2"/>
  <c r="M348" i="2"/>
  <c r="M372" i="2"/>
  <c r="D33" i="11"/>
  <c r="I196" i="3"/>
  <c r="J212" i="3"/>
  <c r="N248" i="2"/>
  <c r="J236" i="3"/>
  <c r="N272" i="2"/>
  <c r="J260" i="3"/>
  <c r="N296" i="2"/>
  <c r="J284" i="3"/>
  <c r="N320" i="2"/>
  <c r="B5" i="8" l="1"/>
  <c r="C5" i="8" s="1"/>
  <c r="B9" i="1" s="1"/>
  <c r="B8" i="8"/>
  <c r="C8" i="8" s="1"/>
  <c r="B7" i="8"/>
  <c r="C7" i="8" s="1"/>
  <c r="B7" i="1"/>
  <c r="C4" i="8"/>
  <c r="B6" i="8" l="1"/>
  <c r="C6" i="8" s="1"/>
</calcChain>
</file>

<file path=xl/sharedStrings.xml><?xml version="1.0" encoding="utf-8"?>
<sst xmlns="http://schemas.openxmlformats.org/spreadsheetml/2006/main" count="7760" uniqueCount="2151">
  <si>
    <t>Dashboard – Intäktsmodell</t>
  </si>
  <si>
    <t>Total intäkt (kr)</t>
  </si>
  <si>
    <t>Antal taxerader (rådata)</t>
  </si>
  <si>
    <t>Saknade priser (tomma)</t>
  </si>
  <si>
    <t>Andel ifyllda priser</t>
  </si>
  <si>
    <t>Rader med Antal &gt; 0 men saknar pris</t>
  </si>
  <si>
    <t>Datakontroll</t>
  </si>
  <si>
    <t>XX kommuns avfallstaxa – fullständig kalkyl (intäkter)</t>
  </si>
  <si>
    <t>Matriser expanderas: en rad per (Taxapunkt × Variant). §6: Taxapunkt kompletteras med Avfallskod, UN-nummer blir Variant och Enhet tas från enhetskolumn.</t>
  </si>
  <si>
    <t>Paragraf</t>
  </si>
  <si>
    <t>Paragrafnamn</t>
  </si>
  <si>
    <t>Taxapunkt</t>
  </si>
  <si>
    <t>Variant</t>
  </si>
  <si>
    <t>Enhet</t>
  </si>
  <si>
    <t>Taxakod</t>
  </si>
  <si>
    <t>Föreslagen Taxa</t>
  </si>
  <si>
    <t>Taxabeskrivning</t>
  </si>
  <si>
    <t>Faktor</t>
  </si>
  <si>
    <t>Aktuellt pris (exkl m)</t>
  </si>
  <si>
    <t>Föreslaget pris</t>
  </si>
  <si>
    <t>Antal</t>
  </si>
  <si>
    <t>Pris kr (inkl.)</t>
  </si>
  <si>
    <t>Intäkt (kr) exkl</t>
  </si>
  <si>
    <t>§2.1 Grundavgift</t>
  </si>
  <si>
    <t>§2.1</t>
  </si>
  <si>
    <t>Grundavgift</t>
  </si>
  <si>
    <t>En- och tvåbostadshus</t>
  </si>
  <si>
    <t>st/år</t>
  </si>
  <si>
    <t>GRUNDSMÅ</t>
  </si>
  <si>
    <t>Fritidshus</t>
  </si>
  <si>
    <t>GRUNDFRI</t>
  </si>
  <si>
    <t>Verksamhet</t>
  </si>
  <si>
    <t>GRUNDVHT</t>
  </si>
  <si>
    <t>Lägenhet i flerbostadshus</t>
  </si>
  <si>
    <t>GRUNDFLB</t>
  </si>
  <si>
    <t>Lägenhet för specialändamål</t>
  </si>
  <si>
    <t>GRUNDSPEC</t>
  </si>
  <si>
    <t>Anläggning</t>
  </si>
  <si>
    <t>GRUNDANL</t>
  </si>
  <si>
    <t>Säsongsbaserad uppställningsplats</t>
  </si>
  <si>
    <t>GRUNDSÄS</t>
  </si>
  <si>
    <t>Campingstuga/-lägenhet</t>
  </si>
  <si>
    <t>GRUNDCAMP</t>
  </si>
  <si>
    <t>Administrativ avgift vid beviljad dispens om uppehåll i hämtning eller eget omhändertagande av avfall under kommunalt ansvar</t>
  </si>
  <si>
    <t>ADMINDISP</t>
  </si>
  <si>
    <t>§2.2.1 Hämtningsavgift per år för en- och tvåbostadshus</t>
  </si>
  <si>
    <t>§2.2.1</t>
  </si>
  <si>
    <t>Hämtningsavgift per år för en- och tvåbostadshus</t>
  </si>
  <si>
    <t>Kärl 240 l (mat-/restavfall)</t>
  </si>
  <si>
    <t>Hämtning var 14:e dag</t>
  </si>
  <si>
    <t>KÄ240RM26</t>
  </si>
  <si>
    <t>Hämtning månadsvis</t>
  </si>
  <si>
    <t>KÄ240RM12</t>
  </si>
  <si>
    <t>Extrakärl 190 l (restavfall)</t>
  </si>
  <si>
    <t>KÄ190XRM26</t>
  </si>
  <si>
    <t>KÄ190XRM12</t>
  </si>
  <si>
    <t>§2.2.2 Hämtningsavgift per år för fritidshus</t>
  </si>
  <si>
    <t>§2.2.2</t>
  </si>
  <si>
    <t>Hämtningsavgift per år för fritidshus</t>
  </si>
  <si>
    <t>KÄ240RM26FRI</t>
  </si>
  <si>
    <t>KÄ240RM12FRI</t>
  </si>
  <si>
    <t>KÄ190XRM26FRI</t>
  </si>
  <si>
    <t>Kärl 370 l (papper-/plastförpackningar)</t>
  </si>
  <si>
    <t>Kostnadsfritt</t>
  </si>
  <si>
    <t>KÄ370FP</t>
  </si>
  <si>
    <t>§2.2.3 Gemensam uppsamlingsplats inom hämtningsområde X</t>
  </si>
  <si>
    <t>§2.2.3</t>
  </si>
  <si>
    <t>Gemensam uppsamlingsplats inom hämtningsområde X</t>
  </si>
  <si>
    <t>Gemensam uppsamlingsplats för mat-/restavfall</t>
  </si>
  <si>
    <t>GEMUPPFRI</t>
  </si>
  <si>
    <t>Gemensam uppsamlingsplats för förpackningar</t>
  </si>
  <si>
    <t>Extra digital licens (årskostnad)</t>
  </si>
  <si>
    <t>GEMUPPEXTRAFRI</t>
  </si>
  <si>
    <t>Fysisk nyckel, kallad fob (engångskostnad)</t>
  </si>
  <si>
    <t>st/tillfälle</t>
  </si>
  <si>
    <t>FOBFRI</t>
  </si>
  <si>
    <t>Byte av telefonnummer kopplat till licens</t>
  </si>
  <si>
    <t>GEMUPPBYTE</t>
  </si>
  <si>
    <t>Kostnad för öppning av behållare</t>
  </si>
  <si>
    <t>GEMUPPÖPP</t>
  </si>
  <si>
    <t>§2.2.4 Hämtningsavgift per år för flerbostadshus</t>
  </si>
  <si>
    <t>§2.2.4</t>
  </si>
  <si>
    <t>Hämtningsavgift per år för flerbostadshus</t>
  </si>
  <si>
    <t>Hämtning varje vecka</t>
  </si>
  <si>
    <t>KÄ240RM52FV</t>
  </si>
  <si>
    <t>KÄ240RM26FV</t>
  </si>
  <si>
    <t>KÄ240RM12FV</t>
  </si>
  <si>
    <t>Kärl 370 l (restavfall)</t>
  </si>
  <si>
    <t>KÄ370RE52FV</t>
  </si>
  <si>
    <t>KÄ370RE26FV</t>
  </si>
  <si>
    <t>KÄ370RE12FV</t>
  </si>
  <si>
    <t>Kärl 660 l (restavfall)</t>
  </si>
  <si>
    <t>KÄ660RE52FV</t>
  </si>
  <si>
    <t>KÄ660RE26FV</t>
  </si>
  <si>
    <t>KÄ660RE12FV</t>
  </si>
  <si>
    <t>Kärl 140 l (matavfall)</t>
  </si>
  <si>
    <t>KÄ140MA52FV</t>
  </si>
  <si>
    <t>KÄ140MA26FV</t>
  </si>
  <si>
    <t>KÄ140MA12FV</t>
  </si>
  <si>
    <t>Kärl 190 l (förpackningar)</t>
  </si>
  <si>
    <t>KÄ190FP52FV</t>
  </si>
  <si>
    <t>KÄ190FP26FV</t>
  </si>
  <si>
    <t>KÄ190FP12FV</t>
  </si>
  <si>
    <t>Kärl 370 l (förpackningar)</t>
  </si>
  <si>
    <t>KÄ370FP52FV</t>
  </si>
  <si>
    <t>KÄ370FP26FV</t>
  </si>
  <si>
    <t>KÄ370FP12FV</t>
  </si>
  <si>
    <t>Kärl 660 l (förpackningar)</t>
  </si>
  <si>
    <t>KÄ660FP52FV</t>
  </si>
  <si>
    <t>KÄ660FP26FV</t>
  </si>
  <si>
    <t>KÄ660FP12FV</t>
  </si>
  <si>
    <t>Kärl 190 l (tidningar och returpapper)</t>
  </si>
  <si>
    <t>KÄ190TI52FV</t>
  </si>
  <si>
    <t>KÄ190TI26FV</t>
  </si>
  <si>
    <t>KÄ190TI12FV</t>
  </si>
  <si>
    <t>Kärl 370 l (tidningar och returpapper)</t>
  </si>
  <si>
    <t>KÄ370TI52FV</t>
  </si>
  <si>
    <t>KÄ370TI26FV</t>
  </si>
  <si>
    <t>KÄ370TI12FV</t>
  </si>
  <si>
    <t>Bottentömmande behållare (mat-/restavfall, förpackningar)</t>
  </si>
  <si>
    <t>Avgift per tömning</t>
  </si>
  <si>
    <t>st/tömning</t>
  </si>
  <si>
    <t>MBRMFPFV</t>
  </si>
  <si>
    <t>Tillägg för två tömningar per vecka</t>
  </si>
  <si>
    <t>MBRMFP2VFV</t>
  </si>
  <si>
    <t>Gemensam uppsamlingsplats för mat-/restavfall, förpackningar</t>
  </si>
  <si>
    <t>Avgift per lägenhet</t>
  </si>
  <si>
    <t>lägenhet/år</t>
  </si>
  <si>
    <t>GEMUPPMRFPFLB</t>
  </si>
  <si>
    <t>§2.2.5 Hämtningsavgift per år för verksamheter</t>
  </si>
  <si>
    <t>§2.2.5</t>
  </si>
  <si>
    <t>Hämtningsavgift per år för verksamheter</t>
  </si>
  <si>
    <t>Lastväxlarflak (restavfall)</t>
  </si>
  <si>
    <t>LVREFV</t>
  </si>
  <si>
    <t>Bottentömmande behållare (mat-/restavfall)</t>
  </si>
  <si>
    <t>MBRM2VFV</t>
  </si>
  <si>
    <t>§2.2.6 Hämtningsavgift per år för verksamhet inom detaljhandeln med beviljad hantering av kommunalt avfall</t>
  </si>
  <si>
    <t>§2.2.6</t>
  </si>
  <si>
    <t>Hämtningsavgift per år för verksamhet inom detaljhandeln med beviljad hantering av kommunalt avfall</t>
  </si>
  <si>
    <t>KÄ240RM52DH</t>
  </si>
  <si>
    <t>KÄ240RM26DH</t>
  </si>
  <si>
    <t>KÄ240RM12DH</t>
  </si>
  <si>
    <t>KÄ370RE52DH</t>
  </si>
  <si>
    <t>KÄ370RE26DH</t>
  </si>
  <si>
    <t>KÄ370RE12DH</t>
  </si>
  <si>
    <t>KÄ660RE52DH</t>
  </si>
  <si>
    <t>KÄ660RE26DH</t>
  </si>
  <si>
    <t>KÄ660RE12DH</t>
  </si>
  <si>
    <t>KÄ140MA52DH</t>
  </si>
  <si>
    <t>KÄ140MA26DH</t>
  </si>
  <si>
    <t>KÄ140MA12DH</t>
  </si>
  <si>
    <t>LVREDH</t>
  </si>
  <si>
    <t>MBRM2VDH</t>
  </si>
  <si>
    <t>§2.2.7 Verksamheter med beviljad hantering av förbrukat matfett, kontorspapper eller returpapper</t>
  </si>
  <si>
    <t>§2.2.7</t>
  </si>
  <si>
    <t>Verksamheter med beviljad hantering av förbrukat matfett, kontorspapper eller returpapper</t>
  </si>
  <si>
    <t>Kärl 140 l (kontors-/returpapper)</t>
  </si>
  <si>
    <t>KÄ140TI</t>
  </si>
  <si>
    <t>Egen överlämning av förbrukat matfett enligt anvisning</t>
  </si>
  <si>
    <t>EGENMATFETT</t>
  </si>
  <si>
    <t>§2.3 Rörlig avgift (gäller ej gemensam uppsamlingsplats)</t>
  </si>
  <si>
    <t>§2.3</t>
  </si>
  <si>
    <t>Rörlig avgift (gäller ej gemensam uppsamlingsplats)</t>
  </si>
  <si>
    <t>Viktavgift matavfall</t>
  </si>
  <si>
    <t>kr/kg</t>
  </si>
  <si>
    <t>Viktavgift restavfall</t>
  </si>
  <si>
    <t>§2.4.1 Fakturaavgift</t>
  </si>
  <si>
    <t>§2.4.1</t>
  </si>
  <si>
    <t>§2.4.2 Överviktsavgift kärl</t>
  </si>
  <si>
    <t>§2.4.2</t>
  </si>
  <si>
    <t>Överviktsavgift kärl</t>
  </si>
  <si>
    <t>Delat kärl 240 l restavfall</t>
  </si>
  <si>
    <t>Över 40 kg</t>
  </si>
  <si>
    <t>Extra kärl 140 l matavfall</t>
  </si>
  <si>
    <t>Över 60 kg</t>
  </si>
  <si>
    <t>Kärl 370 l restavfall</t>
  </si>
  <si>
    <t>Kärl 660 l restavfall</t>
  </si>
  <si>
    <t>Över 100 kg</t>
  </si>
  <si>
    <t>§2.4.3 Överfull behållare</t>
  </si>
  <si>
    <t>§2.4.3</t>
  </si>
  <si>
    <t>Överfull behållare</t>
  </si>
  <si>
    <t>Överfullt kärl</t>
  </si>
  <si>
    <t>st/tillfälle/behållare</t>
  </si>
  <si>
    <t>Överfull bottentömmande behållare</t>
  </si>
  <si>
    <t>§2.4.4 Byte av trasigt kärl</t>
  </si>
  <si>
    <t>§2.4.4</t>
  </si>
  <si>
    <t>Byte av trasigt kärl</t>
  </si>
  <si>
    <t>Byte av trasigt kärl vid oaktsamhet</t>
  </si>
  <si>
    <t>st/kärl</t>
  </si>
  <si>
    <t>§2.4.5 Byte av abonnemang</t>
  </si>
  <si>
    <t>§2.4.5</t>
  </si>
  <si>
    <t>Byte av abonnemang</t>
  </si>
  <si>
    <t>Byte/återtag av kärl en (1) ggr/år</t>
  </si>
  <si>
    <t>140–240 liter</t>
  </si>
  <si>
    <t>370–660 liter</t>
  </si>
  <si>
    <t>Ytterligare byte av kärl under kalenderåret</t>
  </si>
  <si>
    <t>§2.4.6 Felsorteringsavgift</t>
  </si>
  <si>
    <t>§2.4.6</t>
  </si>
  <si>
    <t>Felsorteringsavgift</t>
  </si>
  <si>
    <t>Kärl</t>
  </si>
  <si>
    <t>Bottentömmande behållare</t>
  </si>
  <si>
    <t>§2.4.7 Dragväg och avfallsutrymmen</t>
  </si>
  <si>
    <t>§2.4.7</t>
  </si>
  <si>
    <t>Dragväg och avfallsutrymmen</t>
  </si>
  <si>
    <t>Kärl 140-660 L</t>
  </si>
  <si>
    <t>10-20</t>
  </si>
  <si>
    <t>20-30</t>
  </si>
  <si>
    <t>Låst dörr, med kod</t>
  </si>
  <si>
    <t>§2.4.8 Evenemang och andra tillfälliga händelser</t>
  </si>
  <si>
    <t>§2.4.8</t>
  </si>
  <si>
    <t>Evenemang och andra tillfälliga händelser</t>
  </si>
  <si>
    <t>Kärl 140 l matavfall</t>
  </si>
  <si>
    <t>st/period</t>
  </si>
  <si>
    <t>§2.4.9 Budning av mat- och restavfall</t>
  </si>
  <si>
    <t>§2.4.9</t>
  </si>
  <si>
    <t>Budning av mat- och restavfall</t>
  </si>
  <si>
    <t>Sidlastande fordon</t>
  </si>
  <si>
    <t>Bottentömmande fordon</t>
  </si>
  <si>
    <t>§2.4.10 Betalsäck och akutsäck</t>
  </si>
  <si>
    <t>§2.4.10</t>
  </si>
  <si>
    <t>Betalsäck och akutsäck</t>
  </si>
  <si>
    <t>Betalsäck</t>
  </si>
  <si>
    <t>st/säck</t>
  </si>
  <si>
    <t>§2.4.11 Tillbehör</t>
  </si>
  <si>
    <t>§2.4.11</t>
  </si>
  <si>
    <t>Tillbehör</t>
  </si>
  <si>
    <t>Matavfallspåsar 22 L</t>
  </si>
  <si>
    <t>bunt</t>
  </si>
  <si>
    <t>Gravitationslås till kärl</t>
  </si>
  <si>
    <t>st</t>
  </si>
  <si>
    <t>Extra nyckel till gravitationslås</t>
  </si>
  <si>
    <t>§2.5.1 Budning för fastighetsnära hämtning av kommunalt avfall</t>
  </si>
  <si>
    <t>§2.5.1</t>
  </si>
  <si>
    <t>Budning för fastighetsnära hämtning av kommunalt avfall</t>
  </si>
  <si>
    <t>Kommunalt avfall</t>
  </si>
  <si>
    <t>Farligt avfall (ej uppmärkt)</t>
  </si>
  <si>
    <t>Farligt avfall (uppmärkt)</t>
  </si>
  <si>
    <t>§3.1 Ordinarie tömning slam</t>
  </si>
  <si>
    <t>§3.1</t>
  </si>
  <si>
    <t>Ordinarie tömning slam</t>
  </si>
  <si>
    <t>Mellan 3 m3 och 6 m3</t>
  </si>
  <si>
    <t>kr/tömning</t>
  </si>
  <si>
    <t>Mellan 6 m3 och 9 m3</t>
  </si>
  <si>
    <t>Tillägg per m3 över 9 m3</t>
  </si>
  <si>
    <t>kr/m3</t>
  </si>
  <si>
    <t>Bad-, disk- och tvättbrunn upp till 3 m3</t>
  </si>
  <si>
    <t>§3.2 Tilläggstjänster slam</t>
  </si>
  <si>
    <t>§3.2</t>
  </si>
  <si>
    <t>Tilläggstjänster slam</t>
  </si>
  <si>
    <t>Dragning av extra slang vid 25-35 m</t>
  </si>
  <si>
    <t>kr/tillfälle</t>
  </si>
  <si>
    <t>Dragning av extra slang vid 36-45 m</t>
  </si>
  <si>
    <t>Hantering av brunnslock som väger 15-25 kg</t>
  </si>
  <si>
    <t>Krav på information om tömningstid</t>
  </si>
  <si>
    <t>Krav på närvaro vid specificerad tömningstid</t>
  </si>
  <si>
    <t>Hantering av kod för kodlås vid slamtömning</t>
  </si>
  <si>
    <t>Hetvattentvätt med spolbil, timersättning</t>
  </si>
  <si>
    <t>Avgift om tömning ej kan utföras pga. hinder, bristande transportväg, betonglock, lock tyngre än 25 kg eller vägran</t>
  </si>
  <si>
    <t>Tömning av extra tank/brunn i samband med ordinarie/budad tömning upp till 5 m3</t>
  </si>
  <si>
    <t>§3.3 Övriga avgifter och tillägg slam</t>
  </si>
  <si>
    <t>§3.3</t>
  </si>
  <si>
    <t>Övriga avgifter och tillägg slam</t>
  </si>
  <si>
    <t>Budning inom ordinarie tömningsperiod (1 maj- 31 oktober)</t>
  </si>
  <si>
    <t>Inom 24 timmar</t>
  </si>
  <si>
    <t>Budning utanför ordinarie tömningsperiod (1 nov – 30 april)</t>
  </si>
  <si>
    <t>Inom 7 arbetsdagar</t>
  </si>
  <si>
    <t>Tömning av toalettvagnar eller liknande</t>
  </si>
  <si>
    <t>Framkörningsavgift då ordinarie tömning inte skett på grund av hinder, abonnenten vägrar, bristfällig väg eller annat</t>
  </si>
  <si>
    <t>Sen anmälan om förändringar av tömningsintervall. Om förändring, nyanmälan eller avbokning av slamtömning meddelas efter 1 april innevarande år.</t>
  </si>
  <si>
    <t>§3.4 Latrinbehållare</t>
  </si>
  <si>
    <t>§3.4</t>
  </si>
  <si>
    <t>Latrinbehållare</t>
  </si>
  <si>
    <t>Latrinbehållare 37 liter inkl. mottagning och behandling</t>
  </si>
  <si>
    <t>§4.1 Budad hämtning fosforfilter</t>
  </si>
  <si>
    <t>§4.1</t>
  </si>
  <si>
    <t>Budad hämtning fosforfilter</t>
  </si>
  <si>
    <t>Filtermassor upp till 500 kg</t>
  </si>
  <si>
    <t>Budad hämtning inom sju (7) arbetsdagar</t>
  </si>
  <si>
    <t>Filtermassor 500-1000 kg</t>
  </si>
  <si>
    <t>Tillägg för transport och behandlingskostnad</t>
  </si>
  <si>
    <t>§4.2 Tilläggstjänster fosforfilter</t>
  </si>
  <si>
    <t>§4.2</t>
  </si>
  <si>
    <t>Tilläggstjänster fosforfilter</t>
  </si>
  <si>
    <t>Krav på information om hämtningstid</t>
  </si>
  <si>
    <t>Krav på närvaro vid specificerad hämtningstid</t>
  </si>
  <si>
    <t>Hantering av kod för kodlås</t>
  </si>
  <si>
    <t>Avgift om hämtning ej kan utföras pga hinder, bristande väg eller vägran</t>
  </si>
  <si>
    <t>§5.1 Ordinarie tömning av fettavskiljare</t>
  </si>
  <si>
    <t>§5.1</t>
  </si>
  <si>
    <t>Ordinarie tömning av fettavskiljare</t>
  </si>
  <si>
    <t>Upp till 3 m3</t>
  </si>
  <si>
    <t>Tömning, transport och behandling av fettavskiljare/tank enligt anmält tömningsintervall</t>
  </si>
  <si>
    <t>Över 6 m3</t>
  </si>
  <si>
    <t>§5.2 Tilläggstjänster fettavskiljare</t>
  </si>
  <si>
    <t>§5.2</t>
  </si>
  <si>
    <t>Tilläggstjänster fettavskiljare</t>
  </si>
  <si>
    <t>Dragning av extra slang vid 5-25 m</t>
  </si>
  <si>
    <t>Hantering av kod för kodlås vid tömning</t>
  </si>
  <si>
    <t>Silikontätning per lock</t>
  </si>
  <si>
    <t>Avgift om tömning ej kan utföras pga hinder, bristande transportväg, betonglock, lock tyngre än 25 kg eller vägran</t>
  </si>
  <si>
    <t>Tömning av extra tank i samband med ordinarie/budad tömning upp till 5 m3</t>
  </si>
  <si>
    <t>§5.3 Övriga avgifter och tillägg fettavskiljare</t>
  </si>
  <si>
    <t>§5.3</t>
  </si>
  <si>
    <t>Övriga avgifter och tillägg fettavskiljare</t>
  </si>
  <si>
    <t>Inom 48 timmar</t>
  </si>
  <si>
    <t>Budning utanför ordinarie tömningsperiod</t>
  </si>
  <si>
    <t>Inom 8 arbetsdagar</t>
  </si>
  <si>
    <t>Sen anmälan om förändringar av tömningsintervall. Om förändring, nyanmälan eller avbokning av tömning meddelas efter 1 april innevarande år.</t>
  </si>
  <si>
    <t>§6.1.1 Inpassering på ÅVC</t>
  </si>
  <si>
    <t>§6.1.1</t>
  </si>
  <si>
    <t>Inpassering på ÅVC</t>
  </si>
  <si>
    <t>Verksamheter</t>
  </si>
  <si>
    <t>kr/besök</t>
  </si>
  <si>
    <t>Övriga abonnemangstyper</t>
  </si>
  <si>
    <t>Vågkort</t>
  </si>
  <si>
    <t>Borttappat vågkort</t>
  </si>
  <si>
    <t>§6.1.2 Hanteringsavgifter för avfall inlämnat på återvinningscentral</t>
  </si>
  <si>
    <t>§6.1.2</t>
  </si>
  <si>
    <t>Hanteringsavgifter för avfall inlämnat på återvinningscentral</t>
  </si>
  <si>
    <t>Avfall till energiåtervinning (&lt;20x20x80cm)</t>
  </si>
  <si>
    <t>kr/ton</t>
  </si>
  <si>
    <t>Skrymmande avfall till energiåtervinning (&gt;20x20x80cm)</t>
  </si>
  <si>
    <t>Material till sortering (ej innehålla farligt avfall och elavfall)</t>
  </si>
  <si>
    <t>Träavfall – obehandlat, utan tapet, plastmatta, tjärpapp</t>
  </si>
  <si>
    <t>Träavfall – behandlat, utan tapet, plastmatta, tjärpapp</t>
  </si>
  <si>
    <t>Tryckimpregnerat trä (inkl pall)</t>
  </si>
  <si>
    <t>Klinker, porslin</t>
  </si>
  <si>
    <t>Gips</t>
  </si>
  <si>
    <t>Tegel</t>
  </si>
  <si>
    <t>Planglas (fönster utan karm)</t>
  </si>
  <si>
    <t>Fönster med karm</t>
  </si>
  <si>
    <t>Isolering utan innehåll av asbest</t>
  </si>
  <si>
    <t>Metallskrot rent</t>
  </si>
  <si>
    <t>Trädgårdsavfall</t>
  </si>
  <si>
    <t>Kvistar och grenar</t>
  </si>
  <si>
    <t>Jord och sten</t>
  </si>
  <si>
    <t>Betong</t>
  </si>
  <si>
    <t>Asbest</t>
  </si>
  <si>
    <t>Elavfall producentansvar (tex lysrör, glödlampor,</t>
  </si>
  <si>
    <t>kylsklåp/frys av hushållsmodell)</t>
  </si>
  <si>
    <t>Elavfall ej producentansvar (tex ventillationsfläkt, kyldisk)</t>
  </si>
  <si>
    <t>Blandat avfall för sortering på ramp (max 2 m3)</t>
  </si>
  <si>
    <t>kr/fordon</t>
  </si>
  <si>
    <t>Oljehaltigt avfall (Spillolja) i dunkar mindre än 10 liter Avfallskod 20 01 26*</t>
  </si>
  <si>
    <t>3295</t>
  </si>
  <si>
    <t>Kr/l</t>
  </si>
  <si>
    <t>Oljehaltigt avfall (Spillolja) i fat och dunkar större än 10 liter Avfallskod 20 01 26*</t>
  </si>
  <si>
    <t>Förorenad olja (ej PCB) Avfallskod 20 01 26*</t>
  </si>
  <si>
    <t>Kr/Kg</t>
  </si>
  <si>
    <t>Förorenad olja innehållande PCB Avfallskod 13 03 01*</t>
  </si>
  <si>
    <t>Bensinrester Avfallskod 13 07 02*</t>
  </si>
  <si>
    <t>1203</t>
  </si>
  <si>
    <t>Diesel Avfallskod 13 07 01*</t>
  </si>
  <si>
    <t>1202</t>
  </si>
  <si>
    <t>Oljefilter Avfallskod 16 01 07*</t>
  </si>
  <si>
    <t>Färg, lack och lim lösningsbaserat Avfallskod 20 01 27*</t>
  </si>
  <si>
    <t>1263</t>
  </si>
  <si>
    <t>Aerosoler, färg, lack och lim Avfallskod 20 01 27*</t>
  </si>
  <si>
    <t>1950</t>
  </si>
  <si>
    <t>Färg, lack och lim vattenbaserad Avfallskod 20 01 28</t>
  </si>
  <si>
    <t>Alkaliskt flytande avfall Avfallskod 20 01 29*</t>
  </si>
  <si>
    <t>3266</t>
  </si>
  <si>
    <t>Alkaliskt avfall fast Avfallskod 20 01 15*</t>
  </si>
  <si>
    <t>3262</t>
  </si>
  <si>
    <t>Lösningsmedel Avfallskod 20 01 13*</t>
  </si>
  <si>
    <t>1993</t>
  </si>
  <si>
    <t>Smittförande avfall Avfallskod 18 01 03*</t>
  </si>
  <si>
    <t>3291</t>
  </si>
  <si>
    <t>Bekämpningsmedel Flytande Avfallskod 20 01 19*</t>
  </si>
  <si>
    <t>2903</t>
  </si>
  <si>
    <t>Bekämpningsmedel Fast Avfallskod 20 01 19*</t>
  </si>
  <si>
    <t>2588</t>
  </si>
  <si>
    <t>Bekämpningsmedel aerosoler Avfallskod 20 01 19*</t>
  </si>
  <si>
    <t>Giftig oorganisk vätska Avfallskod 16 05 06*</t>
  </si>
  <si>
    <t>3287</t>
  </si>
  <si>
    <t>Giftig organisk vätska Avfallskod 16 05 06*</t>
  </si>
  <si>
    <t>2810</t>
  </si>
  <si>
    <t>Surt organisk vätska ämne Avfallskod 20 01 14*</t>
  </si>
  <si>
    <t>3265</t>
  </si>
  <si>
    <t>Surt organisk fast ämne Avfallskod 20 01 14*</t>
  </si>
  <si>
    <t>3261</t>
  </si>
  <si>
    <t>Surt oorganiskt fast ämne Avfallskod 20 01 14*</t>
  </si>
  <si>
    <t>3260</t>
  </si>
  <si>
    <t>Surt oorganisk vätska Avfallskod 20 01 14*</t>
  </si>
  <si>
    <t>3264</t>
  </si>
  <si>
    <t>Svavelsyra Avfallskod 20 01 14*</t>
  </si>
  <si>
    <t>1832</t>
  </si>
  <si>
    <t>Salpetersyra Avfallskod 20 01 14*</t>
  </si>
  <si>
    <t>2031</t>
  </si>
  <si>
    <t>Fluorvätesyra Avfallskod 20 01 14*</t>
  </si>
  <si>
    <t>1790</t>
  </si>
  <si>
    <t>Basiskt organiskt fast ämne/flytande Avfallskod 20 01 15*</t>
  </si>
  <si>
    <t>3263</t>
  </si>
  <si>
    <t>Ammoniaklösning Avfallskod 20 01 15*</t>
  </si>
  <si>
    <t>2672</t>
  </si>
  <si>
    <t>Rengöringsmedel Avfallskod 20 01 29*</t>
  </si>
  <si>
    <t>Väteperoxid Avfallskod 20 01 13*</t>
  </si>
  <si>
    <t>2014</t>
  </si>
  <si>
    <t>Glykolspill Avfallskod 16 01 14*</t>
  </si>
  <si>
    <t>Härdare dibenzoylperoxid Avfallskod 20 01 27*</t>
  </si>
  <si>
    <t>3106</t>
  </si>
  <si>
    <t>Härdare metyletylketonperoxid Avfallskod 20 01 27*</t>
  </si>
  <si>
    <t>3105</t>
  </si>
  <si>
    <t>Fotokemikalier Avfallskod 20 01 17*</t>
  </si>
  <si>
    <t>Avfall med kvicksilverinnehåll Avfallskod 20 01 21*</t>
  </si>
  <si>
    <t>2809</t>
  </si>
  <si>
    <t>Kvicksilver i föremål Avfallskod 20 01 21*</t>
  </si>
  <si>
    <t>3506</t>
  </si>
  <si>
    <t>Småkemikalier, ej Hg-haltiga Avfallskod 16 05 06*</t>
  </si>
  <si>
    <t>3286</t>
  </si>
  <si>
    <t>Förpackningar, tömda ej rengjorda Avfallskod 15 01 10*</t>
  </si>
  <si>
    <t>Toner/färgpatroner Avfallskod 08 03 07</t>
  </si>
  <si>
    <t>Oxiderande fast ämnen/vätska Avfallskod 16 05 04*</t>
  </si>
  <si>
    <t>1479</t>
  </si>
  <si>
    <t>Klorex Avfallskod 16 05 04*</t>
  </si>
  <si>
    <t>1495</t>
  </si>
  <si>
    <t>Aerosoler isocyanat/bekämpningsmedel/ugnsrengöring Avfallskod 16 05 04*</t>
  </si>
  <si>
    <t>Tändare Avfallskod 16 05 04*</t>
  </si>
  <si>
    <t>1057</t>
  </si>
  <si>
    <t>Engångsgasol Avfallskod 16 05 04*</t>
  </si>
  <si>
    <t>2037</t>
  </si>
  <si>
    <t>Brandsläckare Avfallskod 16 05 04*</t>
  </si>
  <si>
    <t>1044</t>
  </si>
  <si>
    <t>Koldioxid Avfallskod 16 05 04*</t>
  </si>
  <si>
    <t>1013</t>
  </si>
  <si>
    <t>Gasol Avfallskod 16 05 04*</t>
  </si>
  <si>
    <t>1965</t>
  </si>
  <si>
    <t>Helium Avfallskod 16 05 04*</t>
  </si>
  <si>
    <t>1046</t>
  </si>
  <si>
    <t>Syrgas Avfallskod 16 05 04*</t>
  </si>
  <si>
    <t>1072</t>
  </si>
  <si>
    <t>Halon Avfallskod 16 05 04*</t>
  </si>
  <si>
    <t>1009</t>
  </si>
  <si>
    <t>Absorbermedel, filtermaterial Avfallskod 15 02 02*</t>
  </si>
  <si>
    <t>Cytotoxiska/Cytostatika Avfallskod 20 01 31*</t>
  </si>
  <si>
    <t>3249</t>
  </si>
  <si>
    <t>Isocyanater Avfallskod 20 01 27*</t>
  </si>
  <si>
    <t>3080</t>
  </si>
  <si>
    <t>Tensider, flytande, alkaliskt FA Avfallskod 20 01 29*</t>
  </si>
  <si>
    <t>1304</t>
  </si>
  <si>
    <t>Oxidationsmedel, flytande Avfallskod 16 09 04*</t>
  </si>
  <si>
    <t>1497</t>
  </si>
  <si>
    <t>Explosiva komponenter Avfallskod 16 01 01*</t>
  </si>
  <si>
    <t>12</t>
  </si>
  <si>
    <t>Kasserad ammunition och fyverkerier Avfallskod 16 04 02*</t>
  </si>
  <si>
    <t>333</t>
  </si>
  <si>
    <t>Kasserad ammunition och fyverkerier Avfallskod 16 04 01*</t>
  </si>
  <si>
    <t>Gödsel Avfallskod 02 01 06</t>
  </si>
  <si>
    <t>1043</t>
  </si>
  <si>
    <t>Oljeemulsion, emballerat Avfallskod 12 01 09*</t>
  </si>
  <si>
    <t>Oljeavfall, fast osortrat emballage Avfallskod 15 02 02*</t>
  </si>
  <si>
    <t>Oljevskiljarslam Avfallskod 13 05 08*</t>
  </si>
  <si>
    <t>Asbest, emballerad Avfallskod 17 06 01*</t>
  </si>
  <si>
    <t>2212</t>
  </si>
  <si>
    <t>Hydraulslang, med och utan koppling Avfallskod 13 08 99*</t>
  </si>
  <si>
    <t>Bromsvätska Avfallskod 16 01 13*</t>
  </si>
  <si>
    <t>Transformatorer och kondensatorer som innehåller PCB Avfallskod 16 02 09*</t>
  </si>
  <si>
    <t>Rökdetektorer, Innehållande Am 241 Avfallskod 20 01 35*</t>
  </si>
  <si>
    <t>2911</t>
  </si>
  <si>
    <t>Rökdetektorer, innehållande andra isotoper än Am 241 Avfallskod 20 01 35*</t>
  </si>
  <si>
    <t>Gasol, blå programmet Avfallskod 16 05 04*</t>
  </si>
  <si>
    <t>Halongaser Avfallskod 16 05 04*</t>
  </si>
  <si>
    <t>Tryckinpregnerat virke Avfallskod 17 02 04*</t>
  </si>
  <si>
    <t>Saknade uppgifter om avfallsslag, startavgift första fraktionen (Kemist)</t>
  </si>
  <si>
    <t>Efterföljande fraktioner</t>
  </si>
  <si>
    <t>Administrativ rapporteringsavgift</t>
  </si>
  <si>
    <t>kr</t>
  </si>
  <si>
    <t>§6.1.3 Hyra av container</t>
  </si>
  <si>
    <t>§6.1.3</t>
  </si>
  <si>
    <t>Hyra av container</t>
  </si>
  <si>
    <t>Container 3 m3</t>
  </si>
  <si>
    <t>st/dygn</t>
  </si>
  <si>
    <t>Container 5 m3</t>
  </si>
  <si>
    <t>Container 8 m3</t>
  </si>
  <si>
    <t>§6.1.4 Tillägg och avgifter</t>
  </si>
  <si>
    <t>§6.1.4</t>
  </si>
  <si>
    <t>Tillägg och avgifter</t>
  </si>
  <si>
    <t>KÄ190XRM12FRI</t>
  </si>
  <si>
    <t>GEMUPPMR</t>
  </si>
  <si>
    <t>GEMUPPEXTRA</t>
  </si>
  <si>
    <t>GEMUPPFOB</t>
  </si>
  <si>
    <t>MBRMFV</t>
  </si>
  <si>
    <t>MBRMDH</t>
  </si>
  <si>
    <t>KÄ370FPFRI</t>
  </si>
  <si>
    <t>GEMUPPFPFRI</t>
  </si>
  <si>
    <t>Egen överlämning av förbrukat kontors-/returpapper enligt anvisning</t>
  </si>
  <si>
    <t>EGENKONTRET</t>
  </si>
  <si>
    <t>Pris (kr)</t>
  </si>
  <si>
    <t>Intäkt (kr)</t>
  </si>
  <si>
    <t>Intäkt per Paragraf och Variant</t>
  </si>
  <si>
    <t>Hämtning Avgift per lägenhet</t>
  </si>
  <si>
    <t>Hämtning Avgift per tömning</t>
  </si>
  <si>
    <t>§2.6.2</t>
  </si>
  <si>
    <t>§2.6.5</t>
  </si>
  <si>
    <t>§2.6.7</t>
  </si>
  <si>
    <t>1,5-10</t>
  </si>
  <si>
    <t>§4.3</t>
  </si>
  <si>
    <t>§6</t>
  </si>
  <si>
    <t>Summering – total intäkt per paragraf</t>
  </si>
  <si>
    <t>§2.4</t>
  </si>
  <si>
    <t>§2.5</t>
  </si>
  <si>
    <t>§2.6.1</t>
  </si>
  <si>
    <t>§2.6.3</t>
  </si>
  <si>
    <t>§2.6.4</t>
  </si>
  <si>
    <t>§2.6.6</t>
  </si>
  <si>
    <t>§2.6.8</t>
  </si>
  <si>
    <t>§2.6.9</t>
  </si>
  <si>
    <t>§2.7.1</t>
  </si>
  <si>
    <t>§2.7.2</t>
  </si>
  <si>
    <t>§2.7.3</t>
  </si>
  <si>
    <t>§2.7.4</t>
  </si>
  <si>
    <t>Summering – total intäkt per kapitel</t>
  </si>
  <si>
    <t>Kapitel</t>
  </si>
  <si>
    <t>2</t>
  </si>
  <si>
    <t>3</t>
  </si>
  <si>
    <t>4</t>
  </si>
  <si>
    <t>5</t>
  </si>
  <si>
    <t>6</t>
  </si>
  <si>
    <t>Diagram – intäkt per paragraf</t>
  </si>
  <si>
    <t>Kontroller – datakvalitet</t>
  </si>
  <si>
    <t>Kontroll</t>
  </si>
  <si>
    <t>Resultat</t>
  </si>
  <si>
    <t>Status</t>
  </si>
  <si>
    <t>Antal rader (rådata)</t>
  </si>
  <si>
    <t>Andel rader med ifyllt pris</t>
  </si>
  <si>
    <t>Rader med Pris ifyllt men Antal saknas</t>
  </si>
  <si>
    <t>intRecnum</t>
  </si>
  <si>
    <t>strTaxekod</t>
  </si>
  <si>
    <t>strTaxebenamning</t>
  </si>
  <si>
    <t>strProdukt</t>
  </si>
  <si>
    <t>strDelProdukt</t>
  </si>
  <si>
    <t>bytDelradnr</t>
  </si>
  <si>
    <t>strFaktor</t>
  </si>
  <si>
    <t>strTaxedelAvser</t>
  </si>
  <si>
    <t>strEntreprenorkod</t>
  </si>
  <si>
    <t>strRenhDistrKod</t>
  </si>
  <si>
    <t>curNuvarandePris</t>
  </si>
  <si>
    <t>datNuvarandePrisDatum</t>
  </si>
  <si>
    <t>bolPrisPerTomning</t>
  </si>
  <si>
    <t>strAvvikandeFormel</t>
  </si>
  <si>
    <t>bolPriserInklMoms</t>
  </si>
  <si>
    <t>bytMomskod</t>
  </si>
  <si>
    <t>strFormel</t>
  </si>
  <si>
    <t>140MAT</t>
  </si>
  <si>
    <t>140L kärl, viktavgift matavfall</t>
  </si>
  <si>
    <t>RENH</t>
  </si>
  <si>
    <t>HUSH</t>
  </si>
  <si>
    <t>KVAN</t>
  </si>
  <si>
    <t>140L kärl - viktavgift matavfall</t>
  </si>
  <si>
    <t>-</t>
  </si>
  <si>
    <t>VIKG,MAX60</t>
  </si>
  <si>
    <t>Överviktsavgift för vikt över 60 kg, matavfall</t>
  </si>
  <si>
    <t>VIKG-60,MIN0</t>
  </si>
  <si>
    <t>370REST</t>
  </si>
  <si>
    <t>140-370L kärl, viktavgift restavfall</t>
  </si>
  <si>
    <t>140-370L kärl - viktavgift restavfall</t>
  </si>
  <si>
    <t>Överviktsavgift för vikt över 60 kg, restavfall</t>
  </si>
  <si>
    <t>660REST</t>
  </si>
  <si>
    <t>660L kärl, viktavgift restavfall</t>
  </si>
  <si>
    <t>660L kärl - viktavgift restavfall</t>
  </si>
  <si>
    <t>VIKG,MAX100</t>
  </si>
  <si>
    <t>Överviktsavgift för vikt över 100 kg, restavfall</t>
  </si>
  <si>
    <t>VIKG-100,MIN0</t>
  </si>
  <si>
    <t>BDT03SLBUD</t>
  </si>
  <si>
    <t>BDT 0-3 m³, slam. Budning</t>
  </si>
  <si>
    <t>SLAM</t>
  </si>
  <si>
    <t>ÅRKV</t>
  </si>
  <si>
    <t>0</t>
  </si>
  <si>
    <t>BDT03SLORD</t>
  </si>
  <si>
    <t>BDT 0-3 m³, slam. Ordinarie tur</t>
  </si>
  <si>
    <t>BDTÖ3SLBUD</t>
  </si>
  <si>
    <t>BDT över 3 m³, slam. Budning</t>
  </si>
  <si>
    <t>BDTÖ3SLORD</t>
  </si>
  <si>
    <t>BDT över 3 m³, slam. Ordinarie tur</t>
  </si>
  <si>
    <t>BRN03SLBUD</t>
  </si>
  <si>
    <t>Brunn 0-3 m³, slam. Budning</t>
  </si>
  <si>
    <t>X</t>
  </si>
  <si>
    <t>BRN03SLORD</t>
  </si>
  <si>
    <t>Brunn 0-3 m³, slam. Ordinarie tur</t>
  </si>
  <si>
    <t>BRN03SLORDDEL</t>
  </si>
  <si>
    <t>BRN36SLBUD</t>
  </si>
  <si>
    <t>Brunn 3,1-6 m³, slam. Budning</t>
  </si>
  <si>
    <t>BRN36SLORD</t>
  </si>
  <si>
    <t>Brunn 3,1-6 m³, slam. Ordinarie tur</t>
  </si>
  <si>
    <t>BRN36SLORDDEL</t>
  </si>
  <si>
    <t>Brunn 3-6 m³, slam. Ordinarie tur</t>
  </si>
  <si>
    <t>BRN69SLBUD</t>
  </si>
  <si>
    <t>Brunn 6,1-9 m³, slam. Budning</t>
  </si>
  <si>
    <t>BRN69SLORD</t>
  </si>
  <si>
    <t>Brunn 6,1-9 m³, slam. Ordinarie tur</t>
  </si>
  <si>
    <t>BRNÖ9SLBUD</t>
  </si>
  <si>
    <t>Brunn över 9 m³, slam. Budning</t>
  </si>
  <si>
    <t>BRNÖ9SLORD</t>
  </si>
  <si>
    <t>Brunn över 9 m³, slam. Ordinarie tur</t>
  </si>
  <si>
    <t>CONTAINERMA</t>
  </si>
  <si>
    <t>Tjänsttaxa container för matavfall</t>
  </si>
  <si>
    <t>CONTAINERRE</t>
  </si>
  <si>
    <t>Tjänsttaxa container för restavfall</t>
  </si>
  <si>
    <t>Dummy SMS</t>
  </si>
  <si>
    <t>EVENEMANG</t>
  </si>
  <si>
    <t>Tjänsttaxa för tillfälliga evenemangskärl</t>
  </si>
  <si>
    <t>FARLIGTAVFALL</t>
  </si>
  <si>
    <t>Tjänsttaxa för farligt avfall</t>
  </si>
  <si>
    <t>FOSFORBUD</t>
  </si>
  <si>
    <t>Fosforfälla. Budning</t>
  </si>
  <si>
    <t>FOSFORORD</t>
  </si>
  <si>
    <t>Fosforfälla. Ordinarie tur</t>
  </si>
  <si>
    <t>GROVAVFALL</t>
  </si>
  <si>
    <t>Tjänsttaxa för grovavfall</t>
  </si>
  <si>
    <t>KOMMUNALT</t>
  </si>
  <si>
    <t>Tjänsttaxa kommunalt avfall</t>
  </si>
  <si>
    <t>Tvåfackskärl 240L, rest/matavfall. Varje vecka. FLB/VHT</t>
  </si>
  <si>
    <t>Tvåfackskärl 240L, rest/matavfall. Varje vecka</t>
  </si>
  <si>
    <t>ANTB</t>
  </si>
  <si>
    <t>Viktavgift rest- matavfall kr/kg</t>
  </si>
  <si>
    <t>VIKG</t>
  </si>
  <si>
    <t>Dragväg 1,5-10 meter</t>
  </si>
  <si>
    <t>DR10</t>
  </si>
  <si>
    <t>Dragväg 10,1-20 meter</t>
  </si>
  <si>
    <t>DR20</t>
  </si>
  <si>
    <t>MB3600RE26</t>
  </si>
  <si>
    <t>Tjänsttaxa underjordsbehållare för restavfall</t>
  </si>
  <si>
    <t>Tjänsttaxa underjordsbehållare för matavfall</t>
  </si>
  <si>
    <t>NY MAT/REST</t>
  </si>
  <si>
    <t>Tjänsttaxa för ny tjänst 2 fackkärl mat/rest</t>
  </si>
  <si>
    <t>Tjänsttaxa för ny tjänst Mat/Rest</t>
  </si>
  <si>
    <t>NYMAT</t>
  </si>
  <si>
    <t>Tjänsttaxa för ny tjänst matavfall</t>
  </si>
  <si>
    <t>NYMATx</t>
  </si>
  <si>
    <t>NYOSORT</t>
  </si>
  <si>
    <t>Tjänsttaxa för ny tjänst osorterat avfall</t>
  </si>
  <si>
    <t>NYOSORTx</t>
  </si>
  <si>
    <t>NYREST</t>
  </si>
  <si>
    <t>Tjänsttaxa för ny tjänst restavfall</t>
  </si>
  <si>
    <t>NYRESTx</t>
  </si>
  <si>
    <t>NYRFID</t>
  </si>
  <si>
    <t>Mottagarantjänstför okänt RFID</t>
  </si>
  <si>
    <t>ORANTALHEM</t>
  </si>
  <si>
    <t>Orderrad för ändrat antal. Hemtagning</t>
  </si>
  <si>
    <t>ORANTALUTS</t>
  </si>
  <si>
    <t>Orderrad för ändrat antal kärl, utsättning</t>
  </si>
  <si>
    <t>ORFREKVENSBYTE</t>
  </si>
  <si>
    <t>Orderrad för tömningsfrekvensbyte</t>
  </si>
  <si>
    <t>ORKÄRLBYTE</t>
  </si>
  <si>
    <t>Orderrad för kärlbyte storlek, utsättning samt hemtagning</t>
  </si>
  <si>
    <t>ORNYTJÄNST</t>
  </si>
  <si>
    <t>Orderrad för ny tjänst, utsättning</t>
  </si>
  <si>
    <t>ORTRASIGTKÄ</t>
  </si>
  <si>
    <t>Orderrad för trasigt kärl. Laga/byta</t>
  </si>
  <si>
    <t>SLT03SLBUD</t>
  </si>
  <si>
    <t>Sluten tank 0-3 m³, slam. Budning</t>
  </si>
  <si>
    <t>SLT03SLORD</t>
  </si>
  <si>
    <t>Sluten tank 0-3 m³, slam. Ordinarie tur</t>
  </si>
  <si>
    <t>SLT36SLBUD</t>
  </si>
  <si>
    <t>Sluten tank 3,1-6 m³, slam. Budning</t>
  </si>
  <si>
    <t>SLT36SLORD</t>
  </si>
  <si>
    <t>Sluten tank 3,1-6 m³, slam. Ordinarie tur</t>
  </si>
  <si>
    <t>SLT69SLBUD</t>
  </si>
  <si>
    <t>Sluten tank 6,1-9 m³, slam. Budning</t>
  </si>
  <si>
    <t>SLT69SLORD</t>
  </si>
  <si>
    <t>Sluten tank 6,1-9 m³, slam. Ordinarie tur</t>
  </si>
  <si>
    <t>SLTÖ9SLBUD</t>
  </si>
  <si>
    <t>Sluten tank över 9 m³, slam. Budning</t>
  </si>
  <si>
    <t>SLTÖ9SLORD</t>
  </si>
  <si>
    <t>Sluten tank över 9 m³, slam. Ordinarie tur</t>
  </si>
  <si>
    <t>UNDERJORDMA</t>
  </si>
  <si>
    <t>UNDERJORDRE</t>
  </si>
  <si>
    <t>ABSORBERING</t>
  </si>
  <si>
    <t>Absorberingsmedel, filtermaterial</t>
  </si>
  <si>
    <t>ÅVC</t>
  </si>
  <si>
    <t>AEROSOLER</t>
  </si>
  <si>
    <t>Aerosoler, ej bekämpningsmedel</t>
  </si>
  <si>
    <t>AEROSOLERFÄRG</t>
  </si>
  <si>
    <t>Aerosoler, färg</t>
  </si>
  <si>
    <t>AEROSOLERHÄRD</t>
  </si>
  <si>
    <t>Aerosoler, härdare med isocyanater, bekämpningsmedel</t>
  </si>
  <si>
    <t>AMMONIAK</t>
  </si>
  <si>
    <t>Ammoniak</t>
  </si>
  <si>
    <t>ASBEST</t>
  </si>
  <si>
    <t>Asbest max 15kg</t>
  </si>
  <si>
    <t>KBMÖ</t>
  </si>
  <si>
    <t>ASBESTEMB</t>
  </si>
  <si>
    <t>Asbest, emballeringskostnad vid dåligt emballage</t>
  </si>
  <si>
    <t>BDT03SL</t>
  </si>
  <si>
    <t>Tömning BDT-vatten 0-3 m³, slam</t>
  </si>
  <si>
    <t>Tömning BDT-vatten, 0-3 m³</t>
  </si>
  <si>
    <t>ANTL</t>
  </si>
  <si>
    <t>BEKÄMPNING</t>
  </si>
  <si>
    <t>Bekämpningsmedel, ej kvicksilverhaltiga</t>
  </si>
  <si>
    <t>BENSINRESTER</t>
  </si>
  <si>
    <t>Bensinrester</t>
  </si>
  <si>
    <t>LITE</t>
  </si>
  <si>
    <t>BRANDSLÄCKARE</t>
  </si>
  <si>
    <t>Brandsläckare</t>
  </si>
  <si>
    <t>BRBUD</t>
  </si>
  <si>
    <t>Budad hämtning, bygg- rivningsavfall. Pris per m³</t>
  </si>
  <si>
    <t>BROMSVÄTSKA</t>
  </si>
  <si>
    <t>Bromsvätska</t>
  </si>
  <si>
    <t>BRÄNNBARTSORT</t>
  </si>
  <si>
    <t>Brännbart, sorterat &lt;20 x 20 x 80 cm</t>
  </si>
  <si>
    <t>BRÄNNBARTÖVER</t>
  </si>
  <si>
    <t>Brännbart, överstort t.ex. möbler</t>
  </si>
  <si>
    <t>Brännbart, överstort</t>
  </si>
  <si>
    <t>BYGGRIVPLAST</t>
  </si>
  <si>
    <t>Bygg- och rivningsavfall, plast</t>
  </si>
  <si>
    <t>BYGGRIVTRÄ</t>
  </si>
  <si>
    <t>Bygg- och rivningsavfall, trä</t>
  </si>
  <si>
    <t>CYTOTOXISKA</t>
  </si>
  <si>
    <t>Cytotoxiska/Cytostatika</t>
  </si>
  <si>
    <t>DEPONIREST</t>
  </si>
  <si>
    <t>Deponirest utsorterad/ej brännbart</t>
  </si>
  <si>
    <t>EJKLASSFA</t>
  </si>
  <si>
    <t>Felaktigt eller farligt avfall som inte är klassat, pris per tillfälle</t>
  </si>
  <si>
    <t>Felaktigt/farligt avfall ej klassat, pris per tillfälle</t>
  </si>
  <si>
    <t>EJSPECFA</t>
  </si>
  <si>
    <t>Ej specificerat farligt avfall</t>
  </si>
  <si>
    <t>ELEKTRONIK</t>
  </si>
  <si>
    <t>Elektronikavfall, ej producentansvar</t>
  </si>
  <si>
    <t>EVEFRAMKÖR</t>
  </si>
  <si>
    <t>Evenemang framkörningsavgift</t>
  </si>
  <si>
    <t>EVEKÄ140MA</t>
  </si>
  <si>
    <t>Evenemangskärl 140 L, matavfall</t>
  </si>
  <si>
    <t>EVEKÄ190RE</t>
  </si>
  <si>
    <t>Evenemangskärl 190 L, restavfall</t>
  </si>
  <si>
    <t>EVEKÄ370RE</t>
  </si>
  <si>
    <t>Evenemangskärl 370 L, restavfall</t>
  </si>
  <si>
    <t>EVEKÄ660RE</t>
  </si>
  <si>
    <t>Evenemangskärl 660 L, restavfall</t>
  </si>
  <si>
    <t>EXTMÄTVS</t>
  </si>
  <si>
    <t>Extra mätställe, vatten/spillvatten</t>
  </si>
  <si>
    <t>VA</t>
  </si>
  <si>
    <t>ÅRPR</t>
  </si>
  <si>
    <t>Fast avgift, vatten/spillvatten</t>
  </si>
  <si>
    <t>FARLIGTBUD</t>
  </si>
  <si>
    <t>Budning av farligt avfall per m³</t>
  </si>
  <si>
    <t>FASTOLJEAVFALL</t>
  </si>
  <si>
    <t>Fast oljeavfall</t>
  </si>
  <si>
    <t>FASTSODA</t>
  </si>
  <si>
    <t>Fast soda i små emballage</t>
  </si>
  <si>
    <t>Nyckelfob mat- och restavfall fritidshus (engångs)</t>
  </si>
  <si>
    <t>Avser fysisk nyckel för mat-och restavfall - Engångskostnad</t>
  </si>
  <si>
    <t>FOSTÖM1000</t>
  </si>
  <si>
    <t>Tömning och behandling fosforfilter 500-1000 kg</t>
  </si>
  <si>
    <t>FOSTÖM500</t>
  </si>
  <si>
    <t>Tömning och behandling fosforfilter under 500 kg</t>
  </si>
  <si>
    <t>FOTOKEM</t>
  </si>
  <si>
    <t>Fotokemikalier</t>
  </si>
  <si>
    <t>FRAMKÖRKOM</t>
  </si>
  <si>
    <t>Framkörningsavgift, hämtning av kommunalt avfall</t>
  </si>
  <si>
    <t>FÄRGEJKONS</t>
  </si>
  <si>
    <t>Färg ej konsumentförpackat</t>
  </si>
  <si>
    <t>FÄRGLÖSNING</t>
  </si>
  <si>
    <t>Färg/lackavfall/lim lösningsbaserat</t>
  </si>
  <si>
    <t>FÄRGVATTEN</t>
  </si>
  <si>
    <t>Färg/lackavfall/lim vattenbaserat</t>
  </si>
  <si>
    <t>GASOL</t>
  </si>
  <si>
    <t>Gasol, blå programmet (kräver speciell transport)</t>
  </si>
  <si>
    <t>Gasol, blå programmet</t>
  </si>
  <si>
    <t>GEMKÄFRI</t>
  </si>
  <si>
    <t>Gemensam uppsamlingsplats med eget kärl, fritidshus</t>
  </si>
  <si>
    <t>Hämtningavgift gemensam uppsamlingsplats, eget kärl</t>
  </si>
  <si>
    <t>Extra mobilnyckel till Gemensam uppsamlingsplats, fritidshus</t>
  </si>
  <si>
    <t>Extra Mobilnyckel till ÅVS</t>
  </si>
  <si>
    <t>GEMUPPFRINYCKEL</t>
  </si>
  <si>
    <t>Nyckelfob till Gemensam uppsamlingsplats, fritidshus</t>
  </si>
  <si>
    <t>TEXT</t>
  </si>
  <si>
    <t>Nyckelfob, engångskostnad</t>
  </si>
  <si>
    <t>GEMUPPFÖRPFLB</t>
  </si>
  <si>
    <t>Gemensam uppsamlingsplats Förpackning, Flerbostadshus</t>
  </si>
  <si>
    <t>FAST</t>
  </si>
  <si>
    <t>GEMUPPORDFRI</t>
  </si>
  <si>
    <t>Mobilnyckel Gemensam uppsamlingsplats, fritidshus</t>
  </si>
  <si>
    <t>Mobilnyckel Gemensam uppsamlingsplats, mat- och restavfall</t>
  </si>
  <si>
    <t>GRBUD</t>
  </si>
  <si>
    <t>Budad hämtning, grovavfall. Pris per m³</t>
  </si>
  <si>
    <t>GROVBUD</t>
  </si>
  <si>
    <t>Budning av grovavfall per m³</t>
  </si>
  <si>
    <t>Grundavgift, del i flerbostadshus</t>
  </si>
  <si>
    <t>GRUN</t>
  </si>
  <si>
    <t>Grundavgift, fritidshus</t>
  </si>
  <si>
    <t>Grundavgift, verksamheter</t>
  </si>
  <si>
    <t>HALONGAS</t>
  </si>
  <si>
    <t>Halon gaser (kräver speciell transport)</t>
  </si>
  <si>
    <t>Halon gaser</t>
  </si>
  <si>
    <t>HYDRAULSLANG</t>
  </si>
  <si>
    <t>Hydraulslang</t>
  </si>
  <si>
    <t>HÄRDARE</t>
  </si>
  <si>
    <t>Härdare</t>
  </si>
  <si>
    <t>IMPREGTRÄ</t>
  </si>
  <si>
    <t>Impregnerat trä, bygg- o rivningsavfall</t>
  </si>
  <si>
    <t>INVÄXTVERKS</t>
  </si>
  <si>
    <t>Invasiva växter från verksamheter</t>
  </si>
  <si>
    <t>KOLSYREPATRON</t>
  </si>
  <si>
    <t>Kolsyrepatroner</t>
  </si>
  <si>
    <t>KVICKSILVER</t>
  </si>
  <si>
    <t>Kvicksilverinstrument/komponenter</t>
  </si>
  <si>
    <t>KYLDISKAR</t>
  </si>
  <si>
    <t>Kyldiskar och större kylmöbler</t>
  </si>
  <si>
    <t>KYLMÖBLER</t>
  </si>
  <si>
    <t>Kylmöbler, mindre (60 cm x 60 cm)</t>
  </si>
  <si>
    <t>KÄRLBYTE660</t>
  </si>
  <si>
    <t>Byte/återtag av behållare en extra gång 370–660 liter</t>
  </si>
  <si>
    <t>KÄRLBYTEFLER</t>
  </si>
  <si>
    <t>LATRINBEHÅLL</t>
  </si>
  <si>
    <t>Mottagningsavgift latrin till ÅVC</t>
  </si>
  <si>
    <t>LATRINBUD</t>
  </si>
  <si>
    <t>Budad hämtning, latrin i godkänd latrinbehållare</t>
  </si>
  <si>
    <t>LATRINKÖP</t>
  </si>
  <si>
    <t>Köp av godkänd latrinbehållare</t>
  </si>
  <si>
    <t>LÖSNINGSMEDEL</t>
  </si>
  <si>
    <t>Lösningsmedel och träolja</t>
  </si>
  <si>
    <t>MANUELLSORT</t>
  </si>
  <si>
    <t>Manuell sortering och hantering per person</t>
  </si>
  <si>
    <t>TIMT</t>
  </si>
  <si>
    <t>METALLFÖRPFA</t>
  </si>
  <si>
    <t>Metallförpackningar med farlig fast/porös fyllning, tomma tryckbehållare</t>
  </si>
  <si>
    <t>Metallförpackningar, farlig fast/porös fyllning, tryckbehåll</t>
  </si>
  <si>
    <t>METALLSKROTREN</t>
  </si>
  <si>
    <t>Metallskrot, rent (vätskefritt, utan el)</t>
  </si>
  <si>
    <t>Metallskrot, rent</t>
  </si>
  <si>
    <t>MOBGEMFRI</t>
  </si>
  <si>
    <t>ANTL, MAX1</t>
  </si>
  <si>
    <t>Extra mobilnyckel</t>
  </si>
  <si>
    <t>ANTL-1,MIN0</t>
  </si>
  <si>
    <t>OLJEFILTER</t>
  </si>
  <si>
    <t>Oljefilter</t>
  </si>
  <si>
    <t>RENGÖRINGBIL</t>
  </si>
  <si>
    <t>Rengöringsmedel samt bilvårdsprodukter</t>
  </si>
  <si>
    <t>SLBUDFOS</t>
  </si>
  <si>
    <t>Tillägg budad tömning inom 7 dagar, fosforfilter</t>
  </si>
  <si>
    <t>Tillägg budad tömning</t>
  </si>
  <si>
    <t>SLKBM3</t>
  </si>
  <si>
    <t>Tömning BDT-vatten tillägg över 3 m³</t>
  </si>
  <si>
    <t>Tillägg över 3 m³</t>
  </si>
  <si>
    <t>KBMS</t>
  </si>
  <si>
    <t>SLSTATISTIK</t>
  </si>
  <si>
    <t>Statistik vikt slam</t>
  </si>
  <si>
    <t>SMÅKEM</t>
  </si>
  <si>
    <t>Småkemikalier</t>
  </si>
  <si>
    <t>SMÖRJFETT</t>
  </si>
  <si>
    <t>Smörjfett/oljor</t>
  </si>
  <si>
    <t>SORTERING</t>
  </si>
  <si>
    <t>Sortering, sanering mm. Timtid</t>
  </si>
  <si>
    <t>Metallskrot, rent. Timtid</t>
  </si>
  <si>
    <t>SPACKEL</t>
  </si>
  <si>
    <t>Spackel och fönsterkitt</t>
  </si>
  <si>
    <t>SPILLOLJA</t>
  </si>
  <si>
    <t>Spillolja</t>
  </si>
  <si>
    <t>SYROR</t>
  </si>
  <si>
    <t>Syror eller basiskt avfall</t>
  </si>
  <si>
    <t>SÄ140MABUD</t>
  </si>
  <si>
    <t>Budad hämtning, 140 L pappersäck matavfall</t>
  </si>
  <si>
    <t>SÄ160REBUD</t>
  </si>
  <si>
    <t>Budad hämtning, 160 L säck restavfall</t>
  </si>
  <si>
    <t>SÄTRBUD</t>
  </si>
  <si>
    <t>Budad hämtning, trädgårdsavfall. Pris per säck</t>
  </si>
  <si>
    <t>TRBUD</t>
  </si>
  <si>
    <t>Budad hämtning, trädgårdsavfall. Pris per m³</t>
  </si>
  <si>
    <t>TRÄDGÅRDKOMP</t>
  </si>
  <si>
    <t>Trädgårdsavfall komposterbart</t>
  </si>
  <si>
    <t>TÄNDARE</t>
  </si>
  <si>
    <t>Tändare</t>
  </si>
  <si>
    <t>Töm Missat kärl</t>
  </si>
  <si>
    <t>TÖMCOMA</t>
  </si>
  <si>
    <t>Tömningar container, matavfall</t>
  </si>
  <si>
    <t>TÖMCORE</t>
  </si>
  <si>
    <t>Tömningar container, restavfall</t>
  </si>
  <si>
    <t>TÖMUJMA</t>
  </si>
  <si>
    <t>Tömningar underjordsbehållare, matavfall</t>
  </si>
  <si>
    <t>TÖMUJRE</t>
  </si>
  <si>
    <t>Tömningar underjordsbehållare, restavfall</t>
  </si>
  <si>
    <t>VATTENBLAND</t>
  </si>
  <si>
    <t>Vattenhaltiga blandningar av glykol, olja m.m</t>
  </si>
  <si>
    <t>REGLTILLGODO</t>
  </si>
  <si>
    <t>Reglering tillgodo tidigare faktura</t>
  </si>
  <si>
    <t>BRN03SL</t>
  </si>
  <si>
    <t>Tömning brunn 0-3 m³, slam</t>
  </si>
  <si>
    <t>Tömning slam, brunn 0-3 m³</t>
  </si>
  <si>
    <t>BRN36SL</t>
  </si>
  <si>
    <t>Brunn 3,1-6 m³, slam</t>
  </si>
  <si>
    <t>Tömning slam, brunn 3,1-6 m³</t>
  </si>
  <si>
    <t>BRN69SL</t>
  </si>
  <si>
    <t>Brunn över 6,1 m³, slam</t>
  </si>
  <si>
    <t>Tömning slam, brunn över 6,1 m³</t>
  </si>
  <si>
    <t>BV</t>
  </si>
  <si>
    <t>Byggvatten, med mätare</t>
  </si>
  <si>
    <t>VATT</t>
  </si>
  <si>
    <t>FÖRB</t>
  </si>
  <si>
    <t>Byggvatten, Rörlig avgift, förbrukning per m³</t>
  </si>
  <si>
    <t>BVU</t>
  </si>
  <si>
    <t>Byggvatten, utan mätare</t>
  </si>
  <si>
    <t>UPFÖ</t>
  </si>
  <si>
    <t>Byggvatten, Rörlig avgift, uppsk. förbrukning per m³</t>
  </si>
  <si>
    <t>MRV03SLBUD</t>
  </si>
  <si>
    <t>Minireningsverk 0-3 m³, slam. Budning</t>
  </si>
  <si>
    <t>MRV03SLORD</t>
  </si>
  <si>
    <t>Minireningsverk 0-3 m³, slam. Ordinarie tur</t>
  </si>
  <si>
    <t>MRV36SLBUD</t>
  </si>
  <si>
    <t>Minireningsverk 3,1-6 m³, slam. Budning</t>
  </si>
  <si>
    <t>MRV36SLORD</t>
  </si>
  <si>
    <t>Minireningsverk 3,1-6 m³, slam. Ordinarie tur</t>
  </si>
  <si>
    <t>MRV69SLBUD</t>
  </si>
  <si>
    <t>Minireningsverk 6,1-9 m³, slam. Budning</t>
  </si>
  <si>
    <t>MRV69SLORD</t>
  </si>
  <si>
    <t>Minireningsverk 6,1-9 m³, slam. Ordinarie tur</t>
  </si>
  <si>
    <t>MRVÖ9SLBUD</t>
  </si>
  <si>
    <t>Minireningsverk över 9 m³, slam. Budning</t>
  </si>
  <si>
    <t>MRVÖ9SLORD</t>
  </si>
  <si>
    <t>Minireningsverk över 9 m³, slam. Ordinarie tur</t>
  </si>
  <si>
    <t>SLAKUT48TIM</t>
  </si>
  <si>
    <t>Tillägg för budning inom 48 timmar</t>
  </si>
  <si>
    <t>SLT03SL</t>
  </si>
  <si>
    <t>Sluten tank 0-3 m³, slam</t>
  </si>
  <si>
    <t>Tömning slam, sluten tank 0-3 m³</t>
  </si>
  <si>
    <t>SLT36SL</t>
  </si>
  <si>
    <t>Sluten tank 3,1-6 m³, slam</t>
  </si>
  <si>
    <t>Tömning slam, sluten tank 3,1-6 m³</t>
  </si>
  <si>
    <t>SLT69SL</t>
  </si>
  <si>
    <t>Sluten tank över 6,1 m³, slam</t>
  </si>
  <si>
    <t>Tömning slam, sluten tank över 6,1 m³</t>
  </si>
  <si>
    <t>SLTUNGTLOCK</t>
  </si>
  <si>
    <t>Tillägg lyft av tungt brunnslock över 15 kg</t>
  </si>
  <si>
    <t>SLFRAMKÖR</t>
  </si>
  <si>
    <t>Framkörningsavgift/bom vid ej genomförd tömning</t>
  </si>
  <si>
    <t>Framkörningsavgift vid ej genomförd tömning</t>
  </si>
  <si>
    <t>SLKBM9</t>
  </si>
  <si>
    <t>Tillägg för kubikmeter överstigande 9,1 m³</t>
  </si>
  <si>
    <t>SLMEDDELANDE</t>
  </si>
  <si>
    <t>Tillägg om förändring av slamtömning inte meddelats</t>
  </si>
  <si>
    <t>SLSAMTIDA</t>
  </si>
  <si>
    <t>Tömning slam samtida brunn/tank mindre än 5 m³</t>
  </si>
  <si>
    <t>SLSLANG</t>
  </si>
  <si>
    <t>Total slanglängd (meter)</t>
  </si>
  <si>
    <t>Total slanglängd, 10-30 m</t>
  </si>
  <si>
    <t>SLNG[10-30],MAX1</t>
  </si>
  <si>
    <t>Total slanglängd, 30-40 m</t>
  </si>
  <si>
    <t>SLNG[31-40],MAX1</t>
  </si>
  <si>
    <t>Total slanglängd, över 40 m</t>
  </si>
  <si>
    <t>SLNG[41-],MAX1</t>
  </si>
  <si>
    <t>ENT Total slanglängd, 1-10 m</t>
  </si>
  <si>
    <t>SLNG[1-10],MAX1</t>
  </si>
  <si>
    <t>ENT Total slanglängd, 11-20 m</t>
  </si>
  <si>
    <t>SLNG[11-20],MAX1</t>
  </si>
  <si>
    <t>ENT Total slanglängd, 21-30 m</t>
  </si>
  <si>
    <t>SLNG[21-30],MAX1</t>
  </si>
  <si>
    <t>ENT Total slanglängd, 31-40 m</t>
  </si>
  <si>
    <t>ENT Total slanglängd, 41-50 m</t>
  </si>
  <si>
    <t>SLNG[41-50],MAX1</t>
  </si>
  <si>
    <t>Total slanglängd 0-10 meter</t>
  </si>
  <si>
    <t>SLNG[0-10],MAX1</t>
  </si>
  <si>
    <t>Total slanglängd 21-30 meter</t>
  </si>
  <si>
    <t>Total slanglängd 11-20 meter</t>
  </si>
  <si>
    <t>Total slanglängd 31-40 meter</t>
  </si>
  <si>
    <t>Total slanglängd 41-50 meter</t>
  </si>
  <si>
    <t>SLSPECTID</t>
  </si>
  <si>
    <t>Tillägg för specificerad inställelsetid för tömning</t>
  </si>
  <si>
    <t>SLTOAVAGN</t>
  </si>
  <si>
    <t>Tömning av toalettvagnar/TC, spolbil</t>
  </si>
  <si>
    <t>SLBUD7DGR</t>
  </si>
  <si>
    <t>Tillägg för budning inom 7 dagar</t>
  </si>
  <si>
    <t>AVGNIVÅ1V</t>
  </si>
  <si>
    <t>ÅVC-abonnemang nivå 1 – ej miljöfarligt avfall. Verksamhet</t>
  </si>
  <si>
    <t>ÅVC-abonnemang nivå 1 – ej miljöfarligt avfall</t>
  </si>
  <si>
    <t>AVGNIVÅ2V</t>
  </si>
  <si>
    <t>ÅVC-abonnemang nivå 2 – med miljöfarligt avfall. Verksamhet</t>
  </si>
  <si>
    <t>ÅVC-abonnemang nivå 2 – med miljöfarligt avfall</t>
  </si>
  <si>
    <t>AVSTÄNG</t>
  </si>
  <si>
    <t>Avstängning/strypning av vattentillförsel</t>
  </si>
  <si>
    <t>BETALSÄCK</t>
  </si>
  <si>
    <t>Mottagningsavgift extrasäck till ÅVC</t>
  </si>
  <si>
    <t>Fob</t>
  </si>
  <si>
    <t>Nyckelfob mat- och rest frihus</t>
  </si>
  <si>
    <t>FÖRGÄV</t>
  </si>
  <si>
    <t>Förgävesbesök vid avtalad tid eller avisering</t>
  </si>
  <si>
    <t>Grundavgift, småhus 1- och 2 familjshus</t>
  </si>
  <si>
    <t>INVÄXTHUSH</t>
  </si>
  <si>
    <t>Invasiva växter från hushåll</t>
  </si>
  <si>
    <t>NEDTAG</t>
  </si>
  <si>
    <t>Nedtagning VA-mätare</t>
  </si>
  <si>
    <t>PÅSLÄPP</t>
  </si>
  <si>
    <t>Påsläpp av vattentillförsel</t>
  </si>
  <si>
    <t>UNDERSÖK</t>
  </si>
  <si>
    <t>Undersökning av vattenmätare</t>
  </si>
  <si>
    <t>UPPSÄTT</t>
  </si>
  <si>
    <t>Uppsättning VA-mätare</t>
  </si>
  <si>
    <t>VSOMMAR</t>
  </si>
  <si>
    <t>Sommarvatten</t>
  </si>
  <si>
    <t>Total årskostnad för sommarvatten per Fritidshus maj-sept</t>
  </si>
  <si>
    <t>BOEN</t>
  </si>
  <si>
    <t>ÅVCVERKSAM</t>
  </si>
  <si>
    <t>ÅVC abonnemang 1 - ej miljöfarligt avfall</t>
  </si>
  <si>
    <t>ÅVCVERKSAMFA</t>
  </si>
  <si>
    <t>ÅVC abonnemang 2 - farligt avfall</t>
  </si>
  <si>
    <t>ÅVC660I</t>
  </si>
  <si>
    <t>Kärl 660L, Invasiva Arter</t>
  </si>
  <si>
    <t>Kärl 660 Invasiva arter</t>
  </si>
  <si>
    <t>ÅVC660T</t>
  </si>
  <si>
    <t>Kärl 660L, Textil</t>
  </si>
  <si>
    <t>Kärl 660 Textil</t>
  </si>
  <si>
    <t>MB1600TÖM</t>
  </si>
  <si>
    <t>Tömning Markbehållare 1,6 m³, osorterat avfall</t>
  </si>
  <si>
    <t>MB3200TÖM</t>
  </si>
  <si>
    <t>Tömning Markbehållare 3,2 m³, osorterat avfall</t>
  </si>
  <si>
    <t>MB3600TÖM</t>
  </si>
  <si>
    <t>Tömning Markbehållare 3,6 m³, osorterat avfall</t>
  </si>
  <si>
    <t>MB5000TÖM</t>
  </si>
  <si>
    <t>Tömning Markbehållare 5 m³, osorterat avfall</t>
  </si>
  <si>
    <t>FELSORT</t>
  </si>
  <si>
    <t>Gemensam uppsamlingsplats, fritidshus</t>
  </si>
  <si>
    <t>Gemensam uppsamlingsplats, mat- och restavfall</t>
  </si>
  <si>
    <t>Kärl 140L, matavfall. Var 14:e dag. FLB/VHT</t>
  </si>
  <si>
    <t>Kärl 140L, matavfall. Var 14:e dag</t>
  </si>
  <si>
    <t>Kärl 140L Viktavgift matavfall kr/kg</t>
  </si>
  <si>
    <t>Kärl 140L Överviktsavgift för vikt över 60 kg, matavfall</t>
  </si>
  <si>
    <t>Kärl 140L, matavfall. Varje vecka. FLB/VHT</t>
  </si>
  <si>
    <t>Kärl 140L, matavfall. Varje vecka</t>
  </si>
  <si>
    <t>Kärl 120-190L extrakärl, rest/matavfall. Var 14:e dag</t>
  </si>
  <si>
    <t>KÄ190XRM26FV</t>
  </si>
  <si>
    <t>Kärl 120-190L extrakärl, rest/matavfall. Var 14:e dag. FLB/VHT</t>
  </si>
  <si>
    <t>KÄ240RK26</t>
  </si>
  <si>
    <t>Tvåfackskärl 240L, restavfall/kompost. Var 14:e dag</t>
  </si>
  <si>
    <t>Viktavgift restavfall kr/kg</t>
  </si>
  <si>
    <t>KÄ240RK26FRI</t>
  </si>
  <si>
    <t>Tvåfackskärl 240L, restavfall/kompost. Var 14:e dag fritidshus</t>
  </si>
  <si>
    <t>Tvåfackskärl 240L, rest/matavfall. Var 14:e dag</t>
  </si>
  <si>
    <t>Tvåfackskärl 240L, rest/matavfall. Var 14:e dag fritidshus</t>
  </si>
  <si>
    <t>Tvåfackskärl 240L, rest/matavfall. Var 14:e dag. FLB/VHT</t>
  </si>
  <si>
    <t>Kärl 370L, restavfall. Var 14:e dag. FLB/VHT</t>
  </si>
  <si>
    <t>Kärl 370L, restavfall. Var 14:e dag</t>
  </si>
  <si>
    <t>Kärl 370L 26V Viktavgift restavfall kr/kg</t>
  </si>
  <si>
    <t>Kärl 370L 26V Överviktsavgift vikt över 60 kg, restavfall</t>
  </si>
  <si>
    <t>Kärl 370L, restavfall. Varje vecka. FLB/VHT</t>
  </si>
  <si>
    <t>Kärl 370L, restavfall. Varje vecka</t>
  </si>
  <si>
    <t>Kärl 370L 52V Viktavgift restavfall kr/kg</t>
  </si>
  <si>
    <t>Kärl 370L 52V Överviktsavgift vikt över 60 kg, restavfall</t>
  </si>
  <si>
    <t>KÄ50HL</t>
  </si>
  <si>
    <t>Kärl 50L Hundlatrin</t>
  </si>
  <si>
    <t>Kärl 50l</t>
  </si>
  <si>
    <t>Kärl 660L, restavfall. Var 14:e dag FLB/VHT</t>
  </si>
  <si>
    <t>Kärl 660L, restavfall. Var 14:e dag</t>
  </si>
  <si>
    <t>Kärl 660L 26V Viktavgift restavfall kr/kg</t>
  </si>
  <si>
    <t>Kärl 660L 26V Överviktsavgift vikt över 100 kg, restavfall</t>
  </si>
  <si>
    <t>Kärl 660L, restavfall. Varje vecka. FLB/VHT</t>
  </si>
  <si>
    <t>Kärl 660L, restavfall. Varje vecka</t>
  </si>
  <si>
    <t>Kärl 660L 52V Viktavgift restavfall kr/kg</t>
  </si>
  <si>
    <t>Kärl 660L 52V Överviktsavgift vikt över 100 kg, restavfall</t>
  </si>
  <si>
    <t>KÄRLBYTE240</t>
  </si>
  <si>
    <t>Byte/återtag av behållare en extra gång 140–240 liter</t>
  </si>
  <si>
    <t>MAT</t>
  </si>
  <si>
    <t>MB1600MA26</t>
  </si>
  <si>
    <t>Tjänsttaxa markbehållare för matavfall</t>
  </si>
  <si>
    <t>Tömning Markbehållare 1,6 m³, Matavfall</t>
  </si>
  <si>
    <t>MB3200RE26</t>
  </si>
  <si>
    <t>Tömning Markbehållare 3,2 m³, Restavfall</t>
  </si>
  <si>
    <t>ReAvfallSum</t>
  </si>
  <si>
    <t>Viktavgift restavfall Sumerad KÄ660 1 veckastömning</t>
  </si>
  <si>
    <t>Kärl 660L Viktavgift restavfall kr/kg (period)</t>
  </si>
  <si>
    <t>REST</t>
  </si>
  <si>
    <t>SANNAN</t>
  </si>
  <si>
    <t>Spillvatten Annan fastighet</t>
  </si>
  <si>
    <t>AVL</t>
  </si>
  <si>
    <t>Fast avgift spillvatten</t>
  </si>
  <si>
    <t>Förbrukningsavgift, spillvatten</t>
  </si>
  <si>
    <t>SBOSTAD</t>
  </si>
  <si>
    <t>Spillvatten Bostad</t>
  </si>
  <si>
    <t>Förbrukningsavgift, avlopp</t>
  </si>
  <si>
    <t>Avgift, per lägenhet</t>
  </si>
  <si>
    <t>LÄGH</t>
  </si>
  <si>
    <t>Avgift per påbörjad 150-tal m² bruttoarea</t>
  </si>
  <si>
    <t>HELTALSDEL((BTAY+149)/150)</t>
  </si>
  <si>
    <t>SUANNAN</t>
  </si>
  <si>
    <t>Spillvatten Uppsk. Förbrukning Annan fastighet</t>
  </si>
  <si>
    <t>Rörlig avgift, uppsk. förbrukning spillvatten</t>
  </si>
  <si>
    <t>SUBOSTAD</t>
  </si>
  <si>
    <t>Spillvatten Uppsk. Förbrukning Bostad</t>
  </si>
  <si>
    <t>BTAY</t>
  </si>
  <si>
    <t>TRÄDGÅRD</t>
  </si>
  <si>
    <t>Trädgårdsavfall, ris och stubbar till krossning</t>
  </si>
  <si>
    <t>VANNAN</t>
  </si>
  <si>
    <t>Vatten Annan fastighet</t>
  </si>
  <si>
    <t>Grundavgift VA</t>
  </si>
  <si>
    <t>Avgift per m³ levererat vatten</t>
  </si>
  <si>
    <t>Bostadsenhetsavgift</t>
  </si>
  <si>
    <t>VBOSTAD</t>
  </si>
  <si>
    <t>Vatten Bostad</t>
  </si>
  <si>
    <t>Bostadsenhetsavgift per påbörjad 150-tal m² bruttoarea</t>
  </si>
  <si>
    <t>VFÖRB</t>
  </si>
  <si>
    <t>Endast förbrukning vatten</t>
  </si>
  <si>
    <t>VIKTMAT</t>
  </si>
  <si>
    <t>240L tvåfackskärl, viktavgift matavfall</t>
  </si>
  <si>
    <t>VIKTMATMB</t>
  </si>
  <si>
    <t>Markbehållare , viktavgift matavfall</t>
  </si>
  <si>
    <t>VIKTMATUJ</t>
  </si>
  <si>
    <t>Underjordsbehållare , viktavgift matavfall</t>
  </si>
  <si>
    <t>VIKTOSPEC</t>
  </si>
  <si>
    <t>240L tvåfackskärl, viktavgift osorterat avfall</t>
  </si>
  <si>
    <t>Viktavgift avfall reducerad taxa vid 1 lyft</t>
  </si>
  <si>
    <t>Överviktsavgift för vikt över 80 kg, Ospecifiserat avfall</t>
  </si>
  <si>
    <t>VIKTREST</t>
  </si>
  <si>
    <t>240L tvåfackskärl, viktavgift restavfall</t>
  </si>
  <si>
    <t>VIKTRESTMB</t>
  </si>
  <si>
    <t>Markbehållare, viktavgift restavfall</t>
  </si>
  <si>
    <t>VSANNAN</t>
  </si>
  <si>
    <t>Vatten/spillvatten Annan fastighet</t>
  </si>
  <si>
    <t>Fast avgift vatten/spillvatten</t>
  </si>
  <si>
    <t>Rörlig avgift, förbrukning per m³</t>
  </si>
  <si>
    <t>Bostadsenhetsavgift VA</t>
  </si>
  <si>
    <t>VSAVSTÄNGT</t>
  </si>
  <si>
    <t>Vatten/Spillvatten avstängt 0 förbrukning</t>
  </si>
  <si>
    <t>Grundavgift + Bostadsenhetsavgift VA</t>
  </si>
  <si>
    <t>VSBOSTAD</t>
  </si>
  <si>
    <t>Vatten/spillvatten Bostad</t>
  </si>
  <si>
    <t>VSFÖRB</t>
  </si>
  <si>
    <t>Endast förbrukning vatten/spillvatten</t>
  </si>
  <si>
    <t>VSUANNAN</t>
  </si>
  <si>
    <t>Vatten/spillvatten Uppsk. Förbrukning Annan fastighet</t>
  </si>
  <si>
    <t>Rörlig avgift, uppsk. förbrukning per m³</t>
  </si>
  <si>
    <t>VSUBOSTAD</t>
  </si>
  <si>
    <t>Vatten/spillvatten Uppsk. förbrukning Bostad</t>
  </si>
  <si>
    <t>Bostadsenhetsavgift, per påbörjad 150-tal m² bruttoarea</t>
  </si>
  <si>
    <t>VSUFRI</t>
  </si>
  <si>
    <t>Vatten och spillvatten utan mätning fritidshus</t>
  </si>
  <si>
    <t>Rörlig avgift uppskattad förbrukning per m³</t>
  </si>
  <si>
    <t>Bostadsenhetsavgift per bostadsenhet VA</t>
  </si>
  <si>
    <t>VUANNAN</t>
  </si>
  <si>
    <t>Vatten Uppsk. Förbrukning Annan fastighet</t>
  </si>
  <si>
    <t>Grundavgift VA och Bostadsenhetsavgift</t>
  </si>
  <si>
    <t>VUBOSTAD</t>
  </si>
  <si>
    <t>Vatten Uppsk. förbrukning Bostad</t>
  </si>
  <si>
    <t>Bostadsenhetsavgift, per påbörjad 150 m² BTA</t>
  </si>
  <si>
    <t>VUFRI</t>
  </si>
  <si>
    <t>Vatten utan mätare fritidshus</t>
  </si>
  <si>
    <t>AVSLUTA_TJÄNST</t>
  </si>
  <si>
    <t>Dummy för avslut av tjänst via order</t>
  </si>
  <si>
    <t>Avslut av tjänst</t>
  </si>
  <si>
    <t>BRN69LORDDEL</t>
  </si>
  <si>
    <t>Miljövagn</t>
  </si>
  <si>
    <t>Miljövagn, Papper plast tidning metall glasof glasf</t>
  </si>
  <si>
    <t>ÅVS</t>
  </si>
  <si>
    <t>REGLRESTBELOPP</t>
  </si>
  <si>
    <t>Reglering restbelopp tidigare faktura</t>
  </si>
  <si>
    <t>SMS Avvik</t>
  </si>
  <si>
    <t>Sms</t>
  </si>
  <si>
    <t>Sms till kund</t>
  </si>
  <si>
    <t>TEST240FFG13</t>
  </si>
  <si>
    <t>240 kärl/4:e vecka 2-delat kärl färgat o ofärgat glas TEST</t>
  </si>
  <si>
    <t>240 l kärl/4 vecka test glas färgat ofärgat</t>
  </si>
  <si>
    <t>antb</t>
  </si>
  <si>
    <t>240 l kärl - viktavgift färgat och ofärgat test</t>
  </si>
  <si>
    <t>vikg</t>
  </si>
  <si>
    <t>TEST240METE13</t>
  </si>
  <si>
    <t>240 kärl/4 vecka 2-delat metallförp textil TEST</t>
  </si>
  <si>
    <t>240 kärl/4 test metallförp textil</t>
  </si>
  <si>
    <t>240 l kärl viktavg metallförp textil TEST</t>
  </si>
  <si>
    <t>TEST370VV</t>
  </si>
  <si>
    <t>370 I Kärl/14 dgr 2-delat kärl papper o plast</t>
  </si>
  <si>
    <t>370 I Kärl/14 dgr TEST papper plast</t>
  </si>
  <si>
    <t>370 I Kärl - viktavgift papper och plast TEST</t>
  </si>
  <si>
    <t>VS0</t>
  </si>
  <si>
    <t>Dummytaxa för tjänst</t>
  </si>
  <si>
    <t>VSKORR</t>
  </si>
  <si>
    <t>Korrigering av händelse, konto och pris sätts manuellt</t>
  </si>
  <si>
    <t>ÅBEHGF</t>
  </si>
  <si>
    <t>ÅVS behandling glasförpackningar, färgade</t>
  </si>
  <si>
    <t>ÅBEHGO</t>
  </si>
  <si>
    <t>ÅVS behandling glasförpackningar, ofärgade</t>
  </si>
  <si>
    <t>ÅBEHMA</t>
  </si>
  <si>
    <t>ÅVS behandling matavfall</t>
  </si>
  <si>
    <t>ÅBEHME</t>
  </si>
  <si>
    <t>ÅVS behandling metallförpackningar</t>
  </si>
  <si>
    <t>ÅBEHPA</t>
  </si>
  <si>
    <t>ÅVS behandling pappersförpackningar</t>
  </si>
  <si>
    <t>ÅBEHPL</t>
  </si>
  <si>
    <t>ÅVS behandling plastförpackningar</t>
  </si>
  <si>
    <t>ÅBEHREST</t>
  </si>
  <si>
    <t>ÅVS behandling restavfall</t>
  </si>
  <si>
    <t>ÅBEHTI</t>
  </si>
  <si>
    <t>ÅVS behandling tidningar</t>
  </si>
  <si>
    <t>ÅSVME</t>
  </si>
  <si>
    <t>ÅVS metallförpackningar. Tjänsttaxa</t>
  </si>
  <si>
    <t>ÅTÖMGF</t>
  </si>
  <si>
    <t>ÅVS tömning, glasförpackningar, färgade</t>
  </si>
  <si>
    <t>ÅTÖMGO</t>
  </si>
  <si>
    <t>ÅVS tömning glasförpackningar, ofärgade</t>
  </si>
  <si>
    <t>ÅTÖMMA</t>
  </si>
  <si>
    <t>ÅVS tömning matavfall</t>
  </si>
  <si>
    <t>ÅTÖMME</t>
  </si>
  <si>
    <t>ÅVS tömning metallförpackningar</t>
  </si>
  <si>
    <t>ÅTÖMPA</t>
  </si>
  <si>
    <t>ÅVS tömning pappersförpackningar</t>
  </si>
  <si>
    <t>ÅTÖMPL</t>
  </si>
  <si>
    <t>ÅVS tömning plastförpackningar</t>
  </si>
  <si>
    <t>ÅTÖMREST</t>
  </si>
  <si>
    <t>ÅVS tömning restavfall</t>
  </si>
  <si>
    <t>ÅTÖMTI</t>
  </si>
  <si>
    <t>ÅVS tömning tidningar</t>
  </si>
  <si>
    <t>ÅVSFYLL</t>
  </si>
  <si>
    <t>Fyllnadsgrad</t>
  </si>
  <si>
    <t>FYLL</t>
  </si>
  <si>
    <t>ÅVSGF</t>
  </si>
  <si>
    <t>ÅVS, glasförpackningar, färgade, Tjänsttaxa</t>
  </si>
  <si>
    <t>ÅVSGO</t>
  </si>
  <si>
    <t>ÅVS glasförpackningar, ofärgade. Tjänsttaxa</t>
  </si>
  <si>
    <t>ÅVSMAT</t>
  </si>
  <si>
    <t>ÅVS matavfall. Tjänsttaxa</t>
  </si>
  <si>
    <t>ÅVSME</t>
  </si>
  <si>
    <t>ÅVSPA</t>
  </si>
  <si>
    <t>ÅVS pappersförpackningar. Tjänsttaxa</t>
  </si>
  <si>
    <t>ÅVSPL</t>
  </si>
  <si>
    <t>ÅVS plastförpackningar. Tjänsttaxa</t>
  </si>
  <si>
    <t>ÅVSREST</t>
  </si>
  <si>
    <t>ÅVS restavfall. Tjänsttaxa</t>
  </si>
  <si>
    <t>ÅVSTI</t>
  </si>
  <si>
    <t>ÅVS tidningar. Tjänsttaxa</t>
  </si>
  <si>
    <t>Sammanställning – total intäkt per paragraf</t>
  </si>
  <si>
    <t>Hämtningsavgift per år gemensam uppsamlingsplats för hämtningsområde X</t>
  </si>
  <si>
    <t>Matavfallspåsar</t>
  </si>
  <si>
    <t>Fakturaavgift</t>
  </si>
  <si>
    <t>Överfullt kärl/bottentömmande behållare</t>
  </si>
  <si>
    <t>Övriga avgifter och tillägg fosforfällor</t>
  </si>
  <si>
    <t>Verksamhetsavfall inlämnat på återvinningscentral</t>
  </si>
  <si>
    <t>Kostnadstäckningsgrad vs självkostnad</t>
  </si>
  <si>
    <t>Självkostnad (kr) – ange här</t>
  </si>
  <si>
    <t>Kostnadstäckningsgrad</t>
  </si>
  <si>
    <t>Källfil Word</t>
  </si>
  <si>
    <t>Förslag till taxestruktur mall ASN 2026-03-13 v2(2).docx</t>
  </si>
  <si>
    <t>Källfil Excel</t>
  </si>
  <si>
    <t>Avfallstaxa_redigerbar_korrigerad_tom_2_2_6(1).xlsx</t>
  </si>
  <si>
    <t>Åtgärd</t>
  </si>
  <si>
    <t>Taxepunkter har byggts om så att varje prisfält i Word motsvarar en egen rad i Excel.</t>
  </si>
  <si>
    <t>Antal rader i Taxepunkter efter korrigering</t>
  </si>
  <si>
    <t>Tillagda/korrigerade huvudområden</t>
  </si>
  <si>
    <t>Kommentar</t>
  </si>
  <si>
    <t>Saknad paragraf byggd med samtliga 15 prispunkter.</t>
  </si>
  <si>
    <t>Saknad paragraf byggd med 3 prispunkter.</t>
  </si>
  <si>
    <t>§2.2.1–§2.2.2</t>
  </si>
  <si>
    <t>Rader delade upp per hämtningsintervall enligt Word.</t>
  </si>
  <si>
    <t>§2.4.1–§2.4.11</t>
  </si>
  <si>
    <t>Tidigare §2.6.* och separata 2.4/2.5 har byggts om enligt Word-numrering.</t>
  </si>
  <si>
    <t>Budning för fastighetsnära hämtning flyttad från tidigare §2.7.4 till Word-strukturen.</t>
  </si>
  <si>
    <t>§3–§5</t>
  </si>
  <si>
    <t>Saknade rader för tillägg per m3, extra tank/brunn, latrin, fosforfilter och fettavskiljare har lagts till enligt Word.</t>
  </si>
  <si>
    <t>§6.1.1–§6.1.4</t>
  </si>
  <si>
    <t>ÅVC-struktur byggd enligt Word-numrering; befintliga §6- och tidigare §2.7-rader har bevarats under §6.</t>
  </si>
  <si>
    <t>Obs</t>
  </si>
  <si>
    <t>Taxakod/pris har bara bevarats där befintlig rad kunde matchas. Nya rader saknar taxakod/pris tills ni fyller i dessa.</t>
  </si>
  <si>
    <t>Källparagraf</t>
  </si>
  <si>
    <t>Källpunkt</t>
  </si>
  <si>
    <t>Rad i Taxepunkter</t>
  </si>
  <si>
    <t>Wordtext</t>
  </si>
  <si>
    <t>Matchmetod</t>
  </si>
  <si>
    <t>FöreslagenTaxekod</t>
  </si>
  <si>
    <t>Taxepunkt</t>
  </si>
  <si>
    <t>Saknas i EDP – föreslagen ny taxa</t>
  </si>
  <si>
    <t>Kodförslag baserat på prefix/suffix och text i Taxepunkter</t>
  </si>
  <si>
    <t>Grundavgift / Lägenhet för specialändamål</t>
  </si>
  <si>
    <t>Grundavgift / Anläggning</t>
  </si>
  <si>
    <t>Grundavgift / Säsongsbaserad uppställningsplats</t>
  </si>
  <si>
    <t>Grundavgift / Campingstuga/-lägenhet</t>
  </si>
  <si>
    <t>Grundavgift / Administrativ avgift vid beviljad dispens om uppehåll i hämtning eller eget omhändertagande av avfall under kommunalt ansvar</t>
  </si>
  <si>
    <t>Kärl 240 l (mat-/restavfall) Hämtning månadsvis</t>
  </si>
  <si>
    <t>Hämtningsavgift per år för en- och tvåbostadshus / Kärl 240 l (mat-/restavfall)</t>
  </si>
  <si>
    <t>Kärl 240 l (mat-/restavfall). Hämtning månadsvis</t>
  </si>
  <si>
    <t>Extrakärl 190 l (restavfall) Hämtning månadsvis</t>
  </si>
  <si>
    <t>Hämtningsavgift per år för en- och tvåbostadshus / Extrakärl 190 l (restavfall)</t>
  </si>
  <si>
    <t>Extrakärl 190 l (restavfall). Hämtning månadsvis</t>
  </si>
  <si>
    <t>Hämtningsavgift per år för fritidshus / Kärl 240 l (mat-/restavfall)</t>
  </si>
  <si>
    <t>Extrakärl 190 l (restavfall) Hämtning var 14:e dag</t>
  </si>
  <si>
    <t>Hämtningsavgift per år för fritidshus / Extrakärl 190 l (restavfall)</t>
  </si>
  <si>
    <t>Extrakärl 190 l (restavfall). Hämtning var 14:e dag</t>
  </si>
  <si>
    <t>Gemensam uppsamlingsplats inom hämtningsområde X / Gemensam uppsamlingsplats för mat-/restavfall</t>
  </si>
  <si>
    <t>Gemensam uppsamlingsplats inom hämtningsområde X / Extra digital licens (årskostnad)</t>
  </si>
  <si>
    <t>Gemensam uppsamlingsplats inom hämtningsområde X / Fysisk nyckel, kallad fob (engångskostnad)</t>
  </si>
  <si>
    <t>Gemensam uppsamlingsplats inom hämtningsområde X / Byte av telefonnummer kopplat till licens</t>
  </si>
  <si>
    <t>Gemensam uppsamlingsplats inom hämtningsområde X / Kostnad för öppning av behållare</t>
  </si>
  <si>
    <t>Hämtningsavgift per år för flerbostadshus / Kärl 240 l (mat-/restavfall)</t>
  </si>
  <si>
    <t>Kärl 370 l (restavfall) Hämtning månadsvis</t>
  </si>
  <si>
    <t>Hämtningsavgift per år för flerbostadshus / Kärl 370 l (restavfall)</t>
  </si>
  <si>
    <t>Kärl 370 l (restavfall). Hämtning månadsvis</t>
  </si>
  <si>
    <t>Kärl 660 l (restavfall) Hämtning månadsvis</t>
  </si>
  <si>
    <t>Hämtningsavgift per år för flerbostadshus / Kärl 660 l (restavfall)</t>
  </si>
  <si>
    <t>Kärl 660 l (restavfall). Hämtning månadsvis</t>
  </si>
  <si>
    <t>Kärl 140 l (matavfall) Hämtning månadsvis</t>
  </si>
  <si>
    <t>Hämtningsavgift per år för flerbostadshus / Kärl 140 l (matavfall)</t>
  </si>
  <si>
    <t>Kärl 140 l (matavfall). Hämtning månadsvis</t>
  </si>
  <si>
    <t>Kärl 190 l (förpackningar) Hämtning varje vecka</t>
  </si>
  <si>
    <t>Hämtningsavgift per år för flerbostadshus / Kärl 190 l (förpackningar)</t>
  </si>
  <si>
    <t>Kärl 190 l (förpackningar). Hämtning varje vecka</t>
  </si>
  <si>
    <t>Kärl 190 l (förpackningar) Hämtning var 14:e dag</t>
  </si>
  <si>
    <t>Kärl 190 l (förpackningar). Hämtning var 14:e dag</t>
  </si>
  <si>
    <t>Kärl 190 l (förpackningar) Hämtning månadsvis</t>
  </si>
  <si>
    <t>Kärl 190 l (förpackningar). Hämtning månadsvis</t>
  </si>
  <si>
    <t>Kärl 370 l (förpackningar) Hämtning varje vecka</t>
  </si>
  <si>
    <t>Hämtningsavgift per år för flerbostadshus / Kärl 370 l (förpackningar)</t>
  </si>
  <si>
    <t>Kärl 370 l (förpackningar). Hämtning varje vecka</t>
  </si>
  <si>
    <t>Kärl 370 l (förpackningar) Hämtning var 14:e dag</t>
  </si>
  <si>
    <t>Kärl 370 l (förpackningar). Hämtning var 14:e dag</t>
  </si>
  <si>
    <t>Kärl 370 l (förpackningar) Hämtning månadsvis</t>
  </si>
  <si>
    <t>Kärl 370 l (förpackningar). Hämtning månadsvis</t>
  </si>
  <si>
    <t>Kärl 660 l (förpackningar) Hämtning varje vecka</t>
  </si>
  <si>
    <t>Hämtningsavgift per år för flerbostadshus / Kärl 660 l (förpackningar)</t>
  </si>
  <si>
    <t>Kärl 660 l (förpackningar). Hämtning varje vecka</t>
  </si>
  <si>
    <t>Kärl 660 l (förpackningar) Hämtning var 14:e dag</t>
  </si>
  <si>
    <t>Kärl 660 l (förpackningar). Hämtning var 14:e dag</t>
  </si>
  <si>
    <t>Kärl 660 l (förpackningar) Hämtning månadsvis</t>
  </si>
  <si>
    <t>Kärl 660 l (förpackningar). Hämtning månadsvis</t>
  </si>
  <si>
    <t>Kärl 190 l (tidningar och returpapper) Hämtning varje vecka</t>
  </si>
  <si>
    <t>Hämtningsavgift per år för flerbostadshus / Kärl 190 l (tidningar och returpapper)</t>
  </si>
  <si>
    <t>Kärl 190 l (tidningar och returpapper). Hämtning varje vecka</t>
  </si>
  <si>
    <t>Kärl 190 l (tidningar och returpapper) Hämtning var 14:e dag</t>
  </si>
  <si>
    <t>Kärl 190 l (tidningar och returpapper). Hämtning var 14:e dag</t>
  </si>
  <si>
    <t>Kärl 190 l (tidningar och returpapper) Hämtning månadsvis</t>
  </si>
  <si>
    <t>Kärl 190 l (tidningar och returpapper). Hämtning månadsvis</t>
  </si>
  <si>
    <t>Kärl 370 l (tidningar och returpapper) Hämtning varje vecka</t>
  </si>
  <si>
    <t>Hämtningsavgift per år för flerbostadshus / Kärl 370 l (tidningar och returpapper)</t>
  </si>
  <si>
    <t>Kärl 370 l (tidningar och returpapper). Hämtning varje vecka</t>
  </si>
  <si>
    <t>Kärl 370 l (tidningar och returpapper) Hämtning var 14:e dag</t>
  </si>
  <si>
    <t>Kärl 370 l (tidningar och returpapper). Hämtning var 14:e dag</t>
  </si>
  <si>
    <t>Kärl 370 l (tidningar och returpapper) Hämtning månadsvis</t>
  </si>
  <si>
    <t>Kärl 370 l (tidningar och returpapper). Hämtning månadsvis</t>
  </si>
  <si>
    <t>Bottentömmande behållare (mat-/restavfall, förpackningar) Avgift per tömning</t>
  </si>
  <si>
    <t>Kodförslag uppdaterat enligt regel: bottentömmande använder MB-prefix / gemensam uppsamlingsplats särskild funktionskod</t>
  </si>
  <si>
    <t>Hämtningsavgift per år för flerbostadshus / Bottentömmande behållare (mat-/restavfall, förpackningar)</t>
  </si>
  <si>
    <t>Bottentömmande behållare (mat-/restavfall, förpackningar). Avgift per tömning. Flerbostadshus</t>
  </si>
  <si>
    <t>Bottentömmande behållare (mat-/restavfall, förpackningar) Tillägg för två tömningar per vecka</t>
  </si>
  <si>
    <t>Bottentömmande behållare (mat-/restavfall, förpackningar). Tillägg för två tömningar per vecka. Flerbostadshus</t>
  </si>
  <si>
    <t>Gemensam uppsamlingsplats för mat-/restavfall, förpackningar Avgift per lägenhet</t>
  </si>
  <si>
    <t>Hämtningsavgift per år för flerbostadshus / Gemensam uppsamlingsplats för mat-/restavfall, förpackningar</t>
  </si>
  <si>
    <t>Gemensam uppsamlingsplats för mat-/restavfall och förpackningar. Avgift per lägenhet. Flerbostadshus</t>
  </si>
  <si>
    <t>Kärl 240 l (mat-/restavfall) Hämtning varje vecka</t>
  </si>
  <si>
    <t>Åtgärdad – FV-taxekod återanvänds efter godkännande</t>
  </si>
  <si>
    <t>EDP-träff via strTaxebenamning/strTaxedelAvser; FV = flerbostadshus eller verksamhet</t>
  </si>
  <si>
    <t>Hämtningsavgift per år för verksamheter / Kärl 240 l (mat-/restavfall)</t>
  </si>
  <si>
    <t>Kärl 240 l (mat-/restavfall) Hämtning var 14:e dag</t>
  </si>
  <si>
    <t>Kärl 370 l (restavfall) Hämtning varje vecka</t>
  </si>
  <si>
    <t>Hämtningsavgift per år för verksamheter / Kärl 370 l (restavfall)</t>
  </si>
  <si>
    <t>Kärl 370 l (restavfall) Hämtning var 14:e dag</t>
  </si>
  <si>
    <t>Kärl 660 l (restavfall) Hämtning varje vecka</t>
  </si>
  <si>
    <t>Hämtningsavgift per år för verksamheter / Kärl 660 l (restavfall)</t>
  </si>
  <si>
    <t>Kärl 660 l (restavfall) Hämtning var 14:e dag</t>
  </si>
  <si>
    <t>Kärl 140 l (matavfall) Hämtning varje vecka</t>
  </si>
  <si>
    <t>Hämtningsavgift per år för verksamheter / Kärl 140 l (matavfall)</t>
  </si>
  <si>
    <t>Kärl 140 l (matavfall) Hämtning var 14:e dag</t>
  </si>
  <si>
    <t>Bottentömmande behållare (mat-/restavfall) Avgift per tömning</t>
  </si>
  <si>
    <t>Kodförslag uppdaterat enligt regel: bottentömmande använder MB-prefix; lastväxlarflak använder LV-prefix</t>
  </si>
  <si>
    <t>Hämtningsavgift per år för verksamheter / Bottentömmande behållare (mat-/restavfall)</t>
  </si>
  <si>
    <t>Bottentömmande behållare (mat-/restavfall). Avgift per tömning. Verksamhet/Flerbostadshus</t>
  </si>
  <si>
    <t>Lastväxlarflak (restavfall) Avgift per tömning</t>
  </si>
  <si>
    <t>Hämtningsavgift per år för verksamheter / Lastväxlarflak (restavfall)</t>
  </si>
  <si>
    <t>Lastväxlarflak (restavfall). Avgift per tömning. Verksamhet/Flerbostadshus</t>
  </si>
  <si>
    <t>Bottentömmande behållare (mat-/restavfall) Tillägg för två tömningar per vecka</t>
  </si>
  <si>
    <t>Bottentömmande behållare (mat-/restavfall). Tillägg för två tömningar per vecka. Verksamhet/Flerbostadshus</t>
  </si>
  <si>
    <t>Kodförslag baserat på DH-regel: detaljhandel med beviljad hantering av kommunalt avfall</t>
  </si>
  <si>
    <t>Hämtningsavgift per år för verksamhet inom detaljhandeln med beviljad hantering av kommunalt avfall / Kärl 240 l (mat-/restavfall)</t>
  </si>
  <si>
    <t>Tvåfackskärl 240L, rest/matavfall. Varje vecka. Detaljhandel</t>
  </si>
  <si>
    <t>Tvåfackskärl 240L, rest/matavfall. Var 14:e dag. Detaljhandel</t>
  </si>
  <si>
    <t>Kärl 240 l (mat-/restavfall). Hämtning månadsvis. Detaljhandel</t>
  </si>
  <si>
    <t>Hämtningsavgift per år för verksamhet inom detaljhandeln med beviljad hantering av kommunalt avfall / Kärl 370 l (restavfall)</t>
  </si>
  <si>
    <t>Kärl 370L, restavfall. Varje vecka. Detaljhandel</t>
  </si>
  <si>
    <t>Kärl 370L, restavfall. Var 14:e dag. Detaljhandel</t>
  </si>
  <si>
    <t>Kärl 370 l (restavfall). Hämtning månadsvis. Detaljhandel</t>
  </si>
  <si>
    <t>Hämtningsavgift per år för verksamhet inom detaljhandeln med beviljad hantering av kommunalt avfall / Kärl 660 l (restavfall)</t>
  </si>
  <si>
    <t>Kärl 660L, restavfall. Varje vecka. Detaljhandel</t>
  </si>
  <si>
    <t>Kärl 660L, restavfall. Var 14:e dag. Detaljhandel</t>
  </si>
  <si>
    <t>Kärl 660 l (restavfall). Hämtning månadsvis. Detaljhandel</t>
  </si>
  <si>
    <t>Hämtningsavgift per år för verksamhet inom detaljhandeln med beviljad hantering av kommunalt avfall / Kärl 140 l (matavfall)</t>
  </si>
  <si>
    <t>Kärl 140L, matavfall. Varje vecka. Detaljhandel</t>
  </si>
  <si>
    <t>Kärl 140L, matavfall. Var 14:e dag. Detaljhandel</t>
  </si>
  <si>
    <t>Kärl 140 l (matavfall). Hämtning månadsvis. Detaljhandel</t>
  </si>
  <si>
    <t>Kodförslag uppdaterat enligt regel: detaljhandel använder DH-suffix och bottentömmande använder MB-prefix</t>
  </si>
  <si>
    <t>Hämtningsavgift per år för verksamhet inom detaljhandeln med beviljad hantering av kommunalt avfall / Bottentömmande behållare (mat-/restavfall)</t>
  </si>
  <si>
    <t>Bottentömmande/markbehållare (mat-/restavfall). Avgift per tömning. Detaljhandel</t>
  </si>
  <si>
    <t>Hämtningsavgift per år för verksamhet inom detaljhandeln med beviljad hantering av kommunalt avfall / Lastväxlarflak (restavfall)</t>
  </si>
  <si>
    <t>Lastväxlarflak (restavfall). Avgift per tömning. Detaljhandel</t>
  </si>
  <si>
    <t>Bottentömmande/markbehållare (mat-/restavfall). Tillägg för två tömningar per vecka. Detaljhandel</t>
  </si>
  <si>
    <t>Kärl 370 l (papper-/plastförpackningar) Kostnadsfritt</t>
  </si>
  <si>
    <t>Saknas i EDP – kostnadsfri rad från Word</t>
  </si>
  <si>
    <t>Kodförslag baserat på kostnadsfri rad i Word och FP-regel</t>
  </si>
  <si>
    <t>Hämtningsavgift per år för en- och tvåbostadshus / Kärl 370 l (papper-/plastförpackningar)</t>
  </si>
  <si>
    <t>Kärl 370 l (papper-/plastförpackningar). Kostnadsfritt</t>
  </si>
  <si>
    <t>Kodförslag baserat på kostnadsfri rad i Word, FP-regel och FRI-suffix</t>
  </si>
  <si>
    <t>Hämtningsavgift per år för fritidshus / Kärl 370 l (papper-/plastförpackningar)</t>
  </si>
  <si>
    <t>Kärl 370 l (papper-/plastförpackningar). Kostnadsfritt. Fritidshus</t>
  </si>
  <si>
    <t>Gemensam uppsamlingsplats för förpackningar Kostnadsfritt</t>
  </si>
  <si>
    <t>Kodförslag baserat på GEMUPP-regel och förpackningar</t>
  </si>
  <si>
    <t>Gemensam uppsamlingsplats inom hämtningsområde X / Gemensam uppsamlingsplats för förpackningar</t>
  </si>
  <si>
    <t>Gemensam uppsamlingsplats för förpackningar. Kostnadsfritt</t>
  </si>
  <si>
    <t>Kodförslag baserat på TI-regel: tidningar/returpapper, utökat till kontors-/returpapper enligt Word</t>
  </si>
  <si>
    <t>Verksamheter med beviljad hantering av förbrukat matfett, kontorspapper eller returpapper / Kärl 140 l (kontors-/returpapper)</t>
  </si>
  <si>
    <t>Kodförslag baserat på Wordtext: egen överlämning kontors-/returpapper</t>
  </si>
  <si>
    <t>Verksamheter med beviljad hantering av förbrukat matfett, kontorspapper eller returpapper / Egen överlämning av förbrukat kontors-/returpapper enligt anvisning</t>
  </si>
  <si>
    <t>Kodförslag baserat på Wordtext: egen överlämning förbrukat matfett</t>
  </si>
  <si>
    <t>Verksamheter med beviljad hantering av förbrukat matfett, kontorspapper eller returpapper / Egen överlämning av förbrukat matfett enligt anvisning</t>
  </si>
  <si>
    <t>Typ</t>
  </si>
  <si>
    <t>Föreslagen taxekod</t>
  </si>
  <si>
    <t>Status/Kommentar</t>
  </si>
  <si>
    <t>Struktur korrigerad</t>
  </si>
  <si>
    <t>Tidigare tom rad fylld enligt Word.</t>
  </si>
  <si>
    <t>Tidigare saknad/tom rad fylld enligt Word.</t>
  </si>
  <si>
    <t>Flyttad/fylld så ordning följer Word.</t>
  </si>
  <si>
    <t>Tidigare saknad rad fylld enligt Word.</t>
  </si>
  <si>
    <t>Taxa_Saknas</t>
  </si>
  <si>
    <t>BTMRFV</t>
  </si>
  <si>
    <t>BTMR2VFV</t>
  </si>
  <si>
    <t>GEMUPPMRFPFV</t>
  </si>
  <si>
    <t>Dublett/Osäker – befintlig EDP-träff används redan i Taxepunkter</t>
  </si>
  <si>
    <t>Uppdatering</t>
  </si>
  <si>
    <t>Taxekod</t>
  </si>
  <si>
    <t>FV återanvändning</t>
  </si>
  <si>
    <t>Kärl 240 l (mat-/restavfall) / Hämtning varje vecka</t>
  </si>
  <si>
    <t>Taxekod ifylld</t>
  </si>
  <si>
    <t>FV = flerbostadshus eller verksamhet, EDP-träff bekräftad</t>
  </si>
  <si>
    <t>OK</t>
  </si>
  <si>
    <t>Kärl 240 l (mat-/restavfall) / Hämtning var 14:e dag</t>
  </si>
  <si>
    <t>Kärl 370 l (restavfall) / Hämtning varje vecka</t>
  </si>
  <si>
    <t>Kärl 370 l (restavfall) / Hämtning var 14:e dag</t>
  </si>
  <si>
    <t>Kärl 660 l (restavfall) / Hämtning varje vecka</t>
  </si>
  <si>
    <t>Kärl 660 l (restavfall) / Hämtning var 14:e dag</t>
  </si>
  <si>
    <t>Kärl 140 l (matavfall) / Hämtning varje vecka</t>
  </si>
  <si>
    <t>Kärl 140 l (matavfall) / Hämtning var 14:e dag</t>
  </si>
  <si>
    <t>Tolkning</t>
  </si>
  <si>
    <t>Taxa_från_edp</t>
  </si>
  <si>
    <t>Taxekoder och strFaktor</t>
  </si>
  <si>
    <t>Ny flik skapad</t>
  </si>
  <si>
    <t>Taxekod_Tolkning</t>
  </si>
  <si>
    <t>Tolkningar baserade på strTaxebenamning, strTaxedelAvser och strFaktor</t>
  </si>
  <si>
    <t>Korrigering</t>
  </si>
  <si>
    <t>Kodtolkning</t>
  </si>
  <si>
    <t>Tidigare misstanke borttagen</t>
  </si>
  <si>
    <t>Ingen rad hittad där MB3600RE26 anger matavfall i strTaxedelAvser. Tidigare notering var feltolkning.</t>
  </si>
  <si>
    <t>Rad/område</t>
  </si>
  <si>
    <t>Taxekod/Förslag</t>
  </si>
  <si>
    <t>Ny kolumn</t>
  </si>
  <si>
    <t>Taxepunkter</t>
  </si>
  <si>
    <t>Efter Taxakod</t>
  </si>
  <si>
    <t>Kolumn tillagd</t>
  </si>
  <si>
    <t>Formelstyrd</t>
  </si>
  <si>
    <t>Visar Taxakod om bekräftad, annars FöreslagenTaxekod från Taxa_Saknas baserat på intRecnum/radnummer.</t>
  </si>
  <si>
    <t>DH-regel</t>
  </si>
  <si>
    <t>86:100</t>
  </si>
  <si>
    <t>Detaljhandel</t>
  </si>
  <si>
    <t>FV-förslag ersatta med DH-förslag</t>
  </si>
  <si>
    <t>DH</t>
  </si>
  <si>
    <t>Taxakod lämnas tom i Taxepunkter; Föreslagen Taxa hämtar DH från Taxa_Saknas.</t>
  </si>
  <si>
    <t>Område</t>
  </si>
  <si>
    <t>Dokumentation</t>
  </si>
  <si>
    <t>Arbetsbok</t>
  </si>
  <si>
    <t>Nya flikar</t>
  </si>
  <si>
    <t>Självdokumentation</t>
  </si>
  <si>
    <t>Projektregler, arbetsflöde, källdokument, prompt, status och Taxepunkter-dokumentation skapad</t>
  </si>
  <si>
    <t>Masterfilen är förberedd för framtida ny import.</t>
  </si>
  <si>
    <t>Efter Aktuellt pris</t>
  </si>
  <si>
    <t>Kolumn införd</t>
  </si>
  <si>
    <t>Aktuellt pris är fortsatt EDP-källa; Föreslaget pris är arbetspris.</t>
  </si>
  <si>
    <t>Kostnadsfri rad</t>
  </si>
  <si>
    <t>Rad tillagd</t>
  </si>
  <si>
    <t>Saknas i EDP, ligger i Taxa_Saknas.</t>
  </si>
  <si>
    <t>Master v2.0 Rev1</t>
  </si>
  <si>
    <t>Samtliga centrala flikar</t>
  </si>
  <si>
    <t>Visuell standard</t>
  </si>
  <si>
    <t>Färgstandard tillämpad</t>
  </si>
  <si>
    <t>Färgstandard, dokumentation och Revision_Etapp1 skapad.</t>
  </si>
  <si>
    <t>Taxa_Saknas/Taxa_från_edp</t>
  </si>
  <si>
    <t>Dokumentation skapad</t>
  </si>
  <si>
    <t>Formler, beroenden och källflikar dokumenterade.</t>
  </si>
  <si>
    <t>Formelrevision</t>
  </si>
  <si>
    <t>G/H/I/J/M/N</t>
  </si>
  <si>
    <t>Formelkolumner</t>
  </si>
  <si>
    <t>Formler återställda/standardiserade</t>
  </si>
  <si>
    <t>Samma formeltyp nedåt i arbetsområdet.</t>
  </si>
  <si>
    <t>Datavalidering</t>
  </si>
  <si>
    <t>F7:F370</t>
  </si>
  <si>
    <t>Dropdown tillagd</t>
  </si>
  <si>
    <t>Lista pekar på Taxa_från_edp!B2:B371.</t>
  </si>
  <si>
    <t>Automationsmall</t>
  </si>
  <si>
    <t>72:200</t>
  </si>
  <si>
    <t>Nya saknade taxor</t>
  </si>
  <si>
    <t>Mall skapad</t>
  </si>
  <si>
    <t>Fyll C och G, övriga kolumner fylls med formler.</t>
  </si>
  <si>
    <t>Border-standard</t>
  </si>
  <si>
    <t>Hela arbetsboken</t>
  </si>
  <si>
    <t>Använda områden</t>
  </si>
  <si>
    <t>Outside borders</t>
  </si>
  <si>
    <t>Standardiserad</t>
  </si>
  <si>
    <t>Alla centrala tabellområden har tunn grå outside border. Rubriker har mörkare outside border.</t>
  </si>
  <si>
    <t>Full border-standard</t>
  </si>
  <si>
    <t>Centrala tabellområden</t>
  </si>
  <si>
    <t>Inside + outside borders</t>
  </si>
  <si>
    <t>Alla celler i tabellområden har ljusgrå rutnät och tabellerna har mörkare ytterkant.</t>
  </si>
  <si>
    <t>Word-kontroll</t>
  </si>
  <si>
    <t>40:69</t>
  </si>
  <si>
    <t>Flerbostadshus</t>
  </si>
  <si>
    <t>Kontrollerad mot Word</t>
  </si>
  <si>
    <t>30 taxerader enligt Word finns i Taxepunkter: 27 matrisrader + 3 specialrader.</t>
  </si>
  <si>
    <t>EDP-match</t>
  </si>
  <si>
    <t>40,41,43,44,46,47,49,50</t>
  </si>
  <si>
    <t>KÄ 240/370/660/140</t>
  </si>
  <si>
    <t>Befintliga EDP-taxor behållna</t>
  </si>
  <si>
    <t>KÄ*FV</t>
  </si>
  <si>
    <t>Exakta strTaxekod finns i Taxa_från_edp.</t>
  </si>
  <si>
    <t>Saknas</t>
  </si>
  <si>
    <t>42,45,48,51:66</t>
  </si>
  <si>
    <t>Månadsvis + förpackningar + tidningar</t>
  </si>
  <si>
    <t>Taxakod lämnas tom</t>
  </si>
  <si>
    <t>Ligger i Taxa_Saknas med föreslagen taxekod.</t>
  </si>
  <si>
    <t>Kodregel</t>
  </si>
  <si>
    <t>67:68</t>
  </si>
  <si>
    <t>Förslag uppdaterat</t>
  </si>
  <si>
    <t>MBRMFPFV / MBRMFP2VFV</t>
  </si>
  <si>
    <t>BTMR ersatt av MB-prefix enligt bekräftad regel.</t>
  </si>
  <si>
    <t>69</t>
  </si>
  <si>
    <t>Gemensam uppsamlingsplats per lägenhet</t>
  </si>
  <si>
    <t>Ingen exakt EDP-match för mat-/restavfall + förpackningar per lägenhet.</t>
  </si>
  <si>
    <t>72:86</t>
  </si>
  <si>
    <t>15 taxerader enligt Word finns i Taxepunkter: 12 kärlrader + 3 specialrader.</t>
  </si>
  <si>
    <t>72,73,75,76,78,79,81,82</t>
  </si>
  <si>
    <t>FV = flerbostadshus eller verksamhet enligt bekräftad regel.</t>
  </si>
  <si>
    <t>74,77,80,83</t>
  </si>
  <si>
    <t>Månadsvis</t>
  </si>
  <si>
    <t>KÄ*12FV</t>
  </si>
  <si>
    <t>Saknas som exakt EDP-taxekod och ligger i Taxa_Saknas.</t>
  </si>
  <si>
    <t>84,86</t>
  </si>
  <si>
    <t>MBRMFV / MBRM2VFV</t>
  </si>
  <si>
    <t>BTMR ersatt med MB-prefix enligt bekräftad regel.</t>
  </si>
  <si>
    <t>85</t>
  </si>
  <si>
    <t>Lastväxlarflak</t>
  </si>
  <si>
    <t>Förslag kontrollerat</t>
  </si>
  <si>
    <t>LV-prefix behålls som föreslagen taxa; ingen exakt EDP-match hittad.</t>
  </si>
  <si>
    <t>89:103</t>
  </si>
  <si>
    <t>EDP-kontroll</t>
  </si>
  <si>
    <t>Inga exakta DH-taxekoder i Taxa_från_edp</t>
  </si>
  <si>
    <t>Taxakod lämnas tom och Föreslagen Taxa hämtas från Taxa_Saknas.</t>
  </si>
  <si>
    <t>89:100</t>
  </si>
  <si>
    <t>DH-suffix används</t>
  </si>
  <si>
    <t>KÄ*DH</t>
  </si>
  <si>
    <t>Detaljhandel är egen kategori och ska inte använda FV.</t>
  </si>
  <si>
    <t>101,103</t>
  </si>
  <si>
    <t>MBRMDH / MBRM2VDH</t>
  </si>
  <si>
    <t>102</t>
  </si>
  <si>
    <t>LV-prefix används för lastväxlarflak restavfall detaljhandel.</t>
  </si>
  <si>
    <t>106:108</t>
  </si>
  <si>
    <t>Förbrukat matfett, kontorspapper eller returpapper</t>
  </si>
  <si>
    <t>3 taxerader enligt Word finns nu i Taxepunkter.</t>
  </si>
  <si>
    <t>Komplettering</t>
  </si>
  <si>
    <t>107</t>
  </si>
  <si>
    <t>Egen överlämning kontors-/returpapper</t>
  </si>
  <si>
    <t>Rad tillagd/fylld i Taxepunkter</t>
  </si>
  <si>
    <t>Raden fanns i Word men saknades som taxerad i Taxepunkter.</t>
  </si>
  <si>
    <t>Samtliga</t>
  </si>
  <si>
    <t>Ingen exakt EDP-träff</t>
  </si>
  <si>
    <t>106</t>
  </si>
  <si>
    <t>Kärl 140 l kontors-/returpapper</t>
  </si>
  <si>
    <t>Förslag skapat</t>
  </si>
  <si>
    <t>TI används som bekräftad koddel för tidningar/returpapper.</t>
  </si>
  <si>
    <t>107:108</t>
  </si>
  <si>
    <t>Egen överlämning</t>
  </si>
  <si>
    <t>EGENKONTRET / EGENMATFETT</t>
  </si>
  <si>
    <t>Funktionskoder skapade utifrån Wordtext.</t>
  </si>
  <si>
    <t>Koddel</t>
  </si>
  <si>
    <t>Betydelse</t>
  </si>
  <si>
    <t>Exempel</t>
  </si>
  <si>
    <t>Första förekomst</t>
  </si>
  <si>
    <t>Källa</t>
  </si>
  <si>
    <t>KÄ</t>
  </si>
  <si>
    <t>Prefix</t>
  </si>
  <si>
    <t>Taxa_från_edp rad 234 / strTaxekod KÄ240RM26</t>
  </si>
  <si>
    <t>strTaxekod + strTaxebenamning</t>
  </si>
  <si>
    <t>Bekräftad</t>
  </si>
  <si>
    <t>MB</t>
  </si>
  <si>
    <t>Markbehållare eller underjordsbehållare</t>
  </si>
  <si>
    <t>Taxa_från_edp rad 211 / 271</t>
  </si>
  <si>
    <t>strTaxebenamning + användarbekräftelse</t>
  </si>
  <si>
    <t>Kan omfatta både mark- och underjordsbehållare.</t>
  </si>
  <si>
    <t>BTMR</t>
  </si>
  <si>
    <t>Kodstruktur</t>
  </si>
  <si>
    <t>Bottentömmande behållare, mat-/restavfall</t>
  </si>
  <si>
    <t>Taxa_Saknas / föreslagen struktur</t>
  </si>
  <si>
    <t>Användarbekräftelse</t>
  </si>
  <si>
    <t>Används för nya föreslagna taxor när EDP-träff saknas.</t>
  </si>
  <si>
    <t>LVRE</t>
  </si>
  <si>
    <t>Lastväxlarflak, restavfall</t>
  </si>
  <si>
    <t>RM</t>
  </si>
  <si>
    <t>Avfallsslag</t>
  </si>
  <si>
    <t>Rest-/matavfall</t>
  </si>
  <si>
    <t>strTaxebenamning: rest/matavfall</t>
  </si>
  <si>
    <t>RK</t>
  </si>
  <si>
    <t>Restavfall/kompost</t>
  </si>
  <si>
    <t>Taxa_från_edp rad 232 / strTaxekod KÄ240RK26</t>
  </si>
  <si>
    <t>strTaxebenamning: restavfall/kompost</t>
  </si>
  <si>
    <t>RE</t>
  </si>
  <si>
    <t>Restavfall</t>
  </si>
  <si>
    <t>Taxa_från_edp rad 242 / strTaxekod KÄ370RE26FV</t>
  </si>
  <si>
    <t>strTaxebenamning + strTaxedelAvser</t>
  </si>
  <si>
    <t>MA</t>
  </si>
  <si>
    <t>Matavfall</t>
  </si>
  <si>
    <t>Taxa_från_edp rad 221 / strTaxekod KÄ140MA52FV</t>
  </si>
  <si>
    <t>TI</t>
  </si>
  <si>
    <t>Tidningar/returpapper</t>
  </si>
  <si>
    <t>Används där EDP-träff saknas för tidningar/returpapper.</t>
  </si>
  <si>
    <t>FP</t>
  </si>
  <si>
    <t>Förpackningar</t>
  </si>
  <si>
    <t>Används där EDP-träff saknas för förpackningar.</t>
  </si>
  <si>
    <t>XRM</t>
  </si>
  <si>
    <t>Avfallsslag/kärltyp</t>
  </si>
  <si>
    <t>Extrakärl rest-/matavfall</t>
  </si>
  <si>
    <t>Taxa_från_edp rad 226 / strTaxekod KÄ190XRM26</t>
  </si>
  <si>
    <t>strTaxebenamning: extrakärl, rest/matavfall</t>
  </si>
  <si>
    <t>140</t>
  </si>
  <si>
    <t>Volym</t>
  </si>
  <si>
    <t>140 liter</t>
  </si>
  <si>
    <t>Taxa_från_edp rad 216 / strTaxekod KÄ140MA26FV</t>
  </si>
  <si>
    <t>190</t>
  </si>
  <si>
    <t>190 liter / 120–190 liter för extrakärl</t>
  </si>
  <si>
    <t>240</t>
  </si>
  <si>
    <t>240 liter</t>
  </si>
  <si>
    <t>370</t>
  </si>
  <si>
    <t>370 liter</t>
  </si>
  <si>
    <t>660</t>
  </si>
  <si>
    <t>660 liter</t>
  </si>
  <si>
    <t>Taxa_från_edp rad 254 / strTaxekod KÄ660RE26FV</t>
  </si>
  <si>
    <t>26</t>
  </si>
  <si>
    <t>Frekvens</t>
  </si>
  <si>
    <t>Var 14:e dag / 26 tömningar per år</t>
  </si>
  <si>
    <t>52</t>
  </si>
  <si>
    <t>Varje vecka / 52 tömningar per år</t>
  </si>
  <si>
    <t>Taxa_från_edp rad 31 / strTaxekod KÄ240RM52FV</t>
  </si>
  <si>
    <t>Månadsvis / 12 tömningar per år</t>
  </si>
  <si>
    <t>Härledd från kodmönster och Word</t>
  </si>
  <si>
    <t>Härledd</t>
  </si>
  <si>
    <t>Finns inte som säker EDP-träff i genomgången hittills.</t>
  </si>
  <si>
    <t>FRI</t>
  </si>
  <si>
    <t>Suffix</t>
  </si>
  <si>
    <t>Taxa_från_edp rad 236 / strTaxekod KÄ240RM26FRI</t>
  </si>
  <si>
    <t>FV</t>
  </si>
  <si>
    <t>Flerbostadshus eller verksamhet</t>
  </si>
  <si>
    <t>Taxa_från_edp rad 259 / strTaxekod KÄ660RE52FV</t>
  </si>
  <si>
    <t>strTaxebenamning: FLB/VHT + användarbekräftelse</t>
  </si>
  <si>
    <t>Samma FV-taxekod kan användas både för flerbostadshus och verksamhet om övriga villkor stämmer.</t>
  </si>
  <si>
    <t>FLB</t>
  </si>
  <si>
    <t>Förkortning i benämning</t>
  </si>
  <si>
    <t>FLB/VHT</t>
  </si>
  <si>
    <t>Taxa_från_edp, flera rader</t>
  </si>
  <si>
    <t>Förekommer i strTaxebenamning, inte nödvändigtvis som egen koddel.</t>
  </si>
  <si>
    <t>VHT</t>
  </si>
  <si>
    <t>SL</t>
  </si>
  <si>
    <t>Prefix/kategori</t>
  </si>
  <si>
    <t>Slam</t>
  </si>
  <si>
    <t>Taxa_från_edp rad 133 / strTaxekod SLBUDFOS</t>
  </si>
  <si>
    <t>strDelProdukt + strTaxebenamning</t>
  </si>
  <si>
    <t>Kategori</t>
  </si>
  <si>
    <t>Återvinningscentral</t>
  </si>
  <si>
    <t>Taxa_från_edp rad 66 / strDelProdukt ÅVC</t>
  </si>
  <si>
    <t>TÖM</t>
  </si>
  <si>
    <t>Tömning</t>
  </si>
  <si>
    <t>Taxa_från_edp rad 211 / strTaxekod MB3200TÖM</t>
  </si>
  <si>
    <t>Kvantitet</t>
  </si>
  <si>
    <t>Taxa_från_edp rad 2</t>
  </si>
  <si>
    <t>kvantitetskoder + strFaktor</t>
  </si>
  <si>
    <t>Årskvantitet</t>
  </si>
  <si>
    <t>Taxa_från_edp rad 216</t>
  </si>
  <si>
    <t>Årspris</t>
  </si>
  <si>
    <t>Taxa_från_edp VA-rader</t>
  </si>
  <si>
    <t>Förbrukning</t>
  </si>
  <si>
    <t>Uppskattad förbrukning</t>
  </si>
  <si>
    <t>Antal behållare</t>
  </si>
  <si>
    <t>Taxa_från_edp, kärlrader</t>
  </si>
  <si>
    <t>kvantitetskoder + strFormel</t>
  </si>
  <si>
    <t>Övriga antal / antal tillfällen</t>
  </si>
  <si>
    <t>Taxa_från_edp, t.ex. FELSORT</t>
  </si>
  <si>
    <t>Fast avgift</t>
  </si>
  <si>
    <t>Taxa_från_edp rad 215 GEMUPPFRI</t>
  </si>
  <si>
    <t>Lägenheter</t>
  </si>
  <si>
    <t>Vikt i kilo</t>
  </si>
  <si>
    <t>Taxa_från_edp flera viktavgifter</t>
  </si>
  <si>
    <t>Dragväg 1,5–10 meter</t>
  </si>
  <si>
    <t>Taxa_från_edp kärlrader</t>
  </si>
  <si>
    <t>strTaxedelAvser + strFormel</t>
  </si>
  <si>
    <t>Dragväg 10,1–20 meter</t>
  </si>
  <si>
    <t>Kubikmeter övrigt</t>
  </si>
  <si>
    <t>Taxa_från_edp ÅVC-rader</t>
  </si>
  <si>
    <t>Kubikmeter slam</t>
  </si>
  <si>
    <t>Taxa_från_edp slamrader</t>
  </si>
  <si>
    <t>Detaljhandel med beviljad hantering av kommunalt avfall</t>
  </si>
  <si>
    <t>Används för §2.2.6. Ska inte använda FV eftersom detaljhandel inte räknas som vanlig verksamhet/flerbostad i denna taxa.</t>
  </si>
  <si>
    <t>Föreslagen kodstruktur</t>
  </si>
  <si>
    <t>Bottentömmande/markbehållare för mat-/restavfall och förpackningar, flerbostad/verksamhet</t>
  </si>
  <si>
    <t>Taxa_Saknas §2.2.4</t>
  </si>
  <si>
    <t>Projektregel MB + Word</t>
  </si>
  <si>
    <t>Föreslagen</t>
  </si>
  <si>
    <t>Ersätter tidigare BTMR-struktur.</t>
  </si>
  <si>
    <t>Tillägg för två tömningar per vecka för bottentömmande/markbehållare, flerbostad/verksamhet</t>
  </si>
  <si>
    <t>Föreslagen funktionskod</t>
  </si>
  <si>
    <t>Gemensam uppsamlingsplats för mat-/restavfall och förpackningar per lägenhet, flerbostadshus</t>
  </si>
  <si>
    <t>Word + jämförelse med GEMUPPFÖRPFLB</t>
  </si>
  <si>
    <t>Befintlig GEMUPPFÖRPFLB avser endast förpackning enligt EDP, därför används inte som bekräftad taxekod.</t>
  </si>
  <si>
    <t>Bottentömmande/markbehållare för mat-/restavfall, flerbostad/verksamhet</t>
  </si>
  <si>
    <t>Taxa_Saknas §2.2.5</t>
  </si>
  <si>
    <t>Lastväxlarflak restavfall, flerbostad/verksamhet</t>
  </si>
  <si>
    <t>Projektregel LV + Word</t>
  </si>
  <si>
    <t>Projektregel</t>
  </si>
  <si>
    <t>Ska inte behandlas som FV.</t>
  </si>
  <si>
    <t>Bottentömmande/markbehållare för mat-/restavfall, detaljhandel</t>
  </si>
  <si>
    <t>Taxa_Saknas §2.2.6</t>
  </si>
  <si>
    <t>Projektregel MB + DH</t>
  </si>
  <si>
    <t>Ersätter tidigare BTMRDH.</t>
  </si>
  <si>
    <t>Tillägg två tömningar per vecka för bottentömmande/markbehållare, detaljhandel</t>
  </si>
  <si>
    <t>Ersätter tidigare BTMR2VDH.</t>
  </si>
  <si>
    <t>Kärl 140 l för kontors-/returpapper</t>
  </si>
  <si>
    <t>Taxa_Saknas §2.2.7</t>
  </si>
  <si>
    <t>Word + TI-regel</t>
  </si>
  <si>
    <t>TI är sedan tidigare bekräftat för tidningar/returpapper.</t>
  </si>
  <si>
    <t>Word</t>
  </si>
  <si>
    <t>KONTRET</t>
  </si>
  <si>
    <t>Avfallsslag/funktionsdel</t>
  </si>
  <si>
    <t>Kontors-/returpapper</t>
  </si>
  <si>
    <t>Prislista ASN – kärltömning och kärlhyra</t>
  </si>
  <si>
    <t>Avser marknadstjänster och/eller kommunens andrahandsansvar. Tjänsten ska särredovisas och inte belasta avfallstaxan eller taxekollektivet.</t>
  </si>
  <si>
    <t>Beräkningsgrund</t>
  </si>
  <si>
    <t>Full självkostnad med intern ersättning till taxekollektivet</t>
  </si>
  <si>
    <t>Moms</t>
  </si>
  <si>
    <t>Ändra moms här</t>
  </si>
  <si>
    <t>Post</t>
  </si>
  <si>
    <t>Exkl. moms</t>
  </si>
  <si>
    <t>Inkl. moms</t>
  </si>
  <si>
    <t>Intern kalkyltimme sopbil inkl. chaufför och OH</t>
  </si>
  <si>
    <t>Kärltömning 140–240 liter, ordinarie tur/intervall</t>
  </si>
  <si>
    <t>Kärltömning 370 liter, ordinarie tur/intervall</t>
  </si>
  <si>
    <t>Kärltömning 660 liter, ordinarie tur/intervall</t>
  </si>
  <si>
    <t>Extra/avvikande tömning utanför planerad rutt</t>
  </si>
  <si>
    <t>Kärlhyra 140 liter</t>
  </si>
  <si>
    <t>Kärlhyra 190 liter</t>
  </si>
  <si>
    <t>Kärlhyra 240 liter</t>
  </si>
  <si>
    <t>Kärlhyra 370 liter</t>
  </si>
  <si>
    <t>Kärlhyra 660 liter</t>
  </si>
  <si>
    <t>Utkörning/utställning av kärl 140–240</t>
  </si>
  <si>
    <t>Utkörning/utställning av kärl 370–660</t>
  </si>
  <si>
    <t>Byte av kärlstorlek på kundens begäran</t>
  </si>
  <si>
    <t>Hemtagning/avslut av kärl</t>
  </si>
  <si>
    <t>ABP</t>
  </si>
  <si>
    <t>Debiteras separat enligt faktisk kostnad</t>
  </si>
  <si>
    <t>Regel</t>
  </si>
  <si>
    <t>DH-priser är unika för detaljhandel och får inte användas i beräkningsmodeller för andra taxor.</t>
  </si>
  <si>
    <t>Prislista DH.xlsx</t>
  </si>
  <si>
    <t>Kod</t>
  </si>
  <si>
    <t>Källa/kommentar</t>
  </si>
  <si>
    <t>Användarens fil/uppgift + Taxa_från_edp strFaktor</t>
  </si>
  <si>
    <t>Kvantitetskoder + Taxa_från_edp strFaktor</t>
  </si>
  <si>
    <t>Användarens uppgift + Taxa_från_edp strFaktor</t>
  </si>
  <si>
    <t>Taxa_från_edp strFormel</t>
  </si>
  <si>
    <t>Taxa_från_edp strFormel/strTaxedelAvser</t>
  </si>
  <si>
    <t>Avfallstaxa – självdokumenterande masterfil</t>
  </si>
  <si>
    <t>Syfte</t>
  </si>
  <si>
    <t>Bygga och kvalitetssäkra Taxepunkter från Word, EDP och kompletterande prislistor.</t>
  </si>
  <si>
    <t>Fas 1</t>
  </si>
  <si>
    <t>Word → Excel: pågår. Word styr struktur, Taxepunkter byggs successivt, Taxa_Saknas byggs successivt.</t>
  </si>
  <si>
    <t>Fas 2</t>
  </si>
  <si>
    <t>Excel → Word: ej påbörjad. Ska hanteras separat senare. Regler för Fas 1 får inte blandas med Fas 2.</t>
  </si>
  <si>
    <t>Taxepunkter är under uppbyggnad. Arbetet är genomfört till och med §2.2.6 med kända justeringar.</t>
  </si>
  <si>
    <t>Viktig princip</t>
  </si>
  <si>
    <t>Arbetsboken ska kunna återanvändas med ny Taxa_från_edp från annat verksamhetssystem genom att läsa regler, källdokument, lexikon och beslutslogg.</t>
  </si>
  <si>
    <t>ID</t>
  </si>
  <si>
    <t>Beskrivning</t>
  </si>
  <si>
    <t>R001</t>
  </si>
  <si>
    <t>Fasindelning</t>
  </si>
  <si>
    <t>Projektet består av två separata faser: Fas 1 Word → Excel och Fas 2 Excel → Word. De får inte blandas.</t>
  </si>
  <si>
    <t>R002</t>
  </si>
  <si>
    <t>Word styr struktur i Fas 1</t>
  </si>
  <si>
    <t>Alla taxepunkter, rader och kostnadsfria tjänster som finns i Word ska finnas i Taxepunkter.</t>
  </si>
  <si>
    <t>R003</t>
  </si>
  <si>
    <t>Taxepunkter byggs successivt</t>
  </si>
  <si>
    <t>Taxepunkter är en arbetsflik under uppbyggnad och får inte ersättas med importdata.</t>
  </si>
  <si>
    <t>R004</t>
  </si>
  <si>
    <t>Kolumn Taxakod innehåller endast bekräftad exakt strTaxekod från Taxa_från_edp.</t>
  </si>
  <si>
    <t>R005</t>
  </si>
  <si>
    <t>Ingen påhittad Taxakod</t>
  </si>
  <si>
    <t>Om match finns i Taxa_från_edp används exakt strTaxekod. Hitta inte på egen kod om EDP-kod finns.</t>
  </si>
  <si>
    <t>R006</t>
  </si>
  <si>
    <t>Visar Taxakod om den är bekräftad, annars föreslagen taxa från Taxa_Saknas.</t>
  </si>
  <si>
    <t>R007</t>
  </si>
  <si>
    <t>Aktuellt pris</t>
  </si>
  <si>
    <t>Aktuellt pris (exkl moms) hämtas alltid från Taxa_från_edp och får aldrig redigeras manuellt.</t>
  </si>
  <si>
    <t>R008</t>
  </si>
  <si>
    <t>Får fyllas manuellt/beräknas som arbetspris när Aktuellt pris saknas. Detta är inte EDP-pris.</t>
  </si>
  <si>
    <t>R009</t>
  </si>
  <si>
    <t>DH-priser</t>
  </si>
  <si>
    <t>Prislista DH används endast för detaljhandel och får aldrig användas för beräkningsmodeller för andra taxor.</t>
  </si>
  <si>
    <t>R010</t>
  </si>
  <si>
    <t>Innehåller saknade eller föreslagna taxor med samma EDP-kolumner som Taxa_från_edp samt arbetskolumner.</t>
  </si>
  <si>
    <t>R011</t>
  </si>
  <si>
    <t>intRecnum i Taxa_Saknas</t>
  </si>
  <si>
    <t>intRecnum = radnummer i Taxepunkter för felsökning, inte EDP:s original-ID.</t>
  </si>
  <si>
    <t>R012</t>
  </si>
  <si>
    <t>Taxepunkt i Taxa_Saknas</t>
  </si>
  <si>
    <t>Taxepunkt = Paragrafnamn / Taxapunkt.</t>
  </si>
  <si>
    <t>R013</t>
  </si>
  <si>
    <t>Matchningsordning</t>
  </si>
  <si>
    <t>Sök först strTaxekod, sedan strTaxebenamning, strTaxedelAvser och strFaktor/strFormel.</t>
  </si>
  <si>
    <t>R014</t>
  </si>
  <si>
    <t>FV betyder flerbostadshus eller verksamhet och kan återanvändas om övriga villkor stämmer.</t>
  </si>
  <si>
    <t>R015</t>
  </si>
  <si>
    <t>DH betyder detaljhandel med beviljad hantering av kommunalt avfall. §2.2.6 använder DH, inte FV.</t>
  </si>
  <si>
    <t>R016</t>
  </si>
  <si>
    <t>MB används för markbehållare eller underjordsbehållare och ska användas som prefix för bottentömmande behållare.</t>
  </si>
  <si>
    <t>R017</t>
  </si>
  <si>
    <t>LV</t>
  </si>
  <si>
    <t>LV används för lastväxlarflak.</t>
  </si>
  <si>
    <t>R018</t>
  </si>
  <si>
    <t>GEMUPP</t>
  </si>
  <si>
    <t>GEMUPP används för gemensam uppsamlingsplats.</t>
  </si>
  <si>
    <t>R019</t>
  </si>
  <si>
    <t>FOB</t>
  </si>
  <si>
    <t>FOB används för fysisk nyckel/fob.</t>
  </si>
  <si>
    <t>R020</t>
  </si>
  <si>
    <t>Kostnadsfria rader</t>
  </si>
  <si>
    <t>Kostnadsfri rad ska finnas i Taxepunkter, men pris ska fortfarande hämtas från Taxa_från_edp om bekräftad taxekod finns.</t>
  </si>
  <si>
    <t>R021</t>
  </si>
  <si>
    <t>Kostnadsfria rader i Taxepunkter</t>
  </si>
  <si>
    <t>Rader som i Word anges som kostnadsfria ska finnas i Taxepunkter med Variant = Kostnadsfritt. Aktuellt pris får ändå inte fyllas manuellt.</t>
  </si>
  <si>
    <t>R022</t>
  </si>
  <si>
    <t>Kostnadsfria rader i Taxa_Saknas</t>
  </si>
  <si>
    <t>Om kostnadsfri tjänst saknar bekräftad EDP-taxa ska den läggas i Taxa_Saknas med föreslagen taxekod och utan manuellt Aktuellt pris.</t>
  </si>
  <si>
    <t>R023</t>
  </si>
  <si>
    <t>Underrubriker i Taxepunkter</t>
  </si>
  <si>
    <t>Rader där kolumn A innehåller paragraf + rubriktext och B:E är tomma ska behandlas som underrubriker. De ska vara sammanslagna över A:E och enfärgade.</t>
  </si>
  <si>
    <t>R024</t>
  </si>
  <si>
    <t>Vanliga taxerader i Taxepunkter</t>
  </si>
  <si>
    <t>Rader där A:E innehåller uppdelad information, t.ex. Paragraf, Paragrafnamn, Taxapunkt, Variant och Enhet, ska inte vara sammanslagna och A:E ska ha vit bakgrund.</t>
  </si>
  <si>
    <t>Steg</t>
  </si>
  <si>
    <t>Arbetsmoment</t>
  </si>
  <si>
    <t>Läs Projektöversikt</t>
  </si>
  <si>
    <t>Identifiera om arbetet gäller Fas 1 Word→Excel eller Fas 2 Excel→Word.</t>
  </si>
  <si>
    <t>Läs Projektregler</t>
  </si>
  <si>
    <t>Följ reglerna innan några ändringar görs.</t>
  </si>
  <si>
    <t>Läs Källdokument</t>
  </si>
  <si>
    <t>Kontrollera vilka importflikar och externa filer som krävs.</t>
  </si>
  <si>
    <t>Läs Taxekod_Tolkning</t>
  </si>
  <si>
    <t>Använd lexikonet för prefix, suffix, koddelar, strFaktor och strFormel.</t>
  </si>
  <si>
    <t>Importera/ersätt Taxa_från_edp</t>
  </si>
  <si>
    <t>Om ny EDP-export används ska endast importfliken bytas, inte arbetsflikarna.</t>
  </si>
  <si>
    <t>Kontrollera Word mot Taxepunkter</t>
  </si>
  <si>
    <t>Lägg till saknade rader från Word, inklusive kostnadsfria rader.</t>
  </si>
  <si>
    <t>Matcha mot Taxa_från_edp</t>
  </si>
  <si>
    <t>Använd matchningsordningen strTaxekod → strTaxebenamning → strTaxedelAvser → strFaktor.</t>
  </si>
  <si>
    <t>Uppdatera Taxa_Saknas</t>
  </si>
  <si>
    <t>Alla saknade/osäkra taxor ska dokumenteras med intRecnum = Taxepunkter-rad.</t>
  </si>
  <si>
    <t>Uppdatera Föreslagen Taxa</t>
  </si>
  <si>
    <t>Kolumnen hämtar bekräftad Taxakod eller förslag från Taxa_Saknas.</t>
  </si>
  <si>
    <t>Fyll Föreslaget pris vid behov</t>
  </si>
  <si>
    <t>Aktuellt pris får aldrig ändras. Föreslaget pris används bara som arbetspris.</t>
  </si>
  <si>
    <t>Dokumentera beslut</t>
  </si>
  <si>
    <t>Uppdatera Beslutslogg och Kontrollrapport.</t>
  </si>
  <si>
    <t>Vänta med Excel→Word</t>
  </si>
  <si>
    <t>Prisöverföring till Word hanteras i senare separat fas.</t>
  </si>
  <si>
    <t>Källa/flik</t>
  </si>
  <si>
    <t>Obligatorisk</t>
  </si>
  <si>
    <t>Funktion</t>
  </si>
  <si>
    <t>Får ersättas vid ny körning</t>
  </si>
  <si>
    <t>Word taxedokument (.docx)</t>
  </si>
  <si>
    <t>Ja</t>
  </si>
  <si>
    <t>Juridisk/strukturell källa för Taxepunkter</t>
  </si>
  <si>
    <t>Ska importeras/läsas vid ny taxemall. Nuvarande Word ligger ej som komplett filflik i Excel.</t>
  </si>
  <si>
    <t>Bekräftade taxekoder, benämningar, faktorer, formler och priser</t>
  </si>
  <si>
    <t>Enda källa för Aktuellt pris. Får bytas mot ny export.</t>
  </si>
  <si>
    <t>Källa_Prislista_DH</t>
  </si>
  <si>
    <t>Ja om DH finns</t>
  </si>
  <si>
    <t>Unik prislista för detaljhandel</t>
  </si>
  <si>
    <t>Får endast användas för DH och aldrig för andra beräkningsmodeller.</t>
  </si>
  <si>
    <t>Källa_Kvantitetskoder</t>
  </si>
  <si>
    <t>Referens för strFaktor/strFormel</t>
  </si>
  <si>
    <t>Används för tolkning, inte för pris.</t>
  </si>
  <si>
    <t>Arbetsflik som byggs från Word + EDP</t>
  </si>
  <si>
    <t>Nej</t>
  </si>
  <si>
    <t>Under uppbyggnad och ska inte ersättas.</t>
  </si>
  <si>
    <t>Saknade/föreslagna taxor</t>
  </si>
  <si>
    <t>Lexikon över koddelar</t>
  </si>
  <si>
    <t>Byggs successivt.</t>
  </si>
  <si>
    <t>Projektregler/Arbetsflöde/Beslutslogg</t>
  </si>
  <si>
    <t>Behövs för framtida promptning.</t>
  </si>
  <si>
    <t>Instruktion till ChatGPT för fortsatt arbete</t>
  </si>
  <si>
    <t>1. Läs flikarna 01_Projektöversikt, 02_Projektregler, 03_Arbetsflöde, 04_Källdokument, Taxekod_Tolkning och Beslutslogg innan du ändrar något.</t>
  </si>
  <si>
    <t>2. Arbetet är i Fas 1 Word → Excel tills annat uttryckligen anges. Regler för Excel → Word ska inte användas ännu.</t>
  </si>
  <si>
    <t>3. Taxepunkter är en arbetsflik under uppbyggnad. Den ska byggas från Word och Taxa_från_edp, inte ersättas.</t>
  </si>
  <si>
    <t>4. Alla rader i Word, även kostnadsfria rader, ska finnas i Taxepunkter.</t>
  </si>
  <si>
    <t>5. Taxakod får endast innehålla bekräftad exakt strTaxekod från Taxa_från_edp.</t>
  </si>
  <si>
    <t>6. Aktuellt pris får aldrig redigeras manuellt. Det hämtas från Taxa_från_edp.</t>
  </si>
  <si>
    <t>7. Föreslagen Taxa visar Taxakod om bekräftad, annars förslag från Taxa_Saknas.</t>
  </si>
  <si>
    <t>8. Föreslaget pris kan användas som arbetspris när Aktuellt pris saknas. DH-priser får bara användas för DH.</t>
  </si>
  <si>
    <t>9. Matcha taxor via strTaxekod, strTaxebenamning, strTaxedelAvser, strFaktor och strFormel.</t>
  </si>
  <si>
    <t>10. Om taxan saknas: lägg i Taxa_Saknas med intRecnum = radnumret i Taxepunkter.</t>
  </si>
  <si>
    <t>11. Uppdatera Taxekod_Tolkning när nya koddelar identifieras.</t>
  </si>
  <si>
    <t>12. Dokumentera nya beslut i Beslutslogg och resultat i Kontrollrapport.</t>
  </si>
  <si>
    <t>13. Kostnadsfria rader i Word ska alltid finnas i Taxepunkter och vid saknad EDP-taxa även i Taxa_Saknas.</t>
  </si>
  <si>
    <t>14. Sätt aldrig Aktuellt pris manuellt till 0. Pris hämtas bara från Taxa_från_edp; använd Föreslaget pris endast som arbetskolumn vid behov.</t>
  </si>
  <si>
    <t>Excel → Word är inte påbörjad</t>
  </si>
  <si>
    <t>Denna fas ska hanteras separat senare.</t>
  </si>
  <si>
    <t>Preliminära principer: Word-text får inte ändras, endast prisfält/XX kr ska uppdateras från rätt rad i Taxepunkter.</t>
  </si>
  <si>
    <t>Regler för Word → Excel får inte användas som regler för Excel → Word utan ny genomgång.</t>
  </si>
  <si>
    <t>Delprojekt</t>
  </si>
  <si>
    <t>Progress/Kommentar</t>
  </si>
  <si>
    <t>Under uppbyggnad</t>
  </si>
  <si>
    <t>Kontrollerad till och med §2.2.6; fortsättning återstår.</t>
  </si>
  <si>
    <t>Fylls löpande med saknade taxor och förslag.</t>
  </si>
  <si>
    <t>Lexikon påbörjat och uppdateras löpande.</t>
  </si>
  <si>
    <t>Word → Excel</t>
  </si>
  <si>
    <t>Pågår</t>
  </si>
  <si>
    <t>Fas 1.</t>
  </si>
  <si>
    <t>Excel → Word</t>
  </si>
  <si>
    <t>Ej påbörjad</t>
  </si>
  <si>
    <t>Fas 2 hanteras separat senare.</t>
  </si>
  <si>
    <t>DH-prislogik</t>
  </si>
  <si>
    <t>Fastställd</t>
  </si>
  <si>
    <t>DH-priser är fristående och får inte användas för andra modeller.</t>
  </si>
  <si>
    <t>Åtgärdat</t>
  </si>
  <si>
    <t>Tre kostnadsfria rader från Word har lagts till i Taxepunkter och Taxa_Saknas.</t>
  </si>
  <si>
    <t>Kolumn</t>
  </si>
  <si>
    <t>Rubrik</t>
  </si>
  <si>
    <t>Källa/beroende</t>
  </si>
  <si>
    <t>Formel/regel för en normalrad</t>
  </si>
  <si>
    <t>Får ändras manuellt</t>
  </si>
  <si>
    <t>A</t>
  </si>
  <si>
    <t>Manuell</t>
  </si>
  <si>
    <t>Anges utifrån paragraf i Word.</t>
  </si>
  <si>
    <t>B</t>
  </si>
  <si>
    <t>Anges utifrån rubrik i Word.</t>
  </si>
  <si>
    <t>C</t>
  </si>
  <si>
    <t>Anges utifrån raden/tjänsten i Word.</t>
  </si>
  <si>
    <t>D</t>
  </si>
  <si>
    <t>Anger t.ex. Hämtning varje vecka, Avgift per tömning, var 14:e dag.</t>
  </si>
  <si>
    <t>E</t>
  </si>
  <si>
    <t>Word/bedömning</t>
  </si>
  <si>
    <t>Anger debiteringsenhet, t.ex. st/år, st/tömning, kg.</t>
  </si>
  <si>
    <t>F</t>
  </si>
  <si>
    <t>Manuell med dropdown</t>
  </si>
  <si>
    <t>Endast bekräftad exakt strTaxekod från Taxa_från_edp.</t>
  </si>
  <si>
    <t>G</t>
  </si>
  <si>
    <t>Automatisk</t>
  </si>
  <si>
    <t>Taxakod + Taxa_Saknas</t>
  </si>
  <si>
    <t>H</t>
  </si>
  <si>
    <t>Taxa_från_edp[strTaxebenamning]</t>
  </si>
  <si>
    <t>Slår upp Taxakod i Taxa_från_edp kolumn strTaxekod och returnerar strTaxebenamning.</t>
  </si>
  <si>
    <t>I</t>
  </si>
  <si>
    <t>Taxa_från_edp[strFaktor]</t>
  </si>
  <si>
    <t>Slår upp Taxakod och returnerar strFaktor.</t>
  </si>
  <si>
    <t>J</t>
  </si>
  <si>
    <t>Taxa_från_edp[curNuvarandePris]</t>
  </si>
  <si>
    <t>Slår upp Taxakod och returnerar aktuellt pris exkl. moms. Får aldrig redigeras manuellt.</t>
  </si>
  <si>
    <t>K</t>
  </si>
  <si>
    <t>Manuell/beräknad arbetskolumn</t>
  </si>
  <si>
    <t>Projektdata/DH-prislista/bedömning</t>
  </si>
  <si>
    <t>Används bara när Aktuellt pris saknas. DH-priser får endast användas för DH.</t>
  </si>
  <si>
    <t>L</t>
  </si>
  <si>
    <t>Taxevolym/bedömning</t>
  </si>
  <si>
    <t>Anges vid behov för intäktsberäkning.</t>
  </si>
  <si>
    <t>M</t>
  </si>
  <si>
    <t>J eller K + moms</t>
  </si>
  <si>
    <t>N</t>
  </si>
  <si>
    <t>J/K och L</t>
  </si>
  <si>
    <t>Beroende</t>
  </si>
  <si>
    <t>F påverkar G/H/I/J</t>
  </si>
  <si>
    <t>Taxakod styr föreslagen taxa, taxabeskrivning, faktor och aktuellt pris.</t>
  </si>
  <si>
    <t>G hämtar från Taxa_Saknas</t>
  </si>
  <si>
    <t>Om Taxakod saknas används intRecnum/radnummer för att hämta föreslagen taxa.</t>
  </si>
  <si>
    <t>J är låst principmässigt</t>
  </si>
  <si>
    <t>Aktuellt pris är alltid EDP-pris och får inte ändras manuellt.</t>
  </si>
  <si>
    <t>K är arbetspris</t>
  </si>
  <si>
    <t>Föreslaget pris används endast som arbetsunderlag när J saknas.</t>
  </si>
  <si>
    <t>Radtyp</t>
  </si>
  <si>
    <t>Kännetecken</t>
  </si>
  <si>
    <t>Format</t>
  </si>
  <si>
    <t>Underrubrik</t>
  </si>
  <si>
    <t>Endast kolumn A har text, B:E är tomma</t>
  </si>
  <si>
    <t>A:E sammanslaget, enfärgad ljusblå rad</t>
  </si>
  <si>
    <t>Används för avsnittsrubriker</t>
  </si>
  <si>
    <t>Taxerad</t>
  </si>
  <si>
    <t>A:E innehåller uppdelade fält</t>
  </si>
  <si>
    <t>A:E ej sammanslaget, vit bakgrund</t>
  </si>
  <si>
    <t>Används för faktiska taxepunkter</t>
  </si>
  <si>
    <t>§2.1 | Grundavgift | En- och tvåbostadshus | st/år</t>
  </si>
  <si>
    <t>Datum</t>
  </si>
  <si>
    <t>Beslut</t>
  </si>
  <si>
    <t>Konsekvens</t>
  </si>
  <si>
    <t>2026-07-02</t>
  </si>
  <si>
    <t>FV betyder flerbostadshus eller verksamhet</t>
  </si>
  <si>
    <t>FV-taxor kan återanvändas mellan §2.2.4 och §2.2.5 om övriga villkor matchar.</t>
  </si>
  <si>
    <t>DH införs som suffix för detaljhandel</t>
  </si>
  <si>
    <t>§2.2.6 ska använda DH och inte FV.</t>
  </si>
  <si>
    <t>MB används för bottentömmande behållare</t>
  </si>
  <si>
    <t>BTMR ska inte användas som framtida standardförslag.</t>
  </si>
  <si>
    <t>Aktuellt pris hämtas bara från Taxa_från_edp</t>
  </si>
  <si>
    <t>Priskolumnen får inte redigeras manuellt.</t>
  </si>
  <si>
    <t>Föreslaget pris får användas som arbetspris</t>
  </si>
  <si>
    <t>Ny kolumn efter Aktuellt pris.</t>
  </si>
  <si>
    <t>DH-prislista är fristående</t>
  </si>
  <si>
    <t>DH-priser får inte användas som jämförelse för andra taxor.</t>
  </si>
  <si>
    <t>Taxepunkter är under uppbyggnad</t>
  </si>
  <si>
    <t>Fliken är arbetsflik och får inte ersättas.</t>
  </si>
  <si>
    <t>Fas 2 Excel→Word hanteras separat</t>
  </si>
  <si>
    <t>Nuvarande regler gäller Word→Excel.</t>
  </si>
  <si>
    <t>2026-07-07</t>
  </si>
  <si>
    <t>v0.9.4 Taxepunkter facit</t>
  </si>
  <si>
    <t>Fyllde 52 befintliga Taxepunkter-rader med saknad Taxakod från Taxa_Saknas och lade till 9 saknade rader längst ned i Taxepunkter. Taxa_från_edp ändrades inte.</t>
  </si>
  <si>
    <t>Färgtyp</t>
  </si>
  <si>
    <t>Hex</t>
  </si>
  <si>
    <t>Användning</t>
  </si>
  <si>
    <t>#1F4E78</t>
  </si>
  <si>
    <t>Tabellrubriker och huvudrubriker</t>
  </si>
  <si>
    <t>Rad 1/5 i arbets- och dokumentationsflikar</t>
  </si>
  <si>
    <t>Manuell inmatning</t>
  </si>
  <si>
    <t>#FFF2CC</t>
  </si>
  <si>
    <t>Fält som får fyllas manuellt</t>
  </si>
  <si>
    <t>Taxepunkter A–F, L samt Taxa_Saknas arbetskolumner</t>
  </si>
  <si>
    <t>Automatisk uppslagning</t>
  </si>
  <si>
    <t>#DDEBF7</t>
  </si>
  <si>
    <t>Formler och uppslag mot Taxa_från_edp</t>
  </si>
  <si>
    <t>Taxepunkter H–J</t>
  </si>
  <si>
    <t>Förslag</t>
  </si>
  <si>
    <t>#FCE4D6</t>
  </si>
  <si>
    <t>Föreslagna taxekoder och arbetspris</t>
  </si>
  <si>
    <t>Taxepunkter G och K, Taxa_Saknas FöreslagenTaxekod</t>
  </si>
  <si>
    <t>Beräkning</t>
  </si>
  <si>
    <t>#E2F0D9</t>
  </si>
  <si>
    <t>Beräknade värden</t>
  </si>
  <si>
    <t>Taxepunkter M–N</t>
  </si>
  <si>
    <t>Kontroll krävs</t>
  </si>
  <si>
    <t>#F4CCCC</t>
  </si>
  <si>
    <t>Fel, saknad match eller manuellt beslut</t>
  </si>
  <si>
    <t>Kontrollrapport och statusrader</t>
  </si>
  <si>
    <t>#E7E6E6</t>
  </si>
  <si>
    <t>Regel- och dokumentationsflikar</t>
  </si>
  <si>
    <t>Projektregler, Arbetsflöde, Dokumentation_*</t>
  </si>
  <si>
    <t>Import/referens</t>
  </si>
  <si>
    <t>#D9EAD3</t>
  </si>
  <si>
    <t>Importerade eller externa källflikar</t>
  </si>
  <si>
    <t>Taxa_från_edp, Källa_Prislista_DH</t>
  </si>
  <si>
    <t>Värde</t>
  </si>
  <si>
    <t>Rutnätslinjer</t>
  </si>
  <si>
    <t>#D9D9D9</t>
  </si>
  <si>
    <t>Alla celler i använda tabellområden</t>
  </si>
  <si>
    <t>Tunn ljusgrå kant runt varje cell, både inne i och runt tabellen.</t>
  </si>
  <si>
    <t>Ytterkant</t>
  </si>
  <si>
    <t>#7F7F7F</t>
  </si>
  <si>
    <t>Runt hela tabellområden</t>
  </si>
  <si>
    <t>Tunn mörkare grå kant runt tabellens ytterkant.</t>
  </si>
  <si>
    <t>Rubrikrad</t>
  </si>
  <si>
    <t>Rubrikrader</t>
  </si>
  <si>
    <t>Rubrikrad får mörkblå fyllning och konsekvent rutnät.</t>
  </si>
  <si>
    <t>Underrubrik i Taxepunkter</t>
  </si>
  <si>
    <t>#BDD7EE</t>
  </si>
  <si>
    <t>Rader där A har paragraf+text och B:E är tomma</t>
  </si>
  <si>
    <t>A:E sammanslaget, hela raden färgad och samma rutnät.</t>
  </si>
  <si>
    <t>Regel/användning</t>
  </si>
  <si>
    <t>Arbetskolumn</t>
  </si>
  <si>
    <t>Word/Taxepunkter</t>
  </si>
  <si>
    <t>Paragraf där raden hör hemma.</t>
  </si>
  <si>
    <t>Granskningslista</t>
  </si>
  <si>
    <t>Punktnummer i löpande Word-Excel-kontroll om tillgängligt.</t>
  </si>
  <si>
    <t>Radnummer i Taxepunkter för felsökning.</t>
  </si>
  <si>
    <t>Kort beskrivning av texten/raden i Word.</t>
  </si>
  <si>
    <t>Projektet</t>
  </si>
  <si>
    <t>Saknas i EDP, osäker, åtgärdad, etc.</t>
  </si>
  <si>
    <t>Hur förslaget togs fram: strTaxebenamning, strTaxedelAvser, kodregel, etc.</t>
  </si>
  <si>
    <t>Taxekod_Tolkning/projektregler</t>
  </si>
  <si>
    <t>Taxekod som föreslås om ingen bekräftad EDP-kod finns.</t>
  </si>
  <si>
    <t>Arbetsnyckel</t>
  </si>
  <si>
    <t>Ska vara radnumret i Taxepunkter, inte EDP:s intRecnum.</t>
  </si>
  <si>
    <t>Paragrafnamn / Taxapunkt.</t>
  </si>
  <si>
    <t>J:Y</t>
  </si>
  <si>
    <t>EDP-kolumner</t>
  </si>
  <si>
    <t>Importstruktur</t>
  </si>
  <si>
    <t>Samma struktur som Taxa_från_edp för att kunna skapa/importera nya taxor.</t>
  </si>
  <si>
    <t>Ja, men följ EDP-format</t>
  </si>
  <si>
    <t>Rad 72:200</t>
  </si>
  <si>
    <t>Input 1</t>
  </si>
  <si>
    <t>Fyll kolumn C med radnummer från Taxepunkter.</t>
  </si>
  <si>
    <t>Input 2</t>
  </si>
  <si>
    <t>Kodregler</t>
  </si>
  <si>
    <t>Fyll kolumn G med föreslagen taxekod.</t>
  </si>
  <si>
    <t>Automatiskt</t>
  </si>
  <si>
    <t>Övriga fält</t>
  </si>
  <si>
    <t>Formler</t>
  </si>
  <si>
    <t>Taxepunkter + standardvärden</t>
  </si>
  <si>
    <t>Kolumner A, D:F, H:Y fylls automatiskt utifrån C och G.</t>
  </si>
  <si>
    <t>Nej/vid behov</t>
  </si>
  <si>
    <t>Användning i projektet</t>
  </si>
  <si>
    <t>EDP:s interna rad-ID</t>
  </si>
  <si>
    <t>Läses som källdata men används inte som nyckel i Taxa_Saknas.</t>
  </si>
  <si>
    <t>Primär nyckel för bekräftade taxor</t>
  </si>
  <si>
    <t>Taxakod i Taxepunkter måste vara exakt värdet härifrån.</t>
  </si>
  <si>
    <t>Matchning och dokumentation</t>
  </si>
  <si>
    <t>Kontrolleras alltid innan nya taxor föreslås.</t>
  </si>
  <si>
    <t>EDP-produkt</t>
  </si>
  <si>
    <t>Behålls vid förslag i Taxa_Saknas där möjligt.</t>
  </si>
  <si>
    <t>EDP-delprodukt</t>
  </si>
  <si>
    <t>Används för kategori, t.ex. HUSH, ÅVC, SLAM.</t>
  </si>
  <si>
    <t>Delrad i EDP-taxa</t>
  </si>
  <si>
    <t>Nya föreslagna taxor får ofta 1 om endast en grundrad skapas.</t>
  </si>
  <si>
    <t>Faktor/beräkningsgrund</t>
  </si>
  <si>
    <t>Tolkning hämtas från Källa_Kvantitetskoder och Taxekod_Tolkning.</t>
  </si>
  <si>
    <t>Viktig matchningskolumn</t>
  </si>
  <si>
    <t>Används före frågor ställs. Ofta tydligast för vad delraden avser.</t>
  </si>
  <si>
    <t>Aktuellt pris exkl. moms</t>
  </si>
  <si>
    <t>Enda källa till Aktuellt pris i Taxepunkter. Får inte ändras manuellt.</t>
  </si>
  <si>
    <t>Q</t>
  </si>
  <si>
    <t>Beräkningsformel/faktor</t>
  </si>
  <si>
    <t>Används för att förstå enhet och beräkning, t.ex. ANTB, VIKG, DR10.</t>
  </si>
  <si>
    <t>Kontrollpunkt</t>
  </si>
  <si>
    <t>Åtgärd/kommentar</t>
  </si>
  <si>
    <t>Flikstruktur</t>
  </si>
  <si>
    <t>Inventerad</t>
  </si>
  <si>
    <t>Flikarna är klassade i dokumentationsflikar, importflikar, arbetsflikar och rapportflikar.</t>
  </si>
  <si>
    <t>Översiktligt kontrollerad</t>
  </si>
  <si>
    <t>Ingen #REF! hittad. #NAME? kan visas i artifact_tool pga XLOOKUP/evalueringsstöd men formler finns kvar.</t>
  </si>
  <si>
    <t>Taxepunkter kolumnstruktur</t>
  </si>
  <si>
    <t>Kontrollerad</t>
  </si>
  <si>
    <t>A:N används med Taxakod, Föreslagen Taxa, Aktuellt pris och Föreslaget pris.</t>
  </si>
  <si>
    <t>Taxa_Saknas struktur</t>
  </si>
  <si>
    <t>Arbetskolumner + EDP-kolumner är dokumenterade.</t>
  </si>
  <si>
    <t>Åtgärdad</t>
  </si>
  <si>
    <t>Tre saknade kostnadsfria rader är tillagda i Taxepunkter och Taxa_Saknas.</t>
  </si>
  <si>
    <t>Regel dokumenterad</t>
  </si>
  <si>
    <t>Aktuellt pris hämtas endast från Taxa_från_edp.</t>
  </si>
  <si>
    <t>Källa_Prislista_DH får bara användas för detaljhandel.</t>
  </si>
  <si>
    <t>Färgstandard</t>
  </si>
  <si>
    <t>Skapad</t>
  </si>
  <si>
    <t>Färgstandard-flik finns och färger är tillämpade på centrala flikar.</t>
  </si>
  <si>
    <t>Ej fullrevision</t>
  </si>
  <si>
    <t>Dropdown i Taxakod bör kontrolleras mer detaljerat i nästa revision.</t>
  </si>
  <si>
    <t>Nästa revision</t>
  </si>
  <si>
    <t>Villkorsstyrd formatering</t>
  </si>
  <si>
    <t>Inventeras i nästa tekniska revision vid behov.</t>
  </si>
  <si>
    <t>Rader med endast text i kolumn A har formaterats som sammanslagna underrubriker A:E.</t>
  </si>
  <si>
    <t>Taxerader A:E</t>
  </si>
  <si>
    <t>Vanliga taxerader har vit bakgrund i A:E.</t>
  </si>
  <si>
    <t>Taxepunkter G</t>
  </si>
  <si>
    <t>Visar Taxakod om F finns, annars XLOOKUP mot Taxa_Saknas intRecnum/H och FöreslagenTaxekod/G.</t>
  </si>
  <si>
    <t>Taxepunkter H</t>
  </si>
  <si>
    <t>Hämtas från Taxa_från_edp strTaxebenamning via Taxakod.</t>
  </si>
  <si>
    <t>Taxepunkter I</t>
  </si>
  <si>
    <t>Hämtas från Taxa_från_edp strFaktor via Taxakod.</t>
  </si>
  <si>
    <t>Taxepunkter J</t>
  </si>
  <si>
    <t>Hämtas från Taxa_från_edp curNuvarandePris via Taxakod. Ska inte redigeras manuellt.</t>
  </si>
  <si>
    <t>Taxepunkter M</t>
  </si>
  <si>
    <t>Pris inkl. moms</t>
  </si>
  <si>
    <t>Beräknar J*1,25 eller K*1,25 om J saknas.</t>
  </si>
  <si>
    <t>Taxepunkter N</t>
  </si>
  <si>
    <t>Intäkt exkl. moms</t>
  </si>
  <si>
    <t>Beräknar L*J eller L*K om J saknas.</t>
  </si>
  <si>
    <t>Taxepunkter F</t>
  </si>
  <si>
    <t>Dropdown mot Taxa_från_edp!$B$2:$B$371 tillagd på F7:F370.</t>
  </si>
  <si>
    <t>Taxa_Saknas 72:200</t>
  </si>
  <si>
    <t>Fyll Rad i Taxepunkter i C och FöreslagenTaxekod i G. Övriga fält fylls med formler.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</si>
</sst>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\ ##,000"/>
  </numFmts>
  <fonts count="12" x14ac:knownFonts="1">
    <font>
      <sz val="11"/>
      <color theme="1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6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7F0F0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D9D9D9"/>
      </right>
      <top style="thin">
        <color rgb="FF7F7F7F"/>
      </top>
      <bottom style="thin">
        <color rgb="FFD9D9D9"/>
      </bottom>
      <diagonal/>
    </border>
    <border>
      <left style="thin">
        <color rgb="FFD9D9D9"/>
      </left>
      <right style="thin">
        <color rgb="FF7F7F7F"/>
      </right>
      <top style="thin">
        <color rgb="FF7F7F7F"/>
      </top>
      <bottom style="thin">
        <color rgb="FFD9D9D9"/>
      </bottom>
      <diagonal/>
    </border>
    <border>
      <left style="thin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7F7F7F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D9D9D9"/>
      </right>
      <top style="thin">
        <color rgb="FFD9D9D9"/>
      </top>
      <bottom style="thin">
        <color rgb="FF7F7F7F"/>
      </bottom>
      <diagonal/>
    </border>
    <border>
      <left style="thin">
        <color rgb="FFD9D9D9"/>
      </left>
      <right style="thin">
        <color rgb="FF7F7F7F"/>
      </right>
      <top style="thin">
        <color rgb="FFD9D9D9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7F7F7F"/>
      </bottom>
      <diagonal/>
    </border>
    <border>
      <left style="thin">
        <color rgb="FF7F7F7F"/>
      </left>
      <right style="thin">
        <color rgb="FFD9D9D9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D9D9D9"/>
      </top>
      <bottom style="thin">
        <color rgb="FF7F7F7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7F7F7F"/>
      </top>
      <bottom style="thin">
        <color rgb="FFD9D9D9"/>
      </bottom>
      <diagonal/>
    </border>
    <border>
      <left/>
      <right style="thin">
        <color rgb="FFD9D9D9"/>
      </right>
      <top style="thin">
        <color rgb="FF7F7F7F"/>
      </top>
      <bottom style="thin">
        <color rgb="FFD9D9D9"/>
      </bottom>
      <diagonal/>
    </border>
    <border>
      <left/>
      <right style="thin">
        <color rgb="FFD9D9D9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1"/>
  </cellStyleXfs>
  <cellXfs count="195">
    <xf numFmtId="0" fontId="0" fillId="0" borderId="0" xfId="0" applyBorder="1"/>
    <xf numFmtId="0" fontId="3" fillId="0" borderId="0" xfId="0" applyFont="1" applyBorder="1"/>
    <xf numFmtId="0" fontId="0" fillId="0" borderId="0" xfId="0" applyBorder="1" applyAlignment="1">
      <alignment horizontal="center" vertical="center"/>
    </xf>
    <xf numFmtId="0" fontId="0" fillId="12" borderId="0" xfId="0" applyFill="1" applyBorder="1"/>
    <xf numFmtId="0" fontId="5" fillId="9" borderId="0" xfId="0" applyFont="1" applyFill="1" applyBorder="1" applyAlignment="1">
      <alignment wrapText="1"/>
    </xf>
    <xf numFmtId="0" fontId="0" fillId="0" borderId="3" xfId="0" applyBorder="1"/>
    <xf numFmtId="0" fontId="2" fillId="0" borderId="3" xfId="0" applyFont="1" applyBorder="1"/>
    <xf numFmtId="10" fontId="0" fillId="0" borderId="3" xfId="0" applyNumberFormat="1" applyBorder="1"/>
    <xf numFmtId="0" fontId="4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/>
    <xf numFmtId="4" fontId="0" fillId="0" borderId="7" xfId="0" applyNumberFormat="1" applyBorder="1"/>
    <xf numFmtId="10" fontId="0" fillId="0" borderId="7" xfId="0" applyNumberFormat="1" applyBorder="1"/>
    <xf numFmtId="0" fontId="2" fillId="0" borderId="8" xfId="0" applyFont="1" applyBorder="1"/>
    <xf numFmtId="0" fontId="2" fillId="0" borderId="9" xfId="0" applyFont="1" applyBorder="1"/>
    <xf numFmtId="0" fontId="0" fillId="0" borderId="3" xfId="0" applyBorder="1" applyAlignment="1">
      <alignment wrapText="1"/>
    </xf>
    <xf numFmtId="0" fontId="8" fillId="13" borderId="3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65" fontId="0" fillId="10" borderId="3" xfId="0" applyNumberFormat="1" applyFill="1" applyBorder="1" applyAlignment="1">
      <alignment horizontal="center" vertical="center" wrapText="1"/>
    </xf>
    <xf numFmtId="165" fontId="0" fillId="10" borderId="3" xfId="0" applyNumberFormat="1" applyFill="1" applyBorder="1" applyAlignment="1">
      <alignment vertical="top" wrapText="1"/>
    </xf>
    <xf numFmtId="165" fontId="0" fillId="11" borderId="3" xfId="0" applyNumberFormat="1" applyFill="1" applyBorder="1" applyAlignment="1">
      <alignment vertical="top" wrapText="1"/>
    </xf>
    <xf numFmtId="165" fontId="0" fillId="5" borderId="3" xfId="0" applyNumberFormat="1" applyFill="1" applyBorder="1" applyAlignment="1">
      <alignment vertical="top" wrapText="1"/>
    </xf>
    <xf numFmtId="0" fontId="0" fillId="8" borderId="3" xfId="0" applyFill="1" applyBorder="1"/>
    <xf numFmtId="165" fontId="8" fillId="13" borderId="3" xfId="0" applyNumberFormat="1" applyFont="1" applyFill="1" applyBorder="1" applyAlignment="1">
      <alignment horizontal="left" vertical="center" wrapText="1"/>
    </xf>
    <xf numFmtId="0" fontId="0" fillId="5" borderId="3" xfId="0" applyFill="1" applyBorder="1"/>
    <xf numFmtId="0" fontId="0" fillId="11" borderId="3" xfId="0" applyFill="1" applyBorder="1"/>
    <xf numFmtId="0" fontId="0" fillId="10" borderId="3" xfId="0" applyFill="1" applyBorder="1"/>
    <xf numFmtId="0" fontId="6" fillId="5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165" fontId="6" fillId="10" borderId="3" xfId="0" applyNumberFormat="1" applyFont="1" applyFill="1" applyBorder="1" applyAlignment="1">
      <alignment horizontal="center" vertical="center" wrapText="1"/>
    </xf>
    <xf numFmtId="165" fontId="6" fillId="10" borderId="3" xfId="0" applyNumberFormat="1" applyFont="1" applyFill="1" applyBorder="1" applyAlignment="1">
      <alignment vertical="top" wrapText="1"/>
    </xf>
    <xf numFmtId="165" fontId="6" fillId="11" borderId="3" xfId="0" applyNumberFormat="1" applyFont="1" applyFill="1" applyBorder="1" applyAlignment="1">
      <alignment vertical="top" wrapText="1"/>
    </xf>
    <xf numFmtId="165" fontId="6" fillId="5" borderId="3" xfId="0" applyNumberFormat="1" applyFont="1" applyFill="1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1" fillId="0" borderId="4" xfId="0" applyFont="1" applyBorder="1"/>
    <xf numFmtId="0" fontId="0" fillId="0" borderId="10" xfId="0" applyBorder="1"/>
    <xf numFmtId="0" fontId="2" fillId="0" borderId="7" xfId="0" applyFont="1" applyBorder="1"/>
    <xf numFmtId="4" fontId="0" fillId="0" borderId="9" xfId="0" applyNumberFormat="1" applyBorder="1"/>
    <xf numFmtId="0" fontId="0" fillId="0" borderId="3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64" fontId="0" fillId="0" borderId="3" xfId="0" applyNumberFormat="1" applyBorder="1"/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10" xfId="0" applyFont="1" applyBorder="1"/>
    <xf numFmtId="0" fontId="2" fillId="2" borderId="7" xfId="0" applyFont="1" applyFill="1" applyBorder="1" applyAlignment="1">
      <alignment horizontal="center" vertical="center" wrapText="1"/>
    </xf>
    <xf numFmtId="4" fontId="0" fillId="0" borderId="7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4" fontId="0" fillId="0" borderId="9" xfId="0" applyNumberFormat="1" applyBorder="1" applyAlignment="1">
      <alignment vertical="top" wrapText="1"/>
    </xf>
    <xf numFmtId="4" fontId="0" fillId="3" borderId="7" xfId="0" applyNumberFormat="1" applyFill="1" applyBorder="1"/>
    <xf numFmtId="0" fontId="2" fillId="0" borderId="11" xfId="0" applyFont="1" applyBorder="1"/>
    <xf numFmtId="10" fontId="0" fillId="0" borderId="9" xfId="0" applyNumberFormat="1" applyBorder="1"/>
    <xf numFmtId="0" fontId="5" fillId="4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0" fillId="5" borderId="3" xfId="0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164" fontId="0" fillId="10" borderId="3" xfId="0" applyNumberFormat="1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10" borderId="7" xfId="0" applyFill="1" applyBorder="1" applyAlignment="1">
      <alignment vertical="top" wrapText="1"/>
    </xf>
    <xf numFmtId="0" fontId="0" fillId="5" borderId="6" xfId="0" applyFill="1" applyBorder="1"/>
    <xf numFmtId="0" fontId="0" fillId="10" borderId="7" xfId="0" applyFill="1" applyBorder="1"/>
    <xf numFmtId="0" fontId="0" fillId="5" borderId="8" xfId="0" applyFill="1" applyBorder="1"/>
    <xf numFmtId="0" fontId="0" fillId="5" borderId="11" xfId="0" applyFill="1" applyBorder="1"/>
    <xf numFmtId="0" fontId="0" fillId="11" borderId="11" xfId="0" applyFill="1" applyBorder="1"/>
    <xf numFmtId="0" fontId="0" fillId="10" borderId="11" xfId="0" applyFill="1" applyBorder="1"/>
    <xf numFmtId="0" fontId="0" fillId="10" borderId="9" xfId="0" applyFill="1" applyBorder="1"/>
    <xf numFmtId="0" fontId="5" fillId="6" borderId="3" xfId="0" applyFont="1" applyFill="1" applyBorder="1"/>
    <xf numFmtId="0" fontId="0" fillId="0" borderId="7" xfId="0" applyBorder="1" applyAlignment="1">
      <alignment vertical="top" wrapText="1"/>
    </xf>
    <xf numFmtId="0" fontId="5" fillId="6" borderId="6" xfId="0" applyFont="1" applyFill="1" applyBorder="1"/>
    <xf numFmtId="0" fontId="5" fillId="6" borderId="7" xfId="0" applyFont="1" applyFill="1" applyBorder="1"/>
    <xf numFmtId="0" fontId="5" fillId="6" borderId="4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0" fillId="10" borderId="6" xfId="0" applyFill="1" applyBorder="1"/>
    <xf numFmtId="0" fontId="0" fillId="10" borderId="8" xfId="0" applyFill="1" applyBorder="1"/>
    <xf numFmtId="165" fontId="0" fillId="0" borderId="3" xfId="0" applyNumberFormat="1" applyBorder="1"/>
    <xf numFmtId="165" fontId="6" fillId="7" borderId="3" xfId="0" applyNumberFormat="1" applyFont="1" applyFill="1" applyBorder="1"/>
    <xf numFmtId="165" fontId="0" fillId="0" borderId="7" xfId="0" applyNumberFormat="1" applyBorder="1"/>
    <xf numFmtId="0" fontId="6" fillId="7" borderId="6" xfId="0" applyFont="1" applyFill="1" applyBorder="1"/>
    <xf numFmtId="165" fontId="6" fillId="7" borderId="7" xfId="0" applyNumberFormat="1" applyFont="1" applyFill="1" applyBorder="1"/>
    <xf numFmtId="0" fontId="0" fillId="12" borderId="3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2" borderId="11" xfId="0" applyFill="1" applyBorder="1"/>
    <xf numFmtId="0" fontId="5" fillId="6" borderId="15" xfId="0" applyFont="1" applyFill="1" applyBorder="1" applyAlignment="1">
      <alignment wrapText="1"/>
    </xf>
    <xf numFmtId="0" fontId="0" fillId="12" borderId="16" xfId="0" applyFill="1" applyBorder="1"/>
    <xf numFmtId="0" fontId="0" fillId="12" borderId="17" xfId="0" applyFill="1" applyBorder="1"/>
    <xf numFmtId="0" fontId="5" fillId="6" borderId="3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left" vertical="top" wrapText="1"/>
    </xf>
    <xf numFmtId="0" fontId="10" fillId="15" borderId="3" xfId="0" applyFont="1" applyFill="1" applyBorder="1" applyAlignment="1">
      <alignment horizontal="left" vertical="top" wrapText="1"/>
    </xf>
    <xf numFmtId="0" fontId="9" fillId="15" borderId="3" xfId="0" applyFont="1" applyFill="1" applyBorder="1" applyAlignment="1">
      <alignment horizontal="left" vertical="top"/>
    </xf>
    <xf numFmtId="0" fontId="8" fillId="16" borderId="12" xfId="0" applyFont="1" applyFill="1" applyBorder="1" applyAlignment="1">
      <alignment horizontal="left" vertical="center" wrapText="1"/>
    </xf>
    <xf numFmtId="0" fontId="8" fillId="16" borderId="13" xfId="0" applyFont="1" applyFill="1" applyBorder="1" applyAlignment="1">
      <alignment horizontal="left" vertical="center"/>
    </xf>
    <xf numFmtId="0" fontId="8" fillId="16" borderId="14" xfId="0" applyFont="1" applyFill="1" applyBorder="1" applyAlignment="1">
      <alignment horizontal="left" vertical="center"/>
    </xf>
    <xf numFmtId="0" fontId="8" fillId="16" borderId="12" xfId="0" applyFont="1" applyFill="1" applyBorder="1" applyAlignment="1">
      <alignment horizontal="left" vertical="center"/>
    </xf>
    <xf numFmtId="0" fontId="8" fillId="16" borderId="13" xfId="0" applyFont="1" applyFill="1" applyBorder="1" applyAlignment="1">
      <alignment horizontal="left" vertical="center" wrapText="1"/>
    </xf>
    <xf numFmtId="165" fontId="8" fillId="16" borderId="13" xfId="0" applyNumberFormat="1" applyFont="1" applyFill="1" applyBorder="1" applyAlignment="1">
      <alignment horizontal="left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3" xfId="0" applyFill="1" applyBorder="1"/>
    <xf numFmtId="0" fontId="6" fillId="17" borderId="3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wrapText="1"/>
    </xf>
    <xf numFmtId="0" fontId="6" fillId="17" borderId="3" xfId="0" applyFont="1" applyFill="1" applyBorder="1" applyAlignment="1">
      <alignment wrapText="1"/>
    </xf>
    <xf numFmtId="0" fontId="0" fillId="18" borderId="3" xfId="0" applyFill="1" applyBorder="1" applyAlignment="1">
      <alignment horizontal="center" vertical="center" wrapText="1"/>
    </xf>
    <xf numFmtId="0" fontId="0" fillId="18" borderId="3" xfId="0" applyFill="1" applyBorder="1"/>
    <xf numFmtId="0" fontId="6" fillId="18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wrapText="1"/>
    </xf>
    <xf numFmtId="0" fontId="6" fillId="18" borderId="3" xfId="0" applyFont="1" applyFill="1" applyBorder="1" applyAlignment="1">
      <alignment wrapText="1"/>
    </xf>
    <xf numFmtId="0" fontId="0" fillId="19" borderId="3" xfId="0" applyFill="1" applyBorder="1" applyAlignment="1">
      <alignment horizontal="center" vertical="center" wrapText="1"/>
    </xf>
    <xf numFmtId="165" fontId="0" fillId="19" borderId="3" xfId="0" applyNumberFormat="1" applyFill="1" applyBorder="1" applyAlignment="1">
      <alignment horizontal="center" vertical="center" wrapText="1"/>
    </xf>
    <xf numFmtId="165" fontId="0" fillId="19" borderId="3" xfId="0" applyNumberFormat="1" applyFill="1" applyBorder="1" applyAlignment="1">
      <alignment vertical="top" wrapText="1"/>
    </xf>
    <xf numFmtId="0" fontId="0" fillId="19" borderId="3" xfId="0" applyFill="1" applyBorder="1"/>
    <xf numFmtId="0" fontId="6" fillId="19" borderId="3" xfId="0" applyFont="1" applyFill="1" applyBorder="1" applyAlignment="1">
      <alignment horizontal="center" vertical="center" wrapText="1"/>
    </xf>
    <xf numFmtId="165" fontId="6" fillId="19" borderId="3" xfId="0" applyNumberFormat="1" applyFont="1" applyFill="1" applyBorder="1" applyAlignment="1">
      <alignment horizontal="center" vertical="center" wrapText="1"/>
    </xf>
    <xf numFmtId="165" fontId="6" fillId="19" borderId="3" xfId="0" applyNumberFormat="1" applyFont="1" applyFill="1" applyBorder="1" applyAlignment="1">
      <alignment vertical="top" wrapText="1"/>
    </xf>
    <xf numFmtId="0" fontId="0" fillId="19" borderId="3" xfId="0" applyFill="1" applyBorder="1" applyAlignment="1">
      <alignment wrapText="1"/>
    </xf>
    <xf numFmtId="165" fontId="0" fillId="19" borderId="3" xfId="0" applyNumberFormat="1" applyFill="1" applyBorder="1" applyAlignment="1">
      <alignment wrapText="1"/>
    </xf>
    <xf numFmtId="0" fontId="6" fillId="19" borderId="3" xfId="0" applyFont="1" applyFill="1" applyBorder="1" applyAlignment="1">
      <alignment wrapText="1"/>
    </xf>
    <xf numFmtId="165" fontId="6" fillId="19" borderId="3" xfId="0" applyNumberFormat="1" applyFont="1" applyFill="1" applyBorder="1" applyAlignment="1">
      <alignment wrapText="1"/>
    </xf>
    <xf numFmtId="165" fontId="0" fillId="18" borderId="3" xfId="0" applyNumberFormat="1" applyFill="1" applyBorder="1" applyAlignment="1">
      <alignment vertical="top" wrapText="1"/>
    </xf>
    <xf numFmtId="165" fontId="6" fillId="18" borderId="3" xfId="0" applyNumberFormat="1" applyFont="1" applyFill="1" applyBorder="1" applyAlignment="1">
      <alignment vertical="top" wrapText="1"/>
    </xf>
    <xf numFmtId="165" fontId="0" fillId="18" borderId="3" xfId="0" applyNumberFormat="1" applyFill="1" applyBorder="1" applyAlignment="1">
      <alignment wrapText="1"/>
    </xf>
    <xf numFmtId="165" fontId="6" fillId="18" borderId="3" xfId="0" applyNumberFormat="1" applyFont="1" applyFill="1" applyBorder="1" applyAlignment="1">
      <alignment wrapText="1"/>
    </xf>
    <xf numFmtId="165" fontId="0" fillId="17" borderId="3" xfId="0" applyNumberFormat="1" applyFill="1" applyBorder="1" applyAlignment="1">
      <alignment vertical="top" wrapText="1"/>
    </xf>
    <xf numFmtId="165" fontId="6" fillId="17" borderId="3" xfId="0" applyNumberFormat="1" applyFont="1" applyFill="1" applyBorder="1" applyAlignment="1">
      <alignment vertical="top" wrapText="1"/>
    </xf>
    <xf numFmtId="165" fontId="0" fillId="17" borderId="3" xfId="0" applyNumberFormat="1" applyFill="1" applyBorder="1" applyAlignment="1">
      <alignment wrapText="1"/>
    </xf>
    <xf numFmtId="165" fontId="6" fillId="17" borderId="3" xfId="0" applyNumberFormat="1" applyFont="1" applyFill="1" applyBorder="1" applyAlignment="1">
      <alignment wrapText="1"/>
    </xf>
    <xf numFmtId="0" fontId="0" fillId="20" borderId="3" xfId="0" applyFill="1" applyBorder="1"/>
    <xf numFmtId="0" fontId="0" fillId="20" borderId="7" xfId="0" applyFill="1" applyBorder="1"/>
    <xf numFmtId="0" fontId="5" fillId="14" borderId="4" xfId="0" applyFont="1" applyFill="1" applyBorder="1" applyAlignment="1">
      <alignment horizontal="center"/>
    </xf>
    <xf numFmtId="0" fontId="5" fillId="14" borderId="10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4" borderId="4" xfId="0" applyFont="1" applyFill="1" applyBorder="1"/>
    <xf numFmtId="0" fontId="5" fillId="14" borderId="10" xfId="0" applyFont="1" applyFill="1" applyBorder="1"/>
    <xf numFmtId="0" fontId="5" fillId="14" borderId="5" xfId="0" applyFont="1" applyFill="1" applyBorder="1"/>
    <xf numFmtId="0" fontId="5" fillId="21" borderId="4" xfId="0" applyFont="1" applyFill="1" applyBorder="1"/>
    <xf numFmtId="0" fontId="5" fillId="21" borderId="10" xfId="0" applyFont="1" applyFill="1" applyBorder="1"/>
    <xf numFmtId="0" fontId="5" fillId="21" borderId="5" xfId="0" applyFont="1" applyFill="1" applyBorder="1"/>
    <xf numFmtId="0" fontId="5" fillId="22" borderId="4" xfId="0" applyFont="1" applyFill="1" applyBorder="1"/>
    <xf numFmtId="0" fontId="5" fillId="22" borderId="10" xfId="0" applyFont="1" applyFill="1" applyBorder="1"/>
    <xf numFmtId="0" fontId="5" fillId="22" borderId="5" xfId="0" applyFont="1" applyFill="1" applyBorder="1"/>
    <xf numFmtId="0" fontId="5" fillId="23" borderId="4" xfId="0" applyFont="1" applyFill="1" applyBorder="1"/>
    <xf numFmtId="0" fontId="5" fillId="23" borderId="10" xfId="0" applyFont="1" applyFill="1" applyBorder="1"/>
    <xf numFmtId="0" fontId="5" fillId="23" borderId="5" xfId="0" applyFont="1" applyFill="1" applyBorder="1"/>
    <xf numFmtId="0" fontId="0" fillId="5" borderId="4" xfId="0" applyFill="1" applyBorder="1"/>
    <xf numFmtId="0" fontId="0" fillId="5" borderId="10" xfId="0" applyFill="1" applyBorder="1"/>
    <xf numFmtId="0" fontId="0" fillId="11" borderId="10" xfId="0" applyFill="1" applyBorder="1"/>
    <xf numFmtId="0" fontId="0" fillId="10" borderId="10" xfId="0" applyFill="1" applyBorder="1"/>
    <xf numFmtId="0" fontId="0" fillId="10" borderId="5" xfId="0" applyFill="1" applyBorder="1"/>
    <xf numFmtId="0" fontId="5" fillId="24" borderId="4" xfId="0" applyFont="1" applyFill="1" applyBorder="1"/>
    <xf numFmtId="0" fontId="5" fillId="24" borderId="10" xfId="0" applyFont="1" applyFill="1" applyBorder="1"/>
    <xf numFmtId="0" fontId="5" fillId="24" borderId="5" xfId="0" applyFont="1" applyFill="1" applyBorder="1"/>
    <xf numFmtId="0" fontId="11" fillId="25" borderId="3" xfId="0" applyFont="1" applyFill="1" applyBorder="1" applyAlignment="1">
      <alignment horizontal="left" vertical="top" wrapText="1"/>
    </xf>
    <xf numFmtId="0" fontId="11" fillId="25" borderId="3" xfId="0" applyFont="1" applyFill="1" applyBorder="1" applyAlignment="1">
      <alignment horizontal="left" vertical="top"/>
    </xf>
    <xf numFmtId="0" fontId="8" fillId="16" borderId="1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22" xfId="0" applyBorder="1"/>
    <xf numFmtId="0" fontId="9" fillId="15" borderId="3" xfId="0" applyFont="1" applyFill="1" applyBorder="1" applyAlignment="1">
      <alignment horizontal="left" vertical="top" wrapText="1"/>
    </xf>
    <xf numFmtId="0" fontId="0" fillId="0" borderId="18" xfId="0" applyBorder="1"/>
    <xf numFmtId="0" fontId="0" fillId="0" borderId="19" xfId="0" applyBorder="1"/>
    <xf numFmtId="0" fontId="1" fillId="0" borderId="10" xfId="0" applyFont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8" fillId="16" borderId="12" xfId="0" applyFont="1" applyFill="1" applyBorder="1" applyAlignment="1">
      <alignment horizontal="left" vertical="center"/>
    </xf>
    <xf numFmtId="0" fontId="0" fillId="0" borderId="3" xfId="0" applyBorder="1" applyAlignment="1">
      <alignment wrapText="1"/>
    </xf>
    <xf numFmtId="0" fontId="11" fillId="2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sv-SE"/>
              <a:t>Intäkt per paragraf (urval)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Paragraf'!$B$3</c:f>
              <c:strCache>
                <c:ptCount val="1"/>
                <c:pt idx="0">
                  <c:v>Total intäkt (kr)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Paragraf'!$A$4:$A$23</c:f>
              <c:strCache>
                <c:ptCount val="20"/>
                <c:pt idx="0">
                  <c:v>§2.1</c:v>
                </c:pt>
                <c:pt idx="1">
                  <c:v>§2.2.1</c:v>
                </c:pt>
                <c:pt idx="2">
                  <c:v>§2.2.2</c:v>
                </c:pt>
                <c:pt idx="3">
                  <c:v>§2.2.3</c:v>
                </c:pt>
                <c:pt idx="4">
                  <c:v>§2.2.4</c:v>
                </c:pt>
                <c:pt idx="5">
                  <c:v>§2.2.5</c:v>
                </c:pt>
                <c:pt idx="6">
                  <c:v>§2.3</c:v>
                </c:pt>
                <c:pt idx="7">
                  <c:v>§2.4</c:v>
                </c:pt>
                <c:pt idx="8">
                  <c:v>§2.5</c:v>
                </c:pt>
                <c:pt idx="9">
                  <c:v>§2.6.1</c:v>
                </c:pt>
                <c:pt idx="10">
                  <c:v>§2.6.2</c:v>
                </c:pt>
                <c:pt idx="11">
                  <c:v>§2.6.3</c:v>
                </c:pt>
                <c:pt idx="12">
                  <c:v>§2.6.4</c:v>
                </c:pt>
                <c:pt idx="13">
                  <c:v>§2.6.5</c:v>
                </c:pt>
                <c:pt idx="14">
                  <c:v>§2.6.6</c:v>
                </c:pt>
                <c:pt idx="15">
                  <c:v>§2.6.7</c:v>
                </c:pt>
                <c:pt idx="16">
                  <c:v>§2.6.8</c:v>
                </c:pt>
                <c:pt idx="17">
                  <c:v>§2.6.9</c:v>
                </c:pt>
                <c:pt idx="18">
                  <c:v>§2.7.1</c:v>
                </c:pt>
                <c:pt idx="19">
                  <c:v>§2.7.2</c:v>
                </c:pt>
              </c:strCache>
            </c:strRef>
          </c:cat>
          <c:val>
            <c:numRef>
              <c:f>'Pivot Paragraf'!$B$4:$B$23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E-4855-9353-60CE16C6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sv-SE"/>
                  <a:t>kr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Intäkt per paragraf (urval)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Paragraf'!$B$3</c:f>
              <c:strCache>
                <c:ptCount val="1"/>
                <c:pt idx="0">
                  <c:v>Total intäkt (kr)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Paragraf'!$A$4:$A$23</c:f>
              <c:strCache>
                <c:ptCount val="20"/>
                <c:pt idx="0">
                  <c:v>§2.1</c:v>
                </c:pt>
                <c:pt idx="1">
                  <c:v>§2.2.1</c:v>
                </c:pt>
                <c:pt idx="2">
                  <c:v>§2.2.2</c:v>
                </c:pt>
                <c:pt idx="3">
                  <c:v>§2.2.3</c:v>
                </c:pt>
                <c:pt idx="4">
                  <c:v>§2.2.4</c:v>
                </c:pt>
                <c:pt idx="5">
                  <c:v>§2.2.5</c:v>
                </c:pt>
                <c:pt idx="6">
                  <c:v>§2.3</c:v>
                </c:pt>
                <c:pt idx="7">
                  <c:v>§2.4</c:v>
                </c:pt>
                <c:pt idx="8">
                  <c:v>§2.5</c:v>
                </c:pt>
                <c:pt idx="9">
                  <c:v>§2.6.1</c:v>
                </c:pt>
                <c:pt idx="10">
                  <c:v>§2.6.2</c:v>
                </c:pt>
                <c:pt idx="11">
                  <c:v>§2.6.3</c:v>
                </c:pt>
                <c:pt idx="12">
                  <c:v>§2.6.4</c:v>
                </c:pt>
                <c:pt idx="13">
                  <c:v>§2.6.5</c:v>
                </c:pt>
                <c:pt idx="14">
                  <c:v>§2.6.6</c:v>
                </c:pt>
                <c:pt idx="15">
                  <c:v>§2.6.7</c:v>
                </c:pt>
                <c:pt idx="16">
                  <c:v>§2.6.8</c:v>
                </c:pt>
                <c:pt idx="17">
                  <c:v>§2.6.9</c:v>
                </c:pt>
                <c:pt idx="18">
                  <c:v>§2.7.1</c:v>
                </c:pt>
                <c:pt idx="19">
                  <c:v>§2.7.2</c:v>
                </c:pt>
              </c:strCache>
            </c:strRef>
          </c:cat>
          <c:val>
            <c:numRef>
              <c:f>'Pivot Paragraf'!$B$4:$B$23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B-451B-9B0C-D62B55FC0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t>kr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ht="21" customHeight="1" x14ac:dyDescent="0.35">
      <c r="A1" s="8" t="s">
        <v>0</v>
      </c>
      <c r="B1" s="9"/>
    </row>
    <row r="2" spans="1:2" x14ac:dyDescent="0.25">
      <c r="A2" s="10"/>
      <c r="B2" s="11"/>
    </row>
    <row r="3" spans="1:2" x14ac:dyDescent="0.25">
      <c r="A3" s="12" t="s">
        <v>1</v>
      </c>
      <c r="B3" s="13">
        <f>SUM(Taxepunkter_Rådata!K:K)</f>
        <v>0</v>
      </c>
    </row>
    <row r="4" spans="1:2" x14ac:dyDescent="0.25">
      <c r="A4" s="12" t="s">
        <v>2</v>
      </c>
      <c r="B4" s="11">
        <f>COUNTA(Taxepunkter_Rådata!A:A)-1</f>
        <v>291</v>
      </c>
    </row>
    <row r="5" spans="1:2" x14ac:dyDescent="0.25">
      <c r="A5" s="12" t="s">
        <v>3</v>
      </c>
      <c r="B5" s="11">
        <f>COUNTIF(Taxepunkter_Rådata!J:J,"")-1</f>
        <v>1048551</v>
      </c>
    </row>
    <row r="6" spans="1:2" x14ac:dyDescent="0.25">
      <c r="A6" s="12" t="s">
        <v>4</v>
      </c>
      <c r="B6" s="14">
        <f>IF(B4=0,"",1-(B5/B4))</f>
        <v>-3602.2680412371133</v>
      </c>
    </row>
    <row r="7" spans="1:2" x14ac:dyDescent="0.25">
      <c r="A7" s="12" t="s">
        <v>5</v>
      </c>
      <c r="B7" s="11">
        <f>COUNTIFS(Taxepunkter_Rådata!I:I,"&gt;0",Taxepunkter_Rådata!J:J,"")</f>
        <v>0</v>
      </c>
    </row>
    <row r="8" spans="1:2" x14ac:dyDescent="0.25">
      <c r="A8" s="10"/>
      <c r="B8" s="11"/>
    </row>
    <row r="9" spans="1:2" x14ac:dyDescent="0.25">
      <c r="A9" s="15" t="s">
        <v>6</v>
      </c>
      <c r="B9" s="16" t="str">
        <f>IF(Kontroller!C5="OK","OK","VARNING")</f>
        <v>VARNING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9"/>
  <sheetViews>
    <sheetView topLeftCell="A195" workbookViewId="0">
      <selection activeCell="L120" sqref="L120"/>
    </sheetView>
  </sheetViews>
  <sheetFormatPr defaultRowHeight="15" x14ac:dyDescent="0.25"/>
  <cols>
    <col min="1" max="1" width="14" customWidth="1"/>
    <col min="2" max="2" width="40" customWidth="1"/>
    <col min="3" max="3" width="42" customWidth="1"/>
    <col min="4" max="4" width="30" customWidth="1"/>
    <col min="5" max="5" width="14" customWidth="1"/>
    <col min="6" max="6" width="18" style="2" customWidth="1"/>
    <col min="7" max="7" width="20" style="2" customWidth="1"/>
    <col min="8" max="8" width="34" style="2" customWidth="1"/>
    <col min="9" max="9" width="18" style="2" customWidth="1"/>
    <col min="10" max="11" width="18" customWidth="1"/>
    <col min="12" max="12" width="12" customWidth="1"/>
    <col min="13" max="13" width="16" customWidth="1"/>
    <col min="14" max="14" width="18" customWidth="1"/>
  </cols>
  <sheetData>
    <row r="1" spans="1:14" ht="18.75" customHeight="1" x14ac:dyDescent="0.25">
      <c r="A1" s="39"/>
      <c r="B1" s="189" t="s">
        <v>7</v>
      </c>
      <c r="C1" s="190"/>
      <c r="D1" s="190"/>
      <c r="E1" s="190"/>
      <c r="F1" s="190"/>
      <c r="G1" s="190"/>
      <c r="H1" s="190"/>
      <c r="I1" s="190"/>
      <c r="J1" s="190"/>
      <c r="K1" s="190"/>
      <c r="L1" s="191"/>
      <c r="M1" s="40"/>
      <c r="N1" s="41"/>
    </row>
    <row r="2" spans="1:14" x14ac:dyDescent="0.25">
      <c r="A2" s="42"/>
      <c r="B2" s="193" t="s">
        <v>8</v>
      </c>
      <c r="C2" s="187"/>
      <c r="D2" s="187"/>
      <c r="E2" s="187"/>
      <c r="F2" s="187"/>
      <c r="G2" s="187"/>
      <c r="H2" s="187"/>
      <c r="I2" s="187"/>
      <c r="J2" s="187"/>
      <c r="K2" s="187"/>
      <c r="L2" s="188"/>
      <c r="M2" s="5"/>
      <c r="N2" s="11"/>
    </row>
    <row r="3" spans="1:14" x14ac:dyDescent="0.25">
      <c r="A3" s="4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5"/>
      <c r="N3" s="11"/>
    </row>
    <row r="4" spans="1:14" x14ac:dyDescent="0.25">
      <c r="A4" s="42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5"/>
      <c r="N4" s="11"/>
    </row>
    <row r="5" spans="1:14" ht="24" customHeight="1" x14ac:dyDescent="0.25">
      <c r="A5" s="110" t="s">
        <v>9</v>
      </c>
      <c r="B5" s="111" t="s">
        <v>10</v>
      </c>
      <c r="C5" s="111" t="s">
        <v>11</v>
      </c>
      <c r="D5" s="111" t="s">
        <v>12</v>
      </c>
      <c r="E5" s="111" t="s">
        <v>13</v>
      </c>
      <c r="F5" s="111" t="s">
        <v>14</v>
      </c>
      <c r="G5" s="111" t="s">
        <v>15</v>
      </c>
      <c r="H5" s="111" t="s">
        <v>16</v>
      </c>
      <c r="I5" s="111" t="s">
        <v>17</v>
      </c>
      <c r="J5" s="111" t="s">
        <v>18</v>
      </c>
      <c r="K5" s="111" t="s">
        <v>19</v>
      </c>
      <c r="L5" s="111" t="s">
        <v>20</v>
      </c>
      <c r="M5" s="112" t="s">
        <v>21</v>
      </c>
      <c r="N5" s="113" t="s">
        <v>22</v>
      </c>
    </row>
    <row r="6" spans="1:14" ht="21.95" customHeight="1" x14ac:dyDescent="0.25">
      <c r="A6" s="183" t="s">
        <v>23</v>
      </c>
      <c r="B6" s="184"/>
      <c r="C6" s="184"/>
      <c r="D6" s="184"/>
      <c r="E6" s="185"/>
      <c r="F6" s="124"/>
      <c r="G6" s="122"/>
      <c r="H6" s="122"/>
      <c r="I6" s="122"/>
      <c r="J6" s="122"/>
      <c r="K6" s="122"/>
      <c r="L6" s="122"/>
      <c r="M6" s="122"/>
      <c r="N6" s="123"/>
    </row>
    <row r="7" spans="1:14" x14ac:dyDescent="0.25">
      <c r="A7" s="118" t="s">
        <v>24</v>
      </c>
      <c r="B7" s="118" t="s">
        <v>25</v>
      </c>
      <c r="C7" s="118" t="s">
        <v>26</v>
      </c>
      <c r="D7" s="118"/>
      <c r="E7" s="118" t="s">
        <v>27</v>
      </c>
      <c r="F7" s="127" t="s">
        <v>28</v>
      </c>
      <c r="G7" s="132" t="str">
        <f>IF($F7&lt;&gt;"",$F7,IFERROR(_xlfn.XLOOKUP(ROW(),Taxa_Saknas!$H:$H,Taxa_Saknas!$G:$G),""))</f>
        <v>GRUNDSMÅ</v>
      </c>
      <c r="H7" s="137" t="str">
        <f>IF($F7&lt;&gt;"",IFERROR(_xlfn.XLOOKUP($F7,Taxa_från_edp!$B:$B,Taxa_från_edp!C:C),""),"")</f>
        <v>Grundavgift, småhus 1- och 2 familjshus</v>
      </c>
      <c r="I7" s="138" t="str">
        <f>IF($F7&lt;&gt;"",IFERROR(_xlfn.XLOOKUP($F7,Taxa_från_edp!$B:$B,Taxa_från_edp!G:G),""),"")</f>
        <v>ÅRKV</v>
      </c>
      <c r="J7" s="139">
        <f>IF($F7&lt;&gt;"",IFERROR(_xlfn.XLOOKUP($F7,Taxa_från_edp!$B:$B,Taxa_från_edp!K:K),""),"")</f>
        <v>1320</v>
      </c>
      <c r="K7" s="148"/>
      <c r="L7" s="152"/>
      <c r="M7" s="156">
        <f t="shared" ref="M7:M70" si="0">IFERROR(IF(J7&lt;&gt;"",J7*1.25,IF(K7&lt;&gt;"",K7*1.25,"")),"")</f>
        <v>1650</v>
      </c>
      <c r="N7" s="157">
        <f t="shared" ref="N7:N70" si="1">IFERROR(IF(J7&lt;&gt;"",L7*J7,IF(K7&lt;&gt;"",L7*K7,"")),"")</f>
        <v>0</v>
      </c>
    </row>
    <row r="8" spans="1:14" x14ac:dyDescent="0.25">
      <c r="A8" s="118" t="s">
        <v>24</v>
      </c>
      <c r="B8" s="118" t="s">
        <v>25</v>
      </c>
      <c r="C8" s="118" t="s">
        <v>29</v>
      </c>
      <c r="D8" s="118"/>
      <c r="E8" s="118" t="s">
        <v>27</v>
      </c>
      <c r="F8" s="127" t="s">
        <v>30</v>
      </c>
      <c r="G8" s="132" t="str">
        <f>IF($F8&lt;&gt;"",$F8,IFERROR(_xlfn.XLOOKUP(ROW(),Taxa_Saknas!$H:$H,Taxa_Saknas!$G:$G),""))</f>
        <v>GRUNDFRI</v>
      </c>
      <c r="H8" s="137" t="str">
        <f>IF($F8&lt;&gt;"",IFERROR(_xlfn.XLOOKUP($F8,Taxa_från_edp!$B:$B,Taxa_från_edp!C:C),""),"")</f>
        <v>Grundavgift, fritidshus</v>
      </c>
      <c r="I8" s="138" t="str">
        <f>IF($F8&lt;&gt;"",IFERROR(_xlfn.XLOOKUP($F8,Taxa_från_edp!$B:$B,Taxa_från_edp!G:G),""),"")</f>
        <v>ÅRKV</v>
      </c>
      <c r="J8" s="139">
        <f>IF($F8&lt;&gt;"",IFERROR(_xlfn.XLOOKUP($F8,Taxa_från_edp!$B:$B,Taxa_från_edp!K:K),""),"")</f>
        <v>1000</v>
      </c>
      <c r="K8" s="148"/>
      <c r="L8" s="152"/>
      <c r="M8" s="156">
        <f t="shared" si="0"/>
        <v>1250</v>
      </c>
      <c r="N8" s="157">
        <f t="shared" si="1"/>
        <v>0</v>
      </c>
    </row>
    <row r="9" spans="1:14" x14ac:dyDescent="0.25">
      <c r="A9" s="118" t="s">
        <v>24</v>
      </c>
      <c r="B9" s="118" t="s">
        <v>25</v>
      </c>
      <c r="C9" s="118" t="s">
        <v>31</v>
      </c>
      <c r="D9" s="118"/>
      <c r="E9" s="118" t="s">
        <v>27</v>
      </c>
      <c r="F9" s="127" t="s">
        <v>32</v>
      </c>
      <c r="G9" s="132" t="str">
        <f>IF($F9&lt;&gt;"",$F9,IFERROR(_xlfn.XLOOKUP(ROW(),Taxa_Saknas!$H:$H,Taxa_Saknas!$G:$G),""))</f>
        <v>GRUNDVHT</v>
      </c>
      <c r="H9" s="137" t="str">
        <f>IF($F9&lt;&gt;"",IFERROR(_xlfn.XLOOKUP($F9,Taxa_från_edp!$B:$B,Taxa_från_edp!C:C),""),"")</f>
        <v>Grundavgift, verksamheter</v>
      </c>
      <c r="I9" s="138" t="str">
        <f>IF($F9&lt;&gt;"",IFERROR(_xlfn.XLOOKUP($F9,Taxa_från_edp!$B:$B,Taxa_från_edp!G:G),""),"")</f>
        <v>ÅRKV</v>
      </c>
      <c r="J9" s="139">
        <f>IF($F9&lt;&gt;"",IFERROR(_xlfn.XLOOKUP($F9,Taxa_från_edp!$B:$B,Taxa_från_edp!K:K),""),"")</f>
        <v>1000</v>
      </c>
      <c r="K9" s="148"/>
      <c r="L9" s="152"/>
      <c r="M9" s="156">
        <f t="shared" si="0"/>
        <v>1250</v>
      </c>
      <c r="N9" s="157">
        <f t="shared" si="1"/>
        <v>0</v>
      </c>
    </row>
    <row r="10" spans="1:14" x14ac:dyDescent="0.25">
      <c r="A10" s="118" t="s">
        <v>24</v>
      </c>
      <c r="B10" s="118" t="s">
        <v>25</v>
      </c>
      <c r="C10" s="118" t="s">
        <v>33</v>
      </c>
      <c r="D10" s="118"/>
      <c r="E10" s="118" t="s">
        <v>27</v>
      </c>
      <c r="F10" s="127" t="s">
        <v>34</v>
      </c>
      <c r="G10" s="132" t="str">
        <f>IF($F10&lt;&gt;"",$F10,IFERROR(_xlfn.XLOOKUP(ROW(),Taxa_Saknas!$H:$H,Taxa_Saknas!$G:$G),""))</f>
        <v>GRUNDFLB</v>
      </c>
      <c r="H10" s="137" t="str">
        <f>IF($F10&lt;&gt;"",IFERROR(_xlfn.XLOOKUP($F10,Taxa_från_edp!$B:$B,Taxa_från_edp!C:C),""),"")</f>
        <v>Grundavgift, del i flerbostadshus</v>
      </c>
      <c r="I10" s="138" t="str">
        <f>IF($F10&lt;&gt;"",IFERROR(_xlfn.XLOOKUP($F10,Taxa_från_edp!$B:$B,Taxa_från_edp!G:G),""),"")</f>
        <v>ÅRKV</v>
      </c>
      <c r="J10" s="139">
        <f>IF($F10&lt;&gt;"",IFERROR(_xlfn.XLOOKUP($F10,Taxa_från_edp!$B:$B,Taxa_från_edp!K:K),""),"")</f>
        <v>640</v>
      </c>
      <c r="K10" s="148"/>
      <c r="L10" s="152"/>
      <c r="M10" s="156">
        <f t="shared" si="0"/>
        <v>800</v>
      </c>
      <c r="N10" s="157">
        <f t="shared" si="1"/>
        <v>0</v>
      </c>
    </row>
    <row r="11" spans="1:14" x14ac:dyDescent="0.25">
      <c r="A11" s="118" t="s">
        <v>24</v>
      </c>
      <c r="B11" s="118" t="s">
        <v>25</v>
      </c>
      <c r="C11" s="118" t="s">
        <v>35</v>
      </c>
      <c r="D11" s="118"/>
      <c r="E11" s="118" t="s">
        <v>27</v>
      </c>
      <c r="F11" s="127" t="s">
        <v>36</v>
      </c>
      <c r="G11" s="132" t="str">
        <f>IF($F11&lt;&gt;"",$F11,IFERROR(_xlfn.XLOOKUP(ROW(),Taxa_Saknas!$H:$H,Taxa_Saknas!$G:$G),""))</f>
        <v>GRUNDSPEC</v>
      </c>
      <c r="H11" s="137" t="str">
        <f>IF($F11&lt;&gt;"",IFERROR(_xlfn.XLOOKUP($F11,Taxa_från_edp!$B:$B,Taxa_från_edp!C:C),""),"")</f>
        <v/>
      </c>
      <c r="I11" s="138" t="str">
        <f>IF($F11&lt;&gt;"",IFERROR(_xlfn.XLOOKUP($F11,Taxa_från_edp!$B:$B,Taxa_från_edp!G:G),""),"")</f>
        <v/>
      </c>
      <c r="J11" s="139" t="str">
        <f>IF($F11&lt;&gt;"",IFERROR(_xlfn.XLOOKUP($F11,Taxa_från_edp!$B:$B,Taxa_från_edp!K:K),""),"")</f>
        <v/>
      </c>
      <c r="K11" s="148"/>
      <c r="L11" s="152"/>
      <c r="M11" s="156" t="str">
        <f t="shared" si="0"/>
        <v/>
      </c>
      <c r="N11" s="157" t="str">
        <f t="shared" si="1"/>
        <v/>
      </c>
    </row>
    <row r="12" spans="1:14" x14ac:dyDescent="0.25">
      <c r="A12" s="118" t="s">
        <v>24</v>
      </c>
      <c r="B12" s="118" t="s">
        <v>25</v>
      </c>
      <c r="C12" s="118" t="s">
        <v>37</v>
      </c>
      <c r="D12" s="118"/>
      <c r="E12" s="118" t="s">
        <v>27</v>
      </c>
      <c r="F12" s="127" t="s">
        <v>38</v>
      </c>
      <c r="G12" s="132" t="str">
        <f>IF($F12&lt;&gt;"",$F12,IFERROR(_xlfn.XLOOKUP(ROW(),Taxa_Saknas!$H:$H,Taxa_Saknas!$G:$G),""))</f>
        <v>GRUNDANL</v>
      </c>
      <c r="H12" s="137" t="str">
        <f>IF($F12&lt;&gt;"",IFERROR(_xlfn.XLOOKUP($F12,Taxa_från_edp!$B:$B,Taxa_från_edp!C:C),""),"")</f>
        <v/>
      </c>
      <c r="I12" s="138" t="str">
        <f>IF($F12&lt;&gt;"",IFERROR(_xlfn.XLOOKUP($F12,Taxa_från_edp!$B:$B,Taxa_från_edp!G:G),""),"")</f>
        <v/>
      </c>
      <c r="J12" s="139" t="str">
        <f>IF($F12&lt;&gt;"",IFERROR(_xlfn.XLOOKUP($F12,Taxa_från_edp!$B:$B,Taxa_från_edp!K:K),""),"")</f>
        <v/>
      </c>
      <c r="K12" s="148"/>
      <c r="L12" s="152"/>
      <c r="M12" s="156" t="str">
        <f t="shared" si="0"/>
        <v/>
      </c>
      <c r="N12" s="157" t="str">
        <f t="shared" si="1"/>
        <v/>
      </c>
    </row>
    <row r="13" spans="1:14" x14ac:dyDescent="0.25">
      <c r="A13" s="118" t="s">
        <v>24</v>
      </c>
      <c r="B13" s="118" t="s">
        <v>25</v>
      </c>
      <c r="C13" s="118" t="s">
        <v>39</v>
      </c>
      <c r="D13" s="118"/>
      <c r="E13" s="118" t="s">
        <v>27</v>
      </c>
      <c r="F13" s="127" t="s">
        <v>40</v>
      </c>
      <c r="G13" s="132" t="str">
        <f>IF($F13&lt;&gt;"",$F13,IFERROR(_xlfn.XLOOKUP(ROW(),Taxa_Saknas!$H:$H,Taxa_Saknas!$G:$G),""))</f>
        <v>GRUNDSÄS</v>
      </c>
      <c r="H13" s="137" t="str">
        <f>IF($F13&lt;&gt;"",IFERROR(_xlfn.XLOOKUP($F13,Taxa_från_edp!$B:$B,Taxa_från_edp!C:C),""),"")</f>
        <v/>
      </c>
      <c r="I13" s="138" t="str">
        <f>IF($F13&lt;&gt;"",IFERROR(_xlfn.XLOOKUP($F13,Taxa_från_edp!$B:$B,Taxa_från_edp!G:G),""),"")</f>
        <v/>
      </c>
      <c r="J13" s="139" t="str">
        <f>IF($F13&lt;&gt;"",IFERROR(_xlfn.XLOOKUP($F13,Taxa_från_edp!$B:$B,Taxa_från_edp!K:K),""),"")</f>
        <v/>
      </c>
      <c r="K13" s="148"/>
      <c r="L13" s="152"/>
      <c r="M13" s="156" t="str">
        <f t="shared" si="0"/>
        <v/>
      </c>
      <c r="N13" s="157" t="str">
        <f t="shared" si="1"/>
        <v/>
      </c>
    </row>
    <row r="14" spans="1:14" x14ac:dyDescent="0.25">
      <c r="A14" s="118" t="s">
        <v>24</v>
      </c>
      <c r="B14" s="118" t="s">
        <v>25</v>
      </c>
      <c r="C14" s="118" t="s">
        <v>41</v>
      </c>
      <c r="D14" s="118"/>
      <c r="E14" s="118" t="s">
        <v>27</v>
      </c>
      <c r="F14" s="127" t="s">
        <v>42</v>
      </c>
      <c r="G14" s="132" t="str">
        <f>IF($F14&lt;&gt;"",$F14,IFERROR(_xlfn.XLOOKUP(ROW(),Taxa_Saknas!$H:$H,Taxa_Saknas!$G:$G),""))</f>
        <v>GRUNDCAMP</v>
      </c>
      <c r="H14" s="137" t="str">
        <f>IF($F14&lt;&gt;"",IFERROR(_xlfn.XLOOKUP($F14,Taxa_från_edp!$B:$B,Taxa_från_edp!C:C),""),"")</f>
        <v/>
      </c>
      <c r="I14" s="138" t="str">
        <f>IF($F14&lt;&gt;"",IFERROR(_xlfn.XLOOKUP($F14,Taxa_från_edp!$B:$B,Taxa_från_edp!G:G),""),"")</f>
        <v/>
      </c>
      <c r="J14" s="139" t="str">
        <f>IF($F14&lt;&gt;"",IFERROR(_xlfn.XLOOKUP($F14,Taxa_från_edp!$B:$B,Taxa_från_edp!K:K),""),"")</f>
        <v/>
      </c>
      <c r="K14" s="148"/>
      <c r="L14" s="152"/>
      <c r="M14" s="156" t="str">
        <f t="shared" si="0"/>
        <v/>
      </c>
      <c r="N14" s="157" t="str">
        <f t="shared" si="1"/>
        <v/>
      </c>
    </row>
    <row r="15" spans="1:14" ht="45" customHeight="1" x14ac:dyDescent="0.25">
      <c r="A15" s="118" t="s">
        <v>24</v>
      </c>
      <c r="B15" s="118" t="s">
        <v>25</v>
      </c>
      <c r="C15" s="119" t="s">
        <v>43</v>
      </c>
      <c r="D15" s="118"/>
      <c r="E15" s="118" t="s">
        <v>27</v>
      </c>
      <c r="F15" s="127" t="s">
        <v>44</v>
      </c>
      <c r="G15" s="132" t="str">
        <f>IF($F15&lt;&gt;"",$F15,IFERROR(_xlfn.XLOOKUP(ROW(),Taxa_Saknas!$H:$H,Taxa_Saknas!$G:$G),""))</f>
        <v>ADMINDISP</v>
      </c>
      <c r="H15" s="137" t="str">
        <f>IF($F15&lt;&gt;"",IFERROR(_xlfn.XLOOKUP($F15,Taxa_från_edp!$B:$B,Taxa_från_edp!C:C),""),"")</f>
        <v/>
      </c>
      <c r="I15" s="138" t="str">
        <f>IF($F15&lt;&gt;"",IFERROR(_xlfn.XLOOKUP($F15,Taxa_från_edp!$B:$B,Taxa_från_edp!G:G),""),"")</f>
        <v/>
      </c>
      <c r="J15" s="139" t="str">
        <f>IF($F15&lt;&gt;"",IFERROR(_xlfn.XLOOKUP($F15,Taxa_från_edp!$B:$B,Taxa_från_edp!K:K),""),"")</f>
        <v/>
      </c>
      <c r="K15" s="148"/>
      <c r="L15" s="152"/>
      <c r="M15" s="156" t="str">
        <f t="shared" si="0"/>
        <v/>
      </c>
      <c r="N15" s="157" t="str">
        <f t="shared" si="1"/>
        <v/>
      </c>
    </row>
    <row r="16" spans="1:14" ht="21.95" customHeight="1" x14ac:dyDescent="0.25">
      <c r="A16" s="183" t="s">
        <v>24</v>
      </c>
      <c r="B16" s="184"/>
      <c r="C16" s="184"/>
      <c r="D16" s="184"/>
      <c r="E16" s="185"/>
      <c r="F16" s="124"/>
      <c r="G16" s="122" t="str">
        <f>IF($F16&lt;&gt;"",$F16,IFERROR(_xlfn.XLOOKUP(ROW(),Taxa_Saknas!$H:$H,Taxa_Saknas!$G:$G),""))</f>
        <v/>
      </c>
      <c r="H16" s="122" t="str">
        <f>IF($F16&lt;&gt;"",IFERROR(_xlfn.XLOOKUP($F16,Taxa_från_edp!$B:$B,Taxa_från_edp!C:C),""),"")</f>
        <v/>
      </c>
      <c r="I16" s="122" t="str">
        <f>IF($F16&lt;&gt;"",IFERROR(_xlfn.XLOOKUP($F16,Taxa_från_edp!$B:$B,Taxa_från_edp!G:G),""),"")</f>
        <v/>
      </c>
      <c r="J16" s="122" t="str">
        <f>IF($F16&lt;&gt;"",IFERROR(_xlfn.XLOOKUP($F16,Taxa_från_edp!$B:$B,Taxa_från_edp!K:K),""),"")</f>
        <v/>
      </c>
      <c r="K16" s="122"/>
      <c r="L16" s="122"/>
      <c r="M16" s="122" t="str">
        <f t="shared" si="0"/>
        <v/>
      </c>
      <c r="N16" s="123" t="str">
        <f t="shared" si="1"/>
        <v/>
      </c>
    </row>
    <row r="17" spans="1:14" ht="21.95" customHeight="1" x14ac:dyDescent="0.25">
      <c r="A17" s="183" t="s">
        <v>45</v>
      </c>
      <c r="B17" s="184"/>
      <c r="C17" s="184"/>
      <c r="D17" s="184"/>
      <c r="E17" s="185"/>
      <c r="F17" s="121"/>
      <c r="G17" s="125" t="str">
        <f>IF($F17&lt;&gt;"",$F17,IFERROR(_xlfn.XLOOKUP(ROW(),Taxa_Saknas!$H:$H,Taxa_Saknas!$G:$G),""))</f>
        <v/>
      </c>
      <c r="H17" s="125" t="str">
        <f>IF($F17&lt;&gt;"",IFERROR(_xlfn.XLOOKUP($F17,Taxa_från_edp!$B:$B,Taxa_från_edp!C:C),""),"")</f>
        <v/>
      </c>
      <c r="I17" s="126" t="str">
        <f>IF($F17&lt;&gt;"",IFERROR(_xlfn.XLOOKUP($F17,Taxa_från_edp!$B:$B,Taxa_från_edp!G:G),""),"")</f>
        <v/>
      </c>
      <c r="J17" s="126" t="str">
        <f>IF($F17&lt;&gt;"",IFERROR(_xlfn.XLOOKUP($F17,Taxa_från_edp!$B:$B,Taxa_från_edp!K:K),""),"")</f>
        <v/>
      </c>
      <c r="K17" s="126"/>
      <c r="L17" s="126"/>
      <c r="M17" s="122" t="str">
        <f t="shared" si="0"/>
        <v/>
      </c>
      <c r="N17" s="123" t="str">
        <f t="shared" si="1"/>
        <v/>
      </c>
    </row>
    <row r="18" spans="1:14" ht="30" customHeight="1" x14ac:dyDescent="0.25">
      <c r="A18" s="118" t="s">
        <v>46</v>
      </c>
      <c r="B18" s="118" t="s">
        <v>47</v>
      </c>
      <c r="C18" s="118" t="s">
        <v>48</v>
      </c>
      <c r="D18" s="118" t="s">
        <v>49</v>
      </c>
      <c r="E18" s="118" t="s">
        <v>27</v>
      </c>
      <c r="F18" s="127" t="s">
        <v>50</v>
      </c>
      <c r="G18" s="132" t="str">
        <f>IF($F18&lt;&gt;"",$F18,IFERROR(_xlfn.XLOOKUP(ROW(),Taxa_Saknas!$H:$H,Taxa_Saknas!$G:$G),""))</f>
        <v>KÄ240RM26</v>
      </c>
      <c r="H18" s="137" t="str">
        <f>IF($F18&lt;&gt;"",IFERROR(_xlfn.XLOOKUP($F18,Taxa_från_edp!$B:$B,Taxa_från_edp!C:C),""),"")</f>
        <v>Tvåfackskärl 240L, rest/matavfall. Var 14:e dag</v>
      </c>
      <c r="I18" s="138" t="str">
        <f>IF($F18&lt;&gt;"",IFERROR(_xlfn.XLOOKUP($F18,Taxa_från_edp!$B:$B,Taxa_från_edp!G:G),""),"")</f>
        <v>ÅRKV</v>
      </c>
      <c r="J18" s="139">
        <f>IF($F18&lt;&gt;"",IFERROR(_xlfn.XLOOKUP($F18,Taxa_från_edp!$B:$B,Taxa_från_edp!K:K),""),"")</f>
        <v>680</v>
      </c>
      <c r="K18" s="148"/>
      <c r="L18" s="152"/>
      <c r="M18" s="156">
        <f t="shared" si="0"/>
        <v>850</v>
      </c>
      <c r="N18" s="157">
        <f t="shared" si="1"/>
        <v>0</v>
      </c>
    </row>
    <row r="19" spans="1:14" ht="30" customHeight="1" x14ac:dyDescent="0.25">
      <c r="A19" s="118" t="s">
        <v>46</v>
      </c>
      <c r="B19" s="118" t="s">
        <v>47</v>
      </c>
      <c r="C19" s="118" t="s">
        <v>48</v>
      </c>
      <c r="D19" s="118" t="s">
        <v>51</v>
      </c>
      <c r="E19" s="118" t="s">
        <v>27</v>
      </c>
      <c r="F19" s="127" t="s">
        <v>52</v>
      </c>
      <c r="G19" s="132" t="str">
        <f>IF($F19&lt;&gt;"",$F19,IFERROR(_xlfn.XLOOKUP(ROW(),Taxa_Saknas!$H:$H,Taxa_Saknas!$G:$G),""))</f>
        <v>KÄ240RM12</v>
      </c>
      <c r="H19" s="137" t="str">
        <f>IF($F19&lt;&gt;"",IFERROR(_xlfn.XLOOKUP($F19,Taxa_från_edp!$B:$B,Taxa_från_edp!C:C),""),"")</f>
        <v/>
      </c>
      <c r="I19" s="138" t="str">
        <f>IF($F19&lt;&gt;"",IFERROR(_xlfn.XLOOKUP($F19,Taxa_från_edp!$B:$B,Taxa_från_edp!G:G),""),"")</f>
        <v/>
      </c>
      <c r="J19" s="139" t="str">
        <f>IF($F19&lt;&gt;"",IFERROR(_xlfn.XLOOKUP($F19,Taxa_från_edp!$B:$B,Taxa_från_edp!K:K),""),"")</f>
        <v/>
      </c>
      <c r="K19" s="148"/>
      <c r="L19" s="152"/>
      <c r="M19" s="156" t="str">
        <f t="shared" si="0"/>
        <v/>
      </c>
      <c r="N19" s="157" t="str">
        <f t="shared" si="1"/>
        <v/>
      </c>
    </row>
    <row r="20" spans="1:14" ht="30" customHeight="1" x14ac:dyDescent="0.25">
      <c r="A20" s="118" t="s">
        <v>46</v>
      </c>
      <c r="B20" s="118" t="s">
        <v>47</v>
      </c>
      <c r="C20" s="118" t="s">
        <v>53</v>
      </c>
      <c r="D20" s="118" t="s">
        <v>49</v>
      </c>
      <c r="E20" s="118" t="s">
        <v>27</v>
      </c>
      <c r="F20" s="127" t="s">
        <v>54</v>
      </c>
      <c r="G20" s="132" t="str">
        <f>IF($F20&lt;&gt;"",$F20,IFERROR(_xlfn.XLOOKUP(ROW(),Taxa_Saknas!$H:$H,Taxa_Saknas!$G:$G),""))</f>
        <v>KÄ190XRM26</v>
      </c>
      <c r="H20" s="137" t="str">
        <f>IF($F20&lt;&gt;"",IFERROR(_xlfn.XLOOKUP($F20,Taxa_från_edp!$B:$B,Taxa_från_edp!C:C),""),"")</f>
        <v>Kärl 120-190L extrakärl, rest/matavfall. Var 14:e dag</v>
      </c>
      <c r="I20" s="138" t="str">
        <f>IF($F20&lt;&gt;"",IFERROR(_xlfn.XLOOKUP($F20,Taxa_från_edp!$B:$B,Taxa_från_edp!G:G),""),"")</f>
        <v>ÅRKV</v>
      </c>
      <c r="J20" s="139">
        <f>IF($F20&lt;&gt;"",IFERROR(_xlfn.XLOOKUP($F20,Taxa_från_edp!$B:$B,Taxa_från_edp!K:K),""),"")</f>
        <v>680</v>
      </c>
      <c r="K20" s="148"/>
      <c r="L20" s="152"/>
      <c r="M20" s="156">
        <f t="shared" si="0"/>
        <v>850</v>
      </c>
      <c r="N20" s="157">
        <f t="shared" si="1"/>
        <v>0</v>
      </c>
    </row>
    <row r="21" spans="1:14" ht="30" customHeight="1" x14ac:dyDescent="0.25">
      <c r="A21" s="118" t="s">
        <v>46</v>
      </c>
      <c r="B21" s="118" t="s">
        <v>47</v>
      </c>
      <c r="C21" s="118" t="s">
        <v>53</v>
      </c>
      <c r="D21" s="118" t="s">
        <v>51</v>
      </c>
      <c r="E21" s="118" t="s">
        <v>27</v>
      </c>
      <c r="F21" s="127" t="s">
        <v>55</v>
      </c>
      <c r="G21" s="132" t="str">
        <f>IF($F21&lt;&gt;"",$F21,IFERROR(_xlfn.XLOOKUP(ROW(),Taxa_Saknas!$H:$H,Taxa_Saknas!$G:$G),""))</f>
        <v>KÄ190XRM12</v>
      </c>
      <c r="H21" s="137" t="str">
        <f>IF($F21&lt;&gt;"",IFERROR(_xlfn.XLOOKUP($F21,Taxa_från_edp!$B:$B,Taxa_från_edp!C:C),""),"")</f>
        <v/>
      </c>
      <c r="I21" s="138" t="str">
        <f>IF($F21&lt;&gt;"",IFERROR(_xlfn.XLOOKUP($F21,Taxa_från_edp!$B:$B,Taxa_från_edp!G:G),""),"")</f>
        <v/>
      </c>
      <c r="J21" s="139" t="str">
        <f>IF($F21&lt;&gt;"",IFERROR(_xlfn.XLOOKUP($F21,Taxa_från_edp!$B:$B,Taxa_från_edp!K:K),""),"")</f>
        <v/>
      </c>
      <c r="K21" s="148"/>
      <c r="L21" s="152"/>
      <c r="M21" s="156" t="str">
        <f t="shared" si="0"/>
        <v/>
      </c>
      <c r="N21" s="157" t="str">
        <f t="shared" si="1"/>
        <v/>
      </c>
    </row>
    <row r="22" spans="1:14" x14ac:dyDescent="0.25">
      <c r="A22" s="186" t="s">
        <v>46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8"/>
      <c r="M22" s="156" t="str">
        <f t="shared" si="0"/>
        <v/>
      </c>
      <c r="N22" s="157" t="str">
        <f t="shared" si="1"/>
        <v/>
      </c>
    </row>
    <row r="23" spans="1:14" ht="21.95" customHeight="1" x14ac:dyDescent="0.25">
      <c r="A23" s="183" t="s">
        <v>46</v>
      </c>
      <c r="B23" s="184"/>
      <c r="C23" s="184"/>
      <c r="D23" s="184"/>
      <c r="E23" s="185"/>
      <c r="F23" s="121"/>
      <c r="G23" s="125" t="str">
        <f>IF($F23&lt;&gt;"",$F23,IFERROR(_xlfn.XLOOKUP(ROW(),Taxa_Saknas!$H:$H,Taxa_Saknas!$G:$G),""))</f>
        <v/>
      </c>
      <c r="H23" s="125" t="str">
        <f>IF($F23&lt;&gt;"",IFERROR(_xlfn.XLOOKUP($F23,Taxa_från_edp!$B:$B,Taxa_från_edp!C:C),""),"")</f>
        <v/>
      </c>
      <c r="I23" s="126" t="str">
        <f>IF($F23&lt;&gt;"",IFERROR(_xlfn.XLOOKUP($F23,Taxa_från_edp!$B:$B,Taxa_från_edp!G:G),""),"")</f>
        <v/>
      </c>
      <c r="J23" s="126" t="str">
        <f>IF($F23&lt;&gt;"",IFERROR(_xlfn.XLOOKUP($F23,Taxa_från_edp!$B:$B,Taxa_från_edp!K:K),""),"")</f>
        <v/>
      </c>
      <c r="K23" s="126"/>
      <c r="L23" s="126"/>
      <c r="M23" s="122" t="str">
        <f t="shared" si="0"/>
        <v/>
      </c>
      <c r="N23" s="123" t="str">
        <f t="shared" si="1"/>
        <v/>
      </c>
    </row>
    <row r="24" spans="1:14" ht="21.95" customHeight="1" x14ac:dyDescent="0.25">
      <c r="A24" s="183" t="s">
        <v>56</v>
      </c>
      <c r="B24" s="184"/>
      <c r="C24" s="184"/>
      <c r="D24" s="184"/>
      <c r="E24" s="185"/>
      <c r="F24" s="121"/>
      <c r="G24" s="125" t="str">
        <f>IF($F24&lt;&gt;"",$F24,IFERROR(_xlfn.XLOOKUP(ROW(),Taxa_Saknas!$H:$H,Taxa_Saknas!$G:$G),""))</f>
        <v/>
      </c>
      <c r="H24" s="125" t="str">
        <f>IF($F24&lt;&gt;"",IFERROR(_xlfn.XLOOKUP($F24,Taxa_från_edp!$B:$B,Taxa_från_edp!C:C),""),"")</f>
        <v/>
      </c>
      <c r="I24" s="126" t="str">
        <f>IF($F24&lt;&gt;"",IFERROR(_xlfn.XLOOKUP($F24,Taxa_från_edp!$B:$B,Taxa_från_edp!G:G),""),"")</f>
        <v/>
      </c>
      <c r="J24" s="126" t="str">
        <f>IF($F24&lt;&gt;"",IFERROR(_xlfn.XLOOKUP($F24,Taxa_från_edp!$B:$B,Taxa_från_edp!K:K),""),"")</f>
        <v/>
      </c>
      <c r="K24" s="126"/>
      <c r="L24" s="126"/>
      <c r="M24" s="122" t="str">
        <f t="shared" si="0"/>
        <v/>
      </c>
      <c r="N24" s="123" t="str">
        <f t="shared" si="1"/>
        <v/>
      </c>
    </row>
    <row r="25" spans="1:14" ht="45" customHeight="1" x14ac:dyDescent="0.25">
      <c r="A25" s="118" t="s">
        <v>57</v>
      </c>
      <c r="B25" s="118" t="s">
        <v>58</v>
      </c>
      <c r="C25" s="118" t="s">
        <v>48</v>
      </c>
      <c r="D25" s="118" t="s">
        <v>49</v>
      </c>
      <c r="E25" s="118" t="s">
        <v>27</v>
      </c>
      <c r="F25" s="127" t="s">
        <v>59</v>
      </c>
      <c r="G25" s="132" t="str">
        <f>IF($F25&lt;&gt;"",$F25,IFERROR(_xlfn.XLOOKUP(ROW(),Taxa_Saknas!$H:$H,Taxa_Saknas!$G:$G),""))</f>
        <v>KÄ240RM26FRI</v>
      </c>
      <c r="H25" s="137" t="str">
        <f>IF($F25&lt;&gt;"",IFERROR(_xlfn.XLOOKUP($F25,Taxa_från_edp!$B:$B,Taxa_från_edp!C:C),""),"")</f>
        <v>Tvåfackskärl 240L, rest/matavfall. Var 14:e dag fritidshus</v>
      </c>
      <c r="I25" s="138" t="str">
        <f>IF($F25&lt;&gt;"",IFERROR(_xlfn.XLOOKUP($F25,Taxa_från_edp!$B:$B,Taxa_från_edp!G:G),""),"")</f>
        <v>ÅRKV</v>
      </c>
      <c r="J25" s="139">
        <f>IF($F25&lt;&gt;"",IFERROR(_xlfn.XLOOKUP($F25,Taxa_från_edp!$B:$B,Taxa_från_edp!K:K),""),"")</f>
        <v>680</v>
      </c>
      <c r="K25" s="148"/>
      <c r="L25" s="152"/>
      <c r="M25" s="156">
        <f t="shared" si="0"/>
        <v>850</v>
      </c>
      <c r="N25" s="157">
        <f t="shared" si="1"/>
        <v>0</v>
      </c>
    </row>
    <row r="26" spans="1:14" ht="45" customHeight="1" x14ac:dyDescent="0.25">
      <c r="A26" s="118" t="s">
        <v>57</v>
      </c>
      <c r="B26" s="118" t="s">
        <v>58</v>
      </c>
      <c r="C26" s="118" t="s">
        <v>48</v>
      </c>
      <c r="D26" s="118" t="s">
        <v>51</v>
      </c>
      <c r="E26" s="118" t="s">
        <v>27</v>
      </c>
      <c r="F26" s="127" t="s">
        <v>60</v>
      </c>
      <c r="G26" s="132" t="str">
        <f>IF($F26&lt;&gt;"",$F26,IFERROR(_xlfn.XLOOKUP(ROW(),Taxa_Saknas!$H:$H,Taxa_Saknas!$G:$G),""))</f>
        <v>KÄ240RM12FRI</v>
      </c>
      <c r="H26" s="137" t="str">
        <f>IF($F26&lt;&gt;"",IFERROR(_xlfn.XLOOKUP($F26,Taxa_från_edp!$B:$B,Taxa_från_edp!C:C),""),"")</f>
        <v/>
      </c>
      <c r="I26" s="138" t="str">
        <f>IF($F26&lt;&gt;"",IFERROR(_xlfn.XLOOKUP($F26,Taxa_från_edp!$B:$B,Taxa_från_edp!G:G),""),"")</f>
        <v/>
      </c>
      <c r="J26" s="139" t="str">
        <f>IF($F26&lt;&gt;"",IFERROR(_xlfn.XLOOKUP($F26,Taxa_från_edp!$B:$B,Taxa_från_edp!K:K),""),"")</f>
        <v/>
      </c>
      <c r="K26" s="148"/>
      <c r="L26" s="152"/>
      <c r="M26" s="156" t="str">
        <f t="shared" si="0"/>
        <v/>
      </c>
      <c r="N26" s="157" t="str">
        <f t="shared" si="1"/>
        <v/>
      </c>
    </row>
    <row r="27" spans="1:14" ht="45" customHeight="1" x14ac:dyDescent="0.25">
      <c r="A27" s="118" t="s">
        <v>57</v>
      </c>
      <c r="B27" s="118" t="s">
        <v>58</v>
      </c>
      <c r="C27" s="118" t="s">
        <v>53</v>
      </c>
      <c r="D27" s="118" t="s">
        <v>49</v>
      </c>
      <c r="E27" s="118" t="s">
        <v>27</v>
      </c>
      <c r="F27" s="127" t="s">
        <v>61</v>
      </c>
      <c r="G27" s="132" t="str">
        <f>IF($F27&lt;&gt;"",$F27,IFERROR(_xlfn.XLOOKUP(ROW(),Taxa_Saknas!$H:$H,Taxa_Saknas!$G:$G),""))</f>
        <v>KÄ190XRM26FRI</v>
      </c>
      <c r="H27" s="137" t="str">
        <f>IF($F27&lt;&gt;"",IFERROR(_xlfn.XLOOKUP($F27,Taxa_från_edp!$B:$B,Taxa_från_edp!C:C),""),"")</f>
        <v/>
      </c>
      <c r="I27" s="138" t="str">
        <f>IF($F27&lt;&gt;"",IFERROR(_xlfn.XLOOKUP($F27,Taxa_från_edp!$B:$B,Taxa_från_edp!G:G),""),"")</f>
        <v/>
      </c>
      <c r="J27" s="139" t="str">
        <f>IF($F27&lt;&gt;"",IFERROR(_xlfn.XLOOKUP($F27,Taxa_från_edp!$B:$B,Taxa_från_edp!K:K),""),"")</f>
        <v/>
      </c>
      <c r="K27" s="148"/>
      <c r="L27" s="152"/>
      <c r="M27" s="156" t="str">
        <f t="shared" si="0"/>
        <v/>
      </c>
      <c r="N27" s="157" t="str">
        <f t="shared" si="1"/>
        <v/>
      </c>
    </row>
    <row r="28" spans="1:14" x14ac:dyDescent="0.25">
      <c r="A28" s="186" t="s">
        <v>57</v>
      </c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8"/>
      <c r="M28" s="156" t="str">
        <f t="shared" si="0"/>
        <v/>
      </c>
      <c r="N28" s="157" t="str">
        <f t="shared" si="1"/>
        <v/>
      </c>
    </row>
    <row r="29" spans="1:14" ht="30" customHeight="1" x14ac:dyDescent="0.25">
      <c r="A29" s="118" t="s">
        <v>57</v>
      </c>
      <c r="B29" s="118" t="s">
        <v>58</v>
      </c>
      <c r="C29" s="118" t="s">
        <v>62</v>
      </c>
      <c r="D29" s="118" t="s">
        <v>63</v>
      </c>
      <c r="E29" s="118" t="s">
        <v>27</v>
      </c>
      <c r="F29" s="129" t="s">
        <v>64</v>
      </c>
      <c r="G29" s="134" t="str">
        <f>IF($F29&lt;&gt;"",$F29,IFERROR(_xlfn.XLOOKUP(ROW(),Taxa_Saknas!$H:$H,Taxa_Saknas!$G:$G),""))</f>
        <v>KÄ370FP</v>
      </c>
      <c r="H29" s="141" t="str">
        <f>IF($F29&lt;&gt;"",IFERROR(_xlfn.XLOOKUP($F29,Taxa_från_edp!$B:$B,Taxa_från_edp!C:C),""),"")</f>
        <v/>
      </c>
      <c r="I29" s="142" t="str">
        <f>IF($F29&lt;&gt;"",IFERROR(_xlfn.XLOOKUP($F29,Taxa_från_edp!$B:$B,Taxa_från_edp!G:G),""),"")</f>
        <v/>
      </c>
      <c r="J29" s="143" t="str">
        <f>IF($F29&lt;&gt;"",IFERROR(_xlfn.XLOOKUP($F29,Taxa_från_edp!$B:$B,Taxa_från_edp!K:K),""),"")</f>
        <v/>
      </c>
      <c r="K29" s="149"/>
      <c r="L29" s="153"/>
      <c r="M29" s="156" t="str">
        <f t="shared" si="0"/>
        <v/>
      </c>
      <c r="N29" s="157" t="str">
        <f t="shared" si="1"/>
        <v/>
      </c>
    </row>
    <row r="30" spans="1:14" ht="21.95" customHeight="1" x14ac:dyDescent="0.25">
      <c r="A30" s="183" t="s">
        <v>57</v>
      </c>
      <c r="B30" s="184"/>
      <c r="C30" s="184"/>
      <c r="D30" s="184"/>
      <c r="E30" s="185"/>
      <c r="F30" s="121"/>
      <c r="G30" s="125" t="str">
        <f>IF($F30&lt;&gt;"",$F30,IFERROR(_xlfn.XLOOKUP(ROW(),Taxa_Saknas!$H:$H,Taxa_Saknas!$G:$G),""))</f>
        <v/>
      </c>
      <c r="H30" s="125" t="str">
        <f>IF($F30&lt;&gt;"",IFERROR(_xlfn.XLOOKUP($F30,Taxa_från_edp!$B:$B,Taxa_från_edp!C:C),""),"")</f>
        <v/>
      </c>
      <c r="I30" s="126" t="str">
        <f>IF($F30&lt;&gt;"",IFERROR(_xlfn.XLOOKUP($F30,Taxa_från_edp!$B:$B,Taxa_från_edp!G:G),""),"")</f>
        <v/>
      </c>
      <c r="J30" s="126" t="str">
        <f>IF($F30&lt;&gt;"",IFERROR(_xlfn.XLOOKUP($F30,Taxa_från_edp!$B:$B,Taxa_från_edp!K:K),""),"")</f>
        <v/>
      </c>
      <c r="K30" s="126"/>
      <c r="L30" s="126"/>
      <c r="M30" s="122" t="str">
        <f t="shared" si="0"/>
        <v/>
      </c>
      <c r="N30" s="123" t="str">
        <f t="shared" si="1"/>
        <v/>
      </c>
    </row>
    <row r="31" spans="1:14" ht="21.95" customHeight="1" x14ac:dyDescent="0.25">
      <c r="A31" s="183" t="s">
        <v>65</v>
      </c>
      <c r="B31" s="184"/>
      <c r="C31" s="184"/>
      <c r="D31" s="184"/>
      <c r="E31" s="185"/>
      <c r="F31" s="121"/>
      <c r="G31" s="125" t="str">
        <f>IF($F31&lt;&gt;"",$F31,IFERROR(_xlfn.XLOOKUP(ROW(),Taxa_Saknas!$H:$H,Taxa_Saknas!$G:$G),""))</f>
        <v/>
      </c>
      <c r="H31" s="125" t="str">
        <f>IF($F31&lt;&gt;"",IFERROR(_xlfn.XLOOKUP($F31,Taxa_från_edp!$B:$B,Taxa_från_edp!C:C),""),"")</f>
        <v/>
      </c>
      <c r="I31" s="126" t="str">
        <f>IF($F31&lt;&gt;"",IFERROR(_xlfn.XLOOKUP($F31,Taxa_från_edp!$B:$B,Taxa_från_edp!G:G),""),"")</f>
        <v/>
      </c>
      <c r="J31" s="126" t="str">
        <f>IF($F31&lt;&gt;"",IFERROR(_xlfn.XLOOKUP($F31,Taxa_från_edp!$B:$B,Taxa_från_edp!K:K),""),"")</f>
        <v/>
      </c>
      <c r="K31" s="126"/>
      <c r="L31" s="126"/>
      <c r="M31" s="122" t="str">
        <f t="shared" si="0"/>
        <v/>
      </c>
      <c r="N31" s="123" t="str">
        <f t="shared" si="1"/>
        <v/>
      </c>
    </row>
    <row r="32" spans="1:14" ht="30" customHeight="1" x14ac:dyDescent="0.25">
      <c r="A32" s="118" t="s">
        <v>66</v>
      </c>
      <c r="B32" s="118" t="s">
        <v>67</v>
      </c>
      <c r="C32" s="118" t="s">
        <v>68</v>
      </c>
      <c r="D32" s="118"/>
      <c r="E32" s="118" t="s">
        <v>27</v>
      </c>
      <c r="F32" s="127" t="s">
        <v>69</v>
      </c>
      <c r="G32" s="132" t="str">
        <f>IF($F32&lt;&gt;"",$F32,IFERROR(_xlfn.XLOOKUP(ROW(),Taxa_Saknas!$H:$H,Taxa_Saknas!$G:$G),""))</f>
        <v>GEMUPPFRI</v>
      </c>
      <c r="H32" s="137" t="str">
        <f>IF($F32&lt;&gt;"",IFERROR(_xlfn.XLOOKUP($F32,Taxa_från_edp!$B:$B,Taxa_från_edp!C:C),""),"")</f>
        <v>Gemensam uppsamlingsplats, fritidshus</v>
      </c>
      <c r="I32" s="138" t="str">
        <f>IF($F32&lt;&gt;"",IFERROR(_xlfn.XLOOKUP($F32,Taxa_från_edp!$B:$B,Taxa_från_edp!G:G),""),"")</f>
        <v>ÅRKV</v>
      </c>
      <c r="J32" s="139">
        <f>IF($F32&lt;&gt;"",IFERROR(_xlfn.XLOOKUP($F32,Taxa_från_edp!$B:$B,Taxa_från_edp!K:K),""),"")</f>
        <v>600</v>
      </c>
      <c r="K32" s="148"/>
      <c r="L32" s="152"/>
      <c r="M32" s="156">
        <f t="shared" si="0"/>
        <v>750</v>
      </c>
      <c r="N32" s="157">
        <f t="shared" si="1"/>
        <v>0</v>
      </c>
    </row>
    <row r="33" spans="1:14" ht="30" customHeight="1" x14ac:dyDescent="0.25">
      <c r="A33" s="118" t="s">
        <v>66</v>
      </c>
      <c r="B33" s="118" t="s">
        <v>67</v>
      </c>
      <c r="C33" s="118" t="s">
        <v>70</v>
      </c>
      <c r="D33" s="118" t="s">
        <v>63</v>
      </c>
      <c r="E33" s="118" t="s">
        <v>27</v>
      </c>
      <c r="F33" s="127" t="s">
        <v>69</v>
      </c>
      <c r="G33" s="132" t="str">
        <f>IF($F33&lt;&gt;"",$F33,IFERROR(_xlfn.XLOOKUP(ROW(),Taxa_Saknas!$H:$H,Taxa_Saknas!$G:$G),""))</f>
        <v>GEMUPPFRI</v>
      </c>
      <c r="H33" s="137" t="str">
        <f>IF($F33&lt;&gt;"",IFERROR(_xlfn.XLOOKUP($F33,Taxa_från_edp!$B:$B,Taxa_från_edp!C:C),""),"")</f>
        <v>Gemensam uppsamlingsplats, fritidshus</v>
      </c>
      <c r="I33" s="138" t="str">
        <f>IF($F33&lt;&gt;"",IFERROR(_xlfn.XLOOKUP($F33,Taxa_från_edp!$B:$B,Taxa_från_edp!G:G),""),"")</f>
        <v>ÅRKV</v>
      </c>
      <c r="J33" s="139">
        <f>IF($F33&lt;&gt;"",IFERROR(_xlfn.XLOOKUP($F33,Taxa_från_edp!$B:$B,Taxa_från_edp!K:K),""),"")</f>
        <v>600</v>
      </c>
      <c r="K33" s="148"/>
      <c r="L33" s="152"/>
      <c r="M33" s="156">
        <f t="shared" si="0"/>
        <v>750</v>
      </c>
      <c r="N33" s="157">
        <f t="shared" si="1"/>
        <v>0</v>
      </c>
    </row>
    <row r="34" spans="1:14" ht="30" customHeight="1" x14ac:dyDescent="0.25">
      <c r="A34" s="118" t="s">
        <v>66</v>
      </c>
      <c r="B34" s="118" t="s">
        <v>67</v>
      </c>
      <c r="C34" s="118" t="s">
        <v>71</v>
      </c>
      <c r="D34" s="118"/>
      <c r="E34" s="118" t="s">
        <v>27</v>
      </c>
      <c r="F34" s="127" t="s">
        <v>72</v>
      </c>
      <c r="G34" s="132" t="str">
        <f>IF($F34&lt;&gt;"",$F34,IFERROR(_xlfn.XLOOKUP(ROW(),Taxa_Saknas!$H:$H,Taxa_Saknas!$G:$G),""))</f>
        <v>GEMUPPEXTRAFRI</v>
      </c>
      <c r="H34" s="137" t="str">
        <f>IF($F34&lt;&gt;"",IFERROR(_xlfn.XLOOKUP($F34,Taxa_från_edp!$B:$B,Taxa_från_edp!C:C),""),"")</f>
        <v>Extra mobilnyckel till Gemensam uppsamlingsplats, fritidshus</v>
      </c>
      <c r="I34" s="138" t="str">
        <f>IF($F34&lt;&gt;"",IFERROR(_xlfn.XLOOKUP($F34,Taxa_från_edp!$B:$B,Taxa_från_edp!G:G),""),"")</f>
        <v>ÅRPR</v>
      </c>
      <c r="J34" s="139">
        <f>IF($F34&lt;&gt;"",IFERROR(_xlfn.XLOOKUP($F34,Taxa_från_edp!$B:$B,Taxa_från_edp!K:K),""),"")</f>
        <v>80</v>
      </c>
      <c r="K34" s="148"/>
      <c r="L34" s="152"/>
      <c r="M34" s="156">
        <f t="shared" si="0"/>
        <v>100</v>
      </c>
      <c r="N34" s="157">
        <f t="shared" si="1"/>
        <v>0</v>
      </c>
    </row>
    <row r="35" spans="1:14" ht="30" customHeight="1" x14ac:dyDescent="0.25">
      <c r="A35" s="118" t="s">
        <v>66</v>
      </c>
      <c r="B35" s="118" t="s">
        <v>67</v>
      </c>
      <c r="C35" s="118" t="s">
        <v>73</v>
      </c>
      <c r="D35" s="118"/>
      <c r="E35" s="118" t="s">
        <v>74</v>
      </c>
      <c r="F35" s="129" t="s">
        <v>75</v>
      </c>
      <c r="G35" s="134" t="str">
        <f>IF($F35&lt;&gt;"",$F35,IFERROR(_xlfn.XLOOKUP(ROW(),Taxa_Saknas!$H:$H,Taxa_Saknas!$G:$G),""))</f>
        <v>FOBFRI</v>
      </c>
      <c r="H35" s="141" t="str">
        <f>IF($F35&lt;&gt;"",IFERROR(_xlfn.XLOOKUP($F35,Taxa_från_edp!$B:$B,Taxa_från_edp!C:C),""),"")</f>
        <v>Nyckelfob mat- och restavfall fritidshus (engångs)</v>
      </c>
      <c r="I35" s="142" t="str">
        <f>IF($F35&lt;&gt;"",IFERROR(_xlfn.XLOOKUP($F35,Taxa_från_edp!$B:$B,Taxa_från_edp!G:G),""),"")</f>
        <v>KVAN</v>
      </c>
      <c r="J35" s="143">
        <f>IF($F35&lt;&gt;"",IFERROR(_xlfn.XLOOKUP($F35,Taxa_från_edp!$B:$B,Taxa_från_edp!K:K),""),"")</f>
        <v>1200</v>
      </c>
      <c r="K35" s="149"/>
      <c r="L35" s="153"/>
      <c r="M35" s="156">
        <f t="shared" si="0"/>
        <v>1500</v>
      </c>
      <c r="N35" s="157">
        <f t="shared" si="1"/>
        <v>0</v>
      </c>
    </row>
    <row r="36" spans="1:14" ht="30" customHeight="1" x14ac:dyDescent="0.25">
      <c r="A36" s="118" t="s">
        <v>66</v>
      </c>
      <c r="B36" s="118" t="s">
        <v>67</v>
      </c>
      <c r="C36" s="118" t="s">
        <v>76</v>
      </c>
      <c r="D36" s="118"/>
      <c r="E36" s="118" t="s">
        <v>74</v>
      </c>
      <c r="F36" s="129" t="s">
        <v>77</v>
      </c>
      <c r="G36" s="134" t="str">
        <f>IF($F36&lt;&gt;"",$F36,IFERROR(_xlfn.XLOOKUP(ROW(),Taxa_Saknas!$H:$H,Taxa_Saknas!$G:$G),""))</f>
        <v>GEMUPPBYTE</v>
      </c>
      <c r="H36" s="141" t="str">
        <f>IF($F36&lt;&gt;"",IFERROR(_xlfn.XLOOKUP($F36,Taxa_från_edp!$B:$B,Taxa_från_edp!C:C),""),"")</f>
        <v/>
      </c>
      <c r="I36" s="142" t="str">
        <f>IF($F36&lt;&gt;"",IFERROR(_xlfn.XLOOKUP($F36,Taxa_från_edp!$B:$B,Taxa_från_edp!G:G),""),"")</f>
        <v/>
      </c>
      <c r="J36" s="143" t="str">
        <f>IF($F36&lt;&gt;"",IFERROR(_xlfn.XLOOKUP($F36,Taxa_från_edp!$B:$B,Taxa_från_edp!K:K),""),"")</f>
        <v/>
      </c>
      <c r="K36" s="149"/>
      <c r="L36" s="153"/>
      <c r="M36" s="156" t="str">
        <f t="shared" si="0"/>
        <v/>
      </c>
      <c r="N36" s="157" t="str">
        <f t="shared" si="1"/>
        <v/>
      </c>
    </row>
    <row r="37" spans="1:14" ht="30" customHeight="1" x14ac:dyDescent="0.25">
      <c r="A37" s="118" t="s">
        <v>66</v>
      </c>
      <c r="B37" s="118" t="s">
        <v>67</v>
      </c>
      <c r="C37" s="118" t="s">
        <v>78</v>
      </c>
      <c r="D37" s="118"/>
      <c r="E37" s="118" t="s">
        <v>74</v>
      </c>
      <c r="F37" s="127" t="s">
        <v>79</v>
      </c>
      <c r="G37" s="132" t="str">
        <f>IF($F37&lt;&gt;"",$F37,IFERROR(_xlfn.XLOOKUP(ROW(),Taxa_Saknas!$H:$H,Taxa_Saknas!$G:$G),""))</f>
        <v>GEMUPPÖPP</v>
      </c>
      <c r="H37" s="137" t="str">
        <f>IF($F37&lt;&gt;"",IFERROR(_xlfn.XLOOKUP($F37,Taxa_från_edp!$B:$B,Taxa_från_edp!C:C),""),"")</f>
        <v/>
      </c>
      <c r="I37" s="138" t="str">
        <f>IF($F37&lt;&gt;"",IFERROR(_xlfn.XLOOKUP($F37,Taxa_från_edp!$B:$B,Taxa_från_edp!G:G),""),"")</f>
        <v/>
      </c>
      <c r="J37" s="139" t="str">
        <f>IF($F37&lt;&gt;"",IFERROR(_xlfn.XLOOKUP($F37,Taxa_från_edp!$B:$B,Taxa_från_edp!K:K),""),"")</f>
        <v/>
      </c>
      <c r="K37" s="148"/>
      <c r="L37" s="152"/>
      <c r="M37" s="156" t="str">
        <f t="shared" si="0"/>
        <v/>
      </c>
      <c r="N37" s="157" t="str">
        <f t="shared" si="1"/>
        <v/>
      </c>
    </row>
    <row r="38" spans="1:14" ht="21.95" customHeight="1" x14ac:dyDescent="0.25">
      <c r="A38" s="183" t="s">
        <v>66</v>
      </c>
      <c r="B38" s="184"/>
      <c r="C38" s="184"/>
      <c r="D38" s="184"/>
      <c r="E38" s="185"/>
      <c r="F38" s="121"/>
      <c r="G38" s="125" t="str">
        <f>IF($F38&lt;&gt;"",$F38,IFERROR(_xlfn.XLOOKUP(ROW(),Taxa_Saknas!$H:$H,Taxa_Saknas!$G:$G),""))</f>
        <v/>
      </c>
      <c r="H38" s="125" t="str">
        <f>IF($F38&lt;&gt;"",IFERROR(_xlfn.XLOOKUP($F38,Taxa_från_edp!$B:$B,Taxa_från_edp!C:C),""),"")</f>
        <v/>
      </c>
      <c r="I38" s="126" t="str">
        <f>IF($F38&lt;&gt;"",IFERROR(_xlfn.XLOOKUP($F38,Taxa_från_edp!$B:$B,Taxa_från_edp!G:G),""),"")</f>
        <v/>
      </c>
      <c r="J38" s="126" t="str">
        <f>IF($F38&lt;&gt;"",IFERROR(_xlfn.XLOOKUP($F38,Taxa_från_edp!$B:$B,Taxa_från_edp!K:K),""),"")</f>
        <v/>
      </c>
      <c r="K38" s="126"/>
      <c r="L38" s="126"/>
      <c r="M38" s="122" t="str">
        <f t="shared" si="0"/>
        <v/>
      </c>
      <c r="N38" s="123" t="str">
        <f t="shared" si="1"/>
        <v/>
      </c>
    </row>
    <row r="39" spans="1:14" ht="21.95" customHeight="1" x14ac:dyDescent="0.25">
      <c r="A39" s="183" t="s">
        <v>80</v>
      </c>
      <c r="B39" s="184"/>
      <c r="C39" s="184"/>
      <c r="D39" s="184"/>
      <c r="E39" s="185"/>
      <c r="F39" s="121"/>
      <c r="G39" s="125" t="str">
        <f>IF($F39&lt;&gt;"",$F39,IFERROR(_xlfn.XLOOKUP(ROW(),Taxa_Saknas!$H:$H,Taxa_Saknas!$G:$G),""))</f>
        <v/>
      </c>
      <c r="H39" s="125" t="str">
        <f>IF($F39&lt;&gt;"",IFERROR(_xlfn.XLOOKUP($F39,Taxa_från_edp!$B:$B,Taxa_från_edp!C:C),""),"")</f>
        <v/>
      </c>
      <c r="I39" s="126" t="str">
        <f>IF($F39&lt;&gt;"",IFERROR(_xlfn.XLOOKUP($F39,Taxa_från_edp!$B:$B,Taxa_från_edp!G:G),""),"")</f>
        <v/>
      </c>
      <c r="J39" s="126" t="str">
        <f>IF($F39&lt;&gt;"",IFERROR(_xlfn.XLOOKUP($F39,Taxa_från_edp!$B:$B,Taxa_från_edp!K:K),""),"")</f>
        <v/>
      </c>
      <c r="K39" s="126"/>
      <c r="L39" s="126"/>
      <c r="M39" s="122" t="str">
        <f t="shared" si="0"/>
        <v/>
      </c>
      <c r="N39" s="123" t="str">
        <f t="shared" si="1"/>
        <v/>
      </c>
    </row>
    <row r="40" spans="1:14" ht="30" customHeight="1" x14ac:dyDescent="0.25">
      <c r="A40" s="118" t="s">
        <v>81</v>
      </c>
      <c r="B40" s="118" t="s">
        <v>82</v>
      </c>
      <c r="C40" s="118" t="s">
        <v>48</v>
      </c>
      <c r="D40" s="118" t="s">
        <v>83</v>
      </c>
      <c r="E40" s="118" t="s">
        <v>27</v>
      </c>
      <c r="F40" s="127" t="s">
        <v>84</v>
      </c>
      <c r="G40" s="132" t="str">
        <f>IF($F40&lt;&gt;"",$F40,IFERROR(_xlfn.XLOOKUP(ROW(),Taxa_Saknas!$H:$H,Taxa_Saknas!$G:$G),""))</f>
        <v>KÄ240RM52FV</v>
      </c>
      <c r="H40" s="137" t="str">
        <f>IF($F40&lt;&gt;"",IFERROR(_xlfn.XLOOKUP($F40,Taxa_från_edp!$B:$B,Taxa_från_edp!C:C),""),"")</f>
        <v>Tvåfackskärl 240L, rest/matavfall. Varje vecka. FLB/VHT</v>
      </c>
      <c r="I40" s="138" t="str">
        <f>IF($F40&lt;&gt;"",IFERROR(_xlfn.XLOOKUP($F40,Taxa_från_edp!$B:$B,Taxa_från_edp!G:G),""),"")</f>
        <v>ÅRKV</v>
      </c>
      <c r="J40" s="139">
        <f>IF($F40&lt;&gt;"",IFERROR(_xlfn.XLOOKUP($F40,Taxa_från_edp!$B:$B,Taxa_från_edp!K:K),""),"")</f>
        <v>1000</v>
      </c>
      <c r="K40" s="148"/>
      <c r="L40" s="152"/>
      <c r="M40" s="156">
        <f t="shared" si="0"/>
        <v>1250</v>
      </c>
      <c r="N40" s="157">
        <f t="shared" si="1"/>
        <v>0</v>
      </c>
    </row>
    <row r="41" spans="1:14" ht="30" customHeight="1" x14ac:dyDescent="0.25">
      <c r="A41" s="118" t="s">
        <v>81</v>
      </c>
      <c r="B41" s="118" t="s">
        <v>82</v>
      </c>
      <c r="C41" s="118" t="s">
        <v>48</v>
      </c>
      <c r="D41" s="118" t="s">
        <v>49</v>
      </c>
      <c r="E41" s="118" t="s">
        <v>27</v>
      </c>
      <c r="F41" s="127" t="s">
        <v>85</v>
      </c>
      <c r="G41" s="132" t="str">
        <f>IF($F41&lt;&gt;"",$F41,IFERROR(_xlfn.XLOOKUP(ROW(),Taxa_Saknas!$H:$H,Taxa_Saknas!$G:$G),""))</f>
        <v>KÄ240RM26FV</v>
      </c>
      <c r="H41" s="137" t="str">
        <f>IF($F41&lt;&gt;"",IFERROR(_xlfn.XLOOKUP($F41,Taxa_från_edp!$B:$B,Taxa_från_edp!C:C),""),"")</f>
        <v>Tvåfackskärl 240L, rest/matavfall. Var 14:e dag. FLB/VHT</v>
      </c>
      <c r="I41" s="138" t="str">
        <f>IF($F41&lt;&gt;"",IFERROR(_xlfn.XLOOKUP($F41,Taxa_från_edp!$B:$B,Taxa_från_edp!G:G),""),"")</f>
        <v>ÅRKV</v>
      </c>
      <c r="J41" s="139">
        <f>IF($F41&lt;&gt;"",IFERROR(_xlfn.XLOOKUP($F41,Taxa_från_edp!$B:$B,Taxa_från_edp!K:K),""),"")</f>
        <v>680</v>
      </c>
      <c r="K41" s="148"/>
      <c r="L41" s="152"/>
      <c r="M41" s="156">
        <f t="shared" si="0"/>
        <v>850</v>
      </c>
      <c r="N41" s="157">
        <f t="shared" si="1"/>
        <v>0</v>
      </c>
    </row>
    <row r="42" spans="1:14" ht="30" customHeight="1" x14ac:dyDescent="0.25">
      <c r="A42" s="118" t="s">
        <v>81</v>
      </c>
      <c r="B42" s="118" t="s">
        <v>82</v>
      </c>
      <c r="C42" s="118" t="s">
        <v>48</v>
      </c>
      <c r="D42" s="118" t="s">
        <v>51</v>
      </c>
      <c r="E42" s="118" t="s">
        <v>27</v>
      </c>
      <c r="F42" s="127" t="s">
        <v>86</v>
      </c>
      <c r="G42" s="132" t="str">
        <f>IF($F42&lt;&gt;"",$F42,IFERROR(_xlfn.XLOOKUP(ROW(),Taxa_Saknas!$H:$H,Taxa_Saknas!$G:$G),""))</f>
        <v>KÄ240RM12FV</v>
      </c>
      <c r="H42" s="137" t="str">
        <f>IF($F42&lt;&gt;"",IFERROR(_xlfn.XLOOKUP($F42,Taxa_från_edp!$B:$B,Taxa_från_edp!C:C),""),"")</f>
        <v/>
      </c>
      <c r="I42" s="138" t="str">
        <f>IF($F42&lt;&gt;"",IFERROR(_xlfn.XLOOKUP($F42,Taxa_från_edp!$B:$B,Taxa_från_edp!G:G),""),"")</f>
        <v/>
      </c>
      <c r="J42" s="139" t="str">
        <f>IF($F42&lt;&gt;"",IFERROR(_xlfn.XLOOKUP($F42,Taxa_från_edp!$B:$B,Taxa_från_edp!K:K),""),"")</f>
        <v/>
      </c>
      <c r="K42" s="148"/>
      <c r="L42" s="152"/>
      <c r="M42" s="156" t="str">
        <f t="shared" si="0"/>
        <v/>
      </c>
      <c r="N42" s="157" t="str">
        <f t="shared" si="1"/>
        <v/>
      </c>
    </row>
    <row r="43" spans="1:14" ht="30" customHeight="1" x14ac:dyDescent="0.25">
      <c r="A43" s="118" t="s">
        <v>81</v>
      </c>
      <c r="B43" s="118" t="s">
        <v>82</v>
      </c>
      <c r="C43" s="118" t="s">
        <v>87</v>
      </c>
      <c r="D43" s="118" t="s">
        <v>83</v>
      </c>
      <c r="E43" s="118" t="s">
        <v>27</v>
      </c>
      <c r="F43" s="127" t="s">
        <v>88</v>
      </c>
      <c r="G43" s="132" t="str">
        <f>IF($F43&lt;&gt;"",$F43,IFERROR(_xlfn.XLOOKUP(ROW(),Taxa_Saknas!$H:$H,Taxa_Saknas!$G:$G),""))</f>
        <v>KÄ370RE52FV</v>
      </c>
      <c r="H43" s="137" t="str">
        <f>IF($F43&lt;&gt;"",IFERROR(_xlfn.XLOOKUP($F43,Taxa_från_edp!$B:$B,Taxa_från_edp!C:C),""),"")</f>
        <v>Kärl 370L, restavfall. Varje vecka. FLB/VHT</v>
      </c>
      <c r="I43" s="138" t="str">
        <f>IF($F43&lt;&gt;"",IFERROR(_xlfn.XLOOKUP($F43,Taxa_från_edp!$B:$B,Taxa_från_edp!G:G),""),"")</f>
        <v>ÅRKV</v>
      </c>
      <c r="J43" s="139">
        <f>IF($F43&lt;&gt;"",IFERROR(_xlfn.XLOOKUP($F43,Taxa_från_edp!$B:$B,Taxa_från_edp!K:K),""),"")</f>
        <v>2000</v>
      </c>
      <c r="K43" s="148"/>
      <c r="L43" s="152"/>
      <c r="M43" s="156">
        <f t="shared" si="0"/>
        <v>2500</v>
      </c>
      <c r="N43" s="157">
        <f t="shared" si="1"/>
        <v>0</v>
      </c>
    </row>
    <row r="44" spans="1:14" ht="30" customHeight="1" x14ac:dyDescent="0.25">
      <c r="A44" s="118" t="s">
        <v>81</v>
      </c>
      <c r="B44" s="118" t="s">
        <v>82</v>
      </c>
      <c r="C44" s="118" t="s">
        <v>87</v>
      </c>
      <c r="D44" s="118" t="s">
        <v>49</v>
      </c>
      <c r="E44" s="118" t="s">
        <v>27</v>
      </c>
      <c r="F44" s="127" t="s">
        <v>89</v>
      </c>
      <c r="G44" s="132" t="str">
        <f>IF($F44&lt;&gt;"",$F44,IFERROR(_xlfn.XLOOKUP(ROW(),Taxa_Saknas!$H:$H,Taxa_Saknas!$G:$G),""))</f>
        <v>KÄ370RE26FV</v>
      </c>
      <c r="H44" s="137" t="str">
        <f>IF($F44&lt;&gt;"",IFERROR(_xlfn.XLOOKUP($F44,Taxa_från_edp!$B:$B,Taxa_från_edp!C:C),""),"")</f>
        <v>Kärl 370L, restavfall. Var 14:e dag. FLB/VHT</v>
      </c>
      <c r="I44" s="138" t="str">
        <f>IF($F44&lt;&gt;"",IFERROR(_xlfn.XLOOKUP($F44,Taxa_från_edp!$B:$B,Taxa_från_edp!G:G),""),"")</f>
        <v>ÅRKV</v>
      </c>
      <c r="J44" s="139">
        <f>IF($F44&lt;&gt;"",IFERROR(_xlfn.XLOOKUP($F44,Taxa_från_edp!$B:$B,Taxa_från_edp!K:K),""),"")</f>
        <v>800</v>
      </c>
      <c r="K44" s="148"/>
      <c r="L44" s="152"/>
      <c r="M44" s="156">
        <f t="shared" si="0"/>
        <v>1000</v>
      </c>
      <c r="N44" s="157">
        <f t="shared" si="1"/>
        <v>0</v>
      </c>
    </row>
    <row r="45" spans="1:14" ht="30" customHeight="1" x14ac:dyDescent="0.25">
      <c r="A45" s="118" t="s">
        <v>81</v>
      </c>
      <c r="B45" s="118" t="s">
        <v>82</v>
      </c>
      <c r="C45" s="118" t="s">
        <v>87</v>
      </c>
      <c r="D45" s="118" t="s">
        <v>51</v>
      </c>
      <c r="E45" s="118" t="s">
        <v>27</v>
      </c>
      <c r="F45" s="127" t="s">
        <v>90</v>
      </c>
      <c r="G45" s="132" t="str">
        <f>IF($F45&lt;&gt;"",$F45,IFERROR(_xlfn.XLOOKUP(ROW(),Taxa_Saknas!$H:$H,Taxa_Saknas!$G:$G),""))</f>
        <v>KÄ370RE12FV</v>
      </c>
      <c r="H45" s="137" t="str">
        <f>IF($F45&lt;&gt;"",IFERROR(_xlfn.XLOOKUP($F45,Taxa_från_edp!$B:$B,Taxa_från_edp!C:C),""),"")</f>
        <v/>
      </c>
      <c r="I45" s="138" t="str">
        <f>IF($F45&lt;&gt;"",IFERROR(_xlfn.XLOOKUP($F45,Taxa_från_edp!$B:$B,Taxa_från_edp!G:G),""),"")</f>
        <v/>
      </c>
      <c r="J45" s="139" t="str">
        <f>IF($F45&lt;&gt;"",IFERROR(_xlfn.XLOOKUP($F45,Taxa_från_edp!$B:$B,Taxa_från_edp!K:K),""),"")</f>
        <v/>
      </c>
      <c r="K45" s="148"/>
      <c r="L45" s="152"/>
      <c r="M45" s="156" t="str">
        <f t="shared" si="0"/>
        <v/>
      </c>
      <c r="N45" s="157" t="str">
        <f t="shared" si="1"/>
        <v/>
      </c>
    </row>
    <row r="46" spans="1:14" ht="30" customHeight="1" x14ac:dyDescent="0.25">
      <c r="A46" s="118" t="s">
        <v>81</v>
      </c>
      <c r="B46" s="118" t="s">
        <v>82</v>
      </c>
      <c r="C46" s="118" t="s">
        <v>91</v>
      </c>
      <c r="D46" s="118" t="s">
        <v>83</v>
      </c>
      <c r="E46" s="118" t="s">
        <v>27</v>
      </c>
      <c r="F46" s="127" t="s">
        <v>92</v>
      </c>
      <c r="G46" s="132" t="str">
        <f>IF($F46&lt;&gt;"",$F46,IFERROR(_xlfn.XLOOKUP(ROW(),Taxa_Saknas!$H:$H,Taxa_Saknas!$G:$G),""))</f>
        <v>KÄ660RE52FV</v>
      </c>
      <c r="H46" s="137" t="str">
        <f>IF($F46&lt;&gt;"",IFERROR(_xlfn.XLOOKUP($F46,Taxa_från_edp!$B:$B,Taxa_från_edp!C:C),""),"")</f>
        <v>Kärl 660L, restavfall. Varje vecka. FLB/VHT</v>
      </c>
      <c r="I46" s="138" t="str">
        <f>IF($F46&lt;&gt;"",IFERROR(_xlfn.XLOOKUP($F46,Taxa_från_edp!$B:$B,Taxa_från_edp!G:G),""),"")</f>
        <v>ÅRKV</v>
      </c>
      <c r="J46" s="139">
        <f>IF($F46&lt;&gt;"",IFERROR(_xlfn.XLOOKUP($F46,Taxa_från_edp!$B:$B,Taxa_från_edp!K:K),""),"")</f>
        <v>3600</v>
      </c>
      <c r="K46" s="148"/>
      <c r="L46" s="152"/>
      <c r="M46" s="156">
        <f t="shared" si="0"/>
        <v>4500</v>
      </c>
      <c r="N46" s="157">
        <f t="shared" si="1"/>
        <v>0</v>
      </c>
    </row>
    <row r="47" spans="1:14" ht="30" customHeight="1" x14ac:dyDescent="0.25">
      <c r="A47" s="118" t="s">
        <v>81</v>
      </c>
      <c r="B47" s="118" t="s">
        <v>82</v>
      </c>
      <c r="C47" s="118" t="s">
        <v>91</v>
      </c>
      <c r="D47" s="118" t="s">
        <v>49</v>
      </c>
      <c r="E47" s="118" t="s">
        <v>27</v>
      </c>
      <c r="F47" s="127" t="s">
        <v>93</v>
      </c>
      <c r="G47" s="132" t="str">
        <f>IF($F47&lt;&gt;"",$F47,IFERROR(_xlfn.XLOOKUP(ROW(),Taxa_Saknas!$H:$H,Taxa_Saknas!$G:$G),""))</f>
        <v>KÄ660RE26FV</v>
      </c>
      <c r="H47" s="137" t="str">
        <f>IF($F47&lt;&gt;"",IFERROR(_xlfn.XLOOKUP($F47,Taxa_från_edp!$B:$B,Taxa_från_edp!C:C),""),"")</f>
        <v>Kärl 660L, restavfall. Var 14:e dag FLB/VHT</v>
      </c>
      <c r="I47" s="138" t="str">
        <f>IF($F47&lt;&gt;"",IFERROR(_xlfn.XLOOKUP($F47,Taxa_från_edp!$B:$B,Taxa_från_edp!G:G),""),"")</f>
        <v>ÅRKV</v>
      </c>
      <c r="J47" s="139">
        <f>IF($F47&lt;&gt;"",IFERROR(_xlfn.XLOOKUP($F47,Taxa_från_edp!$B:$B,Taxa_från_edp!K:K),""),"")</f>
        <v>1680</v>
      </c>
      <c r="K47" s="148"/>
      <c r="L47" s="152"/>
      <c r="M47" s="156">
        <f t="shared" si="0"/>
        <v>2100</v>
      </c>
      <c r="N47" s="157">
        <f t="shared" si="1"/>
        <v>0</v>
      </c>
    </row>
    <row r="48" spans="1:14" ht="30" customHeight="1" x14ac:dyDescent="0.25">
      <c r="A48" s="118" t="s">
        <v>81</v>
      </c>
      <c r="B48" s="118" t="s">
        <v>82</v>
      </c>
      <c r="C48" s="118" t="s">
        <v>91</v>
      </c>
      <c r="D48" s="118" t="s">
        <v>51</v>
      </c>
      <c r="E48" s="118" t="s">
        <v>27</v>
      </c>
      <c r="F48" s="127" t="s">
        <v>94</v>
      </c>
      <c r="G48" s="132" t="str">
        <f>IF($F48&lt;&gt;"",$F48,IFERROR(_xlfn.XLOOKUP(ROW(),Taxa_Saknas!$H:$H,Taxa_Saknas!$G:$G),""))</f>
        <v>KÄ660RE12FV</v>
      </c>
      <c r="H48" s="137" t="str">
        <f>IF($F48&lt;&gt;"",IFERROR(_xlfn.XLOOKUP($F48,Taxa_från_edp!$B:$B,Taxa_från_edp!C:C),""),"")</f>
        <v/>
      </c>
      <c r="I48" s="138" t="str">
        <f>IF($F48&lt;&gt;"",IFERROR(_xlfn.XLOOKUP($F48,Taxa_från_edp!$B:$B,Taxa_från_edp!G:G),""),"")</f>
        <v/>
      </c>
      <c r="J48" s="139" t="str">
        <f>IF($F48&lt;&gt;"",IFERROR(_xlfn.XLOOKUP($F48,Taxa_från_edp!$B:$B,Taxa_från_edp!K:K),""),"")</f>
        <v/>
      </c>
      <c r="K48" s="148"/>
      <c r="L48" s="152"/>
      <c r="M48" s="156" t="str">
        <f t="shared" si="0"/>
        <v/>
      </c>
      <c r="N48" s="157" t="str">
        <f t="shared" si="1"/>
        <v/>
      </c>
    </row>
    <row r="49" spans="1:14" ht="30" customHeight="1" x14ac:dyDescent="0.25">
      <c r="A49" s="118" t="s">
        <v>81</v>
      </c>
      <c r="B49" s="118" t="s">
        <v>82</v>
      </c>
      <c r="C49" s="118" t="s">
        <v>95</v>
      </c>
      <c r="D49" s="118" t="s">
        <v>83</v>
      </c>
      <c r="E49" s="118" t="s">
        <v>27</v>
      </c>
      <c r="F49" s="127" t="s">
        <v>96</v>
      </c>
      <c r="G49" s="132" t="str">
        <f>IF($F49&lt;&gt;"",$F49,IFERROR(_xlfn.XLOOKUP(ROW(),Taxa_Saknas!$H:$H,Taxa_Saknas!$G:$G),""))</f>
        <v>KÄ140MA52FV</v>
      </c>
      <c r="H49" s="137" t="str">
        <f>IF($F49&lt;&gt;"",IFERROR(_xlfn.XLOOKUP($F49,Taxa_från_edp!$B:$B,Taxa_från_edp!C:C),""),"")</f>
        <v>Kärl 140L, matavfall. Varje vecka. FLB/VHT</v>
      </c>
      <c r="I49" s="138" t="str">
        <f>IF($F49&lt;&gt;"",IFERROR(_xlfn.XLOOKUP($F49,Taxa_från_edp!$B:$B,Taxa_från_edp!G:G),""),"")</f>
        <v>ÅRKV</v>
      </c>
      <c r="J49" s="139">
        <f>IF($F49&lt;&gt;"",IFERROR(_xlfn.XLOOKUP($F49,Taxa_från_edp!$B:$B,Taxa_från_edp!K:K),""),"")</f>
        <v>1240</v>
      </c>
      <c r="K49" s="148"/>
      <c r="L49" s="152"/>
      <c r="M49" s="156">
        <f t="shared" si="0"/>
        <v>1550</v>
      </c>
      <c r="N49" s="157">
        <f t="shared" si="1"/>
        <v>0</v>
      </c>
    </row>
    <row r="50" spans="1:14" ht="30" customHeight="1" x14ac:dyDescent="0.25">
      <c r="A50" s="118" t="s">
        <v>81</v>
      </c>
      <c r="B50" s="118" t="s">
        <v>82</v>
      </c>
      <c r="C50" s="118" t="s">
        <v>95</v>
      </c>
      <c r="D50" s="118" t="s">
        <v>49</v>
      </c>
      <c r="E50" s="118" t="s">
        <v>27</v>
      </c>
      <c r="F50" s="127" t="s">
        <v>97</v>
      </c>
      <c r="G50" s="132" t="str">
        <f>IF($F50&lt;&gt;"",$F50,IFERROR(_xlfn.XLOOKUP(ROW(),Taxa_Saknas!$H:$H,Taxa_Saknas!$G:$G),""))</f>
        <v>KÄ140MA26FV</v>
      </c>
      <c r="H50" s="137" t="str">
        <f>IF($F50&lt;&gt;"",IFERROR(_xlfn.XLOOKUP($F50,Taxa_från_edp!$B:$B,Taxa_från_edp!C:C),""),"")</f>
        <v>Kärl 140L, matavfall. Var 14:e dag. FLB/VHT</v>
      </c>
      <c r="I50" s="138" t="str">
        <f>IF($F50&lt;&gt;"",IFERROR(_xlfn.XLOOKUP($F50,Taxa_från_edp!$B:$B,Taxa_från_edp!G:G),""),"")</f>
        <v>ÅRKV</v>
      </c>
      <c r="J50" s="139">
        <f>IF($F50&lt;&gt;"",IFERROR(_xlfn.XLOOKUP($F50,Taxa_från_edp!$B:$B,Taxa_från_edp!K:K),""),"")</f>
        <v>480</v>
      </c>
      <c r="K50" s="148"/>
      <c r="L50" s="152"/>
      <c r="M50" s="156">
        <f t="shared" si="0"/>
        <v>600</v>
      </c>
      <c r="N50" s="157">
        <f t="shared" si="1"/>
        <v>0</v>
      </c>
    </row>
    <row r="51" spans="1:14" ht="30" customHeight="1" x14ac:dyDescent="0.25">
      <c r="A51" s="118" t="s">
        <v>81</v>
      </c>
      <c r="B51" s="118" t="s">
        <v>82</v>
      </c>
      <c r="C51" s="118" t="s">
        <v>95</v>
      </c>
      <c r="D51" s="118" t="s">
        <v>51</v>
      </c>
      <c r="E51" s="118" t="s">
        <v>27</v>
      </c>
      <c r="F51" s="127" t="s">
        <v>98</v>
      </c>
      <c r="G51" s="132" t="str">
        <f>IF($F51&lt;&gt;"",$F51,IFERROR(_xlfn.XLOOKUP(ROW(),Taxa_Saknas!$H:$H,Taxa_Saknas!$G:$G),""))</f>
        <v>KÄ140MA12FV</v>
      </c>
      <c r="H51" s="137" t="str">
        <f>IF($F51&lt;&gt;"",IFERROR(_xlfn.XLOOKUP($F51,Taxa_från_edp!$B:$B,Taxa_från_edp!C:C),""),"")</f>
        <v/>
      </c>
      <c r="I51" s="138" t="str">
        <f>IF($F51&lt;&gt;"",IFERROR(_xlfn.XLOOKUP($F51,Taxa_från_edp!$B:$B,Taxa_från_edp!G:G),""),"")</f>
        <v/>
      </c>
      <c r="J51" s="139" t="str">
        <f>IF($F51&lt;&gt;"",IFERROR(_xlfn.XLOOKUP($F51,Taxa_från_edp!$B:$B,Taxa_från_edp!K:K),""),"")</f>
        <v/>
      </c>
      <c r="K51" s="148"/>
      <c r="L51" s="152"/>
      <c r="M51" s="156" t="str">
        <f t="shared" si="0"/>
        <v/>
      </c>
      <c r="N51" s="157" t="str">
        <f t="shared" si="1"/>
        <v/>
      </c>
    </row>
    <row r="52" spans="1:14" ht="30" customHeight="1" x14ac:dyDescent="0.25">
      <c r="A52" s="118" t="s">
        <v>81</v>
      </c>
      <c r="B52" s="118" t="s">
        <v>82</v>
      </c>
      <c r="C52" s="118" t="s">
        <v>99</v>
      </c>
      <c r="D52" s="118" t="s">
        <v>83</v>
      </c>
      <c r="E52" s="118" t="s">
        <v>27</v>
      </c>
      <c r="F52" s="127" t="s">
        <v>100</v>
      </c>
      <c r="G52" s="132" t="str">
        <f>IF($F52&lt;&gt;"",$F52,IFERROR(_xlfn.XLOOKUP(ROW(),Taxa_Saknas!$H:$H,Taxa_Saknas!$G:$G),""))</f>
        <v>KÄ190FP52FV</v>
      </c>
      <c r="H52" s="137" t="str">
        <f>IF($F52&lt;&gt;"",IFERROR(_xlfn.XLOOKUP($F52,Taxa_från_edp!$B:$B,Taxa_från_edp!C:C),""),"")</f>
        <v/>
      </c>
      <c r="I52" s="138" t="str">
        <f>IF($F52&lt;&gt;"",IFERROR(_xlfn.XLOOKUP($F52,Taxa_från_edp!$B:$B,Taxa_från_edp!G:G),""),"")</f>
        <v/>
      </c>
      <c r="J52" s="139" t="str">
        <f>IF($F52&lt;&gt;"",IFERROR(_xlfn.XLOOKUP($F52,Taxa_från_edp!$B:$B,Taxa_från_edp!K:K),""),"")</f>
        <v/>
      </c>
      <c r="K52" s="148"/>
      <c r="L52" s="152"/>
      <c r="M52" s="156" t="str">
        <f t="shared" si="0"/>
        <v/>
      </c>
      <c r="N52" s="157" t="str">
        <f t="shared" si="1"/>
        <v/>
      </c>
    </row>
    <row r="53" spans="1:14" ht="30" customHeight="1" x14ac:dyDescent="0.25">
      <c r="A53" s="118" t="s">
        <v>81</v>
      </c>
      <c r="B53" s="118" t="s">
        <v>82</v>
      </c>
      <c r="C53" s="118" t="s">
        <v>99</v>
      </c>
      <c r="D53" s="118" t="s">
        <v>49</v>
      </c>
      <c r="E53" s="118" t="s">
        <v>27</v>
      </c>
      <c r="F53" s="127" t="s">
        <v>101</v>
      </c>
      <c r="G53" s="132" t="str">
        <f>IF($F53&lt;&gt;"",$F53,IFERROR(_xlfn.XLOOKUP(ROW(),Taxa_Saknas!$H:$H,Taxa_Saknas!$G:$G),""))</f>
        <v>KÄ190FP26FV</v>
      </c>
      <c r="H53" s="137" t="str">
        <f>IF($F53&lt;&gt;"",IFERROR(_xlfn.XLOOKUP($F53,Taxa_från_edp!$B:$B,Taxa_från_edp!C:C),""),"")</f>
        <v/>
      </c>
      <c r="I53" s="138" t="str">
        <f>IF($F53&lt;&gt;"",IFERROR(_xlfn.XLOOKUP($F53,Taxa_från_edp!$B:$B,Taxa_från_edp!G:G),""),"")</f>
        <v/>
      </c>
      <c r="J53" s="139" t="str">
        <f>IF($F53&lt;&gt;"",IFERROR(_xlfn.XLOOKUP($F53,Taxa_från_edp!$B:$B,Taxa_från_edp!K:K),""),"")</f>
        <v/>
      </c>
      <c r="K53" s="148"/>
      <c r="L53" s="152"/>
      <c r="M53" s="156" t="str">
        <f t="shared" si="0"/>
        <v/>
      </c>
      <c r="N53" s="157" t="str">
        <f t="shared" si="1"/>
        <v/>
      </c>
    </row>
    <row r="54" spans="1:14" ht="30" customHeight="1" x14ac:dyDescent="0.25">
      <c r="A54" s="118" t="s">
        <v>81</v>
      </c>
      <c r="B54" s="118" t="s">
        <v>82</v>
      </c>
      <c r="C54" s="118" t="s">
        <v>99</v>
      </c>
      <c r="D54" s="118" t="s">
        <v>51</v>
      </c>
      <c r="E54" s="118" t="s">
        <v>27</v>
      </c>
      <c r="F54" s="127" t="s">
        <v>102</v>
      </c>
      <c r="G54" s="132" t="str">
        <f>IF($F54&lt;&gt;"",$F54,IFERROR(_xlfn.XLOOKUP(ROW(),Taxa_Saknas!$H:$H,Taxa_Saknas!$G:$G),""))</f>
        <v>KÄ190FP12FV</v>
      </c>
      <c r="H54" s="137" t="str">
        <f>IF($F54&lt;&gt;"",IFERROR(_xlfn.XLOOKUP($F54,Taxa_från_edp!$B:$B,Taxa_från_edp!C:C),""),"")</f>
        <v/>
      </c>
      <c r="I54" s="138" t="str">
        <f>IF($F54&lt;&gt;"",IFERROR(_xlfn.XLOOKUP($F54,Taxa_från_edp!$B:$B,Taxa_från_edp!G:G),""),"")</f>
        <v/>
      </c>
      <c r="J54" s="139" t="str">
        <f>IF($F54&lt;&gt;"",IFERROR(_xlfn.XLOOKUP($F54,Taxa_från_edp!$B:$B,Taxa_från_edp!K:K),""),"")</f>
        <v/>
      </c>
      <c r="K54" s="148"/>
      <c r="L54" s="152"/>
      <c r="M54" s="156" t="str">
        <f t="shared" si="0"/>
        <v/>
      </c>
      <c r="N54" s="157" t="str">
        <f t="shared" si="1"/>
        <v/>
      </c>
    </row>
    <row r="55" spans="1:14" ht="30" customHeight="1" x14ac:dyDescent="0.25">
      <c r="A55" s="118" t="s">
        <v>81</v>
      </c>
      <c r="B55" s="118" t="s">
        <v>82</v>
      </c>
      <c r="C55" s="118" t="s">
        <v>103</v>
      </c>
      <c r="D55" s="118" t="s">
        <v>83</v>
      </c>
      <c r="E55" s="118" t="s">
        <v>27</v>
      </c>
      <c r="F55" s="127" t="s">
        <v>104</v>
      </c>
      <c r="G55" s="132" t="str">
        <f>IF($F55&lt;&gt;"",$F55,IFERROR(_xlfn.XLOOKUP(ROW(),Taxa_Saknas!$H:$H,Taxa_Saknas!$G:$G),""))</f>
        <v>KÄ370FP52FV</v>
      </c>
      <c r="H55" s="137" t="str">
        <f>IF($F55&lt;&gt;"",IFERROR(_xlfn.XLOOKUP($F55,Taxa_från_edp!$B:$B,Taxa_från_edp!C:C),""),"")</f>
        <v/>
      </c>
      <c r="I55" s="138" t="str">
        <f>IF($F55&lt;&gt;"",IFERROR(_xlfn.XLOOKUP($F55,Taxa_från_edp!$B:$B,Taxa_från_edp!G:G),""),"")</f>
        <v/>
      </c>
      <c r="J55" s="139" t="str">
        <f>IF($F55&lt;&gt;"",IFERROR(_xlfn.XLOOKUP($F55,Taxa_från_edp!$B:$B,Taxa_från_edp!K:K),""),"")</f>
        <v/>
      </c>
      <c r="K55" s="148"/>
      <c r="L55" s="152"/>
      <c r="M55" s="156" t="str">
        <f t="shared" si="0"/>
        <v/>
      </c>
      <c r="N55" s="157" t="str">
        <f t="shared" si="1"/>
        <v/>
      </c>
    </row>
    <row r="56" spans="1:14" ht="30" customHeight="1" x14ac:dyDescent="0.25">
      <c r="A56" s="118" t="s">
        <v>81</v>
      </c>
      <c r="B56" s="118" t="s">
        <v>82</v>
      </c>
      <c r="C56" s="118" t="s">
        <v>103</v>
      </c>
      <c r="D56" s="118" t="s">
        <v>49</v>
      </c>
      <c r="E56" s="118" t="s">
        <v>27</v>
      </c>
      <c r="F56" s="127" t="s">
        <v>105</v>
      </c>
      <c r="G56" s="132" t="str">
        <f>IF($F56&lt;&gt;"",$F56,IFERROR(_xlfn.XLOOKUP(ROW(),Taxa_Saknas!$H:$H,Taxa_Saknas!$G:$G),""))</f>
        <v>KÄ370FP26FV</v>
      </c>
      <c r="H56" s="137" t="str">
        <f>IF($F56&lt;&gt;"",IFERROR(_xlfn.XLOOKUP($F56,Taxa_från_edp!$B:$B,Taxa_från_edp!C:C),""),"")</f>
        <v/>
      </c>
      <c r="I56" s="138" t="str">
        <f>IF($F56&lt;&gt;"",IFERROR(_xlfn.XLOOKUP($F56,Taxa_från_edp!$B:$B,Taxa_från_edp!G:G),""),"")</f>
        <v/>
      </c>
      <c r="J56" s="139" t="str">
        <f>IF($F56&lt;&gt;"",IFERROR(_xlfn.XLOOKUP($F56,Taxa_från_edp!$B:$B,Taxa_från_edp!K:K),""),"")</f>
        <v/>
      </c>
      <c r="K56" s="148"/>
      <c r="L56" s="152"/>
      <c r="M56" s="156" t="str">
        <f t="shared" si="0"/>
        <v/>
      </c>
      <c r="N56" s="157" t="str">
        <f t="shared" si="1"/>
        <v/>
      </c>
    </row>
    <row r="57" spans="1:14" ht="30" customHeight="1" x14ac:dyDescent="0.25">
      <c r="A57" s="118" t="s">
        <v>81</v>
      </c>
      <c r="B57" s="118" t="s">
        <v>82</v>
      </c>
      <c r="C57" s="118" t="s">
        <v>103</v>
      </c>
      <c r="D57" s="118" t="s">
        <v>51</v>
      </c>
      <c r="E57" s="118" t="s">
        <v>27</v>
      </c>
      <c r="F57" s="127" t="s">
        <v>106</v>
      </c>
      <c r="G57" s="132" t="str">
        <f>IF($F57&lt;&gt;"",$F57,IFERROR(_xlfn.XLOOKUP(ROW(),Taxa_Saknas!$H:$H,Taxa_Saknas!$G:$G),""))</f>
        <v>KÄ370FP12FV</v>
      </c>
      <c r="H57" s="137" t="str">
        <f>IF($F57&lt;&gt;"",IFERROR(_xlfn.XLOOKUP($F57,Taxa_från_edp!$B:$B,Taxa_från_edp!C:C),""),"")</f>
        <v/>
      </c>
      <c r="I57" s="138" t="str">
        <f>IF($F57&lt;&gt;"",IFERROR(_xlfn.XLOOKUP($F57,Taxa_från_edp!$B:$B,Taxa_från_edp!G:G),""),"")</f>
        <v/>
      </c>
      <c r="J57" s="139" t="str">
        <f>IF($F57&lt;&gt;"",IFERROR(_xlfn.XLOOKUP($F57,Taxa_från_edp!$B:$B,Taxa_från_edp!K:K),""),"")</f>
        <v/>
      </c>
      <c r="K57" s="148"/>
      <c r="L57" s="152"/>
      <c r="M57" s="156" t="str">
        <f t="shared" si="0"/>
        <v/>
      </c>
      <c r="N57" s="157" t="str">
        <f t="shared" si="1"/>
        <v/>
      </c>
    </row>
    <row r="58" spans="1:14" ht="30" customHeight="1" x14ac:dyDescent="0.25">
      <c r="A58" s="118" t="s">
        <v>81</v>
      </c>
      <c r="B58" s="118" t="s">
        <v>82</v>
      </c>
      <c r="C58" s="118" t="s">
        <v>107</v>
      </c>
      <c r="D58" s="118" t="s">
        <v>83</v>
      </c>
      <c r="E58" s="118" t="s">
        <v>27</v>
      </c>
      <c r="F58" s="130" t="s">
        <v>108</v>
      </c>
      <c r="G58" s="135" t="str">
        <f>IF($F58&lt;&gt;"",$F58,IFERROR(_xlfn.XLOOKUP(ROW(),Taxa_Saknas!$H:$H,Taxa_Saknas!$G:$G),""))</f>
        <v>KÄ660FP52FV</v>
      </c>
      <c r="H58" s="144" t="str">
        <f>IF($F58&lt;&gt;"",IFERROR(_xlfn.XLOOKUP($F58,Taxa_från_edp!$B:$B,Taxa_från_edp!C:C),""),"")</f>
        <v/>
      </c>
      <c r="I58" s="145" t="str">
        <f>IF($F58&lt;&gt;"",IFERROR(_xlfn.XLOOKUP($F58,Taxa_från_edp!$B:$B,Taxa_från_edp!G:G),""),"")</f>
        <v/>
      </c>
      <c r="J58" s="145" t="str">
        <f>IF($F58&lt;&gt;"",IFERROR(_xlfn.XLOOKUP($F58,Taxa_från_edp!$B:$B,Taxa_från_edp!K:K),""),"")</f>
        <v/>
      </c>
      <c r="K58" s="150"/>
      <c r="L58" s="154"/>
      <c r="M58" s="156" t="str">
        <f t="shared" si="0"/>
        <v/>
      </c>
      <c r="N58" s="157" t="str">
        <f t="shared" si="1"/>
        <v/>
      </c>
    </row>
    <row r="59" spans="1:14" ht="30" customHeight="1" x14ac:dyDescent="0.25">
      <c r="A59" s="118" t="s">
        <v>81</v>
      </c>
      <c r="B59" s="118" t="s">
        <v>82</v>
      </c>
      <c r="C59" s="118" t="s">
        <v>107</v>
      </c>
      <c r="D59" s="118" t="s">
        <v>49</v>
      </c>
      <c r="E59" s="118" t="s">
        <v>27</v>
      </c>
      <c r="F59" s="130" t="s">
        <v>109</v>
      </c>
      <c r="G59" s="135" t="str">
        <f>IF($F59&lt;&gt;"",$F59,IFERROR(_xlfn.XLOOKUP(ROW(),Taxa_Saknas!$H:$H,Taxa_Saknas!$G:$G),""))</f>
        <v>KÄ660FP26FV</v>
      </c>
      <c r="H59" s="144" t="str">
        <f>IF($F59&lt;&gt;"",IFERROR(_xlfn.XLOOKUP($F59,Taxa_från_edp!$B:$B,Taxa_från_edp!C:C),""),"")</f>
        <v/>
      </c>
      <c r="I59" s="145" t="str">
        <f>IF($F59&lt;&gt;"",IFERROR(_xlfn.XLOOKUP($F59,Taxa_från_edp!$B:$B,Taxa_från_edp!G:G),""),"")</f>
        <v/>
      </c>
      <c r="J59" s="145" t="str">
        <f>IF($F59&lt;&gt;"",IFERROR(_xlfn.XLOOKUP($F59,Taxa_från_edp!$B:$B,Taxa_från_edp!K:K),""),"")</f>
        <v/>
      </c>
      <c r="K59" s="150"/>
      <c r="L59" s="154"/>
      <c r="M59" s="156" t="str">
        <f t="shared" si="0"/>
        <v/>
      </c>
      <c r="N59" s="157" t="str">
        <f t="shared" si="1"/>
        <v/>
      </c>
    </row>
    <row r="60" spans="1:14" ht="30" customHeight="1" x14ac:dyDescent="0.25">
      <c r="A60" s="118" t="s">
        <v>81</v>
      </c>
      <c r="B60" s="118" t="s">
        <v>82</v>
      </c>
      <c r="C60" s="118" t="s">
        <v>107</v>
      </c>
      <c r="D60" s="118" t="s">
        <v>51</v>
      </c>
      <c r="E60" s="118" t="s">
        <v>27</v>
      </c>
      <c r="F60" s="127" t="s">
        <v>110</v>
      </c>
      <c r="G60" s="132" t="str">
        <f>IF($F60&lt;&gt;"",$F60,IFERROR(_xlfn.XLOOKUP(ROW(),Taxa_Saknas!$H:$H,Taxa_Saknas!$G:$G),""))</f>
        <v>KÄ660FP12FV</v>
      </c>
      <c r="H60" s="137" t="str">
        <f>IF($F60&lt;&gt;"",IFERROR(_xlfn.XLOOKUP($F60,Taxa_från_edp!$B:$B,Taxa_från_edp!C:C),""),"")</f>
        <v/>
      </c>
      <c r="I60" s="138" t="str">
        <f>IF($F60&lt;&gt;"",IFERROR(_xlfn.XLOOKUP($F60,Taxa_från_edp!$B:$B,Taxa_från_edp!G:G),""),"")</f>
        <v/>
      </c>
      <c r="J60" s="139" t="str">
        <f>IF($F60&lt;&gt;"",IFERROR(_xlfn.XLOOKUP($F60,Taxa_från_edp!$B:$B,Taxa_från_edp!K:K),""),"")</f>
        <v/>
      </c>
      <c r="K60" s="148"/>
      <c r="L60" s="152"/>
      <c r="M60" s="156" t="str">
        <f t="shared" si="0"/>
        <v/>
      </c>
      <c r="N60" s="157" t="str">
        <f t="shared" si="1"/>
        <v/>
      </c>
    </row>
    <row r="61" spans="1:14" ht="30" customHeight="1" x14ac:dyDescent="0.25">
      <c r="A61" s="118" t="s">
        <v>81</v>
      </c>
      <c r="B61" s="118" t="s">
        <v>82</v>
      </c>
      <c r="C61" s="118" t="s">
        <v>111</v>
      </c>
      <c r="D61" s="118" t="s">
        <v>83</v>
      </c>
      <c r="E61" s="118" t="s">
        <v>27</v>
      </c>
      <c r="F61" s="127" t="s">
        <v>112</v>
      </c>
      <c r="G61" s="132" t="str">
        <f>IF($F61&lt;&gt;"",$F61,IFERROR(_xlfn.XLOOKUP(ROW(),Taxa_Saknas!$H:$H,Taxa_Saknas!$G:$G),""))</f>
        <v>KÄ190TI52FV</v>
      </c>
      <c r="H61" s="137" t="str">
        <f>IF($F61&lt;&gt;"",IFERROR(_xlfn.XLOOKUP($F61,Taxa_från_edp!$B:$B,Taxa_från_edp!C:C),""),"")</f>
        <v/>
      </c>
      <c r="I61" s="138" t="str">
        <f>IF($F61&lt;&gt;"",IFERROR(_xlfn.XLOOKUP($F61,Taxa_från_edp!$B:$B,Taxa_från_edp!G:G),""),"")</f>
        <v/>
      </c>
      <c r="J61" s="139" t="str">
        <f>IF($F61&lt;&gt;"",IFERROR(_xlfn.XLOOKUP($F61,Taxa_från_edp!$B:$B,Taxa_från_edp!K:K),""),"")</f>
        <v/>
      </c>
      <c r="K61" s="148"/>
      <c r="L61" s="152"/>
      <c r="M61" s="156" t="str">
        <f t="shared" si="0"/>
        <v/>
      </c>
      <c r="N61" s="157" t="str">
        <f t="shared" si="1"/>
        <v/>
      </c>
    </row>
    <row r="62" spans="1:14" ht="30" customHeight="1" x14ac:dyDescent="0.25">
      <c r="A62" s="118" t="s">
        <v>81</v>
      </c>
      <c r="B62" s="118" t="s">
        <v>82</v>
      </c>
      <c r="C62" s="118" t="s">
        <v>111</v>
      </c>
      <c r="D62" s="118" t="s">
        <v>49</v>
      </c>
      <c r="E62" s="118" t="s">
        <v>27</v>
      </c>
      <c r="F62" s="127" t="s">
        <v>113</v>
      </c>
      <c r="G62" s="132" t="str">
        <f>IF($F62&lt;&gt;"",$F62,IFERROR(_xlfn.XLOOKUP(ROW(),Taxa_Saknas!$H:$H,Taxa_Saknas!$G:$G),""))</f>
        <v>KÄ190TI26FV</v>
      </c>
      <c r="H62" s="137" t="str">
        <f>IF($F62&lt;&gt;"",IFERROR(_xlfn.XLOOKUP($F62,Taxa_från_edp!$B:$B,Taxa_från_edp!C:C),""),"")</f>
        <v/>
      </c>
      <c r="I62" s="138" t="str">
        <f>IF($F62&lt;&gt;"",IFERROR(_xlfn.XLOOKUP($F62,Taxa_från_edp!$B:$B,Taxa_från_edp!G:G),""),"")</f>
        <v/>
      </c>
      <c r="J62" s="139" t="str">
        <f>IF($F62&lt;&gt;"",IFERROR(_xlfn.XLOOKUP($F62,Taxa_från_edp!$B:$B,Taxa_från_edp!K:K),""),"")</f>
        <v/>
      </c>
      <c r="K62" s="148"/>
      <c r="L62" s="152"/>
      <c r="M62" s="156" t="str">
        <f t="shared" si="0"/>
        <v/>
      </c>
      <c r="N62" s="157" t="str">
        <f t="shared" si="1"/>
        <v/>
      </c>
    </row>
    <row r="63" spans="1:14" ht="30" customHeight="1" x14ac:dyDescent="0.25">
      <c r="A63" s="118" t="s">
        <v>81</v>
      </c>
      <c r="B63" s="118" t="s">
        <v>82</v>
      </c>
      <c r="C63" s="118" t="s">
        <v>111</v>
      </c>
      <c r="D63" s="118" t="s">
        <v>51</v>
      </c>
      <c r="E63" s="118" t="s">
        <v>27</v>
      </c>
      <c r="F63" s="127" t="s">
        <v>114</v>
      </c>
      <c r="G63" s="132" t="str">
        <f>IF($F63&lt;&gt;"",$F63,IFERROR(_xlfn.XLOOKUP(ROW(),Taxa_Saknas!$H:$H,Taxa_Saknas!$G:$G),""))</f>
        <v>KÄ190TI12FV</v>
      </c>
      <c r="H63" s="137" t="str">
        <f>IF($F63&lt;&gt;"",IFERROR(_xlfn.XLOOKUP($F63,Taxa_från_edp!$B:$B,Taxa_från_edp!C:C),""),"")</f>
        <v/>
      </c>
      <c r="I63" s="138" t="str">
        <f>IF($F63&lt;&gt;"",IFERROR(_xlfn.XLOOKUP($F63,Taxa_från_edp!$B:$B,Taxa_från_edp!G:G),""),"")</f>
        <v/>
      </c>
      <c r="J63" s="139" t="str">
        <f>IF($F63&lt;&gt;"",IFERROR(_xlfn.XLOOKUP($F63,Taxa_från_edp!$B:$B,Taxa_från_edp!K:K),""),"")</f>
        <v/>
      </c>
      <c r="K63" s="148"/>
      <c r="L63" s="152"/>
      <c r="M63" s="156" t="str">
        <f t="shared" si="0"/>
        <v/>
      </c>
      <c r="N63" s="157" t="str">
        <f t="shared" si="1"/>
        <v/>
      </c>
    </row>
    <row r="64" spans="1:14" ht="30" customHeight="1" x14ac:dyDescent="0.25">
      <c r="A64" s="118" t="s">
        <v>81</v>
      </c>
      <c r="B64" s="118" t="s">
        <v>82</v>
      </c>
      <c r="C64" s="118" t="s">
        <v>115</v>
      </c>
      <c r="D64" s="118" t="s">
        <v>83</v>
      </c>
      <c r="E64" s="118" t="s">
        <v>27</v>
      </c>
      <c r="F64" s="127" t="s">
        <v>116</v>
      </c>
      <c r="G64" s="132" t="str">
        <f>IF($F64&lt;&gt;"",$F64,IFERROR(_xlfn.XLOOKUP(ROW(),Taxa_Saknas!$H:$H,Taxa_Saknas!$G:$G),""))</f>
        <v>KÄ370TI52FV</v>
      </c>
      <c r="H64" s="137" t="str">
        <f>IF($F64&lt;&gt;"",IFERROR(_xlfn.XLOOKUP($F64,Taxa_från_edp!$B:$B,Taxa_från_edp!C:C),""),"")</f>
        <v/>
      </c>
      <c r="I64" s="138" t="str">
        <f>IF($F64&lt;&gt;"",IFERROR(_xlfn.XLOOKUP($F64,Taxa_från_edp!$B:$B,Taxa_från_edp!G:G),""),"")</f>
        <v/>
      </c>
      <c r="J64" s="139" t="str">
        <f>IF($F64&lt;&gt;"",IFERROR(_xlfn.XLOOKUP($F64,Taxa_från_edp!$B:$B,Taxa_från_edp!K:K),""),"")</f>
        <v/>
      </c>
      <c r="K64" s="148"/>
      <c r="L64" s="152"/>
      <c r="M64" s="156" t="str">
        <f t="shared" si="0"/>
        <v/>
      </c>
      <c r="N64" s="157" t="str">
        <f t="shared" si="1"/>
        <v/>
      </c>
    </row>
    <row r="65" spans="1:14" ht="30" customHeight="1" x14ac:dyDescent="0.25">
      <c r="A65" s="118" t="s">
        <v>81</v>
      </c>
      <c r="B65" s="118" t="s">
        <v>82</v>
      </c>
      <c r="C65" s="118" t="s">
        <v>115</v>
      </c>
      <c r="D65" s="118" t="s">
        <v>49</v>
      </c>
      <c r="E65" s="118" t="s">
        <v>27</v>
      </c>
      <c r="F65" s="127" t="s">
        <v>117</v>
      </c>
      <c r="G65" s="132" t="str">
        <f>IF($F65&lt;&gt;"",$F65,IFERROR(_xlfn.XLOOKUP(ROW(),Taxa_Saknas!$H:$H,Taxa_Saknas!$G:$G),""))</f>
        <v>KÄ370TI26FV</v>
      </c>
      <c r="H65" s="137" t="str">
        <f>IF($F65&lt;&gt;"",IFERROR(_xlfn.XLOOKUP($F65,Taxa_från_edp!$B:$B,Taxa_från_edp!C:C),""),"")</f>
        <v/>
      </c>
      <c r="I65" s="138" t="str">
        <f>IF($F65&lt;&gt;"",IFERROR(_xlfn.XLOOKUP($F65,Taxa_från_edp!$B:$B,Taxa_från_edp!G:G),""),"")</f>
        <v/>
      </c>
      <c r="J65" s="139" t="str">
        <f>IF($F65&lt;&gt;"",IFERROR(_xlfn.XLOOKUP($F65,Taxa_från_edp!$B:$B,Taxa_från_edp!K:K),""),"")</f>
        <v/>
      </c>
      <c r="K65" s="148"/>
      <c r="L65" s="152"/>
      <c r="M65" s="156" t="str">
        <f t="shared" si="0"/>
        <v/>
      </c>
      <c r="N65" s="157" t="str">
        <f t="shared" si="1"/>
        <v/>
      </c>
    </row>
    <row r="66" spans="1:14" ht="30" customHeight="1" x14ac:dyDescent="0.25">
      <c r="A66" s="118" t="s">
        <v>81</v>
      </c>
      <c r="B66" s="118" t="s">
        <v>82</v>
      </c>
      <c r="C66" s="118" t="s">
        <v>115</v>
      </c>
      <c r="D66" s="118" t="s">
        <v>51</v>
      </c>
      <c r="E66" s="118" t="s">
        <v>27</v>
      </c>
      <c r="F66" s="127" t="s">
        <v>118</v>
      </c>
      <c r="G66" s="132" t="str">
        <f>IF($F66&lt;&gt;"",$F66,IFERROR(_xlfn.XLOOKUP(ROW(),Taxa_Saknas!$H:$H,Taxa_Saknas!$G:$G),""))</f>
        <v>KÄ370TI12FV</v>
      </c>
      <c r="H66" s="137" t="str">
        <f>IF($F66&lt;&gt;"",IFERROR(_xlfn.XLOOKUP($F66,Taxa_från_edp!$B:$B,Taxa_från_edp!C:C),""),"")</f>
        <v/>
      </c>
      <c r="I66" s="138" t="str">
        <f>IF($F66&lt;&gt;"",IFERROR(_xlfn.XLOOKUP($F66,Taxa_från_edp!$B:$B,Taxa_från_edp!G:G),""),"")</f>
        <v/>
      </c>
      <c r="J66" s="139" t="str">
        <f>IF($F66&lt;&gt;"",IFERROR(_xlfn.XLOOKUP($F66,Taxa_från_edp!$B:$B,Taxa_från_edp!K:K),""),"")</f>
        <v/>
      </c>
      <c r="K66" s="148"/>
      <c r="L66" s="152"/>
      <c r="M66" s="156" t="str">
        <f t="shared" si="0"/>
        <v/>
      </c>
      <c r="N66" s="157" t="str">
        <f t="shared" si="1"/>
        <v/>
      </c>
    </row>
    <row r="67" spans="1:14" ht="30" customHeight="1" x14ac:dyDescent="0.25">
      <c r="A67" s="118" t="s">
        <v>81</v>
      </c>
      <c r="B67" s="118" t="s">
        <v>82</v>
      </c>
      <c r="C67" s="118" t="s">
        <v>119</v>
      </c>
      <c r="D67" s="118" t="s">
        <v>120</v>
      </c>
      <c r="E67" s="118" t="s">
        <v>121</v>
      </c>
      <c r="F67" s="129" t="s">
        <v>122</v>
      </c>
      <c r="G67" s="134" t="str">
        <f>IF($F67&lt;&gt;"",$F67,IFERROR(_xlfn.XLOOKUP(ROW(),Taxa_Saknas!$H:$H,Taxa_Saknas!$G:$G),""))</f>
        <v>MBRMFPFV</v>
      </c>
      <c r="H67" s="141" t="str">
        <f>IF($F67&lt;&gt;"",IFERROR(_xlfn.XLOOKUP($F67,Taxa_från_edp!$B:$B,Taxa_från_edp!C:C),""),"")</f>
        <v/>
      </c>
      <c r="I67" s="142" t="str">
        <f>IF($F67&lt;&gt;"",IFERROR(_xlfn.XLOOKUP($F67,Taxa_från_edp!$B:$B,Taxa_från_edp!G:G),""),"")</f>
        <v/>
      </c>
      <c r="J67" s="143" t="str">
        <f>IF($F67&lt;&gt;"",IFERROR(_xlfn.XLOOKUP($F67,Taxa_från_edp!$B:$B,Taxa_från_edp!K:K),""),"")</f>
        <v/>
      </c>
      <c r="K67" s="149"/>
      <c r="L67" s="153"/>
      <c r="M67" s="156" t="str">
        <f t="shared" si="0"/>
        <v/>
      </c>
      <c r="N67" s="157" t="str">
        <f t="shared" si="1"/>
        <v/>
      </c>
    </row>
    <row r="68" spans="1:14" ht="30" customHeight="1" x14ac:dyDescent="0.25">
      <c r="A68" s="118" t="s">
        <v>81</v>
      </c>
      <c r="B68" s="118" t="s">
        <v>82</v>
      </c>
      <c r="C68" s="118" t="s">
        <v>119</v>
      </c>
      <c r="D68" s="118" t="s">
        <v>123</v>
      </c>
      <c r="E68" s="118" t="s">
        <v>121</v>
      </c>
      <c r="F68" s="129" t="s">
        <v>124</v>
      </c>
      <c r="G68" s="134" t="str">
        <f>IF($F68&lt;&gt;"",$F68,IFERROR(_xlfn.XLOOKUP(ROW(),Taxa_Saknas!$H:$H,Taxa_Saknas!$G:$G),""))</f>
        <v>MBRMFP2VFV</v>
      </c>
      <c r="H68" s="141" t="str">
        <f>IF($F68&lt;&gt;"",IFERROR(_xlfn.XLOOKUP($F68,Taxa_från_edp!$B:$B,Taxa_från_edp!C:C),""),"")</f>
        <v/>
      </c>
      <c r="I68" s="142" t="str">
        <f>IF($F68&lt;&gt;"",IFERROR(_xlfn.XLOOKUP($F68,Taxa_från_edp!$B:$B,Taxa_från_edp!G:G),""),"")</f>
        <v/>
      </c>
      <c r="J68" s="143" t="str">
        <f>IF($F68&lt;&gt;"",IFERROR(_xlfn.XLOOKUP($F68,Taxa_från_edp!$B:$B,Taxa_från_edp!K:K),""),"")</f>
        <v/>
      </c>
      <c r="K68" s="149"/>
      <c r="L68" s="153"/>
      <c r="M68" s="156" t="str">
        <f t="shared" si="0"/>
        <v/>
      </c>
      <c r="N68" s="157" t="str">
        <f t="shared" si="1"/>
        <v/>
      </c>
    </row>
    <row r="69" spans="1:14" ht="30" customHeight="1" x14ac:dyDescent="0.25">
      <c r="A69" s="118" t="s">
        <v>81</v>
      </c>
      <c r="B69" s="118" t="s">
        <v>82</v>
      </c>
      <c r="C69" s="118" t="s">
        <v>125</v>
      </c>
      <c r="D69" s="118" t="s">
        <v>126</v>
      </c>
      <c r="E69" s="118" t="s">
        <v>127</v>
      </c>
      <c r="F69" s="127" t="s">
        <v>128</v>
      </c>
      <c r="G69" s="132" t="str">
        <f>IF($F69&lt;&gt;"",$F69,IFERROR(_xlfn.XLOOKUP(ROW(),Taxa_Saknas!$H:$H,Taxa_Saknas!$G:$G),""))</f>
        <v>GEMUPPMRFPFLB</v>
      </c>
      <c r="H69" s="137" t="str">
        <f>IF($F69&lt;&gt;"",IFERROR(_xlfn.XLOOKUP($F69,Taxa_från_edp!$B:$B,Taxa_från_edp!C:C),""),"")</f>
        <v/>
      </c>
      <c r="I69" s="138" t="str">
        <f>IF($F69&lt;&gt;"",IFERROR(_xlfn.XLOOKUP($F69,Taxa_från_edp!$B:$B,Taxa_från_edp!G:G),""),"")</f>
        <v/>
      </c>
      <c r="J69" s="139" t="str">
        <f>IF($F69&lt;&gt;"",IFERROR(_xlfn.XLOOKUP($F69,Taxa_från_edp!$B:$B,Taxa_från_edp!K:K),""),"")</f>
        <v/>
      </c>
      <c r="K69" s="148"/>
      <c r="L69" s="152"/>
      <c r="M69" s="156" t="str">
        <f t="shared" si="0"/>
        <v/>
      </c>
      <c r="N69" s="157" t="str">
        <f t="shared" si="1"/>
        <v/>
      </c>
    </row>
    <row r="70" spans="1:14" ht="21.95" customHeight="1" x14ac:dyDescent="0.25">
      <c r="A70" s="183" t="s">
        <v>81</v>
      </c>
      <c r="B70" s="184"/>
      <c r="C70" s="184"/>
      <c r="D70" s="184"/>
      <c r="E70" s="185"/>
      <c r="F70" s="121"/>
      <c r="G70" s="125" t="str">
        <f>IF($F70&lt;&gt;"",$F70,IFERROR(_xlfn.XLOOKUP(ROW(),Taxa_Saknas!$H:$H,Taxa_Saknas!$G:$G),""))</f>
        <v/>
      </c>
      <c r="H70" s="125" t="str">
        <f>IF($F70&lt;&gt;"",IFERROR(_xlfn.XLOOKUP($F70,Taxa_från_edp!$B:$B,Taxa_från_edp!C:C),""),"")</f>
        <v/>
      </c>
      <c r="I70" s="126" t="str">
        <f>IF($F70&lt;&gt;"",IFERROR(_xlfn.XLOOKUP($F70,Taxa_från_edp!$B:$B,Taxa_från_edp!G:G),""),"")</f>
        <v/>
      </c>
      <c r="J70" s="126" t="str">
        <f>IF($F70&lt;&gt;"",IFERROR(_xlfn.XLOOKUP($F70,Taxa_från_edp!$B:$B,Taxa_från_edp!K:K),""),"")</f>
        <v/>
      </c>
      <c r="K70" s="126"/>
      <c r="L70" s="126"/>
      <c r="M70" s="122" t="str">
        <f t="shared" si="0"/>
        <v/>
      </c>
      <c r="N70" s="123" t="str">
        <f t="shared" si="1"/>
        <v/>
      </c>
    </row>
    <row r="71" spans="1:14" ht="21.95" customHeight="1" x14ac:dyDescent="0.25">
      <c r="A71" s="183" t="s">
        <v>129</v>
      </c>
      <c r="B71" s="184"/>
      <c r="C71" s="184"/>
      <c r="D71" s="184"/>
      <c r="E71" s="185"/>
      <c r="F71" s="121"/>
      <c r="G71" s="125" t="str">
        <f>IF($F71&lt;&gt;"",$F71,IFERROR(_xlfn.XLOOKUP(ROW(),Taxa_Saknas!$H:$H,Taxa_Saknas!$G:$G),""))</f>
        <v/>
      </c>
      <c r="H71" s="125" t="str">
        <f>IF($F71&lt;&gt;"",IFERROR(_xlfn.XLOOKUP($F71,Taxa_från_edp!$B:$B,Taxa_från_edp!C:C),""),"")</f>
        <v/>
      </c>
      <c r="I71" s="126" t="str">
        <f>IF($F71&lt;&gt;"",IFERROR(_xlfn.XLOOKUP($F71,Taxa_från_edp!$B:$B,Taxa_från_edp!G:G),""),"")</f>
        <v/>
      </c>
      <c r="J71" s="126" t="str">
        <f>IF($F71&lt;&gt;"",IFERROR(_xlfn.XLOOKUP($F71,Taxa_från_edp!$B:$B,Taxa_från_edp!K:K),""),"")</f>
        <v/>
      </c>
      <c r="K71" s="126"/>
      <c r="L71" s="126"/>
      <c r="M71" s="122" t="str">
        <f t="shared" ref="M71:M134" si="2">IFERROR(IF(J71&lt;&gt;"",J71*1.25,IF(K71&lt;&gt;"",K71*1.25,"")),"")</f>
        <v/>
      </c>
      <c r="N71" s="123" t="str">
        <f t="shared" ref="N71:N134" si="3">IFERROR(IF(J71&lt;&gt;"",L71*J71,IF(K71&lt;&gt;"",L71*K71,"")),"")</f>
        <v/>
      </c>
    </row>
    <row r="72" spans="1:14" ht="30" customHeight="1" x14ac:dyDescent="0.25">
      <c r="A72" s="118" t="s">
        <v>130</v>
      </c>
      <c r="B72" s="118" t="s">
        <v>131</v>
      </c>
      <c r="C72" s="118" t="s">
        <v>48</v>
      </c>
      <c r="D72" s="118" t="s">
        <v>83</v>
      </c>
      <c r="E72" s="118" t="s">
        <v>27</v>
      </c>
      <c r="F72" s="130" t="s">
        <v>84</v>
      </c>
      <c r="G72" s="135" t="str">
        <f>IF($F72&lt;&gt;"",$F72,IFERROR(_xlfn.XLOOKUP(ROW(),Taxa_Saknas!$H:$H,Taxa_Saknas!$G:$G),""))</f>
        <v>KÄ240RM52FV</v>
      </c>
      <c r="H72" s="144" t="str">
        <f>IF($F72&lt;&gt;"",IFERROR(_xlfn.XLOOKUP($F72,Taxa_från_edp!$B:$B,Taxa_från_edp!C:C),""),"")</f>
        <v>Tvåfackskärl 240L, rest/matavfall. Varje vecka. FLB/VHT</v>
      </c>
      <c r="I72" s="145" t="str">
        <f>IF($F72&lt;&gt;"",IFERROR(_xlfn.XLOOKUP($F72,Taxa_från_edp!$B:$B,Taxa_från_edp!G:G),""),"")</f>
        <v>ÅRKV</v>
      </c>
      <c r="J72" s="145">
        <f>IF($F72&lt;&gt;"",IFERROR(_xlfn.XLOOKUP($F72,Taxa_från_edp!$B:$B,Taxa_från_edp!K:K),""),"")</f>
        <v>1000</v>
      </c>
      <c r="K72" s="150"/>
      <c r="L72" s="154"/>
      <c r="M72" s="156">
        <f t="shared" si="2"/>
        <v>1250</v>
      </c>
      <c r="N72" s="157">
        <f t="shared" si="3"/>
        <v>0</v>
      </c>
    </row>
    <row r="73" spans="1:14" ht="30" customHeight="1" x14ac:dyDescent="0.25">
      <c r="A73" s="118" t="s">
        <v>130</v>
      </c>
      <c r="B73" s="118" t="s">
        <v>131</v>
      </c>
      <c r="C73" s="118" t="s">
        <v>48</v>
      </c>
      <c r="D73" s="118" t="s">
        <v>49</v>
      </c>
      <c r="E73" s="118" t="s">
        <v>27</v>
      </c>
      <c r="F73" s="130" t="s">
        <v>85</v>
      </c>
      <c r="G73" s="135" t="str">
        <f>IF($F73&lt;&gt;"",$F73,IFERROR(_xlfn.XLOOKUP(ROW(),Taxa_Saknas!$H:$H,Taxa_Saknas!$G:$G),""))</f>
        <v>KÄ240RM26FV</v>
      </c>
      <c r="H73" s="144" t="str">
        <f>IF($F73&lt;&gt;"",IFERROR(_xlfn.XLOOKUP($F73,Taxa_från_edp!$B:$B,Taxa_från_edp!C:C),""),"")</f>
        <v>Tvåfackskärl 240L, rest/matavfall. Var 14:e dag. FLB/VHT</v>
      </c>
      <c r="I73" s="145" t="str">
        <f>IF($F73&lt;&gt;"",IFERROR(_xlfn.XLOOKUP($F73,Taxa_från_edp!$B:$B,Taxa_från_edp!G:G),""),"")</f>
        <v>ÅRKV</v>
      </c>
      <c r="J73" s="145">
        <f>IF($F73&lt;&gt;"",IFERROR(_xlfn.XLOOKUP($F73,Taxa_från_edp!$B:$B,Taxa_från_edp!K:K),""),"")</f>
        <v>680</v>
      </c>
      <c r="K73" s="150"/>
      <c r="L73" s="154"/>
      <c r="M73" s="156">
        <f t="shared" si="2"/>
        <v>850</v>
      </c>
      <c r="N73" s="157">
        <f t="shared" si="3"/>
        <v>0</v>
      </c>
    </row>
    <row r="74" spans="1:14" ht="30" customHeight="1" x14ac:dyDescent="0.25">
      <c r="A74" s="118" t="s">
        <v>130</v>
      </c>
      <c r="B74" s="118" t="s">
        <v>131</v>
      </c>
      <c r="C74" s="118" t="s">
        <v>48</v>
      </c>
      <c r="D74" s="118" t="s">
        <v>51</v>
      </c>
      <c r="E74" s="118" t="s">
        <v>27</v>
      </c>
      <c r="F74" s="127"/>
      <c r="G74" s="132" t="str">
        <f>IF($F74&lt;&gt;"",$F74,IFERROR(_xlfn.XLOOKUP(ROW(),Taxa_Saknas!$H:$H,Taxa_Saknas!$G:$G),""))</f>
        <v>KÄ240RM12FV</v>
      </c>
      <c r="H74" s="137" t="str">
        <f>IF($F74&lt;&gt;"",IFERROR(_xlfn.XLOOKUP($F74,Taxa_från_edp!$B:$B,Taxa_från_edp!C:C),""),"")</f>
        <v/>
      </c>
      <c r="I74" s="138" t="str">
        <f>IF($F74&lt;&gt;"",IFERROR(_xlfn.XLOOKUP($F74,Taxa_från_edp!$B:$B,Taxa_från_edp!G:G),""),"")</f>
        <v/>
      </c>
      <c r="J74" s="139" t="str">
        <f>IF($F74&lt;&gt;"",IFERROR(_xlfn.XLOOKUP($F74,Taxa_från_edp!$B:$B,Taxa_från_edp!K:K),""),"")</f>
        <v/>
      </c>
      <c r="K74" s="148"/>
      <c r="L74" s="152"/>
      <c r="M74" s="156" t="str">
        <f t="shared" si="2"/>
        <v/>
      </c>
      <c r="N74" s="157" t="str">
        <f t="shared" si="3"/>
        <v/>
      </c>
    </row>
    <row r="75" spans="1:14" ht="30" customHeight="1" x14ac:dyDescent="0.25">
      <c r="A75" s="118" t="s">
        <v>130</v>
      </c>
      <c r="B75" s="118" t="s">
        <v>131</v>
      </c>
      <c r="C75" s="118" t="s">
        <v>87</v>
      </c>
      <c r="D75" s="118" t="s">
        <v>83</v>
      </c>
      <c r="E75" s="118" t="s">
        <v>27</v>
      </c>
      <c r="F75" s="127" t="s">
        <v>88</v>
      </c>
      <c r="G75" s="132" t="str">
        <f>IF($F75&lt;&gt;"",$F75,IFERROR(_xlfn.XLOOKUP(ROW(),Taxa_Saknas!$H:$H,Taxa_Saknas!$G:$G),""))</f>
        <v>KÄ370RE52FV</v>
      </c>
      <c r="H75" s="137" t="str">
        <f>IF($F75&lt;&gt;"",IFERROR(_xlfn.XLOOKUP($F75,Taxa_från_edp!$B:$B,Taxa_från_edp!C:C),""),"")</f>
        <v>Kärl 370L, restavfall. Varje vecka. FLB/VHT</v>
      </c>
      <c r="I75" s="138" t="str">
        <f>IF($F75&lt;&gt;"",IFERROR(_xlfn.XLOOKUP($F75,Taxa_från_edp!$B:$B,Taxa_från_edp!G:G),""),"")</f>
        <v>ÅRKV</v>
      </c>
      <c r="J75" s="139">
        <f>IF($F75&lt;&gt;"",IFERROR(_xlfn.XLOOKUP($F75,Taxa_från_edp!$B:$B,Taxa_från_edp!K:K),""),"")</f>
        <v>2000</v>
      </c>
      <c r="K75" s="148"/>
      <c r="L75" s="152"/>
      <c r="M75" s="156">
        <f t="shared" si="2"/>
        <v>2500</v>
      </c>
      <c r="N75" s="157">
        <f t="shared" si="3"/>
        <v>0</v>
      </c>
    </row>
    <row r="76" spans="1:14" ht="30" customHeight="1" x14ac:dyDescent="0.25">
      <c r="A76" s="118" t="s">
        <v>130</v>
      </c>
      <c r="B76" s="118" t="s">
        <v>131</v>
      </c>
      <c r="C76" s="118" t="s">
        <v>87</v>
      </c>
      <c r="D76" s="118" t="s">
        <v>49</v>
      </c>
      <c r="E76" s="118" t="s">
        <v>27</v>
      </c>
      <c r="F76" s="127" t="s">
        <v>89</v>
      </c>
      <c r="G76" s="132" t="str">
        <f>IF($F76&lt;&gt;"",$F76,IFERROR(_xlfn.XLOOKUP(ROW(),Taxa_Saknas!$H:$H,Taxa_Saknas!$G:$G),""))</f>
        <v>KÄ370RE26FV</v>
      </c>
      <c r="H76" s="137" t="str">
        <f>IF($F76&lt;&gt;"",IFERROR(_xlfn.XLOOKUP($F76,Taxa_från_edp!$B:$B,Taxa_från_edp!C:C),""),"")</f>
        <v>Kärl 370L, restavfall. Var 14:e dag. FLB/VHT</v>
      </c>
      <c r="I76" s="138" t="str">
        <f>IF($F76&lt;&gt;"",IFERROR(_xlfn.XLOOKUP($F76,Taxa_från_edp!$B:$B,Taxa_från_edp!G:G),""),"")</f>
        <v>ÅRKV</v>
      </c>
      <c r="J76" s="139">
        <f>IF($F76&lt;&gt;"",IFERROR(_xlfn.XLOOKUP($F76,Taxa_från_edp!$B:$B,Taxa_från_edp!K:K),""),"")</f>
        <v>800</v>
      </c>
      <c r="K76" s="148"/>
      <c r="L76" s="152"/>
      <c r="M76" s="156">
        <f t="shared" si="2"/>
        <v>1000</v>
      </c>
      <c r="N76" s="157">
        <f t="shared" si="3"/>
        <v>0</v>
      </c>
    </row>
    <row r="77" spans="1:14" x14ac:dyDescent="0.25">
      <c r="A77" s="118" t="s">
        <v>130</v>
      </c>
      <c r="B77" s="118" t="s">
        <v>131</v>
      </c>
      <c r="C77" s="118" t="s">
        <v>87</v>
      </c>
      <c r="D77" s="118" t="s">
        <v>51</v>
      </c>
      <c r="E77" s="118" t="s">
        <v>27</v>
      </c>
      <c r="F77" s="130"/>
      <c r="G77" s="135" t="str">
        <f>IF($F77&lt;&gt;"",$F77,IFERROR(_xlfn.XLOOKUP(ROW(),Taxa_Saknas!$H:$H,Taxa_Saknas!$G:$G),""))</f>
        <v>KÄ370RE12FV</v>
      </c>
      <c r="H77" s="144" t="str">
        <f>IF($F77&lt;&gt;"",IFERROR(_xlfn.XLOOKUP($F77,Taxa_från_edp!$B:$B,Taxa_från_edp!C:C),""),"")</f>
        <v/>
      </c>
      <c r="I77" s="145" t="str">
        <f>IF($F77&lt;&gt;"",IFERROR(_xlfn.XLOOKUP($F77,Taxa_från_edp!$B:$B,Taxa_från_edp!G:G),""),"")</f>
        <v/>
      </c>
      <c r="J77" s="145" t="str">
        <f>IF($F77&lt;&gt;"",IFERROR(_xlfn.XLOOKUP($F77,Taxa_från_edp!$B:$B,Taxa_från_edp!K:K),""),"")</f>
        <v/>
      </c>
      <c r="K77" s="150"/>
      <c r="L77" s="154"/>
      <c r="M77" s="156" t="str">
        <f t="shared" si="2"/>
        <v/>
      </c>
      <c r="N77" s="157" t="str">
        <f t="shared" si="3"/>
        <v/>
      </c>
    </row>
    <row r="78" spans="1:14" ht="30" x14ac:dyDescent="0.25">
      <c r="A78" s="118" t="s">
        <v>130</v>
      </c>
      <c r="B78" s="118" t="s">
        <v>131</v>
      </c>
      <c r="C78" s="118" t="s">
        <v>91</v>
      </c>
      <c r="D78" s="118" t="s">
        <v>83</v>
      </c>
      <c r="E78" s="118" t="s">
        <v>27</v>
      </c>
      <c r="F78" s="127" t="s">
        <v>92</v>
      </c>
      <c r="G78" s="132" t="str">
        <f>IF($F78&lt;&gt;"",$F78,IFERROR(_xlfn.XLOOKUP(ROW(),Taxa_Saknas!$H:$H,Taxa_Saknas!$G:$G),""))</f>
        <v>KÄ660RE52FV</v>
      </c>
      <c r="H78" s="137" t="str">
        <f>IF($F78&lt;&gt;"",IFERROR(_xlfn.XLOOKUP($F78,Taxa_från_edp!$B:$B,Taxa_från_edp!C:C),""),"")</f>
        <v>Kärl 660L, restavfall. Varje vecka. FLB/VHT</v>
      </c>
      <c r="I78" s="138" t="str">
        <f>IF($F78&lt;&gt;"",IFERROR(_xlfn.XLOOKUP($F78,Taxa_från_edp!$B:$B,Taxa_från_edp!G:G),""),"")</f>
        <v>ÅRKV</v>
      </c>
      <c r="J78" s="139">
        <f>IF($F78&lt;&gt;"",IFERROR(_xlfn.XLOOKUP($F78,Taxa_från_edp!$B:$B,Taxa_från_edp!K:K),""),"")</f>
        <v>3600</v>
      </c>
      <c r="K78" s="148"/>
      <c r="L78" s="152"/>
      <c r="M78" s="156">
        <f t="shared" si="2"/>
        <v>4500</v>
      </c>
      <c r="N78" s="157">
        <f t="shared" si="3"/>
        <v>0</v>
      </c>
    </row>
    <row r="79" spans="1:14" ht="30" x14ac:dyDescent="0.25">
      <c r="A79" s="118" t="s">
        <v>130</v>
      </c>
      <c r="B79" s="118" t="s">
        <v>131</v>
      </c>
      <c r="C79" s="118" t="s">
        <v>91</v>
      </c>
      <c r="D79" s="118" t="s">
        <v>49</v>
      </c>
      <c r="E79" s="118" t="s">
        <v>27</v>
      </c>
      <c r="F79" s="127" t="s">
        <v>93</v>
      </c>
      <c r="G79" s="132" t="str">
        <f>IF($F79&lt;&gt;"",$F79,IFERROR(_xlfn.XLOOKUP(ROW(),Taxa_Saknas!$H:$H,Taxa_Saknas!$G:$G),""))</f>
        <v>KÄ660RE26FV</v>
      </c>
      <c r="H79" s="137" t="str">
        <f>IF($F79&lt;&gt;"",IFERROR(_xlfn.XLOOKUP($F79,Taxa_från_edp!$B:$B,Taxa_från_edp!C:C),""),"")</f>
        <v>Kärl 660L, restavfall. Var 14:e dag FLB/VHT</v>
      </c>
      <c r="I79" s="138" t="str">
        <f>IF($F79&lt;&gt;"",IFERROR(_xlfn.XLOOKUP($F79,Taxa_från_edp!$B:$B,Taxa_från_edp!G:G),""),"")</f>
        <v>ÅRKV</v>
      </c>
      <c r="J79" s="139">
        <f>IF($F79&lt;&gt;"",IFERROR(_xlfn.XLOOKUP($F79,Taxa_från_edp!$B:$B,Taxa_från_edp!K:K),""),"")</f>
        <v>1680</v>
      </c>
      <c r="K79" s="148"/>
      <c r="L79" s="152"/>
      <c r="M79" s="156">
        <f t="shared" si="2"/>
        <v>2100</v>
      </c>
      <c r="N79" s="157">
        <f t="shared" si="3"/>
        <v>0</v>
      </c>
    </row>
    <row r="80" spans="1:14" x14ac:dyDescent="0.25">
      <c r="A80" s="118" t="s">
        <v>130</v>
      </c>
      <c r="B80" s="118" t="s">
        <v>131</v>
      </c>
      <c r="C80" s="118" t="s">
        <v>91</v>
      </c>
      <c r="D80" s="118" t="s">
        <v>51</v>
      </c>
      <c r="E80" s="118" t="s">
        <v>27</v>
      </c>
      <c r="F80" s="130"/>
      <c r="G80" s="135" t="str">
        <f>IF($F80&lt;&gt;"",$F80,IFERROR(_xlfn.XLOOKUP(ROW(),Taxa_Saknas!$H:$H,Taxa_Saknas!$G:$G),""))</f>
        <v>KÄ660RE12FV</v>
      </c>
      <c r="H80" s="144" t="str">
        <f>IF($F80&lt;&gt;"",IFERROR(_xlfn.XLOOKUP($F80,Taxa_från_edp!$B:$B,Taxa_från_edp!C:C),""),"")</f>
        <v/>
      </c>
      <c r="I80" s="145" t="str">
        <f>IF($F80&lt;&gt;"",IFERROR(_xlfn.XLOOKUP($F80,Taxa_från_edp!$B:$B,Taxa_från_edp!G:G),""),"")</f>
        <v/>
      </c>
      <c r="J80" s="145" t="str">
        <f>IF($F80&lt;&gt;"",IFERROR(_xlfn.XLOOKUP($F80,Taxa_från_edp!$B:$B,Taxa_från_edp!K:K),""),"")</f>
        <v/>
      </c>
      <c r="K80" s="150"/>
      <c r="L80" s="154"/>
      <c r="M80" s="156" t="str">
        <f t="shared" si="2"/>
        <v/>
      </c>
      <c r="N80" s="157" t="str">
        <f t="shared" si="3"/>
        <v/>
      </c>
    </row>
    <row r="81" spans="1:14" ht="30" x14ac:dyDescent="0.25">
      <c r="A81" s="118" t="s">
        <v>130</v>
      </c>
      <c r="B81" s="118" t="s">
        <v>131</v>
      </c>
      <c r="C81" s="118" t="s">
        <v>95</v>
      </c>
      <c r="D81" s="118" t="s">
        <v>83</v>
      </c>
      <c r="E81" s="118" t="s">
        <v>27</v>
      </c>
      <c r="F81" s="127" t="s">
        <v>96</v>
      </c>
      <c r="G81" s="132" t="str">
        <f>IF($F81&lt;&gt;"",$F81,IFERROR(_xlfn.XLOOKUP(ROW(),Taxa_Saknas!$H:$H,Taxa_Saknas!$G:$G),""))</f>
        <v>KÄ140MA52FV</v>
      </c>
      <c r="H81" s="137" t="str">
        <f>IF($F81&lt;&gt;"",IFERROR(_xlfn.XLOOKUP($F81,Taxa_från_edp!$B:$B,Taxa_från_edp!C:C),""),"")</f>
        <v>Kärl 140L, matavfall. Varje vecka. FLB/VHT</v>
      </c>
      <c r="I81" s="138" t="str">
        <f>IF($F81&lt;&gt;"",IFERROR(_xlfn.XLOOKUP($F81,Taxa_från_edp!$B:$B,Taxa_från_edp!G:G),""),"")</f>
        <v>ÅRKV</v>
      </c>
      <c r="J81" s="139">
        <f>IF($F81&lt;&gt;"",IFERROR(_xlfn.XLOOKUP($F81,Taxa_från_edp!$B:$B,Taxa_från_edp!K:K),""),"")</f>
        <v>1240</v>
      </c>
      <c r="K81" s="148"/>
      <c r="L81" s="152"/>
      <c r="M81" s="156">
        <f t="shared" si="2"/>
        <v>1550</v>
      </c>
      <c r="N81" s="157">
        <f t="shared" si="3"/>
        <v>0</v>
      </c>
    </row>
    <row r="82" spans="1:14" ht="30" x14ac:dyDescent="0.25">
      <c r="A82" s="118" t="s">
        <v>130</v>
      </c>
      <c r="B82" s="118" t="s">
        <v>131</v>
      </c>
      <c r="C82" s="118" t="s">
        <v>95</v>
      </c>
      <c r="D82" s="118" t="s">
        <v>49</v>
      </c>
      <c r="E82" s="118" t="s">
        <v>27</v>
      </c>
      <c r="F82" s="130" t="s">
        <v>97</v>
      </c>
      <c r="G82" s="135" t="str">
        <f>IF($F82&lt;&gt;"",$F82,IFERROR(_xlfn.XLOOKUP(ROW(),Taxa_Saknas!$H:$H,Taxa_Saknas!$G:$G),""))</f>
        <v>KÄ140MA26FV</v>
      </c>
      <c r="H82" s="144" t="str">
        <f>IF($F82&lt;&gt;"",IFERROR(_xlfn.XLOOKUP($F82,Taxa_från_edp!$B:$B,Taxa_från_edp!C:C),""),"")</f>
        <v>Kärl 140L, matavfall. Var 14:e dag. FLB/VHT</v>
      </c>
      <c r="I82" s="145" t="str">
        <f>IF($F82&lt;&gt;"",IFERROR(_xlfn.XLOOKUP($F82,Taxa_från_edp!$B:$B,Taxa_från_edp!G:G),""),"")</f>
        <v>ÅRKV</v>
      </c>
      <c r="J82" s="145">
        <f>IF($F82&lt;&gt;"",IFERROR(_xlfn.XLOOKUP($F82,Taxa_från_edp!$B:$B,Taxa_från_edp!K:K),""),"")</f>
        <v>480</v>
      </c>
      <c r="K82" s="150"/>
      <c r="L82" s="154"/>
      <c r="M82" s="156">
        <f t="shared" si="2"/>
        <v>600</v>
      </c>
      <c r="N82" s="157">
        <f t="shared" si="3"/>
        <v>0</v>
      </c>
    </row>
    <row r="83" spans="1:14" x14ac:dyDescent="0.25">
      <c r="A83" s="118" t="s">
        <v>130</v>
      </c>
      <c r="B83" s="118" t="s">
        <v>131</v>
      </c>
      <c r="C83" s="118" t="s">
        <v>95</v>
      </c>
      <c r="D83" s="118" t="s">
        <v>51</v>
      </c>
      <c r="E83" s="118" t="s">
        <v>27</v>
      </c>
      <c r="F83" s="127"/>
      <c r="G83" s="132" t="str">
        <f>IF($F83&lt;&gt;"",$F83,IFERROR(_xlfn.XLOOKUP(ROW(),Taxa_Saknas!$H:$H,Taxa_Saknas!$G:$G),""))</f>
        <v>KÄ140MA12FV</v>
      </c>
      <c r="H83" s="137" t="str">
        <f>IF($F83&lt;&gt;"",IFERROR(_xlfn.XLOOKUP($F83,Taxa_från_edp!$B:$B,Taxa_från_edp!C:C),""),"")</f>
        <v/>
      </c>
      <c r="I83" s="138" t="str">
        <f>IF($F83&lt;&gt;"",IFERROR(_xlfn.XLOOKUP($F83,Taxa_från_edp!$B:$B,Taxa_från_edp!G:G),""),"")</f>
        <v/>
      </c>
      <c r="J83" s="139" t="str">
        <f>IF($F83&lt;&gt;"",IFERROR(_xlfn.XLOOKUP($F83,Taxa_från_edp!$B:$B,Taxa_från_edp!K:K),""),"")</f>
        <v/>
      </c>
      <c r="K83" s="148"/>
      <c r="L83" s="152"/>
      <c r="M83" s="156" t="str">
        <f t="shared" si="2"/>
        <v/>
      </c>
      <c r="N83" s="157" t="str">
        <f t="shared" si="3"/>
        <v/>
      </c>
    </row>
    <row r="84" spans="1:14" x14ac:dyDescent="0.25">
      <c r="A84" s="186" t="s">
        <v>130</v>
      </c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8"/>
      <c r="M84" s="156" t="str">
        <f t="shared" si="2"/>
        <v/>
      </c>
      <c r="N84" s="157" t="str">
        <f t="shared" si="3"/>
        <v/>
      </c>
    </row>
    <row r="85" spans="1:14" ht="180" customHeight="1" x14ac:dyDescent="0.25">
      <c r="A85" s="118" t="s">
        <v>130</v>
      </c>
      <c r="B85" s="118" t="s">
        <v>131</v>
      </c>
      <c r="C85" s="118" t="s">
        <v>132</v>
      </c>
      <c r="D85" s="118" t="s">
        <v>120</v>
      </c>
      <c r="E85" s="118" t="s">
        <v>121</v>
      </c>
      <c r="F85" s="131" t="s">
        <v>133</v>
      </c>
      <c r="G85" s="136" t="str">
        <f>IF($F85&lt;&gt;"",$F85,IFERROR(_xlfn.XLOOKUP(ROW(),Taxa_Saknas!$H:$H,Taxa_Saknas!$G:$G),""))</f>
        <v>LVREFV</v>
      </c>
      <c r="H85" s="146" t="str">
        <f>IF($F85&lt;&gt;"",IFERROR(_xlfn.XLOOKUP($F85,Taxa_från_edp!$B:$B,Taxa_från_edp!C:C),""),"")</f>
        <v/>
      </c>
      <c r="I85" s="147" t="str">
        <f>IF($F85&lt;&gt;"",IFERROR(_xlfn.XLOOKUP($F85,Taxa_från_edp!$B:$B,Taxa_från_edp!G:G),""),"")</f>
        <v/>
      </c>
      <c r="J85" s="147" t="str">
        <f>IF($F85&lt;&gt;"",IFERROR(_xlfn.XLOOKUP($F85,Taxa_från_edp!$B:$B,Taxa_från_edp!K:K),""),"")</f>
        <v/>
      </c>
      <c r="K85" s="151"/>
      <c r="L85" s="155"/>
      <c r="M85" s="156" t="str">
        <f t="shared" si="2"/>
        <v/>
      </c>
      <c r="N85" s="157" t="str">
        <f t="shared" si="3"/>
        <v/>
      </c>
    </row>
    <row r="86" spans="1:14" ht="45" customHeight="1" x14ac:dyDescent="0.25">
      <c r="A86" s="118" t="s">
        <v>130</v>
      </c>
      <c r="B86" s="118" t="s">
        <v>131</v>
      </c>
      <c r="C86" s="118" t="s">
        <v>134</v>
      </c>
      <c r="D86" s="118" t="s">
        <v>123</v>
      </c>
      <c r="E86" s="118" t="s">
        <v>121</v>
      </c>
      <c r="F86" s="127" t="s">
        <v>135</v>
      </c>
      <c r="G86" s="132" t="str">
        <f>IF($F86&lt;&gt;"",$F86,IFERROR(_xlfn.XLOOKUP(ROW(),Taxa_Saknas!$H:$H,Taxa_Saknas!$G:$G),""))</f>
        <v>MBRM2VFV</v>
      </c>
      <c r="H86" s="137" t="str">
        <f>IF($F86&lt;&gt;"",IFERROR(_xlfn.XLOOKUP($F86,Taxa_från_edp!$B:$B,Taxa_från_edp!C:C),""),"")</f>
        <v/>
      </c>
      <c r="I86" s="138" t="str">
        <f>IF($F86&lt;&gt;"",IFERROR(_xlfn.XLOOKUP($F86,Taxa_från_edp!$B:$B,Taxa_från_edp!G:G),""),"")</f>
        <v/>
      </c>
      <c r="J86" s="139" t="str">
        <f>IF($F86&lt;&gt;"",IFERROR(_xlfn.XLOOKUP($F86,Taxa_från_edp!$B:$B,Taxa_från_edp!K:K),""),"")</f>
        <v/>
      </c>
      <c r="K86" s="148"/>
      <c r="L86" s="152"/>
      <c r="M86" s="156" t="str">
        <f t="shared" si="2"/>
        <v/>
      </c>
      <c r="N86" s="157" t="str">
        <f t="shared" si="3"/>
        <v/>
      </c>
    </row>
    <row r="87" spans="1:14" ht="21.95" customHeight="1" x14ac:dyDescent="0.25">
      <c r="A87" s="183" t="s">
        <v>130</v>
      </c>
      <c r="B87" s="184"/>
      <c r="C87" s="184"/>
      <c r="D87" s="184"/>
      <c r="E87" s="185"/>
      <c r="F87" s="121"/>
      <c r="G87" s="125" t="str">
        <f>IF($F87&lt;&gt;"",$F87,IFERROR(_xlfn.XLOOKUP(ROW(),Taxa_Saknas!$H:$H,Taxa_Saknas!$G:$G),""))</f>
        <v/>
      </c>
      <c r="H87" s="125" t="str">
        <f>IF($F87&lt;&gt;"",IFERROR(_xlfn.XLOOKUP($F87,Taxa_från_edp!$B:$B,Taxa_från_edp!C:C),""),"")</f>
        <v/>
      </c>
      <c r="I87" s="126" t="str">
        <f>IF($F87&lt;&gt;"",IFERROR(_xlfn.XLOOKUP($F87,Taxa_från_edp!$B:$B,Taxa_från_edp!G:G),""),"")</f>
        <v/>
      </c>
      <c r="J87" s="126" t="str">
        <f>IF($F87&lt;&gt;"",IFERROR(_xlfn.XLOOKUP($F87,Taxa_från_edp!$B:$B,Taxa_från_edp!K:K),""),"")</f>
        <v/>
      </c>
      <c r="K87" s="126"/>
      <c r="L87" s="126"/>
      <c r="M87" s="122" t="str">
        <f t="shared" si="2"/>
        <v/>
      </c>
      <c r="N87" s="123" t="str">
        <f t="shared" si="3"/>
        <v/>
      </c>
    </row>
    <row r="88" spans="1:14" ht="21.95" customHeight="1" x14ac:dyDescent="0.25">
      <c r="A88" s="183" t="s">
        <v>136</v>
      </c>
      <c r="B88" s="184"/>
      <c r="C88" s="184"/>
      <c r="D88" s="184"/>
      <c r="E88" s="185"/>
      <c r="F88" s="121"/>
      <c r="G88" s="125" t="str">
        <f>IF($F88&lt;&gt;"",$F88,IFERROR(_xlfn.XLOOKUP(ROW(),Taxa_Saknas!$H:$H,Taxa_Saknas!$G:$G),""))</f>
        <v/>
      </c>
      <c r="H88" s="125" t="str">
        <f>IF($F88&lt;&gt;"",IFERROR(_xlfn.XLOOKUP($F88,Taxa_från_edp!$B:$B,Taxa_från_edp!C:C),""),"")</f>
        <v/>
      </c>
      <c r="I88" s="126" t="str">
        <f>IF($F88&lt;&gt;"",IFERROR(_xlfn.XLOOKUP($F88,Taxa_från_edp!$B:$B,Taxa_från_edp!G:G),""),"")</f>
        <v/>
      </c>
      <c r="J88" s="126" t="str">
        <f>IF($F88&lt;&gt;"",IFERROR(_xlfn.XLOOKUP($F88,Taxa_från_edp!$B:$B,Taxa_från_edp!K:K),""),"")</f>
        <v/>
      </c>
      <c r="K88" s="126"/>
      <c r="L88" s="126"/>
      <c r="M88" s="122" t="str">
        <f t="shared" si="2"/>
        <v/>
      </c>
      <c r="N88" s="123" t="str">
        <f t="shared" si="3"/>
        <v/>
      </c>
    </row>
    <row r="89" spans="1:14" ht="45" customHeight="1" x14ac:dyDescent="0.25">
      <c r="A89" s="118" t="s">
        <v>137</v>
      </c>
      <c r="B89" s="118" t="s">
        <v>138</v>
      </c>
      <c r="C89" s="118" t="s">
        <v>48</v>
      </c>
      <c r="D89" s="118" t="s">
        <v>83</v>
      </c>
      <c r="E89" s="118" t="s">
        <v>27</v>
      </c>
      <c r="F89" s="127" t="s">
        <v>139</v>
      </c>
      <c r="G89" s="132" t="str">
        <f>IF($F89&lt;&gt;"",$F89,IFERROR(_xlfn.XLOOKUP(ROW(),Taxa_Saknas!$H:$H,Taxa_Saknas!$G:$G),""))</f>
        <v>KÄ240RM52DH</v>
      </c>
      <c r="H89" s="137" t="str">
        <f>IF($F89&lt;&gt;"",IFERROR(_xlfn.XLOOKUP($F89,Taxa_från_edp!$B:$B,Taxa_från_edp!C:C),""),"")</f>
        <v/>
      </c>
      <c r="I89" s="138" t="str">
        <f>IF($F89&lt;&gt;"",IFERROR(_xlfn.XLOOKUP($F89,Taxa_från_edp!$B:$B,Taxa_från_edp!G:G),""),"")</f>
        <v/>
      </c>
      <c r="J89" s="139" t="str">
        <f>IF($F89&lt;&gt;"",IFERROR(_xlfn.XLOOKUP($F89,Taxa_från_edp!$B:$B,Taxa_från_edp!K:K),""),"")</f>
        <v/>
      </c>
      <c r="K89" s="148"/>
      <c r="L89" s="152"/>
      <c r="M89" s="156" t="str">
        <f t="shared" si="2"/>
        <v/>
      </c>
      <c r="N89" s="157" t="str">
        <f t="shared" si="3"/>
        <v/>
      </c>
    </row>
    <row r="90" spans="1:14" ht="45" customHeight="1" x14ac:dyDescent="0.25">
      <c r="A90" s="118" t="s">
        <v>137</v>
      </c>
      <c r="B90" s="118" t="s">
        <v>138</v>
      </c>
      <c r="C90" s="118" t="s">
        <v>48</v>
      </c>
      <c r="D90" s="118" t="s">
        <v>49</v>
      </c>
      <c r="E90" s="118" t="s">
        <v>27</v>
      </c>
      <c r="F90" s="127" t="s">
        <v>140</v>
      </c>
      <c r="G90" s="132" t="str">
        <f>IF($F90&lt;&gt;"",$F90,IFERROR(_xlfn.XLOOKUP(ROW(),Taxa_Saknas!$H:$H,Taxa_Saknas!$G:$G),""))</f>
        <v>KÄ240RM26DH</v>
      </c>
      <c r="H90" s="137" t="str">
        <f>IF($F90&lt;&gt;"",IFERROR(_xlfn.XLOOKUP($F90,Taxa_från_edp!$B:$B,Taxa_från_edp!C:C),""),"")</f>
        <v/>
      </c>
      <c r="I90" s="138" t="str">
        <f>IF($F90&lt;&gt;"",IFERROR(_xlfn.XLOOKUP($F90,Taxa_från_edp!$B:$B,Taxa_från_edp!G:G),""),"")</f>
        <v/>
      </c>
      <c r="J90" s="139" t="str">
        <f>IF($F90&lt;&gt;"",IFERROR(_xlfn.XLOOKUP($F90,Taxa_från_edp!$B:$B,Taxa_från_edp!K:K),""),"")</f>
        <v/>
      </c>
      <c r="K90" s="148"/>
      <c r="L90" s="152"/>
      <c r="M90" s="156" t="str">
        <f t="shared" si="2"/>
        <v/>
      </c>
      <c r="N90" s="157" t="str">
        <f t="shared" si="3"/>
        <v/>
      </c>
    </row>
    <row r="91" spans="1:14" ht="45" customHeight="1" x14ac:dyDescent="0.25">
      <c r="A91" s="118" t="s">
        <v>137</v>
      </c>
      <c r="B91" s="118" t="s">
        <v>138</v>
      </c>
      <c r="C91" s="118" t="s">
        <v>48</v>
      </c>
      <c r="D91" s="118" t="s">
        <v>51</v>
      </c>
      <c r="E91" s="118" t="s">
        <v>27</v>
      </c>
      <c r="F91" s="127" t="s">
        <v>141</v>
      </c>
      <c r="G91" s="132" t="str">
        <f>IF($F91&lt;&gt;"",$F91,IFERROR(_xlfn.XLOOKUP(ROW(),Taxa_Saknas!$H:$H,Taxa_Saknas!$G:$G),""))</f>
        <v>KÄ240RM12DH</v>
      </c>
      <c r="H91" s="137" t="str">
        <f>IF($F91&lt;&gt;"",IFERROR(_xlfn.XLOOKUP($F91,Taxa_från_edp!$B:$B,Taxa_från_edp!C:C),""),"")</f>
        <v/>
      </c>
      <c r="I91" s="138" t="str">
        <f>IF($F91&lt;&gt;"",IFERROR(_xlfn.XLOOKUP($F91,Taxa_från_edp!$B:$B,Taxa_från_edp!G:G),""),"")</f>
        <v/>
      </c>
      <c r="J91" s="139" t="str">
        <f>IF($F91&lt;&gt;"",IFERROR(_xlfn.XLOOKUP($F91,Taxa_från_edp!$B:$B,Taxa_från_edp!K:K),""),"")</f>
        <v/>
      </c>
      <c r="K91" s="148"/>
      <c r="L91" s="152"/>
      <c r="M91" s="156" t="str">
        <f t="shared" si="2"/>
        <v/>
      </c>
      <c r="N91" s="157" t="str">
        <f t="shared" si="3"/>
        <v/>
      </c>
    </row>
    <row r="92" spans="1:14" ht="45" customHeight="1" x14ac:dyDescent="0.25">
      <c r="A92" s="118" t="s">
        <v>137</v>
      </c>
      <c r="B92" s="118" t="s">
        <v>138</v>
      </c>
      <c r="C92" s="118" t="s">
        <v>87</v>
      </c>
      <c r="D92" s="118" t="s">
        <v>83</v>
      </c>
      <c r="E92" s="118" t="s">
        <v>27</v>
      </c>
      <c r="F92" s="130" t="s">
        <v>142</v>
      </c>
      <c r="G92" s="135" t="str">
        <f>IF($F92&lt;&gt;"",$F92,IFERROR(_xlfn.XLOOKUP(ROW(),Taxa_Saknas!$H:$H,Taxa_Saknas!$G:$G),""))</f>
        <v>KÄ370RE52DH</v>
      </c>
      <c r="H92" s="144" t="str">
        <f>IF($F92&lt;&gt;"",IFERROR(_xlfn.XLOOKUP($F92,Taxa_från_edp!$B:$B,Taxa_från_edp!C:C),""),"")</f>
        <v/>
      </c>
      <c r="I92" s="145" t="str">
        <f>IF($F92&lt;&gt;"",IFERROR(_xlfn.XLOOKUP($F92,Taxa_från_edp!$B:$B,Taxa_från_edp!G:G),""),"")</f>
        <v/>
      </c>
      <c r="J92" s="145" t="str">
        <f>IF($F92&lt;&gt;"",IFERROR(_xlfn.XLOOKUP($F92,Taxa_från_edp!$B:$B,Taxa_från_edp!K:K),""),"")</f>
        <v/>
      </c>
      <c r="K92" s="150"/>
      <c r="L92" s="154"/>
      <c r="M92" s="156" t="str">
        <f t="shared" si="2"/>
        <v/>
      </c>
      <c r="N92" s="157" t="str">
        <f t="shared" si="3"/>
        <v/>
      </c>
    </row>
    <row r="93" spans="1:14" ht="45" customHeight="1" x14ac:dyDescent="0.25">
      <c r="A93" s="118" t="s">
        <v>137</v>
      </c>
      <c r="B93" s="118" t="s">
        <v>138</v>
      </c>
      <c r="C93" s="118" t="s">
        <v>87</v>
      </c>
      <c r="D93" s="118" t="s">
        <v>49</v>
      </c>
      <c r="E93" s="118" t="s">
        <v>27</v>
      </c>
      <c r="F93" s="127" t="s">
        <v>143</v>
      </c>
      <c r="G93" s="132" t="str">
        <f>IF($F93&lt;&gt;"",$F93,IFERROR(_xlfn.XLOOKUP(ROW(),Taxa_Saknas!$H:$H,Taxa_Saknas!$G:$G),""))</f>
        <v>KÄ370RE26DH</v>
      </c>
      <c r="H93" s="137" t="str">
        <f>IF($F93&lt;&gt;"",IFERROR(_xlfn.XLOOKUP($F93,Taxa_från_edp!$B:$B,Taxa_från_edp!C:C),""),"")</f>
        <v/>
      </c>
      <c r="I93" s="138" t="str">
        <f>IF($F93&lt;&gt;"",IFERROR(_xlfn.XLOOKUP($F93,Taxa_från_edp!$B:$B,Taxa_från_edp!G:G),""),"")</f>
        <v/>
      </c>
      <c r="J93" s="139" t="str">
        <f>IF($F93&lt;&gt;"",IFERROR(_xlfn.XLOOKUP($F93,Taxa_från_edp!$B:$B,Taxa_från_edp!K:K),""),"")</f>
        <v/>
      </c>
      <c r="K93" s="148"/>
      <c r="L93" s="152"/>
      <c r="M93" s="156" t="str">
        <f t="shared" si="2"/>
        <v/>
      </c>
      <c r="N93" s="157" t="str">
        <f t="shared" si="3"/>
        <v/>
      </c>
    </row>
    <row r="94" spans="1:14" ht="45" customHeight="1" x14ac:dyDescent="0.25">
      <c r="A94" s="118" t="s">
        <v>137</v>
      </c>
      <c r="B94" s="118" t="s">
        <v>138</v>
      </c>
      <c r="C94" s="118" t="s">
        <v>87</v>
      </c>
      <c r="D94" s="118" t="s">
        <v>51</v>
      </c>
      <c r="E94" s="118" t="s">
        <v>27</v>
      </c>
      <c r="F94" s="127" t="s">
        <v>144</v>
      </c>
      <c r="G94" s="132" t="str">
        <f>IF($F94&lt;&gt;"",$F94,IFERROR(_xlfn.XLOOKUP(ROW(),Taxa_Saknas!$H:$H,Taxa_Saknas!$G:$G),""))</f>
        <v>KÄ370RE12DH</v>
      </c>
      <c r="H94" s="137" t="str">
        <f>IF($F94&lt;&gt;"",IFERROR(_xlfn.XLOOKUP($F94,Taxa_från_edp!$B:$B,Taxa_från_edp!C:C),""),"")</f>
        <v/>
      </c>
      <c r="I94" s="138" t="str">
        <f>IF($F94&lt;&gt;"",IFERROR(_xlfn.XLOOKUP($F94,Taxa_från_edp!$B:$B,Taxa_från_edp!G:G),""),"")</f>
        <v/>
      </c>
      <c r="J94" s="139" t="str">
        <f>IF($F94&lt;&gt;"",IFERROR(_xlfn.XLOOKUP($F94,Taxa_från_edp!$B:$B,Taxa_från_edp!K:K),""),"")</f>
        <v/>
      </c>
      <c r="K94" s="148"/>
      <c r="L94" s="152"/>
      <c r="M94" s="156" t="str">
        <f t="shared" si="2"/>
        <v/>
      </c>
      <c r="N94" s="157" t="str">
        <f t="shared" si="3"/>
        <v/>
      </c>
    </row>
    <row r="95" spans="1:14" ht="45" customHeight="1" x14ac:dyDescent="0.25">
      <c r="A95" s="118" t="s">
        <v>137</v>
      </c>
      <c r="B95" s="118" t="s">
        <v>138</v>
      </c>
      <c r="C95" s="118" t="s">
        <v>91</v>
      </c>
      <c r="D95" s="118" t="s">
        <v>83</v>
      </c>
      <c r="E95" s="118" t="s">
        <v>27</v>
      </c>
      <c r="F95" s="130" t="s">
        <v>145</v>
      </c>
      <c r="G95" s="135" t="str">
        <f>IF($F95&lt;&gt;"",$F95,IFERROR(_xlfn.XLOOKUP(ROW(),Taxa_Saknas!$H:$H,Taxa_Saknas!$G:$G),""))</f>
        <v>KÄ660RE52DH</v>
      </c>
      <c r="H95" s="144" t="str">
        <f>IF($F95&lt;&gt;"",IFERROR(_xlfn.XLOOKUP($F95,Taxa_från_edp!$B:$B,Taxa_från_edp!C:C),""),"")</f>
        <v/>
      </c>
      <c r="I95" s="145" t="str">
        <f>IF($F95&lt;&gt;"",IFERROR(_xlfn.XLOOKUP($F95,Taxa_från_edp!$B:$B,Taxa_från_edp!G:G),""),"")</f>
        <v/>
      </c>
      <c r="J95" s="145" t="str">
        <f>IF($F95&lt;&gt;"",IFERROR(_xlfn.XLOOKUP($F95,Taxa_från_edp!$B:$B,Taxa_från_edp!K:K),""),"")</f>
        <v/>
      </c>
      <c r="K95" s="150"/>
      <c r="L95" s="154"/>
      <c r="M95" s="156" t="str">
        <f t="shared" si="2"/>
        <v/>
      </c>
      <c r="N95" s="157" t="str">
        <f t="shared" si="3"/>
        <v/>
      </c>
    </row>
    <row r="96" spans="1:14" ht="45" customHeight="1" x14ac:dyDescent="0.25">
      <c r="A96" s="118" t="s">
        <v>137</v>
      </c>
      <c r="B96" s="118" t="s">
        <v>138</v>
      </c>
      <c r="C96" s="118" t="s">
        <v>91</v>
      </c>
      <c r="D96" s="118" t="s">
        <v>49</v>
      </c>
      <c r="E96" s="118" t="s">
        <v>27</v>
      </c>
      <c r="F96" s="127" t="s">
        <v>146</v>
      </c>
      <c r="G96" s="132" t="str">
        <f>IF($F96&lt;&gt;"",$F96,IFERROR(_xlfn.XLOOKUP(ROW(),Taxa_Saknas!$H:$H,Taxa_Saknas!$G:$G),""))</f>
        <v>KÄ660RE26DH</v>
      </c>
      <c r="H96" s="137" t="str">
        <f>IF($F96&lt;&gt;"",IFERROR(_xlfn.XLOOKUP($F96,Taxa_från_edp!$B:$B,Taxa_från_edp!C:C),""),"")</f>
        <v/>
      </c>
      <c r="I96" s="138" t="str">
        <f>IF($F96&lt;&gt;"",IFERROR(_xlfn.XLOOKUP($F96,Taxa_från_edp!$B:$B,Taxa_från_edp!G:G),""),"")</f>
        <v/>
      </c>
      <c r="J96" s="139" t="str">
        <f>IF($F96&lt;&gt;"",IFERROR(_xlfn.XLOOKUP($F96,Taxa_från_edp!$B:$B,Taxa_från_edp!K:K),""),"")</f>
        <v/>
      </c>
      <c r="K96" s="148"/>
      <c r="L96" s="152"/>
      <c r="M96" s="156" t="str">
        <f t="shared" si="2"/>
        <v/>
      </c>
      <c r="N96" s="157" t="str">
        <f t="shared" si="3"/>
        <v/>
      </c>
    </row>
    <row r="97" spans="1:14" ht="45" customHeight="1" x14ac:dyDescent="0.25">
      <c r="A97" s="118" t="s">
        <v>137</v>
      </c>
      <c r="B97" s="118" t="s">
        <v>138</v>
      </c>
      <c r="C97" s="118" t="s">
        <v>91</v>
      </c>
      <c r="D97" s="118" t="s">
        <v>51</v>
      </c>
      <c r="E97" s="118" t="s">
        <v>27</v>
      </c>
      <c r="F97" s="127" t="s">
        <v>147</v>
      </c>
      <c r="G97" s="132" t="str">
        <f>IF($F97&lt;&gt;"",$F97,IFERROR(_xlfn.XLOOKUP(ROW(),Taxa_Saknas!$H:$H,Taxa_Saknas!$G:$G),""))</f>
        <v>KÄ660RE12DH</v>
      </c>
      <c r="H97" s="137" t="str">
        <f>IF($F97&lt;&gt;"",IFERROR(_xlfn.XLOOKUP($F97,Taxa_från_edp!$B:$B,Taxa_från_edp!C:C),""),"")</f>
        <v/>
      </c>
      <c r="I97" s="138" t="str">
        <f>IF($F97&lt;&gt;"",IFERROR(_xlfn.XLOOKUP($F97,Taxa_från_edp!$B:$B,Taxa_från_edp!G:G),""),"")</f>
        <v/>
      </c>
      <c r="J97" s="139" t="str">
        <f>IF($F97&lt;&gt;"",IFERROR(_xlfn.XLOOKUP($F97,Taxa_från_edp!$B:$B,Taxa_från_edp!K:K),""),"")</f>
        <v/>
      </c>
      <c r="K97" s="148"/>
      <c r="L97" s="152"/>
      <c r="M97" s="156" t="str">
        <f t="shared" si="2"/>
        <v/>
      </c>
      <c r="N97" s="157" t="str">
        <f t="shared" si="3"/>
        <v/>
      </c>
    </row>
    <row r="98" spans="1:14" ht="45" customHeight="1" x14ac:dyDescent="0.25">
      <c r="A98" s="118" t="s">
        <v>137</v>
      </c>
      <c r="B98" s="118" t="s">
        <v>138</v>
      </c>
      <c r="C98" s="118" t="s">
        <v>95</v>
      </c>
      <c r="D98" s="118" t="s">
        <v>83</v>
      </c>
      <c r="E98" s="118" t="s">
        <v>27</v>
      </c>
      <c r="F98" s="130" t="s">
        <v>148</v>
      </c>
      <c r="G98" s="135" t="str">
        <f>IF($F98&lt;&gt;"",$F98,IFERROR(_xlfn.XLOOKUP(ROW(),Taxa_Saknas!$H:$H,Taxa_Saknas!$G:$G),""))</f>
        <v>KÄ140MA52DH</v>
      </c>
      <c r="H98" s="144" t="str">
        <f>IF($F98&lt;&gt;"",IFERROR(_xlfn.XLOOKUP($F98,Taxa_från_edp!$B:$B,Taxa_från_edp!C:C),""),"")</f>
        <v/>
      </c>
      <c r="I98" s="145" t="str">
        <f>IF($F98&lt;&gt;"",IFERROR(_xlfn.XLOOKUP($F98,Taxa_från_edp!$B:$B,Taxa_från_edp!G:G),""),"")</f>
        <v/>
      </c>
      <c r="J98" s="145" t="str">
        <f>IF($F98&lt;&gt;"",IFERROR(_xlfn.XLOOKUP($F98,Taxa_från_edp!$B:$B,Taxa_från_edp!K:K),""),"")</f>
        <v/>
      </c>
      <c r="K98" s="150"/>
      <c r="L98" s="154"/>
      <c r="M98" s="156" t="str">
        <f t="shared" si="2"/>
        <v/>
      </c>
      <c r="N98" s="157" t="str">
        <f t="shared" si="3"/>
        <v/>
      </c>
    </row>
    <row r="99" spans="1:14" ht="45" customHeight="1" x14ac:dyDescent="0.25">
      <c r="A99" s="118" t="s">
        <v>137</v>
      </c>
      <c r="B99" s="118" t="s">
        <v>138</v>
      </c>
      <c r="C99" s="118" t="s">
        <v>95</v>
      </c>
      <c r="D99" s="119" t="s">
        <v>49</v>
      </c>
      <c r="E99" s="118" t="s">
        <v>27</v>
      </c>
      <c r="F99" s="127" t="s">
        <v>149</v>
      </c>
      <c r="G99" s="132" t="str">
        <f>IF($F99&lt;&gt;"",$F99,IFERROR(_xlfn.XLOOKUP(ROW(),Taxa_Saknas!$H:$H,Taxa_Saknas!$G:$G),""))</f>
        <v>KÄ140MA26DH</v>
      </c>
      <c r="H99" s="137" t="str">
        <f>IF($F99&lt;&gt;"",IFERROR(_xlfn.XLOOKUP($F99,Taxa_från_edp!$B:$B,Taxa_från_edp!C:C),""),"")</f>
        <v/>
      </c>
      <c r="I99" s="138" t="str">
        <f>IF($F99&lt;&gt;"",IFERROR(_xlfn.XLOOKUP($F99,Taxa_från_edp!$B:$B,Taxa_från_edp!G:G),""),"")</f>
        <v/>
      </c>
      <c r="J99" s="139" t="str">
        <f>IF($F99&lt;&gt;"",IFERROR(_xlfn.XLOOKUP($F99,Taxa_från_edp!$B:$B,Taxa_från_edp!K:K),""),"")</f>
        <v/>
      </c>
      <c r="K99" s="148"/>
      <c r="L99" s="152"/>
      <c r="M99" s="156" t="str">
        <f t="shared" si="2"/>
        <v/>
      </c>
      <c r="N99" s="157" t="str">
        <f t="shared" si="3"/>
        <v/>
      </c>
    </row>
    <row r="100" spans="1:14" ht="45" customHeight="1" x14ac:dyDescent="0.25">
      <c r="A100" s="118" t="s">
        <v>137</v>
      </c>
      <c r="B100" s="118" t="s">
        <v>138</v>
      </c>
      <c r="C100" s="118" t="s">
        <v>95</v>
      </c>
      <c r="D100" s="119" t="s">
        <v>51</v>
      </c>
      <c r="E100" s="118" t="s">
        <v>27</v>
      </c>
      <c r="F100" s="127" t="s">
        <v>150</v>
      </c>
      <c r="G100" s="132" t="str">
        <f>IF($F100&lt;&gt;"",$F100,IFERROR(_xlfn.XLOOKUP(ROW(),Taxa_Saknas!$H:$H,Taxa_Saknas!$G:$G),""))</f>
        <v>KÄ140MA12DH</v>
      </c>
      <c r="H100" s="137" t="str">
        <f>IF($F100&lt;&gt;"",IFERROR(_xlfn.XLOOKUP($F100,Taxa_från_edp!$B:$B,Taxa_från_edp!C:C),""),"")</f>
        <v/>
      </c>
      <c r="I100" s="138" t="str">
        <f>IF($F100&lt;&gt;"",IFERROR(_xlfn.XLOOKUP($F100,Taxa_från_edp!$B:$B,Taxa_från_edp!G:G),""),"")</f>
        <v/>
      </c>
      <c r="J100" s="139" t="str">
        <f>IF($F100&lt;&gt;"",IFERROR(_xlfn.XLOOKUP($F100,Taxa_från_edp!$B:$B,Taxa_från_edp!K:K),""),"")</f>
        <v/>
      </c>
      <c r="K100" s="148"/>
      <c r="L100" s="152"/>
      <c r="M100" s="156" t="str">
        <f t="shared" si="2"/>
        <v/>
      </c>
      <c r="N100" s="157" t="str">
        <f t="shared" si="3"/>
        <v/>
      </c>
    </row>
    <row r="101" spans="1:14" x14ac:dyDescent="0.25">
      <c r="A101" s="186" t="s">
        <v>137</v>
      </c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8"/>
      <c r="M101" s="156" t="str">
        <f t="shared" si="2"/>
        <v/>
      </c>
      <c r="N101" s="157" t="str">
        <f t="shared" si="3"/>
        <v/>
      </c>
    </row>
    <row r="102" spans="1:14" ht="150" customHeight="1" x14ac:dyDescent="0.25">
      <c r="A102" s="118" t="s">
        <v>137</v>
      </c>
      <c r="B102" s="118" t="s">
        <v>138</v>
      </c>
      <c r="C102" s="118" t="s">
        <v>132</v>
      </c>
      <c r="D102" s="118" t="s">
        <v>120</v>
      </c>
      <c r="E102" s="118" t="s">
        <v>121</v>
      </c>
      <c r="F102" s="131" t="s">
        <v>151</v>
      </c>
      <c r="G102" s="136" t="str">
        <f>IF($F102&lt;&gt;"",$F102,IFERROR(_xlfn.XLOOKUP(ROW(),Taxa_Saknas!$H:$H,Taxa_Saknas!$G:$G),""))</f>
        <v>LVREDH</v>
      </c>
      <c r="H102" s="146" t="str">
        <f>IF($F102&lt;&gt;"",IFERROR(_xlfn.XLOOKUP($F102,Taxa_från_edp!$B:$B,Taxa_från_edp!C:C),""),"")</f>
        <v/>
      </c>
      <c r="I102" s="147" t="str">
        <f>IF($F102&lt;&gt;"",IFERROR(_xlfn.XLOOKUP($F102,Taxa_från_edp!$B:$B,Taxa_från_edp!G:G),""),"")</f>
        <v/>
      </c>
      <c r="J102" s="147" t="str">
        <f>IF($F102&lt;&gt;"",IFERROR(_xlfn.XLOOKUP($F102,Taxa_från_edp!$B:$B,Taxa_från_edp!K:K),""),"")</f>
        <v/>
      </c>
      <c r="K102" s="151"/>
      <c r="L102" s="155"/>
      <c r="M102" s="156" t="str">
        <f t="shared" si="2"/>
        <v/>
      </c>
      <c r="N102" s="157" t="str">
        <f t="shared" si="3"/>
        <v/>
      </c>
    </row>
    <row r="103" spans="1:14" ht="45" customHeight="1" x14ac:dyDescent="0.25">
      <c r="A103" s="118" t="s">
        <v>137</v>
      </c>
      <c r="B103" s="118" t="s">
        <v>138</v>
      </c>
      <c r="C103" s="118" t="s">
        <v>134</v>
      </c>
      <c r="D103" s="118" t="s">
        <v>123</v>
      </c>
      <c r="E103" s="118" t="s">
        <v>121</v>
      </c>
      <c r="F103" s="127" t="s">
        <v>152</v>
      </c>
      <c r="G103" s="132" t="str">
        <f>IF($F103&lt;&gt;"",$F103,IFERROR(_xlfn.XLOOKUP(ROW(),Taxa_Saknas!$H:$H,Taxa_Saknas!$G:$G),""))</f>
        <v>MBRM2VDH</v>
      </c>
      <c r="H103" s="137" t="str">
        <f>IF($F103&lt;&gt;"",IFERROR(_xlfn.XLOOKUP($F103,Taxa_från_edp!$B:$B,Taxa_från_edp!C:C),""),"")</f>
        <v/>
      </c>
      <c r="I103" s="138" t="str">
        <f>IF($F103&lt;&gt;"",IFERROR(_xlfn.XLOOKUP($F103,Taxa_från_edp!$B:$B,Taxa_från_edp!G:G),""),"")</f>
        <v/>
      </c>
      <c r="J103" s="139" t="str">
        <f>IF($F103&lt;&gt;"",IFERROR(_xlfn.XLOOKUP($F103,Taxa_från_edp!$B:$B,Taxa_från_edp!K:K),""),"")</f>
        <v/>
      </c>
      <c r="K103" s="148"/>
      <c r="L103" s="152"/>
      <c r="M103" s="156" t="str">
        <f t="shared" si="2"/>
        <v/>
      </c>
      <c r="N103" s="157" t="str">
        <f t="shared" si="3"/>
        <v/>
      </c>
    </row>
    <row r="104" spans="1:14" ht="21.95" customHeight="1" x14ac:dyDescent="0.25">
      <c r="A104" s="183" t="s">
        <v>137</v>
      </c>
      <c r="B104" s="184"/>
      <c r="C104" s="184"/>
      <c r="D104" s="184"/>
      <c r="E104" s="185"/>
      <c r="F104" s="124"/>
      <c r="G104" s="122" t="str">
        <f>IF($F104&lt;&gt;"",$F104,IFERROR(_xlfn.XLOOKUP(ROW(),Taxa_Saknas!$H:$H,Taxa_Saknas!$G:$G),""))</f>
        <v/>
      </c>
      <c r="H104" s="122" t="str">
        <f>IF($F104&lt;&gt;"",IFERROR(_xlfn.XLOOKUP($F104,Taxa_från_edp!$B:$B,Taxa_från_edp!C:C),""),"")</f>
        <v/>
      </c>
      <c r="I104" s="122" t="str">
        <f>IF($F104&lt;&gt;"",IFERROR(_xlfn.XLOOKUP($F104,Taxa_från_edp!$B:$B,Taxa_från_edp!G:G),""),"")</f>
        <v/>
      </c>
      <c r="J104" s="122" t="str">
        <f>IF($F104&lt;&gt;"",IFERROR(_xlfn.XLOOKUP($F104,Taxa_från_edp!$B:$B,Taxa_från_edp!K:K),""),"")</f>
        <v/>
      </c>
      <c r="K104" s="122"/>
      <c r="L104" s="122"/>
      <c r="M104" s="122" t="str">
        <f t="shared" si="2"/>
        <v/>
      </c>
      <c r="N104" s="123" t="str">
        <f t="shared" si="3"/>
        <v/>
      </c>
    </row>
    <row r="105" spans="1:14" ht="21.95" customHeight="1" x14ac:dyDescent="0.25">
      <c r="A105" s="183" t="s">
        <v>153</v>
      </c>
      <c r="B105" s="184"/>
      <c r="C105" s="184"/>
      <c r="D105" s="184"/>
      <c r="E105" s="185"/>
      <c r="F105" s="121"/>
      <c r="G105" s="125" t="str">
        <f>IF($F105&lt;&gt;"",$F105,IFERROR(_xlfn.XLOOKUP(ROW(),Taxa_Saknas!$H:$H,Taxa_Saknas!$G:$G),""))</f>
        <v/>
      </c>
      <c r="H105" s="125" t="str">
        <f>IF($F105&lt;&gt;"",IFERROR(_xlfn.XLOOKUP($F105,Taxa_från_edp!$B:$B,Taxa_från_edp!C:C),""),"")</f>
        <v/>
      </c>
      <c r="I105" s="126" t="str">
        <f>IF($F105&lt;&gt;"",IFERROR(_xlfn.XLOOKUP($F105,Taxa_från_edp!$B:$B,Taxa_från_edp!G:G),""),"")</f>
        <v/>
      </c>
      <c r="J105" s="126" t="str">
        <f>IF($F105&lt;&gt;"",IFERROR(_xlfn.XLOOKUP($F105,Taxa_från_edp!$B:$B,Taxa_från_edp!K:K),""),"")</f>
        <v/>
      </c>
      <c r="K105" s="126"/>
      <c r="L105" s="126"/>
      <c r="M105" s="122" t="str">
        <f t="shared" si="2"/>
        <v/>
      </c>
      <c r="N105" s="123" t="str">
        <f t="shared" si="3"/>
        <v/>
      </c>
    </row>
    <row r="106" spans="1:14" ht="45" x14ac:dyDescent="0.25">
      <c r="A106" s="181" t="s">
        <v>154</v>
      </c>
      <c r="B106" s="181" t="s">
        <v>155</v>
      </c>
      <c r="C106" s="181" t="s">
        <v>156</v>
      </c>
      <c r="D106" s="181"/>
      <c r="E106" s="181" t="s">
        <v>27</v>
      </c>
      <c r="F106" s="32" t="s">
        <v>157</v>
      </c>
      <c r="G106" s="33" t="str">
        <f>IF($F106&lt;&gt;"",$F106,IFERROR(_xlfn.XLOOKUP(ROW(),Taxa_Saknas!$H:$H,Taxa_Saknas!$G:$G),""))</f>
        <v>KÄ140TI</v>
      </c>
      <c r="H106" s="34" t="str">
        <f>IF($F106&lt;&gt;"",IFERROR(_xlfn.XLOOKUP($F106,Taxa_från_edp!$B:$B,Taxa_från_edp!C:C),""),"")</f>
        <v/>
      </c>
      <c r="I106" s="35" t="str">
        <f>IF($F106&lt;&gt;"",IFERROR(_xlfn.XLOOKUP($F106,Taxa_från_edp!$B:$B,Taxa_från_edp!G:G),""),"")</f>
        <v/>
      </c>
      <c r="J106" s="36" t="str">
        <f>IF($F106&lt;&gt;"",IFERROR(_xlfn.XLOOKUP($F106,Taxa_från_edp!$B:$B,Taxa_från_edp!K:K),""),"")</f>
        <v/>
      </c>
      <c r="K106" s="37"/>
      <c r="L106" s="38"/>
      <c r="M106" s="27" t="str">
        <f t="shared" si="2"/>
        <v/>
      </c>
      <c r="N106" s="27" t="str">
        <f t="shared" si="3"/>
        <v/>
      </c>
    </row>
    <row r="107" spans="1:14" ht="21.95" customHeight="1" x14ac:dyDescent="0.25">
      <c r="A107" s="194" t="s">
        <v>154</v>
      </c>
      <c r="B107" s="187"/>
      <c r="C107" s="187"/>
      <c r="D107" s="187"/>
      <c r="E107" s="188"/>
      <c r="F107" s="18"/>
      <c r="G107" s="18" t="str">
        <f>IF($F107&lt;&gt;"",$F107,IFERROR(_xlfn.XLOOKUP(ROW(),Taxa_Saknas!$H:$H,Taxa_Saknas!$G:$G),""))</f>
        <v>EGENKONTRET</v>
      </c>
      <c r="H107" s="18" t="str">
        <f>IF($F107&lt;&gt;"",IFERROR(_xlfn.XLOOKUP($F107,Taxa_från_edp!$B:$B,Taxa_från_edp!C:C),""),"")</f>
        <v/>
      </c>
      <c r="I107" s="28" t="str">
        <f>IF($F107&lt;&gt;"",IFERROR(_xlfn.XLOOKUP($F107,Taxa_från_edp!$B:$B,Taxa_från_edp!G:G),""),"")</f>
        <v/>
      </c>
      <c r="J107" s="28" t="str">
        <f>IF($F107&lt;&gt;"",IFERROR(_xlfn.XLOOKUP($F107,Taxa_från_edp!$B:$B,Taxa_från_edp!K:K),""),"")</f>
        <v/>
      </c>
      <c r="K107" s="28"/>
      <c r="L107" s="28"/>
      <c r="M107" s="19" t="str">
        <f t="shared" si="2"/>
        <v/>
      </c>
      <c r="N107" s="19" t="str">
        <f t="shared" si="3"/>
        <v/>
      </c>
    </row>
    <row r="108" spans="1:14" ht="30" customHeight="1" x14ac:dyDescent="0.25">
      <c r="A108" s="181" t="s">
        <v>154</v>
      </c>
      <c r="B108" s="181" t="s">
        <v>155</v>
      </c>
      <c r="C108" s="181" t="s">
        <v>158</v>
      </c>
      <c r="D108" s="181"/>
      <c r="E108" s="181" t="s">
        <v>27</v>
      </c>
      <c r="F108" s="20" t="s">
        <v>159</v>
      </c>
      <c r="G108" s="21" t="str">
        <f>IF($F108&lt;&gt;"",$F108,IFERROR(_xlfn.XLOOKUP(ROW(),Taxa_Saknas!$H:$H,Taxa_Saknas!$G:$G),""))</f>
        <v>EGENMATFETT</v>
      </c>
      <c r="H108" s="22" t="str">
        <f>IF($F108&lt;&gt;"",IFERROR(_xlfn.XLOOKUP($F108,Taxa_från_edp!$B:$B,Taxa_från_edp!C:C),""),"")</f>
        <v/>
      </c>
      <c r="I108" s="23" t="str">
        <f>IF($F108&lt;&gt;"",IFERROR(_xlfn.XLOOKUP($F108,Taxa_från_edp!$B:$B,Taxa_från_edp!G:G),""),"")</f>
        <v/>
      </c>
      <c r="J108" s="24" t="str">
        <f>IF($F108&lt;&gt;"",IFERROR(_xlfn.XLOOKUP($F108,Taxa_från_edp!$B:$B,Taxa_från_edp!K:K),""),"")</f>
        <v/>
      </c>
      <c r="K108" s="25"/>
      <c r="L108" s="26"/>
      <c r="M108" s="27" t="str">
        <f t="shared" si="2"/>
        <v/>
      </c>
      <c r="N108" s="27" t="str">
        <f t="shared" si="3"/>
        <v/>
      </c>
    </row>
    <row r="109" spans="1:14" ht="21.95" customHeight="1" x14ac:dyDescent="0.25">
      <c r="A109" s="183" t="s">
        <v>154</v>
      </c>
      <c r="B109" s="184"/>
      <c r="C109" s="184"/>
      <c r="D109" s="184"/>
      <c r="E109" s="185"/>
      <c r="F109" s="121"/>
      <c r="G109" s="125" t="str">
        <f>IF($F109&lt;&gt;"",$F109,IFERROR(_xlfn.XLOOKUP(ROW(),Taxa_Saknas!$H:$H,Taxa_Saknas!$G:$G),""))</f>
        <v/>
      </c>
      <c r="H109" s="125" t="str">
        <f>IF($F109&lt;&gt;"",IFERROR(_xlfn.XLOOKUP($F109,Taxa_från_edp!$B:$B,Taxa_från_edp!C:C),""),"")</f>
        <v/>
      </c>
      <c r="I109" s="126" t="str">
        <f>IF($F109&lt;&gt;"",IFERROR(_xlfn.XLOOKUP($F109,Taxa_från_edp!$B:$B,Taxa_från_edp!G:G),""),"")</f>
        <v/>
      </c>
      <c r="J109" s="126" t="str">
        <f>IF($F109&lt;&gt;"",IFERROR(_xlfn.XLOOKUP($F109,Taxa_från_edp!$B:$B,Taxa_från_edp!K:K),""),"")</f>
        <v/>
      </c>
      <c r="K109" s="126"/>
      <c r="L109" s="126"/>
      <c r="M109" s="122" t="str">
        <f t="shared" si="2"/>
        <v/>
      </c>
      <c r="N109" s="123" t="str">
        <f t="shared" si="3"/>
        <v/>
      </c>
    </row>
    <row r="110" spans="1:14" ht="21.95" customHeight="1" x14ac:dyDescent="0.25">
      <c r="A110" s="183" t="s">
        <v>160</v>
      </c>
      <c r="B110" s="184"/>
      <c r="C110" s="184"/>
      <c r="D110" s="184"/>
      <c r="E110" s="185"/>
      <c r="F110" s="124"/>
      <c r="G110" s="122" t="str">
        <f>IF($F110&lt;&gt;"",$F110,IFERROR(_xlfn.XLOOKUP(ROW(),Taxa_Saknas!$H:$H,Taxa_Saknas!$G:$G),""))</f>
        <v/>
      </c>
      <c r="H110" s="122" t="str">
        <f>IF($F110&lt;&gt;"",IFERROR(_xlfn.XLOOKUP($F110,Taxa_från_edp!$B:$B,Taxa_från_edp!C:C),""),"")</f>
        <v/>
      </c>
      <c r="I110" s="122" t="str">
        <f>IF($F110&lt;&gt;"",IFERROR(_xlfn.XLOOKUP($F110,Taxa_från_edp!$B:$B,Taxa_från_edp!G:G),""),"")</f>
        <v/>
      </c>
      <c r="J110" s="122" t="str">
        <f>IF($F110&lt;&gt;"",IFERROR(_xlfn.XLOOKUP($F110,Taxa_från_edp!$B:$B,Taxa_från_edp!K:K),""),"")</f>
        <v/>
      </c>
      <c r="K110" s="122"/>
      <c r="L110" s="122"/>
      <c r="M110" s="122" t="str">
        <f t="shared" si="2"/>
        <v/>
      </c>
      <c r="N110" s="123" t="str">
        <f t="shared" si="3"/>
        <v/>
      </c>
    </row>
    <row r="111" spans="1:14" ht="30" customHeight="1" x14ac:dyDescent="0.25">
      <c r="A111" s="118" t="s">
        <v>161</v>
      </c>
      <c r="B111" s="118" t="s">
        <v>162</v>
      </c>
      <c r="C111" s="118" t="s">
        <v>163</v>
      </c>
      <c r="D111" s="118"/>
      <c r="E111" s="118" t="s">
        <v>164</v>
      </c>
      <c r="F111" s="131"/>
      <c r="G111" s="136" t="str">
        <f>IF($F111&lt;&gt;"",$F111,IFERROR(_xlfn.XLOOKUP(ROW(),Taxa_Saknas!$H:$H,Taxa_Saknas!$G:$G),""))</f>
        <v/>
      </c>
      <c r="H111" s="146" t="str">
        <f>IF($F111&lt;&gt;"",IFERROR(_xlfn.XLOOKUP($F111,Taxa_från_edp!$B:$B,Taxa_från_edp!C:C),""),"")</f>
        <v/>
      </c>
      <c r="I111" s="147" t="str">
        <f>IF($F111&lt;&gt;"",IFERROR(_xlfn.XLOOKUP($F111,Taxa_från_edp!$B:$B,Taxa_från_edp!G:G),""),"")</f>
        <v/>
      </c>
      <c r="J111" s="147" t="str">
        <f>IF($F111&lt;&gt;"",IFERROR(_xlfn.XLOOKUP($F111,Taxa_från_edp!$B:$B,Taxa_från_edp!K:K),""),"")</f>
        <v/>
      </c>
      <c r="K111" s="151"/>
      <c r="L111" s="155"/>
      <c r="M111" s="156" t="str">
        <f t="shared" si="2"/>
        <v/>
      </c>
      <c r="N111" s="157" t="str">
        <f t="shared" si="3"/>
        <v/>
      </c>
    </row>
    <row r="112" spans="1:14" ht="30" customHeight="1" x14ac:dyDescent="0.25">
      <c r="A112" s="118" t="s">
        <v>161</v>
      </c>
      <c r="B112" s="118" t="s">
        <v>162</v>
      </c>
      <c r="C112" s="118" t="s">
        <v>165</v>
      </c>
      <c r="D112" s="118"/>
      <c r="E112" s="118" t="s">
        <v>164</v>
      </c>
      <c r="F112" s="129"/>
      <c r="G112" s="134" t="str">
        <f>IF($F112&lt;&gt;"",$F112,IFERROR(_xlfn.XLOOKUP(ROW(),Taxa_Saknas!$H:$H,Taxa_Saknas!$G:$G),""))</f>
        <v/>
      </c>
      <c r="H112" s="141" t="str">
        <f>IF($F112&lt;&gt;"",IFERROR(_xlfn.XLOOKUP($F112,Taxa_från_edp!$B:$B,Taxa_från_edp!C:C),""),"")</f>
        <v/>
      </c>
      <c r="I112" s="142" t="str">
        <f>IF($F112&lt;&gt;"",IFERROR(_xlfn.XLOOKUP($F112,Taxa_från_edp!$B:$B,Taxa_från_edp!G:G),""),"")</f>
        <v/>
      </c>
      <c r="J112" s="143" t="str">
        <f>IF($F112&lt;&gt;"",IFERROR(_xlfn.XLOOKUP($F112,Taxa_från_edp!$B:$B,Taxa_från_edp!K:K),""),"")</f>
        <v/>
      </c>
      <c r="K112" s="149"/>
      <c r="L112" s="153"/>
      <c r="M112" s="156" t="str">
        <f t="shared" si="2"/>
        <v/>
      </c>
      <c r="N112" s="157" t="str">
        <f t="shared" si="3"/>
        <v/>
      </c>
    </row>
    <row r="113" spans="1:14" ht="21.95" customHeight="1" x14ac:dyDescent="0.25">
      <c r="A113" s="183" t="s">
        <v>161</v>
      </c>
      <c r="B113" s="184"/>
      <c r="C113" s="184"/>
      <c r="D113" s="184"/>
      <c r="E113" s="185"/>
      <c r="F113" s="121"/>
      <c r="G113" s="125" t="str">
        <f>IF($F113&lt;&gt;"",$F113,IFERROR(_xlfn.XLOOKUP(ROW(),Taxa_Saknas!$H:$H,Taxa_Saknas!$G:$G),""))</f>
        <v/>
      </c>
      <c r="H113" s="125" t="str">
        <f>IF($F113&lt;&gt;"",IFERROR(_xlfn.XLOOKUP($F113,Taxa_från_edp!$B:$B,Taxa_från_edp!C:C),""),"")</f>
        <v/>
      </c>
      <c r="I113" s="126" t="str">
        <f>IF($F113&lt;&gt;"",IFERROR(_xlfn.XLOOKUP($F113,Taxa_från_edp!$B:$B,Taxa_från_edp!G:G),""),"")</f>
        <v/>
      </c>
      <c r="J113" s="126" t="str">
        <f>IF($F113&lt;&gt;"",IFERROR(_xlfn.XLOOKUP($F113,Taxa_från_edp!$B:$B,Taxa_från_edp!K:K),""),"")</f>
        <v/>
      </c>
      <c r="K113" s="126"/>
      <c r="L113" s="126"/>
      <c r="M113" s="122" t="str">
        <f t="shared" si="2"/>
        <v/>
      </c>
      <c r="N113" s="123" t="str">
        <f t="shared" si="3"/>
        <v/>
      </c>
    </row>
    <row r="114" spans="1:14" ht="21.95" customHeight="1" x14ac:dyDescent="0.25">
      <c r="A114" s="183" t="s">
        <v>161</v>
      </c>
      <c r="B114" s="184"/>
      <c r="C114" s="184"/>
      <c r="D114" s="184"/>
      <c r="E114" s="185"/>
      <c r="F114" s="121"/>
      <c r="G114" s="125" t="str">
        <f>IF($F114&lt;&gt;"",$F114,IFERROR(_xlfn.XLOOKUP(ROW(),Taxa_Saknas!$H:$H,Taxa_Saknas!$G:$G),""))</f>
        <v/>
      </c>
      <c r="H114" s="125" t="str">
        <f>IF($F114&lt;&gt;"",IFERROR(_xlfn.XLOOKUP($F114,Taxa_från_edp!$B:$B,Taxa_från_edp!C:C),""),"")</f>
        <v/>
      </c>
      <c r="I114" s="126" t="str">
        <f>IF($F114&lt;&gt;"",IFERROR(_xlfn.XLOOKUP($F114,Taxa_från_edp!$B:$B,Taxa_från_edp!G:G),""),"")</f>
        <v/>
      </c>
      <c r="J114" s="126" t="str">
        <f>IF($F114&lt;&gt;"",IFERROR(_xlfn.XLOOKUP($F114,Taxa_från_edp!$B:$B,Taxa_från_edp!K:K),""),"")</f>
        <v/>
      </c>
      <c r="K114" s="126"/>
      <c r="L114" s="126"/>
      <c r="M114" s="122" t="str">
        <f t="shared" si="2"/>
        <v/>
      </c>
      <c r="N114" s="123" t="str">
        <f t="shared" si="3"/>
        <v/>
      </c>
    </row>
    <row r="115" spans="1:14" ht="21.95" customHeight="1" x14ac:dyDescent="0.25">
      <c r="A115" s="183" t="s">
        <v>166</v>
      </c>
      <c r="B115" s="184"/>
      <c r="C115" s="184"/>
      <c r="D115" s="184"/>
      <c r="E115" s="185"/>
      <c r="F115" s="121"/>
      <c r="G115" s="125" t="str">
        <f>IF($F115&lt;&gt;"",$F115,IFERROR(_xlfn.XLOOKUP(ROW(),Taxa_Saknas!$H:$H,Taxa_Saknas!$G:$G),""))</f>
        <v/>
      </c>
      <c r="H115" s="125" t="str">
        <f>IF($F115&lt;&gt;"",IFERROR(_xlfn.XLOOKUP($F115,Taxa_från_edp!$B:$B,Taxa_från_edp!C:C),""),"")</f>
        <v/>
      </c>
      <c r="I115" s="126" t="str">
        <f>IF($F115&lt;&gt;"",IFERROR(_xlfn.XLOOKUP($F115,Taxa_från_edp!$B:$B,Taxa_från_edp!G:G),""),"")</f>
        <v/>
      </c>
      <c r="J115" s="126" t="str">
        <f>IF($F115&lt;&gt;"",IFERROR(_xlfn.XLOOKUP($F115,Taxa_från_edp!$B:$B,Taxa_från_edp!K:K),""),"")</f>
        <v/>
      </c>
      <c r="K115" s="126"/>
      <c r="L115" s="126"/>
      <c r="M115" s="122" t="str">
        <f t="shared" si="2"/>
        <v/>
      </c>
      <c r="N115" s="123" t="str">
        <f t="shared" si="3"/>
        <v/>
      </c>
    </row>
    <row r="116" spans="1:14" x14ac:dyDescent="0.25">
      <c r="A116" s="186" t="s">
        <v>167</v>
      </c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8"/>
      <c r="M116" s="156" t="str">
        <f t="shared" si="2"/>
        <v/>
      </c>
      <c r="N116" s="157" t="str">
        <f t="shared" si="3"/>
        <v/>
      </c>
    </row>
    <row r="117" spans="1:14" ht="21.95" customHeight="1" x14ac:dyDescent="0.25">
      <c r="A117" s="183" t="s">
        <v>167</v>
      </c>
      <c r="B117" s="184"/>
      <c r="C117" s="184"/>
      <c r="D117" s="184"/>
      <c r="E117" s="185"/>
      <c r="F117" s="121"/>
      <c r="G117" s="125" t="str">
        <f>IF($F117&lt;&gt;"",$F117,IFERROR(_xlfn.XLOOKUP(ROW(),Taxa_Saknas!$H:$H,Taxa_Saknas!$G:$G),""))</f>
        <v/>
      </c>
      <c r="H117" s="125" t="str">
        <f>IF($F117&lt;&gt;"",IFERROR(_xlfn.XLOOKUP($F117,Taxa_från_edp!$B:$B,Taxa_från_edp!C:C),""),"")</f>
        <v/>
      </c>
      <c r="I117" s="126" t="str">
        <f>IF($F117&lt;&gt;"",IFERROR(_xlfn.XLOOKUP($F117,Taxa_från_edp!$B:$B,Taxa_från_edp!G:G),""),"")</f>
        <v/>
      </c>
      <c r="J117" s="126" t="str">
        <f>IF($F117&lt;&gt;"",IFERROR(_xlfn.XLOOKUP($F117,Taxa_från_edp!$B:$B,Taxa_från_edp!K:K),""),"")</f>
        <v/>
      </c>
      <c r="K117" s="126"/>
      <c r="L117" s="126"/>
      <c r="M117" s="122" t="str">
        <f t="shared" si="2"/>
        <v/>
      </c>
      <c r="N117" s="123" t="str">
        <f t="shared" si="3"/>
        <v/>
      </c>
    </row>
    <row r="118" spans="1:14" ht="21.95" customHeight="1" x14ac:dyDescent="0.25">
      <c r="A118" s="183" t="s">
        <v>168</v>
      </c>
      <c r="B118" s="184"/>
      <c r="C118" s="184"/>
      <c r="D118" s="184"/>
      <c r="E118" s="185"/>
      <c r="F118" s="121"/>
      <c r="G118" s="125" t="str">
        <f>IF($F118&lt;&gt;"",$F118,IFERROR(_xlfn.XLOOKUP(ROW(),Taxa_Saknas!$H:$H,Taxa_Saknas!$G:$G),""))</f>
        <v/>
      </c>
      <c r="H118" s="125" t="str">
        <f>IF($F118&lt;&gt;"",IFERROR(_xlfn.XLOOKUP($F118,Taxa_från_edp!$B:$B,Taxa_från_edp!C:C),""),"")</f>
        <v/>
      </c>
      <c r="I118" s="126" t="str">
        <f>IF($F118&lt;&gt;"",IFERROR(_xlfn.XLOOKUP($F118,Taxa_från_edp!$B:$B,Taxa_från_edp!G:G),""),"")</f>
        <v/>
      </c>
      <c r="J118" s="126" t="str">
        <f>IF($F118&lt;&gt;"",IFERROR(_xlfn.XLOOKUP($F118,Taxa_från_edp!$B:$B,Taxa_från_edp!K:K),""),"")</f>
        <v/>
      </c>
      <c r="K118" s="126"/>
      <c r="L118" s="126"/>
      <c r="M118" s="122" t="str">
        <f t="shared" si="2"/>
        <v/>
      </c>
      <c r="N118" s="123" t="str">
        <f t="shared" si="3"/>
        <v/>
      </c>
    </row>
    <row r="119" spans="1:14" ht="21.95" customHeight="1" x14ac:dyDescent="0.25">
      <c r="A119" s="183" t="s">
        <v>169</v>
      </c>
      <c r="B119" s="184"/>
      <c r="C119" s="184"/>
      <c r="D119" s="184"/>
      <c r="E119" s="185"/>
      <c r="F119" s="124"/>
      <c r="G119" s="122" t="str">
        <f>IF($F119&lt;&gt;"",$F119,IFERROR(_xlfn.XLOOKUP(ROW(),Taxa_Saknas!$H:$H,Taxa_Saknas!$G:$G),""))</f>
        <v/>
      </c>
      <c r="H119" s="122" t="str">
        <f>IF($F119&lt;&gt;"",IFERROR(_xlfn.XLOOKUP($F119,Taxa_från_edp!$B:$B,Taxa_från_edp!C:C),""),"")</f>
        <v/>
      </c>
      <c r="I119" s="122" t="str">
        <f>IF($F119&lt;&gt;"",IFERROR(_xlfn.XLOOKUP($F119,Taxa_från_edp!$B:$B,Taxa_från_edp!G:G),""),"")</f>
        <v/>
      </c>
      <c r="J119" s="122" t="str">
        <f>IF($F119&lt;&gt;"",IFERROR(_xlfn.XLOOKUP($F119,Taxa_från_edp!$B:$B,Taxa_från_edp!K:K),""),"")</f>
        <v/>
      </c>
      <c r="K119" s="122"/>
      <c r="L119" s="122"/>
      <c r="M119" s="122" t="str">
        <f t="shared" si="2"/>
        <v/>
      </c>
      <c r="N119" s="123" t="str">
        <f t="shared" si="3"/>
        <v/>
      </c>
    </row>
    <row r="120" spans="1:14" ht="45" customHeight="1" x14ac:dyDescent="0.25">
      <c r="A120" s="118" t="s">
        <v>169</v>
      </c>
      <c r="B120" s="118" t="s">
        <v>170</v>
      </c>
      <c r="C120" s="118" t="s">
        <v>171</v>
      </c>
      <c r="D120" s="118" t="s">
        <v>172</v>
      </c>
      <c r="E120" s="118" t="s">
        <v>164</v>
      </c>
      <c r="F120" s="130"/>
      <c r="G120" s="135" t="str">
        <f>IF($F120&lt;&gt;"",$F120,IFERROR(_xlfn.XLOOKUP(ROW(),Taxa_Saknas!$H:$H,Taxa_Saknas!$G:$G),""))</f>
        <v/>
      </c>
      <c r="H120" s="144" t="str">
        <f>IF($F120&lt;&gt;"",IFERROR(_xlfn.XLOOKUP($F120,Taxa_från_edp!$B:$B,Taxa_från_edp!C:C),""),"")</f>
        <v/>
      </c>
      <c r="I120" s="145" t="str">
        <f>IF($F120&lt;&gt;"",IFERROR(_xlfn.XLOOKUP($F120,Taxa_från_edp!$B:$B,Taxa_från_edp!G:G),""),"")</f>
        <v/>
      </c>
      <c r="J120" s="145" t="str">
        <f>IF($F120&lt;&gt;"",IFERROR(_xlfn.XLOOKUP($F120,Taxa_från_edp!$B:$B,Taxa_från_edp!K:K),""),"")</f>
        <v/>
      </c>
      <c r="K120" s="150"/>
      <c r="L120" s="154"/>
      <c r="M120" s="156" t="str">
        <f t="shared" si="2"/>
        <v/>
      </c>
      <c r="N120" s="157" t="str">
        <f t="shared" si="3"/>
        <v/>
      </c>
    </row>
    <row r="121" spans="1:14" ht="45" customHeight="1" x14ac:dyDescent="0.25">
      <c r="A121" s="118" t="s">
        <v>169</v>
      </c>
      <c r="B121" s="118" t="s">
        <v>170</v>
      </c>
      <c r="C121" s="118" t="s">
        <v>173</v>
      </c>
      <c r="D121" s="118" t="s">
        <v>174</v>
      </c>
      <c r="E121" s="118" t="s">
        <v>164</v>
      </c>
      <c r="F121" s="127"/>
      <c r="G121" s="132" t="str">
        <f>IF($F121&lt;&gt;"",$F121,IFERROR(_xlfn.XLOOKUP(ROW(),Taxa_Saknas!$H:$H,Taxa_Saknas!$G:$G),""))</f>
        <v/>
      </c>
      <c r="H121" s="137" t="str">
        <f>IF($F121&lt;&gt;"",IFERROR(_xlfn.XLOOKUP($F121,Taxa_från_edp!$B:$B,Taxa_från_edp!C:C),""),"")</f>
        <v/>
      </c>
      <c r="I121" s="138" t="str">
        <f>IF($F121&lt;&gt;"",IFERROR(_xlfn.XLOOKUP($F121,Taxa_från_edp!$B:$B,Taxa_från_edp!G:G),""),"")</f>
        <v/>
      </c>
      <c r="J121" s="139" t="str">
        <f>IF($F121&lt;&gt;"",IFERROR(_xlfn.XLOOKUP($F121,Taxa_från_edp!$B:$B,Taxa_från_edp!K:K),""),"")</f>
        <v/>
      </c>
      <c r="K121" s="148"/>
      <c r="L121" s="152"/>
      <c r="M121" s="156" t="str">
        <f t="shared" si="2"/>
        <v/>
      </c>
      <c r="N121" s="157" t="str">
        <f t="shared" si="3"/>
        <v/>
      </c>
    </row>
    <row r="122" spans="1:14" ht="21.95" customHeight="1" x14ac:dyDescent="0.25">
      <c r="A122" s="183" t="s">
        <v>169</v>
      </c>
      <c r="B122" s="184"/>
      <c r="C122" s="184"/>
      <c r="D122" s="184"/>
      <c r="E122" s="185"/>
      <c r="F122" s="121"/>
      <c r="G122" s="125" t="str">
        <f>IF($F122&lt;&gt;"",$F122,IFERROR(_xlfn.XLOOKUP(ROW(),Taxa_Saknas!$H:$H,Taxa_Saknas!$G:$G),""))</f>
        <v/>
      </c>
      <c r="H122" s="125" t="str">
        <f>IF($F122&lt;&gt;"",IFERROR(_xlfn.XLOOKUP($F122,Taxa_från_edp!$B:$B,Taxa_från_edp!C:C),""),"")</f>
        <v/>
      </c>
      <c r="I122" s="126" t="str">
        <f>IF($F122&lt;&gt;"",IFERROR(_xlfn.XLOOKUP($F122,Taxa_från_edp!$B:$B,Taxa_från_edp!G:G),""),"")</f>
        <v/>
      </c>
      <c r="J122" s="126" t="str">
        <f>IF($F122&lt;&gt;"",IFERROR(_xlfn.XLOOKUP($F122,Taxa_från_edp!$B:$B,Taxa_från_edp!K:K),""),"")</f>
        <v/>
      </c>
      <c r="K122" s="126"/>
      <c r="L122" s="126"/>
      <c r="M122" s="122" t="str">
        <f t="shared" si="2"/>
        <v/>
      </c>
      <c r="N122" s="123" t="str">
        <f t="shared" si="3"/>
        <v/>
      </c>
    </row>
    <row r="123" spans="1:14" ht="45" customHeight="1" x14ac:dyDescent="0.25">
      <c r="A123" s="118" t="s">
        <v>169</v>
      </c>
      <c r="B123" s="118" t="s">
        <v>170</v>
      </c>
      <c r="C123" s="118" t="s">
        <v>175</v>
      </c>
      <c r="D123" s="118" t="s">
        <v>174</v>
      </c>
      <c r="E123" s="118" t="s">
        <v>164</v>
      </c>
      <c r="F123" s="129"/>
      <c r="G123" s="134" t="str">
        <f>IF($F123&lt;&gt;"",$F123,IFERROR(_xlfn.XLOOKUP(ROW(),Taxa_Saknas!$H:$H,Taxa_Saknas!$G:$G),""))</f>
        <v/>
      </c>
      <c r="H123" s="141" t="str">
        <f>IF($F123&lt;&gt;"",IFERROR(_xlfn.XLOOKUP($F123,Taxa_från_edp!$B:$B,Taxa_från_edp!C:C),""),"")</f>
        <v/>
      </c>
      <c r="I123" s="142" t="str">
        <f>IF($F123&lt;&gt;"",IFERROR(_xlfn.XLOOKUP($F123,Taxa_från_edp!$B:$B,Taxa_från_edp!G:G),""),"")</f>
        <v/>
      </c>
      <c r="J123" s="143" t="str">
        <f>IF($F123&lt;&gt;"",IFERROR(_xlfn.XLOOKUP($F123,Taxa_från_edp!$B:$B,Taxa_från_edp!K:K),""),"")</f>
        <v/>
      </c>
      <c r="K123" s="149"/>
      <c r="L123" s="153"/>
      <c r="M123" s="156" t="str">
        <f t="shared" si="2"/>
        <v/>
      </c>
      <c r="N123" s="157" t="str">
        <f t="shared" si="3"/>
        <v/>
      </c>
    </row>
    <row r="124" spans="1:14" ht="45" customHeight="1" x14ac:dyDescent="0.25">
      <c r="A124" s="118" t="s">
        <v>169</v>
      </c>
      <c r="B124" s="118" t="s">
        <v>170</v>
      </c>
      <c r="C124" s="118" t="s">
        <v>176</v>
      </c>
      <c r="D124" s="118" t="s">
        <v>177</v>
      </c>
      <c r="E124" s="118" t="s">
        <v>164</v>
      </c>
      <c r="F124" s="127"/>
      <c r="G124" s="132" t="str">
        <f>IF($F124&lt;&gt;"",$F124,IFERROR(_xlfn.XLOOKUP(ROW(),Taxa_Saknas!$H:$H,Taxa_Saknas!$G:$G),""))</f>
        <v/>
      </c>
      <c r="H124" s="137" t="str">
        <f>IF($F124&lt;&gt;"",IFERROR(_xlfn.XLOOKUP($F124,Taxa_från_edp!$B:$B,Taxa_från_edp!C:C),""),"")</f>
        <v/>
      </c>
      <c r="I124" s="138" t="str">
        <f>IF($F124&lt;&gt;"",IFERROR(_xlfn.XLOOKUP($F124,Taxa_från_edp!$B:$B,Taxa_från_edp!G:G),""),"")</f>
        <v/>
      </c>
      <c r="J124" s="139" t="str">
        <f>IF($F124&lt;&gt;"",IFERROR(_xlfn.XLOOKUP($F124,Taxa_från_edp!$B:$B,Taxa_från_edp!K:K),""),"")</f>
        <v/>
      </c>
      <c r="K124" s="148"/>
      <c r="L124" s="152"/>
      <c r="M124" s="156" t="str">
        <f t="shared" si="2"/>
        <v/>
      </c>
      <c r="N124" s="157" t="str">
        <f t="shared" si="3"/>
        <v/>
      </c>
    </row>
    <row r="125" spans="1:14" ht="21.95" customHeight="1" x14ac:dyDescent="0.25">
      <c r="A125" s="183" t="s">
        <v>169</v>
      </c>
      <c r="B125" s="184"/>
      <c r="C125" s="184"/>
      <c r="D125" s="184"/>
      <c r="E125" s="185"/>
      <c r="F125" s="121"/>
      <c r="G125" s="125" t="str">
        <f>IF($F125&lt;&gt;"",$F125,IFERROR(_xlfn.XLOOKUP(ROW(),Taxa_Saknas!$H:$H,Taxa_Saknas!$G:$G),""))</f>
        <v/>
      </c>
      <c r="H125" s="125" t="str">
        <f>IF($F125&lt;&gt;"",IFERROR(_xlfn.XLOOKUP($F125,Taxa_från_edp!$B:$B,Taxa_från_edp!C:C),""),"")</f>
        <v/>
      </c>
      <c r="I125" s="126" t="str">
        <f>IF($F125&lt;&gt;"",IFERROR(_xlfn.XLOOKUP($F125,Taxa_från_edp!$B:$B,Taxa_från_edp!G:G),""),"")</f>
        <v/>
      </c>
      <c r="J125" s="126" t="str">
        <f>IF($F125&lt;&gt;"",IFERROR(_xlfn.XLOOKUP($F125,Taxa_från_edp!$B:$B,Taxa_från_edp!K:K),""),"")</f>
        <v/>
      </c>
      <c r="K125" s="126"/>
      <c r="L125" s="126"/>
      <c r="M125" s="122" t="str">
        <f t="shared" si="2"/>
        <v/>
      </c>
      <c r="N125" s="123" t="str">
        <f t="shared" si="3"/>
        <v/>
      </c>
    </row>
    <row r="126" spans="1:14" ht="21.95" customHeight="1" x14ac:dyDescent="0.25">
      <c r="A126" s="183" t="s">
        <v>178</v>
      </c>
      <c r="B126" s="184"/>
      <c r="C126" s="184"/>
      <c r="D126" s="184"/>
      <c r="E126" s="185"/>
      <c r="F126" s="121"/>
      <c r="G126" s="125" t="str">
        <f>IF($F126&lt;&gt;"",$F126,IFERROR(_xlfn.XLOOKUP(ROW(),Taxa_Saknas!$H:$H,Taxa_Saknas!$G:$G),""))</f>
        <v/>
      </c>
      <c r="H126" s="125" t="str">
        <f>IF($F126&lt;&gt;"",IFERROR(_xlfn.XLOOKUP($F126,Taxa_från_edp!$B:$B,Taxa_från_edp!C:C),""),"")</f>
        <v/>
      </c>
      <c r="I126" s="126" t="str">
        <f>IF($F126&lt;&gt;"",IFERROR(_xlfn.XLOOKUP($F126,Taxa_från_edp!$B:$B,Taxa_från_edp!G:G),""),"")</f>
        <v/>
      </c>
      <c r="J126" s="126" t="str">
        <f>IF($F126&lt;&gt;"",IFERROR(_xlfn.XLOOKUP($F126,Taxa_från_edp!$B:$B,Taxa_från_edp!K:K),""),"")</f>
        <v/>
      </c>
      <c r="K126" s="126"/>
      <c r="L126" s="126"/>
      <c r="M126" s="122" t="str">
        <f t="shared" si="2"/>
        <v/>
      </c>
      <c r="N126" s="123" t="str">
        <f t="shared" si="3"/>
        <v/>
      </c>
    </row>
    <row r="127" spans="1:14" ht="45" customHeight="1" x14ac:dyDescent="0.25">
      <c r="A127" s="118" t="s">
        <v>179</v>
      </c>
      <c r="B127" s="118" t="s">
        <v>180</v>
      </c>
      <c r="C127" s="118" t="s">
        <v>181</v>
      </c>
      <c r="D127" s="118"/>
      <c r="E127" s="118" t="s">
        <v>182</v>
      </c>
      <c r="F127" s="129"/>
      <c r="G127" s="134" t="str">
        <f>IF($F127&lt;&gt;"",$F127,IFERROR(_xlfn.XLOOKUP(ROW(),Taxa_Saknas!$H:$H,Taxa_Saknas!$G:$G),""))</f>
        <v/>
      </c>
      <c r="H127" s="141" t="str">
        <f>IF($F127&lt;&gt;"",IFERROR(_xlfn.XLOOKUP($F127,Taxa_från_edp!$B:$B,Taxa_från_edp!C:C),""),"")</f>
        <v/>
      </c>
      <c r="I127" s="142" t="str">
        <f>IF($F127&lt;&gt;"",IFERROR(_xlfn.XLOOKUP($F127,Taxa_från_edp!$B:$B,Taxa_från_edp!G:G),""),"")</f>
        <v/>
      </c>
      <c r="J127" s="143" t="str">
        <f>IF($F127&lt;&gt;"",IFERROR(_xlfn.XLOOKUP($F127,Taxa_från_edp!$B:$B,Taxa_från_edp!K:K),""),"")</f>
        <v/>
      </c>
      <c r="K127" s="149"/>
      <c r="L127" s="153"/>
      <c r="M127" s="156" t="str">
        <f t="shared" si="2"/>
        <v/>
      </c>
      <c r="N127" s="157" t="str">
        <f t="shared" si="3"/>
        <v/>
      </c>
    </row>
    <row r="128" spans="1:14" ht="45" customHeight="1" x14ac:dyDescent="0.25">
      <c r="A128" s="118" t="s">
        <v>179</v>
      </c>
      <c r="B128" s="118" t="s">
        <v>180</v>
      </c>
      <c r="C128" s="118" t="s">
        <v>183</v>
      </c>
      <c r="D128" s="118"/>
      <c r="E128" s="118" t="s">
        <v>182</v>
      </c>
      <c r="F128" s="127"/>
      <c r="G128" s="132" t="str">
        <f>IF($F128&lt;&gt;"",$F128,IFERROR(_xlfn.XLOOKUP(ROW(),Taxa_Saknas!$H:$H,Taxa_Saknas!$G:$G),""))</f>
        <v/>
      </c>
      <c r="H128" s="137" t="str">
        <f>IF($F128&lt;&gt;"",IFERROR(_xlfn.XLOOKUP($F128,Taxa_från_edp!$B:$B,Taxa_från_edp!C:C),""),"")</f>
        <v/>
      </c>
      <c r="I128" s="138" t="str">
        <f>IF($F128&lt;&gt;"",IFERROR(_xlfn.XLOOKUP($F128,Taxa_från_edp!$B:$B,Taxa_från_edp!G:G),""),"")</f>
        <v/>
      </c>
      <c r="J128" s="139" t="str">
        <f>IF($F128&lt;&gt;"",IFERROR(_xlfn.XLOOKUP($F128,Taxa_från_edp!$B:$B,Taxa_från_edp!K:K),""),"")</f>
        <v/>
      </c>
      <c r="K128" s="148"/>
      <c r="L128" s="152"/>
      <c r="M128" s="156" t="str">
        <f t="shared" si="2"/>
        <v/>
      </c>
      <c r="N128" s="157" t="str">
        <f t="shared" si="3"/>
        <v/>
      </c>
    </row>
    <row r="129" spans="1:14" ht="21.95" customHeight="1" x14ac:dyDescent="0.25">
      <c r="A129" s="183" t="s">
        <v>179</v>
      </c>
      <c r="B129" s="184"/>
      <c r="C129" s="184"/>
      <c r="D129" s="184"/>
      <c r="E129" s="185"/>
      <c r="F129" s="121"/>
      <c r="G129" s="125" t="str">
        <f>IF($F129&lt;&gt;"",$F129,IFERROR(_xlfn.XLOOKUP(ROW(),Taxa_Saknas!$H:$H,Taxa_Saknas!$G:$G),""))</f>
        <v/>
      </c>
      <c r="H129" s="125" t="str">
        <f>IF($F129&lt;&gt;"",IFERROR(_xlfn.XLOOKUP($F129,Taxa_från_edp!$B:$B,Taxa_från_edp!C:C),""),"")</f>
        <v/>
      </c>
      <c r="I129" s="126" t="str">
        <f>IF($F129&lt;&gt;"",IFERROR(_xlfn.XLOOKUP($F129,Taxa_från_edp!$B:$B,Taxa_från_edp!G:G),""),"")</f>
        <v/>
      </c>
      <c r="J129" s="126" t="str">
        <f>IF($F129&lt;&gt;"",IFERROR(_xlfn.XLOOKUP($F129,Taxa_från_edp!$B:$B,Taxa_från_edp!K:K),""),"")</f>
        <v/>
      </c>
      <c r="K129" s="126"/>
      <c r="L129" s="126"/>
      <c r="M129" s="122" t="str">
        <f t="shared" si="2"/>
        <v/>
      </c>
      <c r="N129" s="123" t="str">
        <f t="shared" si="3"/>
        <v/>
      </c>
    </row>
    <row r="130" spans="1:14" ht="21.95" customHeight="1" x14ac:dyDescent="0.25">
      <c r="A130" s="183" t="s">
        <v>184</v>
      </c>
      <c r="B130" s="184"/>
      <c r="C130" s="184"/>
      <c r="D130" s="184"/>
      <c r="E130" s="185"/>
      <c r="F130" s="121"/>
      <c r="G130" s="125" t="str">
        <f>IF($F130&lt;&gt;"",$F130,IFERROR(_xlfn.XLOOKUP(ROW(),Taxa_Saknas!$H:$H,Taxa_Saknas!$G:$G),""))</f>
        <v/>
      </c>
      <c r="H130" s="125" t="str">
        <f>IF($F130&lt;&gt;"",IFERROR(_xlfn.XLOOKUP($F130,Taxa_från_edp!$B:$B,Taxa_från_edp!C:C),""),"")</f>
        <v/>
      </c>
      <c r="I130" s="126" t="str">
        <f>IF($F130&lt;&gt;"",IFERROR(_xlfn.XLOOKUP($F130,Taxa_från_edp!$B:$B,Taxa_från_edp!G:G),""),"")</f>
        <v/>
      </c>
      <c r="J130" s="126" t="str">
        <f>IF($F130&lt;&gt;"",IFERROR(_xlfn.XLOOKUP($F130,Taxa_från_edp!$B:$B,Taxa_från_edp!K:K),""),"")</f>
        <v/>
      </c>
      <c r="K130" s="126"/>
      <c r="L130" s="126"/>
      <c r="M130" s="122" t="str">
        <f t="shared" si="2"/>
        <v/>
      </c>
      <c r="N130" s="123" t="str">
        <f t="shared" si="3"/>
        <v/>
      </c>
    </row>
    <row r="131" spans="1:14" ht="45" customHeight="1" x14ac:dyDescent="0.25">
      <c r="A131" s="118" t="s">
        <v>185</v>
      </c>
      <c r="B131" s="118" t="s">
        <v>186</v>
      </c>
      <c r="C131" s="118" t="s">
        <v>187</v>
      </c>
      <c r="D131" s="118"/>
      <c r="E131" s="118" t="s">
        <v>188</v>
      </c>
      <c r="F131" s="127"/>
      <c r="G131" s="132" t="str">
        <f>IF($F131&lt;&gt;"",$F131,IFERROR(_xlfn.XLOOKUP(ROW(),Taxa_Saknas!$H:$H,Taxa_Saknas!$G:$G),""))</f>
        <v/>
      </c>
      <c r="H131" s="137" t="str">
        <f>IF($F131&lt;&gt;"",IFERROR(_xlfn.XLOOKUP($F131,Taxa_från_edp!$B:$B,Taxa_från_edp!C:C),""),"")</f>
        <v/>
      </c>
      <c r="I131" s="138" t="str">
        <f>IF($F131&lt;&gt;"",IFERROR(_xlfn.XLOOKUP($F131,Taxa_från_edp!$B:$B,Taxa_från_edp!G:G),""),"")</f>
        <v/>
      </c>
      <c r="J131" s="139" t="str">
        <f>IF($F131&lt;&gt;"",IFERROR(_xlfn.XLOOKUP($F131,Taxa_från_edp!$B:$B,Taxa_från_edp!K:K),""),"")</f>
        <v/>
      </c>
      <c r="K131" s="148"/>
      <c r="L131" s="152"/>
      <c r="M131" s="156" t="str">
        <f t="shared" si="2"/>
        <v/>
      </c>
      <c r="N131" s="157" t="str">
        <f t="shared" si="3"/>
        <v/>
      </c>
    </row>
    <row r="132" spans="1:14" ht="21.95" customHeight="1" x14ac:dyDescent="0.25">
      <c r="A132" s="183" t="s">
        <v>185</v>
      </c>
      <c r="B132" s="184"/>
      <c r="C132" s="184"/>
      <c r="D132" s="184"/>
      <c r="E132" s="185"/>
      <c r="F132" s="121"/>
      <c r="G132" s="125" t="str">
        <f>IF($F132&lt;&gt;"",$F132,IFERROR(_xlfn.XLOOKUP(ROW(),Taxa_Saknas!$H:$H,Taxa_Saknas!$G:$G),""))</f>
        <v/>
      </c>
      <c r="H132" s="125" t="str">
        <f>IF($F132&lt;&gt;"",IFERROR(_xlfn.XLOOKUP($F132,Taxa_från_edp!$B:$B,Taxa_från_edp!C:C),""),"")</f>
        <v/>
      </c>
      <c r="I132" s="126" t="str">
        <f>IF($F132&lt;&gt;"",IFERROR(_xlfn.XLOOKUP($F132,Taxa_från_edp!$B:$B,Taxa_från_edp!G:G),""),"")</f>
        <v/>
      </c>
      <c r="J132" s="126" t="str">
        <f>IF($F132&lt;&gt;"",IFERROR(_xlfn.XLOOKUP($F132,Taxa_från_edp!$B:$B,Taxa_från_edp!K:K),""),"")</f>
        <v/>
      </c>
      <c r="K132" s="126"/>
      <c r="L132" s="126"/>
      <c r="M132" s="122" t="str">
        <f t="shared" si="2"/>
        <v/>
      </c>
      <c r="N132" s="123" t="str">
        <f t="shared" si="3"/>
        <v/>
      </c>
    </row>
    <row r="133" spans="1:14" ht="21.95" customHeight="1" x14ac:dyDescent="0.25">
      <c r="A133" s="183" t="s">
        <v>189</v>
      </c>
      <c r="B133" s="184"/>
      <c r="C133" s="184"/>
      <c r="D133" s="184"/>
      <c r="E133" s="185"/>
      <c r="F133" s="121"/>
      <c r="G133" s="125" t="str">
        <f>IF($F133&lt;&gt;"",$F133,IFERROR(_xlfn.XLOOKUP(ROW(),Taxa_Saknas!$H:$H,Taxa_Saknas!$G:$G),""))</f>
        <v/>
      </c>
      <c r="H133" s="125" t="str">
        <f>IF($F133&lt;&gt;"",IFERROR(_xlfn.XLOOKUP($F133,Taxa_från_edp!$B:$B,Taxa_från_edp!C:C),""),"")</f>
        <v/>
      </c>
      <c r="I133" s="126" t="str">
        <f>IF($F133&lt;&gt;"",IFERROR(_xlfn.XLOOKUP($F133,Taxa_från_edp!$B:$B,Taxa_från_edp!G:G),""),"")</f>
        <v/>
      </c>
      <c r="J133" s="126" t="str">
        <f>IF($F133&lt;&gt;"",IFERROR(_xlfn.XLOOKUP($F133,Taxa_från_edp!$B:$B,Taxa_från_edp!K:K),""),"")</f>
        <v/>
      </c>
      <c r="K133" s="126"/>
      <c r="L133" s="126"/>
      <c r="M133" s="122" t="str">
        <f t="shared" si="2"/>
        <v/>
      </c>
      <c r="N133" s="123" t="str">
        <f t="shared" si="3"/>
        <v/>
      </c>
    </row>
    <row r="134" spans="1:14" ht="45" customHeight="1" x14ac:dyDescent="0.25">
      <c r="A134" s="118" t="s">
        <v>190</v>
      </c>
      <c r="B134" s="118" t="s">
        <v>191</v>
      </c>
      <c r="C134" s="118" t="s">
        <v>192</v>
      </c>
      <c r="D134" s="118" t="s">
        <v>193</v>
      </c>
      <c r="E134" s="118" t="s">
        <v>188</v>
      </c>
      <c r="F134" s="129"/>
      <c r="G134" s="134" t="str">
        <f>IF($F134&lt;&gt;"",$F134,IFERROR(_xlfn.XLOOKUP(ROW(),Taxa_Saknas!$H:$H,Taxa_Saknas!$G:$G),""))</f>
        <v/>
      </c>
      <c r="H134" s="141" t="str">
        <f>IF($F134&lt;&gt;"",IFERROR(_xlfn.XLOOKUP($F134,Taxa_från_edp!$B:$B,Taxa_från_edp!C:C),""),"")</f>
        <v/>
      </c>
      <c r="I134" s="142" t="str">
        <f>IF($F134&lt;&gt;"",IFERROR(_xlfn.XLOOKUP($F134,Taxa_från_edp!$B:$B,Taxa_från_edp!G:G),""),"")</f>
        <v/>
      </c>
      <c r="J134" s="143" t="str">
        <f>IF($F134&lt;&gt;"",IFERROR(_xlfn.XLOOKUP($F134,Taxa_från_edp!$B:$B,Taxa_från_edp!K:K),""),"")</f>
        <v/>
      </c>
      <c r="K134" s="149"/>
      <c r="L134" s="153"/>
      <c r="M134" s="156" t="str">
        <f t="shared" si="2"/>
        <v/>
      </c>
      <c r="N134" s="157" t="str">
        <f t="shared" si="3"/>
        <v/>
      </c>
    </row>
    <row r="135" spans="1:14" ht="45" customHeight="1" x14ac:dyDescent="0.25">
      <c r="A135" s="118" t="s">
        <v>190</v>
      </c>
      <c r="B135" s="118" t="s">
        <v>191</v>
      </c>
      <c r="C135" s="118" t="s">
        <v>192</v>
      </c>
      <c r="D135" s="118" t="s">
        <v>194</v>
      </c>
      <c r="E135" s="118" t="s">
        <v>188</v>
      </c>
      <c r="F135" s="129"/>
      <c r="G135" s="134" t="str">
        <f>IF($F135&lt;&gt;"",$F135,IFERROR(_xlfn.XLOOKUP(ROW(),Taxa_Saknas!$H:$H,Taxa_Saknas!$G:$G),""))</f>
        <v/>
      </c>
      <c r="H135" s="141" t="str">
        <f>IF($F135&lt;&gt;"",IFERROR(_xlfn.XLOOKUP($F135,Taxa_från_edp!$B:$B,Taxa_från_edp!C:C),""),"")</f>
        <v/>
      </c>
      <c r="I135" s="142" t="str">
        <f>IF($F135&lt;&gt;"",IFERROR(_xlfn.XLOOKUP($F135,Taxa_från_edp!$B:$B,Taxa_från_edp!G:G),""),"")</f>
        <v/>
      </c>
      <c r="J135" s="143" t="str">
        <f>IF($F135&lt;&gt;"",IFERROR(_xlfn.XLOOKUP($F135,Taxa_från_edp!$B:$B,Taxa_från_edp!K:K),""),"")</f>
        <v/>
      </c>
      <c r="K135" s="149"/>
      <c r="L135" s="153"/>
      <c r="M135" s="156" t="str">
        <f t="shared" ref="M135:M198" si="4">IFERROR(IF(J135&lt;&gt;"",J135*1.25,IF(K135&lt;&gt;"",K135*1.25,"")),"")</f>
        <v/>
      </c>
      <c r="N135" s="157" t="str">
        <f t="shared" ref="N135:N198" si="5">IFERROR(IF(J135&lt;&gt;"",L135*J135,IF(K135&lt;&gt;"",L135*K135,"")),"")</f>
        <v/>
      </c>
    </row>
    <row r="136" spans="1:14" ht="45" customHeight="1" x14ac:dyDescent="0.25">
      <c r="A136" s="118" t="s">
        <v>190</v>
      </c>
      <c r="B136" s="118" t="s">
        <v>191</v>
      </c>
      <c r="C136" s="118" t="s">
        <v>195</v>
      </c>
      <c r="D136" s="118"/>
      <c r="E136" s="118" t="s">
        <v>188</v>
      </c>
      <c r="F136" s="127"/>
      <c r="G136" s="132" t="str">
        <f>IF($F136&lt;&gt;"",$F136,IFERROR(_xlfn.XLOOKUP(ROW(),Taxa_Saknas!$H:$H,Taxa_Saknas!$G:$G),""))</f>
        <v/>
      </c>
      <c r="H136" s="137" t="str">
        <f>IF($F136&lt;&gt;"",IFERROR(_xlfn.XLOOKUP($F136,Taxa_från_edp!$B:$B,Taxa_från_edp!C:C),""),"")</f>
        <v/>
      </c>
      <c r="I136" s="138" t="str">
        <f>IF($F136&lt;&gt;"",IFERROR(_xlfn.XLOOKUP($F136,Taxa_från_edp!$B:$B,Taxa_från_edp!G:G),""),"")</f>
        <v/>
      </c>
      <c r="J136" s="139" t="str">
        <f>IF($F136&lt;&gt;"",IFERROR(_xlfn.XLOOKUP($F136,Taxa_från_edp!$B:$B,Taxa_från_edp!K:K),""),"")</f>
        <v/>
      </c>
      <c r="K136" s="148"/>
      <c r="L136" s="152"/>
      <c r="M136" s="156" t="str">
        <f t="shared" si="4"/>
        <v/>
      </c>
      <c r="N136" s="157" t="str">
        <f t="shared" si="5"/>
        <v/>
      </c>
    </row>
    <row r="137" spans="1:14" ht="21.95" customHeight="1" x14ac:dyDescent="0.25">
      <c r="A137" s="183" t="s">
        <v>190</v>
      </c>
      <c r="B137" s="184"/>
      <c r="C137" s="184"/>
      <c r="D137" s="184"/>
      <c r="E137" s="185"/>
      <c r="F137" s="121"/>
      <c r="G137" s="125" t="str">
        <f>IF($F137&lt;&gt;"",$F137,IFERROR(_xlfn.XLOOKUP(ROW(),Taxa_Saknas!$H:$H,Taxa_Saknas!$G:$G),""))</f>
        <v/>
      </c>
      <c r="H137" s="125" t="str">
        <f>IF($F137&lt;&gt;"",IFERROR(_xlfn.XLOOKUP($F137,Taxa_från_edp!$B:$B,Taxa_från_edp!C:C),""),"")</f>
        <v/>
      </c>
      <c r="I137" s="126" t="str">
        <f>IF($F137&lt;&gt;"",IFERROR(_xlfn.XLOOKUP($F137,Taxa_från_edp!$B:$B,Taxa_från_edp!G:G),""),"")</f>
        <v/>
      </c>
      <c r="J137" s="126" t="str">
        <f>IF($F137&lt;&gt;"",IFERROR(_xlfn.XLOOKUP($F137,Taxa_från_edp!$B:$B,Taxa_från_edp!K:K),""),"")</f>
        <v/>
      </c>
      <c r="K137" s="126"/>
      <c r="L137" s="126"/>
      <c r="M137" s="122" t="str">
        <f t="shared" si="4"/>
        <v/>
      </c>
      <c r="N137" s="123" t="str">
        <f t="shared" si="5"/>
        <v/>
      </c>
    </row>
    <row r="138" spans="1:14" ht="21.95" customHeight="1" x14ac:dyDescent="0.25">
      <c r="A138" s="183" t="s">
        <v>196</v>
      </c>
      <c r="B138" s="184"/>
      <c r="C138" s="184"/>
      <c r="D138" s="184"/>
      <c r="E138" s="185"/>
      <c r="F138" s="121"/>
      <c r="G138" s="125" t="str">
        <f>IF($F138&lt;&gt;"",$F138,IFERROR(_xlfn.XLOOKUP(ROW(),Taxa_Saknas!$H:$H,Taxa_Saknas!$G:$G),""))</f>
        <v/>
      </c>
      <c r="H138" s="125" t="str">
        <f>IF($F138&lt;&gt;"",IFERROR(_xlfn.XLOOKUP($F138,Taxa_från_edp!$B:$B,Taxa_från_edp!C:C),""),"")</f>
        <v/>
      </c>
      <c r="I138" s="126" t="str">
        <f>IF($F138&lt;&gt;"",IFERROR(_xlfn.XLOOKUP($F138,Taxa_från_edp!$B:$B,Taxa_från_edp!G:G),""),"")</f>
        <v/>
      </c>
      <c r="J138" s="126" t="str">
        <f>IF($F138&lt;&gt;"",IFERROR(_xlfn.XLOOKUP($F138,Taxa_från_edp!$B:$B,Taxa_från_edp!K:K),""),"")</f>
        <v/>
      </c>
      <c r="K138" s="126"/>
      <c r="L138" s="126"/>
      <c r="M138" s="122" t="str">
        <f t="shared" si="4"/>
        <v/>
      </c>
      <c r="N138" s="123" t="str">
        <f t="shared" si="5"/>
        <v/>
      </c>
    </row>
    <row r="139" spans="1:14" ht="45" customHeight="1" x14ac:dyDescent="0.25">
      <c r="A139" s="118" t="s">
        <v>197</v>
      </c>
      <c r="B139" s="118" t="s">
        <v>198</v>
      </c>
      <c r="C139" s="118" t="s">
        <v>199</v>
      </c>
      <c r="D139" s="118"/>
      <c r="E139" s="118" t="s">
        <v>74</v>
      </c>
      <c r="F139" s="129"/>
      <c r="G139" s="134" t="str">
        <f>IF($F139&lt;&gt;"",$F139,IFERROR(_xlfn.XLOOKUP(ROW(),Taxa_Saknas!$H:$H,Taxa_Saknas!$G:$G),""))</f>
        <v/>
      </c>
      <c r="H139" s="141" t="str">
        <f>IF($F139&lt;&gt;"",IFERROR(_xlfn.XLOOKUP($F139,Taxa_från_edp!$B:$B,Taxa_från_edp!C:C),""),"")</f>
        <v/>
      </c>
      <c r="I139" s="142" t="str">
        <f>IF($F139&lt;&gt;"",IFERROR(_xlfn.XLOOKUP($F139,Taxa_från_edp!$B:$B,Taxa_från_edp!G:G),""),"")</f>
        <v/>
      </c>
      <c r="J139" s="143" t="str">
        <f>IF($F139&lt;&gt;"",IFERROR(_xlfn.XLOOKUP($F139,Taxa_från_edp!$B:$B,Taxa_från_edp!K:K),""),"")</f>
        <v/>
      </c>
      <c r="K139" s="149"/>
      <c r="L139" s="153"/>
      <c r="M139" s="156" t="str">
        <f t="shared" si="4"/>
        <v/>
      </c>
      <c r="N139" s="157" t="str">
        <f t="shared" si="5"/>
        <v/>
      </c>
    </row>
    <row r="140" spans="1:14" ht="45" customHeight="1" x14ac:dyDescent="0.25">
      <c r="A140" s="118" t="s">
        <v>197</v>
      </c>
      <c r="B140" s="118" t="s">
        <v>198</v>
      </c>
      <c r="C140" s="118" t="s">
        <v>200</v>
      </c>
      <c r="D140" s="118"/>
      <c r="E140" s="118" t="s">
        <v>74</v>
      </c>
      <c r="F140" s="127"/>
      <c r="G140" s="132" t="str">
        <f>IF($F140&lt;&gt;"",$F140,IFERROR(_xlfn.XLOOKUP(ROW(),Taxa_Saknas!$H:$H,Taxa_Saknas!$G:$G),""))</f>
        <v/>
      </c>
      <c r="H140" s="137" t="str">
        <f>IF($F140&lt;&gt;"",IFERROR(_xlfn.XLOOKUP($F140,Taxa_från_edp!$B:$B,Taxa_från_edp!C:C),""),"")</f>
        <v/>
      </c>
      <c r="I140" s="138" t="str">
        <f>IF($F140&lt;&gt;"",IFERROR(_xlfn.XLOOKUP($F140,Taxa_från_edp!$B:$B,Taxa_från_edp!G:G),""),"")</f>
        <v/>
      </c>
      <c r="J140" s="139" t="str">
        <f>IF($F140&lt;&gt;"",IFERROR(_xlfn.XLOOKUP($F140,Taxa_från_edp!$B:$B,Taxa_från_edp!K:K),""),"")</f>
        <v/>
      </c>
      <c r="K140" s="148"/>
      <c r="L140" s="152"/>
      <c r="M140" s="156" t="str">
        <f t="shared" si="4"/>
        <v/>
      </c>
      <c r="N140" s="157" t="str">
        <f t="shared" si="5"/>
        <v/>
      </c>
    </row>
    <row r="141" spans="1:14" ht="21.95" customHeight="1" x14ac:dyDescent="0.25">
      <c r="A141" s="183" t="s">
        <v>197</v>
      </c>
      <c r="B141" s="184"/>
      <c r="C141" s="184"/>
      <c r="D141" s="184"/>
      <c r="E141" s="185"/>
      <c r="F141" s="121"/>
      <c r="G141" s="125" t="str">
        <f>IF($F141&lt;&gt;"",$F141,IFERROR(_xlfn.XLOOKUP(ROW(),Taxa_Saknas!$H:$H,Taxa_Saknas!$G:$G),""))</f>
        <v/>
      </c>
      <c r="H141" s="125" t="str">
        <f>IF($F141&lt;&gt;"",IFERROR(_xlfn.XLOOKUP($F141,Taxa_från_edp!$B:$B,Taxa_från_edp!C:C),""),"")</f>
        <v/>
      </c>
      <c r="I141" s="126" t="str">
        <f>IF($F141&lt;&gt;"",IFERROR(_xlfn.XLOOKUP($F141,Taxa_från_edp!$B:$B,Taxa_från_edp!G:G),""),"")</f>
        <v/>
      </c>
      <c r="J141" s="126" t="str">
        <f>IF($F141&lt;&gt;"",IFERROR(_xlfn.XLOOKUP($F141,Taxa_från_edp!$B:$B,Taxa_från_edp!K:K),""),"")</f>
        <v/>
      </c>
      <c r="K141" s="126"/>
      <c r="L141" s="126"/>
      <c r="M141" s="122" t="str">
        <f t="shared" si="4"/>
        <v/>
      </c>
      <c r="N141" s="123" t="str">
        <f t="shared" si="5"/>
        <v/>
      </c>
    </row>
    <row r="142" spans="1:14" ht="21.95" customHeight="1" x14ac:dyDescent="0.25">
      <c r="A142" s="183" t="s">
        <v>201</v>
      </c>
      <c r="B142" s="184"/>
      <c r="C142" s="184"/>
      <c r="D142" s="184"/>
      <c r="E142" s="185"/>
      <c r="F142" s="121"/>
      <c r="G142" s="125" t="str">
        <f>IF($F142&lt;&gt;"",$F142,IFERROR(_xlfn.XLOOKUP(ROW(),Taxa_Saknas!$H:$H,Taxa_Saknas!$G:$G),""))</f>
        <v/>
      </c>
      <c r="H142" s="125" t="str">
        <f>IF($F142&lt;&gt;"",IFERROR(_xlfn.XLOOKUP($F142,Taxa_från_edp!$B:$B,Taxa_från_edp!C:C),""),"")</f>
        <v/>
      </c>
      <c r="I142" s="126" t="str">
        <f>IF($F142&lt;&gt;"",IFERROR(_xlfn.XLOOKUP($F142,Taxa_från_edp!$B:$B,Taxa_från_edp!G:G),""),"")</f>
        <v/>
      </c>
      <c r="J142" s="126" t="str">
        <f>IF($F142&lt;&gt;"",IFERROR(_xlfn.XLOOKUP($F142,Taxa_från_edp!$B:$B,Taxa_från_edp!K:K),""),"")</f>
        <v/>
      </c>
      <c r="K142" s="126"/>
      <c r="L142" s="126"/>
      <c r="M142" s="122" t="str">
        <f t="shared" si="4"/>
        <v/>
      </c>
      <c r="N142" s="123" t="str">
        <f t="shared" si="5"/>
        <v/>
      </c>
    </row>
    <row r="143" spans="1:14" x14ac:dyDescent="0.25">
      <c r="A143" s="186" t="s">
        <v>202</v>
      </c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8"/>
      <c r="M143" s="156" t="str">
        <f t="shared" si="4"/>
        <v/>
      </c>
      <c r="N143" s="157" t="str">
        <f t="shared" si="5"/>
        <v/>
      </c>
    </row>
    <row r="144" spans="1:14" x14ac:dyDescent="0.25">
      <c r="A144" s="118" t="s">
        <v>202</v>
      </c>
      <c r="B144" s="118" t="s">
        <v>203</v>
      </c>
      <c r="C144" s="118" t="s">
        <v>204</v>
      </c>
      <c r="D144" s="118" t="s">
        <v>205</v>
      </c>
      <c r="E144" s="118" t="s">
        <v>27</v>
      </c>
      <c r="F144" s="130"/>
      <c r="G144" s="135" t="str">
        <f>IF($F144&lt;&gt;"",$F144,IFERROR(_xlfn.XLOOKUP(ROW(),Taxa_Saknas!$H:$H,Taxa_Saknas!$G:$G),""))</f>
        <v/>
      </c>
      <c r="H144" s="144" t="str">
        <f>IF($F144&lt;&gt;"",IFERROR(_xlfn.XLOOKUP($F144,Taxa_från_edp!$B:$B,Taxa_från_edp!C:C),""),"")</f>
        <v/>
      </c>
      <c r="I144" s="145" t="str">
        <f>IF($F144&lt;&gt;"",IFERROR(_xlfn.XLOOKUP($F144,Taxa_från_edp!$B:$B,Taxa_från_edp!G:G),""),"")</f>
        <v/>
      </c>
      <c r="J144" s="145" t="str">
        <f>IF($F144&lt;&gt;"",IFERROR(_xlfn.XLOOKUP($F144,Taxa_från_edp!$B:$B,Taxa_från_edp!K:K),""),"")</f>
        <v/>
      </c>
      <c r="K144" s="150"/>
      <c r="L144" s="154"/>
      <c r="M144" s="156" t="str">
        <f t="shared" si="4"/>
        <v/>
      </c>
      <c r="N144" s="157" t="str">
        <f t="shared" si="5"/>
        <v/>
      </c>
    </row>
    <row r="145" spans="1:14" x14ac:dyDescent="0.25">
      <c r="A145" s="118" t="s">
        <v>202</v>
      </c>
      <c r="B145" s="118" t="s">
        <v>203</v>
      </c>
      <c r="C145" s="118" t="s">
        <v>204</v>
      </c>
      <c r="D145" s="118" t="s">
        <v>206</v>
      </c>
      <c r="E145" s="118" t="s">
        <v>27</v>
      </c>
      <c r="F145" s="129"/>
      <c r="G145" s="134" t="str">
        <f>IF($F145&lt;&gt;"",$F145,IFERROR(_xlfn.XLOOKUP(ROW(),Taxa_Saknas!$H:$H,Taxa_Saknas!$G:$G),""))</f>
        <v/>
      </c>
      <c r="H145" s="141" t="str">
        <f>IF($F145&lt;&gt;"",IFERROR(_xlfn.XLOOKUP($F145,Taxa_från_edp!$B:$B,Taxa_från_edp!C:C),""),"")</f>
        <v/>
      </c>
      <c r="I145" s="142" t="str">
        <f>IF($F145&lt;&gt;"",IFERROR(_xlfn.XLOOKUP($F145,Taxa_från_edp!$B:$B,Taxa_från_edp!G:G),""),"")</f>
        <v/>
      </c>
      <c r="J145" s="143" t="str">
        <f>IF($F145&lt;&gt;"",IFERROR(_xlfn.XLOOKUP($F145,Taxa_från_edp!$B:$B,Taxa_från_edp!K:K),""),"")</f>
        <v/>
      </c>
      <c r="K145" s="149"/>
      <c r="L145" s="153"/>
      <c r="M145" s="156" t="str">
        <f t="shared" si="4"/>
        <v/>
      </c>
      <c r="N145" s="157" t="str">
        <f t="shared" si="5"/>
        <v/>
      </c>
    </row>
    <row r="146" spans="1:14" ht="21.95" customHeight="1" x14ac:dyDescent="0.25">
      <c r="A146" s="183" t="s">
        <v>202</v>
      </c>
      <c r="B146" s="184"/>
      <c r="C146" s="184"/>
      <c r="D146" s="184"/>
      <c r="E146" s="185"/>
      <c r="F146" s="124"/>
      <c r="G146" s="122" t="str">
        <f>IF($F146&lt;&gt;"",$F146,IFERROR(_xlfn.XLOOKUP(ROW(),Taxa_Saknas!$H:$H,Taxa_Saknas!$G:$G),""))</f>
        <v/>
      </c>
      <c r="H146" s="122" t="str">
        <f>IF($F146&lt;&gt;"",IFERROR(_xlfn.XLOOKUP($F146,Taxa_från_edp!$B:$B,Taxa_från_edp!C:C),""),"")</f>
        <v/>
      </c>
      <c r="I146" s="122" t="str">
        <f>IF($F146&lt;&gt;"",IFERROR(_xlfn.XLOOKUP($F146,Taxa_från_edp!$B:$B,Taxa_från_edp!G:G),""),"")</f>
        <v/>
      </c>
      <c r="J146" s="122" t="str">
        <f>IF($F146&lt;&gt;"",IFERROR(_xlfn.XLOOKUP($F146,Taxa_från_edp!$B:$B,Taxa_från_edp!K:K),""),"")</f>
        <v/>
      </c>
      <c r="K146" s="122"/>
      <c r="L146" s="122"/>
      <c r="M146" s="122" t="str">
        <f t="shared" si="4"/>
        <v/>
      </c>
      <c r="N146" s="123" t="str">
        <f t="shared" si="5"/>
        <v/>
      </c>
    </row>
    <row r="147" spans="1:14" x14ac:dyDescent="0.25">
      <c r="A147" s="118" t="s">
        <v>202</v>
      </c>
      <c r="B147" s="118" t="s">
        <v>203</v>
      </c>
      <c r="C147" s="118" t="s">
        <v>207</v>
      </c>
      <c r="D147" s="118"/>
      <c r="E147" s="118" t="s">
        <v>27</v>
      </c>
      <c r="F147" s="130"/>
      <c r="G147" s="135" t="str">
        <f>IF($F147&lt;&gt;"",$F147,IFERROR(_xlfn.XLOOKUP(ROW(),Taxa_Saknas!$H:$H,Taxa_Saknas!$G:$G),""))</f>
        <v/>
      </c>
      <c r="H147" s="144" t="str">
        <f>IF($F147&lt;&gt;"",IFERROR(_xlfn.XLOOKUP($F147,Taxa_från_edp!$B:$B,Taxa_från_edp!C:C),""),"")</f>
        <v/>
      </c>
      <c r="I147" s="145" t="str">
        <f>IF($F147&lt;&gt;"",IFERROR(_xlfn.XLOOKUP($F147,Taxa_från_edp!$B:$B,Taxa_från_edp!G:G),""),"")</f>
        <v/>
      </c>
      <c r="J147" s="145" t="str">
        <f>IF($F147&lt;&gt;"",IFERROR(_xlfn.XLOOKUP($F147,Taxa_från_edp!$B:$B,Taxa_från_edp!K:K),""),"")</f>
        <v/>
      </c>
      <c r="K147" s="150"/>
      <c r="L147" s="154"/>
      <c r="M147" s="156" t="str">
        <f t="shared" si="4"/>
        <v/>
      </c>
      <c r="N147" s="157" t="str">
        <f t="shared" si="5"/>
        <v/>
      </c>
    </row>
    <row r="148" spans="1:14" ht="21.95" customHeight="1" x14ac:dyDescent="0.25">
      <c r="A148" s="183" t="s">
        <v>202</v>
      </c>
      <c r="B148" s="184"/>
      <c r="C148" s="184"/>
      <c r="D148" s="184"/>
      <c r="E148" s="185"/>
      <c r="F148" s="121"/>
      <c r="G148" s="125" t="str">
        <f>IF($F148&lt;&gt;"",$F148,IFERROR(_xlfn.XLOOKUP(ROW(),Taxa_Saknas!$H:$H,Taxa_Saknas!$G:$G),""))</f>
        <v/>
      </c>
      <c r="H148" s="125" t="str">
        <f>IF($F148&lt;&gt;"",IFERROR(_xlfn.XLOOKUP($F148,Taxa_från_edp!$B:$B,Taxa_från_edp!C:C),""),"")</f>
        <v/>
      </c>
      <c r="I148" s="126" t="str">
        <f>IF($F148&lt;&gt;"",IFERROR(_xlfn.XLOOKUP($F148,Taxa_från_edp!$B:$B,Taxa_från_edp!G:G),""),"")</f>
        <v/>
      </c>
      <c r="J148" s="126" t="str">
        <f>IF($F148&lt;&gt;"",IFERROR(_xlfn.XLOOKUP($F148,Taxa_från_edp!$B:$B,Taxa_från_edp!K:K),""),"")</f>
        <v/>
      </c>
      <c r="K148" s="126"/>
      <c r="L148" s="126"/>
      <c r="M148" s="122" t="str">
        <f t="shared" si="4"/>
        <v/>
      </c>
      <c r="N148" s="123" t="str">
        <f t="shared" si="5"/>
        <v/>
      </c>
    </row>
    <row r="149" spans="1:14" ht="21.95" customHeight="1" x14ac:dyDescent="0.25">
      <c r="A149" s="183" t="s">
        <v>208</v>
      </c>
      <c r="B149" s="184"/>
      <c r="C149" s="184"/>
      <c r="D149" s="184"/>
      <c r="E149" s="185"/>
      <c r="F149" s="121"/>
      <c r="G149" s="125" t="str">
        <f>IF($F149&lt;&gt;"",$F149,IFERROR(_xlfn.XLOOKUP(ROW(),Taxa_Saknas!$H:$H,Taxa_Saknas!$G:$G),""))</f>
        <v/>
      </c>
      <c r="H149" s="125" t="str">
        <f>IF($F149&lt;&gt;"",IFERROR(_xlfn.XLOOKUP($F149,Taxa_från_edp!$B:$B,Taxa_från_edp!C:C),""),"")</f>
        <v/>
      </c>
      <c r="I149" s="126" t="str">
        <f>IF($F149&lt;&gt;"",IFERROR(_xlfn.XLOOKUP($F149,Taxa_från_edp!$B:$B,Taxa_från_edp!G:G),""),"")</f>
        <v/>
      </c>
      <c r="J149" s="126" t="str">
        <f>IF($F149&lt;&gt;"",IFERROR(_xlfn.XLOOKUP($F149,Taxa_från_edp!$B:$B,Taxa_från_edp!K:K),""),"")</f>
        <v/>
      </c>
      <c r="K149" s="126"/>
      <c r="L149" s="126"/>
      <c r="M149" s="122" t="str">
        <f t="shared" si="4"/>
        <v/>
      </c>
      <c r="N149" s="123" t="str">
        <f t="shared" si="5"/>
        <v/>
      </c>
    </row>
    <row r="150" spans="1:14" x14ac:dyDescent="0.25">
      <c r="A150" s="118" t="s">
        <v>209</v>
      </c>
      <c r="B150" s="118" t="s">
        <v>210</v>
      </c>
      <c r="C150" s="118" t="s">
        <v>211</v>
      </c>
      <c r="D150" s="118"/>
      <c r="E150" s="118" t="s">
        <v>212</v>
      </c>
      <c r="F150" s="127"/>
      <c r="G150" s="132" t="str">
        <f>IF($F150&lt;&gt;"",$F150,IFERROR(_xlfn.XLOOKUP(ROW(),Taxa_Saknas!$H:$H,Taxa_Saknas!$G:$G),""))</f>
        <v/>
      </c>
      <c r="H150" s="137" t="str">
        <f>IF($F150&lt;&gt;"",IFERROR(_xlfn.XLOOKUP($F150,Taxa_från_edp!$B:$B,Taxa_från_edp!C:C),""),"")</f>
        <v/>
      </c>
      <c r="I150" s="138" t="str">
        <f>IF($F150&lt;&gt;"",IFERROR(_xlfn.XLOOKUP($F150,Taxa_från_edp!$B:$B,Taxa_från_edp!G:G),""),"")</f>
        <v/>
      </c>
      <c r="J150" s="139" t="str">
        <f>IF($F150&lt;&gt;"",IFERROR(_xlfn.XLOOKUP($F150,Taxa_från_edp!$B:$B,Taxa_från_edp!K:K),""),"")</f>
        <v/>
      </c>
      <c r="K150" s="148"/>
      <c r="L150" s="152"/>
      <c r="M150" s="156" t="str">
        <f t="shared" si="4"/>
        <v/>
      </c>
      <c r="N150" s="157" t="str">
        <f t="shared" si="5"/>
        <v/>
      </c>
    </row>
    <row r="151" spans="1:14" x14ac:dyDescent="0.25">
      <c r="A151" s="186" t="s">
        <v>209</v>
      </c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8"/>
      <c r="M151" s="156" t="str">
        <f t="shared" si="4"/>
        <v/>
      </c>
      <c r="N151" s="157" t="str">
        <f t="shared" si="5"/>
        <v/>
      </c>
    </row>
    <row r="152" spans="1:14" ht="45" customHeight="1" x14ac:dyDescent="0.25">
      <c r="A152" s="118" t="s">
        <v>209</v>
      </c>
      <c r="B152" s="118" t="s">
        <v>210</v>
      </c>
      <c r="C152" s="118" t="s">
        <v>175</v>
      </c>
      <c r="D152" s="118"/>
      <c r="E152" s="118" t="s">
        <v>212</v>
      </c>
      <c r="F152" s="131"/>
      <c r="G152" s="136" t="str">
        <f>IF($F152&lt;&gt;"",$F152,IFERROR(_xlfn.XLOOKUP(ROW(),Taxa_Saknas!$H:$H,Taxa_Saknas!$G:$G),""))</f>
        <v/>
      </c>
      <c r="H152" s="146" t="str">
        <f>IF($F152&lt;&gt;"",IFERROR(_xlfn.XLOOKUP($F152,Taxa_från_edp!$B:$B,Taxa_från_edp!C:C),""),"")</f>
        <v/>
      </c>
      <c r="I152" s="147" t="str">
        <f>IF($F152&lt;&gt;"",IFERROR(_xlfn.XLOOKUP($F152,Taxa_från_edp!$B:$B,Taxa_från_edp!G:G),""),"")</f>
        <v/>
      </c>
      <c r="J152" s="147" t="str">
        <f>IF($F152&lt;&gt;"",IFERROR(_xlfn.XLOOKUP($F152,Taxa_från_edp!$B:$B,Taxa_från_edp!K:K),""),"")</f>
        <v/>
      </c>
      <c r="K152" s="151"/>
      <c r="L152" s="155"/>
      <c r="M152" s="156" t="str">
        <f t="shared" si="4"/>
        <v/>
      </c>
      <c r="N152" s="157" t="str">
        <f t="shared" si="5"/>
        <v/>
      </c>
    </row>
    <row r="153" spans="1:14" ht="45" customHeight="1" x14ac:dyDescent="0.25">
      <c r="A153" s="118" t="s">
        <v>209</v>
      </c>
      <c r="B153" s="118" t="s">
        <v>210</v>
      </c>
      <c r="C153" s="118" t="s">
        <v>176</v>
      </c>
      <c r="D153" s="118"/>
      <c r="E153" s="118" t="s">
        <v>212</v>
      </c>
      <c r="F153" s="129"/>
      <c r="G153" s="134" t="str">
        <f>IF($F153&lt;&gt;"",$F153,IFERROR(_xlfn.XLOOKUP(ROW(),Taxa_Saknas!$H:$H,Taxa_Saknas!$G:$G),""))</f>
        <v/>
      </c>
      <c r="H153" s="141" t="str">
        <f>IF($F153&lt;&gt;"",IFERROR(_xlfn.XLOOKUP($F153,Taxa_från_edp!$B:$B,Taxa_från_edp!C:C),""),"")</f>
        <v/>
      </c>
      <c r="I153" s="142" t="str">
        <f>IF($F153&lt;&gt;"",IFERROR(_xlfn.XLOOKUP($F153,Taxa_från_edp!$B:$B,Taxa_från_edp!G:G),""),"")</f>
        <v/>
      </c>
      <c r="J153" s="143" t="str">
        <f>IF($F153&lt;&gt;"",IFERROR(_xlfn.XLOOKUP($F153,Taxa_från_edp!$B:$B,Taxa_från_edp!K:K),""),"")</f>
        <v/>
      </c>
      <c r="K153" s="149"/>
      <c r="L153" s="153"/>
      <c r="M153" s="156" t="str">
        <f t="shared" si="4"/>
        <v/>
      </c>
      <c r="N153" s="157" t="str">
        <f t="shared" si="5"/>
        <v/>
      </c>
    </row>
    <row r="154" spans="1:14" ht="21.95" customHeight="1" x14ac:dyDescent="0.25">
      <c r="A154" s="183" t="s">
        <v>209</v>
      </c>
      <c r="B154" s="184"/>
      <c r="C154" s="184"/>
      <c r="D154" s="184"/>
      <c r="E154" s="185"/>
      <c r="F154" s="121"/>
      <c r="G154" s="125" t="str">
        <f>IF($F154&lt;&gt;"",$F154,IFERROR(_xlfn.XLOOKUP(ROW(),Taxa_Saknas!$H:$H,Taxa_Saknas!$G:$G),""))</f>
        <v/>
      </c>
      <c r="H154" s="125" t="str">
        <f>IF($F154&lt;&gt;"",IFERROR(_xlfn.XLOOKUP($F154,Taxa_från_edp!$B:$B,Taxa_från_edp!C:C),""),"")</f>
        <v/>
      </c>
      <c r="I154" s="126" t="str">
        <f>IF($F154&lt;&gt;"",IFERROR(_xlfn.XLOOKUP($F154,Taxa_från_edp!$B:$B,Taxa_från_edp!G:G),""),"")</f>
        <v/>
      </c>
      <c r="J154" s="126" t="str">
        <f>IF($F154&lt;&gt;"",IFERROR(_xlfn.XLOOKUP($F154,Taxa_från_edp!$B:$B,Taxa_från_edp!K:K),""),"")</f>
        <v/>
      </c>
      <c r="K154" s="126"/>
      <c r="L154" s="126"/>
      <c r="M154" s="122" t="str">
        <f t="shared" si="4"/>
        <v/>
      </c>
      <c r="N154" s="123" t="str">
        <f t="shared" si="5"/>
        <v/>
      </c>
    </row>
    <row r="155" spans="1:14" ht="21.95" customHeight="1" x14ac:dyDescent="0.25">
      <c r="A155" s="183" t="s">
        <v>209</v>
      </c>
      <c r="B155" s="184"/>
      <c r="C155" s="184"/>
      <c r="D155" s="184"/>
      <c r="E155" s="185"/>
      <c r="F155" s="121"/>
      <c r="G155" s="125" t="str">
        <f>IF($F155&lt;&gt;"",$F155,IFERROR(_xlfn.XLOOKUP(ROW(),Taxa_Saknas!$H:$H,Taxa_Saknas!$G:$G),""))</f>
        <v/>
      </c>
      <c r="H155" s="125" t="str">
        <f>IF($F155&lt;&gt;"",IFERROR(_xlfn.XLOOKUP($F155,Taxa_från_edp!$B:$B,Taxa_från_edp!C:C),""),"")</f>
        <v/>
      </c>
      <c r="I155" s="126" t="str">
        <f>IF($F155&lt;&gt;"",IFERROR(_xlfn.XLOOKUP($F155,Taxa_från_edp!$B:$B,Taxa_från_edp!G:G),""),"")</f>
        <v/>
      </c>
      <c r="J155" s="126" t="str">
        <f>IF($F155&lt;&gt;"",IFERROR(_xlfn.XLOOKUP($F155,Taxa_från_edp!$B:$B,Taxa_från_edp!K:K),""),"")</f>
        <v/>
      </c>
      <c r="K155" s="126"/>
      <c r="L155" s="126"/>
      <c r="M155" s="122" t="str">
        <f t="shared" si="4"/>
        <v/>
      </c>
      <c r="N155" s="123" t="str">
        <f t="shared" si="5"/>
        <v/>
      </c>
    </row>
    <row r="156" spans="1:14" ht="21.95" customHeight="1" x14ac:dyDescent="0.25">
      <c r="A156" s="183" t="s">
        <v>213</v>
      </c>
      <c r="B156" s="184"/>
      <c r="C156" s="184"/>
      <c r="D156" s="184"/>
      <c r="E156" s="185"/>
      <c r="F156" s="124"/>
      <c r="G156" s="122" t="str">
        <f>IF($F156&lt;&gt;"",$F156,IFERROR(_xlfn.XLOOKUP(ROW(),Taxa_Saknas!$H:$H,Taxa_Saknas!$G:$G),""))</f>
        <v/>
      </c>
      <c r="H156" s="122" t="str">
        <f>IF($F156&lt;&gt;"",IFERROR(_xlfn.XLOOKUP($F156,Taxa_från_edp!$B:$B,Taxa_från_edp!C:C),""),"")</f>
        <v/>
      </c>
      <c r="I156" s="122" t="str">
        <f>IF($F156&lt;&gt;"",IFERROR(_xlfn.XLOOKUP($F156,Taxa_från_edp!$B:$B,Taxa_från_edp!G:G),""),"")</f>
        <v/>
      </c>
      <c r="J156" s="122" t="str">
        <f>IF($F156&lt;&gt;"",IFERROR(_xlfn.XLOOKUP($F156,Taxa_från_edp!$B:$B,Taxa_från_edp!K:K),""),"")</f>
        <v/>
      </c>
      <c r="K156" s="122"/>
      <c r="L156" s="122"/>
      <c r="M156" s="122" t="str">
        <f t="shared" si="4"/>
        <v/>
      </c>
      <c r="N156" s="123" t="str">
        <f t="shared" si="5"/>
        <v/>
      </c>
    </row>
    <row r="157" spans="1:14" x14ac:dyDescent="0.25">
      <c r="A157" s="118" t="s">
        <v>214</v>
      </c>
      <c r="B157" s="118" t="s">
        <v>215</v>
      </c>
      <c r="C157" s="118" t="s">
        <v>216</v>
      </c>
      <c r="D157" s="118"/>
      <c r="E157" s="118" t="s">
        <v>74</v>
      </c>
      <c r="F157" s="131"/>
      <c r="G157" s="136" t="str">
        <f>IF($F157&lt;&gt;"",$F157,IFERROR(_xlfn.XLOOKUP(ROW(),Taxa_Saknas!$H:$H,Taxa_Saknas!$G:$G),""))</f>
        <v/>
      </c>
      <c r="H157" s="146" t="str">
        <f>IF($F157&lt;&gt;"",IFERROR(_xlfn.XLOOKUP($F157,Taxa_från_edp!$B:$B,Taxa_från_edp!C:C),""),"")</f>
        <v/>
      </c>
      <c r="I157" s="147" t="str">
        <f>IF($F157&lt;&gt;"",IFERROR(_xlfn.XLOOKUP($F157,Taxa_från_edp!$B:$B,Taxa_från_edp!G:G),""),"")</f>
        <v/>
      </c>
      <c r="J157" s="147" t="str">
        <f>IF($F157&lt;&gt;"",IFERROR(_xlfn.XLOOKUP($F157,Taxa_från_edp!$B:$B,Taxa_från_edp!K:K),""),"")</f>
        <v/>
      </c>
      <c r="K157" s="151"/>
      <c r="L157" s="155"/>
      <c r="M157" s="156" t="str">
        <f t="shared" si="4"/>
        <v/>
      </c>
      <c r="N157" s="157" t="str">
        <f t="shared" si="5"/>
        <v/>
      </c>
    </row>
    <row r="158" spans="1:14" ht="60" customHeight="1" x14ac:dyDescent="0.25">
      <c r="A158" s="118" t="s">
        <v>214</v>
      </c>
      <c r="B158" s="118" t="s">
        <v>215</v>
      </c>
      <c r="C158" s="118" t="s">
        <v>217</v>
      </c>
      <c r="D158" s="118"/>
      <c r="E158" s="118" t="s">
        <v>74</v>
      </c>
      <c r="F158" s="129"/>
      <c r="G158" s="134" t="str">
        <f>IF($F158&lt;&gt;"",$F158,IFERROR(_xlfn.XLOOKUP(ROW(),Taxa_Saknas!$H:$H,Taxa_Saknas!$G:$G),""))</f>
        <v/>
      </c>
      <c r="H158" s="141" t="str">
        <f>IF($F158&lt;&gt;"",IFERROR(_xlfn.XLOOKUP($F158,Taxa_från_edp!$B:$B,Taxa_från_edp!C:C),""),"")</f>
        <v/>
      </c>
      <c r="I158" s="142" t="str">
        <f>IF($F158&lt;&gt;"",IFERROR(_xlfn.XLOOKUP($F158,Taxa_från_edp!$B:$B,Taxa_från_edp!G:G),""),"")</f>
        <v/>
      </c>
      <c r="J158" s="143" t="str">
        <f>IF($F158&lt;&gt;"",IFERROR(_xlfn.XLOOKUP($F158,Taxa_från_edp!$B:$B,Taxa_från_edp!K:K),""),"")</f>
        <v/>
      </c>
      <c r="K158" s="149"/>
      <c r="L158" s="153"/>
      <c r="M158" s="156" t="str">
        <f t="shared" si="4"/>
        <v/>
      </c>
      <c r="N158" s="157" t="str">
        <f t="shared" si="5"/>
        <v/>
      </c>
    </row>
    <row r="159" spans="1:14" ht="21.95" customHeight="1" x14ac:dyDescent="0.25">
      <c r="A159" s="183" t="s">
        <v>214</v>
      </c>
      <c r="B159" s="184"/>
      <c r="C159" s="184"/>
      <c r="D159" s="184"/>
      <c r="E159" s="185"/>
      <c r="F159" s="121"/>
      <c r="G159" s="125" t="str">
        <f>IF($F159&lt;&gt;"",$F159,IFERROR(_xlfn.XLOOKUP(ROW(),Taxa_Saknas!$H:$H,Taxa_Saknas!$G:$G),""))</f>
        <v/>
      </c>
      <c r="H159" s="125" t="str">
        <f>IF($F159&lt;&gt;"",IFERROR(_xlfn.XLOOKUP($F159,Taxa_från_edp!$B:$B,Taxa_från_edp!C:C),""),"")</f>
        <v/>
      </c>
      <c r="I159" s="126" t="str">
        <f>IF($F159&lt;&gt;"",IFERROR(_xlfn.XLOOKUP($F159,Taxa_från_edp!$B:$B,Taxa_från_edp!G:G),""),"")</f>
        <v/>
      </c>
      <c r="J159" s="126" t="str">
        <f>IF($F159&lt;&gt;"",IFERROR(_xlfn.XLOOKUP($F159,Taxa_från_edp!$B:$B,Taxa_från_edp!K:K),""),"")</f>
        <v/>
      </c>
      <c r="K159" s="126"/>
      <c r="L159" s="126"/>
      <c r="M159" s="122" t="str">
        <f t="shared" si="4"/>
        <v/>
      </c>
      <c r="N159" s="123" t="str">
        <f t="shared" si="5"/>
        <v/>
      </c>
    </row>
    <row r="160" spans="1:14" ht="21.95" customHeight="1" x14ac:dyDescent="0.25">
      <c r="A160" s="183" t="s">
        <v>214</v>
      </c>
      <c r="B160" s="184"/>
      <c r="C160" s="184"/>
      <c r="D160" s="184"/>
      <c r="E160" s="185"/>
      <c r="F160" s="121"/>
      <c r="G160" s="125" t="str">
        <f>IF($F160&lt;&gt;"",$F160,IFERROR(_xlfn.XLOOKUP(ROW(),Taxa_Saknas!$H:$H,Taxa_Saknas!$G:$G),""))</f>
        <v/>
      </c>
      <c r="H160" s="125" t="str">
        <f>IF($F160&lt;&gt;"",IFERROR(_xlfn.XLOOKUP($F160,Taxa_från_edp!$B:$B,Taxa_från_edp!C:C),""),"")</f>
        <v/>
      </c>
      <c r="I160" s="126" t="str">
        <f>IF($F160&lt;&gt;"",IFERROR(_xlfn.XLOOKUP($F160,Taxa_från_edp!$B:$B,Taxa_från_edp!G:G),""),"")</f>
        <v/>
      </c>
      <c r="J160" s="126" t="str">
        <f>IF($F160&lt;&gt;"",IFERROR(_xlfn.XLOOKUP($F160,Taxa_från_edp!$B:$B,Taxa_från_edp!K:K),""),"")</f>
        <v/>
      </c>
      <c r="K160" s="126"/>
      <c r="L160" s="126"/>
      <c r="M160" s="122" t="str">
        <f t="shared" si="4"/>
        <v/>
      </c>
      <c r="N160" s="123" t="str">
        <f t="shared" si="5"/>
        <v/>
      </c>
    </row>
    <row r="161" spans="1:14" ht="21.95" customHeight="1" x14ac:dyDescent="0.25">
      <c r="A161" s="183" t="s">
        <v>218</v>
      </c>
      <c r="B161" s="184"/>
      <c r="C161" s="184"/>
      <c r="D161" s="184"/>
      <c r="E161" s="185"/>
      <c r="F161" s="121"/>
      <c r="G161" s="125" t="str">
        <f>IF($F161&lt;&gt;"",$F161,IFERROR(_xlfn.XLOOKUP(ROW(),Taxa_Saknas!$H:$H,Taxa_Saknas!$G:$G),""))</f>
        <v/>
      </c>
      <c r="H161" s="125" t="str">
        <f>IF($F161&lt;&gt;"",IFERROR(_xlfn.XLOOKUP($F161,Taxa_från_edp!$B:$B,Taxa_från_edp!C:C),""),"")</f>
        <v/>
      </c>
      <c r="I161" s="126" t="str">
        <f>IF($F161&lt;&gt;"",IFERROR(_xlfn.XLOOKUP($F161,Taxa_från_edp!$B:$B,Taxa_från_edp!G:G),""),"")</f>
        <v/>
      </c>
      <c r="J161" s="126" t="str">
        <f>IF($F161&lt;&gt;"",IFERROR(_xlfn.XLOOKUP($F161,Taxa_från_edp!$B:$B,Taxa_från_edp!K:K),""),"")</f>
        <v/>
      </c>
      <c r="K161" s="126"/>
      <c r="L161" s="126"/>
      <c r="M161" s="122" t="str">
        <f t="shared" si="4"/>
        <v/>
      </c>
      <c r="N161" s="123" t="str">
        <f t="shared" si="5"/>
        <v/>
      </c>
    </row>
    <row r="162" spans="1:14" ht="30" customHeight="1" x14ac:dyDescent="0.25">
      <c r="A162" s="118" t="s">
        <v>219</v>
      </c>
      <c r="B162" s="118" t="s">
        <v>220</v>
      </c>
      <c r="C162" s="118" t="s">
        <v>221</v>
      </c>
      <c r="D162" s="118"/>
      <c r="E162" s="118" t="s">
        <v>222</v>
      </c>
      <c r="F162" s="129"/>
      <c r="G162" s="134" t="str">
        <f>IF($F162&lt;&gt;"",$F162,IFERROR(_xlfn.XLOOKUP(ROW(),Taxa_Saknas!$H:$H,Taxa_Saknas!$G:$G),""))</f>
        <v/>
      </c>
      <c r="H162" s="141" t="str">
        <f>IF($F162&lt;&gt;"",IFERROR(_xlfn.XLOOKUP($F162,Taxa_från_edp!$B:$B,Taxa_från_edp!C:C),""),"")</f>
        <v/>
      </c>
      <c r="I162" s="142" t="str">
        <f>IF($F162&lt;&gt;"",IFERROR(_xlfn.XLOOKUP($F162,Taxa_från_edp!$B:$B,Taxa_från_edp!G:G),""),"")</f>
        <v/>
      </c>
      <c r="J162" s="143" t="str">
        <f>IF($F162&lt;&gt;"",IFERROR(_xlfn.XLOOKUP($F162,Taxa_från_edp!$B:$B,Taxa_från_edp!K:K),""),"")</f>
        <v/>
      </c>
      <c r="K162" s="149"/>
      <c r="L162" s="153"/>
      <c r="M162" s="156" t="str">
        <f t="shared" si="4"/>
        <v/>
      </c>
      <c r="N162" s="157" t="str">
        <f t="shared" si="5"/>
        <v/>
      </c>
    </row>
    <row r="163" spans="1:14" x14ac:dyDescent="0.25">
      <c r="A163" s="186" t="s">
        <v>219</v>
      </c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8"/>
      <c r="M163" s="156" t="str">
        <f t="shared" si="4"/>
        <v/>
      </c>
      <c r="N163" s="157" t="str">
        <f t="shared" si="5"/>
        <v/>
      </c>
    </row>
    <row r="164" spans="1:14" ht="21.95" customHeight="1" x14ac:dyDescent="0.25">
      <c r="A164" s="183" t="s">
        <v>219</v>
      </c>
      <c r="B164" s="184"/>
      <c r="C164" s="184"/>
      <c r="D164" s="184"/>
      <c r="E164" s="185"/>
      <c r="F164" s="121"/>
      <c r="G164" s="125" t="str">
        <f>IF($F164&lt;&gt;"",$F164,IFERROR(_xlfn.XLOOKUP(ROW(),Taxa_Saknas!$H:$H,Taxa_Saknas!$G:$G),""))</f>
        <v/>
      </c>
      <c r="H164" s="125" t="str">
        <f>IF($F164&lt;&gt;"",IFERROR(_xlfn.XLOOKUP($F164,Taxa_från_edp!$B:$B,Taxa_från_edp!C:C),""),"")</f>
        <v/>
      </c>
      <c r="I164" s="126" t="str">
        <f>IF($F164&lt;&gt;"",IFERROR(_xlfn.XLOOKUP($F164,Taxa_från_edp!$B:$B,Taxa_från_edp!G:G),""),"")</f>
        <v/>
      </c>
      <c r="J164" s="126" t="str">
        <f>IF($F164&lt;&gt;"",IFERROR(_xlfn.XLOOKUP($F164,Taxa_från_edp!$B:$B,Taxa_från_edp!K:K),""),"")</f>
        <v/>
      </c>
      <c r="K164" s="126"/>
      <c r="L164" s="126"/>
      <c r="M164" s="122" t="str">
        <f t="shared" si="4"/>
        <v/>
      </c>
      <c r="N164" s="123" t="str">
        <f t="shared" si="5"/>
        <v/>
      </c>
    </row>
    <row r="165" spans="1:14" ht="21.95" customHeight="1" x14ac:dyDescent="0.25">
      <c r="A165" s="183" t="s">
        <v>223</v>
      </c>
      <c r="B165" s="184"/>
      <c r="C165" s="184"/>
      <c r="D165" s="184"/>
      <c r="E165" s="185"/>
      <c r="F165" s="121"/>
      <c r="G165" s="125" t="str">
        <f>IF($F165&lt;&gt;"",$F165,IFERROR(_xlfn.XLOOKUP(ROW(),Taxa_Saknas!$H:$H,Taxa_Saknas!$G:$G),""))</f>
        <v/>
      </c>
      <c r="H165" s="125" t="str">
        <f>IF($F165&lt;&gt;"",IFERROR(_xlfn.XLOOKUP($F165,Taxa_från_edp!$B:$B,Taxa_från_edp!C:C),""),"")</f>
        <v/>
      </c>
      <c r="I165" s="126" t="str">
        <f>IF($F165&lt;&gt;"",IFERROR(_xlfn.XLOOKUP($F165,Taxa_från_edp!$B:$B,Taxa_från_edp!G:G),""),"")</f>
        <v/>
      </c>
      <c r="J165" s="126" t="str">
        <f>IF($F165&lt;&gt;"",IFERROR(_xlfn.XLOOKUP($F165,Taxa_från_edp!$B:$B,Taxa_från_edp!K:K),""),"")</f>
        <v/>
      </c>
      <c r="K165" s="126"/>
      <c r="L165" s="126"/>
      <c r="M165" s="122" t="str">
        <f t="shared" si="4"/>
        <v/>
      </c>
      <c r="N165" s="123" t="str">
        <f t="shared" si="5"/>
        <v/>
      </c>
    </row>
    <row r="166" spans="1:14" ht="21.95" customHeight="1" x14ac:dyDescent="0.25">
      <c r="A166" s="183" t="s">
        <v>224</v>
      </c>
      <c r="B166" s="184"/>
      <c r="C166" s="184"/>
      <c r="D166" s="184"/>
      <c r="E166" s="185"/>
      <c r="F166" s="121"/>
      <c r="G166" s="125" t="str">
        <f>IF($F166&lt;&gt;"",$F166,IFERROR(_xlfn.XLOOKUP(ROW(),Taxa_Saknas!$H:$H,Taxa_Saknas!$G:$G),""))</f>
        <v/>
      </c>
      <c r="H166" s="125" t="str">
        <f>IF($F166&lt;&gt;"",IFERROR(_xlfn.XLOOKUP($F166,Taxa_från_edp!$B:$B,Taxa_från_edp!C:C),""),"")</f>
        <v/>
      </c>
      <c r="I166" s="126" t="str">
        <f>IF($F166&lt;&gt;"",IFERROR(_xlfn.XLOOKUP($F166,Taxa_från_edp!$B:$B,Taxa_från_edp!G:G),""),"")</f>
        <v/>
      </c>
      <c r="J166" s="126" t="str">
        <f>IF($F166&lt;&gt;"",IFERROR(_xlfn.XLOOKUP($F166,Taxa_från_edp!$B:$B,Taxa_från_edp!K:K),""),"")</f>
        <v/>
      </c>
      <c r="K166" s="126"/>
      <c r="L166" s="126"/>
      <c r="M166" s="122" t="str">
        <f t="shared" si="4"/>
        <v/>
      </c>
      <c r="N166" s="123" t="str">
        <f t="shared" si="5"/>
        <v/>
      </c>
    </row>
    <row r="167" spans="1:14" x14ac:dyDescent="0.25">
      <c r="A167" s="118" t="s">
        <v>224</v>
      </c>
      <c r="B167" s="118" t="s">
        <v>225</v>
      </c>
      <c r="C167" s="118" t="s">
        <v>226</v>
      </c>
      <c r="D167" s="118"/>
      <c r="E167" s="118" t="s">
        <v>227</v>
      </c>
      <c r="F167" s="129"/>
      <c r="G167" s="134" t="str">
        <f>IF($F167&lt;&gt;"",$F167,IFERROR(_xlfn.XLOOKUP(ROW(),Taxa_Saknas!$H:$H,Taxa_Saknas!$G:$G),""))</f>
        <v/>
      </c>
      <c r="H167" s="141" t="str">
        <f>IF($F167&lt;&gt;"",IFERROR(_xlfn.XLOOKUP($F167,Taxa_från_edp!$B:$B,Taxa_från_edp!C:C),""),"")</f>
        <v/>
      </c>
      <c r="I167" s="142" t="str">
        <f>IF($F167&lt;&gt;"",IFERROR(_xlfn.XLOOKUP($F167,Taxa_från_edp!$B:$B,Taxa_från_edp!G:G),""),"")</f>
        <v/>
      </c>
      <c r="J167" s="143" t="str">
        <f>IF($F167&lt;&gt;"",IFERROR(_xlfn.XLOOKUP($F167,Taxa_från_edp!$B:$B,Taxa_från_edp!K:K),""),"")</f>
        <v/>
      </c>
      <c r="K167" s="149"/>
      <c r="L167" s="153"/>
      <c r="M167" s="156" t="str">
        <f t="shared" si="4"/>
        <v/>
      </c>
      <c r="N167" s="157" t="str">
        <f t="shared" si="5"/>
        <v/>
      </c>
    </row>
    <row r="168" spans="1:14" ht="105" customHeight="1" x14ac:dyDescent="0.25">
      <c r="A168" s="118" t="s">
        <v>224</v>
      </c>
      <c r="B168" s="118" t="s">
        <v>225</v>
      </c>
      <c r="C168" s="118" t="s">
        <v>228</v>
      </c>
      <c r="D168" s="118"/>
      <c r="E168" s="118" t="s">
        <v>229</v>
      </c>
      <c r="F168" s="129"/>
      <c r="G168" s="134" t="str">
        <f>IF($F168&lt;&gt;"",$F168,IFERROR(_xlfn.XLOOKUP(ROW(),Taxa_Saknas!$H:$H,Taxa_Saknas!$G:$G),""))</f>
        <v/>
      </c>
      <c r="H168" s="141" t="str">
        <f>IF($F168&lt;&gt;"",IFERROR(_xlfn.XLOOKUP($F168,Taxa_från_edp!$B:$B,Taxa_från_edp!C:C),""),"")</f>
        <v/>
      </c>
      <c r="I168" s="142" t="str">
        <f>IF($F168&lt;&gt;"",IFERROR(_xlfn.XLOOKUP($F168,Taxa_från_edp!$B:$B,Taxa_från_edp!G:G),""),"")</f>
        <v/>
      </c>
      <c r="J168" s="143" t="str">
        <f>IF($F168&lt;&gt;"",IFERROR(_xlfn.XLOOKUP($F168,Taxa_från_edp!$B:$B,Taxa_från_edp!K:K),""),"")</f>
        <v/>
      </c>
      <c r="K168" s="149"/>
      <c r="L168" s="153"/>
      <c r="M168" s="156" t="str">
        <f t="shared" si="4"/>
        <v/>
      </c>
      <c r="N168" s="157" t="str">
        <f t="shared" si="5"/>
        <v/>
      </c>
    </row>
    <row r="169" spans="1:14" ht="30" customHeight="1" x14ac:dyDescent="0.25">
      <c r="A169" s="118" t="s">
        <v>224</v>
      </c>
      <c r="B169" s="118" t="s">
        <v>225</v>
      </c>
      <c r="C169" s="118" t="s">
        <v>230</v>
      </c>
      <c r="D169" s="118"/>
      <c r="E169" s="118" t="s">
        <v>229</v>
      </c>
      <c r="F169" s="127"/>
      <c r="G169" s="132" t="str">
        <f>IF($F169&lt;&gt;"",$F169,IFERROR(_xlfn.XLOOKUP(ROW(),Taxa_Saknas!$H:$H,Taxa_Saknas!$G:$G),""))</f>
        <v/>
      </c>
      <c r="H169" s="137" t="str">
        <f>IF($F169&lt;&gt;"",IFERROR(_xlfn.XLOOKUP($F169,Taxa_från_edp!$B:$B,Taxa_från_edp!C:C),""),"")</f>
        <v/>
      </c>
      <c r="I169" s="138" t="str">
        <f>IF($F169&lt;&gt;"",IFERROR(_xlfn.XLOOKUP($F169,Taxa_från_edp!$B:$B,Taxa_från_edp!G:G),""),"")</f>
        <v/>
      </c>
      <c r="J169" s="139" t="str">
        <f>IF($F169&lt;&gt;"",IFERROR(_xlfn.XLOOKUP($F169,Taxa_från_edp!$B:$B,Taxa_från_edp!K:K),""),"")</f>
        <v/>
      </c>
      <c r="K169" s="148"/>
      <c r="L169" s="152"/>
      <c r="M169" s="156" t="str">
        <f t="shared" si="4"/>
        <v/>
      </c>
      <c r="N169" s="157" t="str">
        <f t="shared" si="5"/>
        <v/>
      </c>
    </row>
    <row r="170" spans="1:14" ht="21.95" customHeight="1" x14ac:dyDescent="0.25">
      <c r="A170" s="183" t="s">
        <v>224</v>
      </c>
      <c r="B170" s="184"/>
      <c r="C170" s="184"/>
      <c r="D170" s="184"/>
      <c r="E170" s="185"/>
      <c r="F170" s="121"/>
      <c r="G170" s="125" t="str">
        <f>IF($F170&lt;&gt;"",$F170,IFERROR(_xlfn.XLOOKUP(ROW(),Taxa_Saknas!$H:$H,Taxa_Saknas!$G:$G),""))</f>
        <v/>
      </c>
      <c r="H170" s="125" t="str">
        <f>IF($F170&lt;&gt;"",IFERROR(_xlfn.XLOOKUP($F170,Taxa_från_edp!$B:$B,Taxa_från_edp!C:C),""),"")</f>
        <v/>
      </c>
      <c r="I170" s="126" t="str">
        <f>IF($F170&lt;&gt;"",IFERROR(_xlfn.XLOOKUP($F170,Taxa_från_edp!$B:$B,Taxa_från_edp!G:G),""),"")</f>
        <v/>
      </c>
      <c r="J170" s="126" t="str">
        <f>IF($F170&lt;&gt;"",IFERROR(_xlfn.XLOOKUP($F170,Taxa_från_edp!$B:$B,Taxa_från_edp!K:K),""),"")</f>
        <v/>
      </c>
      <c r="K170" s="126"/>
      <c r="L170" s="126"/>
      <c r="M170" s="122" t="str">
        <f t="shared" si="4"/>
        <v/>
      </c>
      <c r="N170" s="123" t="str">
        <f t="shared" si="5"/>
        <v/>
      </c>
    </row>
    <row r="171" spans="1:14" ht="21.95" customHeight="1" x14ac:dyDescent="0.25">
      <c r="A171" s="183" t="s">
        <v>231</v>
      </c>
      <c r="B171" s="184"/>
      <c r="C171" s="184"/>
      <c r="D171" s="184"/>
      <c r="E171" s="185"/>
      <c r="F171" s="121"/>
      <c r="G171" s="125" t="str">
        <f>IF($F171&lt;&gt;"",$F171,IFERROR(_xlfn.XLOOKUP(ROW(),Taxa_Saknas!$H:$H,Taxa_Saknas!$G:$G),""))</f>
        <v/>
      </c>
      <c r="H171" s="125" t="str">
        <f>IF($F171&lt;&gt;"",IFERROR(_xlfn.XLOOKUP($F171,Taxa_från_edp!$B:$B,Taxa_från_edp!C:C),""),"")</f>
        <v/>
      </c>
      <c r="I171" s="126" t="str">
        <f>IF($F171&lt;&gt;"",IFERROR(_xlfn.XLOOKUP($F171,Taxa_från_edp!$B:$B,Taxa_från_edp!G:G),""),"")</f>
        <v/>
      </c>
      <c r="J171" s="126" t="str">
        <f>IF($F171&lt;&gt;"",IFERROR(_xlfn.XLOOKUP($F171,Taxa_från_edp!$B:$B,Taxa_från_edp!K:K),""),"")</f>
        <v/>
      </c>
      <c r="K171" s="126"/>
      <c r="L171" s="126"/>
      <c r="M171" s="122" t="str">
        <f t="shared" si="4"/>
        <v/>
      </c>
      <c r="N171" s="123" t="str">
        <f t="shared" si="5"/>
        <v/>
      </c>
    </row>
    <row r="172" spans="1:14" ht="30" customHeight="1" x14ac:dyDescent="0.25">
      <c r="A172" s="118" t="s">
        <v>232</v>
      </c>
      <c r="B172" s="118" t="s">
        <v>233</v>
      </c>
      <c r="C172" s="118" t="s">
        <v>234</v>
      </c>
      <c r="D172" s="118"/>
      <c r="E172" s="118" t="s">
        <v>74</v>
      </c>
      <c r="F172" s="127"/>
      <c r="G172" s="132" t="str">
        <f>IF($F172&lt;&gt;"",$F172,IFERROR(_xlfn.XLOOKUP(ROW(),Taxa_Saknas!$H:$H,Taxa_Saknas!$G:$G),""))</f>
        <v/>
      </c>
      <c r="H172" s="137" t="str">
        <f>IF($F172&lt;&gt;"",IFERROR(_xlfn.XLOOKUP($F172,Taxa_från_edp!$B:$B,Taxa_från_edp!C:C),""),"")</f>
        <v/>
      </c>
      <c r="I172" s="138" t="str">
        <f>IF($F172&lt;&gt;"",IFERROR(_xlfn.XLOOKUP($F172,Taxa_från_edp!$B:$B,Taxa_från_edp!G:G),""),"")</f>
        <v/>
      </c>
      <c r="J172" s="139" t="str">
        <f>IF($F172&lt;&gt;"",IFERROR(_xlfn.XLOOKUP($F172,Taxa_från_edp!$B:$B,Taxa_från_edp!K:K),""),"")</f>
        <v/>
      </c>
      <c r="K172" s="148"/>
      <c r="L172" s="152"/>
      <c r="M172" s="156" t="str">
        <f t="shared" si="4"/>
        <v/>
      </c>
      <c r="N172" s="157" t="str">
        <f t="shared" si="5"/>
        <v/>
      </c>
    </row>
    <row r="173" spans="1:14" ht="30" x14ac:dyDescent="0.25">
      <c r="A173" s="118" t="s">
        <v>232</v>
      </c>
      <c r="B173" s="118" t="s">
        <v>233</v>
      </c>
      <c r="C173" s="118" t="s">
        <v>235</v>
      </c>
      <c r="D173" s="118"/>
      <c r="E173" s="118" t="s">
        <v>74</v>
      </c>
      <c r="F173" s="129"/>
      <c r="G173" s="134" t="str">
        <f>IF($F173&lt;&gt;"",$F173,IFERROR(_xlfn.XLOOKUP(ROW(),Taxa_Saknas!$H:$H,Taxa_Saknas!$G:$G),""))</f>
        <v/>
      </c>
      <c r="H173" s="141" t="str">
        <f>IF($F173&lt;&gt;"",IFERROR(_xlfn.XLOOKUP($F173,Taxa_från_edp!$B:$B,Taxa_från_edp!C:C),""),"")</f>
        <v/>
      </c>
      <c r="I173" s="142" t="str">
        <f>IF($F173&lt;&gt;"",IFERROR(_xlfn.XLOOKUP($F173,Taxa_från_edp!$B:$B,Taxa_från_edp!G:G),""),"")</f>
        <v/>
      </c>
      <c r="J173" s="143" t="str">
        <f>IF($F173&lt;&gt;"",IFERROR(_xlfn.XLOOKUP($F173,Taxa_från_edp!$B:$B,Taxa_från_edp!K:K),""),"")</f>
        <v/>
      </c>
      <c r="K173" s="149"/>
      <c r="L173" s="153"/>
      <c r="M173" s="156" t="str">
        <f t="shared" si="4"/>
        <v/>
      </c>
      <c r="N173" s="157" t="str">
        <f t="shared" si="5"/>
        <v/>
      </c>
    </row>
    <row r="174" spans="1:14" ht="30" customHeight="1" x14ac:dyDescent="0.25">
      <c r="A174" s="118" t="s">
        <v>232</v>
      </c>
      <c r="B174" s="118" t="s">
        <v>233</v>
      </c>
      <c r="C174" s="118" t="s">
        <v>236</v>
      </c>
      <c r="D174" s="118"/>
      <c r="E174" s="118" t="s">
        <v>74</v>
      </c>
      <c r="F174" s="129"/>
      <c r="G174" s="134" t="str">
        <f>IF($F174&lt;&gt;"",$F174,IFERROR(_xlfn.XLOOKUP(ROW(),Taxa_Saknas!$H:$H,Taxa_Saknas!$G:$G),""))</f>
        <v/>
      </c>
      <c r="H174" s="141" t="str">
        <f>IF($F174&lt;&gt;"",IFERROR(_xlfn.XLOOKUP($F174,Taxa_från_edp!$B:$B,Taxa_från_edp!C:C),""),"")</f>
        <v/>
      </c>
      <c r="I174" s="142" t="str">
        <f>IF($F174&lt;&gt;"",IFERROR(_xlfn.XLOOKUP($F174,Taxa_från_edp!$B:$B,Taxa_från_edp!G:G),""),"")</f>
        <v/>
      </c>
      <c r="J174" s="143" t="str">
        <f>IF($F174&lt;&gt;"",IFERROR(_xlfn.XLOOKUP($F174,Taxa_från_edp!$B:$B,Taxa_från_edp!K:K),""),"")</f>
        <v/>
      </c>
      <c r="K174" s="149"/>
      <c r="L174" s="153"/>
      <c r="M174" s="156" t="str">
        <f t="shared" si="4"/>
        <v/>
      </c>
      <c r="N174" s="157" t="str">
        <f t="shared" si="5"/>
        <v/>
      </c>
    </row>
    <row r="175" spans="1:14" x14ac:dyDescent="0.25">
      <c r="A175" s="186" t="s">
        <v>232</v>
      </c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8"/>
      <c r="M175" s="156" t="str">
        <f t="shared" si="4"/>
        <v/>
      </c>
      <c r="N175" s="157" t="str">
        <f t="shared" si="5"/>
        <v/>
      </c>
    </row>
    <row r="176" spans="1:14" ht="21.95" customHeight="1" x14ac:dyDescent="0.25">
      <c r="A176" s="183" t="s">
        <v>232</v>
      </c>
      <c r="B176" s="184"/>
      <c r="C176" s="184"/>
      <c r="D176" s="184"/>
      <c r="E176" s="185"/>
      <c r="F176" s="121"/>
      <c r="G176" s="125" t="str">
        <f>IF($F176&lt;&gt;"",$F176,IFERROR(_xlfn.XLOOKUP(ROW(),Taxa_Saknas!$H:$H,Taxa_Saknas!$G:$G),""))</f>
        <v/>
      </c>
      <c r="H176" s="125" t="str">
        <f>IF($F176&lt;&gt;"",IFERROR(_xlfn.XLOOKUP($F176,Taxa_från_edp!$B:$B,Taxa_från_edp!C:C),""),"")</f>
        <v/>
      </c>
      <c r="I176" s="126" t="str">
        <f>IF($F176&lt;&gt;"",IFERROR(_xlfn.XLOOKUP($F176,Taxa_från_edp!$B:$B,Taxa_från_edp!G:G),""),"")</f>
        <v/>
      </c>
      <c r="J176" s="126" t="str">
        <f>IF($F176&lt;&gt;"",IFERROR(_xlfn.XLOOKUP($F176,Taxa_från_edp!$B:$B,Taxa_från_edp!K:K),""),"")</f>
        <v/>
      </c>
      <c r="K176" s="126"/>
      <c r="L176" s="126"/>
      <c r="M176" s="122" t="str">
        <f t="shared" si="4"/>
        <v/>
      </c>
      <c r="N176" s="123" t="str">
        <f t="shared" si="5"/>
        <v/>
      </c>
    </row>
    <row r="177" spans="1:14" ht="21.95" customHeight="1" x14ac:dyDescent="0.25">
      <c r="A177" s="183" t="s">
        <v>237</v>
      </c>
      <c r="B177" s="184"/>
      <c r="C177" s="184"/>
      <c r="D177" s="184"/>
      <c r="E177" s="185"/>
      <c r="F177" s="121"/>
      <c r="G177" s="125" t="str">
        <f>IF($F177&lt;&gt;"",$F177,IFERROR(_xlfn.XLOOKUP(ROW(),Taxa_Saknas!$H:$H,Taxa_Saknas!$G:$G),""))</f>
        <v/>
      </c>
      <c r="H177" s="125" t="str">
        <f>IF($F177&lt;&gt;"",IFERROR(_xlfn.XLOOKUP($F177,Taxa_från_edp!$B:$B,Taxa_från_edp!C:C),""),"")</f>
        <v/>
      </c>
      <c r="I177" s="126" t="str">
        <f>IF($F177&lt;&gt;"",IFERROR(_xlfn.XLOOKUP($F177,Taxa_från_edp!$B:$B,Taxa_från_edp!G:G),""),"")</f>
        <v/>
      </c>
      <c r="J177" s="126" t="str">
        <f>IF($F177&lt;&gt;"",IFERROR(_xlfn.XLOOKUP($F177,Taxa_från_edp!$B:$B,Taxa_från_edp!K:K),""),"")</f>
        <v/>
      </c>
      <c r="K177" s="126"/>
      <c r="L177" s="126"/>
      <c r="M177" s="122" t="str">
        <f t="shared" si="4"/>
        <v/>
      </c>
      <c r="N177" s="123" t="str">
        <f t="shared" si="5"/>
        <v/>
      </c>
    </row>
    <row r="178" spans="1:14" ht="21.95" customHeight="1" x14ac:dyDescent="0.25">
      <c r="A178" s="183" t="s">
        <v>238</v>
      </c>
      <c r="B178" s="184"/>
      <c r="C178" s="184"/>
      <c r="D178" s="184"/>
      <c r="E178" s="185"/>
      <c r="F178" s="121"/>
      <c r="G178" s="125" t="str">
        <f>IF($F178&lt;&gt;"",$F178,IFERROR(_xlfn.XLOOKUP(ROW(),Taxa_Saknas!$H:$H,Taxa_Saknas!$G:$G),""))</f>
        <v/>
      </c>
      <c r="H178" s="125" t="str">
        <f>IF($F178&lt;&gt;"",IFERROR(_xlfn.XLOOKUP($F178,Taxa_från_edp!$B:$B,Taxa_från_edp!C:C),""),"")</f>
        <v/>
      </c>
      <c r="I178" s="126" t="str">
        <f>IF($F178&lt;&gt;"",IFERROR(_xlfn.XLOOKUP($F178,Taxa_från_edp!$B:$B,Taxa_från_edp!G:G),""),"")</f>
        <v/>
      </c>
      <c r="J178" s="126" t="str">
        <f>IF($F178&lt;&gt;"",IFERROR(_xlfn.XLOOKUP($F178,Taxa_från_edp!$B:$B,Taxa_från_edp!K:K),""),"")</f>
        <v/>
      </c>
      <c r="K178" s="126"/>
      <c r="L178" s="126"/>
      <c r="M178" s="122" t="str">
        <f t="shared" si="4"/>
        <v/>
      </c>
      <c r="N178" s="123" t="str">
        <f t="shared" si="5"/>
        <v/>
      </c>
    </row>
    <row r="179" spans="1:14" ht="30" customHeight="1" x14ac:dyDescent="0.25">
      <c r="A179" s="118" t="s">
        <v>238</v>
      </c>
      <c r="B179" s="118" t="s">
        <v>239</v>
      </c>
      <c r="C179" s="118" t="s">
        <v>240</v>
      </c>
      <c r="D179" s="118"/>
      <c r="E179" s="118" t="s">
        <v>241</v>
      </c>
      <c r="F179" s="127"/>
      <c r="G179" s="132" t="str">
        <f>IF($F179&lt;&gt;"",$F179,IFERROR(_xlfn.XLOOKUP(ROW(),Taxa_Saknas!$H:$H,Taxa_Saknas!$G:$G),""))</f>
        <v/>
      </c>
      <c r="H179" s="137" t="str">
        <f>IF($F179&lt;&gt;"",IFERROR(_xlfn.XLOOKUP($F179,Taxa_från_edp!$B:$B,Taxa_från_edp!C:C),""),"")</f>
        <v/>
      </c>
      <c r="I179" s="138" t="str">
        <f>IF($F179&lt;&gt;"",IFERROR(_xlfn.XLOOKUP($F179,Taxa_från_edp!$B:$B,Taxa_från_edp!G:G),""),"")</f>
        <v/>
      </c>
      <c r="J179" s="139" t="str">
        <f>IF($F179&lt;&gt;"",IFERROR(_xlfn.XLOOKUP($F179,Taxa_från_edp!$B:$B,Taxa_från_edp!K:K),""),"")</f>
        <v/>
      </c>
      <c r="K179" s="148"/>
      <c r="L179" s="152"/>
      <c r="M179" s="156" t="str">
        <f t="shared" si="4"/>
        <v/>
      </c>
      <c r="N179" s="157" t="str">
        <f t="shared" si="5"/>
        <v/>
      </c>
    </row>
    <row r="180" spans="1:14" ht="30" customHeight="1" x14ac:dyDescent="0.25">
      <c r="A180" s="118" t="s">
        <v>238</v>
      </c>
      <c r="B180" s="118" t="s">
        <v>239</v>
      </c>
      <c r="C180" s="118" t="s">
        <v>242</v>
      </c>
      <c r="D180" s="118"/>
      <c r="E180" s="118" t="s">
        <v>241</v>
      </c>
      <c r="F180" s="127"/>
      <c r="G180" s="132" t="str">
        <f>IF($F180&lt;&gt;"",$F180,IFERROR(_xlfn.XLOOKUP(ROW(),Taxa_Saknas!$H:$H,Taxa_Saknas!$G:$G),""))</f>
        <v/>
      </c>
      <c r="H180" s="137" t="str">
        <f>IF($F180&lt;&gt;"",IFERROR(_xlfn.XLOOKUP($F180,Taxa_från_edp!$B:$B,Taxa_från_edp!C:C),""),"")</f>
        <v/>
      </c>
      <c r="I180" s="138" t="str">
        <f>IF($F180&lt;&gt;"",IFERROR(_xlfn.XLOOKUP($F180,Taxa_från_edp!$B:$B,Taxa_från_edp!G:G),""),"")</f>
        <v/>
      </c>
      <c r="J180" s="139" t="str">
        <f>IF($F180&lt;&gt;"",IFERROR(_xlfn.XLOOKUP($F180,Taxa_från_edp!$B:$B,Taxa_från_edp!K:K),""),"")</f>
        <v/>
      </c>
      <c r="K180" s="148"/>
      <c r="L180" s="152"/>
      <c r="M180" s="156" t="str">
        <f t="shared" si="4"/>
        <v/>
      </c>
      <c r="N180" s="157" t="str">
        <f t="shared" si="5"/>
        <v/>
      </c>
    </row>
    <row r="181" spans="1:14" ht="30" customHeight="1" x14ac:dyDescent="0.25">
      <c r="A181" s="118" t="s">
        <v>238</v>
      </c>
      <c r="B181" s="118" t="s">
        <v>239</v>
      </c>
      <c r="C181" s="118" t="s">
        <v>243</v>
      </c>
      <c r="D181" s="118"/>
      <c r="E181" s="118" t="s">
        <v>244</v>
      </c>
      <c r="F181" s="129"/>
      <c r="G181" s="134" t="str">
        <f>IF($F181&lt;&gt;"",$F181,IFERROR(_xlfn.XLOOKUP(ROW(),Taxa_Saknas!$H:$H,Taxa_Saknas!$G:$G),""))</f>
        <v/>
      </c>
      <c r="H181" s="141" t="str">
        <f>IF($F181&lt;&gt;"",IFERROR(_xlfn.XLOOKUP($F181,Taxa_från_edp!$B:$B,Taxa_från_edp!C:C),""),"")</f>
        <v/>
      </c>
      <c r="I181" s="142" t="str">
        <f>IF($F181&lt;&gt;"",IFERROR(_xlfn.XLOOKUP($F181,Taxa_från_edp!$B:$B,Taxa_från_edp!G:G),""),"")</f>
        <v/>
      </c>
      <c r="J181" s="143" t="str">
        <f>IF($F181&lt;&gt;"",IFERROR(_xlfn.XLOOKUP($F181,Taxa_från_edp!$B:$B,Taxa_från_edp!K:K),""),"")</f>
        <v/>
      </c>
      <c r="K181" s="149"/>
      <c r="L181" s="153"/>
      <c r="M181" s="156" t="str">
        <f t="shared" si="4"/>
        <v/>
      </c>
      <c r="N181" s="157" t="str">
        <f t="shared" si="5"/>
        <v/>
      </c>
    </row>
    <row r="182" spans="1:14" ht="30" customHeight="1" x14ac:dyDescent="0.25">
      <c r="A182" s="118" t="s">
        <v>238</v>
      </c>
      <c r="B182" s="118" t="s">
        <v>239</v>
      </c>
      <c r="C182" s="118" t="s">
        <v>245</v>
      </c>
      <c r="D182" s="118"/>
      <c r="E182" s="118" t="s">
        <v>241</v>
      </c>
      <c r="F182" s="129"/>
      <c r="G182" s="134" t="str">
        <f>IF($F182&lt;&gt;"",$F182,IFERROR(_xlfn.XLOOKUP(ROW(),Taxa_Saknas!$H:$H,Taxa_Saknas!$G:$G),""))</f>
        <v/>
      </c>
      <c r="H182" s="141" t="str">
        <f>IF($F182&lt;&gt;"",IFERROR(_xlfn.XLOOKUP($F182,Taxa_från_edp!$B:$B,Taxa_från_edp!C:C),""),"")</f>
        <v/>
      </c>
      <c r="I182" s="142" t="str">
        <f>IF($F182&lt;&gt;"",IFERROR(_xlfn.XLOOKUP($F182,Taxa_från_edp!$B:$B,Taxa_från_edp!G:G),""),"")</f>
        <v/>
      </c>
      <c r="J182" s="143" t="str">
        <f>IF($F182&lt;&gt;"",IFERROR(_xlfn.XLOOKUP($F182,Taxa_från_edp!$B:$B,Taxa_från_edp!K:K),""),"")</f>
        <v/>
      </c>
      <c r="K182" s="149"/>
      <c r="L182" s="153"/>
      <c r="M182" s="156" t="str">
        <f t="shared" si="4"/>
        <v/>
      </c>
      <c r="N182" s="157" t="str">
        <f t="shared" si="5"/>
        <v/>
      </c>
    </row>
    <row r="183" spans="1:14" x14ac:dyDescent="0.25">
      <c r="A183" s="186" t="s">
        <v>238</v>
      </c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8"/>
      <c r="M183" s="156" t="str">
        <f t="shared" si="4"/>
        <v/>
      </c>
      <c r="N183" s="157" t="str">
        <f t="shared" si="5"/>
        <v/>
      </c>
    </row>
    <row r="184" spans="1:14" ht="21.95" customHeight="1" x14ac:dyDescent="0.25">
      <c r="A184" s="183" t="s">
        <v>238</v>
      </c>
      <c r="B184" s="184"/>
      <c r="C184" s="184"/>
      <c r="D184" s="184"/>
      <c r="E184" s="185"/>
      <c r="F184" s="121"/>
      <c r="G184" s="125" t="str">
        <f>IF($F184&lt;&gt;"",$F184,IFERROR(_xlfn.XLOOKUP(ROW(),Taxa_Saknas!$H:$H,Taxa_Saknas!$G:$G),""))</f>
        <v/>
      </c>
      <c r="H184" s="125" t="str">
        <f>IF($F184&lt;&gt;"",IFERROR(_xlfn.XLOOKUP($F184,Taxa_från_edp!$B:$B,Taxa_från_edp!C:C),""),"")</f>
        <v/>
      </c>
      <c r="I184" s="126" t="str">
        <f>IF($F184&lt;&gt;"",IFERROR(_xlfn.XLOOKUP($F184,Taxa_från_edp!$B:$B,Taxa_från_edp!G:G),""),"")</f>
        <v/>
      </c>
      <c r="J184" s="126" t="str">
        <f>IF($F184&lt;&gt;"",IFERROR(_xlfn.XLOOKUP($F184,Taxa_från_edp!$B:$B,Taxa_från_edp!K:K),""),"")</f>
        <v/>
      </c>
      <c r="K184" s="126"/>
      <c r="L184" s="126"/>
      <c r="M184" s="122" t="str">
        <f t="shared" si="4"/>
        <v/>
      </c>
      <c r="N184" s="123" t="str">
        <f t="shared" si="5"/>
        <v/>
      </c>
    </row>
    <row r="185" spans="1:14" ht="21.95" customHeight="1" x14ac:dyDescent="0.25">
      <c r="A185" s="183" t="s">
        <v>246</v>
      </c>
      <c r="B185" s="184"/>
      <c r="C185" s="184"/>
      <c r="D185" s="184"/>
      <c r="E185" s="185"/>
      <c r="F185" s="121"/>
      <c r="G185" s="125" t="str">
        <f>IF($F185&lt;&gt;"",$F185,IFERROR(_xlfn.XLOOKUP(ROW(),Taxa_Saknas!$H:$H,Taxa_Saknas!$G:$G),""))</f>
        <v/>
      </c>
      <c r="H185" s="125" t="str">
        <f>IF($F185&lt;&gt;"",IFERROR(_xlfn.XLOOKUP($F185,Taxa_från_edp!$B:$B,Taxa_från_edp!C:C),""),"")</f>
        <v/>
      </c>
      <c r="I185" s="126" t="str">
        <f>IF($F185&lt;&gt;"",IFERROR(_xlfn.XLOOKUP($F185,Taxa_från_edp!$B:$B,Taxa_från_edp!G:G),""),"")</f>
        <v/>
      </c>
      <c r="J185" s="126" t="str">
        <f>IF($F185&lt;&gt;"",IFERROR(_xlfn.XLOOKUP($F185,Taxa_från_edp!$B:$B,Taxa_från_edp!K:K),""),"")</f>
        <v/>
      </c>
      <c r="K185" s="126"/>
      <c r="L185" s="126"/>
      <c r="M185" s="122" t="str">
        <f t="shared" si="4"/>
        <v/>
      </c>
      <c r="N185" s="123" t="str">
        <f t="shared" si="5"/>
        <v/>
      </c>
    </row>
    <row r="186" spans="1:14" ht="21.95" customHeight="1" x14ac:dyDescent="0.25">
      <c r="A186" s="183" t="s">
        <v>247</v>
      </c>
      <c r="B186" s="184"/>
      <c r="C186" s="184"/>
      <c r="D186" s="184"/>
      <c r="E186" s="185"/>
      <c r="F186" s="124"/>
      <c r="G186" s="122" t="str">
        <f>IF($F186&lt;&gt;"",$F186,IFERROR(_xlfn.XLOOKUP(ROW(),Taxa_Saknas!$H:$H,Taxa_Saknas!$G:$G),""))</f>
        <v/>
      </c>
      <c r="H186" s="122" t="str">
        <f>IF($F186&lt;&gt;"",IFERROR(_xlfn.XLOOKUP($F186,Taxa_från_edp!$B:$B,Taxa_från_edp!C:C),""),"")</f>
        <v/>
      </c>
      <c r="I186" s="122" t="str">
        <f>IF($F186&lt;&gt;"",IFERROR(_xlfn.XLOOKUP($F186,Taxa_från_edp!$B:$B,Taxa_från_edp!G:G),""),"")</f>
        <v/>
      </c>
      <c r="J186" s="122" t="str">
        <f>IF($F186&lt;&gt;"",IFERROR(_xlfn.XLOOKUP($F186,Taxa_från_edp!$B:$B,Taxa_från_edp!K:K),""),"")</f>
        <v/>
      </c>
      <c r="K186" s="122"/>
      <c r="L186" s="122"/>
      <c r="M186" s="122" t="str">
        <f t="shared" si="4"/>
        <v/>
      </c>
      <c r="N186" s="123" t="str">
        <f t="shared" si="5"/>
        <v/>
      </c>
    </row>
    <row r="187" spans="1:14" x14ac:dyDescent="0.25">
      <c r="A187" s="118" t="s">
        <v>247</v>
      </c>
      <c r="B187" s="118" t="s">
        <v>248</v>
      </c>
      <c r="C187" s="118" t="s">
        <v>249</v>
      </c>
      <c r="D187" s="118"/>
      <c r="E187" s="118" t="s">
        <v>250</v>
      </c>
      <c r="F187" s="130"/>
      <c r="G187" s="135" t="str">
        <f>IF($F187&lt;&gt;"",$F187,IFERROR(_xlfn.XLOOKUP(ROW(),Taxa_Saknas!$H:$H,Taxa_Saknas!$G:$G),""))</f>
        <v/>
      </c>
      <c r="H187" s="144" t="str">
        <f>IF($F187&lt;&gt;"",IFERROR(_xlfn.XLOOKUP($F187,Taxa_från_edp!$B:$B,Taxa_från_edp!C:C),""),"")</f>
        <v/>
      </c>
      <c r="I187" s="145" t="str">
        <f>IF($F187&lt;&gt;"",IFERROR(_xlfn.XLOOKUP($F187,Taxa_från_edp!$B:$B,Taxa_från_edp!G:G),""),"")</f>
        <v/>
      </c>
      <c r="J187" s="145" t="str">
        <f>IF($F187&lt;&gt;"",IFERROR(_xlfn.XLOOKUP($F187,Taxa_från_edp!$B:$B,Taxa_från_edp!K:K),""),"")</f>
        <v/>
      </c>
      <c r="K187" s="150"/>
      <c r="L187" s="154"/>
      <c r="M187" s="156" t="str">
        <f t="shared" si="4"/>
        <v/>
      </c>
      <c r="N187" s="157" t="str">
        <f t="shared" si="5"/>
        <v/>
      </c>
    </row>
    <row r="188" spans="1:14" x14ac:dyDescent="0.25">
      <c r="A188" s="118" t="s">
        <v>247</v>
      </c>
      <c r="B188" s="118" t="s">
        <v>248</v>
      </c>
      <c r="C188" s="118" t="s">
        <v>251</v>
      </c>
      <c r="D188" s="118"/>
      <c r="E188" s="118" t="s">
        <v>250</v>
      </c>
      <c r="F188" s="127"/>
      <c r="G188" s="132" t="str">
        <f>IF($F188&lt;&gt;"",$F188,IFERROR(_xlfn.XLOOKUP(ROW(),Taxa_Saknas!$H:$H,Taxa_Saknas!$G:$G),""))</f>
        <v/>
      </c>
      <c r="H188" s="137" t="str">
        <f>IF($F188&lt;&gt;"",IFERROR(_xlfn.XLOOKUP($F188,Taxa_från_edp!$B:$B,Taxa_från_edp!C:C),""),"")</f>
        <v/>
      </c>
      <c r="I188" s="138" t="str">
        <f>IF($F188&lt;&gt;"",IFERROR(_xlfn.XLOOKUP($F188,Taxa_från_edp!$B:$B,Taxa_från_edp!G:G),""),"")</f>
        <v/>
      </c>
      <c r="J188" s="139" t="str">
        <f>IF($F188&lt;&gt;"",IFERROR(_xlfn.XLOOKUP($F188,Taxa_från_edp!$B:$B,Taxa_från_edp!K:K),""),"")</f>
        <v/>
      </c>
      <c r="K188" s="148"/>
      <c r="L188" s="152"/>
      <c r="M188" s="156" t="str">
        <f t="shared" si="4"/>
        <v/>
      </c>
      <c r="N188" s="157" t="str">
        <f t="shared" si="5"/>
        <v/>
      </c>
    </row>
    <row r="189" spans="1:14" ht="21.95" customHeight="1" x14ac:dyDescent="0.25">
      <c r="A189" s="183" t="s">
        <v>247</v>
      </c>
      <c r="B189" s="184"/>
      <c r="C189" s="184"/>
      <c r="D189" s="184"/>
      <c r="E189" s="185"/>
      <c r="F189" s="121"/>
      <c r="G189" s="125" t="str">
        <f>IF($F189&lt;&gt;"",$F189,IFERROR(_xlfn.XLOOKUP(ROW(),Taxa_Saknas!$H:$H,Taxa_Saknas!$G:$G),""))</f>
        <v/>
      </c>
      <c r="H189" s="125" t="str">
        <f>IF($F189&lt;&gt;"",IFERROR(_xlfn.XLOOKUP($F189,Taxa_från_edp!$B:$B,Taxa_från_edp!C:C),""),"")</f>
        <v/>
      </c>
      <c r="I189" s="126" t="str">
        <f>IF($F189&lt;&gt;"",IFERROR(_xlfn.XLOOKUP($F189,Taxa_från_edp!$B:$B,Taxa_från_edp!G:G),""),"")</f>
        <v/>
      </c>
      <c r="J189" s="126" t="str">
        <f>IF($F189&lt;&gt;"",IFERROR(_xlfn.XLOOKUP($F189,Taxa_från_edp!$B:$B,Taxa_från_edp!K:K),""),"")</f>
        <v/>
      </c>
      <c r="K189" s="126"/>
      <c r="L189" s="126"/>
      <c r="M189" s="122" t="str">
        <f t="shared" si="4"/>
        <v/>
      </c>
      <c r="N189" s="123" t="str">
        <f t="shared" si="5"/>
        <v/>
      </c>
    </row>
    <row r="190" spans="1:14" x14ac:dyDescent="0.25">
      <c r="A190" s="118" t="s">
        <v>247</v>
      </c>
      <c r="B190" s="118" t="s">
        <v>248</v>
      </c>
      <c r="C190" s="118" t="s">
        <v>252</v>
      </c>
      <c r="D190" s="118"/>
      <c r="E190" s="118" t="s">
        <v>250</v>
      </c>
      <c r="F190" s="127"/>
      <c r="G190" s="132" t="str">
        <f>IF($F190&lt;&gt;"",$F190,IFERROR(_xlfn.XLOOKUP(ROW(),Taxa_Saknas!$H:$H,Taxa_Saknas!$G:$G),""))</f>
        <v/>
      </c>
      <c r="H190" s="137" t="str">
        <f>IF($F190&lt;&gt;"",IFERROR(_xlfn.XLOOKUP($F190,Taxa_från_edp!$B:$B,Taxa_från_edp!C:C),""),"")</f>
        <v/>
      </c>
      <c r="I190" s="138" t="str">
        <f>IF($F190&lt;&gt;"",IFERROR(_xlfn.XLOOKUP($F190,Taxa_från_edp!$B:$B,Taxa_från_edp!G:G),""),"")</f>
        <v/>
      </c>
      <c r="J190" s="139" t="str">
        <f>IF($F190&lt;&gt;"",IFERROR(_xlfn.XLOOKUP($F190,Taxa_från_edp!$B:$B,Taxa_från_edp!K:K),""),"")</f>
        <v/>
      </c>
      <c r="K190" s="148"/>
      <c r="L190" s="152"/>
      <c r="M190" s="156" t="str">
        <f t="shared" si="4"/>
        <v/>
      </c>
      <c r="N190" s="157" t="str">
        <f t="shared" si="5"/>
        <v/>
      </c>
    </row>
    <row r="191" spans="1:14" x14ac:dyDescent="0.25">
      <c r="A191" s="118" t="s">
        <v>247</v>
      </c>
      <c r="B191" s="118" t="s">
        <v>248</v>
      </c>
      <c r="C191" s="118" t="s">
        <v>253</v>
      </c>
      <c r="D191" s="118"/>
      <c r="E191" s="118" t="s">
        <v>250</v>
      </c>
      <c r="F191" s="127"/>
      <c r="G191" s="132" t="str">
        <f>IF($F191&lt;&gt;"",$F191,IFERROR(_xlfn.XLOOKUP(ROW(),Taxa_Saknas!$H:$H,Taxa_Saknas!$G:$G),""))</f>
        <v/>
      </c>
      <c r="H191" s="137" t="str">
        <f>IF($F191&lt;&gt;"",IFERROR(_xlfn.XLOOKUP($F191,Taxa_från_edp!$B:$B,Taxa_från_edp!C:C),""),"")</f>
        <v/>
      </c>
      <c r="I191" s="138" t="str">
        <f>IF($F191&lt;&gt;"",IFERROR(_xlfn.XLOOKUP($F191,Taxa_från_edp!$B:$B,Taxa_från_edp!G:G),""),"")</f>
        <v/>
      </c>
      <c r="J191" s="139" t="str">
        <f>IF($F191&lt;&gt;"",IFERROR(_xlfn.XLOOKUP($F191,Taxa_från_edp!$B:$B,Taxa_från_edp!K:K),""),"")</f>
        <v/>
      </c>
      <c r="K191" s="148"/>
      <c r="L191" s="152"/>
      <c r="M191" s="156" t="str">
        <f t="shared" si="4"/>
        <v/>
      </c>
      <c r="N191" s="157" t="str">
        <f t="shared" si="5"/>
        <v/>
      </c>
    </row>
    <row r="192" spans="1:14" ht="45" customHeight="1" x14ac:dyDescent="0.25">
      <c r="A192" s="118" t="s">
        <v>247</v>
      </c>
      <c r="B192" s="118" t="s">
        <v>248</v>
      </c>
      <c r="C192" s="118" t="s">
        <v>254</v>
      </c>
      <c r="D192" s="118"/>
      <c r="E192" s="118" t="s">
        <v>250</v>
      </c>
      <c r="F192" s="127"/>
      <c r="G192" s="132" t="str">
        <f>IF($F192&lt;&gt;"",$F192,IFERROR(_xlfn.XLOOKUP(ROW(),Taxa_Saknas!$H:$H,Taxa_Saknas!$G:$G),""))</f>
        <v/>
      </c>
      <c r="H192" s="137" t="str">
        <f>IF($F192&lt;&gt;"",IFERROR(_xlfn.XLOOKUP($F192,Taxa_från_edp!$B:$B,Taxa_från_edp!C:C),""),"")</f>
        <v/>
      </c>
      <c r="I192" s="138" t="str">
        <f>IF($F192&lt;&gt;"",IFERROR(_xlfn.XLOOKUP($F192,Taxa_från_edp!$B:$B,Taxa_från_edp!G:G),""),"")</f>
        <v/>
      </c>
      <c r="J192" s="139" t="str">
        <f>IF($F192&lt;&gt;"",IFERROR(_xlfn.XLOOKUP($F192,Taxa_från_edp!$B:$B,Taxa_från_edp!K:K),""),"")</f>
        <v/>
      </c>
      <c r="K192" s="148"/>
      <c r="L192" s="152"/>
      <c r="M192" s="156" t="str">
        <f t="shared" si="4"/>
        <v/>
      </c>
      <c r="N192" s="157" t="str">
        <f t="shared" si="5"/>
        <v/>
      </c>
    </row>
    <row r="193" spans="1:14" ht="30" customHeight="1" x14ac:dyDescent="0.25">
      <c r="A193" s="118" t="s">
        <v>247</v>
      </c>
      <c r="B193" s="118" t="s">
        <v>248</v>
      </c>
      <c r="C193" s="118" t="s">
        <v>255</v>
      </c>
      <c r="D193" s="118"/>
      <c r="E193" s="118" t="s">
        <v>250</v>
      </c>
      <c r="F193" s="127"/>
      <c r="G193" s="132" t="str">
        <f>IF($F193&lt;&gt;"",$F193,IFERROR(_xlfn.XLOOKUP(ROW(),Taxa_Saknas!$H:$H,Taxa_Saknas!$G:$G),""))</f>
        <v/>
      </c>
      <c r="H193" s="137" t="str">
        <f>IF($F193&lt;&gt;"",IFERROR(_xlfn.XLOOKUP($F193,Taxa_från_edp!$B:$B,Taxa_från_edp!C:C),""),"")</f>
        <v/>
      </c>
      <c r="I193" s="138" t="str">
        <f>IF($F193&lt;&gt;"",IFERROR(_xlfn.XLOOKUP($F193,Taxa_från_edp!$B:$B,Taxa_från_edp!G:G),""),"")</f>
        <v/>
      </c>
      <c r="J193" s="139" t="str">
        <f>IF($F193&lt;&gt;"",IFERROR(_xlfn.XLOOKUP($F193,Taxa_från_edp!$B:$B,Taxa_från_edp!K:K),""),"")</f>
        <v/>
      </c>
      <c r="K193" s="148"/>
      <c r="L193" s="152"/>
      <c r="M193" s="156" t="str">
        <f t="shared" si="4"/>
        <v/>
      </c>
      <c r="N193" s="157" t="str">
        <f t="shared" si="5"/>
        <v/>
      </c>
    </row>
    <row r="194" spans="1:14" x14ac:dyDescent="0.25">
      <c r="A194" s="118" t="s">
        <v>247</v>
      </c>
      <c r="B194" s="118" t="s">
        <v>248</v>
      </c>
      <c r="C194" s="118" t="s">
        <v>256</v>
      </c>
      <c r="D194" s="118"/>
      <c r="E194" s="118" t="s">
        <v>250</v>
      </c>
      <c r="F194" s="129"/>
      <c r="G194" s="134" t="str">
        <f>IF($F194&lt;&gt;"",$F194,IFERROR(_xlfn.XLOOKUP(ROW(),Taxa_Saknas!$H:$H,Taxa_Saknas!$G:$G),""))</f>
        <v/>
      </c>
      <c r="H194" s="141" t="str">
        <f>IF($F194&lt;&gt;"",IFERROR(_xlfn.XLOOKUP($F194,Taxa_från_edp!$B:$B,Taxa_från_edp!C:C),""),"")</f>
        <v/>
      </c>
      <c r="I194" s="142" t="str">
        <f>IF($F194&lt;&gt;"",IFERROR(_xlfn.XLOOKUP($F194,Taxa_från_edp!$B:$B,Taxa_från_edp!G:G),""),"")</f>
        <v/>
      </c>
      <c r="J194" s="143" t="str">
        <f>IF($F194&lt;&gt;"",IFERROR(_xlfn.XLOOKUP($F194,Taxa_från_edp!$B:$B,Taxa_från_edp!K:K),""),"")</f>
        <v/>
      </c>
      <c r="K194" s="149"/>
      <c r="L194" s="153"/>
      <c r="M194" s="156" t="str">
        <f t="shared" si="4"/>
        <v/>
      </c>
      <c r="N194" s="157" t="str">
        <f t="shared" si="5"/>
        <v/>
      </c>
    </row>
    <row r="195" spans="1:14" ht="45" customHeight="1" x14ac:dyDescent="0.25">
      <c r="A195" s="118" t="s">
        <v>247</v>
      </c>
      <c r="B195" s="118" t="s">
        <v>248</v>
      </c>
      <c r="C195" s="118" t="s">
        <v>257</v>
      </c>
      <c r="D195" s="118"/>
      <c r="E195" s="118" t="s">
        <v>250</v>
      </c>
      <c r="F195" s="129"/>
      <c r="G195" s="134" t="str">
        <f>IF($F195&lt;&gt;"",$F195,IFERROR(_xlfn.XLOOKUP(ROW(),Taxa_Saknas!$H:$H,Taxa_Saknas!$G:$G),""))</f>
        <v/>
      </c>
      <c r="H195" s="141" t="str">
        <f>IF($F195&lt;&gt;"",IFERROR(_xlfn.XLOOKUP($F195,Taxa_från_edp!$B:$B,Taxa_från_edp!C:C),""),"")</f>
        <v/>
      </c>
      <c r="I195" s="142" t="str">
        <f>IF($F195&lt;&gt;"",IFERROR(_xlfn.XLOOKUP($F195,Taxa_från_edp!$B:$B,Taxa_från_edp!G:G),""),"")</f>
        <v/>
      </c>
      <c r="J195" s="143" t="str">
        <f>IF($F195&lt;&gt;"",IFERROR(_xlfn.XLOOKUP($F195,Taxa_från_edp!$B:$B,Taxa_från_edp!K:K),""),"")</f>
        <v/>
      </c>
      <c r="K195" s="149"/>
      <c r="L195" s="153"/>
      <c r="M195" s="156" t="str">
        <f t="shared" si="4"/>
        <v/>
      </c>
      <c r="N195" s="157" t="str">
        <f t="shared" si="5"/>
        <v/>
      </c>
    </row>
    <row r="196" spans="1:14" ht="30" customHeight="1" x14ac:dyDescent="0.25">
      <c r="A196" s="118" t="s">
        <v>247</v>
      </c>
      <c r="B196" s="118" t="s">
        <v>248</v>
      </c>
      <c r="C196" s="118" t="s">
        <v>258</v>
      </c>
      <c r="D196" s="118"/>
      <c r="E196" s="118" t="s">
        <v>250</v>
      </c>
      <c r="F196" s="127"/>
      <c r="G196" s="132" t="str">
        <f>IF($F196&lt;&gt;"",$F196,IFERROR(_xlfn.XLOOKUP(ROW(),Taxa_Saknas!$H:$H,Taxa_Saknas!$G:$G),""))</f>
        <v/>
      </c>
      <c r="H196" s="137" t="str">
        <f>IF($F196&lt;&gt;"",IFERROR(_xlfn.XLOOKUP($F196,Taxa_från_edp!$B:$B,Taxa_från_edp!C:C),""),"")</f>
        <v/>
      </c>
      <c r="I196" s="138" t="str">
        <f>IF($F196&lt;&gt;"",IFERROR(_xlfn.XLOOKUP($F196,Taxa_från_edp!$B:$B,Taxa_från_edp!G:G),""),"")</f>
        <v/>
      </c>
      <c r="J196" s="139" t="str">
        <f>IF($F196&lt;&gt;"",IFERROR(_xlfn.XLOOKUP($F196,Taxa_från_edp!$B:$B,Taxa_från_edp!K:K),""),"")</f>
        <v/>
      </c>
      <c r="K196" s="148"/>
      <c r="L196" s="152"/>
      <c r="M196" s="156" t="str">
        <f t="shared" si="4"/>
        <v/>
      </c>
      <c r="N196" s="157" t="str">
        <f t="shared" si="5"/>
        <v/>
      </c>
    </row>
    <row r="197" spans="1:14" ht="21.95" customHeight="1" x14ac:dyDescent="0.25">
      <c r="A197" s="183" t="s">
        <v>247</v>
      </c>
      <c r="B197" s="184"/>
      <c r="C197" s="184"/>
      <c r="D197" s="184"/>
      <c r="E197" s="185"/>
      <c r="F197" s="121"/>
      <c r="G197" s="125" t="str">
        <f>IF($F197&lt;&gt;"",$F197,IFERROR(_xlfn.XLOOKUP(ROW(),Taxa_Saknas!$H:$H,Taxa_Saknas!$G:$G),""))</f>
        <v/>
      </c>
      <c r="H197" s="125" t="str">
        <f>IF($F197&lt;&gt;"",IFERROR(_xlfn.XLOOKUP($F197,Taxa_från_edp!$B:$B,Taxa_från_edp!C:C),""),"")</f>
        <v/>
      </c>
      <c r="I197" s="126" t="str">
        <f>IF($F197&lt;&gt;"",IFERROR(_xlfn.XLOOKUP($F197,Taxa_från_edp!$B:$B,Taxa_från_edp!G:G),""),"")</f>
        <v/>
      </c>
      <c r="J197" s="126" t="str">
        <f>IF($F197&lt;&gt;"",IFERROR(_xlfn.XLOOKUP($F197,Taxa_från_edp!$B:$B,Taxa_från_edp!K:K),""),"")</f>
        <v/>
      </c>
      <c r="K197" s="126"/>
      <c r="L197" s="126"/>
      <c r="M197" s="122" t="str">
        <f t="shared" si="4"/>
        <v/>
      </c>
      <c r="N197" s="123" t="str">
        <f t="shared" si="5"/>
        <v/>
      </c>
    </row>
    <row r="198" spans="1:14" ht="21.95" customHeight="1" x14ac:dyDescent="0.25">
      <c r="A198" s="183" t="s">
        <v>259</v>
      </c>
      <c r="B198" s="184"/>
      <c r="C198" s="184"/>
      <c r="D198" s="184"/>
      <c r="E198" s="185"/>
      <c r="F198" s="124"/>
      <c r="G198" s="122" t="str">
        <f>IF($F198&lt;&gt;"",$F198,IFERROR(_xlfn.XLOOKUP(ROW(),Taxa_Saknas!$H:$H,Taxa_Saknas!$G:$G),""))</f>
        <v/>
      </c>
      <c r="H198" s="122" t="str">
        <f>IF($F198&lt;&gt;"",IFERROR(_xlfn.XLOOKUP($F198,Taxa_från_edp!$B:$B,Taxa_från_edp!C:C),""),"")</f>
        <v/>
      </c>
      <c r="I198" s="122" t="str">
        <f>IF($F198&lt;&gt;"",IFERROR(_xlfn.XLOOKUP($F198,Taxa_från_edp!$B:$B,Taxa_från_edp!G:G),""),"")</f>
        <v/>
      </c>
      <c r="J198" s="122" t="str">
        <f>IF($F198&lt;&gt;"",IFERROR(_xlfn.XLOOKUP($F198,Taxa_från_edp!$B:$B,Taxa_från_edp!K:K),""),"")</f>
        <v/>
      </c>
      <c r="K198" s="122"/>
      <c r="L198" s="122"/>
      <c r="M198" s="122" t="str">
        <f t="shared" si="4"/>
        <v/>
      </c>
      <c r="N198" s="123" t="str">
        <f t="shared" si="5"/>
        <v/>
      </c>
    </row>
    <row r="199" spans="1:14" ht="30" customHeight="1" x14ac:dyDescent="0.25">
      <c r="A199" s="118" t="s">
        <v>260</v>
      </c>
      <c r="B199" s="118" t="s">
        <v>261</v>
      </c>
      <c r="C199" s="118" t="s">
        <v>262</v>
      </c>
      <c r="D199" s="118" t="s">
        <v>263</v>
      </c>
      <c r="E199" s="118" t="s">
        <v>250</v>
      </c>
      <c r="F199" s="130"/>
      <c r="G199" s="135" t="str">
        <f>IF($F199&lt;&gt;"",$F199,IFERROR(_xlfn.XLOOKUP(ROW(),Taxa_Saknas!$H:$H,Taxa_Saknas!$G:$G),""))</f>
        <v/>
      </c>
      <c r="H199" s="144" t="str">
        <f>IF($F199&lt;&gt;"",IFERROR(_xlfn.XLOOKUP($F199,Taxa_från_edp!$B:$B,Taxa_från_edp!C:C),""),"")</f>
        <v/>
      </c>
      <c r="I199" s="145" t="str">
        <f>IF($F199&lt;&gt;"",IFERROR(_xlfn.XLOOKUP($F199,Taxa_från_edp!$B:$B,Taxa_från_edp!G:G),""),"")</f>
        <v/>
      </c>
      <c r="J199" s="145" t="str">
        <f>IF($F199&lt;&gt;"",IFERROR(_xlfn.XLOOKUP($F199,Taxa_från_edp!$B:$B,Taxa_från_edp!K:K),""),"")</f>
        <v/>
      </c>
      <c r="K199" s="150"/>
      <c r="L199" s="154"/>
      <c r="M199" s="156" t="str">
        <f t="shared" ref="M199:M262" si="6">IFERROR(IF(J199&lt;&gt;"",J199*1.25,IF(K199&lt;&gt;"",K199*1.25,"")),"")</f>
        <v/>
      </c>
      <c r="N199" s="157" t="str">
        <f t="shared" ref="N199:N262" si="7">IFERROR(IF(J199&lt;&gt;"",L199*J199,IF(K199&lt;&gt;"",L199*K199,"")),"")</f>
        <v/>
      </c>
    </row>
    <row r="200" spans="1:14" ht="30" customHeight="1" x14ac:dyDescent="0.25">
      <c r="A200" s="118" t="s">
        <v>260</v>
      </c>
      <c r="B200" s="118" t="s">
        <v>261</v>
      </c>
      <c r="C200" s="118" t="s">
        <v>264</v>
      </c>
      <c r="D200" s="118" t="s">
        <v>263</v>
      </c>
      <c r="E200" s="118" t="s">
        <v>250</v>
      </c>
      <c r="F200" s="127"/>
      <c r="G200" s="132" t="str">
        <f>IF($F200&lt;&gt;"",$F200,IFERROR(_xlfn.XLOOKUP(ROW(),Taxa_Saknas!$H:$H,Taxa_Saknas!$G:$G),""))</f>
        <v/>
      </c>
      <c r="H200" s="137" t="str">
        <f>IF($F200&lt;&gt;"",IFERROR(_xlfn.XLOOKUP($F200,Taxa_från_edp!$B:$B,Taxa_från_edp!C:C),""),"")</f>
        <v/>
      </c>
      <c r="I200" s="138" t="str">
        <f>IF($F200&lt;&gt;"",IFERROR(_xlfn.XLOOKUP($F200,Taxa_från_edp!$B:$B,Taxa_från_edp!G:G),""),"")</f>
        <v/>
      </c>
      <c r="J200" s="139" t="str">
        <f>IF($F200&lt;&gt;"",IFERROR(_xlfn.XLOOKUP($F200,Taxa_från_edp!$B:$B,Taxa_från_edp!K:K),""),"")</f>
        <v/>
      </c>
      <c r="K200" s="148"/>
      <c r="L200" s="152"/>
      <c r="M200" s="156" t="str">
        <f t="shared" si="6"/>
        <v/>
      </c>
      <c r="N200" s="157" t="str">
        <f t="shared" si="7"/>
        <v/>
      </c>
    </row>
    <row r="201" spans="1:14" ht="21.95" customHeight="1" x14ac:dyDescent="0.25">
      <c r="A201" s="183" t="s">
        <v>260</v>
      </c>
      <c r="B201" s="184"/>
      <c r="C201" s="184"/>
      <c r="D201" s="184"/>
      <c r="E201" s="185"/>
      <c r="F201" s="121"/>
      <c r="G201" s="125" t="str">
        <f>IF($F201&lt;&gt;"",$F201,IFERROR(_xlfn.XLOOKUP(ROW(),Taxa_Saknas!$H:$H,Taxa_Saknas!$G:$G),""))</f>
        <v/>
      </c>
      <c r="H201" s="125" t="str">
        <f>IF($F201&lt;&gt;"",IFERROR(_xlfn.XLOOKUP($F201,Taxa_från_edp!$B:$B,Taxa_från_edp!C:C),""),"")</f>
        <v/>
      </c>
      <c r="I201" s="126" t="str">
        <f>IF($F201&lt;&gt;"",IFERROR(_xlfn.XLOOKUP($F201,Taxa_från_edp!$B:$B,Taxa_från_edp!G:G),""),"")</f>
        <v/>
      </c>
      <c r="J201" s="126" t="str">
        <f>IF($F201&lt;&gt;"",IFERROR(_xlfn.XLOOKUP($F201,Taxa_från_edp!$B:$B,Taxa_från_edp!K:K),""),"")</f>
        <v/>
      </c>
      <c r="K201" s="126"/>
      <c r="L201" s="126"/>
      <c r="M201" s="122" t="str">
        <f t="shared" si="6"/>
        <v/>
      </c>
      <c r="N201" s="123" t="str">
        <f t="shared" si="7"/>
        <v/>
      </c>
    </row>
    <row r="202" spans="1:14" ht="30" customHeight="1" x14ac:dyDescent="0.25">
      <c r="A202" s="118" t="s">
        <v>260</v>
      </c>
      <c r="B202" s="118" t="s">
        <v>261</v>
      </c>
      <c r="C202" s="118" t="s">
        <v>264</v>
      </c>
      <c r="D202" s="118" t="s">
        <v>265</v>
      </c>
      <c r="E202" s="118" t="s">
        <v>250</v>
      </c>
      <c r="F202" s="127"/>
      <c r="G202" s="132" t="str">
        <f>IF($F202&lt;&gt;"",$F202,IFERROR(_xlfn.XLOOKUP(ROW(),Taxa_Saknas!$H:$H,Taxa_Saknas!$G:$G),""))</f>
        <v/>
      </c>
      <c r="H202" s="137" t="str">
        <f>IF($F202&lt;&gt;"",IFERROR(_xlfn.XLOOKUP($F202,Taxa_från_edp!$B:$B,Taxa_från_edp!C:C),""),"")</f>
        <v/>
      </c>
      <c r="I202" s="138" t="str">
        <f>IF($F202&lt;&gt;"",IFERROR(_xlfn.XLOOKUP($F202,Taxa_från_edp!$B:$B,Taxa_från_edp!G:G),""),"")</f>
        <v/>
      </c>
      <c r="J202" s="139" t="str">
        <f>IF($F202&lt;&gt;"",IFERROR(_xlfn.XLOOKUP($F202,Taxa_från_edp!$B:$B,Taxa_från_edp!K:K),""),"")</f>
        <v/>
      </c>
      <c r="K202" s="148"/>
      <c r="L202" s="152"/>
      <c r="M202" s="156" t="str">
        <f t="shared" si="6"/>
        <v/>
      </c>
      <c r="N202" s="157" t="str">
        <f t="shared" si="7"/>
        <v/>
      </c>
    </row>
    <row r="203" spans="1:14" ht="30" customHeight="1" x14ac:dyDescent="0.25">
      <c r="A203" s="118" t="s">
        <v>260</v>
      </c>
      <c r="B203" s="118" t="s">
        <v>261</v>
      </c>
      <c r="C203" s="118" t="s">
        <v>266</v>
      </c>
      <c r="D203" s="118"/>
      <c r="E203" s="118" t="s">
        <v>250</v>
      </c>
      <c r="F203" s="129"/>
      <c r="G203" s="134" t="str">
        <f>IF($F203&lt;&gt;"",$F203,IFERROR(_xlfn.XLOOKUP(ROW(),Taxa_Saknas!$H:$H,Taxa_Saknas!$G:$G),""))</f>
        <v/>
      </c>
      <c r="H203" s="141" t="str">
        <f>IF($F203&lt;&gt;"",IFERROR(_xlfn.XLOOKUP($F203,Taxa_från_edp!$B:$B,Taxa_från_edp!C:C),""),"")</f>
        <v/>
      </c>
      <c r="I203" s="142" t="str">
        <f>IF($F203&lt;&gt;"",IFERROR(_xlfn.XLOOKUP($F203,Taxa_från_edp!$B:$B,Taxa_från_edp!G:G),""),"")</f>
        <v/>
      </c>
      <c r="J203" s="143" t="str">
        <f>IF($F203&lt;&gt;"",IFERROR(_xlfn.XLOOKUP($F203,Taxa_från_edp!$B:$B,Taxa_från_edp!K:K),""),"")</f>
        <v/>
      </c>
      <c r="K203" s="149"/>
      <c r="L203" s="153"/>
      <c r="M203" s="156" t="str">
        <f t="shared" si="6"/>
        <v/>
      </c>
      <c r="N203" s="157" t="str">
        <f t="shared" si="7"/>
        <v/>
      </c>
    </row>
    <row r="204" spans="1:14" ht="30" customHeight="1" x14ac:dyDescent="0.25">
      <c r="A204" s="118" t="s">
        <v>260</v>
      </c>
      <c r="B204" s="118" t="s">
        <v>261</v>
      </c>
      <c r="C204" s="118" t="s">
        <v>267</v>
      </c>
      <c r="D204" s="118"/>
      <c r="E204" s="118" t="s">
        <v>250</v>
      </c>
      <c r="F204" s="129"/>
      <c r="G204" s="134" t="str">
        <f>IF($F204&lt;&gt;"",$F204,IFERROR(_xlfn.XLOOKUP(ROW(),Taxa_Saknas!$H:$H,Taxa_Saknas!$G:$G),""))</f>
        <v/>
      </c>
      <c r="H204" s="141" t="str">
        <f>IF($F204&lt;&gt;"",IFERROR(_xlfn.XLOOKUP($F204,Taxa_från_edp!$B:$B,Taxa_från_edp!C:C),""),"")</f>
        <v/>
      </c>
      <c r="I204" s="142" t="str">
        <f>IF($F204&lt;&gt;"",IFERROR(_xlfn.XLOOKUP($F204,Taxa_från_edp!$B:$B,Taxa_från_edp!G:G),""),"")</f>
        <v/>
      </c>
      <c r="J204" s="143" t="str">
        <f>IF($F204&lt;&gt;"",IFERROR(_xlfn.XLOOKUP($F204,Taxa_från_edp!$B:$B,Taxa_från_edp!K:K),""),"")</f>
        <v/>
      </c>
      <c r="K204" s="149"/>
      <c r="L204" s="153"/>
      <c r="M204" s="156" t="str">
        <f t="shared" si="6"/>
        <v/>
      </c>
      <c r="N204" s="157" t="str">
        <f t="shared" si="7"/>
        <v/>
      </c>
    </row>
    <row r="205" spans="1:14" ht="30" customHeight="1" x14ac:dyDescent="0.25">
      <c r="A205" s="118" t="s">
        <v>260</v>
      </c>
      <c r="B205" s="118" t="s">
        <v>261</v>
      </c>
      <c r="C205" s="118" t="s">
        <v>268</v>
      </c>
      <c r="D205" s="118"/>
      <c r="E205" s="118" t="s">
        <v>250</v>
      </c>
      <c r="F205" s="127"/>
      <c r="G205" s="132" t="str">
        <f>IF($F205&lt;&gt;"",$F205,IFERROR(_xlfn.XLOOKUP(ROW(),Taxa_Saknas!$H:$H,Taxa_Saknas!$G:$G),""))</f>
        <v/>
      </c>
      <c r="H205" s="137" t="str">
        <f>IF($F205&lt;&gt;"",IFERROR(_xlfn.XLOOKUP($F205,Taxa_från_edp!$B:$B,Taxa_från_edp!C:C),""),"")</f>
        <v/>
      </c>
      <c r="I205" s="138" t="str">
        <f>IF($F205&lt;&gt;"",IFERROR(_xlfn.XLOOKUP($F205,Taxa_från_edp!$B:$B,Taxa_från_edp!G:G),""),"")</f>
        <v/>
      </c>
      <c r="J205" s="139" t="str">
        <f>IF($F205&lt;&gt;"",IFERROR(_xlfn.XLOOKUP($F205,Taxa_från_edp!$B:$B,Taxa_från_edp!K:K),""),"")</f>
        <v/>
      </c>
      <c r="K205" s="148"/>
      <c r="L205" s="152"/>
      <c r="M205" s="156" t="str">
        <f t="shared" si="6"/>
        <v/>
      </c>
      <c r="N205" s="157" t="str">
        <f t="shared" si="7"/>
        <v/>
      </c>
    </row>
    <row r="206" spans="1:14" ht="21.95" customHeight="1" x14ac:dyDescent="0.25">
      <c r="A206" s="183" t="s">
        <v>260</v>
      </c>
      <c r="B206" s="184"/>
      <c r="C206" s="184"/>
      <c r="D206" s="184"/>
      <c r="E206" s="185"/>
      <c r="F206" s="124"/>
      <c r="G206" s="122" t="str">
        <f>IF($F206&lt;&gt;"",$F206,IFERROR(_xlfn.XLOOKUP(ROW(),Taxa_Saknas!$H:$H,Taxa_Saknas!$G:$G),""))</f>
        <v/>
      </c>
      <c r="H206" s="122" t="str">
        <f>IF($F206&lt;&gt;"",IFERROR(_xlfn.XLOOKUP($F206,Taxa_från_edp!$B:$B,Taxa_från_edp!C:C),""),"")</f>
        <v/>
      </c>
      <c r="I206" s="122" t="str">
        <f>IF($F206&lt;&gt;"",IFERROR(_xlfn.XLOOKUP($F206,Taxa_från_edp!$B:$B,Taxa_från_edp!G:G),""),"")</f>
        <v/>
      </c>
      <c r="J206" s="122" t="str">
        <f>IF($F206&lt;&gt;"",IFERROR(_xlfn.XLOOKUP($F206,Taxa_från_edp!$B:$B,Taxa_från_edp!K:K),""),"")</f>
        <v/>
      </c>
      <c r="K206" s="122"/>
      <c r="L206" s="122"/>
      <c r="M206" s="122" t="str">
        <f t="shared" si="6"/>
        <v/>
      </c>
      <c r="N206" s="123" t="str">
        <f t="shared" si="7"/>
        <v/>
      </c>
    </row>
    <row r="207" spans="1:14" ht="21.95" customHeight="1" x14ac:dyDescent="0.25">
      <c r="A207" s="183" t="s">
        <v>269</v>
      </c>
      <c r="B207" s="184"/>
      <c r="C207" s="184"/>
      <c r="D207" s="184"/>
      <c r="E207" s="185"/>
      <c r="F207" s="121"/>
      <c r="G207" s="125" t="str">
        <f>IF($F207&lt;&gt;"",$F207,IFERROR(_xlfn.XLOOKUP(ROW(),Taxa_Saknas!$H:$H,Taxa_Saknas!$G:$G),""))</f>
        <v/>
      </c>
      <c r="H207" s="125" t="str">
        <f>IF($F207&lt;&gt;"",IFERROR(_xlfn.XLOOKUP($F207,Taxa_från_edp!$B:$B,Taxa_från_edp!C:C),""),"")</f>
        <v/>
      </c>
      <c r="I207" s="126" t="str">
        <f>IF($F207&lt;&gt;"",IFERROR(_xlfn.XLOOKUP($F207,Taxa_från_edp!$B:$B,Taxa_från_edp!G:G),""),"")</f>
        <v/>
      </c>
      <c r="J207" s="126" t="str">
        <f>IF($F207&lt;&gt;"",IFERROR(_xlfn.XLOOKUP($F207,Taxa_från_edp!$B:$B,Taxa_från_edp!K:K),""),"")</f>
        <v/>
      </c>
      <c r="K207" s="126"/>
      <c r="L207" s="126"/>
      <c r="M207" s="122" t="str">
        <f t="shared" si="6"/>
        <v/>
      </c>
      <c r="N207" s="123" t="str">
        <f t="shared" si="7"/>
        <v/>
      </c>
    </row>
    <row r="208" spans="1:14" ht="30" customHeight="1" x14ac:dyDescent="0.25">
      <c r="A208" s="118" t="s">
        <v>270</v>
      </c>
      <c r="B208" s="118" t="s">
        <v>271</v>
      </c>
      <c r="C208" s="118" t="s">
        <v>272</v>
      </c>
      <c r="D208" s="118"/>
      <c r="E208" s="118" t="s">
        <v>229</v>
      </c>
      <c r="F208" s="127"/>
      <c r="G208" s="132" t="str">
        <f>IF($F208&lt;&gt;"",$F208,IFERROR(_xlfn.XLOOKUP(ROW(),Taxa_Saknas!$H:$H,Taxa_Saknas!$G:$G),""))</f>
        <v/>
      </c>
      <c r="H208" s="137" t="str">
        <f>IF($F208&lt;&gt;"",IFERROR(_xlfn.XLOOKUP($F208,Taxa_från_edp!$B:$B,Taxa_från_edp!C:C),""),"")</f>
        <v/>
      </c>
      <c r="I208" s="138" t="str">
        <f>IF($F208&lt;&gt;"",IFERROR(_xlfn.XLOOKUP($F208,Taxa_från_edp!$B:$B,Taxa_från_edp!G:G),""),"")</f>
        <v/>
      </c>
      <c r="J208" s="139" t="str">
        <f>IF($F208&lt;&gt;"",IFERROR(_xlfn.XLOOKUP($F208,Taxa_från_edp!$B:$B,Taxa_från_edp!K:K),""),"")</f>
        <v/>
      </c>
      <c r="K208" s="148"/>
      <c r="L208" s="152"/>
      <c r="M208" s="156" t="str">
        <f t="shared" si="6"/>
        <v/>
      </c>
      <c r="N208" s="157" t="str">
        <f t="shared" si="7"/>
        <v/>
      </c>
    </row>
    <row r="209" spans="1:14" ht="21.95" customHeight="1" x14ac:dyDescent="0.25">
      <c r="A209" s="183" t="s">
        <v>270</v>
      </c>
      <c r="B209" s="184"/>
      <c r="C209" s="184"/>
      <c r="D209" s="184"/>
      <c r="E209" s="185"/>
      <c r="F209" s="121"/>
      <c r="G209" s="125" t="str">
        <f>IF($F209&lt;&gt;"",$F209,IFERROR(_xlfn.XLOOKUP(ROW(),Taxa_Saknas!$H:$H,Taxa_Saknas!$G:$G),""))</f>
        <v/>
      </c>
      <c r="H209" s="125" t="str">
        <f>IF($F209&lt;&gt;"",IFERROR(_xlfn.XLOOKUP($F209,Taxa_från_edp!$B:$B,Taxa_från_edp!C:C),""),"")</f>
        <v/>
      </c>
      <c r="I209" s="126" t="str">
        <f>IF($F209&lt;&gt;"",IFERROR(_xlfn.XLOOKUP($F209,Taxa_från_edp!$B:$B,Taxa_från_edp!G:G),""),"")</f>
        <v/>
      </c>
      <c r="J209" s="126" t="str">
        <f>IF($F209&lt;&gt;"",IFERROR(_xlfn.XLOOKUP($F209,Taxa_från_edp!$B:$B,Taxa_från_edp!K:K),""),"")</f>
        <v/>
      </c>
      <c r="K209" s="126"/>
      <c r="L209" s="126"/>
      <c r="M209" s="122" t="str">
        <f t="shared" si="6"/>
        <v/>
      </c>
      <c r="N209" s="123" t="str">
        <f t="shared" si="7"/>
        <v/>
      </c>
    </row>
    <row r="210" spans="1:14" ht="21.95" customHeight="1" x14ac:dyDescent="0.25">
      <c r="A210" s="183" t="s">
        <v>273</v>
      </c>
      <c r="B210" s="184"/>
      <c r="C210" s="184"/>
      <c r="D210" s="184"/>
      <c r="E210" s="185"/>
      <c r="F210" s="121"/>
      <c r="G210" s="125" t="str">
        <f>IF($F210&lt;&gt;"",$F210,IFERROR(_xlfn.XLOOKUP(ROW(),Taxa_Saknas!$H:$H,Taxa_Saknas!$G:$G),""))</f>
        <v/>
      </c>
      <c r="H210" s="125" t="str">
        <f>IF($F210&lt;&gt;"",IFERROR(_xlfn.XLOOKUP($F210,Taxa_från_edp!$B:$B,Taxa_från_edp!C:C),""),"")</f>
        <v/>
      </c>
      <c r="I210" s="126" t="str">
        <f>IF($F210&lt;&gt;"",IFERROR(_xlfn.XLOOKUP($F210,Taxa_från_edp!$B:$B,Taxa_från_edp!G:G),""),"")</f>
        <v/>
      </c>
      <c r="J210" s="126" t="str">
        <f>IF($F210&lt;&gt;"",IFERROR(_xlfn.XLOOKUP($F210,Taxa_från_edp!$B:$B,Taxa_från_edp!K:K),""),"")</f>
        <v/>
      </c>
      <c r="K210" s="126"/>
      <c r="L210" s="126"/>
      <c r="M210" s="122" t="str">
        <f t="shared" si="6"/>
        <v/>
      </c>
      <c r="N210" s="123" t="str">
        <f t="shared" si="7"/>
        <v/>
      </c>
    </row>
    <row r="211" spans="1:14" ht="30" customHeight="1" x14ac:dyDescent="0.25">
      <c r="A211" s="118" t="s">
        <v>274</v>
      </c>
      <c r="B211" s="118" t="s">
        <v>275</v>
      </c>
      <c r="C211" s="118" t="s">
        <v>276</v>
      </c>
      <c r="D211" s="118" t="s">
        <v>277</v>
      </c>
      <c r="E211" s="118" t="s">
        <v>250</v>
      </c>
      <c r="F211" s="127"/>
      <c r="G211" s="132" t="str">
        <f>IF($F211&lt;&gt;"",$F211,IFERROR(_xlfn.XLOOKUP(ROW(),Taxa_Saknas!$H:$H,Taxa_Saknas!$G:$G),""))</f>
        <v/>
      </c>
      <c r="H211" s="137" t="str">
        <f>IF($F211&lt;&gt;"",IFERROR(_xlfn.XLOOKUP($F211,Taxa_från_edp!$B:$B,Taxa_från_edp!C:C),""),"")</f>
        <v/>
      </c>
      <c r="I211" s="138" t="str">
        <f>IF($F211&lt;&gt;"",IFERROR(_xlfn.XLOOKUP($F211,Taxa_från_edp!$B:$B,Taxa_från_edp!G:G),""),"")</f>
        <v/>
      </c>
      <c r="J211" s="139" t="str">
        <f>IF($F211&lt;&gt;"",IFERROR(_xlfn.XLOOKUP($F211,Taxa_från_edp!$B:$B,Taxa_från_edp!K:K),""),"")</f>
        <v/>
      </c>
      <c r="K211" s="148"/>
      <c r="L211" s="152"/>
      <c r="M211" s="156" t="str">
        <f t="shared" si="6"/>
        <v/>
      </c>
      <c r="N211" s="157" t="str">
        <f t="shared" si="7"/>
        <v/>
      </c>
    </row>
    <row r="212" spans="1:14" ht="30" customHeight="1" x14ac:dyDescent="0.25">
      <c r="A212" s="118" t="s">
        <v>274</v>
      </c>
      <c r="B212" s="118" t="s">
        <v>275</v>
      </c>
      <c r="C212" s="118" t="s">
        <v>278</v>
      </c>
      <c r="D212" s="118" t="s">
        <v>277</v>
      </c>
      <c r="E212" s="118" t="s">
        <v>250</v>
      </c>
      <c r="F212" s="129"/>
      <c r="G212" s="134" t="str">
        <f>IF($F212&lt;&gt;"",$F212,IFERROR(_xlfn.XLOOKUP(ROW(),Taxa_Saknas!$H:$H,Taxa_Saknas!$G:$G),""))</f>
        <v/>
      </c>
      <c r="H212" s="141" t="str">
        <f>IF($F212&lt;&gt;"",IFERROR(_xlfn.XLOOKUP($F212,Taxa_från_edp!$B:$B,Taxa_från_edp!C:C),""),"")</f>
        <v/>
      </c>
      <c r="I212" s="142" t="str">
        <f>IF($F212&lt;&gt;"",IFERROR(_xlfn.XLOOKUP($F212,Taxa_från_edp!$B:$B,Taxa_från_edp!G:G),""),"")</f>
        <v/>
      </c>
      <c r="J212" s="143" t="str">
        <f>IF($F212&lt;&gt;"",IFERROR(_xlfn.XLOOKUP($F212,Taxa_från_edp!$B:$B,Taxa_från_edp!K:K),""),"")</f>
        <v/>
      </c>
      <c r="K212" s="149"/>
      <c r="L212" s="153"/>
      <c r="M212" s="156" t="str">
        <f t="shared" si="6"/>
        <v/>
      </c>
      <c r="N212" s="157" t="str">
        <f t="shared" si="7"/>
        <v/>
      </c>
    </row>
    <row r="213" spans="1:14" x14ac:dyDescent="0.25">
      <c r="A213" s="186" t="s">
        <v>274</v>
      </c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8"/>
      <c r="M213" s="156" t="str">
        <f t="shared" si="6"/>
        <v/>
      </c>
      <c r="N213" s="157" t="str">
        <f t="shared" si="7"/>
        <v/>
      </c>
    </row>
    <row r="214" spans="1:14" ht="30" x14ac:dyDescent="0.25">
      <c r="A214" s="118" t="s">
        <v>274</v>
      </c>
      <c r="B214" s="118" t="s">
        <v>275</v>
      </c>
      <c r="C214" s="118" t="s">
        <v>278</v>
      </c>
      <c r="D214" s="118" t="s">
        <v>279</v>
      </c>
      <c r="E214" s="118" t="s">
        <v>250</v>
      </c>
      <c r="F214" s="130"/>
      <c r="G214" s="135" t="str">
        <f>IF($F214&lt;&gt;"",$F214,IFERROR(_xlfn.XLOOKUP(ROW(),Taxa_Saknas!$H:$H,Taxa_Saknas!$G:$G),""))</f>
        <v/>
      </c>
      <c r="H214" s="144" t="str">
        <f>IF($F214&lt;&gt;"",IFERROR(_xlfn.XLOOKUP($F214,Taxa_från_edp!$B:$B,Taxa_från_edp!C:C),""),"")</f>
        <v/>
      </c>
      <c r="I214" s="145" t="str">
        <f>IF($F214&lt;&gt;"",IFERROR(_xlfn.XLOOKUP($F214,Taxa_från_edp!$B:$B,Taxa_från_edp!G:G),""),"")</f>
        <v/>
      </c>
      <c r="J214" s="145" t="str">
        <f>IF($F214&lt;&gt;"",IFERROR(_xlfn.XLOOKUP($F214,Taxa_från_edp!$B:$B,Taxa_från_edp!K:K),""),"")</f>
        <v/>
      </c>
      <c r="K214" s="150"/>
      <c r="L214" s="154"/>
      <c r="M214" s="156" t="str">
        <f t="shared" si="6"/>
        <v/>
      </c>
      <c r="N214" s="157" t="str">
        <f t="shared" si="7"/>
        <v/>
      </c>
    </row>
    <row r="215" spans="1:14" ht="21.95" customHeight="1" x14ac:dyDescent="0.25">
      <c r="A215" s="183" t="s">
        <v>274</v>
      </c>
      <c r="B215" s="184"/>
      <c r="C215" s="184"/>
      <c r="D215" s="184"/>
      <c r="E215" s="185"/>
      <c r="F215" s="121"/>
      <c r="G215" s="125" t="str">
        <f>IF($F215&lt;&gt;"",$F215,IFERROR(_xlfn.XLOOKUP(ROW(),Taxa_Saknas!$H:$H,Taxa_Saknas!$G:$G),""))</f>
        <v/>
      </c>
      <c r="H215" s="125" t="str">
        <f>IF($F215&lt;&gt;"",IFERROR(_xlfn.XLOOKUP($F215,Taxa_från_edp!$B:$B,Taxa_från_edp!C:C),""),"")</f>
        <v/>
      </c>
      <c r="I215" s="126" t="str">
        <f>IF($F215&lt;&gt;"",IFERROR(_xlfn.XLOOKUP($F215,Taxa_från_edp!$B:$B,Taxa_från_edp!G:G),""),"")</f>
        <v/>
      </c>
      <c r="J215" s="126" t="str">
        <f>IF($F215&lt;&gt;"",IFERROR(_xlfn.XLOOKUP($F215,Taxa_från_edp!$B:$B,Taxa_från_edp!K:K),""),"")</f>
        <v/>
      </c>
      <c r="K215" s="126"/>
      <c r="L215" s="126"/>
      <c r="M215" s="122" t="str">
        <f t="shared" si="6"/>
        <v/>
      </c>
      <c r="N215" s="123" t="str">
        <f t="shared" si="7"/>
        <v/>
      </c>
    </row>
    <row r="216" spans="1:14" ht="21.95" customHeight="1" x14ac:dyDescent="0.25">
      <c r="A216" s="183" t="s">
        <v>280</v>
      </c>
      <c r="B216" s="184"/>
      <c r="C216" s="184"/>
      <c r="D216" s="184"/>
      <c r="E216" s="185"/>
      <c r="F216" s="121"/>
      <c r="G216" s="125" t="str">
        <f>IF($F216&lt;&gt;"",$F216,IFERROR(_xlfn.XLOOKUP(ROW(),Taxa_Saknas!$H:$H,Taxa_Saknas!$G:$G),""))</f>
        <v/>
      </c>
      <c r="H216" s="125" t="str">
        <f>IF($F216&lt;&gt;"",IFERROR(_xlfn.XLOOKUP($F216,Taxa_från_edp!$B:$B,Taxa_från_edp!C:C),""),"")</f>
        <v/>
      </c>
      <c r="I216" s="126" t="str">
        <f>IF($F216&lt;&gt;"",IFERROR(_xlfn.XLOOKUP($F216,Taxa_från_edp!$B:$B,Taxa_från_edp!G:G),""),"")</f>
        <v/>
      </c>
      <c r="J216" s="126" t="str">
        <f>IF($F216&lt;&gt;"",IFERROR(_xlfn.XLOOKUP($F216,Taxa_från_edp!$B:$B,Taxa_från_edp!K:K),""),"")</f>
        <v/>
      </c>
      <c r="K216" s="126"/>
      <c r="L216" s="126"/>
      <c r="M216" s="122" t="str">
        <f t="shared" si="6"/>
        <v/>
      </c>
      <c r="N216" s="123" t="str">
        <f t="shared" si="7"/>
        <v/>
      </c>
    </row>
    <row r="217" spans="1:14" ht="30" customHeight="1" x14ac:dyDescent="0.25">
      <c r="A217" s="118" t="s">
        <v>281</v>
      </c>
      <c r="B217" s="118" t="s">
        <v>282</v>
      </c>
      <c r="C217" s="118" t="s">
        <v>283</v>
      </c>
      <c r="D217" s="118"/>
      <c r="E217" s="118" t="s">
        <v>250</v>
      </c>
      <c r="F217" s="127"/>
      <c r="G217" s="132" t="str">
        <f>IF($F217&lt;&gt;"",$F217,IFERROR(_xlfn.XLOOKUP(ROW(),Taxa_Saknas!$H:$H,Taxa_Saknas!$G:$G),""))</f>
        <v/>
      </c>
      <c r="H217" s="137" t="str">
        <f>IF($F217&lt;&gt;"",IFERROR(_xlfn.XLOOKUP($F217,Taxa_från_edp!$B:$B,Taxa_från_edp!C:C),""),"")</f>
        <v/>
      </c>
      <c r="I217" s="138" t="str">
        <f>IF($F217&lt;&gt;"",IFERROR(_xlfn.XLOOKUP($F217,Taxa_från_edp!$B:$B,Taxa_från_edp!G:G),""),"")</f>
        <v/>
      </c>
      <c r="J217" s="139" t="str">
        <f>IF($F217&lt;&gt;"",IFERROR(_xlfn.XLOOKUP($F217,Taxa_från_edp!$B:$B,Taxa_från_edp!K:K),""),"")</f>
        <v/>
      </c>
      <c r="K217" s="148"/>
      <c r="L217" s="152"/>
      <c r="M217" s="156" t="str">
        <f t="shared" si="6"/>
        <v/>
      </c>
      <c r="N217" s="157" t="str">
        <f t="shared" si="7"/>
        <v/>
      </c>
    </row>
    <row r="218" spans="1:14" x14ac:dyDescent="0.25">
      <c r="A218" s="118" t="s">
        <v>281</v>
      </c>
      <c r="B218" s="118" t="s">
        <v>282</v>
      </c>
      <c r="C218" s="118" t="s">
        <v>284</v>
      </c>
      <c r="D218" s="118"/>
      <c r="E218" s="118" t="s">
        <v>250</v>
      </c>
      <c r="F218" s="129"/>
      <c r="G218" s="134" t="str">
        <f>IF($F218&lt;&gt;"",$F218,IFERROR(_xlfn.XLOOKUP(ROW(),Taxa_Saknas!$H:$H,Taxa_Saknas!$G:$G),""))</f>
        <v/>
      </c>
      <c r="H218" s="141" t="str">
        <f>IF($F218&lt;&gt;"",IFERROR(_xlfn.XLOOKUP($F218,Taxa_från_edp!$B:$B,Taxa_från_edp!C:C),""),"")</f>
        <v/>
      </c>
      <c r="I218" s="142" t="str">
        <f>IF($F218&lt;&gt;"",IFERROR(_xlfn.XLOOKUP($F218,Taxa_från_edp!$B:$B,Taxa_från_edp!G:G),""),"")</f>
        <v/>
      </c>
      <c r="J218" s="143" t="str">
        <f>IF($F218&lt;&gt;"",IFERROR(_xlfn.XLOOKUP($F218,Taxa_från_edp!$B:$B,Taxa_från_edp!K:K),""),"")</f>
        <v/>
      </c>
      <c r="K218" s="149"/>
      <c r="L218" s="153"/>
      <c r="M218" s="156" t="str">
        <f t="shared" si="6"/>
        <v/>
      </c>
      <c r="N218" s="157" t="str">
        <f t="shared" si="7"/>
        <v/>
      </c>
    </row>
    <row r="219" spans="1:14" ht="75" customHeight="1" x14ac:dyDescent="0.25">
      <c r="A219" s="118" t="s">
        <v>281</v>
      </c>
      <c r="B219" s="118" t="s">
        <v>282</v>
      </c>
      <c r="C219" s="118" t="s">
        <v>285</v>
      </c>
      <c r="D219" s="118"/>
      <c r="E219" s="118" t="s">
        <v>250</v>
      </c>
      <c r="F219" s="129"/>
      <c r="G219" s="134" t="str">
        <f>IF($F219&lt;&gt;"",$F219,IFERROR(_xlfn.XLOOKUP(ROW(),Taxa_Saknas!$H:$H,Taxa_Saknas!$G:$G),""))</f>
        <v/>
      </c>
      <c r="H219" s="141" t="str">
        <f>IF($F219&lt;&gt;"",IFERROR(_xlfn.XLOOKUP($F219,Taxa_från_edp!$B:$B,Taxa_från_edp!C:C),""),"")</f>
        <v/>
      </c>
      <c r="I219" s="142" t="str">
        <f>IF($F219&lt;&gt;"",IFERROR(_xlfn.XLOOKUP($F219,Taxa_från_edp!$B:$B,Taxa_från_edp!G:G),""),"")</f>
        <v/>
      </c>
      <c r="J219" s="143" t="str">
        <f>IF($F219&lt;&gt;"",IFERROR(_xlfn.XLOOKUP($F219,Taxa_från_edp!$B:$B,Taxa_från_edp!K:K),""),"")</f>
        <v/>
      </c>
      <c r="K219" s="149"/>
      <c r="L219" s="153"/>
      <c r="M219" s="156" t="str">
        <f t="shared" si="6"/>
        <v/>
      </c>
      <c r="N219" s="157" t="str">
        <f t="shared" si="7"/>
        <v/>
      </c>
    </row>
    <row r="220" spans="1:14" ht="45" customHeight="1" x14ac:dyDescent="0.25">
      <c r="A220" s="118" t="s">
        <v>281</v>
      </c>
      <c r="B220" s="118" t="s">
        <v>282</v>
      </c>
      <c r="C220" s="118" t="s">
        <v>286</v>
      </c>
      <c r="D220" s="118"/>
      <c r="E220" s="118" t="s">
        <v>250</v>
      </c>
      <c r="F220" s="127"/>
      <c r="G220" s="132" t="str">
        <f>IF($F220&lt;&gt;"",$F220,IFERROR(_xlfn.XLOOKUP(ROW(),Taxa_Saknas!$H:$H,Taxa_Saknas!$G:$G),""))</f>
        <v/>
      </c>
      <c r="H220" s="137" t="str">
        <f>IF($F220&lt;&gt;"",IFERROR(_xlfn.XLOOKUP($F220,Taxa_från_edp!$B:$B,Taxa_från_edp!C:C),""),"")</f>
        <v/>
      </c>
      <c r="I220" s="138" t="str">
        <f>IF($F220&lt;&gt;"",IFERROR(_xlfn.XLOOKUP($F220,Taxa_från_edp!$B:$B,Taxa_från_edp!G:G),""),"")</f>
        <v/>
      </c>
      <c r="J220" s="139" t="str">
        <f>IF($F220&lt;&gt;"",IFERROR(_xlfn.XLOOKUP($F220,Taxa_från_edp!$B:$B,Taxa_från_edp!K:K),""),"")</f>
        <v/>
      </c>
      <c r="K220" s="148"/>
      <c r="L220" s="152"/>
      <c r="M220" s="156" t="str">
        <f t="shared" si="6"/>
        <v/>
      </c>
      <c r="N220" s="157" t="str">
        <f t="shared" si="7"/>
        <v/>
      </c>
    </row>
    <row r="221" spans="1:14" ht="21.95" customHeight="1" x14ac:dyDescent="0.25">
      <c r="A221" s="183" t="s">
        <v>281</v>
      </c>
      <c r="B221" s="184"/>
      <c r="C221" s="184"/>
      <c r="D221" s="184"/>
      <c r="E221" s="185"/>
      <c r="F221" s="121"/>
      <c r="G221" s="125" t="str">
        <f>IF($F221&lt;&gt;"",$F221,IFERROR(_xlfn.XLOOKUP(ROW(),Taxa_Saknas!$H:$H,Taxa_Saknas!$G:$G),""))</f>
        <v/>
      </c>
      <c r="H221" s="125" t="str">
        <f>IF($F221&lt;&gt;"",IFERROR(_xlfn.XLOOKUP($F221,Taxa_från_edp!$B:$B,Taxa_från_edp!C:C),""),"")</f>
        <v/>
      </c>
      <c r="I221" s="126" t="str">
        <f>IF($F221&lt;&gt;"",IFERROR(_xlfn.XLOOKUP($F221,Taxa_från_edp!$B:$B,Taxa_från_edp!G:G),""),"")</f>
        <v/>
      </c>
      <c r="J221" s="126" t="str">
        <f>IF($F221&lt;&gt;"",IFERROR(_xlfn.XLOOKUP($F221,Taxa_från_edp!$B:$B,Taxa_från_edp!K:K),""),"")</f>
        <v/>
      </c>
      <c r="K221" s="126"/>
      <c r="L221" s="126"/>
      <c r="M221" s="122" t="str">
        <f t="shared" si="6"/>
        <v/>
      </c>
      <c r="N221" s="123" t="str">
        <f t="shared" si="7"/>
        <v/>
      </c>
    </row>
    <row r="222" spans="1:14" ht="21.95" customHeight="1" x14ac:dyDescent="0.25">
      <c r="A222" s="183" t="s">
        <v>287</v>
      </c>
      <c r="B222" s="184"/>
      <c r="C222" s="184"/>
      <c r="D222" s="184"/>
      <c r="E222" s="185"/>
      <c r="F222" s="121"/>
      <c r="G222" s="125" t="str">
        <f>IF($F222&lt;&gt;"",$F222,IFERROR(_xlfn.XLOOKUP(ROW(),Taxa_Saknas!$H:$H,Taxa_Saknas!$G:$G),""))</f>
        <v/>
      </c>
      <c r="H222" s="125" t="str">
        <f>IF($F222&lt;&gt;"",IFERROR(_xlfn.XLOOKUP($F222,Taxa_från_edp!$B:$B,Taxa_från_edp!C:C),""),"")</f>
        <v/>
      </c>
      <c r="I222" s="126" t="str">
        <f>IF($F222&lt;&gt;"",IFERROR(_xlfn.XLOOKUP($F222,Taxa_från_edp!$B:$B,Taxa_från_edp!G:G),""),"")</f>
        <v/>
      </c>
      <c r="J222" s="126" t="str">
        <f>IF($F222&lt;&gt;"",IFERROR(_xlfn.XLOOKUP($F222,Taxa_från_edp!$B:$B,Taxa_från_edp!K:K),""),"")</f>
        <v/>
      </c>
      <c r="K222" s="126"/>
      <c r="L222" s="126"/>
      <c r="M222" s="122" t="str">
        <f t="shared" si="6"/>
        <v/>
      </c>
      <c r="N222" s="123" t="str">
        <f t="shared" si="7"/>
        <v/>
      </c>
    </row>
    <row r="223" spans="1:14" ht="30" customHeight="1" x14ac:dyDescent="0.25">
      <c r="A223" s="118" t="s">
        <v>288</v>
      </c>
      <c r="B223" s="118" t="s">
        <v>289</v>
      </c>
      <c r="C223" s="118" t="s">
        <v>290</v>
      </c>
      <c r="D223" s="118" t="s">
        <v>291</v>
      </c>
      <c r="E223" s="118" t="s">
        <v>250</v>
      </c>
      <c r="F223" s="127"/>
      <c r="G223" s="132" t="str">
        <f>IF($F223&lt;&gt;"",$F223,IFERROR(_xlfn.XLOOKUP(ROW(),Taxa_Saknas!$H:$H,Taxa_Saknas!$G:$G),""))</f>
        <v/>
      </c>
      <c r="H223" s="137" t="str">
        <f>IF($F223&lt;&gt;"",IFERROR(_xlfn.XLOOKUP($F223,Taxa_från_edp!$B:$B,Taxa_från_edp!C:C),""),"")</f>
        <v/>
      </c>
      <c r="I223" s="138" t="str">
        <f>IF($F223&lt;&gt;"",IFERROR(_xlfn.XLOOKUP($F223,Taxa_från_edp!$B:$B,Taxa_från_edp!G:G),""),"")</f>
        <v/>
      </c>
      <c r="J223" s="139" t="str">
        <f>IF($F223&lt;&gt;"",IFERROR(_xlfn.XLOOKUP($F223,Taxa_från_edp!$B:$B,Taxa_från_edp!K:K),""),"")</f>
        <v/>
      </c>
      <c r="K223" s="148"/>
      <c r="L223" s="152"/>
      <c r="M223" s="156" t="str">
        <f t="shared" si="6"/>
        <v/>
      </c>
      <c r="N223" s="157" t="str">
        <f t="shared" si="7"/>
        <v/>
      </c>
    </row>
    <row r="224" spans="1:14" ht="30" customHeight="1" x14ac:dyDescent="0.25">
      <c r="A224" s="118" t="s">
        <v>288</v>
      </c>
      <c r="B224" s="118" t="s">
        <v>289</v>
      </c>
      <c r="C224" s="118" t="s">
        <v>240</v>
      </c>
      <c r="D224" s="118" t="s">
        <v>291</v>
      </c>
      <c r="E224" s="118" t="s">
        <v>250</v>
      </c>
      <c r="F224" s="127"/>
      <c r="G224" s="132" t="str">
        <f>IF($F224&lt;&gt;"",$F224,IFERROR(_xlfn.XLOOKUP(ROW(),Taxa_Saknas!$H:$H,Taxa_Saknas!$G:$G),""))</f>
        <v/>
      </c>
      <c r="H224" s="137" t="str">
        <f>IF($F224&lt;&gt;"",IFERROR(_xlfn.XLOOKUP($F224,Taxa_från_edp!$B:$B,Taxa_från_edp!C:C),""),"")</f>
        <v/>
      </c>
      <c r="I224" s="138" t="str">
        <f>IF($F224&lt;&gt;"",IFERROR(_xlfn.XLOOKUP($F224,Taxa_från_edp!$B:$B,Taxa_från_edp!G:G),""),"")</f>
        <v/>
      </c>
      <c r="J224" s="139" t="str">
        <f>IF($F224&lt;&gt;"",IFERROR(_xlfn.XLOOKUP($F224,Taxa_från_edp!$B:$B,Taxa_från_edp!K:K),""),"")</f>
        <v/>
      </c>
      <c r="K224" s="148"/>
      <c r="L224" s="152"/>
      <c r="M224" s="156" t="str">
        <f t="shared" si="6"/>
        <v/>
      </c>
      <c r="N224" s="157" t="str">
        <f t="shared" si="7"/>
        <v/>
      </c>
    </row>
    <row r="225" spans="1:14" ht="30" customHeight="1" x14ac:dyDescent="0.25">
      <c r="A225" s="118" t="s">
        <v>288</v>
      </c>
      <c r="B225" s="118" t="s">
        <v>289</v>
      </c>
      <c r="C225" s="118" t="s">
        <v>292</v>
      </c>
      <c r="D225" s="118" t="s">
        <v>291</v>
      </c>
      <c r="E225" s="118" t="s">
        <v>250</v>
      </c>
      <c r="F225" s="127"/>
      <c r="G225" s="132" t="str">
        <f>IF($F225&lt;&gt;"",$F225,IFERROR(_xlfn.XLOOKUP(ROW(),Taxa_Saknas!$H:$H,Taxa_Saknas!$G:$G),""))</f>
        <v/>
      </c>
      <c r="H225" s="137" t="str">
        <f>IF($F225&lt;&gt;"",IFERROR(_xlfn.XLOOKUP($F225,Taxa_från_edp!$B:$B,Taxa_från_edp!C:C),""),"")</f>
        <v/>
      </c>
      <c r="I225" s="138" t="str">
        <f>IF($F225&lt;&gt;"",IFERROR(_xlfn.XLOOKUP($F225,Taxa_från_edp!$B:$B,Taxa_från_edp!G:G),""),"")</f>
        <v/>
      </c>
      <c r="J225" s="139" t="str">
        <f>IF($F225&lt;&gt;"",IFERROR(_xlfn.XLOOKUP($F225,Taxa_från_edp!$B:$B,Taxa_från_edp!K:K),""),"")</f>
        <v/>
      </c>
      <c r="K225" s="148"/>
      <c r="L225" s="152"/>
      <c r="M225" s="156" t="str">
        <f t="shared" si="6"/>
        <v/>
      </c>
      <c r="N225" s="157" t="str">
        <f t="shared" si="7"/>
        <v/>
      </c>
    </row>
    <row r="226" spans="1:14" x14ac:dyDescent="0.25">
      <c r="A226" s="186" t="s">
        <v>288</v>
      </c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8"/>
      <c r="M226" s="156" t="str">
        <f t="shared" si="6"/>
        <v/>
      </c>
      <c r="N226" s="157" t="str">
        <f t="shared" si="7"/>
        <v/>
      </c>
    </row>
    <row r="227" spans="1:14" ht="30" customHeight="1" x14ac:dyDescent="0.25">
      <c r="A227" s="118" t="s">
        <v>288</v>
      </c>
      <c r="B227" s="118" t="s">
        <v>289</v>
      </c>
      <c r="C227" s="118" t="s">
        <v>240</v>
      </c>
      <c r="D227" s="118" t="s">
        <v>279</v>
      </c>
      <c r="E227" s="118" t="s">
        <v>250</v>
      </c>
      <c r="F227" s="131"/>
      <c r="G227" s="136" t="str">
        <f>IF($F227&lt;&gt;"",$F227,IFERROR(_xlfn.XLOOKUP(ROW(),Taxa_Saknas!$H:$H,Taxa_Saknas!$G:$G),""))</f>
        <v/>
      </c>
      <c r="H227" s="146" t="str">
        <f>IF($F227&lt;&gt;"",IFERROR(_xlfn.XLOOKUP($F227,Taxa_från_edp!$B:$B,Taxa_från_edp!C:C),""),"")</f>
        <v/>
      </c>
      <c r="I227" s="147" t="str">
        <f>IF($F227&lt;&gt;"",IFERROR(_xlfn.XLOOKUP($F227,Taxa_från_edp!$B:$B,Taxa_från_edp!G:G),""),"")</f>
        <v/>
      </c>
      <c r="J227" s="147" t="str">
        <f>IF($F227&lt;&gt;"",IFERROR(_xlfn.XLOOKUP($F227,Taxa_från_edp!$B:$B,Taxa_från_edp!K:K),""),"")</f>
        <v/>
      </c>
      <c r="K227" s="151"/>
      <c r="L227" s="155"/>
      <c r="M227" s="156" t="str">
        <f t="shared" si="6"/>
        <v/>
      </c>
      <c r="N227" s="157" t="str">
        <f t="shared" si="7"/>
        <v/>
      </c>
    </row>
    <row r="228" spans="1:14" ht="30" customHeight="1" x14ac:dyDescent="0.25">
      <c r="A228" s="118" t="s">
        <v>288</v>
      </c>
      <c r="B228" s="118" t="s">
        <v>289</v>
      </c>
      <c r="C228" s="118" t="s">
        <v>292</v>
      </c>
      <c r="D228" s="118" t="s">
        <v>279</v>
      </c>
      <c r="E228" s="118" t="s">
        <v>250</v>
      </c>
      <c r="F228" s="127"/>
      <c r="G228" s="132" t="str">
        <f>IF($F228&lt;&gt;"",$F228,IFERROR(_xlfn.XLOOKUP(ROW(),Taxa_Saknas!$H:$H,Taxa_Saknas!$G:$G),""))</f>
        <v/>
      </c>
      <c r="H228" s="137" t="str">
        <f>IF($F228&lt;&gt;"",IFERROR(_xlfn.XLOOKUP($F228,Taxa_från_edp!$B:$B,Taxa_från_edp!C:C),""),"")</f>
        <v/>
      </c>
      <c r="I228" s="138" t="str">
        <f>IF($F228&lt;&gt;"",IFERROR(_xlfn.XLOOKUP($F228,Taxa_från_edp!$B:$B,Taxa_från_edp!G:G),""),"")</f>
        <v/>
      </c>
      <c r="J228" s="139" t="str">
        <f>IF($F228&lt;&gt;"",IFERROR(_xlfn.XLOOKUP($F228,Taxa_från_edp!$B:$B,Taxa_från_edp!K:K),""),"")</f>
        <v/>
      </c>
      <c r="K228" s="148"/>
      <c r="L228" s="152"/>
      <c r="M228" s="156" t="str">
        <f t="shared" si="6"/>
        <v/>
      </c>
      <c r="N228" s="157" t="str">
        <f t="shared" si="7"/>
        <v/>
      </c>
    </row>
    <row r="229" spans="1:14" ht="21.95" customHeight="1" x14ac:dyDescent="0.25">
      <c r="A229" s="183" t="s">
        <v>288</v>
      </c>
      <c r="B229" s="184"/>
      <c r="C229" s="184"/>
      <c r="D229" s="184"/>
      <c r="E229" s="185"/>
      <c r="F229" s="121"/>
      <c r="G229" s="125" t="str">
        <f>IF($F229&lt;&gt;"",$F229,IFERROR(_xlfn.XLOOKUP(ROW(),Taxa_Saknas!$H:$H,Taxa_Saknas!$G:$G),""))</f>
        <v/>
      </c>
      <c r="H229" s="125" t="str">
        <f>IF($F229&lt;&gt;"",IFERROR(_xlfn.XLOOKUP($F229,Taxa_från_edp!$B:$B,Taxa_från_edp!C:C),""),"")</f>
        <v/>
      </c>
      <c r="I229" s="126" t="str">
        <f>IF($F229&lt;&gt;"",IFERROR(_xlfn.XLOOKUP($F229,Taxa_från_edp!$B:$B,Taxa_från_edp!G:G),""),"")</f>
        <v/>
      </c>
      <c r="J229" s="126" t="str">
        <f>IF($F229&lt;&gt;"",IFERROR(_xlfn.XLOOKUP($F229,Taxa_från_edp!$B:$B,Taxa_från_edp!K:K),""),"")</f>
        <v/>
      </c>
      <c r="K229" s="126"/>
      <c r="L229" s="126"/>
      <c r="M229" s="122" t="str">
        <f t="shared" si="6"/>
        <v/>
      </c>
      <c r="N229" s="123" t="str">
        <f t="shared" si="7"/>
        <v/>
      </c>
    </row>
    <row r="230" spans="1:14" ht="21.95" customHeight="1" x14ac:dyDescent="0.25">
      <c r="A230" s="183" t="s">
        <v>293</v>
      </c>
      <c r="B230" s="184"/>
      <c r="C230" s="184"/>
      <c r="D230" s="184"/>
      <c r="E230" s="185"/>
      <c r="F230" s="121"/>
      <c r="G230" s="125" t="str">
        <f>IF($F230&lt;&gt;"",$F230,IFERROR(_xlfn.XLOOKUP(ROW(),Taxa_Saknas!$H:$H,Taxa_Saknas!$G:$G),""))</f>
        <v/>
      </c>
      <c r="H230" s="125" t="str">
        <f>IF($F230&lt;&gt;"",IFERROR(_xlfn.XLOOKUP($F230,Taxa_från_edp!$B:$B,Taxa_från_edp!C:C),""),"")</f>
        <v/>
      </c>
      <c r="I230" s="126" t="str">
        <f>IF($F230&lt;&gt;"",IFERROR(_xlfn.XLOOKUP($F230,Taxa_från_edp!$B:$B,Taxa_från_edp!G:G),""),"")</f>
        <v/>
      </c>
      <c r="J230" s="126" t="str">
        <f>IF($F230&lt;&gt;"",IFERROR(_xlfn.XLOOKUP($F230,Taxa_från_edp!$B:$B,Taxa_från_edp!K:K),""),"")</f>
        <v/>
      </c>
      <c r="K230" s="126"/>
      <c r="L230" s="126"/>
      <c r="M230" s="122" t="str">
        <f t="shared" si="6"/>
        <v/>
      </c>
      <c r="N230" s="123" t="str">
        <f t="shared" si="7"/>
        <v/>
      </c>
    </row>
    <row r="231" spans="1:14" ht="30" customHeight="1" x14ac:dyDescent="0.25">
      <c r="A231" s="118" t="s">
        <v>294</v>
      </c>
      <c r="B231" s="118" t="s">
        <v>295</v>
      </c>
      <c r="C231" s="118" t="s">
        <v>296</v>
      </c>
      <c r="D231" s="118"/>
      <c r="E231" s="118" t="s">
        <v>250</v>
      </c>
      <c r="F231" s="127"/>
      <c r="G231" s="132" t="str">
        <f>IF($F231&lt;&gt;"",$F231,IFERROR(_xlfn.XLOOKUP(ROW(),Taxa_Saknas!$H:$H,Taxa_Saknas!$G:$G),""))</f>
        <v/>
      </c>
      <c r="H231" s="137" t="str">
        <f>IF($F231&lt;&gt;"",IFERROR(_xlfn.XLOOKUP($F231,Taxa_från_edp!$B:$B,Taxa_från_edp!C:C),""),"")</f>
        <v/>
      </c>
      <c r="I231" s="138" t="str">
        <f>IF($F231&lt;&gt;"",IFERROR(_xlfn.XLOOKUP($F231,Taxa_från_edp!$B:$B,Taxa_från_edp!G:G),""),"")</f>
        <v/>
      </c>
      <c r="J231" s="139" t="str">
        <f>IF($F231&lt;&gt;"",IFERROR(_xlfn.XLOOKUP($F231,Taxa_från_edp!$B:$B,Taxa_från_edp!K:K),""),"")</f>
        <v/>
      </c>
      <c r="K231" s="148"/>
      <c r="L231" s="152"/>
      <c r="M231" s="156" t="str">
        <f t="shared" si="6"/>
        <v/>
      </c>
      <c r="N231" s="157" t="str">
        <f t="shared" si="7"/>
        <v/>
      </c>
    </row>
    <row r="232" spans="1:14" ht="30" customHeight="1" x14ac:dyDescent="0.25">
      <c r="A232" s="118" t="s">
        <v>294</v>
      </c>
      <c r="B232" s="118" t="s">
        <v>295</v>
      </c>
      <c r="C232" s="118" t="s">
        <v>249</v>
      </c>
      <c r="D232" s="118"/>
      <c r="E232" s="118" t="s">
        <v>250</v>
      </c>
      <c r="F232" s="127"/>
      <c r="G232" s="132" t="str">
        <f>IF($F232&lt;&gt;"",$F232,IFERROR(_xlfn.XLOOKUP(ROW(),Taxa_Saknas!$H:$H,Taxa_Saknas!$G:$G),""))</f>
        <v/>
      </c>
      <c r="H232" s="137" t="str">
        <f>IF($F232&lt;&gt;"",IFERROR(_xlfn.XLOOKUP($F232,Taxa_från_edp!$B:$B,Taxa_från_edp!C:C),""),"")</f>
        <v/>
      </c>
      <c r="I232" s="138" t="str">
        <f>IF($F232&lt;&gt;"",IFERROR(_xlfn.XLOOKUP($F232,Taxa_från_edp!$B:$B,Taxa_från_edp!G:G),""),"")</f>
        <v/>
      </c>
      <c r="J232" s="139" t="str">
        <f>IF($F232&lt;&gt;"",IFERROR(_xlfn.XLOOKUP($F232,Taxa_från_edp!$B:$B,Taxa_från_edp!K:K),""),"")</f>
        <v/>
      </c>
      <c r="K232" s="148"/>
      <c r="L232" s="152"/>
      <c r="M232" s="156" t="str">
        <f t="shared" si="6"/>
        <v/>
      </c>
      <c r="N232" s="157" t="str">
        <f t="shared" si="7"/>
        <v/>
      </c>
    </row>
    <row r="233" spans="1:14" ht="30" customHeight="1" x14ac:dyDescent="0.25">
      <c r="A233" s="118" t="s">
        <v>294</v>
      </c>
      <c r="B233" s="118" t="s">
        <v>295</v>
      </c>
      <c r="C233" s="118" t="s">
        <v>251</v>
      </c>
      <c r="D233" s="118"/>
      <c r="E233" s="118" t="s">
        <v>250</v>
      </c>
      <c r="F233" s="127"/>
      <c r="G233" s="132" t="str">
        <f>IF($F233&lt;&gt;"",$F233,IFERROR(_xlfn.XLOOKUP(ROW(),Taxa_Saknas!$H:$H,Taxa_Saknas!$G:$G),""))</f>
        <v/>
      </c>
      <c r="H233" s="137" t="str">
        <f>IF($F233&lt;&gt;"",IFERROR(_xlfn.XLOOKUP($F233,Taxa_från_edp!$B:$B,Taxa_från_edp!C:C),""),"")</f>
        <v/>
      </c>
      <c r="I233" s="138" t="str">
        <f>IF($F233&lt;&gt;"",IFERROR(_xlfn.XLOOKUP($F233,Taxa_från_edp!$B:$B,Taxa_från_edp!G:G),""),"")</f>
        <v/>
      </c>
      <c r="J233" s="139" t="str">
        <f>IF($F233&lt;&gt;"",IFERROR(_xlfn.XLOOKUP($F233,Taxa_från_edp!$B:$B,Taxa_från_edp!K:K),""),"")</f>
        <v/>
      </c>
      <c r="K233" s="148"/>
      <c r="L233" s="152"/>
      <c r="M233" s="156" t="str">
        <f t="shared" si="6"/>
        <v/>
      </c>
      <c r="N233" s="157" t="str">
        <f t="shared" si="7"/>
        <v/>
      </c>
    </row>
    <row r="234" spans="1:14" x14ac:dyDescent="0.25">
      <c r="A234" s="186" t="s">
        <v>294</v>
      </c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8"/>
      <c r="M234" s="156" t="str">
        <f t="shared" si="6"/>
        <v/>
      </c>
      <c r="N234" s="157" t="str">
        <f t="shared" si="7"/>
        <v/>
      </c>
    </row>
    <row r="235" spans="1:14" ht="30" customHeight="1" x14ac:dyDescent="0.25">
      <c r="A235" s="118" t="s">
        <v>294</v>
      </c>
      <c r="B235" s="118" t="s">
        <v>295</v>
      </c>
      <c r="C235" s="118" t="s">
        <v>252</v>
      </c>
      <c r="D235" s="118"/>
      <c r="E235" s="118" t="s">
        <v>250</v>
      </c>
      <c r="F235" s="130"/>
      <c r="G235" s="135" t="str">
        <f>IF($F235&lt;&gt;"",$F235,IFERROR(_xlfn.XLOOKUP(ROW(),Taxa_Saknas!$H:$H,Taxa_Saknas!$G:$G),""))</f>
        <v/>
      </c>
      <c r="H235" s="144" t="str">
        <f>IF($F235&lt;&gt;"",IFERROR(_xlfn.XLOOKUP($F235,Taxa_från_edp!$B:$B,Taxa_från_edp!C:C),""),"")</f>
        <v/>
      </c>
      <c r="I235" s="145" t="str">
        <f>IF($F235&lt;&gt;"",IFERROR(_xlfn.XLOOKUP($F235,Taxa_från_edp!$B:$B,Taxa_från_edp!G:G),""),"")</f>
        <v/>
      </c>
      <c r="J235" s="145" t="str">
        <f>IF($F235&lt;&gt;"",IFERROR(_xlfn.XLOOKUP($F235,Taxa_från_edp!$B:$B,Taxa_från_edp!K:K),""),"")</f>
        <v/>
      </c>
      <c r="K235" s="150"/>
      <c r="L235" s="154"/>
      <c r="M235" s="156" t="str">
        <f t="shared" si="6"/>
        <v/>
      </c>
      <c r="N235" s="157" t="str">
        <f t="shared" si="7"/>
        <v/>
      </c>
    </row>
    <row r="236" spans="1:14" ht="30" customHeight="1" x14ac:dyDescent="0.25">
      <c r="A236" s="118" t="s">
        <v>294</v>
      </c>
      <c r="B236" s="118" t="s">
        <v>295</v>
      </c>
      <c r="C236" s="118" t="s">
        <v>253</v>
      </c>
      <c r="D236" s="118"/>
      <c r="E236" s="118" t="s">
        <v>250</v>
      </c>
      <c r="F236" s="127"/>
      <c r="G236" s="132" t="str">
        <f>IF($F236&lt;&gt;"",$F236,IFERROR(_xlfn.XLOOKUP(ROW(),Taxa_Saknas!$H:$H,Taxa_Saknas!$G:$G),""))</f>
        <v/>
      </c>
      <c r="H236" s="137" t="str">
        <f>IF($F236&lt;&gt;"",IFERROR(_xlfn.XLOOKUP($F236,Taxa_från_edp!$B:$B,Taxa_från_edp!C:C),""),"")</f>
        <v/>
      </c>
      <c r="I236" s="138" t="str">
        <f>IF($F236&lt;&gt;"",IFERROR(_xlfn.XLOOKUP($F236,Taxa_från_edp!$B:$B,Taxa_från_edp!G:G),""),"")</f>
        <v/>
      </c>
      <c r="J236" s="139" t="str">
        <f>IF($F236&lt;&gt;"",IFERROR(_xlfn.XLOOKUP($F236,Taxa_från_edp!$B:$B,Taxa_från_edp!K:K),""),"")</f>
        <v/>
      </c>
      <c r="K236" s="148"/>
      <c r="L236" s="152"/>
      <c r="M236" s="156" t="str">
        <f t="shared" si="6"/>
        <v/>
      </c>
      <c r="N236" s="157" t="str">
        <f t="shared" si="7"/>
        <v/>
      </c>
    </row>
    <row r="237" spans="1:14" ht="21.95" customHeight="1" x14ac:dyDescent="0.25">
      <c r="A237" s="183" t="s">
        <v>294</v>
      </c>
      <c r="B237" s="184"/>
      <c r="C237" s="184"/>
      <c r="D237" s="184"/>
      <c r="E237" s="185"/>
      <c r="F237" s="121"/>
      <c r="G237" s="125" t="str">
        <f>IF($F237&lt;&gt;"",$F237,IFERROR(_xlfn.XLOOKUP(ROW(),Taxa_Saknas!$H:$H,Taxa_Saknas!$G:$G),""))</f>
        <v/>
      </c>
      <c r="H237" s="125" t="str">
        <f>IF($F237&lt;&gt;"",IFERROR(_xlfn.XLOOKUP($F237,Taxa_från_edp!$B:$B,Taxa_från_edp!C:C),""),"")</f>
        <v/>
      </c>
      <c r="I237" s="126" t="str">
        <f>IF($F237&lt;&gt;"",IFERROR(_xlfn.XLOOKUP($F237,Taxa_från_edp!$B:$B,Taxa_från_edp!G:G),""),"")</f>
        <v/>
      </c>
      <c r="J237" s="126" t="str">
        <f>IF($F237&lt;&gt;"",IFERROR(_xlfn.XLOOKUP($F237,Taxa_från_edp!$B:$B,Taxa_från_edp!K:K),""),"")</f>
        <v/>
      </c>
      <c r="K237" s="126"/>
      <c r="L237" s="126"/>
      <c r="M237" s="122" t="str">
        <f t="shared" si="6"/>
        <v/>
      </c>
      <c r="N237" s="123" t="str">
        <f t="shared" si="7"/>
        <v/>
      </c>
    </row>
    <row r="238" spans="1:14" ht="30" customHeight="1" x14ac:dyDescent="0.25">
      <c r="A238" s="118" t="s">
        <v>294</v>
      </c>
      <c r="B238" s="118" t="s">
        <v>295</v>
      </c>
      <c r="C238" s="118" t="s">
        <v>297</v>
      </c>
      <c r="D238" s="118"/>
      <c r="E238" s="118" t="s">
        <v>250</v>
      </c>
      <c r="F238" s="127"/>
      <c r="G238" s="132" t="str">
        <f>IF($F238&lt;&gt;"",$F238,IFERROR(_xlfn.XLOOKUP(ROW(),Taxa_Saknas!$H:$H,Taxa_Saknas!$G:$G),""))</f>
        <v/>
      </c>
      <c r="H238" s="137" t="str">
        <f>IF($F238&lt;&gt;"",IFERROR(_xlfn.XLOOKUP($F238,Taxa_från_edp!$B:$B,Taxa_från_edp!C:C),""),"")</f>
        <v/>
      </c>
      <c r="I238" s="138" t="str">
        <f>IF($F238&lt;&gt;"",IFERROR(_xlfn.XLOOKUP($F238,Taxa_från_edp!$B:$B,Taxa_från_edp!G:G),""),"")</f>
        <v/>
      </c>
      <c r="J238" s="139" t="str">
        <f>IF($F238&lt;&gt;"",IFERROR(_xlfn.XLOOKUP($F238,Taxa_från_edp!$B:$B,Taxa_från_edp!K:K),""),"")</f>
        <v/>
      </c>
      <c r="K238" s="148"/>
      <c r="L238" s="152"/>
      <c r="M238" s="156" t="str">
        <f t="shared" si="6"/>
        <v/>
      </c>
      <c r="N238" s="157" t="str">
        <f t="shared" si="7"/>
        <v/>
      </c>
    </row>
    <row r="239" spans="1:14" ht="30" customHeight="1" x14ac:dyDescent="0.25">
      <c r="A239" s="118" t="s">
        <v>294</v>
      </c>
      <c r="B239" s="118" t="s">
        <v>295</v>
      </c>
      <c r="C239" s="118" t="s">
        <v>256</v>
      </c>
      <c r="D239" s="118"/>
      <c r="E239" s="118" t="s">
        <v>250</v>
      </c>
      <c r="F239" s="127"/>
      <c r="G239" s="132" t="str">
        <f>IF($F239&lt;&gt;"",$F239,IFERROR(_xlfn.XLOOKUP(ROW(),Taxa_Saknas!$H:$H,Taxa_Saknas!$G:$G),""))</f>
        <v/>
      </c>
      <c r="H239" s="137" t="str">
        <f>IF($F239&lt;&gt;"",IFERROR(_xlfn.XLOOKUP($F239,Taxa_från_edp!$B:$B,Taxa_från_edp!C:C),""),"")</f>
        <v/>
      </c>
      <c r="I239" s="138" t="str">
        <f>IF($F239&lt;&gt;"",IFERROR(_xlfn.XLOOKUP($F239,Taxa_från_edp!$B:$B,Taxa_från_edp!G:G),""),"")</f>
        <v/>
      </c>
      <c r="J239" s="139" t="str">
        <f>IF($F239&lt;&gt;"",IFERROR(_xlfn.XLOOKUP($F239,Taxa_från_edp!$B:$B,Taxa_från_edp!K:K),""),"")</f>
        <v/>
      </c>
      <c r="K239" s="148"/>
      <c r="L239" s="152"/>
      <c r="M239" s="156" t="str">
        <f t="shared" si="6"/>
        <v/>
      </c>
      <c r="N239" s="157" t="str">
        <f t="shared" si="7"/>
        <v/>
      </c>
    </row>
    <row r="240" spans="1:14" ht="30" customHeight="1" x14ac:dyDescent="0.25">
      <c r="A240" s="118" t="s">
        <v>294</v>
      </c>
      <c r="B240" s="118" t="s">
        <v>295</v>
      </c>
      <c r="C240" s="118" t="s">
        <v>298</v>
      </c>
      <c r="D240" s="118"/>
      <c r="E240" s="118" t="s">
        <v>250</v>
      </c>
      <c r="F240" s="129"/>
      <c r="G240" s="134" t="str">
        <f>IF($F240&lt;&gt;"",$F240,IFERROR(_xlfn.XLOOKUP(ROW(),Taxa_Saknas!$H:$H,Taxa_Saknas!$G:$G),""))</f>
        <v/>
      </c>
      <c r="H240" s="141" t="str">
        <f>IF($F240&lt;&gt;"",IFERROR(_xlfn.XLOOKUP($F240,Taxa_från_edp!$B:$B,Taxa_från_edp!C:C),""),"")</f>
        <v/>
      </c>
      <c r="I240" s="142" t="str">
        <f>IF($F240&lt;&gt;"",IFERROR(_xlfn.XLOOKUP($F240,Taxa_från_edp!$B:$B,Taxa_från_edp!G:G),""),"")</f>
        <v/>
      </c>
      <c r="J240" s="143" t="str">
        <f>IF($F240&lt;&gt;"",IFERROR(_xlfn.XLOOKUP($F240,Taxa_från_edp!$B:$B,Taxa_från_edp!K:K),""),"")</f>
        <v/>
      </c>
      <c r="K240" s="149"/>
      <c r="L240" s="153"/>
      <c r="M240" s="156" t="str">
        <f t="shared" si="6"/>
        <v/>
      </c>
      <c r="N240" s="157" t="str">
        <f t="shared" si="7"/>
        <v/>
      </c>
    </row>
    <row r="241" spans="1:14" ht="30" customHeight="1" x14ac:dyDescent="0.25">
      <c r="A241" s="118" t="s">
        <v>294</v>
      </c>
      <c r="B241" s="118" t="s">
        <v>295</v>
      </c>
      <c r="C241" s="118" t="s">
        <v>299</v>
      </c>
      <c r="D241" s="118"/>
      <c r="E241" s="118" t="s">
        <v>250</v>
      </c>
      <c r="F241" s="129"/>
      <c r="G241" s="134" t="str">
        <f>IF($F241&lt;&gt;"",$F241,IFERROR(_xlfn.XLOOKUP(ROW(),Taxa_Saknas!$H:$H,Taxa_Saknas!$G:$G),""))</f>
        <v/>
      </c>
      <c r="H241" s="141" t="str">
        <f>IF($F241&lt;&gt;"",IFERROR(_xlfn.XLOOKUP($F241,Taxa_från_edp!$B:$B,Taxa_från_edp!C:C),""),"")</f>
        <v/>
      </c>
      <c r="I241" s="142" t="str">
        <f>IF($F241&lt;&gt;"",IFERROR(_xlfn.XLOOKUP($F241,Taxa_från_edp!$B:$B,Taxa_från_edp!G:G),""),"")</f>
        <v/>
      </c>
      <c r="J241" s="143" t="str">
        <f>IF($F241&lt;&gt;"",IFERROR(_xlfn.XLOOKUP($F241,Taxa_från_edp!$B:$B,Taxa_från_edp!K:K),""),"")</f>
        <v/>
      </c>
      <c r="K241" s="149"/>
      <c r="L241" s="153"/>
      <c r="M241" s="156" t="str">
        <f t="shared" si="6"/>
        <v/>
      </c>
      <c r="N241" s="157" t="str">
        <f t="shared" si="7"/>
        <v/>
      </c>
    </row>
    <row r="242" spans="1:14" ht="30" customHeight="1" x14ac:dyDescent="0.25">
      <c r="A242" s="118" t="s">
        <v>294</v>
      </c>
      <c r="B242" s="118" t="s">
        <v>295</v>
      </c>
      <c r="C242" s="118" t="s">
        <v>300</v>
      </c>
      <c r="D242" s="118"/>
      <c r="E242" s="118" t="s">
        <v>250</v>
      </c>
      <c r="F242" s="127"/>
      <c r="G242" s="132" t="str">
        <f>IF($F242&lt;&gt;"",$F242,IFERROR(_xlfn.XLOOKUP(ROW(),Taxa_Saknas!$H:$H,Taxa_Saknas!$G:$G),""))</f>
        <v/>
      </c>
      <c r="H242" s="137" t="str">
        <f>IF($F242&lt;&gt;"",IFERROR(_xlfn.XLOOKUP($F242,Taxa_från_edp!$B:$B,Taxa_från_edp!C:C),""),"")</f>
        <v/>
      </c>
      <c r="I242" s="138" t="str">
        <f>IF($F242&lt;&gt;"",IFERROR(_xlfn.XLOOKUP($F242,Taxa_från_edp!$B:$B,Taxa_från_edp!G:G),""),"")</f>
        <v/>
      </c>
      <c r="J242" s="139" t="str">
        <f>IF($F242&lt;&gt;"",IFERROR(_xlfn.XLOOKUP($F242,Taxa_från_edp!$B:$B,Taxa_från_edp!K:K),""),"")</f>
        <v/>
      </c>
      <c r="K242" s="148"/>
      <c r="L242" s="152"/>
      <c r="M242" s="156" t="str">
        <f t="shared" si="6"/>
        <v/>
      </c>
      <c r="N242" s="157" t="str">
        <f t="shared" si="7"/>
        <v/>
      </c>
    </row>
    <row r="243" spans="1:14" ht="21.95" customHeight="1" x14ac:dyDescent="0.25">
      <c r="A243" s="183" t="s">
        <v>294</v>
      </c>
      <c r="B243" s="184"/>
      <c r="C243" s="184"/>
      <c r="D243" s="184"/>
      <c r="E243" s="185"/>
      <c r="F243" s="121"/>
      <c r="G243" s="125" t="str">
        <f>IF($F243&lt;&gt;"",$F243,IFERROR(_xlfn.XLOOKUP(ROW(),Taxa_Saknas!$H:$H,Taxa_Saknas!$G:$G),""))</f>
        <v/>
      </c>
      <c r="H243" s="125" t="str">
        <f>IF($F243&lt;&gt;"",IFERROR(_xlfn.XLOOKUP($F243,Taxa_från_edp!$B:$B,Taxa_från_edp!C:C),""),"")</f>
        <v/>
      </c>
      <c r="I243" s="126" t="str">
        <f>IF($F243&lt;&gt;"",IFERROR(_xlfn.XLOOKUP($F243,Taxa_från_edp!$B:$B,Taxa_från_edp!G:G),""),"")</f>
        <v/>
      </c>
      <c r="J243" s="126" t="str">
        <f>IF($F243&lt;&gt;"",IFERROR(_xlfn.XLOOKUP($F243,Taxa_från_edp!$B:$B,Taxa_från_edp!K:K),""),"")</f>
        <v/>
      </c>
      <c r="K243" s="126"/>
      <c r="L243" s="126"/>
      <c r="M243" s="122" t="str">
        <f t="shared" si="6"/>
        <v/>
      </c>
      <c r="N243" s="123" t="str">
        <f t="shared" si="7"/>
        <v/>
      </c>
    </row>
    <row r="244" spans="1:14" ht="21.95" customHeight="1" x14ac:dyDescent="0.25">
      <c r="A244" s="183" t="s">
        <v>301</v>
      </c>
      <c r="B244" s="184"/>
      <c r="C244" s="184"/>
      <c r="D244" s="184"/>
      <c r="E244" s="185"/>
      <c r="F244" s="121"/>
      <c r="G244" s="125" t="str">
        <f>IF($F244&lt;&gt;"",$F244,IFERROR(_xlfn.XLOOKUP(ROW(),Taxa_Saknas!$H:$H,Taxa_Saknas!$G:$G),""))</f>
        <v/>
      </c>
      <c r="H244" s="125" t="str">
        <f>IF($F244&lt;&gt;"",IFERROR(_xlfn.XLOOKUP($F244,Taxa_från_edp!$B:$B,Taxa_från_edp!C:C),""),"")</f>
        <v/>
      </c>
      <c r="I244" s="126" t="str">
        <f>IF($F244&lt;&gt;"",IFERROR(_xlfn.XLOOKUP($F244,Taxa_från_edp!$B:$B,Taxa_från_edp!G:G),""),"")</f>
        <v/>
      </c>
      <c r="J244" s="126" t="str">
        <f>IF($F244&lt;&gt;"",IFERROR(_xlfn.XLOOKUP($F244,Taxa_från_edp!$B:$B,Taxa_från_edp!K:K),""),"")</f>
        <v/>
      </c>
      <c r="K244" s="126"/>
      <c r="L244" s="126"/>
      <c r="M244" s="122" t="str">
        <f t="shared" si="6"/>
        <v/>
      </c>
      <c r="N244" s="123" t="str">
        <f t="shared" si="7"/>
        <v/>
      </c>
    </row>
    <row r="245" spans="1:14" ht="30" customHeight="1" x14ac:dyDescent="0.25">
      <c r="A245" s="118" t="s">
        <v>302</v>
      </c>
      <c r="B245" s="118" t="s">
        <v>303</v>
      </c>
      <c r="C245" s="118" t="s">
        <v>262</v>
      </c>
      <c r="D245" s="118" t="s">
        <v>304</v>
      </c>
      <c r="E245" s="118" t="s">
        <v>250</v>
      </c>
      <c r="F245" s="127"/>
      <c r="G245" s="132" t="str">
        <f>IF($F245&lt;&gt;"",$F245,IFERROR(_xlfn.XLOOKUP(ROW(),Taxa_Saknas!$H:$H,Taxa_Saknas!$G:$G),""))</f>
        <v/>
      </c>
      <c r="H245" s="137" t="str">
        <f>IF($F245&lt;&gt;"",IFERROR(_xlfn.XLOOKUP($F245,Taxa_från_edp!$B:$B,Taxa_från_edp!C:C),""),"")</f>
        <v/>
      </c>
      <c r="I245" s="138" t="str">
        <f>IF($F245&lt;&gt;"",IFERROR(_xlfn.XLOOKUP($F245,Taxa_från_edp!$B:$B,Taxa_från_edp!G:G),""),"")</f>
        <v/>
      </c>
      <c r="J245" s="139" t="str">
        <f>IF($F245&lt;&gt;"",IFERROR(_xlfn.XLOOKUP($F245,Taxa_från_edp!$B:$B,Taxa_från_edp!K:K),""),"")</f>
        <v/>
      </c>
      <c r="K245" s="148"/>
      <c r="L245" s="152"/>
      <c r="M245" s="156" t="str">
        <f t="shared" si="6"/>
        <v/>
      </c>
      <c r="N245" s="157" t="str">
        <f t="shared" si="7"/>
        <v/>
      </c>
    </row>
    <row r="246" spans="1:14" ht="30" customHeight="1" x14ac:dyDescent="0.25">
      <c r="A246" s="118" t="s">
        <v>302</v>
      </c>
      <c r="B246" s="118" t="s">
        <v>303</v>
      </c>
      <c r="C246" s="118" t="s">
        <v>305</v>
      </c>
      <c r="D246" s="118" t="s">
        <v>304</v>
      </c>
      <c r="E246" s="118" t="s">
        <v>250</v>
      </c>
      <c r="F246" s="127"/>
      <c r="G246" s="132" t="str">
        <f>IF($F246&lt;&gt;"",$F246,IFERROR(_xlfn.XLOOKUP(ROW(),Taxa_Saknas!$H:$H,Taxa_Saknas!$G:$G),""))</f>
        <v/>
      </c>
      <c r="H246" s="137" t="str">
        <f>IF($F246&lt;&gt;"",IFERROR(_xlfn.XLOOKUP($F246,Taxa_från_edp!$B:$B,Taxa_från_edp!C:C),""),"")</f>
        <v/>
      </c>
      <c r="I246" s="138" t="str">
        <f>IF($F246&lt;&gt;"",IFERROR(_xlfn.XLOOKUP($F246,Taxa_från_edp!$B:$B,Taxa_från_edp!G:G),""),"")</f>
        <v/>
      </c>
      <c r="J246" s="139" t="str">
        <f>IF($F246&lt;&gt;"",IFERROR(_xlfn.XLOOKUP($F246,Taxa_från_edp!$B:$B,Taxa_från_edp!K:K),""),"")</f>
        <v/>
      </c>
      <c r="K246" s="148"/>
      <c r="L246" s="152"/>
      <c r="M246" s="156" t="str">
        <f t="shared" si="6"/>
        <v/>
      </c>
      <c r="N246" s="157" t="str">
        <f t="shared" si="7"/>
        <v/>
      </c>
    </row>
    <row r="247" spans="1:14" ht="30" customHeight="1" x14ac:dyDescent="0.25">
      <c r="A247" s="118" t="s">
        <v>302</v>
      </c>
      <c r="B247" s="118" t="s">
        <v>303</v>
      </c>
      <c r="C247" s="118" t="s">
        <v>262</v>
      </c>
      <c r="D247" s="118" t="s">
        <v>306</v>
      </c>
      <c r="E247" s="118" t="s">
        <v>250</v>
      </c>
      <c r="F247" s="127"/>
      <c r="G247" s="132" t="str">
        <f>IF($F247&lt;&gt;"",$F247,IFERROR(_xlfn.XLOOKUP(ROW(),Taxa_Saknas!$H:$H,Taxa_Saknas!$G:$G),""))</f>
        <v/>
      </c>
      <c r="H247" s="137" t="str">
        <f>IF($F247&lt;&gt;"",IFERROR(_xlfn.XLOOKUP($F247,Taxa_från_edp!$B:$B,Taxa_från_edp!C:C),""),"")</f>
        <v/>
      </c>
      <c r="I247" s="138" t="str">
        <f>IF($F247&lt;&gt;"",IFERROR(_xlfn.XLOOKUP($F247,Taxa_från_edp!$B:$B,Taxa_från_edp!G:G),""),"")</f>
        <v/>
      </c>
      <c r="J247" s="139" t="str">
        <f>IF($F247&lt;&gt;"",IFERROR(_xlfn.XLOOKUP($F247,Taxa_från_edp!$B:$B,Taxa_från_edp!K:K),""),"")</f>
        <v/>
      </c>
      <c r="K247" s="148"/>
      <c r="L247" s="152"/>
      <c r="M247" s="156" t="str">
        <f t="shared" si="6"/>
        <v/>
      </c>
      <c r="N247" s="157" t="str">
        <f t="shared" si="7"/>
        <v/>
      </c>
    </row>
    <row r="248" spans="1:14" ht="30" customHeight="1" x14ac:dyDescent="0.25">
      <c r="A248" s="118" t="s">
        <v>302</v>
      </c>
      <c r="B248" s="118" t="s">
        <v>303</v>
      </c>
      <c r="C248" s="118" t="s">
        <v>305</v>
      </c>
      <c r="D248" s="118" t="s">
        <v>306</v>
      </c>
      <c r="E248" s="118" t="s">
        <v>250</v>
      </c>
      <c r="F248" s="129"/>
      <c r="G248" s="134" t="str">
        <f>IF($F248&lt;&gt;"",$F248,IFERROR(_xlfn.XLOOKUP(ROW(),Taxa_Saknas!$H:$H,Taxa_Saknas!$G:$G),""))</f>
        <v/>
      </c>
      <c r="H248" s="141" t="str">
        <f>IF($F248&lt;&gt;"",IFERROR(_xlfn.XLOOKUP($F248,Taxa_från_edp!$B:$B,Taxa_från_edp!C:C),""),"")</f>
        <v/>
      </c>
      <c r="I248" s="142" t="str">
        <f>IF($F248&lt;&gt;"",IFERROR(_xlfn.XLOOKUP($F248,Taxa_från_edp!$B:$B,Taxa_från_edp!G:G),""),"")</f>
        <v/>
      </c>
      <c r="J248" s="143" t="str">
        <f>IF($F248&lt;&gt;"",IFERROR(_xlfn.XLOOKUP($F248,Taxa_från_edp!$B:$B,Taxa_från_edp!K:K),""),"")</f>
        <v/>
      </c>
      <c r="K248" s="149"/>
      <c r="L248" s="153"/>
      <c r="M248" s="156" t="str">
        <f t="shared" si="6"/>
        <v/>
      </c>
      <c r="N248" s="157" t="str">
        <f t="shared" si="7"/>
        <v/>
      </c>
    </row>
    <row r="249" spans="1:14" ht="30" customHeight="1" x14ac:dyDescent="0.25">
      <c r="A249" s="118" t="s">
        <v>302</v>
      </c>
      <c r="B249" s="118" t="s">
        <v>303</v>
      </c>
      <c r="C249" s="118" t="s">
        <v>267</v>
      </c>
      <c r="D249" s="118"/>
      <c r="E249" s="118" t="s">
        <v>250</v>
      </c>
      <c r="F249" s="129"/>
      <c r="G249" s="134" t="str">
        <f>IF($F249&lt;&gt;"",$F249,IFERROR(_xlfn.XLOOKUP(ROW(),Taxa_Saknas!$H:$H,Taxa_Saknas!$G:$G),""))</f>
        <v/>
      </c>
      <c r="H249" s="141" t="str">
        <f>IF($F249&lt;&gt;"",IFERROR(_xlfn.XLOOKUP($F249,Taxa_från_edp!$B:$B,Taxa_från_edp!C:C),""),"")</f>
        <v/>
      </c>
      <c r="I249" s="142" t="str">
        <f>IF($F249&lt;&gt;"",IFERROR(_xlfn.XLOOKUP($F249,Taxa_från_edp!$B:$B,Taxa_från_edp!G:G),""),"")</f>
        <v/>
      </c>
      <c r="J249" s="143" t="str">
        <f>IF($F249&lt;&gt;"",IFERROR(_xlfn.XLOOKUP($F249,Taxa_från_edp!$B:$B,Taxa_från_edp!K:K),""),"")</f>
        <v/>
      </c>
      <c r="K249" s="149"/>
      <c r="L249" s="153"/>
      <c r="M249" s="156" t="str">
        <f t="shared" si="6"/>
        <v/>
      </c>
      <c r="N249" s="157" t="str">
        <f t="shared" si="7"/>
        <v/>
      </c>
    </row>
    <row r="250" spans="1:14" ht="30" customHeight="1" x14ac:dyDescent="0.25">
      <c r="A250" s="118" t="s">
        <v>302</v>
      </c>
      <c r="B250" s="118" t="s">
        <v>303</v>
      </c>
      <c r="C250" s="118" t="s">
        <v>307</v>
      </c>
      <c r="D250" s="118"/>
      <c r="E250" s="118" t="s">
        <v>250</v>
      </c>
      <c r="F250" s="127"/>
      <c r="G250" s="132" t="str">
        <f>IF($F250&lt;&gt;"",$F250,IFERROR(_xlfn.XLOOKUP(ROW(),Taxa_Saknas!$H:$H,Taxa_Saknas!$G:$G),""))</f>
        <v/>
      </c>
      <c r="H250" s="137" t="str">
        <f>IF($F250&lt;&gt;"",IFERROR(_xlfn.XLOOKUP($F250,Taxa_från_edp!$B:$B,Taxa_från_edp!C:C),""),"")</f>
        <v/>
      </c>
      <c r="I250" s="138" t="str">
        <f>IF($F250&lt;&gt;"",IFERROR(_xlfn.XLOOKUP($F250,Taxa_från_edp!$B:$B,Taxa_från_edp!G:G),""),"")</f>
        <v/>
      </c>
      <c r="J250" s="139" t="str">
        <f>IF($F250&lt;&gt;"",IFERROR(_xlfn.XLOOKUP($F250,Taxa_från_edp!$B:$B,Taxa_från_edp!K:K),""),"")</f>
        <v/>
      </c>
      <c r="K250" s="148"/>
      <c r="L250" s="152"/>
      <c r="M250" s="156" t="str">
        <f t="shared" si="6"/>
        <v/>
      </c>
      <c r="N250" s="157" t="str">
        <f t="shared" si="7"/>
        <v/>
      </c>
    </row>
    <row r="251" spans="1:14" ht="21.95" customHeight="1" x14ac:dyDescent="0.25">
      <c r="A251" s="183" t="s">
        <v>302</v>
      </c>
      <c r="B251" s="184"/>
      <c r="C251" s="184"/>
      <c r="D251" s="184"/>
      <c r="E251" s="185"/>
      <c r="F251" s="121"/>
      <c r="G251" s="125" t="str">
        <f>IF($F251&lt;&gt;"",$F251,IFERROR(_xlfn.XLOOKUP(ROW(),Taxa_Saknas!$H:$H,Taxa_Saknas!$G:$G),""))</f>
        <v/>
      </c>
      <c r="H251" s="125" t="str">
        <f>IF($F251&lt;&gt;"",IFERROR(_xlfn.XLOOKUP($F251,Taxa_från_edp!$B:$B,Taxa_från_edp!C:C),""),"")</f>
        <v/>
      </c>
      <c r="I251" s="126" t="str">
        <f>IF($F251&lt;&gt;"",IFERROR(_xlfn.XLOOKUP($F251,Taxa_från_edp!$B:$B,Taxa_från_edp!G:G),""),"")</f>
        <v/>
      </c>
      <c r="J251" s="126" t="str">
        <f>IF($F251&lt;&gt;"",IFERROR(_xlfn.XLOOKUP($F251,Taxa_från_edp!$B:$B,Taxa_från_edp!K:K),""),"")</f>
        <v/>
      </c>
      <c r="K251" s="126"/>
      <c r="L251" s="126"/>
      <c r="M251" s="122" t="str">
        <f t="shared" si="6"/>
        <v/>
      </c>
      <c r="N251" s="123" t="str">
        <f t="shared" si="7"/>
        <v/>
      </c>
    </row>
    <row r="252" spans="1:14" ht="21.95" customHeight="1" x14ac:dyDescent="0.25">
      <c r="A252" s="183" t="s">
        <v>308</v>
      </c>
      <c r="B252" s="184"/>
      <c r="C252" s="184"/>
      <c r="D252" s="184"/>
      <c r="E252" s="185"/>
      <c r="F252" s="121"/>
      <c r="G252" s="125" t="str">
        <f>IF($F252&lt;&gt;"",$F252,IFERROR(_xlfn.XLOOKUP(ROW(),Taxa_Saknas!$H:$H,Taxa_Saknas!$G:$G),""))</f>
        <v/>
      </c>
      <c r="H252" s="125" t="str">
        <f>IF($F252&lt;&gt;"",IFERROR(_xlfn.XLOOKUP($F252,Taxa_från_edp!$B:$B,Taxa_från_edp!C:C),""),"")</f>
        <v/>
      </c>
      <c r="I252" s="126" t="str">
        <f>IF($F252&lt;&gt;"",IFERROR(_xlfn.XLOOKUP($F252,Taxa_från_edp!$B:$B,Taxa_från_edp!G:G),""),"")</f>
        <v/>
      </c>
      <c r="J252" s="126" t="str">
        <f>IF($F252&lt;&gt;"",IFERROR(_xlfn.XLOOKUP($F252,Taxa_från_edp!$B:$B,Taxa_från_edp!K:K),""),"")</f>
        <v/>
      </c>
      <c r="K252" s="126"/>
      <c r="L252" s="126"/>
      <c r="M252" s="122" t="str">
        <f t="shared" si="6"/>
        <v/>
      </c>
      <c r="N252" s="123" t="str">
        <f t="shared" si="7"/>
        <v/>
      </c>
    </row>
    <row r="253" spans="1:14" ht="30" customHeight="1" x14ac:dyDescent="0.25">
      <c r="A253" s="118" t="s">
        <v>309</v>
      </c>
      <c r="B253" s="118" t="s">
        <v>310</v>
      </c>
      <c r="C253" s="118" t="s">
        <v>311</v>
      </c>
      <c r="D253" s="118"/>
      <c r="E253" s="118" t="s">
        <v>312</v>
      </c>
      <c r="F253" s="127"/>
      <c r="G253" s="132" t="str">
        <f>IF($F253&lt;&gt;"",$F253,IFERROR(_xlfn.XLOOKUP(ROW(),Taxa_Saknas!$H:$H,Taxa_Saknas!$G:$G),""))</f>
        <v/>
      </c>
      <c r="H253" s="137" t="str">
        <f>IF($F253&lt;&gt;"",IFERROR(_xlfn.XLOOKUP($F253,Taxa_från_edp!$B:$B,Taxa_från_edp!C:C),""),"")</f>
        <v/>
      </c>
      <c r="I253" s="138" t="str">
        <f>IF($F253&lt;&gt;"",IFERROR(_xlfn.XLOOKUP($F253,Taxa_från_edp!$B:$B,Taxa_från_edp!G:G),""),"")</f>
        <v/>
      </c>
      <c r="J253" s="139" t="str">
        <f>IF($F253&lt;&gt;"",IFERROR(_xlfn.XLOOKUP($F253,Taxa_från_edp!$B:$B,Taxa_från_edp!K:K),""),"")</f>
        <v/>
      </c>
      <c r="K253" s="148"/>
      <c r="L253" s="152"/>
      <c r="M253" s="156" t="str">
        <f t="shared" si="6"/>
        <v/>
      </c>
      <c r="N253" s="157" t="str">
        <f t="shared" si="7"/>
        <v/>
      </c>
    </row>
    <row r="254" spans="1:14" ht="30" customHeight="1" x14ac:dyDescent="0.25">
      <c r="A254" s="118" t="s">
        <v>309</v>
      </c>
      <c r="B254" s="118" t="s">
        <v>310</v>
      </c>
      <c r="C254" s="118" t="s">
        <v>313</v>
      </c>
      <c r="D254" s="118"/>
      <c r="E254" s="118" t="s">
        <v>312</v>
      </c>
      <c r="F254" s="129"/>
      <c r="G254" s="134" t="str">
        <f>IF($F254&lt;&gt;"",$F254,IFERROR(_xlfn.XLOOKUP(ROW(),Taxa_Saknas!$H:$H,Taxa_Saknas!$G:$G),""))</f>
        <v/>
      </c>
      <c r="H254" s="141" t="str">
        <f>IF($F254&lt;&gt;"",IFERROR(_xlfn.XLOOKUP($F254,Taxa_från_edp!$B:$B,Taxa_från_edp!C:C),""),"")</f>
        <v/>
      </c>
      <c r="I254" s="142" t="str">
        <f>IF($F254&lt;&gt;"",IFERROR(_xlfn.XLOOKUP($F254,Taxa_från_edp!$B:$B,Taxa_från_edp!G:G),""),"")</f>
        <v/>
      </c>
      <c r="J254" s="143" t="str">
        <f>IF($F254&lt;&gt;"",IFERROR(_xlfn.XLOOKUP($F254,Taxa_från_edp!$B:$B,Taxa_från_edp!K:K),""),"")</f>
        <v/>
      </c>
      <c r="K254" s="149"/>
      <c r="L254" s="153"/>
      <c r="M254" s="156" t="str">
        <f t="shared" si="6"/>
        <v/>
      </c>
      <c r="N254" s="157" t="str">
        <f t="shared" si="7"/>
        <v/>
      </c>
    </row>
    <row r="255" spans="1:14" ht="30" customHeight="1" x14ac:dyDescent="0.25">
      <c r="A255" s="118" t="s">
        <v>309</v>
      </c>
      <c r="B255" s="118" t="s">
        <v>310</v>
      </c>
      <c r="C255" s="118" t="s">
        <v>314</v>
      </c>
      <c r="D255" s="118"/>
      <c r="E255" s="118" t="s">
        <v>312</v>
      </c>
      <c r="F255" s="129"/>
      <c r="G255" s="134" t="str">
        <f>IF($F255&lt;&gt;"",$F255,IFERROR(_xlfn.XLOOKUP(ROW(),Taxa_Saknas!$H:$H,Taxa_Saknas!$G:$G),""))</f>
        <v/>
      </c>
      <c r="H255" s="141" t="str">
        <f>IF($F255&lt;&gt;"",IFERROR(_xlfn.XLOOKUP($F255,Taxa_från_edp!$B:$B,Taxa_från_edp!C:C),""),"")</f>
        <v/>
      </c>
      <c r="I255" s="142" t="str">
        <f>IF($F255&lt;&gt;"",IFERROR(_xlfn.XLOOKUP($F255,Taxa_från_edp!$B:$B,Taxa_från_edp!G:G),""),"")</f>
        <v/>
      </c>
      <c r="J255" s="143" t="str">
        <f>IF($F255&lt;&gt;"",IFERROR(_xlfn.XLOOKUP($F255,Taxa_från_edp!$B:$B,Taxa_från_edp!K:K),""),"")</f>
        <v/>
      </c>
      <c r="K255" s="149"/>
      <c r="L255" s="153"/>
      <c r="M255" s="156" t="str">
        <f t="shared" si="6"/>
        <v/>
      </c>
      <c r="N255" s="157" t="str">
        <f t="shared" si="7"/>
        <v/>
      </c>
    </row>
    <row r="256" spans="1:14" ht="30" customHeight="1" x14ac:dyDescent="0.25">
      <c r="A256" s="118" t="s">
        <v>309</v>
      </c>
      <c r="B256" s="118" t="s">
        <v>310</v>
      </c>
      <c r="C256" s="118" t="s">
        <v>315</v>
      </c>
      <c r="D256" s="118"/>
      <c r="E256" s="118" t="s">
        <v>312</v>
      </c>
      <c r="F256" s="127"/>
      <c r="G256" s="132" t="str">
        <f>IF($F256&lt;&gt;"",$F256,IFERROR(_xlfn.XLOOKUP(ROW(),Taxa_Saknas!$H:$H,Taxa_Saknas!$G:$G),""))</f>
        <v/>
      </c>
      <c r="H256" s="137" t="str">
        <f>IF($F256&lt;&gt;"",IFERROR(_xlfn.XLOOKUP($F256,Taxa_från_edp!$B:$B,Taxa_från_edp!C:C),""),"")</f>
        <v/>
      </c>
      <c r="I256" s="138" t="str">
        <f>IF($F256&lt;&gt;"",IFERROR(_xlfn.XLOOKUP($F256,Taxa_från_edp!$B:$B,Taxa_från_edp!G:G),""),"")</f>
        <v/>
      </c>
      <c r="J256" s="139" t="str">
        <f>IF($F256&lt;&gt;"",IFERROR(_xlfn.XLOOKUP($F256,Taxa_från_edp!$B:$B,Taxa_från_edp!K:K),""),"")</f>
        <v/>
      </c>
      <c r="K256" s="148"/>
      <c r="L256" s="152"/>
      <c r="M256" s="156" t="str">
        <f t="shared" si="6"/>
        <v/>
      </c>
      <c r="N256" s="157" t="str">
        <f t="shared" si="7"/>
        <v/>
      </c>
    </row>
    <row r="257" spans="1:14" ht="21.95" customHeight="1" x14ac:dyDescent="0.25">
      <c r="A257" s="183" t="s">
        <v>309</v>
      </c>
      <c r="B257" s="184"/>
      <c r="C257" s="184"/>
      <c r="D257" s="184"/>
      <c r="E257" s="185"/>
      <c r="F257" s="121"/>
      <c r="G257" s="125" t="str">
        <f>IF($F257&lt;&gt;"",$F257,IFERROR(_xlfn.XLOOKUP(ROW(),Taxa_Saknas!$H:$H,Taxa_Saknas!$G:$G),""))</f>
        <v/>
      </c>
      <c r="H257" s="125" t="str">
        <f>IF($F257&lt;&gt;"",IFERROR(_xlfn.XLOOKUP($F257,Taxa_från_edp!$B:$B,Taxa_från_edp!C:C),""),"")</f>
        <v/>
      </c>
      <c r="I257" s="126" t="str">
        <f>IF($F257&lt;&gt;"",IFERROR(_xlfn.XLOOKUP($F257,Taxa_från_edp!$B:$B,Taxa_från_edp!G:G),""),"")</f>
        <v/>
      </c>
      <c r="J257" s="126" t="str">
        <f>IF($F257&lt;&gt;"",IFERROR(_xlfn.XLOOKUP($F257,Taxa_från_edp!$B:$B,Taxa_från_edp!K:K),""),"")</f>
        <v/>
      </c>
      <c r="K257" s="126"/>
      <c r="L257" s="126"/>
      <c r="M257" s="122" t="str">
        <f t="shared" si="6"/>
        <v/>
      </c>
      <c r="N257" s="123" t="str">
        <f t="shared" si="7"/>
        <v/>
      </c>
    </row>
    <row r="258" spans="1:14" ht="21.95" customHeight="1" x14ac:dyDescent="0.25">
      <c r="A258" s="183" t="s">
        <v>316</v>
      </c>
      <c r="B258" s="184"/>
      <c r="C258" s="184"/>
      <c r="D258" s="184"/>
      <c r="E258" s="185"/>
      <c r="F258" s="121"/>
      <c r="G258" s="125" t="str">
        <f>IF($F258&lt;&gt;"",$F258,IFERROR(_xlfn.XLOOKUP(ROW(),Taxa_Saknas!$H:$H,Taxa_Saknas!$G:$G),""))</f>
        <v/>
      </c>
      <c r="H258" s="125" t="str">
        <f>IF($F258&lt;&gt;"",IFERROR(_xlfn.XLOOKUP($F258,Taxa_från_edp!$B:$B,Taxa_från_edp!C:C),""),"")</f>
        <v/>
      </c>
      <c r="I258" s="126" t="str">
        <f>IF($F258&lt;&gt;"",IFERROR(_xlfn.XLOOKUP($F258,Taxa_från_edp!$B:$B,Taxa_från_edp!G:G),""),"")</f>
        <v/>
      </c>
      <c r="J258" s="126" t="str">
        <f>IF($F258&lt;&gt;"",IFERROR(_xlfn.XLOOKUP($F258,Taxa_från_edp!$B:$B,Taxa_från_edp!K:K),""),"")</f>
        <v/>
      </c>
      <c r="K258" s="126"/>
      <c r="L258" s="126"/>
      <c r="M258" s="122" t="str">
        <f t="shared" si="6"/>
        <v/>
      </c>
      <c r="N258" s="123" t="str">
        <f t="shared" si="7"/>
        <v/>
      </c>
    </row>
    <row r="259" spans="1:14" ht="30" customHeight="1" x14ac:dyDescent="0.25">
      <c r="A259" s="118" t="s">
        <v>317</v>
      </c>
      <c r="B259" s="118" t="s">
        <v>318</v>
      </c>
      <c r="C259" s="118" t="s">
        <v>319</v>
      </c>
      <c r="D259" s="118"/>
      <c r="E259" s="118" t="s">
        <v>320</v>
      </c>
      <c r="F259" s="127"/>
      <c r="G259" s="132" t="str">
        <f>IF($F259&lt;&gt;"",$F259,IFERROR(_xlfn.XLOOKUP(ROW(),Taxa_Saknas!$H:$H,Taxa_Saknas!$G:$G),""))</f>
        <v/>
      </c>
      <c r="H259" s="137" t="str">
        <f>IF($F259&lt;&gt;"",IFERROR(_xlfn.XLOOKUP($F259,Taxa_från_edp!$B:$B,Taxa_från_edp!C:C),""),"")</f>
        <v/>
      </c>
      <c r="I259" s="138" t="str">
        <f>IF($F259&lt;&gt;"",IFERROR(_xlfn.XLOOKUP($F259,Taxa_från_edp!$B:$B,Taxa_från_edp!G:G),""),"")</f>
        <v/>
      </c>
      <c r="J259" s="139" t="str">
        <f>IF($F259&lt;&gt;"",IFERROR(_xlfn.XLOOKUP($F259,Taxa_från_edp!$B:$B,Taxa_från_edp!K:K),""),"")</f>
        <v/>
      </c>
      <c r="K259" s="148"/>
      <c r="L259" s="152"/>
      <c r="M259" s="156" t="str">
        <f t="shared" si="6"/>
        <v/>
      </c>
      <c r="N259" s="157" t="str">
        <f t="shared" si="7"/>
        <v/>
      </c>
    </row>
    <row r="260" spans="1:14" ht="30" customHeight="1" x14ac:dyDescent="0.25">
      <c r="A260" s="118" t="s">
        <v>317</v>
      </c>
      <c r="B260" s="118" t="s">
        <v>318</v>
      </c>
      <c r="C260" s="118" t="s">
        <v>321</v>
      </c>
      <c r="D260" s="118"/>
      <c r="E260" s="118" t="s">
        <v>320</v>
      </c>
      <c r="F260" s="127"/>
      <c r="G260" s="132" t="str">
        <f>IF($F260&lt;&gt;"",$F260,IFERROR(_xlfn.XLOOKUP(ROW(),Taxa_Saknas!$H:$H,Taxa_Saknas!$G:$G),""))</f>
        <v/>
      </c>
      <c r="H260" s="137" t="str">
        <f>IF($F260&lt;&gt;"",IFERROR(_xlfn.XLOOKUP($F260,Taxa_från_edp!$B:$B,Taxa_från_edp!C:C),""),"")</f>
        <v/>
      </c>
      <c r="I260" s="138" t="str">
        <f>IF($F260&lt;&gt;"",IFERROR(_xlfn.XLOOKUP($F260,Taxa_från_edp!$B:$B,Taxa_från_edp!G:G),""),"")</f>
        <v/>
      </c>
      <c r="J260" s="139" t="str">
        <f>IF($F260&lt;&gt;"",IFERROR(_xlfn.XLOOKUP($F260,Taxa_från_edp!$B:$B,Taxa_från_edp!K:K),""),"")</f>
        <v/>
      </c>
      <c r="K260" s="148"/>
      <c r="L260" s="152"/>
      <c r="M260" s="156" t="str">
        <f t="shared" si="6"/>
        <v/>
      </c>
      <c r="N260" s="157" t="str">
        <f t="shared" si="7"/>
        <v/>
      </c>
    </row>
    <row r="261" spans="1:14" ht="30" customHeight="1" x14ac:dyDescent="0.25">
      <c r="A261" s="118" t="s">
        <v>317</v>
      </c>
      <c r="B261" s="118" t="s">
        <v>318</v>
      </c>
      <c r="C261" s="118" t="s">
        <v>322</v>
      </c>
      <c r="D261" s="118"/>
      <c r="E261" s="118" t="s">
        <v>320</v>
      </c>
      <c r="F261" s="127"/>
      <c r="G261" s="132" t="str">
        <f>IF($F261&lt;&gt;"",$F261,IFERROR(_xlfn.XLOOKUP(ROW(),Taxa_Saknas!$H:$H,Taxa_Saknas!$G:$G),""))</f>
        <v/>
      </c>
      <c r="H261" s="137" t="str">
        <f>IF($F261&lt;&gt;"",IFERROR(_xlfn.XLOOKUP($F261,Taxa_från_edp!$B:$B,Taxa_från_edp!C:C),""),"")</f>
        <v/>
      </c>
      <c r="I261" s="138" t="str">
        <f>IF($F261&lt;&gt;"",IFERROR(_xlfn.XLOOKUP($F261,Taxa_från_edp!$B:$B,Taxa_från_edp!G:G),""),"")</f>
        <v/>
      </c>
      <c r="J261" s="139" t="str">
        <f>IF($F261&lt;&gt;"",IFERROR(_xlfn.XLOOKUP($F261,Taxa_från_edp!$B:$B,Taxa_från_edp!K:K),""),"")</f>
        <v/>
      </c>
      <c r="K261" s="148"/>
      <c r="L261" s="152"/>
      <c r="M261" s="156" t="str">
        <f t="shared" si="6"/>
        <v/>
      </c>
      <c r="N261" s="157" t="str">
        <f t="shared" si="7"/>
        <v/>
      </c>
    </row>
    <row r="262" spans="1:14" ht="30" customHeight="1" x14ac:dyDescent="0.25">
      <c r="A262" s="118" t="s">
        <v>317</v>
      </c>
      <c r="B262" s="118" t="s">
        <v>318</v>
      </c>
      <c r="C262" s="118" t="s">
        <v>323</v>
      </c>
      <c r="D262" s="118"/>
      <c r="E262" s="118" t="s">
        <v>320</v>
      </c>
      <c r="F262" s="127"/>
      <c r="G262" s="132" t="str">
        <f>IF($F262&lt;&gt;"",$F262,IFERROR(_xlfn.XLOOKUP(ROW(),Taxa_Saknas!$H:$H,Taxa_Saknas!$G:$G),""))</f>
        <v/>
      </c>
      <c r="H262" s="137" t="str">
        <f>IF($F262&lt;&gt;"",IFERROR(_xlfn.XLOOKUP($F262,Taxa_från_edp!$B:$B,Taxa_från_edp!C:C),""),"")</f>
        <v/>
      </c>
      <c r="I262" s="138" t="str">
        <f>IF($F262&lt;&gt;"",IFERROR(_xlfn.XLOOKUP($F262,Taxa_från_edp!$B:$B,Taxa_från_edp!G:G),""),"")</f>
        <v/>
      </c>
      <c r="J262" s="139" t="str">
        <f>IF($F262&lt;&gt;"",IFERROR(_xlfn.XLOOKUP($F262,Taxa_från_edp!$B:$B,Taxa_från_edp!K:K),""),"")</f>
        <v/>
      </c>
      <c r="K262" s="148"/>
      <c r="L262" s="152"/>
      <c r="M262" s="156" t="str">
        <f t="shared" si="6"/>
        <v/>
      </c>
      <c r="N262" s="157" t="str">
        <f t="shared" si="7"/>
        <v/>
      </c>
    </row>
    <row r="263" spans="1:14" ht="30" customHeight="1" x14ac:dyDescent="0.25">
      <c r="A263" s="118" t="s">
        <v>317</v>
      </c>
      <c r="B263" s="118" t="s">
        <v>318</v>
      </c>
      <c r="C263" s="118" t="s">
        <v>324</v>
      </c>
      <c r="D263" s="118"/>
      <c r="E263" s="118" t="s">
        <v>320</v>
      </c>
      <c r="F263" s="127"/>
      <c r="G263" s="132" t="str">
        <f>IF($F263&lt;&gt;"",$F263,IFERROR(_xlfn.XLOOKUP(ROW(),Taxa_Saknas!$H:$H,Taxa_Saknas!$G:$G),""))</f>
        <v/>
      </c>
      <c r="H263" s="137" t="str">
        <f>IF($F263&lt;&gt;"",IFERROR(_xlfn.XLOOKUP($F263,Taxa_från_edp!$B:$B,Taxa_från_edp!C:C),""),"")</f>
        <v/>
      </c>
      <c r="I263" s="138" t="str">
        <f>IF($F263&lt;&gt;"",IFERROR(_xlfn.XLOOKUP($F263,Taxa_från_edp!$B:$B,Taxa_från_edp!G:G),""),"")</f>
        <v/>
      </c>
      <c r="J263" s="139" t="str">
        <f>IF($F263&lt;&gt;"",IFERROR(_xlfn.XLOOKUP($F263,Taxa_från_edp!$B:$B,Taxa_från_edp!K:K),""),"")</f>
        <v/>
      </c>
      <c r="K263" s="148"/>
      <c r="L263" s="152"/>
      <c r="M263" s="156" t="str">
        <f t="shared" ref="M263:M326" si="8">IFERROR(IF(J263&lt;&gt;"",J263*1.25,IF(K263&lt;&gt;"",K263*1.25,"")),"")</f>
        <v/>
      </c>
      <c r="N263" s="157" t="str">
        <f t="shared" ref="N263:N326" si="9">IFERROR(IF(J263&lt;&gt;"",L263*J263,IF(K263&lt;&gt;"",L263*K263,"")),"")</f>
        <v/>
      </c>
    </row>
    <row r="264" spans="1:14" ht="30" customHeight="1" x14ac:dyDescent="0.25">
      <c r="A264" s="118" t="s">
        <v>317</v>
      </c>
      <c r="B264" s="118" t="s">
        <v>318</v>
      </c>
      <c r="C264" s="118" t="s">
        <v>325</v>
      </c>
      <c r="D264" s="118"/>
      <c r="E264" s="118" t="s">
        <v>320</v>
      </c>
      <c r="F264" s="127"/>
      <c r="G264" s="132" t="str">
        <f>IF($F264&lt;&gt;"",$F264,IFERROR(_xlfn.XLOOKUP(ROW(),Taxa_Saknas!$H:$H,Taxa_Saknas!$G:$G),""))</f>
        <v/>
      </c>
      <c r="H264" s="137" t="str">
        <f>IF($F264&lt;&gt;"",IFERROR(_xlfn.XLOOKUP($F264,Taxa_från_edp!$B:$B,Taxa_från_edp!C:C),""),"")</f>
        <v/>
      </c>
      <c r="I264" s="138" t="str">
        <f>IF($F264&lt;&gt;"",IFERROR(_xlfn.XLOOKUP($F264,Taxa_från_edp!$B:$B,Taxa_från_edp!G:G),""),"")</f>
        <v/>
      </c>
      <c r="J264" s="139" t="str">
        <f>IF($F264&lt;&gt;"",IFERROR(_xlfn.XLOOKUP($F264,Taxa_från_edp!$B:$B,Taxa_från_edp!K:K),""),"")</f>
        <v/>
      </c>
      <c r="K264" s="148"/>
      <c r="L264" s="152"/>
      <c r="M264" s="156" t="str">
        <f t="shared" si="8"/>
        <v/>
      </c>
      <c r="N264" s="157" t="str">
        <f t="shared" si="9"/>
        <v/>
      </c>
    </row>
    <row r="265" spans="1:14" ht="30" customHeight="1" x14ac:dyDescent="0.25">
      <c r="A265" s="118" t="s">
        <v>317</v>
      </c>
      <c r="B265" s="118" t="s">
        <v>318</v>
      </c>
      <c r="C265" s="118" t="s">
        <v>326</v>
      </c>
      <c r="D265" s="118"/>
      <c r="E265" s="118" t="s">
        <v>320</v>
      </c>
      <c r="F265" s="127"/>
      <c r="G265" s="132" t="str">
        <f>IF($F265&lt;&gt;"",$F265,IFERROR(_xlfn.XLOOKUP(ROW(),Taxa_Saknas!$H:$H,Taxa_Saknas!$G:$G),""))</f>
        <v/>
      </c>
      <c r="H265" s="137" t="str">
        <f>IF($F265&lt;&gt;"",IFERROR(_xlfn.XLOOKUP($F265,Taxa_från_edp!$B:$B,Taxa_från_edp!C:C),""),"")</f>
        <v/>
      </c>
      <c r="I265" s="138" t="str">
        <f>IF($F265&lt;&gt;"",IFERROR(_xlfn.XLOOKUP($F265,Taxa_från_edp!$B:$B,Taxa_från_edp!G:G),""),"")</f>
        <v/>
      </c>
      <c r="J265" s="139" t="str">
        <f>IF($F265&lt;&gt;"",IFERROR(_xlfn.XLOOKUP($F265,Taxa_från_edp!$B:$B,Taxa_från_edp!K:K),""),"")</f>
        <v/>
      </c>
      <c r="K265" s="148"/>
      <c r="L265" s="152"/>
      <c r="M265" s="156" t="str">
        <f t="shared" si="8"/>
        <v/>
      </c>
      <c r="N265" s="157" t="str">
        <f t="shared" si="9"/>
        <v/>
      </c>
    </row>
    <row r="266" spans="1:14" ht="30" customHeight="1" x14ac:dyDescent="0.25">
      <c r="A266" s="118" t="s">
        <v>317</v>
      </c>
      <c r="B266" s="118" t="s">
        <v>318</v>
      </c>
      <c r="C266" s="118" t="s">
        <v>327</v>
      </c>
      <c r="D266" s="118"/>
      <c r="E266" s="118" t="s">
        <v>320</v>
      </c>
      <c r="F266" s="127"/>
      <c r="G266" s="132" t="str">
        <f>IF($F266&lt;&gt;"",$F266,IFERROR(_xlfn.XLOOKUP(ROW(),Taxa_Saknas!$H:$H,Taxa_Saknas!$G:$G),""))</f>
        <v/>
      </c>
      <c r="H266" s="137" t="str">
        <f>IF($F266&lt;&gt;"",IFERROR(_xlfn.XLOOKUP($F266,Taxa_från_edp!$B:$B,Taxa_från_edp!C:C),""),"")</f>
        <v/>
      </c>
      <c r="I266" s="138" t="str">
        <f>IF($F266&lt;&gt;"",IFERROR(_xlfn.XLOOKUP($F266,Taxa_från_edp!$B:$B,Taxa_från_edp!G:G),""),"")</f>
        <v/>
      </c>
      <c r="J266" s="139" t="str">
        <f>IF($F266&lt;&gt;"",IFERROR(_xlfn.XLOOKUP($F266,Taxa_från_edp!$B:$B,Taxa_från_edp!K:K),""),"")</f>
        <v/>
      </c>
      <c r="K266" s="148"/>
      <c r="L266" s="152"/>
      <c r="M266" s="156" t="str">
        <f t="shared" si="8"/>
        <v/>
      </c>
      <c r="N266" s="157" t="str">
        <f t="shared" si="9"/>
        <v/>
      </c>
    </row>
    <row r="267" spans="1:14" ht="30" customHeight="1" x14ac:dyDescent="0.25">
      <c r="A267" s="118" t="s">
        <v>317</v>
      </c>
      <c r="B267" s="118" t="s">
        <v>318</v>
      </c>
      <c r="C267" s="118" t="s">
        <v>328</v>
      </c>
      <c r="D267" s="118"/>
      <c r="E267" s="118" t="s">
        <v>320</v>
      </c>
      <c r="F267" s="127"/>
      <c r="G267" s="132" t="str">
        <f>IF($F267&lt;&gt;"",$F267,IFERROR(_xlfn.XLOOKUP(ROW(),Taxa_Saknas!$H:$H,Taxa_Saknas!$G:$G),""))</f>
        <v/>
      </c>
      <c r="H267" s="137" t="str">
        <f>IF($F267&lt;&gt;"",IFERROR(_xlfn.XLOOKUP($F267,Taxa_från_edp!$B:$B,Taxa_från_edp!C:C),""),"")</f>
        <v/>
      </c>
      <c r="I267" s="138" t="str">
        <f>IF($F267&lt;&gt;"",IFERROR(_xlfn.XLOOKUP($F267,Taxa_från_edp!$B:$B,Taxa_från_edp!G:G),""),"")</f>
        <v/>
      </c>
      <c r="J267" s="139" t="str">
        <f>IF($F267&lt;&gt;"",IFERROR(_xlfn.XLOOKUP($F267,Taxa_från_edp!$B:$B,Taxa_från_edp!K:K),""),"")</f>
        <v/>
      </c>
      <c r="K267" s="148"/>
      <c r="L267" s="152"/>
      <c r="M267" s="156" t="str">
        <f t="shared" si="8"/>
        <v/>
      </c>
      <c r="N267" s="157" t="str">
        <f t="shared" si="9"/>
        <v/>
      </c>
    </row>
    <row r="268" spans="1:14" ht="30" customHeight="1" x14ac:dyDescent="0.25">
      <c r="A268" s="118" t="s">
        <v>317</v>
      </c>
      <c r="B268" s="118" t="s">
        <v>318</v>
      </c>
      <c r="C268" s="118" t="s">
        <v>329</v>
      </c>
      <c r="D268" s="118"/>
      <c r="E268" s="118" t="s">
        <v>320</v>
      </c>
      <c r="F268" s="127"/>
      <c r="G268" s="132" t="str">
        <f>IF($F268&lt;&gt;"",$F268,IFERROR(_xlfn.XLOOKUP(ROW(),Taxa_Saknas!$H:$H,Taxa_Saknas!$G:$G),""))</f>
        <v/>
      </c>
      <c r="H268" s="137" t="str">
        <f>IF($F268&lt;&gt;"",IFERROR(_xlfn.XLOOKUP($F268,Taxa_från_edp!$B:$B,Taxa_från_edp!C:C),""),"")</f>
        <v/>
      </c>
      <c r="I268" s="138" t="str">
        <f>IF($F268&lt;&gt;"",IFERROR(_xlfn.XLOOKUP($F268,Taxa_från_edp!$B:$B,Taxa_från_edp!G:G),""),"")</f>
        <v/>
      </c>
      <c r="J268" s="139" t="str">
        <f>IF($F268&lt;&gt;"",IFERROR(_xlfn.XLOOKUP($F268,Taxa_från_edp!$B:$B,Taxa_från_edp!K:K),""),"")</f>
        <v/>
      </c>
      <c r="K268" s="148"/>
      <c r="L268" s="152"/>
      <c r="M268" s="156" t="str">
        <f t="shared" si="8"/>
        <v/>
      </c>
      <c r="N268" s="157" t="str">
        <f t="shared" si="9"/>
        <v/>
      </c>
    </row>
    <row r="269" spans="1:14" ht="30" customHeight="1" x14ac:dyDescent="0.25">
      <c r="A269" s="118" t="s">
        <v>317</v>
      </c>
      <c r="B269" s="118" t="s">
        <v>318</v>
      </c>
      <c r="C269" s="118" t="s">
        <v>330</v>
      </c>
      <c r="D269" s="118"/>
      <c r="E269" s="118" t="s">
        <v>320</v>
      </c>
      <c r="F269" s="127"/>
      <c r="G269" s="132" t="str">
        <f>IF($F269&lt;&gt;"",$F269,IFERROR(_xlfn.XLOOKUP(ROW(),Taxa_Saknas!$H:$H,Taxa_Saknas!$G:$G),""))</f>
        <v/>
      </c>
      <c r="H269" s="137" t="str">
        <f>IF($F269&lt;&gt;"",IFERROR(_xlfn.XLOOKUP($F269,Taxa_från_edp!$B:$B,Taxa_från_edp!C:C),""),"")</f>
        <v/>
      </c>
      <c r="I269" s="138" t="str">
        <f>IF($F269&lt;&gt;"",IFERROR(_xlfn.XLOOKUP($F269,Taxa_från_edp!$B:$B,Taxa_från_edp!G:G),""),"")</f>
        <v/>
      </c>
      <c r="J269" s="139" t="str">
        <f>IF($F269&lt;&gt;"",IFERROR(_xlfn.XLOOKUP($F269,Taxa_från_edp!$B:$B,Taxa_från_edp!K:K),""),"")</f>
        <v/>
      </c>
      <c r="K269" s="148"/>
      <c r="L269" s="152"/>
      <c r="M269" s="156" t="str">
        <f t="shared" si="8"/>
        <v/>
      </c>
      <c r="N269" s="157" t="str">
        <f t="shared" si="9"/>
        <v/>
      </c>
    </row>
    <row r="270" spans="1:14" ht="30" customHeight="1" x14ac:dyDescent="0.25">
      <c r="A270" s="118" t="s">
        <v>317</v>
      </c>
      <c r="B270" s="118" t="s">
        <v>318</v>
      </c>
      <c r="C270" s="118" t="s">
        <v>331</v>
      </c>
      <c r="D270" s="118"/>
      <c r="E270" s="118" t="s">
        <v>320</v>
      </c>
      <c r="F270" s="127"/>
      <c r="G270" s="132" t="str">
        <f>IF($F270&lt;&gt;"",$F270,IFERROR(_xlfn.XLOOKUP(ROW(),Taxa_Saknas!$H:$H,Taxa_Saknas!$G:$G),""))</f>
        <v/>
      </c>
      <c r="H270" s="137" t="str">
        <f>IF($F270&lt;&gt;"",IFERROR(_xlfn.XLOOKUP($F270,Taxa_från_edp!$B:$B,Taxa_från_edp!C:C),""),"")</f>
        <v/>
      </c>
      <c r="I270" s="138" t="str">
        <f>IF($F270&lt;&gt;"",IFERROR(_xlfn.XLOOKUP($F270,Taxa_från_edp!$B:$B,Taxa_från_edp!G:G),""),"")</f>
        <v/>
      </c>
      <c r="J270" s="139" t="str">
        <f>IF($F270&lt;&gt;"",IFERROR(_xlfn.XLOOKUP($F270,Taxa_från_edp!$B:$B,Taxa_från_edp!K:K),""),"")</f>
        <v/>
      </c>
      <c r="K270" s="148"/>
      <c r="L270" s="152"/>
      <c r="M270" s="156" t="str">
        <f t="shared" si="8"/>
        <v/>
      </c>
      <c r="N270" s="157" t="str">
        <f t="shared" si="9"/>
        <v/>
      </c>
    </row>
    <row r="271" spans="1:14" ht="30" customHeight="1" x14ac:dyDescent="0.25">
      <c r="A271" s="118" t="s">
        <v>317</v>
      </c>
      <c r="B271" s="118" t="s">
        <v>318</v>
      </c>
      <c r="C271" s="118" t="s">
        <v>332</v>
      </c>
      <c r="D271" s="118"/>
      <c r="E271" s="118" t="s">
        <v>320</v>
      </c>
      <c r="F271" s="127"/>
      <c r="G271" s="132" t="str">
        <f>IF($F271&lt;&gt;"",$F271,IFERROR(_xlfn.XLOOKUP(ROW(),Taxa_Saknas!$H:$H,Taxa_Saknas!$G:$G),""))</f>
        <v/>
      </c>
      <c r="H271" s="137" t="str">
        <f>IF($F271&lt;&gt;"",IFERROR(_xlfn.XLOOKUP($F271,Taxa_från_edp!$B:$B,Taxa_från_edp!C:C),""),"")</f>
        <v/>
      </c>
      <c r="I271" s="138" t="str">
        <f>IF($F271&lt;&gt;"",IFERROR(_xlfn.XLOOKUP($F271,Taxa_från_edp!$B:$B,Taxa_från_edp!G:G),""),"")</f>
        <v/>
      </c>
      <c r="J271" s="139" t="str">
        <f>IF($F271&lt;&gt;"",IFERROR(_xlfn.XLOOKUP($F271,Taxa_från_edp!$B:$B,Taxa_från_edp!K:K),""),"")</f>
        <v/>
      </c>
      <c r="K271" s="148"/>
      <c r="L271" s="152"/>
      <c r="M271" s="156" t="str">
        <f t="shared" si="8"/>
        <v/>
      </c>
      <c r="N271" s="157" t="str">
        <f t="shared" si="9"/>
        <v/>
      </c>
    </row>
    <row r="272" spans="1:14" ht="30" customHeight="1" x14ac:dyDescent="0.25">
      <c r="A272" s="118" t="s">
        <v>317</v>
      </c>
      <c r="B272" s="118" t="s">
        <v>318</v>
      </c>
      <c r="C272" s="118" t="s">
        <v>333</v>
      </c>
      <c r="D272" s="118"/>
      <c r="E272" s="118" t="s">
        <v>320</v>
      </c>
      <c r="F272" s="127"/>
      <c r="G272" s="132" t="str">
        <f>IF($F272&lt;&gt;"",$F272,IFERROR(_xlfn.XLOOKUP(ROW(),Taxa_Saknas!$H:$H,Taxa_Saknas!$G:$G),""))</f>
        <v/>
      </c>
      <c r="H272" s="137" t="str">
        <f>IF($F272&lt;&gt;"",IFERROR(_xlfn.XLOOKUP($F272,Taxa_från_edp!$B:$B,Taxa_från_edp!C:C),""),"")</f>
        <v/>
      </c>
      <c r="I272" s="138" t="str">
        <f>IF($F272&lt;&gt;"",IFERROR(_xlfn.XLOOKUP($F272,Taxa_från_edp!$B:$B,Taxa_från_edp!G:G),""),"")</f>
        <v/>
      </c>
      <c r="J272" s="139" t="str">
        <f>IF($F272&lt;&gt;"",IFERROR(_xlfn.XLOOKUP($F272,Taxa_från_edp!$B:$B,Taxa_från_edp!K:K),""),"")</f>
        <v/>
      </c>
      <c r="K272" s="148"/>
      <c r="L272" s="152"/>
      <c r="M272" s="156" t="str">
        <f t="shared" si="8"/>
        <v/>
      </c>
      <c r="N272" s="157" t="str">
        <f t="shared" si="9"/>
        <v/>
      </c>
    </row>
    <row r="273" spans="1:14" ht="30" customHeight="1" x14ac:dyDescent="0.25">
      <c r="A273" s="118" t="s">
        <v>317</v>
      </c>
      <c r="B273" s="118" t="s">
        <v>318</v>
      </c>
      <c r="C273" s="118" t="s">
        <v>334</v>
      </c>
      <c r="D273" s="118"/>
      <c r="E273" s="118" t="s">
        <v>320</v>
      </c>
      <c r="F273" s="127"/>
      <c r="G273" s="132" t="str">
        <f>IF($F273&lt;&gt;"",$F273,IFERROR(_xlfn.XLOOKUP(ROW(),Taxa_Saknas!$H:$H,Taxa_Saknas!$G:$G),""))</f>
        <v/>
      </c>
      <c r="H273" s="137" t="str">
        <f>IF($F273&lt;&gt;"",IFERROR(_xlfn.XLOOKUP($F273,Taxa_från_edp!$B:$B,Taxa_från_edp!C:C),""),"")</f>
        <v/>
      </c>
      <c r="I273" s="138" t="str">
        <f>IF($F273&lt;&gt;"",IFERROR(_xlfn.XLOOKUP($F273,Taxa_från_edp!$B:$B,Taxa_från_edp!G:G),""),"")</f>
        <v/>
      </c>
      <c r="J273" s="139" t="str">
        <f>IF($F273&lt;&gt;"",IFERROR(_xlfn.XLOOKUP($F273,Taxa_från_edp!$B:$B,Taxa_från_edp!K:K),""),"")</f>
        <v/>
      </c>
      <c r="K273" s="148"/>
      <c r="L273" s="152"/>
      <c r="M273" s="156" t="str">
        <f t="shared" si="8"/>
        <v/>
      </c>
      <c r="N273" s="157" t="str">
        <f t="shared" si="9"/>
        <v/>
      </c>
    </row>
    <row r="274" spans="1:14" ht="30" customHeight="1" x14ac:dyDescent="0.25">
      <c r="A274" s="118" t="s">
        <v>317</v>
      </c>
      <c r="B274" s="118" t="s">
        <v>318</v>
      </c>
      <c r="C274" s="118" t="s">
        <v>335</v>
      </c>
      <c r="D274" s="118"/>
      <c r="E274" s="118" t="s">
        <v>320</v>
      </c>
      <c r="F274" s="127"/>
      <c r="G274" s="132" t="str">
        <f>IF($F274&lt;&gt;"",$F274,IFERROR(_xlfn.XLOOKUP(ROW(),Taxa_Saknas!$H:$H,Taxa_Saknas!$G:$G),""))</f>
        <v/>
      </c>
      <c r="H274" s="137" t="str">
        <f>IF($F274&lt;&gt;"",IFERROR(_xlfn.XLOOKUP($F274,Taxa_från_edp!$B:$B,Taxa_från_edp!C:C),""),"")</f>
        <v/>
      </c>
      <c r="I274" s="138" t="str">
        <f>IF($F274&lt;&gt;"",IFERROR(_xlfn.XLOOKUP($F274,Taxa_från_edp!$B:$B,Taxa_från_edp!G:G),""),"")</f>
        <v/>
      </c>
      <c r="J274" s="139" t="str">
        <f>IF($F274&lt;&gt;"",IFERROR(_xlfn.XLOOKUP($F274,Taxa_från_edp!$B:$B,Taxa_från_edp!K:K),""),"")</f>
        <v/>
      </c>
      <c r="K274" s="148"/>
      <c r="L274" s="152"/>
      <c r="M274" s="156" t="str">
        <f t="shared" si="8"/>
        <v/>
      </c>
      <c r="N274" s="157" t="str">
        <f t="shared" si="9"/>
        <v/>
      </c>
    </row>
    <row r="275" spans="1:14" ht="30" customHeight="1" x14ac:dyDescent="0.25">
      <c r="A275" s="118" t="s">
        <v>317</v>
      </c>
      <c r="B275" s="118" t="s">
        <v>318</v>
      </c>
      <c r="C275" s="118" t="s">
        <v>336</v>
      </c>
      <c r="D275" s="118"/>
      <c r="E275" s="118" t="s">
        <v>320</v>
      </c>
      <c r="F275" s="127"/>
      <c r="G275" s="132" t="str">
        <f>IF($F275&lt;&gt;"",$F275,IFERROR(_xlfn.XLOOKUP(ROW(),Taxa_Saknas!$H:$H,Taxa_Saknas!$G:$G),""))</f>
        <v/>
      </c>
      <c r="H275" s="137" t="str">
        <f>IF($F275&lt;&gt;"",IFERROR(_xlfn.XLOOKUP($F275,Taxa_från_edp!$B:$B,Taxa_från_edp!C:C),""),"")</f>
        <v/>
      </c>
      <c r="I275" s="138" t="str">
        <f>IF($F275&lt;&gt;"",IFERROR(_xlfn.XLOOKUP($F275,Taxa_från_edp!$B:$B,Taxa_från_edp!G:G),""),"")</f>
        <v/>
      </c>
      <c r="J275" s="139" t="str">
        <f>IF($F275&lt;&gt;"",IFERROR(_xlfn.XLOOKUP($F275,Taxa_från_edp!$B:$B,Taxa_från_edp!K:K),""),"")</f>
        <v/>
      </c>
      <c r="K275" s="148"/>
      <c r="L275" s="152"/>
      <c r="M275" s="156" t="str">
        <f t="shared" si="8"/>
        <v/>
      </c>
      <c r="N275" s="157" t="str">
        <f t="shared" si="9"/>
        <v/>
      </c>
    </row>
    <row r="276" spans="1:14" ht="30" customHeight="1" x14ac:dyDescent="0.25">
      <c r="A276" s="118" t="s">
        <v>317</v>
      </c>
      <c r="B276" s="118" t="s">
        <v>318</v>
      </c>
      <c r="C276" s="118" t="s">
        <v>337</v>
      </c>
      <c r="D276" s="118"/>
      <c r="E276" s="118" t="s">
        <v>320</v>
      </c>
      <c r="F276" s="127"/>
      <c r="G276" s="132" t="str">
        <f>IF($F276&lt;&gt;"",$F276,IFERROR(_xlfn.XLOOKUP(ROW(),Taxa_Saknas!$H:$H,Taxa_Saknas!$G:$G),""))</f>
        <v/>
      </c>
      <c r="H276" s="137" t="str">
        <f>IF($F276&lt;&gt;"",IFERROR(_xlfn.XLOOKUP($F276,Taxa_från_edp!$B:$B,Taxa_från_edp!C:C),""),"")</f>
        <v/>
      </c>
      <c r="I276" s="138" t="str">
        <f>IF($F276&lt;&gt;"",IFERROR(_xlfn.XLOOKUP($F276,Taxa_från_edp!$B:$B,Taxa_från_edp!G:G),""),"")</f>
        <v/>
      </c>
      <c r="J276" s="139" t="str">
        <f>IF($F276&lt;&gt;"",IFERROR(_xlfn.XLOOKUP($F276,Taxa_från_edp!$B:$B,Taxa_från_edp!K:K),""),"")</f>
        <v/>
      </c>
      <c r="K276" s="148"/>
      <c r="L276" s="152"/>
      <c r="M276" s="156" t="str">
        <f t="shared" si="8"/>
        <v/>
      </c>
      <c r="N276" s="157" t="str">
        <f t="shared" si="9"/>
        <v/>
      </c>
    </row>
    <row r="277" spans="1:14" ht="30" customHeight="1" x14ac:dyDescent="0.25">
      <c r="A277" s="118" t="s">
        <v>317</v>
      </c>
      <c r="B277" s="118" t="s">
        <v>318</v>
      </c>
      <c r="C277" s="118" t="s">
        <v>338</v>
      </c>
      <c r="D277" s="118"/>
      <c r="E277" s="118" t="s">
        <v>320</v>
      </c>
      <c r="F277" s="127"/>
      <c r="G277" s="132" t="str">
        <f>IF($F277&lt;&gt;"",$F277,IFERROR(_xlfn.XLOOKUP(ROW(),Taxa_Saknas!$H:$H,Taxa_Saknas!$G:$G),""))</f>
        <v/>
      </c>
      <c r="H277" s="137" t="str">
        <f>IF($F277&lt;&gt;"",IFERROR(_xlfn.XLOOKUP($F277,Taxa_från_edp!$B:$B,Taxa_från_edp!C:C),""),"")</f>
        <v/>
      </c>
      <c r="I277" s="138" t="str">
        <f>IF($F277&lt;&gt;"",IFERROR(_xlfn.XLOOKUP($F277,Taxa_från_edp!$B:$B,Taxa_från_edp!G:G),""),"")</f>
        <v/>
      </c>
      <c r="J277" s="139" t="str">
        <f>IF($F277&lt;&gt;"",IFERROR(_xlfn.XLOOKUP($F277,Taxa_från_edp!$B:$B,Taxa_från_edp!K:K),""),"")</f>
        <v/>
      </c>
      <c r="K277" s="148"/>
      <c r="L277" s="152"/>
      <c r="M277" s="156" t="str">
        <f t="shared" si="8"/>
        <v/>
      </c>
      <c r="N277" s="157" t="str">
        <f t="shared" si="9"/>
        <v/>
      </c>
    </row>
    <row r="278" spans="1:14" ht="30" customHeight="1" x14ac:dyDescent="0.25">
      <c r="A278" s="118" t="s">
        <v>317</v>
      </c>
      <c r="B278" s="118" t="s">
        <v>318</v>
      </c>
      <c r="C278" s="118" t="s">
        <v>339</v>
      </c>
      <c r="D278" s="118"/>
      <c r="E278" s="118" t="s">
        <v>320</v>
      </c>
      <c r="F278" s="127"/>
      <c r="G278" s="132" t="str">
        <f>IF($F278&lt;&gt;"",$F278,IFERROR(_xlfn.XLOOKUP(ROW(),Taxa_Saknas!$H:$H,Taxa_Saknas!$G:$G),""))</f>
        <v/>
      </c>
      <c r="H278" s="137" t="str">
        <f>IF($F278&lt;&gt;"",IFERROR(_xlfn.XLOOKUP($F278,Taxa_från_edp!$B:$B,Taxa_från_edp!C:C),""),"")</f>
        <v/>
      </c>
      <c r="I278" s="138" t="str">
        <f>IF($F278&lt;&gt;"",IFERROR(_xlfn.XLOOKUP($F278,Taxa_från_edp!$B:$B,Taxa_från_edp!G:G),""),"")</f>
        <v/>
      </c>
      <c r="J278" s="139" t="str">
        <f>IF($F278&lt;&gt;"",IFERROR(_xlfn.XLOOKUP($F278,Taxa_från_edp!$B:$B,Taxa_från_edp!K:K),""),"")</f>
        <v/>
      </c>
      <c r="K278" s="148"/>
      <c r="L278" s="152"/>
      <c r="M278" s="156" t="str">
        <f t="shared" si="8"/>
        <v/>
      </c>
      <c r="N278" s="157" t="str">
        <f t="shared" si="9"/>
        <v/>
      </c>
    </row>
    <row r="279" spans="1:14" ht="30" customHeight="1" x14ac:dyDescent="0.25">
      <c r="A279" s="118" t="s">
        <v>317</v>
      </c>
      <c r="B279" s="118" t="s">
        <v>318</v>
      </c>
      <c r="C279" s="118" t="s">
        <v>340</v>
      </c>
      <c r="D279" s="118"/>
      <c r="E279" s="118" t="s">
        <v>320</v>
      </c>
      <c r="F279" s="127"/>
      <c r="G279" s="132" t="str">
        <f>IF($F279&lt;&gt;"",$F279,IFERROR(_xlfn.XLOOKUP(ROW(),Taxa_Saknas!$H:$H,Taxa_Saknas!$G:$G),""))</f>
        <v/>
      </c>
      <c r="H279" s="137" t="str">
        <f>IF($F279&lt;&gt;"",IFERROR(_xlfn.XLOOKUP($F279,Taxa_från_edp!$B:$B,Taxa_från_edp!C:C),""),"")</f>
        <v/>
      </c>
      <c r="I279" s="138" t="str">
        <f>IF($F279&lt;&gt;"",IFERROR(_xlfn.XLOOKUP($F279,Taxa_från_edp!$B:$B,Taxa_från_edp!G:G),""),"")</f>
        <v/>
      </c>
      <c r="J279" s="139" t="str">
        <f>IF($F279&lt;&gt;"",IFERROR(_xlfn.XLOOKUP($F279,Taxa_från_edp!$B:$B,Taxa_från_edp!K:K),""),"")</f>
        <v/>
      </c>
      <c r="K279" s="148"/>
      <c r="L279" s="152"/>
      <c r="M279" s="156" t="str">
        <f t="shared" si="8"/>
        <v/>
      </c>
      <c r="N279" s="157" t="str">
        <f t="shared" si="9"/>
        <v/>
      </c>
    </row>
    <row r="280" spans="1:14" ht="30" customHeight="1" x14ac:dyDescent="0.25">
      <c r="A280" s="118" t="s">
        <v>317</v>
      </c>
      <c r="B280" s="118" t="s">
        <v>318</v>
      </c>
      <c r="C280" s="118" t="s">
        <v>341</v>
      </c>
      <c r="D280" s="118"/>
      <c r="E280" s="118" t="s">
        <v>342</v>
      </c>
      <c r="F280" s="127"/>
      <c r="G280" s="132" t="str">
        <f>IF($F280&lt;&gt;"",$F280,IFERROR(_xlfn.XLOOKUP(ROW(),Taxa_Saknas!$H:$H,Taxa_Saknas!$G:$G),""))</f>
        <v/>
      </c>
      <c r="H280" s="137" t="str">
        <f>IF($F280&lt;&gt;"",IFERROR(_xlfn.XLOOKUP($F280,Taxa_från_edp!$B:$B,Taxa_från_edp!C:C),""),"")</f>
        <v/>
      </c>
      <c r="I280" s="138" t="str">
        <f>IF($F280&lt;&gt;"",IFERROR(_xlfn.XLOOKUP($F280,Taxa_från_edp!$B:$B,Taxa_från_edp!G:G),""),"")</f>
        <v/>
      </c>
      <c r="J280" s="139" t="str">
        <f>IF($F280&lt;&gt;"",IFERROR(_xlfn.XLOOKUP($F280,Taxa_från_edp!$B:$B,Taxa_från_edp!K:K),""),"")</f>
        <v/>
      </c>
      <c r="K280" s="148"/>
      <c r="L280" s="152"/>
      <c r="M280" s="156" t="str">
        <f t="shared" si="8"/>
        <v/>
      </c>
      <c r="N280" s="157" t="str">
        <f t="shared" si="9"/>
        <v/>
      </c>
    </row>
    <row r="281" spans="1:14" ht="30" customHeight="1" x14ac:dyDescent="0.25">
      <c r="A281" s="118" t="s">
        <v>317</v>
      </c>
      <c r="B281" s="118" t="s">
        <v>318</v>
      </c>
      <c r="C281" s="118" t="s">
        <v>343</v>
      </c>
      <c r="D281" s="118" t="s">
        <v>344</v>
      </c>
      <c r="E281" s="118" t="s">
        <v>345</v>
      </c>
      <c r="F281" s="127"/>
      <c r="G281" s="132" t="str">
        <f>IF($F281&lt;&gt;"",$F281,IFERROR(_xlfn.XLOOKUP(ROW(),Taxa_Saknas!$H:$H,Taxa_Saknas!$G:$G),""))</f>
        <v/>
      </c>
      <c r="H281" s="137" t="str">
        <f>IF($F281&lt;&gt;"",IFERROR(_xlfn.XLOOKUP($F281,Taxa_från_edp!$B:$B,Taxa_från_edp!C:C),""),"")</f>
        <v/>
      </c>
      <c r="I281" s="138" t="str">
        <f>IF($F281&lt;&gt;"",IFERROR(_xlfn.XLOOKUP($F281,Taxa_från_edp!$B:$B,Taxa_från_edp!G:G),""),"")</f>
        <v/>
      </c>
      <c r="J281" s="139" t="str">
        <f>IF($F281&lt;&gt;"",IFERROR(_xlfn.XLOOKUP($F281,Taxa_från_edp!$B:$B,Taxa_från_edp!K:K),""),"")</f>
        <v/>
      </c>
      <c r="K281" s="148"/>
      <c r="L281" s="152"/>
      <c r="M281" s="156" t="str">
        <f t="shared" si="8"/>
        <v/>
      </c>
      <c r="N281" s="157" t="str">
        <f t="shared" si="9"/>
        <v/>
      </c>
    </row>
    <row r="282" spans="1:14" ht="30" customHeight="1" x14ac:dyDescent="0.25">
      <c r="A282" s="118" t="s">
        <v>317</v>
      </c>
      <c r="B282" s="118" t="s">
        <v>318</v>
      </c>
      <c r="C282" s="118" t="s">
        <v>346</v>
      </c>
      <c r="D282" s="118" t="s">
        <v>344</v>
      </c>
      <c r="E282" s="118" t="s">
        <v>345</v>
      </c>
      <c r="F282" s="127"/>
      <c r="G282" s="132" t="str">
        <f>IF($F282&lt;&gt;"",$F282,IFERROR(_xlfn.XLOOKUP(ROW(),Taxa_Saknas!$H:$H,Taxa_Saknas!$G:$G),""))</f>
        <v/>
      </c>
      <c r="H282" s="137" t="str">
        <f>IF($F282&lt;&gt;"",IFERROR(_xlfn.XLOOKUP($F282,Taxa_från_edp!$B:$B,Taxa_från_edp!C:C),""),"")</f>
        <v/>
      </c>
      <c r="I282" s="138" t="str">
        <f>IF($F282&lt;&gt;"",IFERROR(_xlfn.XLOOKUP($F282,Taxa_från_edp!$B:$B,Taxa_från_edp!G:G),""),"")</f>
        <v/>
      </c>
      <c r="J282" s="139" t="str">
        <f>IF($F282&lt;&gt;"",IFERROR(_xlfn.XLOOKUP($F282,Taxa_från_edp!$B:$B,Taxa_från_edp!K:K),""),"")</f>
        <v/>
      </c>
      <c r="K282" s="148"/>
      <c r="L282" s="152"/>
      <c r="M282" s="156" t="str">
        <f t="shared" si="8"/>
        <v/>
      </c>
      <c r="N282" s="157" t="str">
        <f t="shared" si="9"/>
        <v/>
      </c>
    </row>
    <row r="283" spans="1:14" ht="30" customHeight="1" x14ac:dyDescent="0.25">
      <c r="A283" s="118" t="s">
        <v>317</v>
      </c>
      <c r="B283" s="118" t="s">
        <v>318</v>
      </c>
      <c r="C283" s="118" t="s">
        <v>347</v>
      </c>
      <c r="D283" s="118" t="s">
        <v>344</v>
      </c>
      <c r="E283" s="118" t="s">
        <v>348</v>
      </c>
      <c r="F283" s="127"/>
      <c r="G283" s="132" t="str">
        <f>IF($F283&lt;&gt;"",$F283,IFERROR(_xlfn.XLOOKUP(ROW(),Taxa_Saknas!$H:$H,Taxa_Saknas!$G:$G),""))</f>
        <v/>
      </c>
      <c r="H283" s="137" t="str">
        <f>IF($F283&lt;&gt;"",IFERROR(_xlfn.XLOOKUP($F283,Taxa_från_edp!$B:$B,Taxa_från_edp!C:C),""),"")</f>
        <v/>
      </c>
      <c r="I283" s="138" t="str">
        <f>IF($F283&lt;&gt;"",IFERROR(_xlfn.XLOOKUP($F283,Taxa_från_edp!$B:$B,Taxa_från_edp!G:G),""),"")</f>
        <v/>
      </c>
      <c r="J283" s="139" t="str">
        <f>IF($F283&lt;&gt;"",IFERROR(_xlfn.XLOOKUP($F283,Taxa_från_edp!$B:$B,Taxa_från_edp!K:K),""),"")</f>
        <v/>
      </c>
      <c r="K283" s="148"/>
      <c r="L283" s="152"/>
      <c r="M283" s="156" t="str">
        <f t="shared" si="8"/>
        <v/>
      </c>
      <c r="N283" s="157" t="str">
        <f t="shared" si="9"/>
        <v/>
      </c>
    </row>
    <row r="284" spans="1:14" ht="30" customHeight="1" x14ac:dyDescent="0.25">
      <c r="A284" s="118" t="s">
        <v>317</v>
      </c>
      <c r="B284" s="118" t="s">
        <v>318</v>
      </c>
      <c r="C284" s="118" t="s">
        <v>349</v>
      </c>
      <c r="D284" s="118" t="s">
        <v>344</v>
      </c>
      <c r="E284" s="118" t="s">
        <v>348</v>
      </c>
      <c r="F284" s="127"/>
      <c r="G284" s="132" t="str">
        <f>IF($F284&lt;&gt;"",$F284,IFERROR(_xlfn.XLOOKUP(ROW(),Taxa_Saknas!$H:$H,Taxa_Saknas!$G:$G),""))</f>
        <v/>
      </c>
      <c r="H284" s="137" t="str">
        <f>IF($F284&lt;&gt;"",IFERROR(_xlfn.XLOOKUP($F284,Taxa_från_edp!$B:$B,Taxa_från_edp!C:C),""),"")</f>
        <v/>
      </c>
      <c r="I284" s="138" t="str">
        <f>IF($F284&lt;&gt;"",IFERROR(_xlfn.XLOOKUP($F284,Taxa_från_edp!$B:$B,Taxa_från_edp!G:G),""),"")</f>
        <v/>
      </c>
      <c r="J284" s="139" t="str">
        <f>IF($F284&lt;&gt;"",IFERROR(_xlfn.XLOOKUP($F284,Taxa_från_edp!$B:$B,Taxa_från_edp!K:K),""),"")</f>
        <v/>
      </c>
      <c r="K284" s="148"/>
      <c r="L284" s="152"/>
      <c r="M284" s="156" t="str">
        <f t="shared" si="8"/>
        <v/>
      </c>
      <c r="N284" s="157" t="str">
        <f t="shared" si="9"/>
        <v/>
      </c>
    </row>
    <row r="285" spans="1:14" ht="30" customHeight="1" x14ac:dyDescent="0.25">
      <c r="A285" s="118" t="s">
        <v>317</v>
      </c>
      <c r="B285" s="118" t="s">
        <v>318</v>
      </c>
      <c r="C285" s="118" t="s">
        <v>350</v>
      </c>
      <c r="D285" s="118" t="s">
        <v>351</v>
      </c>
      <c r="E285" s="118" t="s">
        <v>348</v>
      </c>
      <c r="F285" s="127"/>
      <c r="G285" s="132" t="str">
        <f>IF($F285&lt;&gt;"",$F285,IFERROR(_xlfn.XLOOKUP(ROW(),Taxa_Saknas!$H:$H,Taxa_Saknas!$G:$G),""))</f>
        <v/>
      </c>
      <c r="H285" s="137" t="str">
        <f>IF($F285&lt;&gt;"",IFERROR(_xlfn.XLOOKUP($F285,Taxa_från_edp!$B:$B,Taxa_från_edp!C:C),""),"")</f>
        <v/>
      </c>
      <c r="I285" s="138" t="str">
        <f>IF($F285&lt;&gt;"",IFERROR(_xlfn.XLOOKUP($F285,Taxa_från_edp!$B:$B,Taxa_från_edp!G:G),""),"")</f>
        <v/>
      </c>
      <c r="J285" s="139" t="str">
        <f>IF($F285&lt;&gt;"",IFERROR(_xlfn.XLOOKUP($F285,Taxa_från_edp!$B:$B,Taxa_från_edp!K:K),""),"")</f>
        <v/>
      </c>
      <c r="K285" s="148"/>
      <c r="L285" s="152"/>
      <c r="M285" s="156" t="str">
        <f t="shared" si="8"/>
        <v/>
      </c>
      <c r="N285" s="157" t="str">
        <f t="shared" si="9"/>
        <v/>
      </c>
    </row>
    <row r="286" spans="1:14" ht="30" customHeight="1" x14ac:dyDescent="0.25">
      <c r="A286" s="118" t="s">
        <v>317</v>
      </c>
      <c r="B286" s="118" t="s">
        <v>318</v>
      </c>
      <c r="C286" s="118" t="s">
        <v>352</v>
      </c>
      <c r="D286" s="118" t="s">
        <v>353</v>
      </c>
      <c r="E286" s="118" t="s">
        <v>348</v>
      </c>
      <c r="F286" s="127"/>
      <c r="G286" s="132" t="str">
        <f>IF($F286&lt;&gt;"",$F286,IFERROR(_xlfn.XLOOKUP(ROW(),Taxa_Saknas!$H:$H,Taxa_Saknas!$G:$G),""))</f>
        <v/>
      </c>
      <c r="H286" s="137" t="str">
        <f>IF($F286&lt;&gt;"",IFERROR(_xlfn.XLOOKUP($F286,Taxa_från_edp!$B:$B,Taxa_från_edp!C:C),""),"")</f>
        <v/>
      </c>
      <c r="I286" s="138" t="str">
        <f>IF($F286&lt;&gt;"",IFERROR(_xlfn.XLOOKUP($F286,Taxa_från_edp!$B:$B,Taxa_från_edp!G:G),""),"")</f>
        <v/>
      </c>
      <c r="J286" s="139" t="str">
        <f>IF($F286&lt;&gt;"",IFERROR(_xlfn.XLOOKUP($F286,Taxa_från_edp!$B:$B,Taxa_från_edp!K:K),""),"")</f>
        <v/>
      </c>
      <c r="K286" s="148"/>
      <c r="L286" s="152"/>
      <c r="M286" s="156" t="str">
        <f t="shared" si="8"/>
        <v/>
      </c>
      <c r="N286" s="157" t="str">
        <f t="shared" si="9"/>
        <v/>
      </c>
    </row>
    <row r="287" spans="1:14" ht="30" customHeight="1" x14ac:dyDescent="0.25">
      <c r="A287" s="118" t="s">
        <v>317</v>
      </c>
      <c r="B287" s="118" t="s">
        <v>318</v>
      </c>
      <c r="C287" s="118" t="s">
        <v>354</v>
      </c>
      <c r="D287" s="118" t="s">
        <v>344</v>
      </c>
      <c r="E287" s="118" t="s">
        <v>348</v>
      </c>
      <c r="F287" s="127"/>
      <c r="G287" s="132" t="str">
        <f>IF($F287&lt;&gt;"",$F287,IFERROR(_xlfn.XLOOKUP(ROW(),Taxa_Saknas!$H:$H,Taxa_Saknas!$G:$G),""))</f>
        <v/>
      </c>
      <c r="H287" s="137" t="str">
        <f>IF($F287&lt;&gt;"",IFERROR(_xlfn.XLOOKUP($F287,Taxa_från_edp!$B:$B,Taxa_från_edp!C:C),""),"")</f>
        <v/>
      </c>
      <c r="I287" s="138" t="str">
        <f>IF($F287&lt;&gt;"",IFERROR(_xlfn.XLOOKUP($F287,Taxa_från_edp!$B:$B,Taxa_från_edp!G:G),""),"")</f>
        <v/>
      </c>
      <c r="J287" s="139" t="str">
        <f>IF($F287&lt;&gt;"",IFERROR(_xlfn.XLOOKUP($F287,Taxa_från_edp!$B:$B,Taxa_från_edp!K:K),""),"")</f>
        <v/>
      </c>
      <c r="K287" s="148"/>
      <c r="L287" s="152"/>
      <c r="M287" s="156" t="str">
        <f t="shared" si="8"/>
        <v/>
      </c>
      <c r="N287" s="157" t="str">
        <f t="shared" si="9"/>
        <v/>
      </c>
    </row>
    <row r="288" spans="1:14" ht="30" customHeight="1" x14ac:dyDescent="0.25">
      <c r="A288" s="118" t="s">
        <v>317</v>
      </c>
      <c r="B288" s="118" t="s">
        <v>318</v>
      </c>
      <c r="C288" s="118" t="s">
        <v>355</v>
      </c>
      <c r="D288" s="118" t="s">
        <v>356</v>
      </c>
      <c r="E288" s="118" t="s">
        <v>348</v>
      </c>
      <c r="F288" s="127"/>
      <c r="G288" s="132" t="str">
        <f>IF($F288&lt;&gt;"",$F288,IFERROR(_xlfn.XLOOKUP(ROW(),Taxa_Saknas!$H:$H,Taxa_Saknas!$G:$G),""))</f>
        <v/>
      </c>
      <c r="H288" s="137" t="str">
        <f>IF($F288&lt;&gt;"",IFERROR(_xlfn.XLOOKUP($F288,Taxa_från_edp!$B:$B,Taxa_från_edp!C:C),""),"")</f>
        <v/>
      </c>
      <c r="I288" s="138" t="str">
        <f>IF($F288&lt;&gt;"",IFERROR(_xlfn.XLOOKUP($F288,Taxa_från_edp!$B:$B,Taxa_från_edp!G:G),""),"")</f>
        <v/>
      </c>
      <c r="J288" s="139" t="str">
        <f>IF($F288&lt;&gt;"",IFERROR(_xlfn.XLOOKUP($F288,Taxa_från_edp!$B:$B,Taxa_från_edp!K:K),""),"")</f>
        <v/>
      </c>
      <c r="K288" s="148"/>
      <c r="L288" s="152"/>
      <c r="M288" s="156" t="str">
        <f t="shared" si="8"/>
        <v/>
      </c>
      <c r="N288" s="157" t="str">
        <f t="shared" si="9"/>
        <v/>
      </c>
    </row>
    <row r="289" spans="1:14" ht="30" customHeight="1" x14ac:dyDescent="0.25">
      <c r="A289" s="118" t="s">
        <v>317</v>
      </c>
      <c r="B289" s="118" t="s">
        <v>318</v>
      </c>
      <c r="C289" s="118" t="s">
        <v>357</v>
      </c>
      <c r="D289" s="118" t="s">
        <v>358</v>
      </c>
      <c r="E289" s="118" t="s">
        <v>348</v>
      </c>
      <c r="F289" s="127"/>
      <c r="G289" s="132" t="str">
        <f>IF($F289&lt;&gt;"",$F289,IFERROR(_xlfn.XLOOKUP(ROW(),Taxa_Saknas!$H:$H,Taxa_Saknas!$G:$G),""))</f>
        <v/>
      </c>
      <c r="H289" s="137" t="str">
        <f>IF($F289&lt;&gt;"",IFERROR(_xlfn.XLOOKUP($F289,Taxa_från_edp!$B:$B,Taxa_från_edp!C:C),""),"")</f>
        <v/>
      </c>
      <c r="I289" s="138" t="str">
        <f>IF($F289&lt;&gt;"",IFERROR(_xlfn.XLOOKUP($F289,Taxa_från_edp!$B:$B,Taxa_från_edp!G:G),""),"")</f>
        <v/>
      </c>
      <c r="J289" s="139" t="str">
        <f>IF($F289&lt;&gt;"",IFERROR(_xlfn.XLOOKUP($F289,Taxa_från_edp!$B:$B,Taxa_från_edp!K:K),""),"")</f>
        <v/>
      </c>
      <c r="K289" s="148"/>
      <c r="L289" s="152"/>
      <c r="M289" s="156" t="str">
        <f t="shared" si="8"/>
        <v/>
      </c>
      <c r="N289" s="157" t="str">
        <f t="shared" si="9"/>
        <v/>
      </c>
    </row>
    <row r="290" spans="1:14" ht="30" customHeight="1" x14ac:dyDescent="0.25">
      <c r="A290" s="118" t="s">
        <v>317</v>
      </c>
      <c r="B290" s="118" t="s">
        <v>318</v>
      </c>
      <c r="C290" s="118" t="s">
        <v>359</v>
      </c>
      <c r="D290" s="118"/>
      <c r="E290" s="118" t="s">
        <v>348</v>
      </c>
      <c r="F290" s="127"/>
      <c r="G290" s="132" t="str">
        <f>IF($F290&lt;&gt;"",$F290,IFERROR(_xlfn.XLOOKUP(ROW(),Taxa_Saknas!$H:$H,Taxa_Saknas!$G:$G),""))</f>
        <v/>
      </c>
      <c r="H290" s="137" t="str">
        <f>IF($F290&lt;&gt;"",IFERROR(_xlfn.XLOOKUP($F290,Taxa_från_edp!$B:$B,Taxa_från_edp!C:C),""),"")</f>
        <v/>
      </c>
      <c r="I290" s="138" t="str">
        <f>IF($F290&lt;&gt;"",IFERROR(_xlfn.XLOOKUP($F290,Taxa_från_edp!$B:$B,Taxa_från_edp!G:G),""),"")</f>
        <v/>
      </c>
      <c r="J290" s="139" t="str">
        <f>IF($F290&lt;&gt;"",IFERROR(_xlfn.XLOOKUP($F290,Taxa_från_edp!$B:$B,Taxa_från_edp!K:K),""),"")</f>
        <v/>
      </c>
      <c r="K290" s="148"/>
      <c r="L290" s="152"/>
      <c r="M290" s="156" t="str">
        <f t="shared" si="8"/>
        <v/>
      </c>
      <c r="N290" s="157" t="str">
        <f t="shared" si="9"/>
        <v/>
      </c>
    </row>
    <row r="291" spans="1:14" ht="30" customHeight="1" x14ac:dyDescent="0.25">
      <c r="A291" s="118" t="s">
        <v>317</v>
      </c>
      <c r="B291" s="118" t="s">
        <v>318</v>
      </c>
      <c r="C291" s="118" t="s">
        <v>360</v>
      </c>
      <c r="D291" s="118" t="s">
        <v>361</v>
      </c>
      <c r="E291" s="118" t="s">
        <v>348</v>
      </c>
      <c r="F291" s="127"/>
      <c r="G291" s="132" t="str">
        <f>IF($F291&lt;&gt;"",$F291,IFERROR(_xlfn.XLOOKUP(ROW(),Taxa_Saknas!$H:$H,Taxa_Saknas!$G:$G),""))</f>
        <v/>
      </c>
      <c r="H291" s="137" t="str">
        <f>IF($F291&lt;&gt;"",IFERROR(_xlfn.XLOOKUP($F291,Taxa_från_edp!$B:$B,Taxa_från_edp!C:C),""),"")</f>
        <v/>
      </c>
      <c r="I291" s="138" t="str">
        <f>IF($F291&lt;&gt;"",IFERROR(_xlfn.XLOOKUP($F291,Taxa_från_edp!$B:$B,Taxa_från_edp!G:G),""),"")</f>
        <v/>
      </c>
      <c r="J291" s="139" t="str">
        <f>IF($F291&lt;&gt;"",IFERROR(_xlfn.XLOOKUP($F291,Taxa_från_edp!$B:$B,Taxa_från_edp!K:K),""),"")</f>
        <v/>
      </c>
      <c r="K291" s="148"/>
      <c r="L291" s="152"/>
      <c r="M291" s="156" t="str">
        <f t="shared" si="8"/>
        <v/>
      </c>
      <c r="N291" s="157" t="str">
        <f t="shared" si="9"/>
        <v/>
      </c>
    </row>
    <row r="292" spans="1:14" ht="30" customHeight="1" x14ac:dyDescent="0.25">
      <c r="A292" s="118" t="s">
        <v>317</v>
      </c>
      <c r="B292" s="118" t="s">
        <v>318</v>
      </c>
      <c r="C292" s="118" t="s">
        <v>362</v>
      </c>
      <c r="D292" s="118" t="s">
        <v>363</v>
      </c>
      <c r="E292" s="118" t="s">
        <v>348</v>
      </c>
      <c r="F292" s="127"/>
      <c r="G292" s="132" t="str">
        <f>IF($F292&lt;&gt;"",$F292,IFERROR(_xlfn.XLOOKUP(ROW(),Taxa_Saknas!$H:$H,Taxa_Saknas!$G:$G),""))</f>
        <v/>
      </c>
      <c r="H292" s="137" t="str">
        <f>IF($F292&lt;&gt;"",IFERROR(_xlfn.XLOOKUP($F292,Taxa_från_edp!$B:$B,Taxa_från_edp!C:C),""),"")</f>
        <v/>
      </c>
      <c r="I292" s="138" t="str">
        <f>IF($F292&lt;&gt;"",IFERROR(_xlfn.XLOOKUP($F292,Taxa_från_edp!$B:$B,Taxa_från_edp!G:G),""),"")</f>
        <v/>
      </c>
      <c r="J292" s="139" t="str">
        <f>IF($F292&lt;&gt;"",IFERROR(_xlfn.XLOOKUP($F292,Taxa_från_edp!$B:$B,Taxa_från_edp!K:K),""),"")</f>
        <v/>
      </c>
      <c r="K292" s="148"/>
      <c r="L292" s="152"/>
      <c r="M292" s="156" t="str">
        <f t="shared" si="8"/>
        <v/>
      </c>
      <c r="N292" s="157" t="str">
        <f t="shared" si="9"/>
        <v/>
      </c>
    </row>
    <row r="293" spans="1:14" ht="30" customHeight="1" x14ac:dyDescent="0.25">
      <c r="A293" s="118" t="s">
        <v>317</v>
      </c>
      <c r="B293" s="118" t="s">
        <v>318</v>
      </c>
      <c r="C293" s="118" t="s">
        <v>364</v>
      </c>
      <c r="D293" s="118" t="s">
        <v>365</v>
      </c>
      <c r="E293" s="118" t="s">
        <v>348</v>
      </c>
      <c r="F293" s="127"/>
      <c r="G293" s="132" t="str">
        <f>IF($F293&lt;&gt;"",$F293,IFERROR(_xlfn.XLOOKUP(ROW(),Taxa_Saknas!$H:$H,Taxa_Saknas!$G:$G),""))</f>
        <v/>
      </c>
      <c r="H293" s="137" t="str">
        <f>IF($F293&lt;&gt;"",IFERROR(_xlfn.XLOOKUP($F293,Taxa_från_edp!$B:$B,Taxa_från_edp!C:C),""),"")</f>
        <v/>
      </c>
      <c r="I293" s="138" t="str">
        <f>IF($F293&lt;&gt;"",IFERROR(_xlfn.XLOOKUP($F293,Taxa_från_edp!$B:$B,Taxa_från_edp!G:G),""),"")</f>
        <v/>
      </c>
      <c r="J293" s="139" t="str">
        <f>IF($F293&lt;&gt;"",IFERROR(_xlfn.XLOOKUP($F293,Taxa_från_edp!$B:$B,Taxa_från_edp!K:K),""),"")</f>
        <v/>
      </c>
      <c r="K293" s="148"/>
      <c r="L293" s="152"/>
      <c r="M293" s="156" t="str">
        <f t="shared" si="8"/>
        <v/>
      </c>
      <c r="N293" s="157" t="str">
        <f t="shared" si="9"/>
        <v/>
      </c>
    </row>
    <row r="294" spans="1:14" ht="30" customHeight="1" x14ac:dyDescent="0.25">
      <c r="A294" s="118" t="s">
        <v>317</v>
      </c>
      <c r="B294" s="118" t="s">
        <v>318</v>
      </c>
      <c r="C294" s="118" t="s">
        <v>366</v>
      </c>
      <c r="D294" s="118" t="s">
        <v>367</v>
      </c>
      <c r="E294" s="118" t="s">
        <v>348</v>
      </c>
      <c r="F294" s="127"/>
      <c r="G294" s="132" t="str">
        <f>IF($F294&lt;&gt;"",$F294,IFERROR(_xlfn.XLOOKUP(ROW(),Taxa_Saknas!$H:$H,Taxa_Saknas!$G:$G),""))</f>
        <v/>
      </c>
      <c r="H294" s="137" t="str">
        <f>IF($F294&lt;&gt;"",IFERROR(_xlfn.XLOOKUP($F294,Taxa_från_edp!$B:$B,Taxa_från_edp!C:C),""),"")</f>
        <v/>
      </c>
      <c r="I294" s="138" t="str">
        <f>IF($F294&lt;&gt;"",IFERROR(_xlfn.XLOOKUP($F294,Taxa_från_edp!$B:$B,Taxa_från_edp!G:G),""),"")</f>
        <v/>
      </c>
      <c r="J294" s="139" t="str">
        <f>IF($F294&lt;&gt;"",IFERROR(_xlfn.XLOOKUP($F294,Taxa_från_edp!$B:$B,Taxa_från_edp!K:K),""),"")</f>
        <v/>
      </c>
      <c r="K294" s="148"/>
      <c r="L294" s="152"/>
      <c r="M294" s="156" t="str">
        <f t="shared" si="8"/>
        <v/>
      </c>
      <c r="N294" s="157" t="str">
        <f t="shared" si="9"/>
        <v/>
      </c>
    </row>
    <row r="295" spans="1:14" ht="30" customHeight="1" x14ac:dyDescent="0.25">
      <c r="A295" s="118" t="s">
        <v>317</v>
      </c>
      <c r="B295" s="118" t="s">
        <v>318</v>
      </c>
      <c r="C295" s="118" t="s">
        <v>368</v>
      </c>
      <c r="D295" s="118" t="s">
        <v>369</v>
      </c>
      <c r="E295" s="118" t="s">
        <v>348</v>
      </c>
      <c r="F295" s="127"/>
      <c r="G295" s="132" t="str">
        <f>IF($F295&lt;&gt;"",$F295,IFERROR(_xlfn.XLOOKUP(ROW(),Taxa_Saknas!$H:$H,Taxa_Saknas!$G:$G),""))</f>
        <v/>
      </c>
      <c r="H295" s="137" t="str">
        <f>IF($F295&lt;&gt;"",IFERROR(_xlfn.XLOOKUP($F295,Taxa_från_edp!$B:$B,Taxa_från_edp!C:C),""),"")</f>
        <v/>
      </c>
      <c r="I295" s="138" t="str">
        <f>IF($F295&lt;&gt;"",IFERROR(_xlfn.XLOOKUP($F295,Taxa_från_edp!$B:$B,Taxa_från_edp!G:G),""),"")</f>
        <v/>
      </c>
      <c r="J295" s="139" t="str">
        <f>IF($F295&lt;&gt;"",IFERROR(_xlfn.XLOOKUP($F295,Taxa_från_edp!$B:$B,Taxa_från_edp!K:K),""),"")</f>
        <v/>
      </c>
      <c r="K295" s="148"/>
      <c r="L295" s="152"/>
      <c r="M295" s="156" t="str">
        <f t="shared" si="8"/>
        <v/>
      </c>
      <c r="N295" s="157" t="str">
        <f t="shared" si="9"/>
        <v/>
      </c>
    </row>
    <row r="296" spans="1:14" ht="30" customHeight="1" x14ac:dyDescent="0.25">
      <c r="A296" s="118" t="s">
        <v>317</v>
      </c>
      <c r="B296" s="118" t="s">
        <v>318</v>
      </c>
      <c r="C296" s="118" t="s">
        <v>370</v>
      </c>
      <c r="D296" s="118" t="s">
        <v>371</v>
      </c>
      <c r="E296" s="118" t="s">
        <v>348</v>
      </c>
      <c r="F296" s="127"/>
      <c r="G296" s="132" t="str">
        <f>IF($F296&lt;&gt;"",$F296,IFERROR(_xlfn.XLOOKUP(ROW(),Taxa_Saknas!$H:$H,Taxa_Saknas!$G:$G),""))</f>
        <v/>
      </c>
      <c r="H296" s="137" t="str">
        <f>IF($F296&lt;&gt;"",IFERROR(_xlfn.XLOOKUP($F296,Taxa_från_edp!$B:$B,Taxa_från_edp!C:C),""),"")</f>
        <v/>
      </c>
      <c r="I296" s="138" t="str">
        <f>IF($F296&lt;&gt;"",IFERROR(_xlfn.XLOOKUP($F296,Taxa_från_edp!$B:$B,Taxa_från_edp!G:G),""),"")</f>
        <v/>
      </c>
      <c r="J296" s="139" t="str">
        <f>IF($F296&lt;&gt;"",IFERROR(_xlfn.XLOOKUP($F296,Taxa_från_edp!$B:$B,Taxa_från_edp!K:K),""),"")</f>
        <v/>
      </c>
      <c r="K296" s="148"/>
      <c r="L296" s="152"/>
      <c r="M296" s="156" t="str">
        <f t="shared" si="8"/>
        <v/>
      </c>
      <c r="N296" s="157" t="str">
        <f t="shared" si="9"/>
        <v/>
      </c>
    </row>
    <row r="297" spans="1:14" ht="30" customHeight="1" x14ac:dyDescent="0.25">
      <c r="A297" s="118" t="s">
        <v>317</v>
      </c>
      <c r="B297" s="118" t="s">
        <v>318</v>
      </c>
      <c r="C297" s="118" t="s">
        <v>372</v>
      </c>
      <c r="D297" s="118" t="s">
        <v>358</v>
      </c>
      <c r="E297" s="118" t="s">
        <v>348</v>
      </c>
      <c r="F297" s="127"/>
      <c r="G297" s="132" t="str">
        <f>IF($F297&lt;&gt;"",$F297,IFERROR(_xlfn.XLOOKUP(ROW(),Taxa_Saknas!$H:$H,Taxa_Saknas!$G:$G),""))</f>
        <v/>
      </c>
      <c r="H297" s="137" t="str">
        <f>IF($F297&lt;&gt;"",IFERROR(_xlfn.XLOOKUP($F297,Taxa_från_edp!$B:$B,Taxa_från_edp!C:C),""),"")</f>
        <v/>
      </c>
      <c r="I297" s="138" t="str">
        <f>IF($F297&lt;&gt;"",IFERROR(_xlfn.XLOOKUP($F297,Taxa_från_edp!$B:$B,Taxa_från_edp!G:G),""),"")</f>
        <v/>
      </c>
      <c r="J297" s="139" t="str">
        <f>IF($F297&lt;&gt;"",IFERROR(_xlfn.XLOOKUP($F297,Taxa_från_edp!$B:$B,Taxa_från_edp!K:K),""),"")</f>
        <v/>
      </c>
      <c r="K297" s="148"/>
      <c r="L297" s="152"/>
      <c r="M297" s="156" t="str">
        <f t="shared" si="8"/>
        <v/>
      </c>
      <c r="N297" s="157" t="str">
        <f t="shared" si="9"/>
        <v/>
      </c>
    </row>
    <row r="298" spans="1:14" ht="30" customHeight="1" x14ac:dyDescent="0.25">
      <c r="A298" s="118" t="s">
        <v>317</v>
      </c>
      <c r="B298" s="118" t="s">
        <v>318</v>
      </c>
      <c r="C298" s="118" t="s">
        <v>373</v>
      </c>
      <c r="D298" s="118" t="s">
        <v>374</v>
      </c>
      <c r="E298" s="118" t="s">
        <v>348</v>
      </c>
      <c r="F298" s="127"/>
      <c r="G298" s="132" t="str">
        <f>IF($F298&lt;&gt;"",$F298,IFERROR(_xlfn.XLOOKUP(ROW(),Taxa_Saknas!$H:$H,Taxa_Saknas!$G:$G),""))</f>
        <v/>
      </c>
      <c r="H298" s="137" t="str">
        <f>IF($F298&lt;&gt;"",IFERROR(_xlfn.XLOOKUP($F298,Taxa_från_edp!$B:$B,Taxa_från_edp!C:C),""),"")</f>
        <v/>
      </c>
      <c r="I298" s="138" t="str">
        <f>IF($F298&lt;&gt;"",IFERROR(_xlfn.XLOOKUP($F298,Taxa_från_edp!$B:$B,Taxa_från_edp!G:G),""),"")</f>
        <v/>
      </c>
      <c r="J298" s="139" t="str">
        <f>IF($F298&lt;&gt;"",IFERROR(_xlfn.XLOOKUP($F298,Taxa_från_edp!$B:$B,Taxa_från_edp!K:K),""),"")</f>
        <v/>
      </c>
      <c r="K298" s="148"/>
      <c r="L298" s="152"/>
      <c r="M298" s="156" t="str">
        <f t="shared" si="8"/>
        <v/>
      </c>
      <c r="N298" s="157" t="str">
        <f t="shared" si="9"/>
        <v/>
      </c>
    </row>
    <row r="299" spans="1:14" ht="30" customHeight="1" x14ac:dyDescent="0.25">
      <c r="A299" s="118" t="s">
        <v>317</v>
      </c>
      <c r="B299" s="118" t="s">
        <v>318</v>
      </c>
      <c r="C299" s="118" t="s">
        <v>375</v>
      </c>
      <c r="D299" s="118" t="s">
        <v>376</v>
      </c>
      <c r="E299" s="118" t="s">
        <v>348</v>
      </c>
      <c r="F299" s="127"/>
      <c r="G299" s="132" t="str">
        <f>IF($F299&lt;&gt;"",$F299,IFERROR(_xlfn.XLOOKUP(ROW(),Taxa_Saknas!$H:$H,Taxa_Saknas!$G:$G),""))</f>
        <v/>
      </c>
      <c r="H299" s="137" t="str">
        <f>IF($F299&lt;&gt;"",IFERROR(_xlfn.XLOOKUP($F299,Taxa_från_edp!$B:$B,Taxa_från_edp!C:C),""),"")</f>
        <v/>
      </c>
      <c r="I299" s="138" t="str">
        <f>IF($F299&lt;&gt;"",IFERROR(_xlfn.XLOOKUP($F299,Taxa_från_edp!$B:$B,Taxa_från_edp!G:G),""),"")</f>
        <v/>
      </c>
      <c r="J299" s="139" t="str">
        <f>IF($F299&lt;&gt;"",IFERROR(_xlfn.XLOOKUP($F299,Taxa_från_edp!$B:$B,Taxa_från_edp!K:K),""),"")</f>
        <v/>
      </c>
      <c r="K299" s="148"/>
      <c r="L299" s="152"/>
      <c r="M299" s="156" t="str">
        <f t="shared" si="8"/>
        <v/>
      </c>
      <c r="N299" s="157" t="str">
        <f t="shared" si="9"/>
        <v/>
      </c>
    </row>
    <row r="300" spans="1:14" ht="30" customHeight="1" x14ac:dyDescent="0.25">
      <c r="A300" s="118" t="s">
        <v>317</v>
      </c>
      <c r="B300" s="118" t="s">
        <v>318</v>
      </c>
      <c r="C300" s="118" t="s">
        <v>377</v>
      </c>
      <c r="D300" s="118" t="s">
        <v>378</v>
      </c>
      <c r="E300" s="118" t="s">
        <v>348</v>
      </c>
      <c r="F300" s="127"/>
      <c r="G300" s="132" t="str">
        <f>IF($F300&lt;&gt;"",$F300,IFERROR(_xlfn.XLOOKUP(ROW(),Taxa_Saknas!$H:$H,Taxa_Saknas!$G:$G),""))</f>
        <v/>
      </c>
      <c r="H300" s="137" t="str">
        <f>IF($F300&lt;&gt;"",IFERROR(_xlfn.XLOOKUP($F300,Taxa_från_edp!$B:$B,Taxa_från_edp!C:C),""),"")</f>
        <v/>
      </c>
      <c r="I300" s="138" t="str">
        <f>IF($F300&lt;&gt;"",IFERROR(_xlfn.XLOOKUP($F300,Taxa_från_edp!$B:$B,Taxa_från_edp!G:G),""),"")</f>
        <v/>
      </c>
      <c r="J300" s="139" t="str">
        <f>IF($F300&lt;&gt;"",IFERROR(_xlfn.XLOOKUP($F300,Taxa_från_edp!$B:$B,Taxa_från_edp!K:K),""),"")</f>
        <v/>
      </c>
      <c r="K300" s="148"/>
      <c r="L300" s="152"/>
      <c r="M300" s="156" t="str">
        <f t="shared" si="8"/>
        <v/>
      </c>
      <c r="N300" s="157" t="str">
        <f t="shared" si="9"/>
        <v/>
      </c>
    </row>
    <row r="301" spans="1:14" ht="30" customHeight="1" x14ac:dyDescent="0.25">
      <c r="A301" s="118" t="s">
        <v>317</v>
      </c>
      <c r="B301" s="118" t="s">
        <v>318</v>
      </c>
      <c r="C301" s="118" t="s">
        <v>379</v>
      </c>
      <c r="D301" s="118" t="s">
        <v>380</v>
      </c>
      <c r="E301" s="118" t="s">
        <v>348</v>
      </c>
      <c r="F301" s="127"/>
      <c r="G301" s="132" t="str">
        <f>IF($F301&lt;&gt;"",$F301,IFERROR(_xlfn.XLOOKUP(ROW(),Taxa_Saknas!$H:$H,Taxa_Saknas!$G:$G),""))</f>
        <v/>
      </c>
      <c r="H301" s="137" t="str">
        <f>IF($F301&lt;&gt;"",IFERROR(_xlfn.XLOOKUP($F301,Taxa_från_edp!$B:$B,Taxa_från_edp!C:C),""),"")</f>
        <v/>
      </c>
      <c r="I301" s="138" t="str">
        <f>IF($F301&lt;&gt;"",IFERROR(_xlfn.XLOOKUP($F301,Taxa_från_edp!$B:$B,Taxa_från_edp!G:G),""),"")</f>
        <v/>
      </c>
      <c r="J301" s="139" t="str">
        <f>IF($F301&lt;&gt;"",IFERROR(_xlfn.XLOOKUP($F301,Taxa_från_edp!$B:$B,Taxa_från_edp!K:K),""),"")</f>
        <v/>
      </c>
      <c r="K301" s="148"/>
      <c r="L301" s="152"/>
      <c r="M301" s="156" t="str">
        <f t="shared" si="8"/>
        <v/>
      </c>
      <c r="N301" s="157" t="str">
        <f t="shared" si="9"/>
        <v/>
      </c>
    </row>
    <row r="302" spans="1:14" ht="30" customHeight="1" x14ac:dyDescent="0.25">
      <c r="A302" s="118" t="s">
        <v>317</v>
      </c>
      <c r="B302" s="118" t="s">
        <v>318</v>
      </c>
      <c r="C302" s="118" t="s">
        <v>381</v>
      </c>
      <c r="D302" s="118" t="s">
        <v>382</v>
      </c>
      <c r="E302" s="118" t="s">
        <v>348</v>
      </c>
      <c r="F302" s="127"/>
      <c r="G302" s="132" t="str">
        <f>IF($F302&lt;&gt;"",$F302,IFERROR(_xlfn.XLOOKUP(ROW(),Taxa_Saknas!$H:$H,Taxa_Saknas!$G:$G),""))</f>
        <v/>
      </c>
      <c r="H302" s="137" t="str">
        <f>IF($F302&lt;&gt;"",IFERROR(_xlfn.XLOOKUP($F302,Taxa_från_edp!$B:$B,Taxa_från_edp!C:C),""),"")</f>
        <v/>
      </c>
      <c r="I302" s="138" t="str">
        <f>IF($F302&lt;&gt;"",IFERROR(_xlfn.XLOOKUP($F302,Taxa_från_edp!$B:$B,Taxa_från_edp!G:G),""),"")</f>
        <v/>
      </c>
      <c r="J302" s="139" t="str">
        <f>IF($F302&lt;&gt;"",IFERROR(_xlfn.XLOOKUP($F302,Taxa_från_edp!$B:$B,Taxa_från_edp!K:K),""),"")</f>
        <v/>
      </c>
      <c r="K302" s="148"/>
      <c r="L302" s="152"/>
      <c r="M302" s="156" t="str">
        <f t="shared" si="8"/>
        <v/>
      </c>
      <c r="N302" s="157" t="str">
        <f t="shared" si="9"/>
        <v/>
      </c>
    </row>
    <row r="303" spans="1:14" ht="30" customHeight="1" x14ac:dyDescent="0.25">
      <c r="A303" s="118" t="s">
        <v>317</v>
      </c>
      <c r="B303" s="118" t="s">
        <v>318</v>
      </c>
      <c r="C303" s="118" t="s">
        <v>383</v>
      </c>
      <c r="D303" s="118" t="s">
        <v>384</v>
      </c>
      <c r="E303" s="118" t="s">
        <v>348</v>
      </c>
      <c r="F303" s="127"/>
      <c r="G303" s="132" t="str">
        <f>IF($F303&lt;&gt;"",$F303,IFERROR(_xlfn.XLOOKUP(ROW(),Taxa_Saknas!$H:$H,Taxa_Saknas!$G:$G),""))</f>
        <v/>
      </c>
      <c r="H303" s="137" t="str">
        <f>IF($F303&lt;&gt;"",IFERROR(_xlfn.XLOOKUP($F303,Taxa_från_edp!$B:$B,Taxa_från_edp!C:C),""),"")</f>
        <v/>
      </c>
      <c r="I303" s="138" t="str">
        <f>IF($F303&lt;&gt;"",IFERROR(_xlfn.XLOOKUP($F303,Taxa_från_edp!$B:$B,Taxa_från_edp!G:G),""),"")</f>
        <v/>
      </c>
      <c r="J303" s="139" t="str">
        <f>IF($F303&lt;&gt;"",IFERROR(_xlfn.XLOOKUP($F303,Taxa_från_edp!$B:$B,Taxa_från_edp!K:K),""),"")</f>
        <v/>
      </c>
      <c r="K303" s="148"/>
      <c r="L303" s="152"/>
      <c r="M303" s="156" t="str">
        <f t="shared" si="8"/>
        <v/>
      </c>
      <c r="N303" s="157" t="str">
        <f t="shared" si="9"/>
        <v/>
      </c>
    </row>
    <row r="304" spans="1:14" ht="30" customHeight="1" x14ac:dyDescent="0.25">
      <c r="A304" s="118" t="s">
        <v>317</v>
      </c>
      <c r="B304" s="118" t="s">
        <v>318</v>
      </c>
      <c r="C304" s="118" t="s">
        <v>385</v>
      </c>
      <c r="D304" s="118" t="s">
        <v>386</v>
      </c>
      <c r="E304" s="118" t="s">
        <v>348</v>
      </c>
      <c r="F304" s="127"/>
      <c r="G304" s="132" t="str">
        <f>IF($F304&lt;&gt;"",$F304,IFERROR(_xlfn.XLOOKUP(ROW(),Taxa_Saknas!$H:$H,Taxa_Saknas!$G:$G),""))</f>
        <v/>
      </c>
      <c r="H304" s="137" t="str">
        <f>IF($F304&lt;&gt;"",IFERROR(_xlfn.XLOOKUP($F304,Taxa_från_edp!$B:$B,Taxa_från_edp!C:C),""),"")</f>
        <v/>
      </c>
      <c r="I304" s="138" t="str">
        <f>IF($F304&lt;&gt;"",IFERROR(_xlfn.XLOOKUP($F304,Taxa_från_edp!$B:$B,Taxa_från_edp!G:G),""),"")</f>
        <v/>
      </c>
      <c r="J304" s="139" t="str">
        <f>IF($F304&lt;&gt;"",IFERROR(_xlfn.XLOOKUP($F304,Taxa_från_edp!$B:$B,Taxa_från_edp!K:K),""),"")</f>
        <v/>
      </c>
      <c r="K304" s="148"/>
      <c r="L304" s="152"/>
      <c r="M304" s="156" t="str">
        <f t="shared" si="8"/>
        <v/>
      </c>
      <c r="N304" s="157" t="str">
        <f t="shared" si="9"/>
        <v/>
      </c>
    </row>
    <row r="305" spans="1:14" ht="30" customHeight="1" x14ac:dyDescent="0.25">
      <c r="A305" s="118" t="s">
        <v>317</v>
      </c>
      <c r="B305" s="118" t="s">
        <v>318</v>
      </c>
      <c r="C305" s="118" t="s">
        <v>387</v>
      </c>
      <c r="D305" s="118" t="s">
        <v>388</v>
      </c>
      <c r="E305" s="118" t="s">
        <v>348</v>
      </c>
      <c r="F305" s="127"/>
      <c r="G305" s="132" t="str">
        <f>IF($F305&lt;&gt;"",$F305,IFERROR(_xlfn.XLOOKUP(ROW(),Taxa_Saknas!$H:$H,Taxa_Saknas!$G:$G),""))</f>
        <v/>
      </c>
      <c r="H305" s="137" t="str">
        <f>IF($F305&lt;&gt;"",IFERROR(_xlfn.XLOOKUP($F305,Taxa_från_edp!$B:$B,Taxa_från_edp!C:C),""),"")</f>
        <v/>
      </c>
      <c r="I305" s="138" t="str">
        <f>IF($F305&lt;&gt;"",IFERROR(_xlfn.XLOOKUP($F305,Taxa_från_edp!$B:$B,Taxa_från_edp!G:G),""),"")</f>
        <v/>
      </c>
      <c r="J305" s="139" t="str">
        <f>IF($F305&lt;&gt;"",IFERROR(_xlfn.XLOOKUP($F305,Taxa_från_edp!$B:$B,Taxa_från_edp!K:K),""),"")</f>
        <v/>
      </c>
      <c r="K305" s="148"/>
      <c r="L305" s="152"/>
      <c r="M305" s="156" t="str">
        <f t="shared" si="8"/>
        <v/>
      </c>
      <c r="N305" s="157" t="str">
        <f t="shared" si="9"/>
        <v/>
      </c>
    </row>
    <row r="306" spans="1:14" ht="30" customHeight="1" x14ac:dyDescent="0.25">
      <c r="A306" s="118" t="s">
        <v>317</v>
      </c>
      <c r="B306" s="118" t="s">
        <v>318</v>
      </c>
      <c r="C306" s="118" t="s">
        <v>389</v>
      </c>
      <c r="D306" s="118" t="s">
        <v>390</v>
      </c>
      <c r="E306" s="118" t="s">
        <v>348</v>
      </c>
      <c r="F306" s="127"/>
      <c r="G306" s="132" t="str">
        <f>IF($F306&lt;&gt;"",$F306,IFERROR(_xlfn.XLOOKUP(ROW(),Taxa_Saknas!$H:$H,Taxa_Saknas!$G:$G),""))</f>
        <v/>
      </c>
      <c r="H306" s="137" t="str">
        <f>IF($F306&lt;&gt;"",IFERROR(_xlfn.XLOOKUP($F306,Taxa_från_edp!$B:$B,Taxa_från_edp!C:C),""),"")</f>
        <v/>
      </c>
      <c r="I306" s="138" t="str">
        <f>IF($F306&lt;&gt;"",IFERROR(_xlfn.XLOOKUP($F306,Taxa_från_edp!$B:$B,Taxa_från_edp!G:G),""),"")</f>
        <v/>
      </c>
      <c r="J306" s="139" t="str">
        <f>IF($F306&lt;&gt;"",IFERROR(_xlfn.XLOOKUP($F306,Taxa_från_edp!$B:$B,Taxa_från_edp!K:K),""),"")</f>
        <v/>
      </c>
      <c r="K306" s="148"/>
      <c r="L306" s="152"/>
      <c r="M306" s="156" t="str">
        <f t="shared" si="8"/>
        <v/>
      </c>
      <c r="N306" s="157" t="str">
        <f t="shared" si="9"/>
        <v/>
      </c>
    </row>
    <row r="307" spans="1:14" ht="30" customHeight="1" x14ac:dyDescent="0.25">
      <c r="A307" s="118" t="s">
        <v>317</v>
      </c>
      <c r="B307" s="118" t="s">
        <v>318</v>
      </c>
      <c r="C307" s="118" t="s">
        <v>391</v>
      </c>
      <c r="D307" s="118" t="s">
        <v>392</v>
      </c>
      <c r="E307" s="118" t="s">
        <v>348</v>
      </c>
      <c r="F307" s="127"/>
      <c r="G307" s="132" t="str">
        <f>IF($F307&lt;&gt;"",$F307,IFERROR(_xlfn.XLOOKUP(ROW(),Taxa_Saknas!$H:$H,Taxa_Saknas!$G:$G),""))</f>
        <v/>
      </c>
      <c r="H307" s="137" t="str">
        <f>IF($F307&lt;&gt;"",IFERROR(_xlfn.XLOOKUP($F307,Taxa_från_edp!$B:$B,Taxa_från_edp!C:C),""),"")</f>
        <v/>
      </c>
      <c r="I307" s="138" t="str">
        <f>IF($F307&lt;&gt;"",IFERROR(_xlfn.XLOOKUP($F307,Taxa_från_edp!$B:$B,Taxa_från_edp!G:G),""),"")</f>
        <v/>
      </c>
      <c r="J307" s="139" t="str">
        <f>IF($F307&lt;&gt;"",IFERROR(_xlfn.XLOOKUP($F307,Taxa_från_edp!$B:$B,Taxa_från_edp!K:K),""),"")</f>
        <v/>
      </c>
      <c r="K307" s="148"/>
      <c r="L307" s="152"/>
      <c r="M307" s="156" t="str">
        <f t="shared" si="8"/>
        <v/>
      </c>
      <c r="N307" s="157" t="str">
        <f t="shared" si="9"/>
        <v/>
      </c>
    </row>
    <row r="308" spans="1:14" ht="30" customHeight="1" x14ac:dyDescent="0.25">
      <c r="A308" s="118" t="s">
        <v>317</v>
      </c>
      <c r="B308" s="118" t="s">
        <v>318</v>
      </c>
      <c r="C308" s="118" t="s">
        <v>393</v>
      </c>
      <c r="D308" s="118" t="s">
        <v>394</v>
      </c>
      <c r="E308" s="118" t="s">
        <v>348</v>
      </c>
      <c r="F308" s="127"/>
      <c r="G308" s="132" t="str">
        <f>IF($F308&lt;&gt;"",$F308,IFERROR(_xlfn.XLOOKUP(ROW(),Taxa_Saknas!$H:$H,Taxa_Saknas!$G:$G),""))</f>
        <v/>
      </c>
      <c r="H308" s="137" t="str">
        <f>IF($F308&lt;&gt;"",IFERROR(_xlfn.XLOOKUP($F308,Taxa_från_edp!$B:$B,Taxa_från_edp!C:C),""),"")</f>
        <v/>
      </c>
      <c r="I308" s="138" t="str">
        <f>IF($F308&lt;&gt;"",IFERROR(_xlfn.XLOOKUP($F308,Taxa_från_edp!$B:$B,Taxa_från_edp!G:G),""),"")</f>
        <v/>
      </c>
      <c r="J308" s="139" t="str">
        <f>IF($F308&lt;&gt;"",IFERROR(_xlfn.XLOOKUP($F308,Taxa_från_edp!$B:$B,Taxa_från_edp!K:K),""),"")</f>
        <v/>
      </c>
      <c r="K308" s="148"/>
      <c r="L308" s="152"/>
      <c r="M308" s="156" t="str">
        <f t="shared" si="8"/>
        <v/>
      </c>
      <c r="N308" s="157" t="str">
        <f t="shared" si="9"/>
        <v/>
      </c>
    </row>
    <row r="309" spans="1:14" ht="30" customHeight="1" x14ac:dyDescent="0.25">
      <c r="A309" s="118" t="s">
        <v>317</v>
      </c>
      <c r="B309" s="118" t="s">
        <v>318</v>
      </c>
      <c r="C309" s="118" t="s">
        <v>395</v>
      </c>
      <c r="D309" s="118" t="s">
        <v>369</v>
      </c>
      <c r="E309" s="118" t="s">
        <v>348</v>
      </c>
      <c r="F309" s="127"/>
      <c r="G309" s="132" t="str">
        <f>IF($F309&lt;&gt;"",$F309,IFERROR(_xlfn.XLOOKUP(ROW(),Taxa_Saknas!$H:$H,Taxa_Saknas!$G:$G),""))</f>
        <v/>
      </c>
      <c r="H309" s="137" t="str">
        <f>IF($F309&lt;&gt;"",IFERROR(_xlfn.XLOOKUP($F309,Taxa_från_edp!$B:$B,Taxa_från_edp!C:C),""),"")</f>
        <v/>
      </c>
      <c r="I309" s="138" t="str">
        <f>IF($F309&lt;&gt;"",IFERROR(_xlfn.XLOOKUP($F309,Taxa_från_edp!$B:$B,Taxa_från_edp!G:G),""),"")</f>
        <v/>
      </c>
      <c r="J309" s="139" t="str">
        <f>IF($F309&lt;&gt;"",IFERROR(_xlfn.XLOOKUP($F309,Taxa_från_edp!$B:$B,Taxa_från_edp!K:K),""),"")</f>
        <v/>
      </c>
      <c r="K309" s="148"/>
      <c r="L309" s="152"/>
      <c r="M309" s="156" t="str">
        <f t="shared" si="8"/>
        <v/>
      </c>
      <c r="N309" s="157" t="str">
        <f t="shared" si="9"/>
        <v/>
      </c>
    </row>
    <row r="310" spans="1:14" ht="30" customHeight="1" x14ac:dyDescent="0.25">
      <c r="A310" s="118" t="s">
        <v>317</v>
      </c>
      <c r="B310" s="118" t="s">
        <v>318</v>
      </c>
      <c r="C310" s="118" t="s">
        <v>396</v>
      </c>
      <c r="D310" s="118" t="s">
        <v>397</v>
      </c>
      <c r="E310" s="118" t="s">
        <v>348</v>
      </c>
      <c r="F310" s="127"/>
      <c r="G310" s="132" t="str">
        <f>IF($F310&lt;&gt;"",$F310,IFERROR(_xlfn.XLOOKUP(ROW(),Taxa_Saknas!$H:$H,Taxa_Saknas!$G:$G),""))</f>
        <v/>
      </c>
      <c r="H310" s="137" t="str">
        <f>IF($F310&lt;&gt;"",IFERROR(_xlfn.XLOOKUP($F310,Taxa_från_edp!$B:$B,Taxa_från_edp!C:C),""),"")</f>
        <v/>
      </c>
      <c r="I310" s="138" t="str">
        <f>IF($F310&lt;&gt;"",IFERROR(_xlfn.XLOOKUP($F310,Taxa_från_edp!$B:$B,Taxa_från_edp!G:G),""),"")</f>
        <v/>
      </c>
      <c r="J310" s="139" t="str">
        <f>IF($F310&lt;&gt;"",IFERROR(_xlfn.XLOOKUP($F310,Taxa_från_edp!$B:$B,Taxa_från_edp!K:K),""),"")</f>
        <v/>
      </c>
      <c r="K310" s="148"/>
      <c r="L310" s="152"/>
      <c r="M310" s="156" t="str">
        <f t="shared" si="8"/>
        <v/>
      </c>
      <c r="N310" s="157" t="str">
        <f t="shared" si="9"/>
        <v/>
      </c>
    </row>
    <row r="311" spans="1:14" ht="30" customHeight="1" x14ac:dyDescent="0.25">
      <c r="A311" s="118" t="s">
        <v>317</v>
      </c>
      <c r="B311" s="118" t="s">
        <v>318</v>
      </c>
      <c r="C311" s="118" t="s">
        <v>398</v>
      </c>
      <c r="D311" s="118"/>
      <c r="E311" s="118" t="s">
        <v>348</v>
      </c>
      <c r="F311" s="127"/>
      <c r="G311" s="132" t="str">
        <f>IF($F311&lt;&gt;"",$F311,IFERROR(_xlfn.XLOOKUP(ROW(),Taxa_Saknas!$H:$H,Taxa_Saknas!$G:$G),""))</f>
        <v/>
      </c>
      <c r="H311" s="137" t="str">
        <f>IF($F311&lt;&gt;"",IFERROR(_xlfn.XLOOKUP($F311,Taxa_från_edp!$B:$B,Taxa_från_edp!C:C),""),"")</f>
        <v/>
      </c>
      <c r="I311" s="138" t="str">
        <f>IF($F311&lt;&gt;"",IFERROR(_xlfn.XLOOKUP($F311,Taxa_från_edp!$B:$B,Taxa_från_edp!G:G),""),"")</f>
        <v/>
      </c>
      <c r="J311" s="139" t="str">
        <f>IF($F311&lt;&gt;"",IFERROR(_xlfn.XLOOKUP($F311,Taxa_från_edp!$B:$B,Taxa_från_edp!K:K),""),"")</f>
        <v/>
      </c>
      <c r="K311" s="148"/>
      <c r="L311" s="152"/>
      <c r="M311" s="156" t="str">
        <f t="shared" si="8"/>
        <v/>
      </c>
      <c r="N311" s="157" t="str">
        <f t="shared" si="9"/>
        <v/>
      </c>
    </row>
    <row r="312" spans="1:14" ht="30" customHeight="1" x14ac:dyDescent="0.25">
      <c r="A312" s="118" t="s">
        <v>317</v>
      </c>
      <c r="B312" s="118" t="s">
        <v>318</v>
      </c>
      <c r="C312" s="118" t="s">
        <v>399</v>
      </c>
      <c r="D312" s="118" t="s">
        <v>400</v>
      </c>
      <c r="E312" s="118" t="s">
        <v>348</v>
      </c>
      <c r="F312" s="127"/>
      <c r="G312" s="132" t="str">
        <f>IF($F312&lt;&gt;"",$F312,IFERROR(_xlfn.XLOOKUP(ROW(),Taxa_Saknas!$H:$H,Taxa_Saknas!$G:$G),""))</f>
        <v/>
      </c>
      <c r="H312" s="137" t="str">
        <f>IF($F312&lt;&gt;"",IFERROR(_xlfn.XLOOKUP($F312,Taxa_från_edp!$B:$B,Taxa_från_edp!C:C),""),"")</f>
        <v/>
      </c>
      <c r="I312" s="138" t="str">
        <f>IF($F312&lt;&gt;"",IFERROR(_xlfn.XLOOKUP($F312,Taxa_från_edp!$B:$B,Taxa_från_edp!G:G),""),"")</f>
        <v/>
      </c>
      <c r="J312" s="139" t="str">
        <f>IF($F312&lt;&gt;"",IFERROR(_xlfn.XLOOKUP($F312,Taxa_från_edp!$B:$B,Taxa_från_edp!K:K),""),"")</f>
        <v/>
      </c>
      <c r="K312" s="148"/>
      <c r="L312" s="152"/>
      <c r="M312" s="156" t="str">
        <f t="shared" si="8"/>
        <v/>
      </c>
      <c r="N312" s="157" t="str">
        <f t="shared" si="9"/>
        <v/>
      </c>
    </row>
    <row r="313" spans="1:14" ht="30" customHeight="1" x14ac:dyDescent="0.25">
      <c r="A313" s="118" t="s">
        <v>317</v>
      </c>
      <c r="B313" s="118" t="s">
        <v>318</v>
      </c>
      <c r="C313" s="118" t="s">
        <v>401</v>
      </c>
      <c r="D313" s="118" t="s">
        <v>402</v>
      </c>
      <c r="E313" s="118" t="s">
        <v>348</v>
      </c>
      <c r="F313" s="127"/>
      <c r="G313" s="132" t="str">
        <f>IF($F313&lt;&gt;"",$F313,IFERROR(_xlfn.XLOOKUP(ROW(),Taxa_Saknas!$H:$H,Taxa_Saknas!$G:$G),""))</f>
        <v/>
      </c>
      <c r="H313" s="137" t="str">
        <f>IF($F313&lt;&gt;"",IFERROR(_xlfn.XLOOKUP($F313,Taxa_från_edp!$B:$B,Taxa_från_edp!C:C),""),"")</f>
        <v/>
      </c>
      <c r="I313" s="138" t="str">
        <f>IF($F313&lt;&gt;"",IFERROR(_xlfn.XLOOKUP($F313,Taxa_från_edp!$B:$B,Taxa_från_edp!G:G),""),"")</f>
        <v/>
      </c>
      <c r="J313" s="139" t="str">
        <f>IF($F313&lt;&gt;"",IFERROR(_xlfn.XLOOKUP($F313,Taxa_från_edp!$B:$B,Taxa_från_edp!K:K),""),"")</f>
        <v/>
      </c>
      <c r="K313" s="148"/>
      <c r="L313" s="152"/>
      <c r="M313" s="156" t="str">
        <f t="shared" si="8"/>
        <v/>
      </c>
      <c r="N313" s="157" t="str">
        <f t="shared" si="9"/>
        <v/>
      </c>
    </row>
    <row r="314" spans="1:14" ht="30" customHeight="1" x14ac:dyDescent="0.25">
      <c r="A314" s="118" t="s">
        <v>317</v>
      </c>
      <c r="B314" s="118" t="s">
        <v>318</v>
      </c>
      <c r="C314" s="118" t="s">
        <v>403</v>
      </c>
      <c r="D314" s="118"/>
      <c r="E314" s="118" t="s">
        <v>348</v>
      </c>
      <c r="F314" s="127"/>
      <c r="G314" s="132" t="str">
        <f>IF($F314&lt;&gt;"",$F314,IFERROR(_xlfn.XLOOKUP(ROW(),Taxa_Saknas!$H:$H,Taxa_Saknas!$G:$G),""))</f>
        <v/>
      </c>
      <c r="H314" s="137" t="str">
        <f>IF($F314&lt;&gt;"",IFERROR(_xlfn.XLOOKUP($F314,Taxa_från_edp!$B:$B,Taxa_från_edp!C:C),""),"")</f>
        <v/>
      </c>
      <c r="I314" s="138" t="str">
        <f>IF($F314&lt;&gt;"",IFERROR(_xlfn.XLOOKUP($F314,Taxa_från_edp!$B:$B,Taxa_från_edp!G:G),""),"")</f>
        <v/>
      </c>
      <c r="J314" s="139" t="str">
        <f>IF($F314&lt;&gt;"",IFERROR(_xlfn.XLOOKUP($F314,Taxa_från_edp!$B:$B,Taxa_från_edp!K:K),""),"")</f>
        <v/>
      </c>
      <c r="K314" s="148"/>
      <c r="L314" s="152"/>
      <c r="M314" s="156" t="str">
        <f t="shared" si="8"/>
        <v/>
      </c>
      <c r="N314" s="157" t="str">
        <f t="shared" si="9"/>
        <v/>
      </c>
    </row>
    <row r="315" spans="1:14" ht="30" customHeight="1" x14ac:dyDescent="0.25">
      <c r="A315" s="118" t="s">
        <v>317</v>
      </c>
      <c r="B315" s="118" t="s">
        <v>318</v>
      </c>
      <c r="C315" s="118" t="s">
        <v>404</v>
      </c>
      <c r="D315" s="118" t="s">
        <v>405</v>
      </c>
      <c r="E315" s="118" t="s">
        <v>348</v>
      </c>
      <c r="F315" s="127"/>
      <c r="G315" s="132" t="str">
        <f>IF($F315&lt;&gt;"",$F315,IFERROR(_xlfn.XLOOKUP(ROW(),Taxa_Saknas!$H:$H,Taxa_Saknas!$G:$G),""))</f>
        <v/>
      </c>
      <c r="H315" s="137" t="str">
        <f>IF($F315&lt;&gt;"",IFERROR(_xlfn.XLOOKUP($F315,Taxa_från_edp!$B:$B,Taxa_från_edp!C:C),""),"")</f>
        <v/>
      </c>
      <c r="I315" s="138" t="str">
        <f>IF($F315&lt;&gt;"",IFERROR(_xlfn.XLOOKUP($F315,Taxa_från_edp!$B:$B,Taxa_från_edp!G:G),""),"")</f>
        <v/>
      </c>
      <c r="J315" s="139" t="str">
        <f>IF($F315&lt;&gt;"",IFERROR(_xlfn.XLOOKUP($F315,Taxa_från_edp!$B:$B,Taxa_från_edp!K:K),""),"")</f>
        <v/>
      </c>
      <c r="K315" s="148"/>
      <c r="L315" s="152"/>
      <c r="M315" s="156" t="str">
        <f t="shared" si="8"/>
        <v/>
      </c>
      <c r="N315" s="157" t="str">
        <f t="shared" si="9"/>
        <v/>
      </c>
    </row>
    <row r="316" spans="1:14" ht="30" customHeight="1" x14ac:dyDescent="0.25">
      <c r="A316" s="118" t="s">
        <v>317</v>
      </c>
      <c r="B316" s="118" t="s">
        <v>318</v>
      </c>
      <c r="C316" s="118" t="s">
        <v>406</v>
      </c>
      <c r="D316" s="118" t="s">
        <v>407</v>
      </c>
      <c r="E316" s="118" t="s">
        <v>348</v>
      </c>
      <c r="F316" s="127"/>
      <c r="G316" s="132" t="str">
        <f>IF($F316&lt;&gt;"",$F316,IFERROR(_xlfn.XLOOKUP(ROW(),Taxa_Saknas!$H:$H,Taxa_Saknas!$G:$G),""))</f>
        <v/>
      </c>
      <c r="H316" s="137" t="str">
        <f>IF($F316&lt;&gt;"",IFERROR(_xlfn.XLOOKUP($F316,Taxa_från_edp!$B:$B,Taxa_från_edp!C:C),""),"")</f>
        <v/>
      </c>
      <c r="I316" s="138" t="str">
        <f>IF($F316&lt;&gt;"",IFERROR(_xlfn.XLOOKUP($F316,Taxa_från_edp!$B:$B,Taxa_från_edp!G:G),""),"")</f>
        <v/>
      </c>
      <c r="J316" s="139" t="str">
        <f>IF($F316&lt;&gt;"",IFERROR(_xlfn.XLOOKUP($F316,Taxa_från_edp!$B:$B,Taxa_från_edp!K:K),""),"")</f>
        <v/>
      </c>
      <c r="K316" s="148"/>
      <c r="L316" s="152"/>
      <c r="M316" s="156" t="str">
        <f t="shared" si="8"/>
        <v/>
      </c>
      <c r="N316" s="157" t="str">
        <f t="shared" si="9"/>
        <v/>
      </c>
    </row>
    <row r="317" spans="1:14" ht="30" customHeight="1" x14ac:dyDescent="0.25">
      <c r="A317" s="118" t="s">
        <v>317</v>
      </c>
      <c r="B317" s="118" t="s">
        <v>318</v>
      </c>
      <c r="C317" s="118" t="s">
        <v>408</v>
      </c>
      <c r="D317" s="118" t="s">
        <v>409</v>
      </c>
      <c r="E317" s="118" t="s">
        <v>348</v>
      </c>
      <c r="F317" s="127"/>
      <c r="G317" s="132" t="str">
        <f>IF($F317&lt;&gt;"",$F317,IFERROR(_xlfn.XLOOKUP(ROW(),Taxa_Saknas!$H:$H,Taxa_Saknas!$G:$G),""))</f>
        <v/>
      </c>
      <c r="H317" s="137" t="str">
        <f>IF($F317&lt;&gt;"",IFERROR(_xlfn.XLOOKUP($F317,Taxa_från_edp!$B:$B,Taxa_från_edp!C:C),""),"")</f>
        <v/>
      </c>
      <c r="I317" s="138" t="str">
        <f>IF($F317&lt;&gt;"",IFERROR(_xlfn.XLOOKUP($F317,Taxa_från_edp!$B:$B,Taxa_från_edp!G:G),""),"")</f>
        <v/>
      </c>
      <c r="J317" s="139" t="str">
        <f>IF($F317&lt;&gt;"",IFERROR(_xlfn.XLOOKUP($F317,Taxa_från_edp!$B:$B,Taxa_från_edp!K:K),""),"")</f>
        <v/>
      </c>
      <c r="K317" s="148"/>
      <c r="L317" s="152"/>
      <c r="M317" s="156" t="str">
        <f t="shared" si="8"/>
        <v/>
      </c>
      <c r="N317" s="157" t="str">
        <f t="shared" si="9"/>
        <v/>
      </c>
    </row>
    <row r="318" spans="1:14" ht="30" customHeight="1" x14ac:dyDescent="0.25">
      <c r="A318" s="118" t="s">
        <v>317</v>
      </c>
      <c r="B318" s="118" t="s">
        <v>318</v>
      </c>
      <c r="C318" s="118" t="s">
        <v>410</v>
      </c>
      <c r="D318" s="118"/>
      <c r="E318" s="118" t="s">
        <v>348</v>
      </c>
      <c r="F318" s="127"/>
      <c r="G318" s="132" t="str">
        <f>IF($F318&lt;&gt;"",$F318,IFERROR(_xlfn.XLOOKUP(ROW(),Taxa_Saknas!$H:$H,Taxa_Saknas!$G:$G),""))</f>
        <v/>
      </c>
      <c r="H318" s="137" t="str">
        <f>IF($F318&lt;&gt;"",IFERROR(_xlfn.XLOOKUP($F318,Taxa_från_edp!$B:$B,Taxa_från_edp!C:C),""),"")</f>
        <v/>
      </c>
      <c r="I318" s="138" t="str">
        <f>IF($F318&lt;&gt;"",IFERROR(_xlfn.XLOOKUP($F318,Taxa_från_edp!$B:$B,Taxa_från_edp!G:G),""),"")</f>
        <v/>
      </c>
      <c r="J318" s="139" t="str">
        <f>IF($F318&lt;&gt;"",IFERROR(_xlfn.XLOOKUP($F318,Taxa_från_edp!$B:$B,Taxa_från_edp!K:K),""),"")</f>
        <v/>
      </c>
      <c r="K318" s="148"/>
      <c r="L318" s="152"/>
      <c r="M318" s="156" t="str">
        <f t="shared" si="8"/>
        <v/>
      </c>
      <c r="N318" s="157" t="str">
        <f t="shared" si="9"/>
        <v/>
      </c>
    </row>
    <row r="319" spans="1:14" ht="30" customHeight="1" x14ac:dyDescent="0.25">
      <c r="A319" s="118" t="s">
        <v>317</v>
      </c>
      <c r="B319" s="118" t="s">
        <v>318</v>
      </c>
      <c r="C319" s="118" t="s">
        <v>411</v>
      </c>
      <c r="D319" s="118"/>
      <c r="E319" s="118" t="s">
        <v>348</v>
      </c>
      <c r="F319" s="127"/>
      <c r="G319" s="132" t="str">
        <f>IF($F319&lt;&gt;"",$F319,IFERROR(_xlfn.XLOOKUP(ROW(),Taxa_Saknas!$H:$H,Taxa_Saknas!$G:$G),""))</f>
        <v/>
      </c>
      <c r="H319" s="137" t="str">
        <f>IF($F319&lt;&gt;"",IFERROR(_xlfn.XLOOKUP($F319,Taxa_från_edp!$B:$B,Taxa_från_edp!C:C),""),"")</f>
        <v/>
      </c>
      <c r="I319" s="138" t="str">
        <f>IF($F319&lt;&gt;"",IFERROR(_xlfn.XLOOKUP($F319,Taxa_från_edp!$B:$B,Taxa_från_edp!G:G),""),"")</f>
        <v/>
      </c>
      <c r="J319" s="139" t="str">
        <f>IF($F319&lt;&gt;"",IFERROR(_xlfn.XLOOKUP($F319,Taxa_från_edp!$B:$B,Taxa_från_edp!K:K),""),"")</f>
        <v/>
      </c>
      <c r="K319" s="148"/>
      <c r="L319" s="152"/>
      <c r="M319" s="156" t="str">
        <f t="shared" si="8"/>
        <v/>
      </c>
      <c r="N319" s="157" t="str">
        <f t="shared" si="9"/>
        <v/>
      </c>
    </row>
    <row r="320" spans="1:14" ht="30" customHeight="1" x14ac:dyDescent="0.25">
      <c r="A320" s="118" t="s">
        <v>317</v>
      </c>
      <c r="B320" s="118" t="s">
        <v>318</v>
      </c>
      <c r="C320" s="118" t="s">
        <v>412</v>
      </c>
      <c r="D320" s="118" t="s">
        <v>413</v>
      </c>
      <c r="E320" s="118" t="s">
        <v>348</v>
      </c>
      <c r="F320" s="127"/>
      <c r="G320" s="132" t="str">
        <f>IF($F320&lt;&gt;"",$F320,IFERROR(_xlfn.XLOOKUP(ROW(),Taxa_Saknas!$H:$H,Taxa_Saknas!$G:$G),""))</f>
        <v/>
      </c>
      <c r="H320" s="137" t="str">
        <f>IF($F320&lt;&gt;"",IFERROR(_xlfn.XLOOKUP($F320,Taxa_från_edp!$B:$B,Taxa_från_edp!C:C),""),"")</f>
        <v/>
      </c>
      <c r="I320" s="138" t="str">
        <f>IF($F320&lt;&gt;"",IFERROR(_xlfn.XLOOKUP($F320,Taxa_från_edp!$B:$B,Taxa_från_edp!G:G),""),"")</f>
        <v/>
      </c>
      <c r="J320" s="139" t="str">
        <f>IF($F320&lt;&gt;"",IFERROR(_xlfn.XLOOKUP($F320,Taxa_från_edp!$B:$B,Taxa_från_edp!K:K),""),"")</f>
        <v/>
      </c>
      <c r="K320" s="148"/>
      <c r="L320" s="152"/>
      <c r="M320" s="156" t="str">
        <f t="shared" si="8"/>
        <v/>
      </c>
      <c r="N320" s="157" t="str">
        <f t="shared" si="9"/>
        <v/>
      </c>
    </row>
    <row r="321" spans="1:14" ht="30" customHeight="1" x14ac:dyDescent="0.25">
      <c r="A321" s="118" t="s">
        <v>317</v>
      </c>
      <c r="B321" s="118" t="s">
        <v>318</v>
      </c>
      <c r="C321" s="118" t="s">
        <v>414</v>
      </c>
      <c r="D321" s="118" t="s">
        <v>415</v>
      </c>
      <c r="E321" s="118" t="s">
        <v>348</v>
      </c>
      <c r="F321" s="127"/>
      <c r="G321" s="132" t="str">
        <f>IF($F321&lt;&gt;"",$F321,IFERROR(_xlfn.XLOOKUP(ROW(),Taxa_Saknas!$H:$H,Taxa_Saknas!$G:$G),""))</f>
        <v/>
      </c>
      <c r="H321" s="137" t="str">
        <f>IF($F321&lt;&gt;"",IFERROR(_xlfn.XLOOKUP($F321,Taxa_från_edp!$B:$B,Taxa_från_edp!C:C),""),"")</f>
        <v/>
      </c>
      <c r="I321" s="138" t="str">
        <f>IF($F321&lt;&gt;"",IFERROR(_xlfn.XLOOKUP($F321,Taxa_från_edp!$B:$B,Taxa_från_edp!G:G),""),"")</f>
        <v/>
      </c>
      <c r="J321" s="139" t="str">
        <f>IF($F321&lt;&gt;"",IFERROR(_xlfn.XLOOKUP($F321,Taxa_från_edp!$B:$B,Taxa_från_edp!K:K),""),"")</f>
        <v/>
      </c>
      <c r="K321" s="148"/>
      <c r="L321" s="152"/>
      <c r="M321" s="156" t="str">
        <f t="shared" si="8"/>
        <v/>
      </c>
      <c r="N321" s="157" t="str">
        <f t="shared" si="9"/>
        <v/>
      </c>
    </row>
    <row r="322" spans="1:14" ht="30" customHeight="1" x14ac:dyDescent="0.25">
      <c r="A322" s="118" t="s">
        <v>317</v>
      </c>
      <c r="B322" s="118" t="s">
        <v>318</v>
      </c>
      <c r="C322" s="118" t="s">
        <v>416</v>
      </c>
      <c r="D322" s="118" t="s">
        <v>358</v>
      </c>
      <c r="E322" s="118" t="s">
        <v>348</v>
      </c>
      <c r="F322" s="127"/>
      <c r="G322" s="132" t="str">
        <f>IF($F322&lt;&gt;"",$F322,IFERROR(_xlfn.XLOOKUP(ROW(),Taxa_Saknas!$H:$H,Taxa_Saknas!$G:$G),""))</f>
        <v/>
      </c>
      <c r="H322" s="137" t="str">
        <f>IF($F322&lt;&gt;"",IFERROR(_xlfn.XLOOKUP($F322,Taxa_från_edp!$B:$B,Taxa_från_edp!C:C),""),"")</f>
        <v/>
      </c>
      <c r="I322" s="138" t="str">
        <f>IF($F322&lt;&gt;"",IFERROR(_xlfn.XLOOKUP($F322,Taxa_från_edp!$B:$B,Taxa_från_edp!G:G),""),"")</f>
        <v/>
      </c>
      <c r="J322" s="139" t="str">
        <f>IF($F322&lt;&gt;"",IFERROR(_xlfn.XLOOKUP($F322,Taxa_från_edp!$B:$B,Taxa_från_edp!K:K),""),"")</f>
        <v/>
      </c>
      <c r="K322" s="148"/>
      <c r="L322" s="152"/>
      <c r="M322" s="156" t="str">
        <f t="shared" si="8"/>
        <v/>
      </c>
      <c r="N322" s="157" t="str">
        <f t="shared" si="9"/>
        <v/>
      </c>
    </row>
    <row r="323" spans="1:14" ht="30" customHeight="1" x14ac:dyDescent="0.25">
      <c r="A323" s="118" t="s">
        <v>317</v>
      </c>
      <c r="B323" s="118" t="s">
        <v>318</v>
      </c>
      <c r="C323" s="118" t="s">
        <v>417</v>
      </c>
      <c r="D323" s="118" t="s">
        <v>418</v>
      </c>
      <c r="E323" s="118" t="s">
        <v>348</v>
      </c>
      <c r="F323" s="127"/>
      <c r="G323" s="132" t="str">
        <f>IF($F323&lt;&gt;"",$F323,IFERROR(_xlfn.XLOOKUP(ROW(),Taxa_Saknas!$H:$H,Taxa_Saknas!$G:$G),""))</f>
        <v/>
      </c>
      <c r="H323" s="137" t="str">
        <f>IF($F323&lt;&gt;"",IFERROR(_xlfn.XLOOKUP($F323,Taxa_från_edp!$B:$B,Taxa_från_edp!C:C),""),"")</f>
        <v/>
      </c>
      <c r="I323" s="138" t="str">
        <f>IF($F323&lt;&gt;"",IFERROR(_xlfn.XLOOKUP($F323,Taxa_från_edp!$B:$B,Taxa_från_edp!G:G),""),"")</f>
        <v/>
      </c>
      <c r="J323" s="139" t="str">
        <f>IF($F323&lt;&gt;"",IFERROR(_xlfn.XLOOKUP($F323,Taxa_från_edp!$B:$B,Taxa_från_edp!K:K),""),"")</f>
        <v/>
      </c>
      <c r="K323" s="148"/>
      <c r="L323" s="152"/>
      <c r="M323" s="156" t="str">
        <f t="shared" si="8"/>
        <v/>
      </c>
      <c r="N323" s="157" t="str">
        <f t="shared" si="9"/>
        <v/>
      </c>
    </row>
    <row r="324" spans="1:14" ht="30" customHeight="1" x14ac:dyDescent="0.25">
      <c r="A324" s="118" t="s">
        <v>317</v>
      </c>
      <c r="B324" s="118" t="s">
        <v>318</v>
      </c>
      <c r="C324" s="118" t="s">
        <v>419</v>
      </c>
      <c r="D324" s="118" t="s">
        <v>420</v>
      </c>
      <c r="E324" s="118" t="s">
        <v>348</v>
      </c>
      <c r="F324" s="127"/>
      <c r="G324" s="132" t="str">
        <f>IF($F324&lt;&gt;"",$F324,IFERROR(_xlfn.XLOOKUP(ROW(),Taxa_Saknas!$H:$H,Taxa_Saknas!$G:$G),""))</f>
        <v/>
      </c>
      <c r="H324" s="137" t="str">
        <f>IF($F324&lt;&gt;"",IFERROR(_xlfn.XLOOKUP($F324,Taxa_från_edp!$B:$B,Taxa_från_edp!C:C),""),"")</f>
        <v/>
      </c>
      <c r="I324" s="138" t="str">
        <f>IF($F324&lt;&gt;"",IFERROR(_xlfn.XLOOKUP($F324,Taxa_från_edp!$B:$B,Taxa_från_edp!G:G),""),"")</f>
        <v/>
      </c>
      <c r="J324" s="139" t="str">
        <f>IF($F324&lt;&gt;"",IFERROR(_xlfn.XLOOKUP($F324,Taxa_från_edp!$B:$B,Taxa_från_edp!K:K),""),"")</f>
        <v/>
      </c>
      <c r="K324" s="148"/>
      <c r="L324" s="152"/>
      <c r="M324" s="156" t="str">
        <f t="shared" si="8"/>
        <v/>
      </c>
      <c r="N324" s="157" t="str">
        <f t="shared" si="9"/>
        <v/>
      </c>
    </row>
    <row r="325" spans="1:14" ht="30" customHeight="1" x14ac:dyDescent="0.25">
      <c r="A325" s="118" t="s">
        <v>317</v>
      </c>
      <c r="B325" s="118" t="s">
        <v>318</v>
      </c>
      <c r="C325" s="118" t="s">
        <v>421</v>
      </c>
      <c r="D325" s="118" t="s">
        <v>422</v>
      </c>
      <c r="E325" s="118" t="s">
        <v>348</v>
      </c>
      <c r="F325" s="127"/>
      <c r="G325" s="132" t="str">
        <f>IF($F325&lt;&gt;"",$F325,IFERROR(_xlfn.XLOOKUP(ROW(),Taxa_Saknas!$H:$H,Taxa_Saknas!$G:$G),""))</f>
        <v/>
      </c>
      <c r="H325" s="137" t="str">
        <f>IF($F325&lt;&gt;"",IFERROR(_xlfn.XLOOKUP($F325,Taxa_från_edp!$B:$B,Taxa_från_edp!C:C),""),"")</f>
        <v/>
      </c>
      <c r="I325" s="138" t="str">
        <f>IF($F325&lt;&gt;"",IFERROR(_xlfn.XLOOKUP($F325,Taxa_från_edp!$B:$B,Taxa_från_edp!G:G),""),"")</f>
        <v/>
      </c>
      <c r="J325" s="139" t="str">
        <f>IF($F325&lt;&gt;"",IFERROR(_xlfn.XLOOKUP($F325,Taxa_från_edp!$B:$B,Taxa_från_edp!K:K),""),"")</f>
        <v/>
      </c>
      <c r="K325" s="148"/>
      <c r="L325" s="152"/>
      <c r="M325" s="156" t="str">
        <f t="shared" si="8"/>
        <v/>
      </c>
      <c r="N325" s="157" t="str">
        <f t="shared" si="9"/>
        <v/>
      </c>
    </row>
    <row r="326" spans="1:14" ht="30" customHeight="1" x14ac:dyDescent="0.25">
      <c r="A326" s="118" t="s">
        <v>317</v>
      </c>
      <c r="B326" s="118" t="s">
        <v>318</v>
      </c>
      <c r="C326" s="118" t="s">
        <v>423</v>
      </c>
      <c r="D326" s="118" t="s">
        <v>424</v>
      </c>
      <c r="E326" s="118" t="s">
        <v>348</v>
      </c>
      <c r="F326" s="127"/>
      <c r="G326" s="132" t="str">
        <f>IF($F326&lt;&gt;"",$F326,IFERROR(_xlfn.XLOOKUP(ROW(),Taxa_Saknas!$H:$H,Taxa_Saknas!$G:$G),""))</f>
        <v/>
      </c>
      <c r="H326" s="137" t="str">
        <f>IF($F326&lt;&gt;"",IFERROR(_xlfn.XLOOKUP($F326,Taxa_från_edp!$B:$B,Taxa_från_edp!C:C),""),"")</f>
        <v/>
      </c>
      <c r="I326" s="138" t="str">
        <f>IF($F326&lt;&gt;"",IFERROR(_xlfn.XLOOKUP($F326,Taxa_från_edp!$B:$B,Taxa_från_edp!G:G),""),"")</f>
        <v/>
      </c>
      <c r="J326" s="139" t="str">
        <f>IF($F326&lt;&gt;"",IFERROR(_xlfn.XLOOKUP($F326,Taxa_från_edp!$B:$B,Taxa_från_edp!K:K),""),"")</f>
        <v/>
      </c>
      <c r="K326" s="148"/>
      <c r="L326" s="152"/>
      <c r="M326" s="156" t="str">
        <f t="shared" si="8"/>
        <v/>
      </c>
      <c r="N326" s="157" t="str">
        <f t="shared" si="9"/>
        <v/>
      </c>
    </row>
    <row r="327" spans="1:14" ht="30" customHeight="1" x14ac:dyDescent="0.25">
      <c r="A327" s="118" t="s">
        <v>317</v>
      </c>
      <c r="B327" s="118" t="s">
        <v>318</v>
      </c>
      <c r="C327" s="118" t="s">
        <v>425</v>
      </c>
      <c r="D327" s="118" t="s">
        <v>426</v>
      </c>
      <c r="E327" s="118" t="s">
        <v>348</v>
      </c>
      <c r="F327" s="127"/>
      <c r="G327" s="132" t="str">
        <f>IF($F327&lt;&gt;"",$F327,IFERROR(_xlfn.XLOOKUP(ROW(),Taxa_Saknas!$H:$H,Taxa_Saknas!$G:$G),""))</f>
        <v/>
      </c>
      <c r="H327" s="137" t="str">
        <f>IF($F327&lt;&gt;"",IFERROR(_xlfn.XLOOKUP($F327,Taxa_från_edp!$B:$B,Taxa_från_edp!C:C),""),"")</f>
        <v/>
      </c>
      <c r="I327" s="138" t="str">
        <f>IF($F327&lt;&gt;"",IFERROR(_xlfn.XLOOKUP($F327,Taxa_från_edp!$B:$B,Taxa_från_edp!G:G),""),"")</f>
        <v/>
      </c>
      <c r="J327" s="139" t="str">
        <f>IF($F327&lt;&gt;"",IFERROR(_xlfn.XLOOKUP($F327,Taxa_från_edp!$B:$B,Taxa_från_edp!K:K),""),"")</f>
        <v/>
      </c>
      <c r="K327" s="148"/>
      <c r="L327" s="152"/>
      <c r="M327" s="156" t="str">
        <f t="shared" ref="M327:M379" si="10">IFERROR(IF(J327&lt;&gt;"",J327*1.25,IF(K327&lt;&gt;"",K327*1.25,"")),"")</f>
        <v/>
      </c>
      <c r="N327" s="157" t="str">
        <f t="shared" ref="N327:N379" si="11">IFERROR(IF(J327&lt;&gt;"",L327*J327,IF(K327&lt;&gt;"",L327*K327,"")),"")</f>
        <v/>
      </c>
    </row>
    <row r="328" spans="1:14" ht="30" customHeight="1" x14ac:dyDescent="0.25">
      <c r="A328" s="118" t="s">
        <v>317</v>
      </c>
      <c r="B328" s="118" t="s">
        <v>318</v>
      </c>
      <c r="C328" s="118" t="s">
        <v>427</v>
      </c>
      <c r="D328" s="118" t="s">
        <v>428</v>
      </c>
      <c r="E328" s="118" t="s">
        <v>348</v>
      </c>
      <c r="F328" s="127"/>
      <c r="G328" s="132" t="str">
        <f>IF($F328&lt;&gt;"",$F328,IFERROR(_xlfn.XLOOKUP(ROW(),Taxa_Saknas!$H:$H,Taxa_Saknas!$G:$G),""))</f>
        <v/>
      </c>
      <c r="H328" s="137" t="str">
        <f>IF($F328&lt;&gt;"",IFERROR(_xlfn.XLOOKUP($F328,Taxa_från_edp!$B:$B,Taxa_från_edp!C:C),""),"")</f>
        <v/>
      </c>
      <c r="I328" s="138" t="str">
        <f>IF($F328&lt;&gt;"",IFERROR(_xlfn.XLOOKUP($F328,Taxa_från_edp!$B:$B,Taxa_från_edp!G:G),""),"")</f>
        <v/>
      </c>
      <c r="J328" s="139" t="str">
        <f>IF($F328&lt;&gt;"",IFERROR(_xlfn.XLOOKUP($F328,Taxa_från_edp!$B:$B,Taxa_från_edp!K:K),""),"")</f>
        <v/>
      </c>
      <c r="K328" s="148"/>
      <c r="L328" s="152"/>
      <c r="M328" s="156" t="str">
        <f t="shared" si="10"/>
        <v/>
      </c>
      <c r="N328" s="157" t="str">
        <f t="shared" si="11"/>
        <v/>
      </c>
    </row>
    <row r="329" spans="1:14" ht="30" customHeight="1" x14ac:dyDescent="0.25">
      <c r="A329" s="118" t="s">
        <v>317</v>
      </c>
      <c r="B329" s="118" t="s">
        <v>318</v>
      </c>
      <c r="C329" s="118" t="s">
        <v>429</v>
      </c>
      <c r="D329" s="118" t="s">
        <v>430</v>
      </c>
      <c r="E329" s="118" t="s">
        <v>348</v>
      </c>
      <c r="F329" s="127"/>
      <c r="G329" s="132" t="str">
        <f>IF($F329&lt;&gt;"",$F329,IFERROR(_xlfn.XLOOKUP(ROW(),Taxa_Saknas!$H:$H,Taxa_Saknas!$G:$G),""))</f>
        <v/>
      </c>
      <c r="H329" s="137" t="str">
        <f>IF($F329&lt;&gt;"",IFERROR(_xlfn.XLOOKUP($F329,Taxa_från_edp!$B:$B,Taxa_från_edp!C:C),""),"")</f>
        <v/>
      </c>
      <c r="I329" s="138" t="str">
        <f>IF($F329&lt;&gt;"",IFERROR(_xlfn.XLOOKUP($F329,Taxa_från_edp!$B:$B,Taxa_från_edp!G:G),""),"")</f>
        <v/>
      </c>
      <c r="J329" s="139" t="str">
        <f>IF($F329&lt;&gt;"",IFERROR(_xlfn.XLOOKUP($F329,Taxa_från_edp!$B:$B,Taxa_från_edp!K:K),""),"")</f>
        <v/>
      </c>
      <c r="K329" s="148"/>
      <c r="L329" s="152"/>
      <c r="M329" s="156" t="str">
        <f t="shared" si="10"/>
        <v/>
      </c>
      <c r="N329" s="157" t="str">
        <f t="shared" si="11"/>
        <v/>
      </c>
    </row>
    <row r="330" spans="1:14" ht="30" customHeight="1" x14ac:dyDescent="0.25">
      <c r="A330" s="118" t="s">
        <v>317</v>
      </c>
      <c r="B330" s="118" t="s">
        <v>318</v>
      </c>
      <c r="C330" s="118" t="s">
        <v>431</v>
      </c>
      <c r="D330" s="118" t="s">
        <v>432</v>
      </c>
      <c r="E330" s="118" t="s">
        <v>348</v>
      </c>
      <c r="F330" s="130"/>
      <c r="G330" s="135" t="str">
        <f>IF($F330&lt;&gt;"",$F330,IFERROR(_xlfn.XLOOKUP(ROW(),Taxa_Saknas!$H:$H,Taxa_Saknas!$G:$G),""))</f>
        <v/>
      </c>
      <c r="H330" s="144" t="str">
        <f>IF($F330&lt;&gt;"",IFERROR(_xlfn.XLOOKUP($F330,Taxa_från_edp!$B:$B,Taxa_från_edp!C:C),""),"")</f>
        <v/>
      </c>
      <c r="I330" s="145" t="str">
        <f>IF($F330&lt;&gt;"",IFERROR(_xlfn.XLOOKUP($F330,Taxa_från_edp!$B:$B,Taxa_från_edp!G:G),""),"")</f>
        <v/>
      </c>
      <c r="J330" s="145" t="str">
        <f>IF($F330&lt;&gt;"",IFERROR(_xlfn.XLOOKUP($F330,Taxa_från_edp!$B:$B,Taxa_från_edp!K:K),""),"")</f>
        <v/>
      </c>
      <c r="K330" s="150"/>
      <c r="L330" s="154"/>
      <c r="M330" s="156" t="str">
        <f t="shared" si="10"/>
        <v/>
      </c>
      <c r="N330" s="157" t="str">
        <f t="shared" si="11"/>
        <v/>
      </c>
    </row>
    <row r="331" spans="1:14" ht="30" customHeight="1" x14ac:dyDescent="0.25">
      <c r="A331" s="118" t="s">
        <v>317</v>
      </c>
      <c r="B331" s="118" t="s">
        <v>318</v>
      </c>
      <c r="C331" s="118" t="s">
        <v>433</v>
      </c>
      <c r="D331" s="118" t="s">
        <v>365</v>
      </c>
      <c r="E331" s="118" t="s">
        <v>348</v>
      </c>
      <c r="F331" s="130"/>
      <c r="G331" s="135" t="str">
        <f>IF($F331&lt;&gt;"",$F331,IFERROR(_xlfn.XLOOKUP(ROW(),Taxa_Saknas!$H:$H,Taxa_Saknas!$G:$G),""))</f>
        <v/>
      </c>
      <c r="H331" s="144" t="str">
        <f>IF($F331&lt;&gt;"",IFERROR(_xlfn.XLOOKUP($F331,Taxa_från_edp!$B:$B,Taxa_från_edp!C:C),""),"")</f>
        <v/>
      </c>
      <c r="I331" s="145" t="str">
        <f>IF($F331&lt;&gt;"",IFERROR(_xlfn.XLOOKUP($F331,Taxa_från_edp!$B:$B,Taxa_från_edp!G:G),""),"")</f>
        <v/>
      </c>
      <c r="J331" s="145" t="str">
        <f>IF($F331&lt;&gt;"",IFERROR(_xlfn.XLOOKUP($F331,Taxa_från_edp!$B:$B,Taxa_från_edp!K:K),""),"")</f>
        <v/>
      </c>
      <c r="K331" s="150"/>
      <c r="L331" s="154"/>
      <c r="M331" s="156" t="str">
        <f t="shared" si="10"/>
        <v/>
      </c>
      <c r="N331" s="157" t="str">
        <f t="shared" si="11"/>
        <v/>
      </c>
    </row>
    <row r="332" spans="1:14" ht="30" customHeight="1" x14ac:dyDescent="0.25">
      <c r="A332" s="118" t="s">
        <v>317</v>
      </c>
      <c r="B332" s="118" t="s">
        <v>318</v>
      </c>
      <c r="C332" s="118" t="s">
        <v>434</v>
      </c>
      <c r="D332" s="118" t="s">
        <v>435</v>
      </c>
      <c r="E332" s="118" t="s">
        <v>348</v>
      </c>
      <c r="F332" s="130"/>
      <c r="G332" s="135" t="str">
        <f>IF($F332&lt;&gt;"",$F332,IFERROR(_xlfn.XLOOKUP(ROW(),Taxa_Saknas!$H:$H,Taxa_Saknas!$G:$G),""))</f>
        <v/>
      </c>
      <c r="H332" s="144" t="str">
        <f>IF($F332&lt;&gt;"",IFERROR(_xlfn.XLOOKUP($F332,Taxa_från_edp!$B:$B,Taxa_från_edp!C:C),""),"")</f>
        <v/>
      </c>
      <c r="I332" s="145" t="str">
        <f>IF($F332&lt;&gt;"",IFERROR(_xlfn.XLOOKUP($F332,Taxa_från_edp!$B:$B,Taxa_från_edp!G:G),""),"")</f>
        <v/>
      </c>
      <c r="J332" s="145" t="str">
        <f>IF($F332&lt;&gt;"",IFERROR(_xlfn.XLOOKUP($F332,Taxa_från_edp!$B:$B,Taxa_från_edp!K:K),""),"")</f>
        <v/>
      </c>
      <c r="K332" s="150"/>
      <c r="L332" s="154"/>
      <c r="M332" s="156" t="str">
        <f t="shared" si="10"/>
        <v/>
      </c>
      <c r="N332" s="157" t="str">
        <f t="shared" si="11"/>
        <v/>
      </c>
    </row>
    <row r="333" spans="1:14" ht="30" customHeight="1" x14ac:dyDescent="0.25">
      <c r="A333" s="118" t="s">
        <v>317</v>
      </c>
      <c r="B333" s="118" t="s">
        <v>318</v>
      </c>
      <c r="C333" s="118" t="s">
        <v>436</v>
      </c>
      <c r="D333" s="118" t="s">
        <v>437</v>
      </c>
      <c r="E333" s="118" t="s">
        <v>348</v>
      </c>
      <c r="F333" s="130"/>
      <c r="G333" s="135" t="str">
        <f>IF($F333&lt;&gt;"",$F333,IFERROR(_xlfn.XLOOKUP(ROW(),Taxa_Saknas!$H:$H,Taxa_Saknas!$G:$G),""))</f>
        <v/>
      </c>
      <c r="H333" s="144" t="str">
        <f>IF($F333&lt;&gt;"",IFERROR(_xlfn.XLOOKUP($F333,Taxa_från_edp!$B:$B,Taxa_från_edp!C:C),""),"")</f>
        <v/>
      </c>
      <c r="I333" s="145" t="str">
        <f>IF($F333&lt;&gt;"",IFERROR(_xlfn.XLOOKUP($F333,Taxa_från_edp!$B:$B,Taxa_från_edp!G:G),""),"")</f>
        <v/>
      </c>
      <c r="J333" s="145" t="str">
        <f>IF($F333&lt;&gt;"",IFERROR(_xlfn.XLOOKUP($F333,Taxa_från_edp!$B:$B,Taxa_från_edp!K:K),""),"")</f>
        <v/>
      </c>
      <c r="K333" s="150"/>
      <c r="L333" s="154"/>
      <c r="M333" s="156" t="str">
        <f t="shared" si="10"/>
        <v/>
      </c>
      <c r="N333" s="157" t="str">
        <f t="shared" si="11"/>
        <v/>
      </c>
    </row>
    <row r="334" spans="1:14" ht="30" customHeight="1" x14ac:dyDescent="0.25">
      <c r="A334" s="118" t="s">
        <v>317</v>
      </c>
      <c r="B334" s="118" t="s">
        <v>318</v>
      </c>
      <c r="C334" s="118" t="s">
        <v>438</v>
      </c>
      <c r="D334" s="118" t="s">
        <v>439</v>
      </c>
      <c r="E334" s="118" t="s">
        <v>348</v>
      </c>
      <c r="F334" s="130"/>
      <c r="G334" s="135" t="str">
        <f>IF($F334&lt;&gt;"",$F334,IFERROR(_xlfn.XLOOKUP(ROW(),Taxa_Saknas!$H:$H,Taxa_Saknas!$G:$G),""))</f>
        <v/>
      </c>
      <c r="H334" s="144" t="str">
        <f>IF($F334&lt;&gt;"",IFERROR(_xlfn.XLOOKUP($F334,Taxa_från_edp!$B:$B,Taxa_från_edp!C:C),""),"")</f>
        <v/>
      </c>
      <c r="I334" s="145" t="str">
        <f>IF($F334&lt;&gt;"",IFERROR(_xlfn.XLOOKUP($F334,Taxa_från_edp!$B:$B,Taxa_från_edp!G:G),""),"")</f>
        <v/>
      </c>
      <c r="J334" s="145" t="str">
        <f>IF($F334&lt;&gt;"",IFERROR(_xlfn.XLOOKUP($F334,Taxa_från_edp!$B:$B,Taxa_från_edp!K:K),""),"")</f>
        <v/>
      </c>
      <c r="K334" s="150"/>
      <c r="L334" s="154"/>
      <c r="M334" s="156" t="str">
        <f t="shared" si="10"/>
        <v/>
      </c>
      <c r="N334" s="157" t="str">
        <f t="shared" si="11"/>
        <v/>
      </c>
    </row>
    <row r="335" spans="1:14" ht="30" customHeight="1" x14ac:dyDescent="0.25">
      <c r="A335" s="118" t="s">
        <v>317</v>
      </c>
      <c r="B335" s="118" t="s">
        <v>318</v>
      </c>
      <c r="C335" s="118" t="s">
        <v>440</v>
      </c>
      <c r="D335" s="118" t="s">
        <v>441</v>
      </c>
      <c r="E335" s="118" t="s">
        <v>348</v>
      </c>
      <c r="F335" s="130"/>
      <c r="G335" s="135" t="str">
        <f>IF($F335&lt;&gt;"",$F335,IFERROR(_xlfn.XLOOKUP(ROW(),Taxa_Saknas!$H:$H,Taxa_Saknas!$G:$G),""))</f>
        <v/>
      </c>
      <c r="H335" s="144" t="str">
        <f>IF($F335&lt;&gt;"",IFERROR(_xlfn.XLOOKUP($F335,Taxa_från_edp!$B:$B,Taxa_från_edp!C:C),""),"")</f>
        <v/>
      </c>
      <c r="I335" s="145" t="str">
        <f>IF($F335&lt;&gt;"",IFERROR(_xlfn.XLOOKUP($F335,Taxa_från_edp!$B:$B,Taxa_från_edp!G:G),""),"")</f>
        <v/>
      </c>
      <c r="J335" s="145" t="str">
        <f>IF($F335&lt;&gt;"",IFERROR(_xlfn.XLOOKUP($F335,Taxa_från_edp!$B:$B,Taxa_från_edp!K:K),""),"")</f>
        <v/>
      </c>
      <c r="K335" s="150"/>
      <c r="L335" s="154"/>
      <c r="M335" s="156" t="str">
        <f t="shared" si="10"/>
        <v/>
      </c>
      <c r="N335" s="157" t="str">
        <f t="shared" si="11"/>
        <v/>
      </c>
    </row>
    <row r="336" spans="1:14" ht="30" customHeight="1" x14ac:dyDescent="0.25">
      <c r="A336" s="118" t="s">
        <v>317</v>
      </c>
      <c r="B336" s="118" t="s">
        <v>318</v>
      </c>
      <c r="C336" s="118" t="s">
        <v>442</v>
      </c>
      <c r="D336" s="118" t="s">
        <v>443</v>
      </c>
      <c r="E336" s="118" t="s">
        <v>348</v>
      </c>
      <c r="F336" s="130"/>
      <c r="G336" s="135" t="str">
        <f>IF($F336&lt;&gt;"",$F336,IFERROR(_xlfn.XLOOKUP(ROW(),Taxa_Saknas!$H:$H,Taxa_Saknas!$G:$G),""))</f>
        <v/>
      </c>
      <c r="H336" s="144" t="str">
        <f>IF($F336&lt;&gt;"",IFERROR(_xlfn.XLOOKUP($F336,Taxa_från_edp!$B:$B,Taxa_från_edp!C:C),""),"")</f>
        <v/>
      </c>
      <c r="I336" s="145" t="str">
        <f>IF($F336&lt;&gt;"",IFERROR(_xlfn.XLOOKUP($F336,Taxa_från_edp!$B:$B,Taxa_från_edp!G:G),""),"")</f>
        <v/>
      </c>
      <c r="J336" s="145" t="str">
        <f>IF($F336&lt;&gt;"",IFERROR(_xlfn.XLOOKUP($F336,Taxa_från_edp!$B:$B,Taxa_från_edp!K:K),""),"")</f>
        <v/>
      </c>
      <c r="K336" s="150"/>
      <c r="L336" s="154"/>
      <c r="M336" s="156" t="str">
        <f t="shared" si="10"/>
        <v/>
      </c>
      <c r="N336" s="157" t="str">
        <f t="shared" si="11"/>
        <v/>
      </c>
    </row>
    <row r="337" spans="1:14" ht="30" customHeight="1" x14ac:dyDescent="0.25">
      <c r="A337" s="118" t="s">
        <v>317</v>
      </c>
      <c r="B337" s="118" t="s">
        <v>318</v>
      </c>
      <c r="C337" s="118" t="s">
        <v>444</v>
      </c>
      <c r="D337" s="118" t="s">
        <v>445</v>
      </c>
      <c r="E337" s="118" t="s">
        <v>348</v>
      </c>
      <c r="F337" s="130"/>
      <c r="G337" s="135" t="str">
        <f>IF($F337&lt;&gt;"",$F337,IFERROR(_xlfn.XLOOKUP(ROW(),Taxa_Saknas!$H:$H,Taxa_Saknas!$G:$G),""))</f>
        <v/>
      </c>
      <c r="H337" s="144" t="str">
        <f>IF($F337&lt;&gt;"",IFERROR(_xlfn.XLOOKUP($F337,Taxa_från_edp!$B:$B,Taxa_från_edp!C:C),""),"")</f>
        <v/>
      </c>
      <c r="I337" s="145" t="str">
        <f>IF($F337&lt;&gt;"",IFERROR(_xlfn.XLOOKUP($F337,Taxa_från_edp!$B:$B,Taxa_från_edp!G:G),""),"")</f>
        <v/>
      </c>
      <c r="J337" s="145" t="str">
        <f>IF($F337&lt;&gt;"",IFERROR(_xlfn.XLOOKUP($F337,Taxa_från_edp!$B:$B,Taxa_från_edp!K:K),""),"")</f>
        <v/>
      </c>
      <c r="K337" s="150"/>
      <c r="L337" s="154"/>
      <c r="M337" s="156" t="str">
        <f t="shared" si="10"/>
        <v/>
      </c>
      <c r="N337" s="157" t="str">
        <f t="shared" si="11"/>
        <v/>
      </c>
    </row>
    <row r="338" spans="1:14" ht="30" customHeight="1" x14ac:dyDescent="0.25">
      <c r="A338" s="118" t="s">
        <v>317</v>
      </c>
      <c r="B338" s="118" t="s">
        <v>318</v>
      </c>
      <c r="C338" s="118" t="s">
        <v>446</v>
      </c>
      <c r="D338" s="118" t="s">
        <v>443</v>
      </c>
      <c r="E338" s="118" t="s">
        <v>348</v>
      </c>
      <c r="F338" s="130"/>
      <c r="G338" s="135" t="str">
        <f>IF($F338&lt;&gt;"",$F338,IFERROR(_xlfn.XLOOKUP(ROW(),Taxa_Saknas!$H:$H,Taxa_Saknas!$G:$G),""))</f>
        <v/>
      </c>
      <c r="H338" s="144" t="str">
        <f>IF($F338&lt;&gt;"",IFERROR(_xlfn.XLOOKUP($F338,Taxa_från_edp!$B:$B,Taxa_från_edp!C:C),""),"")</f>
        <v/>
      </c>
      <c r="I338" s="145" t="str">
        <f>IF($F338&lt;&gt;"",IFERROR(_xlfn.XLOOKUP($F338,Taxa_från_edp!$B:$B,Taxa_från_edp!G:G),""),"")</f>
        <v/>
      </c>
      <c r="J338" s="145" t="str">
        <f>IF($F338&lt;&gt;"",IFERROR(_xlfn.XLOOKUP($F338,Taxa_från_edp!$B:$B,Taxa_från_edp!K:K),""),"")</f>
        <v/>
      </c>
      <c r="K338" s="150"/>
      <c r="L338" s="154"/>
      <c r="M338" s="156" t="str">
        <f t="shared" si="10"/>
        <v/>
      </c>
      <c r="N338" s="157" t="str">
        <f t="shared" si="11"/>
        <v/>
      </c>
    </row>
    <row r="339" spans="1:14" ht="30" customHeight="1" x14ac:dyDescent="0.25">
      <c r="A339" s="118" t="s">
        <v>317</v>
      </c>
      <c r="B339" s="118" t="s">
        <v>318</v>
      </c>
      <c r="C339" s="118" t="s">
        <v>447</v>
      </c>
      <c r="D339" s="118" t="s">
        <v>448</v>
      </c>
      <c r="E339" s="118" t="s">
        <v>348</v>
      </c>
      <c r="F339" s="130"/>
      <c r="G339" s="135" t="str">
        <f>IF($F339&lt;&gt;"",$F339,IFERROR(_xlfn.XLOOKUP(ROW(),Taxa_Saknas!$H:$H,Taxa_Saknas!$G:$G),""))</f>
        <v/>
      </c>
      <c r="H339" s="144" t="str">
        <f>IF($F339&lt;&gt;"",IFERROR(_xlfn.XLOOKUP($F339,Taxa_från_edp!$B:$B,Taxa_från_edp!C:C),""),"")</f>
        <v/>
      </c>
      <c r="I339" s="145" t="str">
        <f>IF($F339&lt;&gt;"",IFERROR(_xlfn.XLOOKUP($F339,Taxa_från_edp!$B:$B,Taxa_från_edp!G:G),""),"")</f>
        <v/>
      </c>
      <c r="J339" s="145" t="str">
        <f>IF($F339&lt;&gt;"",IFERROR(_xlfn.XLOOKUP($F339,Taxa_från_edp!$B:$B,Taxa_från_edp!K:K),""),"")</f>
        <v/>
      </c>
      <c r="K339" s="150"/>
      <c r="L339" s="154"/>
      <c r="M339" s="156" t="str">
        <f t="shared" si="10"/>
        <v/>
      </c>
      <c r="N339" s="157" t="str">
        <f t="shared" si="11"/>
        <v/>
      </c>
    </row>
    <row r="340" spans="1:14" ht="30" customHeight="1" x14ac:dyDescent="0.25">
      <c r="A340" s="118" t="s">
        <v>317</v>
      </c>
      <c r="B340" s="118" t="s">
        <v>318</v>
      </c>
      <c r="C340" s="118" t="s">
        <v>449</v>
      </c>
      <c r="D340" s="118" t="s">
        <v>353</v>
      </c>
      <c r="E340" s="118" t="s">
        <v>348</v>
      </c>
      <c r="F340" s="130"/>
      <c r="G340" s="135" t="str">
        <f>IF($F340&lt;&gt;"",$F340,IFERROR(_xlfn.XLOOKUP(ROW(),Taxa_Saknas!$H:$H,Taxa_Saknas!$G:$G),""))</f>
        <v/>
      </c>
      <c r="H340" s="144" t="str">
        <f>IF($F340&lt;&gt;"",IFERROR(_xlfn.XLOOKUP($F340,Taxa_från_edp!$B:$B,Taxa_från_edp!C:C),""),"")</f>
        <v/>
      </c>
      <c r="I340" s="145" t="str">
        <f>IF($F340&lt;&gt;"",IFERROR(_xlfn.XLOOKUP($F340,Taxa_från_edp!$B:$B,Taxa_från_edp!G:G),""),"")</f>
        <v/>
      </c>
      <c r="J340" s="145" t="str">
        <f>IF($F340&lt;&gt;"",IFERROR(_xlfn.XLOOKUP($F340,Taxa_från_edp!$B:$B,Taxa_från_edp!K:K),""),"")</f>
        <v/>
      </c>
      <c r="K340" s="150"/>
      <c r="L340" s="154"/>
      <c r="M340" s="156" t="str">
        <f t="shared" si="10"/>
        <v/>
      </c>
      <c r="N340" s="157" t="str">
        <f t="shared" si="11"/>
        <v/>
      </c>
    </row>
    <row r="341" spans="1:14" ht="30" customHeight="1" x14ac:dyDescent="0.25">
      <c r="A341" s="118" t="s">
        <v>317</v>
      </c>
      <c r="B341" s="118" t="s">
        <v>318</v>
      </c>
      <c r="C341" s="118" t="s">
        <v>450</v>
      </c>
      <c r="D341" s="118" t="s">
        <v>353</v>
      </c>
      <c r="E341" s="118" t="s">
        <v>348</v>
      </c>
      <c r="F341" s="130"/>
      <c r="G341" s="135" t="str">
        <f>IF($F341&lt;&gt;"",$F341,IFERROR(_xlfn.XLOOKUP(ROW(),Taxa_Saknas!$H:$H,Taxa_Saknas!$G:$G),""))</f>
        <v/>
      </c>
      <c r="H341" s="144" t="str">
        <f>IF($F341&lt;&gt;"",IFERROR(_xlfn.XLOOKUP($F341,Taxa_från_edp!$B:$B,Taxa_från_edp!C:C),""),"")</f>
        <v/>
      </c>
      <c r="I341" s="145" t="str">
        <f>IF($F341&lt;&gt;"",IFERROR(_xlfn.XLOOKUP($F341,Taxa_från_edp!$B:$B,Taxa_från_edp!G:G),""),"")</f>
        <v/>
      </c>
      <c r="J341" s="145" t="str">
        <f>IF($F341&lt;&gt;"",IFERROR(_xlfn.XLOOKUP($F341,Taxa_från_edp!$B:$B,Taxa_från_edp!K:K),""),"")</f>
        <v/>
      </c>
      <c r="K341" s="150"/>
      <c r="L341" s="154"/>
      <c r="M341" s="156" t="str">
        <f t="shared" si="10"/>
        <v/>
      </c>
      <c r="N341" s="157" t="str">
        <f t="shared" si="11"/>
        <v/>
      </c>
    </row>
    <row r="342" spans="1:14" ht="30" customHeight="1" x14ac:dyDescent="0.25">
      <c r="A342" s="118" t="s">
        <v>317</v>
      </c>
      <c r="B342" s="118" t="s">
        <v>318</v>
      </c>
      <c r="C342" s="118" t="s">
        <v>451</v>
      </c>
      <c r="D342" s="118" t="s">
        <v>344</v>
      </c>
      <c r="E342" s="118" t="s">
        <v>348</v>
      </c>
      <c r="F342" s="130"/>
      <c r="G342" s="135" t="str">
        <f>IF($F342&lt;&gt;"",$F342,IFERROR(_xlfn.XLOOKUP(ROW(),Taxa_Saknas!$H:$H,Taxa_Saknas!$G:$G),""))</f>
        <v/>
      </c>
      <c r="H342" s="144" t="str">
        <f>IF($F342&lt;&gt;"",IFERROR(_xlfn.XLOOKUP($F342,Taxa_från_edp!$B:$B,Taxa_från_edp!C:C),""),"")</f>
        <v/>
      </c>
      <c r="I342" s="145" t="str">
        <f>IF($F342&lt;&gt;"",IFERROR(_xlfn.XLOOKUP($F342,Taxa_från_edp!$B:$B,Taxa_från_edp!G:G),""),"")</f>
        <v/>
      </c>
      <c r="J342" s="145" t="str">
        <f>IF($F342&lt;&gt;"",IFERROR(_xlfn.XLOOKUP($F342,Taxa_från_edp!$B:$B,Taxa_från_edp!K:K),""),"")</f>
        <v/>
      </c>
      <c r="K342" s="150"/>
      <c r="L342" s="154"/>
      <c r="M342" s="156" t="str">
        <f t="shared" si="10"/>
        <v/>
      </c>
      <c r="N342" s="157" t="str">
        <f t="shared" si="11"/>
        <v/>
      </c>
    </row>
    <row r="343" spans="1:14" ht="30" customHeight="1" x14ac:dyDescent="0.25">
      <c r="A343" s="118" t="s">
        <v>317</v>
      </c>
      <c r="B343" s="118" t="s">
        <v>318</v>
      </c>
      <c r="C343" s="118" t="s">
        <v>452</v>
      </c>
      <c r="D343" s="118" t="s">
        <v>453</v>
      </c>
      <c r="E343" s="118" t="s">
        <v>348</v>
      </c>
      <c r="F343" s="130"/>
      <c r="G343" s="135" t="str">
        <f>IF($F343&lt;&gt;"",$F343,IFERROR(_xlfn.XLOOKUP(ROW(),Taxa_Saknas!$H:$H,Taxa_Saknas!$G:$G),""))</f>
        <v/>
      </c>
      <c r="H343" s="144" t="str">
        <f>IF($F343&lt;&gt;"",IFERROR(_xlfn.XLOOKUP($F343,Taxa_från_edp!$B:$B,Taxa_från_edp!C:C),""),"")</f>
        <v/>
      </c>
      <c r="I343" s="145" t="str">
        <f>IF($F343&lt;&gt;"",IFERROR(_xlfn.XLOOKUP($F343,Taxa_från_edp!$B:$B,Taxa_från_edp!G:G),""),"")</f>
        <v/>
      </c>
      <c r="J343" s="145" t="str">
        <f>IF($F343&lt;&gt;"",IFERROR(_xlfn.XLOOKUP($F343,Taxa_från_edp!$B:$B,Taxa_från_edp!K:K),""),"")</f>
        <v/>
      </c>
      <c r="K343" s="150"/>
      <c r="L343" s="154"/>
      <c r="M343" s="156" t="str">
        <f t="shared" si="10"/>
        <v/>
      </c>
      <c r="N343" s="157" t="str">
        <f t="shared" si="11"/>
        <v/>
      </c>
    </row>
    <row r="344" spans="1:14" ht="30" customHeight="1" x14ac:dyDescent="0.25">
      <c r="A344" s="118" t="s">
        <v>317</v>
      </c>
      <c r="B344" s="118" t="s">
        <v>318</v>
      </c>
      <c r="C344" s="118" t="s">
        <v>454</v>
      </c>
      <c r="D344" s="118" t="s">
        <v>400</v>
      </c>
      <c r="E344" s="118" t="s">
        <v>348</v>
      </c>
      <c r="F344" s="130"/>
      <c r="G344" s="135" t="str">
        <f>IF($F344&lt;&gt;"",$F344,IFERROR(_xlfn.XLOOKUP(ROW(),Taxa_Saknas!$H:$H,Taxa_Saknas!$G:$G),""))</f>
        <v/>
      </c>
      <c r="H344" s="144" t="str">
        <f>IF($F344&lt;&gt;"",IFERROR(_xlfn.XLOOKUP($F344,Taxa_från_edp!$B:$B,Taxa_från_edp!C:C),""),"")</f>
        <v/>
      </c>
      <c r="I344" s="145" t="str">
        <f>IF($F344&lt;&gt;"",IFERROR(_xlfn.XLOOKUP($F344,Taxa_från_edp!$B:$B,Taxa_från_edp!G:G),""),"")</f>
        <v/>
      </c>
      <c r="J344" s="145" t="str">
        <f>IF($F344&lt;&gt;"",IFERROR(_xlfn.XLOOKUP($F344,Taxa_från_edp!$B:$B,Taxa_från_edp!K:K),""),"")</f>
        <v/>
      </c>
      <c r="K344" s="150"/>
      <c r="L344" s="154"/>
      <c r="M344" s="156" t="str">
        <f t="shared" si="10"/>
        <v/>
      </c>
      <c r="N344" s="157" t="str">
        <f t="shared" si="11"/>
        <v/>
      </c>
    </row>
    <row r="345" spans="1:14" ht="30" customHeight="1" x14ac:dyDescent="0.25">
      <c r="A345" s="118" t="s">
        <v>317</v>
      </c>
      <c r="B345" s="118" t="s">
        <v>318</v>
      </c>
      <c r="C345" s="118" t="s">
        <v>455</v>
      </c>
      <c r="D345" s="118"/>
      <c r="E345" s="118" t="s">
        <v>348</v>
      </c>
      <c r="F345" s="130"/>
      <c r="G345" s="135" t="str">
        <f>IF($F345&lt;&gt;"",$F345,IFERROR(_xlfn.XLOOKUP(ROW(),Taxa_Saknas!$H:$H,Taxa_Saknas!$G:$G),""))</f>
        <v/>
      </c>
      <c r="H345" s="144" t="str">
        <f>IF($F345&lt;&gt;"",IFERROR(_xlfn.XLOOKUP($F345,Taxa_från_edp!$B:$B,Taxa_från_edp!C:C),""),"")</f>
        <v/>
      </c>
      <c r="I345" s="145" t="str">
        <f>IF($F345&lt;&gt;"",IFERROR(_xlfn.XLOOKUP($F345,Taxa_från_edp!$B:$B,Taxa_från_edp!G:G),""),"")</f>
        <v/>
      </c>
      <c r="J345" s="145" t="str">
        <f>IF($F345&lt;&gt;"",IFERROR(_xlfn.XLOOKUP($F345,Taxa_från_edp!$B:$B,Taxa_från_edp!K:K),""),"")</f>
        <v/>
      </c>
      <c r="K345" s="150"/>
      <c r="L345" s="154"/>
      <c r="M345" s="156" t="str">
        <f t="shared" si="10"/>
        <v/>
      </c>
      <c r="N345" s="157" t="str">
        <f t="shared" si="11"/>
        <v/>
      </c>
    </row>
    <row r="346" spans="1:14" ht="30" customHeight="1" x14ac:dyDescent="0.25">
      <c r="A346" s="118" t="s">
        <v>317</v>
      </c>
      <c r="B346" s="118" t="s">
        <v>318</v>
      </c>
      <c r="C346" s="118" t="s">
        <v>456</v>
      </c>
      <c r="D346" s="118" t="s">
        <v>344</v>
      </c>
      <c r="E346" s="118" t="s">
        <v>348</v>
      </c>
      <c r="F346" s="130"/>
      <c r="G346" s="135" t="str">
        <f>IF($F346&lt;&gt;"",$F346,IFERROR(_xlfn.XLOOKUP(ROW(),Taxa_Saknas!$H:$H,Taxa_Saknas!$G:$G),""))</f>
        <v/>
      </c>
      <c r="H346" s="144" t="str">
        <f>IF($F346&lt;&gt;"",IFERROR(_xlfn.XLOOKUP($F346,Taxa_från_edp!$B:$B,Taxa_från_edp!C:C),""),"")</f>
        <v/>
      </c>
      <c r="I346" s="145" t="str">
        <f>IF($F346&lt;&gt;"",IFERROR(_xlfn.XLOOKUP($F346,Taxa_från_edp!$B:$B,Taxa_från_edp!G:G),""),"")</f>
        <v/>
      </c>
      <c r="J346" s="145" t="str">
        <f>IF($F346&lt;&gt;"",IFERROR(_xlfn.XLOOKUP($F346,Taxa_från_edp!$B:$B,Taxa_från_edp!K:K),""),"")</f>
        <v/>
      </c>
      <c r="K346" s="150"/>
      <c r="L346" s="154"/>
      <c r="M346" s="156" t="str">
        <f t="shared" si="10"/>
        <v/>
      </c>
      <c r="N346" s="157" t="str">
        <f t="shared" si="11"/>
        <v/>
      </c>
    </row>
    <row r="347" spans="1:14" ht="30" customHeight="1" x14ac:dyDescent="0.25">
      <c r="A347" s="118" t="s">
        <v>317</v>
      </c>
      <c r="B347" s="118" t="s">
        <v>318</v>
      </c>
      <c r="C347" s="118" t="s">
        <v>457</v>
      </c>
      <c r="D347" s="118" t="s">
        <v>458</v>
      </c>
      <c r="E347" s="118" t="s">
        <v>348</v>
      </c>
      <c r="F347" s="130"/>
      <c r="G347" s="135" t="str">
        <f>IF($F347&lt;&gt;"",$F347,IFERROR(_xlfn.XLOOKUP(ROW(),Taxa_Saknas!$H:$H,Taxa_Saknas!$G:$G),""))</f>
        <v/>
      </c>
      <c r="H347" s="144" t="str">
        <f>IF($F347&lt;&gt;"",IFERROR(_xlfn.XLOOKUP($F347,Taxa_från_edp!$B:$B,Taxa_från_edp!C:C),""),"")</f>
        <v/>
      </c>
      <c r="I347" s="145" t="str">
        <f>IF($F347&lt;&gt;"",IFERROR(_xlfn.XLOOKUP($F347,Taxa_från_edp!$B:$B,Taxa_från_edp!G:G),""),"")</f>
        <v/>
      </c>
      <c r="J347" s="145" t="str">
        <f>IF($F347&lt;&gt;"",IFERROR(_xlfn.XLOOKUP($F347,Taxa_från_edp!$B:$B,Taxa_från_edp!K:K),""),"")</f>
        <v/>
      </c>
      <c r="K347" s="150"/>
      <c r="L347" s="154"/>
      <c r="M347" s="156" t="str">
        <f t="shared" si="10"/>
        <v/>
      </c>
      <c r="N347" s="157" t="str">
        <f t="shared" si="11"/>
        <v/>
      </c>
    </row>
    <row r="348" spans="1:14" ht="30" customHeight="1" x14ac:dyDescent="0.25">
      <c r="A348" s="118" t="s">
        <v>317</v>
      </c>
      <c r="B348" s="118" t="s">
        <v>318</v>
      </c>
      <c r="C348" s="118" t="s">
        <v>459</v>
      </c>
      <c r="D348" s="118" t="s">
        <v>458</v>
      </c>
      <c r="E348" s="118" t="s">
        <v>348</v>
      </c>
      <c r="F348" s="130"/>
      <c r="G348" s="135" t="str">
        <f>IF($F348&lt;&gt;"",$F348,IFERROR(_xlfn.XLOOKUP(ROW(),Taxa_Saknas!$H:$H,Taxa_Saknas!$G:$G),""))</f>
        <v/>
      </c>
      <c r="H348" s="144" t="str">
        <f>IF($F348&lt;&gt;"",IFERROR(_xlfn.XLOOKUP($F348,Taxa_från_edp!$B:$B,Taxa_från_edp!C:C),""),"")</f>
        <v/>
      </c>
      <c r="I348" s="145" t="str">
        <f>IF($F348&lt;&gt;"",IFERROR(_xlfn.XLOOKUP($F348,Taxa_från_edp!$B:$B,Taxa_från_edp!G:G),""),"")</f>
        <v/>
      </c>
      <c r="J348" s="145" t="str">
        <f>IF($F348&lt;&gt;"",IFERROR(_xlfn.XLOOKUP($F348,Taxa_från_edp!$B:$B,Taxa_från_edp!K:K),""),"")</f>
        <v/>
      </c>
      <c r="K348" s="150"/>
      <c r="L348" s="154"/>
      <c r="M348" s="156" t="str">
        <f t="shared" si="10"/>
        <v/>
      </c>
      <c r="N348" s="157" t="str">
        <f t="shared" si="11"/>
        <v/>
      </c>
    </row>
    <row r="349" spans="1:14" ht="30" customHeight="1" x14ac:dyDescent="0.25">
      <c r="A349" s="118" t="s">
        <v>317</v>
      </c>
      <c r="B349" s="118" t="s">
        <v>318</v>
      </c>
      <c r="C349" s="118" t="s">
        <v>460</v>
      </c>
      <c r="D349" s="118"/>
      <c r="E349" s="118" t="s">
        <v>348</v>
      </c>
      <c r="F349" s="130"/>
      <c r="G349" s="135" t="str">
        <f>IF($F349&lt;&gt;"",$F349,IFERROR(_xlfn.XLOOKUP(ROW(),Taxa_Saknas!$H:$H,Taxa_Saknas!$G:$G),""))</f>
        <v/>
      </c>
      <c r="H349" s="144" t="str">
        <f>IF($F349&lt;&gt;"",IFERROR(_xlfn.XLOOKUP($F349,Taxa_från_edp!$B:$B,Taxa_från_edp!C:C),""),"")</f>
        <v/>
      </c>
      <c r="I349" s="145" t="str">
        <f>IF($F349&lt;&gt;"",IFERROR(_xlfn.XLOOKUP($F349,Taxa_från_edp!$B:$B,Taxa_från_edp!G:G),""),"")</f>
        <v/>
      </c>
      <c r="J349" s="145" t="str">
        <f>IF($F349&lt;&gt;"",IFERROR(_xlfn.XLOOKUP($F349,Taxa_från_edp!$B:$B,Taxa_från_edp!K:K),""),"")</f>
        <v/>
      </c>
      <c r="K349" s="150"/>
      <c r="L349" s="154"/>
      <c r="M349" s="156" t="str">
        <f t="shared" si="10"/>
        <v/>
      </c>
      <c r="N349" s="157" t="str">
        <f t="shared" si="11"/>
        <v/>
      </c>
    </row>
    <row r="350" spans="1:14" ht="30" customHeight="1" x14ac:dyDescent="0.25">
      <c r="A350" s="118" t="s">
        <v>317</v>
      </c>
      <c r="B350" s="118" t="s">
        <v>318</v>
      </c>
      <c r="C350" s="118" t="s">
        <v>461</v>
      </c>
      <c r="D350" s="118"/>
      <c r="E350" s="118" t="s">
        <v>348</v>
      </c>
      <c r="F350" s="130"/>
      <c r="G350" s="135" t="str">
        <f>IF($F350&lt;&gt;"",$F350,IFERROR(_xlfn.XLOOKUP(ROW(),Taxa_Saknas!$H:$H,Taxa_Saknas!$G:$G),""))</f>
        <v/>
      </c>
      <c r="H350" s="144" t="str">
        <f>IF($F350&lt;&gt;"",IFERROR(_xlfn.XLOOKUP($F350,Taxa_från_edp!$B:$B,Taxa_från_edp!C:C),""),"")</f>
        <v/>
      </c>
      <c r="I350" s="145" t="str">
        <f>IF($F350&lt;&gt;"",IFERROR(_xlfn.XLOOKUP($F350,Taxa_från_edp!$B:$B,Taxa_från_edp!G:G),""),"")</f>
        <v/>
      </c>
      <c r="J350" s="145" t="str">
        <f>IF($F350&lt;&gt;"",IFERROR(_xlfn.XLOOKUP($F350,Taxa_från_edp!$B:$B,Taxa_från_edp!K:K),""),"")</f>
        <v/>
      </c>
      <c r="K350" s="150"/>
      <c r="L350" s="154"/>
      <c r="M350" s="156" t="str">
        <f t="shared" si="10"/>
        <v/>
      </c>
      <c r="N350" s="157" t="str">
        <f t="shared" si="11"/>
        <v/>
      </c>
    </row>
    <row r="351" spans="1:14" ht="30" customHeight="1" x14ac:dyDescent="0.25">
      <c r="A351" s="118" t="s">
        <v>317</v>
      </c>
      <c r="B351" s="118" t="s">
        <v>318</v>
      </c>
      <c r="C351" s="118" t="s">
        <v>462</v>
      </c>
      <c r="D351" s="118"/>
      <c r="E351" s="118" t="s">
        <v>348</v>
      </c>
      <c r="F351" s="130"/>
      <c r="G351" s="135" t="str">
        <f>IF($F351&lt;&gt;"",$F351,IFERROR(_xlfn.XLOOKUP(ROW(),Taxa_Saknas!$H:$H,Taxa_Saknas!$G:$G),""))</f>
        <v/>
      </c>
      <c r="H351" s="144" t="str">
        <f>IF($F351&lt;&gt;"",IFERROR(_xlfn.XLOOKUP($F351,Taxa_från_edp!$B:$B,Taxa_från_edp!C:C),""),"")</f>
        <v/>
      </c>
      <c r="I351" s="145" t="str">
        <f>IF($F351&lt;&gt;"",IFERROR(_xlfn.XLOOKUP($F351,Taxa_från_edp!$B:$B,Taxa_från_edp!G:G),""),"")</f>
        <v/>
      </c>
      <c r="J351" s="145" t="str">
        <f>IF($F351&lt;&gt;"",IFERROR(_xlfn.XLOOKUP($F351,Taxa_från_edp!$B:$B,Taxa_från_edp!K:K),""),"")</f>
        <v/>
      </c>
      <c r="K351" s="150"/>
      <c r="L351" s="154"/>
      <c r="M351" s="156" t="str">
        <f t="shared" si="10"/>
        <v/>
      </c>
      <c r="N351" s="157" t="str">
        <f t="shared" si="11"/>
        <v/>
      </c>
    </row>
    <row r="352" spans="1:14" ht="30" customHeight="1" x14ac:dyDescent="0.25">
      <c r="A352" s="118" t="s">
        <v>317</v>
      </c>
      <c r="B352" s="118" t="s">
        <v>318</v>
      </c>
      <c r="C352" s="118" t="s">
        <v>463</v>
      </c>
      <c r="D352" s="118"/>
      <c r="E352" s="118" t="s">
        <v>229</v>
      </c>
      <c r="F352" s="130"/>
      <c r="G352" s="135" t="str">
        <f>IF($F352&lt;&gt;"",$F352,IFERROR(_xlfn.XLOOKUP(ROW(),Taxa_Saknas!$H:$H,Taxa_Saknas!$G:$G),""))</f>
        <v/>
      </c>
      <c r="H352" s="144" t="str">
        <f>IF($F352&lt;&gt;"",IFERROR(_xlfn.XLOOKUP($F352,Taxa_från_edp!$B:$B,Taxa_från_edp!C:C),""),"")</f>
        <v/>
      </c>
      <c r="I352" s="145" t="str">
        <f>IF($F352&lt;&gt;"",IFERROR(_xlfn.XLOOKUP($F352,Taxa_från_edp!$B:$B,Taxa_från_edp!G:G),""),"")</f>
        <v/>
      </c>
      <c r="J352" s="145" t="str">
        <f>IF($F352&lt;&gt;"",IFERROR(_xlfn.XLOOKUP($F352,Taxa_från_edp!$B:$B,Taxa_från_edp!K:K),""),"")</f>
        <v/>
      </c>
      <c r="K352" s="150"/>
      <c r="L352" s="154"/>
      <c r="M352" s="156" t="str">
        <f t="shared" si="10"/>
        <v/>
      </c>
      <c r="N352" s="157" t="str">
        <f t="shared" si="11"/>
        <v/>
      </c>
    </row>
    <row r="353" spans="1:14" ht="30" customHeight="1" x14ac:dyDescent="0.25">
      <c r="A353" s="118" t="s">
        <v>317</v>
      </c>
      <c r="B353" s="118" t="s">
        <v>318</v>
      </c>
      <c r="C353" s="118" t="s">
        <v>464</v>
      </c>
      <c r="D353" s="118"/>
      <c r="E353" s="118" t="s">
        <v>229</v>
      </c>
      <c r="F353" s="130"/>
      <c r="G353" s="135" t="str">
        <f>IF($F353&lt;&gt;"",$F353,IFERROR(_xlfn.XLOOKUP(ROW(),Taxa_Saknas!$H:$H,Taxa_Saknas!$G:$G),""))</f>
        <v/>
      </c>
      <c r="H353" s="144" t="str">
        <f>IF($F353&lt;&gt;"",IFERROR(_xlfn.XLOOKUP($F353,Taxa_från_edp!$B:$B,Taxa_från_edp!C:C),""),"")</f>
        <v/>
      </c>
      <c r="I353" s="145" t="str">
        <f>IF($F353&lt;&gt;"",IFERROR(_xlfn.XLOOKUP($F353,Taxa_från_edp!$B:$B,Taxa_från_edp!G:G),""),"")</f>
        <v/>
      </c>
      <c r="J353" s="145" t="str">
        <f>IF($F353&lt;&gt;"",IFERROR(_xlfn.XLOOKUP($F353,Taxa_från_edp!$B:$B,Taxa_från_edp!K:K),""),"")</f>
        <v/>
      </c>
      <c r="K353" s="150"/>
      <c r="L353" s="154"/>
      <c r="M353" s="156" t="str">
        <f t="shared" si="10"/>
        <v/>
      </c>
      <c r="N353" s="157" t="str">
        <f t="shared" si="11"/>
        <v/>
      </c>
    </row>
    <row r="354" spans="1:14" ht="30" customHeight="1" x14ac:dyDescent="0.25">
      <c r="A354" s="118" t="s">
        <v>317</v>
      </c>
      <c r="B354" s="118" t="s">
        <v>318</v>
      </c>
      <c r="C354" s="118" t="s">
        <v>465</v>
      </c>
      <c r="D354" s="118"/>
      <c r="E354" s="118" t="s">
        <v>229</v>
      </c>
      <c r="F354" s="130"/>
      <c r="G354" s="135" t="str">
        <f>IF($F354&lt;&gt;"",$F354,IFERROR(_xlfn.XLOOKUP(ROW(),Taxa_Saknas!$H:$H,Taxa_Saknas!$G:$G),""))</f>
        <v/>
      </c>
      <c r="H354" s="144" t="str">
        <f>IF($F354&lt;&gt;"",IFERROR(_xlfn.XLOOKUP($F354,Taxa_från_edp!$B:$B,Taxa_från_edp!C:C),""),"")</f>
        <v/>
      </c>
      <c r="I354" s="145" t="str">
        <f>IF($F354&lt;&gt;"",IFERROR(_xlfn.XLOOKUP($F354,Taxa_från_edp!$B:$B,Taxa_från_edp!G:G),""),"")</f>
        <v/>
      </c>
      <c r="J354" s="145" t="str">
        <f>IF($F354&lt;&gt;"",IFERROR(_xlfn.XLOOKUP($F354,Taxa_från_edp!$B:$B,Taxa_från_edp!K:K),""),"")</f>
        <v/>
      </c>
      <c r="K354" s="150"/>
      <c r="L354" s="154"/>
      <c r="M354" s="156" t="str">
        <f t="shared" si="10"/>
        <v/>
      </c>
      <c r="N354" s="157" t="str">
        <f t="shared" si="11"/>
        <v/>
      </c>
    </row>
    <row r="355" spans="1:14" ht="30" customHeight="1" x14ac:dyDescent="0.25">
      <c r="A355" s="118" t="s">
        <v>317</v>
      </c>
      <c r="B355" s="118" t="s">
        <v>318</v>
      </c>
      <c r="C355" s="118" t="s">
        <v>332</v>
      </c>
      <c r="D355" s="118"/>
      <c r="E355" s="118" t="s">
        <v>466</v>
      </c>
      <c r="F355" s="130"/>
      <c r="G355" s="135" t="str">
        <f>IF($F355&lt;&gt;"",$F355,IFERROR(_xlfn.XLOOKUP(ROW(),Taxa_Saknas!$H:$H,Taxa_Saknas!$G:$G),""))</f>
        <v/>
      </c>
      <c r="H355" s="144" t="str">
        <f>IF($F355&lt;&gt;"",IFERROR(_xlfn.XLOOKUP($F355,Taxa_från_edp!$B:$B,Taxa_från_edp!C:C),""),"")</f>
        <v/>
      </c>
      <c r="I355" s="145" t="str">
        <f>IF($F355&lt;&gt;"",IFERROR(_xlfn.XLOOKUP($F355,Taxa_från_edp!$B:$B,Taxa_från_edp!G:G),""),"")</f>
        <v/>
      </c>
      <c r="J355" s="145" t="str">
        <f>IF($F355&lt;&gt;"",IFERROR(_xlfn.XLOOKUP($F355,Taxa_från_edp!$B:$B,Taxa_från_edp!K:K),""),"")</f>
        <v/>
      </c>
      <c r="K355" s="150"/>
      <c r="L355" s="154"/>
      <c r="M355" s="156" t="str">
        <f t="shared" si="10"/>
        <v/>
      </c>
      <c r="N355" s="157" t="str">
        <f t="shared" si="11"/>
        <v/>
      </c>
    </row>
    <row r="356" spans="1:14" ht="30" customHeight="1" x14ac:dyDescent="0.25">
      <c r="A356" s="118" t="s">
        <v>317</v>
      </c>
      <c r="B356" s="118" t="s">
        <v>318</v>
      </c>
      <c r="C356" s="118" t="s">
        <v>333</v>
      </c>
      <c r="D356" s="118"/>
      <c r="E356" s="118" t="s">
        <v>466</v>
      </c>
      <c r="F356" s="130"/>
      <c r="G356" s="135" t="str">
        <f>IF($F356&lt;&gt;"",$F356,IFERROR(_xlfn.XLOOKUP(ROW(),Taxa_Saknas!$H:$H,Taxa_Saknas!$G:$G),""))</f>
        <v/>
      </c>
      <c r="H356" s="144" t="str">
        <f>IF($F356&lt;&gt;"",IFERROR(_xlfn.XLOOKUP($F356,Taxa_från_edp!$B:$B,Taxa_från_edp!C:C),""),"")</f>
        <v/>
      </c>
      <c r="I356" s="145" t="str">
        <f>IF($F356&lt;&gt;"",IFERROR(_xlfn.XLOOKUP($F356,Taxa_från_edp!$B:$B,Taxa_från_edp!G:G),""),"")</f>
        <v/>
      </c>
      <c r="J356" s="145" t="str">
        <f>IF($F356&lt;&gt;"",IFERROR(_xlfn.XLOOKUP($F356,Taxa_från_edp!$B:$B,Taxa_från_edp!K:K),""),"")</f>
        <v/>
      </c>
      <c r="K356" s="150"/>
      <c r="L356" s="154"/>
      <c r="M356" s="156" t="str">
        <f t="shared" si="10"/>
        <v/>
      </c>
      <c r="N356" s="157" t="str">
        <f t="shared" si="11"/>
        <v/>
      </c>
    </row>
    <row r="357" spans="1:14" ht="30" customHeight="1" x14ac:dyDescent="0.25">
      <c r="A357" s="118" t="s">
        <v>317</v>
      </c>
      <c r="B357" s="118" t="s">
        <v>318</v>
      </c>
      <c r="C357" s="118" t="s">
        <v>334</v>
      </c>
      <c r="D357" s="118"/>
      <c r="E357" s="118" t="s">
        <v>466</v>
      </c>
      <c r="F357" s="130"/>
      <c r="G357" s="135" t="str">
        <f>IF($F357&lt;&gt;"",$F357,IFERROR(_xlfn.XLOOKUP(ROW(),Taxa_Saknas!$H:$H,Taxa_Saknas!$G:$G),""))</f>
        <v/>
      </c>
      <c r="H357" s="144" t="str">
        <f>IF($F357&lt;&gt;"",IFERROR(_xlfn.XLOOKUP($F357,Taxa_från_edp!$B:$B,Taxa_från_edp!C:C),""),"")</f>
        <v/>
      </c>
      <c r="I357" s="145" t="str">
        <f>IF($F357&lt;&gt;"",IFERROR(_xlfn.XLOOKUP($F357,Taxa_från_edp!$B:$B,Taxa_från_edp!G:G),""),"")</f>
        <v/>
      </c>
      <c r="J357" s="145" t="str">
        <f>IF($F357&lt;&gt;"",IFERROR(_xlfn.XLOOKUP($F357,Taxa_från_edp!$B:$B,Taxa_från_edp!K:K),""),"")</f>
        <v/>
      </c>
      <c r="K357" s="150"/>
      <c r="L357" s="154"/>
      <c r="M357" s="156" t="str">
        <f t="shared" si="10"/>
        <v/>
      </c>
      <c r="N357" s="157" t="str">
        <f t="shared" si="11"/>
        <v/>
      </c>
    </row>
    <row r="358" spans="1:14" ht="30" customHeight="1" x14ac:dyDescent="0.25">
      <c r="A358" s="118" t="s">
        <v>317</v>
      </c>
      <c r="B358" s="118" t="s">
        <v>318</v>
      </c>
      <c r="C358" s="118" t="s">
        <v>335</v>
      </c>
      <c r="D358" s="118"/>
      <c r="E358" s="118" t="s">
        <v>466</v>
      </c>
      <c r="F358" s="130"/>
      <c r="G358" s="135" t="str">
        <f>IF($F358&lt;&gt;"",$F358,IFERROR(_xlfn.XLOOKUP(ROW(),Taxa_Saknas!$H:$H,Taxa_Saknas!$G:$G),""))</f>
        <v/>
      </c>
      <c r="H358" s="144" t="str">
        <f>IF($F358&lt;&gt;"",IFERROR(_xlfn.XLOOKUP($F358,Taxa_från_edp!$B:$B,Taxa_från_edp!C:C),""),"")</f>
        <v/>
      </c>
      <c r="I358" s="145" t="str">
        <f>IF($F358&lt;&gt;"",IFERROR(_xlfn.XLOOKUP($F358,Taxa_från_edp!$B:$B,Taxa_från_edp!G:G),""),"")</f>
        <v/>
      </c>
      <c r="J358" s="145" t="str">
        <f>IF($F358&lt;&gt;"",IFERROR(_xlfn.XLOOKUP($F358,Taxa_från_edp!$B:$B,Taxa_från_edp!K:K),""),"")</f>
        <v/>
      </c>
      <c r="K358" s="150"/>
      <c r="L358" s="154"/>
      <c r="M358" s="156" t="str">
        <f t="shared" si="10"/>
        <v/>
      </c>
      <c r="N358" s="157" t="str">
        <f t="shared" si="11"/>
        <v/>
      </c>
    </row>
    <row r="359" spans="1:14" ht="30" x14ac:dyDescent="0.25">
      <c r="A359" s="118" t="s">
        <v>317</v>
      </c>
      <c r="B359" s="118" t="s">
        <v>318</v>
      </c>
      <c r="C359" s="118" t="s">
        <v>336</v>
      </c>
      <c r="D359" s="118"/>
      <c r="E359" s="118" t="s">
        <v>466</v>
      </c>
      <c r="F359" s="131"/>
      <c r="G359" s="136" t="str">
        <f>IF($F359&lt;&gt;"",$F359,IFERROR(_xlfn.XLOOKUP(ROW(),Taxa_Saknas!$H:$H,Taxa_Saknas!$G:$G),""))</f>
        <v/>
      </c>
      <c r="H359" s="146" t="str">
        <f>IF($F359&lt;&gt;"",IFERROR(_xlfn.XLOOKUP($F359,Taxa_från_edp!$B:$B,Taxa_från_edp!C:C),""),"")</f>
        <v/>
      </c>
      <c r="I359" s="147" t="str">
        <f>IF($F359&lt;&gt;"",IFERROR(_xlfn.XLOOKUP($F359,Taxa_från_edp!$B:$B,Taxa_från_edp!G:G),""),"")</f>
        <v/>
      </c>
      <c r="J359" s="147" t="str">
        <f>IF($F359&lt;&gt;"",IFERROR(_xlfn.XLOOKUP($F359,Taxa_från_edp!$B:$B,Taxa_från_edp!K:K),""),"")</f>
        <v/>
      </c>
      <c r="K359" s="151"/>
      <c r="L359" s="155"/>
      <c r="M359" s="156" t="str">
        <f t="shared" si="10"/>
        <v/>
      </c>
      <c r="N359" s="157" t="str">
        <f t="shared" si="11"/>
        <v/>
      </c>
    </row>
    <row r="360" spans="1:14" ht="30" customHeight="1" x14ac:dyDescent="0.25">
      <c r="A360" s="118" t="s">
        <v>317</v>
      </c>
      <c r="B360" s="118" t="s">
        <v>318</v>
      </c>
      <c r="C360" s="118" t="s">
        <v>337</v>
      </c>
      <c r="D360" s="118"/>
      <c r="E360" s="118" t="s">
        <v>466</v>
      </c>
      <c r="F360" s="131"/>
      <c r="G360" s="136" t="str">
        <f>IF($F360&lt;&gt;"",$F360,IFERROR(_xlfn.XLOOKUP(ROW(),Taxa_Saknas!$H:$H,Taxa_Saknas!$G:$G),""))</f>
        <v/>
      </c>
      <c r="H360" s="146" t="str">
        <f>IF($F360&lt;&gt;"",IFERROR(_xlfn.XLOOKUP($F360,Taxa_från_edp!$B:$B,Taxa_från_edp!C:C),""),"")</f>
        <v/>
      </c>
      <c r="I360" s="147" t="str">
        <f>IF($F360&lt;&gt;"",IFERROR(_xlfn.XLOOKUP($F360,Taxa_från_edp!$B:$B,Taxa_från_edp!G:G),""),"")</f>
        <v/>
      </c>
      <c r="J360" s="147" t="str">
        <f>IF($F360&lt;&gt;"",IFERROR(_xlfn.XLOOKUP($F360,Taxa_från_edp!$B:$B,Taxa_från_edp!K:K),""),"")</f>
        <v/>
      </c>
      <c r="K360" s="151"/>
      <c r="L360" s="155"/>
      <c r="M360" s="156" t="str">
        <f t="shared" si="10"/>
        <v/>
      </c>
      <c r="N360" s="157" t="str">
        <f t="shared" si="11"/>
        <v/>
      </c>
    </row>
    <row r="361" spans="1:14" ht="30" x14ac:dyDescent="0.25">
      <c r="A361" s="118" t="s">
        <v>317</v>
      </c>
      <c r="B361" s="118" t="s">
        <v>318</v>
      </c>
      <c r="C361" s="118" t="s">
        <v>341</v>
      </c>
      <c r="D361" s="118"/>
      <c r="E361" s="118" t="s">
        <v>466</v>
      </c>
      <c r="F361" s="130"/>
      <c r="G361" s="135" t="str">
        <f>IF($F361&lt;&gt;"",$F361,IFERROR(_xlfn.XLOOKUP(ROW(),Taxa_Saknas!$H:$H,Taxa_Saknas!$G:$G),""))</f>
        <v/>
      </c>
      <c r="H361" s="144" t="str">
        <f>IF($F361&lt;&gt;"",IFERROR(_xlfn.XLOOKUP($F361,Taxa_från_edp!$B:$B,Taxa_från_edp!C:C),""),"")</f>
        <v/>
      </c>
      <c r="I361" s="145" t="str">
        <f>IF($F361&lt;&gt;"",IFERROR(_xlfn.XLOOKUP($F361,Taxa_från_edp!$B:$B,Taxa_från_edp!G:G),""),"")</f>
        <v/>
      </c>
      <c r="J361" s="145" t="str">
        <f>IF($F361&lt;&gt;"",IFERROR(_xlfn.XLOOKUP($F361,Taxa_från_edp!$B:$B,Taxa_från_edp!K:K),""),"")</f>
        <v/>
      </c>
      <c r="K361" s="150"/>
      <c r="L361" s="154"/>
      <c r="M361" s="156" t="str">
        <f t="shared" si="10"/>
        <v/>
      </c>
      <c r="N361" s="157" t="str">
        <f t="shared" si="11"/>
        <v/>
      </c>
    </row>
    <row r="362" spans="1:14" ht="21.95" customHeight="1" x14ac:dyDescent="0.25">
      <c r="A362" s="183" t="s">
        <v>317</v>
      </c>
      <c r="B362" s="184"/>
      <c r="C362" s="184"/>
      <c r="D362" s="184"/>
      <c r="E362" s="185"/>
      <c r="F362" s="121"/>
      <c r="G362" s="125" t="str">
        <f>IF($F362&lt;&gt;"",$F362,IFERROR(_xlfn.XLOOKUP(ROW(),Taxa_Saknas!$H:$H,Taxa_Saknas!$G:$G),""))</f>
        <v/>
      </c>
      <c r="H362" s="125" t="str">
        <f>IF($F362&lt;&gt;"",IFERROR(_xlfn.XLOOKUP($F362,Taxa_från_edp!$B:$B,Taxa_från_edp!C:C),""),"")</f>
        <v/>
      </c>
      <c r="I362" s="126" t="str">
        <f>IF($F362&lt;&gt;"",IFERROR(_xlfn.XLOOKUP($F362,Taxa_från_edp!$B:$B,Taxa_från_edp!G:G),""),"")</f>
        <v/>
      </c>
      <c r="J362" s="126" t="str">
        <f>IF($F362&lt;&gt;"",IFERROR(_xlfn.XLOOKUP($F362,Taxa_från_edp!$B:$B,Taxa_från_edp!K:K),""),"")</f>
        <v/>
      </c>
      <c r="K362" s="126"/>
      <c r="L362" s="126"/>
      <c r="M362" s="122" t="str">
        <f t="shared" si="10"/>
        <v/>
      </c>
      <c r="N362" s="123" t="str">
        <f t="shared" si="11"/>
        <v/>
      </c>
    </row>
    <row r="363" spans="1:14" ht="21.95" customHeight="1" x14ac:dyDescent="0.25">
      <c r="A363" s="183" t="s">
        <v>467</v>
      </c>
      <c r="B363" s="184"/>
      <c r="C363" s="184"/>
      <c r="D363" s="184"/>
      <c r="E363" s="185"/>
      <c r="F363" s="121"/>
      <c r="G363" s="125" t="str">
        <f>IF($F363&lt;&gt;"",$F363,IFERROR(_xlfn.XLOOKUP(ROW(),Taxa_Saknas!$H:$H,Taxa_Saknas!$G:$G),""))</f>
        <v/>
      </c>
      <c r="H363" s="125" t="str">
        <f>IF($F363&lt;&gt;"",IFERROR(_xlfn.XLOOKUP($F363,Taxa_från_edp!$B:$B,Taxa_från_edp!C:C),""),"")</f>
        <v/>
      </c>
      <c r="I363" s="126" t="str">
        <f>IF($F363&lt;&gt;"",IFERROR(_xlfn.XLOOKUP($F363,Taxa_från_edp!$B:$B,Taxa_från_edp!G:G),""),"")</f>
        <v/>
      </c>
      <c r="J363" s="126" t="str">
        <f>IF($F363&lt;&gt;"",IFERROR(_xlfn.XLOOKUP($F363,Taxa_från_edp!$B:$B,Taxa_från_edp!K:K),""),"")</f>
        <v/>
      </c>
      <c r="K363" s="126"/>
      <c r="L363" s="126"/>
      <c r="M363" s="122" t="str">
        <f t="shared" si="10"/>
        <v/>
      </c>
      <c r="N363" s="123" t="str">
        <f t="shared" si="11"/>
        <v/>
      </c>
    </row>
    <row r="364" spans="1:14" x14ac:dyDescent="0.25">
      <c r="A364" s="118" t="s">
        <v>468</v>
      </c>
      <c r="B364" s="118" t="s">
        <v>469</v>
      </c>
      <c r="C364" s="118" t="s">
        <v>470</v>
      </c>
      <c r="D364" s="118"/>
      <c r="E364" s="118" t="s">
        <v>471</v>
      </c>
      <c r="F364" s="131"/>
      <c r="G364" s="136" t="str">
        <f>IF($F364&lt;&gt;"",$F364,IFERROR(_xlfn.XLOOKUP(ROW(),Taxa_Saknas!$H:$H,Taxa_Saknas!$G:$G),""))</f>
        <v/>
      </c>
      <c r="H364" s="146" t="str">
        <f>IF($F364&lt;&gt;"",IFERROR(_xlfn.XLOOKUP($F364,Taxa_från_edp!$B:$B,Taxa_från_edp!C:C),""),"")</f>
        <v/>
      </c>
      <c r="I364" s="147" t="str">
        <f>IF($F364&lt;&gt;"",IFERROR(_xlfn.XLOOKUP($F364,Taxa_från_edp!$B:$B,Taxa_från_edp!G:G),""),"")</f>
        <v/>
      </c>
      <c r="J364" s="147" t="str">
        <f>IF($F364&lt;&gt;"",IFERROR(_xlfn.XLOOKUP($F364,Taxa_från_edp!$B:$B,Taxa_från_edp!K:K),""),"")</f>
        <v/>
      </c>
      <c r="K364" s="151"/>
      <c r="L364" s="155"/>
      <c r="M364" s="156" t="str">
        <f t="shared" si="10"/>
        <v/>
      </c>
      <c r="N364" s="157" t="str">
        <f t="shared" si="11"/>
        <v/>
      </c>
    </row>
    <row r="365" spans="1:14" ht="45" customHeight="1" x14ac:dyDescent="0.25">
      <c r="A365" s="118" t="s">
        <v>468</v>
      </c>
      <c r="B365" s="118" t="s">
        <v>469</v>
      </c>
      <c r="C365" s="118" t="s">
        <v>472</v>
      </c>
      <c r="D365" s="118"/>
      <c r="E365" s="118" t="s">
        <v>471</v>
      </c>
      <c r="F365" s="131"/>
      <c r="G365" s="136" t="str">
        <f>IF($F365&lt;&gt;"",$F365,IFERROR(_xlfn.XLOOKUP(ROW(),Taxa_Saknas!$H:$H,Taxa_Saknas!$G:$G),""))</f>
        <v/>
      </c>
      <c r="H365" s="146" t="str">
        <f>IF($F365&lt;&gt;"",IFERROR(_xlfn.XLOOKUP($F365,Taxa_från_edp!$B:$B,Taxa_från_edp!C:C),""),"")</f>
        <v/>
      </c>
      <c r="I365" s="147" t="str">
        <f>IF($F365&lt;&gt;"",IFERROR(_xlfn.XLOOKUP($F365,Taxa_från_edp!$B:$B,Taxa_från_edp!G:G),""),"")</f>
        <v/>
      </c>
      <c r="J365" s="147" t="str">
        <f>IF($F365&lt;&gt;"",IFERROR(_xlfn.XLOOKUP($F365,Taxa_från_edp!$B:$B,Taxa_från_edp!K:K),""),"")</f>
        <v/>
      </c>
      <c r="K365" s="151"/>
      <c r="L365" s="155"/>
      <c r="M365" s="156" t="str">
        <f t="shared" si="10"/>
        <v/>
      </c>
      <c r="N365" s="157" t="str">
        <f t="shared" si="11"/>
        <v/>
      </c>
    </row>
    <row r="366" spans="1:14" x14ac:dyDescent="0.25">
      <c r="A366" s="118" t="s">
        <v>468</v>
      </c>
      <c r="B366" s="118" t="s">
        <v>469</v>
      </c>
      <c r="C366" s="118" t="s">
        <v>473</v>
      </c>
      <c r="D366" s="118"/>
      <c r="E366" s="118" t="s">
        <v>471</v>
      </c>
      <c r="F366" s="130"/>
      <c r="G366" s="135" t="str">
        <f>IF($F366&lt;&gt;"",$F366,IFERROR(_xlfn.XLOOKUP(ROW(),Taxa_Saknas!$H:$H,Taxa_Saknas!$G:$G),""))</f>
        <v/>
      </c>
      <c r="H366" s="144" t="str">
        <f>IF($F366&lt;&gt;"",IFERROR(_xlfn.XLOOKUP($F366,Taxa_från_edp!$B:$B,Taxa_från_edp!C:C),""),"")</f>
        <v/>
      </c>
      <c r="I366" s="145" t="str">
        <f>IF($F366&lt;&gt;"",IFERROR(_xlfn.XLOOKUP($F366,Taxa_från_edp!$B:$B,Taxa_från_edp!G:G),""),"")</f>
        <v/>
      </c>
      <c r="J366" s="145" t="str">
        <f>IF($F366&lt;&gt;"",IFERROR(_xlfn.XLOOKUP($F366,Taxa_från_edp!$B:$B,Taxa_från_edp!K:K),""),"")</f>
        <v/>
      </c>
      <c r="K366" s="150"/>
      <c r="L366" s="154"/>
      <c r="M366" s="156" t="str">
        <f t="shared" si="10"/>
        <v/>
      </c>
      <c r="N366" s="157" t="str">
        <f t="shared" si="11"/>
        <v/>
      </c>
    </row>
    <row r="367" spans="1:14" ht="21.95" customHeight="1" x14ac:dyDescent="0.25">
      <c r="A367" s="183" t="s">
        <v>468</v>
      </c>
      <c r="B367" s="184"/>
      <c r="C367" s="184"/>
      <c r="D367" s="184"/>
      <c r="E367" s="185"/>
      <c r="F367" s="121"/>
      <c r="G367" s="125" t="str">
        <f>IF($F367&lt;&gt;"",$F367,IFERROR(_xlfn.XLOOKUP(ROW(),Taxa_Saknas!$H:$H,Taxa_Saknas!$G:$G),""))</f>
        <v/>
      </c>
      <c r="H367" s="125" t="str">
        <f>IF($F367&lt;&gt;"",IFERROR(_xlfn.XLOOKUP($F367,Taxa_från_edp!$B:$B,Taxa_från_edp!C:C),""),"")</f>
        <v/>
      </c>
      <c r="I367" s="126" t="str">
        <f>IF($F367&lt;&gt;"",IFERROR(_xlfn.XLOOKUP($F367,Taxa_från_edp!$B:$B,Taxa_från_edp!G:G),""),"")</f>
        <v/>
      </c>
      <c r="J367" s="126" t="str">
        <f>IF($F367&lt;&gt;"",IFERROR(_xlfn.XLOOKUP($F367,Taxa_från_edp!$B:$B,Taxa_från_edp!K:K),""),"")</f>
        <v/>
      </c>
      <c r="K367" s="126"/>
      <c r="L367" s="126"/>
      <c r="M367" s="122" t="str">
        <f t="shared" si="10"/>
        <v/>
      </c>
      <c r="N367" s="123" t="str">
        <f t="shared" si="11"/>
        <v/>
      </c>
    </row>
    <row r="368" spans="1:14" ht="21.95" customHeight="1" x14ac:dyDescent="0.25">
      <c r="A368" s="192" t="s">
        <v>474</v>
      </c>
      <c r="B368" s="184"/>
      <c r="C368" s="184"/>
      <c r="D368" s="184"/>
      <c r="E368" s="185"/>
      <c r="F368" s="124"/>
      <c r="G368" s="122" t="str">
        <f>IF($F368&lt;&gt;"",$F368,IFERROR(_xlfn.XLOOKUP(ROW(),Taxa_Saknas!$H:$H,Taxa_Saknas!$G:$G),""))</f>
        <v/>
      </c>
      <c r="H368" s="122" t="str">
        <f>IF($F368&lt;&gt;"",IFERROR(_xlfn.XLOOKUP($F368,Taxa_från_edp!$B:$B,Taxa_från_edp!C:C),""),"")</f>
        <v/>
      </c>
      <c r="I368" s="122" t="str">
        <f>IF($F368&lt;&gt;"",IFERROR(_xlfn.XLOOKUP($F368,Taxa_från_edp!$B:$B,Taxa_från_edp!G:G),""),"")</f>
        <v/>
      </c>
      <c r="J368" s="122" t="str">
        <f>IF($F368&lt;&gt;"",IFERROR(_xlfn.XLOOKUP($F368,Taxa_från_edp!$B:$B,Taxa_från_edp!K:K),""),"")</f>
        <v/>
      </c>
      <c r="K368" s="122"/>
      <c r="L368" s="122"/>
      <c r="M368" s="122" t="str">
        <f t="shared" si="10"/>
        <v/>
      </c>
      <c r="N368" s="123" t="str">
        <f t="shared" si="11"/>
        <v/>
      </c>
    </row>
    <row r="369" spans="1:14" x14ac:dyDescent="0.25">
      <c r="A369" s="120" t="s">
        <v>475</v>
      </c>
      <c r="B369" s="120" t="s">
        <v>476</v>
      </c>
      <c r="C369" s="120" t="s">
        <v>465</v>
      </c>
      <c r="D369" s="120"/>
      <c r="E369" s="120" t="s">
        <v>74</v>
      </c>
      <c r="F369" s="128"/>
      <c r="G369" s="133" t="str">
        <f>IF($F369&lt;&gt;"",$F369,IFERROR(_xlfn.XLOOKUP(ROW(),Taxa_Saknas!$H:$H,Taxa_Saknas!$G:$G),""))</f>
        <v/>
      </c>
      <c r="H369" s="140" t="str">
        <f>IF($F369&lt;&gt;"",IFERROR(_xlfn.XLOOKUP($F369,Taxa_från_edp!$B:$B,Taxa_från_edp!C:C),""),"")</f>
        <v/>
      </c>
      <c r="I369" s="140" t="str">
        <f>IF($F369&lt;&gt;"",IFERROR(_xlfn.XLOOKUP($F369,Taxa_från_edp!$B:$B,Taxa_från_edp!G:G),""),"")</f>
        <v/>
      </c>
      <c r="J369" s="140" t="str">
        <f>IF($F369&lt;&gt;"",IFERROR(_xlfn.XLOOKUP($F369,Taxa_från_edp!$B:$B,Taxa_från_edp!K:K),""),"")</f>
        <v/>
      </c>
      <c r="K369" s="133"/>
      <c r="L369" s="128"/>
      <c r="M369" s="156" t="str">
        <f t="shared" si="10"/>
        <v/>
      </c>
      <c r="N369" s="157" t="str">
        <f t="shared" si="11"/>
        <v/>
      </c>
    </row>
    <row r="370" spans="1:14" ht="21.95" customHeight="1" x14ac:dyDescent="0.25">
      <c r="A370" s="192" t="s">
        <v>475</v>
      </c>
      <c r="B370" s="184"/>
      <c r="C370" s="184"/>
      <c r="D370" s="184"/>
      <c r="E370" s="185"/>
      <c r="F370" s="124"/>
      <c r="G370" s="122" t="str">
        <f>IF($F370&lt;&gt;"",$F370,IFERROR(_xlfn.XLOOKUP(ROW(),Taxa_Saknas!$H:$H,Taxa_Saknas!$G:$G),""))</f>
        <v/>
      </c>
      <c r="H370" s="122" t="str">
        <f>IF($F370&lt;&gt;"",IFERROR(_xlfn.XLOOKUP($F370,Taxa_från_edp!$B:$B,Taxa_från_edp!C:C),""),"")</f>
        <v/>
      </c>
      <c r="I370" s="122" t="str">
        <f>IF($F370&lt;&gt;"",IFERROR(_xlfn.XLOOKUP($F370,Taxa_från_edp!$B:$B,Taxa_från_edp!G:G),""),"")</f>
        <v/>
      </c>
      <c r="J370" s="122" t="str">
        <f>IF($F370&lt;&gt;"",IFERROR(_xlfn.XLOOKUP($F370,Taxa_från_edp!$B:$B,Taxa_från_edp!K:K),""),"")</f>
        <v/>
      </c>
      <c r="K370" s="122"/>
      <c r="L370" s="122"/>
      <c r="M370" s="122" t="str">
        <f t="shared" si="10"/>
        <v/>
      </c>
      <c r="N370" s="123" t="str">
        <f t="shared" si="11"/>
        <v/>
      </c>
    </row>
    <row r="371" spans="1:14" x14ac:dyDescent="0.25">
      <c r="A371" s="182" t="s">
        <v>57</v>
      </c>
      <c r="B371" s="182" t="s">
        <v>58</v>
      </c>
      <c r="C371" s="182" t="s">
        <v>53</v>
      </c>
      <c r="D371" s="182" t="s">
        <v>51</v>
      </c>
      <c r="E371" s="182" t="s">
        <v>27</v>
      </c>
      <c r="F371" s="128" t="s">
        <v>477</v>
      </c>
      <c r="G371" s="133" t="str">
        <f>IF($F371&lt;&gt;"",$F371,IFERROR(_xlfn.XLOOKUP(ROW(),Taxa_Saknas!$H:$H,Taxa_Saknas!$G:$G),""))</f>
        <v>KÄ190XRM12FRI</v>
      </c>
      <c r="H371" s="140" t="str">
        <f>IF($F371&lt;&gt;"",IFERROR(_xlfn.XLOOKUP($F371,Taxa_från_edp!$B:$B,Taxa_från_edp!C:C),""),"")</f>
        <v/>
      </c>
      <c r="I371" s="140" t="str">
        <f>IF($F371&lt;&gt;"",IFERROR(_xlfn.XLOOKUP($F371,Taxa_från_edp!$B:$B,Taxa_från_edp!G:G),""),"")</f>
        <v/>
      </c>
      <c r="J371" s="140" t="str">
        <f>IF($F371&lt;&gt;"",IFERROR(_xlfn.XLOOKUP($F371,Taxa_från_edp!$B:$B,Taxa_från_edp!K:K),""),"")</f>
        <v/>
      </c>
      <c r="K371" s="133"/>
      <c r="L371" s="128"/>
      <c r="M371" s="156" t="str">
        <f t="shared" si="10"/>
        <v/>
      </c>
      <c r="N371" s="157" t="str">
        <f t="shared" si="11"/>
        <v/>
      </c>
    </row>
    <row r="372" spans="1:14" x14ac:dyDescent="0.25">
      <c r="A372" s="182" t="s">
        <v>66</v>
      </c>
      <c r="B372" s="182" t="s">
        <v>67</v>
      </c>
      <c r="C372" s="182" t="s">
        <v>68</v>
      </c>
      <c r="D372" s="182"/>
      <c r="E372" s="182" t="s">
        <v>27</v>
      </c>
      <c r="F372" s="128" t="s">
        <v>478</v>
      </c>
      <c r="G372" s="133" t="str">
        <f>IF($F372&lt;&gt;"",$F372,IFERROR(_xlfn.XLOOKUP(ROW(),Taxa_Saknas!$H:$H,Taxa_Saknas!$G:$G),""))</f>
        <v>GEMUPPMR</v>
      </c>
      <c r="H372" s="140" t="str">
        <f>IF($F372&lt;&gt;"",IFERROR(_xlfn.XLOOKUP($F372,Taxa_från_edp!$B:$B,Taxa_från_edp!C:C),""),"")</f>
        <v/>
      </c>
      <c r="I372" s="140" t="str">
        <f>IF($F372&lt;&gt;"",IFERROR(_xlfn.XLOOKUP($F372,Taxa_från_edp!$B:$B,Taxa_från_edp!G:G),""),"")</f>
        <v/>
      </c>
      <c r="J372" s="140" t="str">
        <f>IF($F372&lt;&gt;"",IFERROR(_xlfn.XLOOKUP($F372,Taxa_från_edp!$B:$B,Taxa_från_edp!K:K),""),"")</f>
        <v/>
      </c>
      <c r="K372" s="133"/>
      <c r="L372" s="128"/>
      <c r="M372" s="156" t="str">
        <f t="shared" si="10"/>
        <v/>
      </c>
      <c r="N372" s="157" t="str">
        <f t="shared" si="11"/>
        <v/>
      </c>
    </row>
    <row r="373" spans="1:14" x14ac:dyDescent="0.25">
      <c r="A373" s="182" t="s">
        <v>66</v>
      </c>
      <c r="B373" s="182" t="s">
        <v>67</v>
      </c>
      <c r="C373" s="182" t="s">
        <v>71</v>
      </c>
      <c r="D373" s="182"/>
      <c r="E373" s="182" t="s">
        <v>27</v>
      </c>
      <c r="F373" s="128" t="s">
        <v>479</v>
      </c>
      <c r="G373" s="133" t="str">
        <f>IF($F373&lt;&gt;"",$F373,IFERROR(_xlfn.XLOOKUP(ROW(),Taxa_Saknas!$H:$H,Taxa_Saknas!$G:$G),""))</f>
        <v>GEMUPPEXTRA</v>
      </c>
      <c r="H373" s="140" t="str">
        <f>IF($F373&lt;&gt;"",IFERROR(_xlfn.XLOOKUP($F373,Taxa_från_edp!$B:$B,Taxa_från_edp!C:C),""),"")</f>
        <v/>
      </c>
      <c r="I373" s="140" t="str">
        <f>IF($F373&lt;&gt;"",IFERROR(_xlfn.XLOOKUP($F373,Taxa_från_edp!$B:$B,Taxa_från_edp!G:G),""),"")</f>
        <v/>
      </c>
      <c r="J373" s="140" t="str">
        <f>IF($F373&lt;&gt;"",IFERROR(_xlfn.XLOOKUP($F373,Taxa_från_edp!$B:$B,Taxa_från_edp!K:K),""),"")</f>
        <v/>
      </c>
      <c r="K373" s="133"/>
      <c r="L373" s="128"/>
      <c r="M373" s="156" t="str">
        <f t="shared" si="10"/>
        <v/>
      </c>
      <c r="N373" s="157" t="str">
        <f t="shared" si="11"/>
        <v/>
      </c>
    </row>
    <row r="374" spans="1:14" x14ac:dyDescent="0.25">
      <c r="A374" s="182" t="s">
        <v>66</v>
      </c>
      <c r="B374" s="182" t="s">
        <v>67</v>
      </c>
      <c r="C374" s="182" t="s">
        <v>73</v>
      </c>
      <c r="D374" s="182"/>
      <c r="E374" s="182" t="s">
        <v>27</v>
      </c>
      <c r="F374" s="128" t="s">
        <v>480</v>
      </c>
      <c r="G374" s="133" t="str">
        <f>IF($F374&lt;&gt;"",$F374,IFERROR(_xlfn.XLOOKUP(ROW(),Taxa_Saknas!$H:$H,Taxa_Saknas!$G:$G),""))</f>
        <v>GEMUPPFOB</v>
      </c>
      <c r="H374" s="140" t="str">
        <f>IF($F374&lt;&gt;"",IFERROR(_xlfn.XLOOKUP($F374,Taxa_från_edp!$B:$B,Taxa_från_edp!C:C),""),"")</f>
        <v/>
      </c>
      <c r="I374" s="140" t="str">
        <f>IF($F374&lt;&gt;"",IFERROR(_xlfn.XLOOKUP($F374,Taxa_från_edp!$B:$B,Taxa_från_edp!G:G),""),"")</f>
        <v/>
      </c>
      <c r="J374" s="140" t="str">
        <f>IF($F374&lt;&gt;"",IFERROR(_xlfn.XLOOKUP($F374,Taxa_från_edp!$B:$B,Taxa_från_edp!K:K),""),"")</f>
        <v/>
      </c>
      <c r="K374" s="133"/>
      <c r="L374" s="128"/>
      <c r="M374" s="156" t="str">
        <f t="shared" si="10"/>
        <v/>
      </c>
      <c r="N374" s="157" t="str">
        <f t="shared" si="11"/>
        <v/>
      </c>
    </row>
    <row r="375" spans="1:14" x14ac:dyDescent="0.25">
      <c r="A375" s="182" t="s">
        <v>130</v>
      </c>
      <c r="B375" s="182" t="s">
        <v>131</v>
      </c>
      <c r="C375" s="182" t="s">
        <v>134</v>
      </c>
      <c r="D375" s="182" t="s">
        <v>120</v>
      </c>
      <c r="E375" s="182" t="s">
        <v>27</v>
      </c>
      <c r="F375" s="128" t="s">
        <v>481</v>
      </c>
      <c r="G375" s="133" t="str">
        <f>IF($F375&lt;&gt;"",$F375,IFERROR(_xlfn.XLOOKUP(ROW(),Taxa_Saknas!$H:$H,Taxa_Saknas!$G:$G),""))</f>
        <v>MBRMFV</v>
      </c>
      <c r="H375" s="140" t="str">
        <f>IF($F375&lt;&gt;"",IFERROR(_xlfn.XLOOKUP($F375,Taxa_från_edp!$B:$B,Taxa_från_edp!C:C),""),"")</f>
        <v/>
      </c>
      <c r="I375" s="140" t="str">
        <f>IF($F375&lt;&gt;"",IFERROR(_xlfn.XLOOKUP($F375,Taxa_från_edp!$B:$B,Taxa_från_edp!G:G),""),"")</f>
        <v/>
      </c>
      <c r="J375" s="140" t="str">
        <f>IF($F375&lt;&gt;"",IFERROR(_xlfn.XLOOKUP($F375,Taxa_från_edp!$B:$B,Taxa_från_edp!K:K),""),"")</f>
        <v/>
      </c>
      <c r="K375" s="133"/>
      <c r="L375" s="128"/>
      <c r="M375" s="156" t="str">
        <f t="shared" si="10"/>
        <v/>
      </c>
      <c r="N375" s="157" t="str">
        <f t="shared" si="11"/>
        <v/>
      </c>
    </row>
    <row r="376" spans="1:14" x14ac:dyDescent="0.25">
      <c r="A376" s="182" t="s">
        <v>137</v>
      </c>
      <c r="B376" s="182" t="s">
        <v>138</v>
      </c>
      <c r="C376" s="182" t="s">
        <v>134</v>
      </c>
      <c r="D376" s="182" t="s">
        <v>120</v>
      </c>
      <c r="E376" s="182" t="s">
        <v>27</v>
      </c>
      <c r="F376" s="128" t="s">
        <v>482</v>
      </c>
      <c r="G376" s="133" t="str">
        <f>IF($F376&lt;&gt;"",$F376,IFERROR(_xlfn.XLOOKUP(ROW(),Taxa_Saknas!$H:$H,Taxa_Saknas!$G:$G),""))</f>
        <v>MBRMDH</v>
      </c>
      <c r="H376" s="140" t="str">
        <f>IF($F376&lt;&gt;"",IFERROR(_xlfn.XLOOKUP($F376,Taxa_från_edp!$B:$B,Taxa_från_edp!C:C),""),"")</f>
        <v/>
      </c>
      <c r="I376" s="140" t="str">
        <f>IF($F376&lt;&gt;"",IFERROR(_xlfn.XLOOKUP($F376,Taxa_från_edp!$B:$B,Taxa_från_edp!G:G),""),"")</f>
        <v/>
      </c>
      <c r="J376" s="140" t="str">
        <f>IF($F376&lt;&gt;"",IFERROR(_xlfn.XLOOKUP($F376,Taxa_från_edp!$B:$B,Taxa_från_edp!K:K),""),"")</f>
        <v/>
      </c>
      <c r="K376" s="133"/>
      <c r="L376" s="128"/>
      <c r="M376" s="156" t="str">
        <f t="shared" si="10"/>
        <v/>
      </c>
      <c r="N376" s="157" t="str">
        <f t="shared" si="11"/>
        <v/>
      </c>
    </row>
    <row r="377" spans="1:14" x14ac:dyDescent="0.25">
      <c r="A377" s="182" t="s">
        <v>57</v>
      </c>
      <c r="B377" s="182" t="s">
        <v>58</v>
      </c>
      <c r="C377" s="182" t="s">
        <v>62</v>
      </c>
      <c r="D377" s="182" t="s">
        <v>63</v>
      </c>
      <c r="E377" s="182" t="s">
        <v>27</v>
      </c>
      <c r="F377" s="128" t="s">
        <v>483</v>
      </c>
      <c r="G377" s="133" t="str">
        <f>IF($F377&lt;&gt;"",$F377,IFERROR(_xlfn.XLOOKUP(ROW(),Taxa_Saknas!$H:$H,Taxa_Saknas!$G:$G),""))</f>
        <v>KÄ370FPFRI</v>
      </c>
      <c r="H377" s="140" t="str">
        <f>IF($F377&lt;&gt;"",IFERROR(_xlfn.XLOOKUP($F377,Taxa_från_edp!$B:$B,Taxa_från_edp!C:C),""),"")</f>
        <v/>
      </c>
      <c r="I377" s="140" t="str">
        <f>IF($F377&lt;&gt;"",IFERROR(_xlfn.XLOOKUP($F377,Taxa_från_edp!$B:$B,Taxa_från_edp!G:G),""),"")</f>
        <v/>
      </c>
      <c r="J377" s="140" t="str">
        <f>IF($F377&lt;&gt;"",IFERROR(_xlfn.XLOOKUP($F377,Taxa_från_edp!$B:$B,Taxa_från_edp!K:K),""),"")</f>
        <v/>
      </c>
      <c r="K377" s="133"/>
      <c r="L377" s="128"/>
      <c r="M377" s="156" t="str">
        <f t="shared" si="10"/>
        <v/>
      </c>
      <c r="N377" s="157" t="str">
        <f t="shared" si="11"/>
        <v/>
      </c>
    </row>
    <row r="378" spans="1:14" x14ac:dyDescent="0.25">
      <c r="A378" s="182" t="s">
        <v>66</v>
      </c>
      <c r="B378" s="182" t="s">
        <v>67</v>
      </c>
      <c r="C378" s="182" t="s">
        <v>70</v>
      </c>
      <c r="D378" s="182" t="s">
        <v>63</v>
      </c>
      <c r="E378" s="182" t="s">
        <v>27</v>
      </c>
      <c r="F378" s="128" t="s">
        <v>484</v>
      </c>
      <c r="G378" s="133" t="str">
        <f>IF($F378&lt;&gt;"",$F378,IFERROR(_xlfn.XLOOKUP(ROW(),Taxa_Saknas!$H:$H,Taxa_Saknas!$G:$G),""))</f>
        <v>GEMUPPFPFRI</v>
      </c>
      <c r="H378" s="140" t="str">
        <f>IF($F378&lt;&gt;"",IFERROR(_xlfn.XLOOKUP($F378,Taxa_från_edp!$B:$B,Taxa_från_edp!C:C),""),"")</f>
        <v/>
      </c>
      <c r="I378" s="140" t="str">
        <f>IF($F378&lt;&gt;"",IFERROR(_xlfn.XLOOKUP($F378,Taxa_från_edp!$B:$B,Taxa_från_edp!G:G),""),"")</f>
        <v/>
      </c>
      <c r="J378" s="140" t="str">
        <f>IF($F378&lt;&gt;"",IFERROR(_xlfn.XLOOKUP($F378,Taxa_från_edp!$B:$B,Taxa_från_edp!K:K),""),"")</f>
        <v/>
      </c>
      <c r="K378" s="133"/>
      <c r="L378" s="128"/>
      <c r="M378" s="156" t="str">
        <f t="shared" si="10"/>
        <v/>
      </c>
      <c r="N378" s="157" t="str">
        <f t="shared" si="11"/>
        <v/>
      </c>
    </row>
    <row r="379" spans="1:14" x14ac:dyDescent="0.25">
      <c r="A379" s="182" t="s">
        <v>154</v>
      </c>
      <c r="B379" s="182" t="s">
        <v>155</v>
      </c>
      <c r="C379" s="182" t="s">
        <v>485</v>
      </c>
      <c r="D379" s="182"/>
      <c r="E379" s="182" t="s">
        <v>27</v>
      </c>
      <c r="F379" s="128" t="s">
        <v>486</v>
      </c>
      <c r="G379" s="133" t="str">
        <f>IF($F379&lt;&gt;"",$F379,IFERROR(_xlfn.XLOOKUP(ROW(),Taxa_Saknas!$H:$H,Taxa_Saknas!$G:$G),""))</f>
        <v>EGENKONTRET</v>
      </c>
      <c r="H379" s="140" t="str">
        <f>IF($F379&lt;&gt;"",IFERROR(_xlfn.XLOOKUP($F379,Taxa_från_edp!$B:$B,Taxa_från_edp!C:C),""),"")</f>
        <v/>
      </c>
      <c r="I379" s="140" t="str">
        <f>IF($F379&lt;&gt;"",IFERROR(_xlfn.XLOOKUP($F379,Taxa_från_edp!$B:$B,Taxa_från_edp!G:G),""),"")</f>
        <v/>
      </c>
      <c r="J379" s="140" t="str">
        <f>IF($F379&lt;&gt;"",IFERROR(_xlfn.XLOOKUP($F379,Taxa_från_edp!$B:$B,Taxa_från_edp!K:K),""),"")</f>
        <v/>
      </c>
      <c r="K379" s="133"/>
      <c r="L379" s="128"/>
      <c r="M379" s="156" t="str">
        <f t="shared" si="10"/>
        <v/>
      </c>
      <c r="N379" s="157" t="str">
        <f t="shared" si="11"/>
        <v/>
      </c>
    </row>
  </sheetData>
  <mergeCells count="96">
    <mergeCell ref="A362:E362"/>
    <mergeCell ref="A28:L28"/>
    <mergeCell ref="A143:L143"/>
    <mergeCell ref="A17:E17"/>
    <mergeCell ref="A244:E244"/>
    <mergeCell ref="A126:E126"/>
    <mergeCell ref="A109:E109"/>
    <mergeCell ref="A117:E117"/>
    <mergeCell ref="A230:E230"/>
    <mergeCell ref="A16:E16"/>
    <mergeCell ref="A252:E252"/>
    <mergeCell ref="A221:E221"/>
    <mergeCell ref="B2:L2"/>
    <mergeCell ref="A22:L22"/>
    <mergeCell ref="A149:E149"/>
    <mergeCell ref="A189:E189"/>
    <mergeCell ref="A160:E160"/>
    <mergeCell ref="A141:E141"/>
    <mergeCell ref="A206:E206"/>
    <mergeCell ref="A122:E122"/>
    <mergeCell ref="A215:E215"/>
    <mergeCell ref="A125:E125"/>
    <mergeCell ref="A176:E176"/>
    <mergeCell ref="A30:E30"/>
    <mergeCell ref="A114:E114"/>
    <mergeCell ref="A24:E24"/>
    <mergeCell ref="A201:E201"/>
    <mergeCell ref="A84:L84"/>
    <mergeCell ref="A197:E197"/>
    <mergeCell ref="A110:E110"/>
    <mergeCell ref="A146:E146"/>
    <mergeCell ref="A151:L151"/>
    <mergeCell ref="A107:E107"/>
    <mergeCell ref="A178:E178"/>
    <mergeCell ref="A88:E88"/>
    <mergeCell ref="A70:E70"/>
    <mergeCell ref="A163:L163"/>
    <mergeCell ref="A101:L101"/>
    <mergeCell ref="A116:L116"/>
    <mergeCell ref="A177:E177"/>
    <mergeCell ref="A164:E164"/>
    <mergeCell ref="A6:E6"/>
    <mergeCell ref="A119:E119"/>
    <mergeCell ref="A370:E370"/>
    <mergeCell ref="A367:E367"/>
    <mergeCell ref="A175:L175"/>
    <mergeCell ref="A118:E118"/>
    <mergeCell ref="A133:E133"/>
    <mergeCell ref="A198:E198"/>
    <mergeCell ref="A104:E104"/>
    <mergeCell ref="A159:E159"/>
    <mergeCell ref="A226:L226"/>
    <mergeCell ref="A38:E38"/>
    <mergeCell ref="A209:E209"/>
    <mergeCell ref="A161:E161"/>
    <mergeCell ref="A170:E170"/>
    <mergeCell ref="A31:E31"/>
    <mergeCell ref="A229:E229"/>
    <mergeCell ref="A130:E130"/>
    <mergeCell ref="A148:E148"/>
    <mergeCell ref="A183:L183"/>
    <mergeCell ref="A368:E368"/>
    <mergeCell ref="A222:E222"/>
    <mergeCell ref="A138:E138"/>
    <mergeCell ref="A132:E132"/>
    <mergeCell ref="A258:E258"/>
    <mergeCell ref="A186:E186"/>
    <mergeCell ref="A237:E237"/>
    <mergeCell ref="A213:L213"/>
    <mergeCell ref="A257:E257"/>
    <mergeCell ref="A243:E243"/>
    <mergeCell ref="A154:E154"/>
    <mergeCell ref="A251:E251"/>
    <mergeCell ref="A363:E363"/>
    <mergeCell ref="A234:L234"/>
    <mergeCell ref="A137:E137"/>
    <mergeCell ref="B1:L1"/>
    <mergeCell ref="A105:E105"/>
    <mergeCell ref="A113:E113"/>
    <mergeCell ref="A210:E210"/>
    <mergeCell ref="A71:E71"/>
    <mergeCell ref="A129:E129"/>
    <mergeCell ref="A185:E185"/>
    <mergeCell ref="A23:E23"/>
    <mergeCell ref="A184:E184"/>
    <mergeCell ref="A156:E156"/>
    <mergeCell ref="A171:E171"/>
    <mergeCell ref="A165:E165"/>
    <mergeCell ref="A115:E115"/>
    <mergeCell ref="A39:E39"/>
    <mergeCell ref="A166:E166"/>
    <mergeCell ref="A142:E142"/>
    <mergeCell ref="A207:E207"/>
    <mergeCell ref="A216:E216"/>
    <mergeCell ref="A87:E87"/>
    <mergeCell ref="A155:E15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Taxa_från_edp!$B$2:$B$371</xm:f>
          </x14:formula1>
          <xm:sqref>F7:F367</xm:sqref>
        </x14:dataValidation>
        <x14:dataValidation type="list" xr:uid="{00000000-0002-0000-0100-000001000000}">
          <x14:formula1>
            <xm:f>Taxa_från_edp!$B$2:$B$371</xm:f>
          </x14:formula1>
          <xm:sqref>F7:F370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2"/>
  <sheetViews>
    <sheetView workbookViewId="0"/>
  </sheetViews>
  <sheetFormatPr defaultRowHeight="15" x14ac:dyDescent="0.25"/>
  <cols>
    <col min="1" max="12" width="23.140625" customWidth="1"/>
  </cols>
  <sheetData>
    <row r="1" spans="1:12" x14ac:dyDescent="0.25">
      <c r="A1" s="43" t="s">
        <v>9</v>
      </c>
      <c r="B1" s="44" t="s">
        <v>10</v>
      </c>
      <c r="C1" s="44" t="s">
        <v>11</v>
      </c>
      <c r="D1" s="44" t="s">
        <v>12</v>
      </c>
      <c r="E1" s="44" t="s">
        <v>13</v>
      </c>
      <c r="F1" s="44" t="s">
        <v>14</v>
      </c>
      <c r="G1" s="44" t="s">
        <v>16</v>
      </c>
      <c r="H1" s="44" t="s">
        <v>17</v>
      </c>
      <c r="I1" s="44" t="s">
        <v>18</v>
      </c>
      <c r="J1" s="44" t="s">
        <v>20</v>
      </c>
      <c r="K1" s="44" t="s">
        <v>487</v>
      </c>
      <c r="L1" s="45" t="s">
        <v>488</v>
      </c>
    </row>
    <row r="2" spans="1:12" x14ac:dyDescent="0.25">
      <c r="A2" s="10" t="str">
        <f>Taxepunkter!A7</f>
        <v>§2.1</v>
      </c>
      <c r="B2" s="5" t="str">
        <f>Taxepunkter!B7</f>
        <v>Grundavgift</v>
      </c>
      <c r="C2" s="5" t="str">
        <f>Taxepunkter!C7</f>
        <v>En- och tvåbostadshus</v>
      </c>
      <c r="D2" s="5">
        <f>Taxepunkter!D7</f>
        <v>0</v>
      </c>
      <c r="E2" s="5" t="str">
        <f>Taxepunkter!E7</f>
        <v>st/år</v>
      </c>
      <c r="F2" s="5" t="str">
        <f>Taxepunkter!F7</f>
        <v>GRUNDSMÅ</v>
      </c>
      <c r="G2" s="5" t="str">
        <f>Taxepunkter!G7</f>
        <v>GRUNDSMÅ</v>
      </c>
      <c r="H2" s="5" t="str">
        <f>Taxepunkter!H7</f>
        <v>Grundavgift, småhus 1- och 2 familjshus</v>
      </c>
      <c r="I2" s="5" t="str">
        <f>Taxepunkter!I7</f>
        <v>ÅRKV</v>
      </c>
      <c r="J2" s="5">
        <f>Taxepunkter!J7</f>
        <v>1320</v>
      </c>
      <c r="K2" s="5">
        <f>Taxepunkter!K7</f>
        <v>0</v>
      </c>
      <c r="L2" s="11">
        <f>Taxepunkter!L7</f>
        <v>0</v>
      </c>
    </row>
    <row r="3" spans="1:12" x14ac:dyDescent="0.25">
      <c r="A3" s="10" t="str">
        <f>Taxepunkter!A8</f>
        <v>§2.1</v>
      </c>
      <c r="B3" s="5" t="str">
        <f>Taxepunkter!B8</f>
        <v>Grundavgift</v>
      </c>
      <c r="C3" s="5" t="str">
        <f>Taxepunkter!C8</f>
        <v>Fritidshus</v>
      </c>
      <c r="D3" s="5">
        <f>Taxepunkter!D8</f>
        <v>0</v>
      </c>
      <c r="E3" s="5" t="str">
        <f>Taxepunkter!E8</f>
        <v>st/år</v>
      </c>
      <c r="F3" s="5" t="str">
        <f>Taxepunkter!F8</f>
        <v>GRUNDFRI</v>
      </c>
      <c r="G3" s="5" t="str">
        <f>Taxepunkter!G8</f>
        <v>GRUNDFRI</v>
      </c>
      <c r="H3" s="5" t="str">
        <f>Taxepunkter!H8</f>
        <v>Grundavgift, fritidshus</v>
      </c>
      <c r="I3" s="5" t="str">
        <f>Taxepunkter!I8</f>
        <v>ÅRKV</v>
      </c>
      <c r="J3" s="5">
        <f>Taxepunkter!J8</f>
        <v>1000</v>
      </c>
      <c r="K3" s="5">
        <f>Taxepunkter!K8</f>
        <v>0</v>
      </c>
      <c r="L3" s="11">
        <f>Taxepunkter!L8</f>
        <v>0</v>
      </c>
    </row>
    <row r="4" spans="1:12" x14ac:dyDescent="0.25">
      <c r="A4" s="10" t="str">
        <f>Taxepunkter!A9</f>
        <v>§2.1</v>
      </c>
      <c r="B4" s="5" t="str">
        <f>Taxepunkter!B9</f>
        <v>Grundavgift</v>
      </c>
      <c r="C4" s="5" t="str">
        <f>Taxepunkter!C9</f>
        <v>Verksamhet</v>
      </c>
      <c r="D4" s="5">
        <f>Taxepunkter!D9</f>
        <v>0</v>
      </c>
      <c r="E4" s="5" t="str">
        <f>Taxepunkter!E9</f>
        <v>st/år</v>
      </c>
      <c r="F4" s="5" t="str">
        <f>Taxepunkter!F9</f>
        <v>GRUNDVHT</v>
      </c>
      <c r="G4" s="5" t="str">
        <f>Taxepunkter!G9</f>
        <v>GRUNDVHT</v>
      </c>
      <c r="H4" s="5" t="str">
        <f>Taxepunkter!H9</f>
        <v>Grundavgift, verksamheter</v>
      </c>
      <c r="I4" s="5" t="str">
        <f>Taxepunkter!I9</f>
        <v>ÅRKV</v>
      </c>
      <c r="J4" s="5">
        <f>Taxepunkter!J9</f>
        <v>1000</v>
      </c>
      <c r="K4" s="5">
        <f>Taxepunkter!K9</f>
        <v>0</v>
      </c>
      <c r="L4" s="11">
        <f>Taxepunkter!L9</f>
        <v>0</v>
      </c>
    </row>
    <row r="5" spans="1:12" x14ac:dyDescent="0.25">
      <c r="A5" s="10" t="str">
        <f>Taxepunkter!A10</f>
        <v>§2.1</v>
      </c>
      <c r="B5" s="5" t="str">
        <f>Taxepunkter!B10</f>
        <v>Grundavgift</v>
      </c>
      <c r="C5" s="5" t="str">
        <f>Taxepunkter!C10</f>
        <v>Lägenhet i flerbostadshus</v>
      </c>
      <c r="D5" s="5">
        <f>Taxepunkter!D10</f>
        <v>0</v>
      </c>
      <c r="E5" s="5" t="str">
        <f>Taxepunkter!E10</f>
        <v>st/år</v>
      </c>
      <c r="F5" s="5" t="str">
        <f>Taxepunkter!F10</f>
        <v>GRUNDFLB</v>
      </c>
      <c r="G5" s="5" t="str">
        <f>Taxepunkter!G10</f>
        <v>GRUNDFLB</v>
      </c>
      <c r="H5" s="5" t="str">
        <f>Taxepunkter!H10</f>
        <v>Grundavgift, del i flerbostadshus</v>
      </c>
      <c r="I5" s="5" t="str">
        <f>Taxepunkter!I10</f>
        <v>ÅRKV</v>
      </c>
      <c r="J5" s="5">
        <f>Taxepunkter!J10</f>
        <v>640</v>
      </c>
      <c r="K5" s="5">
        <f>Taxepunkter!K10</f>
        <v>0</v>
      </c>
      <c r="L5" s="11">
        <f>Taxepunkter!L10</f>
        <v>0</v>
      </c>
    </row>
    <row r="6" spans="1:12" x14ac:dyDescent="0.25">
      <c r="A6" s="10" t="str">
        <f>Taxepunkter!A11</f>
        <v>§2.1</v>
      </c>
      <c r="B6" s="5" t="str">
        <f>Taxepunkter!B11</f>
        <v>Grundavgift</v>
      </c>
      <c r="C6" s="5" t="str">
        <f>Taxepunkter!C11</f>
        <v>Lägenhet för specialändamål</v>
      </c>
      <c r="D6" s="5">
        <f>Taxepunkter!D11</f>
        <v>0</v>
      </c>
      <c r="E6" s="5" t="str">
        <f>Taxepunkter!E11</f>
        <v>st/år</v>
      </c>
      <c r="F6" s="5" t="str">
        <f>Taxepunkter!F11</f>
        <v>GRUNDSPEC</v>
      </c>
      <c r="G6" s="5" t="str">
        <f>Taxepunkter!G11</f>
        <v>GRUNDSPEC</v>
      </c>
      <c r="H6" s="5" t="str">
        <f>Taxepunkter!H11</f>
        <v/>
      </c>
      <c r="I6" s="5" t="str">
        <f>Taxepunkter!I11</f>
        <v/>
      </c>
      <c r="J6" s="5" t="str">
        <f>Taxepunkter!J11</f>
        <v/>
      </c>
      <c r="K6" s="5">
        <f>Taxepunkter!K11</f>
        <v>0</v>
      </c>
      <c r="L6" s="11">
        <f>Taxepunkter!L11</f>
        <v>0</v>
      </c>
    </row>
    <row r="7" spans="1:12" x14ac:dyDescent="0.25">
      <c r="A7" s="10" t="str">
        <f>Taxepunkter!A12</f>
        <v>§2.1</v>
      </c>
      <c r="B7" s="5" t="str">
        <f>Taxepunkter!B12</f>
        <v>Grundavgift</v>
      </c>
      <c r="C7" s="5" t="str">
        <f>Taxepunkter!C12</f>
        <v>Anläggning</v>
      </c>
      <c r="D7" s="5">
        <f>Taxepunkter!D12</f>
        <v>0</v>
      </c>
      <c r="E7" s="5" t="str">
        <f>Taxepunkter!E12</f>
        <v>st/år</v>
      </c>
      <c r="F7" s="5" t="str">
        <f>Taxepunkter!F12</f>
        <v>GRUNDANL</v>
      </c>
      <c r="G7" s="5" t="str">
        <f>Taxepunkter!G12</f>
        <v>GRUNDANL</v>
      </c>
      <c r="H7" s="5" t="str">
        <f>Taxepunkter!H12</f>
        <v/>
      </c>
      <c r="I7" s="5" t="str">
        <f>Taxepunkter!I12</f>
        <v/>
      </c>
      <c r="J7" s="5" t="str">
        <f>Taxepunkter!J12</f>
        <v/>
      </c>
      <c r="K7" s="5">
        <f>Taxepunkter!K12</f>
        <v>0</v>
      </c>
      <c r="L7" s="11">
        <f>Taxepunkter!L12</f>
        <v>0</v>
      </c>
    </row>
    <row r="8" spans="1:12" x14ac:dyDescent="0.25">
      <c r="A8" s="10" t="str">
        <f>Taxepunkter!A13</f>
        <v>§2.1</v>
      </c>
      <c r="B8" s="5" t="str">
        <f>Taxepunkter!B13</f>
        <v>Grundavgift</v>
      </c>
      <c r="C8" s="5" t="str">
        <f>Taxepunkter!C13</f>
        <v>Säsongsbaserad uppställningsplats</v>
      </c>
      <c r="D8" s="5">
        <f>Taxepunkter!D13</f>
        <v>0</v>
      </c>
      <c r="E8" s="5" t="str">
        <f>Taxepunkter!E13</f>
        <v>st/år</v>
      </c>
      <c r="F8" s="5" t="str">
        <f>Taxepunkter!F13</f>
        <v>GRUNDSÄS</v>
      </c>
      <c r="G8" s="5" t="str">
        <f>Taxepunkter!G13</f>
        <v>GRUNDSÄS</v>
      </c>
      <c r="H8" s="5" t="str">
        <f>Taxepunkter!H13</f>
        <v/>
      </c>
      <c r="I8" s="5" t="str">
        <f>Taxepunkter!I13</f>
        <v/>
      </c>
      <c r="J8" s="5" t="str">
        <f>Taxepunkter!J13</f>
        <v/>
      </c>
      <c r="K8" s="5">
        <f>Taxepunkter!K13</f>
        <v>0</v>
      </c>
      <c r="L8" s="11">
        <f>Taxepunkter!L13</f>
        <v>0</v>
      </c>
    </row>
    <row r="9" spans="1:12" x14ac:dyDescent="0.25">
      <c r="A9" s="10" t="str">
        <f>Taxepunkter!A14</f>
        <v>§2.1</v>
      </c>
      <c r="B9" s="5" t="str">
        <f>Taxepunkter!B14</f>
        <v>Grundavgift</v>
      </c>
      <c r="C9" s="5" t="str">
        <f>Taxepunkter!C14</f>
        <v>Campingstuga/-lägenhet</v>
      </c>
      <c r="D9" s="5">
        <f>Taxepunkter!D14</f>
        <v>0</v>
      </c>
      <c r="E9" s="5" t="str">
        <f>Taxepunkter!E14</f>
        <v>st/år</v>
      </c>
      <c r="F9" s="5" t="str">
        <f>Taxepunkter!F14</f>
        <v>GRUNDCAMP</v>
      </c>
      <c r="G9" s="5" t="str">
        <f>Taxepunkter!G14</f>
        <v>GRUNDCAMP</v>
      </c>
      <c r="H9" s="5" t="str">
        <f>Taxepunkter!H14</f>
        <v/>
      </c>
      <c r="I9" s="5" t="str">
        <f>Taxepunkter!I14</f>
        <v/>
      </c>
      <c r="J9" s="5" t="str">
        <f>Taxepunkter!J14</f>
        <v/>
      </c>
      <c r="K9" s="5">
        <f>Taxepunkter!K14</f>
        <v>0</v>
      </c>
      <c r="L9" s="11">
        <f>Taxepunkter!L14</f>
        <v>0</v>
      </c>
    </row>
    <row r="10" spans="1:12" x14ac:dyDescent="0.25">
      <c r="A10" s="10" t="str">
        <f>Taxepunkter!A15</f>
        <v>§2.1</v>
      </c>
      <c r="B10" s="5" t="str">
        <f>Taxepunkter!B15</f>
        <v>Grundavgift</v>
      </c>
      <c r="C10" s="5" t="str">
        <f>Taxepunkter!C15</f>
        <v>Administrativ avgift vid beviljad dispens om uppehåll i hämtning eller eget omhändertagande av avfall under kommunalt ansvar</v>
      </c>
      <c r="D10" s="5">
        <f>Taxepunkter!D15</f>
        <v>0</v>
      </c>
      <c r="E10" s="5" t="str">
        <f>Taxepunkter!E15</f>
        <v>st/år</v>
      </c>
      <c r="F10" s="5" t="str">
        <f>Taxepunkter!F15</f>
        <v>ADMINDISP</v>
      </c>
      <c r="G10" s="5" t="str">
        <f>Taxepunkter!G15</f>
        <v>ADMINDISP</v>
      </c>
      <c r="H10" s="5" t="str">
        <f>Taxepunkter!H15</f>
        <v/>
      </c>
      <c r="I10" s="5" t="str">
        <f>Taxepunkter!I15</f>
        <v/>
      </c>
      <c r="J10" s="5" t="str">
        <f>Taxepunkter!J15</f>
        <v/>
      </c>
      <c r="K10" s="5">
        <f>Taxepunkter!K15</f>
        <v>0</v>
      </c>
      <c r="L10" s="11">
        <f>Taxepunkter!L15</f>
        <v>0</v>
      </c>
    </row>
    <row r="11" spans="1:12" x14ac:dyDescent="0.25">
      <c r="A11" s="10" t="str">
        <f>Taxepunkter!A17</f>
        <v>§2.2.1 Hämtningsavgift per år för en- och tvåbostadshus</v>
      </c>
      <c r="B11" s="5">
        <f>Taxepunkter!B17</f>
        <v>0</v>
      </c>
      <c r="C11" s="5">
        <f>Taxepunkter!C17</f>
        <v>0</v>
      </c>
      <c r="D11" s="5">
        <f>Taxepunkter!D17</f>
        <v>0</v>
      </c>
      <c r="E11" s="5">
        <f>Taxepunkter!E17</f>
        <v>0</v>
      </c>
      <c r="F11" s="5">
        <f>Taxepunkter!F17</f>
        <v>0</v>
      </c>
      <c r="G11" s="5" t="str">
        <f>Taxepunkter!G17</f>
        <v/>
      </c>
      <c r="H11" s="5" t="str">
        <f>Taxepunkter!H17</f>
        <v/>
      </c>
      <c r="I11" s="5" t="str">
        <f>Taxepunkter!I17</f>
        <v/>
      </c>
      <c r="J11" s="5" t="str">
        <f>Taxepunkter!J17</f>
        <v/>
      </c>
      <c r="K11" s="5">
        <f>Taxepunkter!K17</f>
        <v>0</v>
      </c>
      <c r="L11" s="11">
        <f>Taxepunkter!L17</f>
        <v>0</v>
      </c>
    </row>
    <row r="12" spans="1:12" x14ac:dyDescent="0.25">
      <c r="A12" s="10" t="str">
        <f>Taxepunkter!A18</f>
        <v>§2.2.1</v>
      </c>
      <c r="B12" s="5" t="str">
        <f>Taxepunkter!B18</f>
        <v>Hämtningsavgift per år för en- och tvåbostadshus</v>
      </c>
      <c r="C12" s="5" t="str">
        <f>Taxepunkter!C18</f>
        <v>Kärl 240 l (mat-/restavfall)</v>
      </c>
      <c r="D12" s="5" t="str">
        <f>Taxepunkter!D18</f>
        <v>Hämtning var 14:e dag</v>
      </c>
      <c r="E12" s="5" t="str">
        <f>Taxepunkter!E18</f>
        <v>st/år</v>
      </c>
      <c r="F12" s="5" t="str">
        <f>Taxepunkter!F18</f>
        <v>KÄ240RM26</v>
      </c>
      <c r="G12" s="5" t="str">
        <f>Taxepunkter!G18</f>
        <v>KÄ240RM26</v>
      </c>
      <c r="H12" s="5" t="str">
        <f>Taxepunkter!H18</f>
        <v>Tvåfackskärl 240L, rest/matavfall. Var 14:e dag</v>
      </c>
      <c r="I12" s="5" t="str">
        <f>Taxepunkter!I18</f>
        <v>ÅRKV</v>
      </c>
      <c r="J12" s="5">
        <f>Taxepunkter!J18</f>
        <v>680</v>
      </c>
      <c r="K12" s="5">
        <f>Taxepunkter!K18</f>
        <v>0</v>
      </c>
      <c r="L12" s="11">
        <f>Taxepunkter!L18</f>
        <v>0</v>
      </c>
    </row>
    <row r="13" spans="1:12" x14ac:dyDescent="0.25">
      <c r="A13" s="10" t="str">
        <f>Taxepunkter!A20</f>
        <v>§2.2.1</v>
      </c>
      <c r="B13" s="5" t="str">
        <f>Taxepunkter!B20</f>
        <v>Hämtningsavgift per år för en- och tvåbostadshus</v>
      </c>
      <c r="C13" s="5" t="str">
        <f>Taxepunkter!C20</f>
        <v>Extrakärl 190 l (restavfall)</v>
      </c>
      <c r="D13" s="5" t="str">
        <f>Taxepunkter!D20</f>
        <v>Hämtning var 14:e dag</v>
      </c>
      <c r="E13" s="5" t="str">
        <f>Taxepunkter!E20</f>
        <v>st/år</v>
      </c>
      <c r="F13" s="5" t="str">
        <f>Taxepunkter!F20</f>
        <v>KÄ190XRM26</v>
      </c>
      <c r="G13" s="5" t="str">
        <f>Taxepunkter!G20</f>
        <v>KÄ190XRM26</v>
      </c>
      <c r="H13" s="5" t="str">
        <f>Taxepunkter!H20</f>
        <v>Kärl 120-190L extrakärl, rest/matavfall. Var 14:e dag</v>
      </c>
      <c r="I13" s="5" t="str">
        <f>Taxepunkter!I20</f>
        <v>ÅRKV</v>
      </c>
      <c r="J13" s="5">
        <f>Taxepunkter!J20</f>
        <v>680</v>
      </c>
      <c r="K13" s="5">
        <f>Taxepunkter!K20</f>
        <v>0</v>
      </c>
      <c r="L13" s="11">
        <f>Taxepunkter!L20</f>
        <v>0</v>
      </c>
    </row>
    <row r="14" spans="1:12" x14ac:dyDescent="0.25">
      <c r="A14" s="10" t="str">
        <f>Taxepunkter!A21</f>
        <v>§2.2.1</v>
      </c>
      <c r="B14" s="5" t="str">
        <f>Taxepunkter!B21</f>
        <v>Hämtningsavgift per år för en- och tvåbostadshus</v>
      </c>
      <c r="C14" s="5" t="str">
        <f>Taxepunkter!C21</f>
        <v>Extrakärl 190 l (restavfall)</v>
      </c>
      <c r="D14" s="5" t="str">
        <f>Taxepunkter!D21</f>
        <v>Hämtning månadsvis</v>
      </c>
      <c r="E14" s="5" t="str">
        <f>Taxepunkter!E21</f>
        <v>st/år</v>
      </c>
      <c r="F14" s="5" t="str">
        <f>Taxepunkter!F21</f>
        <v>KÄ190XRM12</v>
      </c>
      <c r="G14" s="5" t="str">
        <f>Taxepunkter!G21</f>
        <v>KÄ190XRM12</v>
      </c>
      <c r="H14" s="5" t="str">
        <f>Taxepunkter!H21</f>
        <v/>
      </c>
      <c r="I14" s="5" t="str">
        <f>Taxepunkter!I21</f>
        <v/>
      </c>
      <c r="J14" s="5" t="str">
        <f>Taxepunkter!J21</f>
        <v/>
      </c>
      <c r="K14" s="5">
        <f>Taxepunkter!K21</f>
        <v>0</v>
      </c>
      <c r="L14" s="11">
        <f>Taxepunkter!L21</f>
        <v>0</v>
      </c>
    </row>
    <row r="15" spans="1:12" x14ac:dyDescent="0.25">
      <c r="A15" s="10" t="str">
        <f>Taxepunkter!A23</f>
        <v>§2.2.1</v>
      </c>
      <c r="B15" s="5">
        <f>Taxepunkter!B23</f>
        <v>0</v>
      </c>
      <c r="C15" s="5">
        <f>Taxepunkter!C23</f>
        <v>0</v>
      </c>
      <c r="D15" s="5">
        <f>Taxepunkter!D23</f>
        <v>0</v>
      </c>
      <c r="E15" s="5">
        <f>Taxepunkter!E23</f>
        <v>0</v>
      </c>
      <c r="F15" s="5">
        <f>Taxepunkter!F23</f>
        <v>0</v>
      </c>
      <c r="G15" s="5" t="str">
        <f>Taxepunkter!G23</f>
        <v/>
      </c>
      <c r="H15" s="5" t="str">
        <f>Taxepunkter!H23</f>
        <v/>
      </c>
      <c r="I15" s="5" t="str">
        <f>Taxepunkter!I23</f>
        <v/>
      </c>
      <c r="J15" s="5" t="str">
        <f>Taxepunkter!J23</f>
        <v/>
      </c>
      <c r="K15" s="5">
        <f>Taxepunkter!K23</f>
        <v>0</v>
      </c>
      <c r="L15" s="11">
        <f>Taxepunkter!L23</f>
        <v>0</v>
      </c>
    </row>
    <row r="16" spans="1:12" x14ac:dyDescent="0.25">
      <c r="A16" s="10" t="str">
        <f>Taxepunkter!A24</f>
        <v>§2.2.2 Hämtningsavgift per år för fritidshus</v>
      </c>
      <c r="B16" s="5">
        <f>Taxepunkter!B24</f>
        <v>0</v>
      </c>
      <c r="C16" s="5">
        <f>Taxepunkter!C24</f>
        <v>0</v>
      </c>
      <c r="D16" s="5">
        <f>Taxepunkter!D24</f>
        <v>0</v>
      </c>
      <c r="E16" s="5">
        <f>Taxepunkter!E24</f>
        <v>0</v>
      </c>
      <c r="F16" s="5">
        <f>Taxepunkter!F24</f>
        <v>0</v>
      </c>
      <c r="G16" s="5" t="str">
        <f>Taxepunkter!G24</f>
        <v/>
      </c>
      <c r="H16" s="5" t="str">
        <f>Taxepunkter!H24</f>
        <v/>
      </c>
      <c r="I16" s="5" t="str">
        <f>Taxepunkter!I24</f>
        <v/>
      </c>
      <c r="J16" s="5" t="str">
        <f>Taxepunkter!J24</f>
        <v/>
      </c>
      <c r="K16" s="5">
        <f>Taxepunkter!K24</f>
        <v>0</v>
      </c>
      <c r="L16" s="11">
        <f>Taxepunkter!L24</f>
        <v>0</v>
      </c>
    </row>
    <row r="17" spans="1:12" x14ac:dyDescent="0.25">
      <c r="A17" s="10" t="str">
        <f>Taxepunkter!A25</f>
        <v>§2.2.2</v>
      </c>
      <c r="B17" s="5" t="str">
        <f>Taxepunkter!B25</f>
        <v>Hämtningsavgift per år för fritidshus</v>
      </c>
      <c r="C17" s="5" t="str">
        <f>Taxepunkter!C25</f>
        <v>Kärl 240 l (mat-/restavfall)</v>
      </c>
      <c r="D17" s="5" t="str">
        <f>Taxepunkter!D25</f>
        <v>Hämtning var 14:e dag</v>
      </c>
      <c r="E17" s="5" t="str">
        <f>Taxepunkter!E25</f>
        <v>st/år</v>
      </c>
      <c r="F17" s="5" t="str">
        <f>Taxepunkter!F25</f>
        <v>KÄ240RM26FRI</v>
      </c>
      <c r="G17" s="5" t="str">
        <f>Taxepunkter!G25</f>
        <v>KÄ240RM26FRI</v>
      </c>
      <c r="H17" s="5" t="str">
        <f>Taxepunkter!H25</f>
        <v>Tvåfackskärl 240L, rest/matavfall. Var 14:e dag fritidshus</v>
      </c>
      <c r="I17" s="5" t="str">
        <f>Taxepunkter!I25</f>
        <v>ÅRKV</v>
      </c>
      <c r="J17" s="5">
        <f>Taxepunkter!J25</f>
        <v>680</v>
      </c>
      <c r="K17" s="5">
        <f>Taxepunkter!K25</f>
        <v>0</v>
      </c>
      <c r="L17" s="11">
        <f>Taxepunkter!L25</f>
        <v>0</v>
      </c>
    </row>
    <row r="18" spans="1:12" x14ac:dyDescent="0.25">
      <c r="A18" s="10" t="str">
        <f>Taxepunkter!A26</f>
        <v>§2.2.2</v>
      </c>
      <c r="B18" s="5" t="str">
        <f>Taxepunkter!B26</f>
        <v>Hämtningsavgift per år för fritidshus</v>
      </c>
      <c r="C18" s="5" t="str">
        <f>Taxepunkter!C26</f>
        <v>Kärl 240 l (mat-/restavfall)</v>
      </c>
      <c r="D18" s="5" t="str">
        <f>Taxepunkter!D26</f>
        <v>Hämtning månadsvis</v>
      </c>
      <c r="E18" s="5" t="str">
        <f>Taxepunkter!E26</f>
        <v>st/år</v>
      </c>
      <c r="F18" s="5" t="str">
        <f>Taxepunkter!F26</f>
        <v>KÄ240RM12FRI</v>
      </c>
      <c r="G18" s="5" t="str">
        <f>Taxepunkter!G26</f>
        <v>KÄ240RM12FRI</v>
      </c>
      <c r="H18" s="5" t="str">
        <f>Taxepunkter!H26</f>
        <v/>
      </c>
      <c r="I18" s="5" t="str">
        <f>Taxepunkter!I26</f>
        <v/>
      </c>
      <c r="J18" s="5" t="str">
        <f>Taxepunkter!J26</f>
        <v/>
      </c>
      <c r="K18" s="5">
        <f>Taxepunkter!K26</f>
        <v>0</v>
      </c>
      <c r="L18" s="11">
        <f>Taxepunkter!L26</f>
        <v>0</v>
      </c>
    </row>
    <row r="19" spans="1:12" x14ac:dyDescent="0.25">
      <c r="A19" s="10" t="str">
        <f>Taxepunkter!A27</f>
        <v>§2.2.2</v>
      </c>
      <c r="B19" s="5" t="str">
        <f>Taxepunkter!B27</f>
        <v>Hämtningsavgift per år för fritidshus</v>
      </c>
      <c r="C19" s="5" t="str">
        <f>Taxepunkter!C27</f>
        <v>Extrakärl 190 l (restavfall)</v>
      </c>
      <c r="D19" s="5" t="str">
        <f>Taxepunkter!D27</f>
        <v>Hämtning var 14:e dag</v>
      </c>
      <c r="E19" s="5" t="str">
        <f>Taxepunkter!E27</f>
        <v>st/år</v>
      </c>
      <c r="F19" s="5" t="str">
        <f>Taxepunkter!F27</f>
        <v>KÄ190XRM26FRI</v>
      </c>
      <c r="G19" s="5" t="str">
        <f>Taxepunkter!G27</f>
        <v>KÄ190XRM26FRI</v>
      </c>
      <c r="H19" s="5" t="str">
        <f>Taxepunkter!H27</f>
        <v/>
      </c>
      <c r="I19" s="5" t="str">
        <f>Taxepunkter!I27</f>
        <v/>
      </c>
      <c r="J19" s="5" t="str">
        <f>Taxepunkter!J27</f>
        <v/>
      </c>
      <c r="K19" s="5">
        <f>Taxepunkter!K27</f>
        <v>0</v>
      </c>
      <c r="L19" s="11">
        <f>Taxepunkter!L27</f>
        <v>0</v>
      </c>
    </row>
    <row r="20" spans="1:12" x14ac:dyDescent="0.25">
      <c r="A20" s="10" t="str">
        <f>Taxepunkter!A29</f>
        <v>§2.2.2</v>
      </c>
      <c r="B20" s="5" t="str">
        <f>Taxepunkter!B29</f>
        <v>Hämtningsavgift per år för fritidshus</v>
      </c>
      <c r="C20" s="5" t="str">
        <f>Taxepunkter!C29</f>
        <v>Kärl 370 l (papper-/plastförpackningar)</v>
      </c>
      <c r="D20" s="5" t="str">
        <f>Taxepunkter!D29</f>
        <v>Kostnadsfritt</v>
      </c>
      <c r="E20" s="5" t="str">
        <f>Taxepunkter!E29</f>
        <v>st/år</v>
      </c>
      <c r="F20" s="5" t="str">
        <f>Taxepunkter!F29</f>
        <v>KÄ370FP</v>
      </c>
      <c r="G20" s="5" t="str">
        <f>Taxepunkter!G29</f>
        <v>KÄ370FP</v>
      </c>
      <c r="H20" s="5" t="str">
        <f>Taxepunkter!H29</f>
        <v/>
      </c>
      <c r="I20" s="5" t="str">
        <f>Taxepunkter!I29</f>
        <v/>
      </c>
      <c r="J20" s="5" t="str">
        <f>Taxepunkter!J29</f>
        <v/>
      </c>
      <c r="K20" s="5">
        <f>Taxepunkter!K29</f>
        <v>0</v>
      </c>
      <c r="L20" s="11">
        <f>Taxepunkter!L29</f>
        <v>0</v>
      </c>
    </row>
    <row r="21" spans="1:12" x14ac:dyDescent="0.25">
      <c r="A21" s="10" t="str">
        <f>Taxepunkter!A30</f>
        <v>§2.2.2</v>
      </c>
      <c r="B21" s="5">
        <f>Taxepunkter!B30</f>
        <v>0</v>
      </c>
      <c r="C21" s="5">
        <f>Taxepunkter!C30</f>
        <v>0</v>
      </c>
      <c r="D21" s="5">
        <f>Taxepunkter!D30</f>
        <v>0</v>
      </c>
      <c r="E21" s="5">
        <f>Taxepunkter!E30</f>
        <v>0</v>
      </c>
      <c r="F21" s="5">
        <f>Taxepunkter!F30</f>
        <v>0</v>
      </c>
      <c r="G21" s="5" t="str">
        <f>Taxepunkter!G30</f>
        <v/>
      </c>
      <c r="H21" s="5" t="str">
        <f>Taxepunkter!H30</f>
        <v/>
      </c>
      <c r="I21" s="5" t="str">
        <f>Taxepunkter!I30</f>
        <v/>
      </c>
      <c r="J21" s="5" t="str">
        <f>Taxepunkter!J30</f>
        <v/>
      </c>
      <c r="K21" s="5">
        <f>Taxepunkter!K30</f>
        <v>0</v>
      </c>
      <c r="L21" s="11">
        <f>Taxepunkter!L30</f>
        <v>0</v>
      </c>
    </row>
    <row r="22" spans="1:12" x14ac:dyDescent="0.25">
      <c r="A22" s="10" t="str">
        <f>Taxepunkter!A31</f>
        <v>§2.2.3 Gemensam uppsamlingsplats inom hämtningsområde X</v>
      </c>
      <c r="B22" s="5">
        <f>Taxepunkter!B31</f>
        <v>0</v>
      </c>
      <c r="C22" s="5">
        <f>Taxepunkter!C31</f>
        <v>0</v>
      </c>
      <c r="D22" s="5">
        <f>Taxepunkter!D31</f>
        <v>0</v>
      </c>
      <c r="E22" s="5">
        <f>Taxepunkter!E31</f>
        <v>0</v>
      </c>
      <c r="F22" s="5">
        <f>Taxepunkter!F31</f>
        <v>0</v>
      </c>
      <c r="G22" s="5" t="str">
        <f>Taxepunkter!G31</f>
        <v/>
      </c>
      <c r="H22" s="5" t="str">
        <f>Taxepunkter!H31</f>
        <v/>
      </c>
      <c r="I22" s="5" t="str">
        <f>Taxepunkter!I31</f>
        <v/>
      </c>
      <c r="J22" s="5" t="str">
        <f>Taxepunkter!J31</f>
        <v/>
      </c>
      <c r="K22" s="5">
        <f>Taxepunkter!K31</f>
        <v>0</v>
      </c>
      <c r="L22" s="11">
        <f>Taxepunkter!L31</f>
        <v>0</v>
      </c>
    </row>
    <row r="23" spans="1:12" x14ac:dyDescent="0.25">
      <c r="A23" s="10" t="str">
        <f>Taxepunkter!A32</f>
        <v>§2.2.3</v>
      </c>
      <c r="B23" s="5" t="str">
        <f>Taxepunkter!B32</f>
        <v>Gemensam uppsamlingsplats inom hämtningsområde X</v>
      </c>
      <c r="C23" s="5" t="str">
        <f>Taxepunkter!C32</f>
        <v>Gemensam uppsamlingsplats för mat-/restavfall</v>
      </c>
      <c r="D23" s="5">
        <f>Taxepunkter!D32</f>
        <v>0</v>
      </c>
      <c r="E23" s="5" t="str">
        <f>Taxepunkter!E32</f>
        <v>st/år</v>
      </c>
      <c r="F23" s="5" t="str">
        <f>Taxepunkter!F32</f>
        <v>GEMUPPFRI</v>
      </c>
      <c r="G23" s="5" t="str">
        <f>Taxepunkter!G32</f>
        <v>GEMUPPFRI</v>
      </c>
      <c r="H23" s="5" t="str">
        <f>Taxepunkter!H32</f>
        <v>Gemensam uppsamlingsplats, fritidshus</v>
      </c>
      <c r="I23" s="5" t="str">
        <f>Taxepunkter!I32</f>
        <v>ÅRKV</v>
      </c>
      <c r="J23" s="5">
        <f>Taxepunkter!J32</f>
        <v>600</v>
      </c>
      <c r="K23" s="5">
        <f>Taxepunkter!K32</f>
        <v>0</v>
      </c>
      <c r="L23" s="11">
        <f>Taxepunkter!L32</f>
        <v>0</v>
      </c>
    </row>
    <row r="24" spans="1:12" x14ac:dyDescent="0.25">
      <c r="A24" s="10" t="str">
        <f>Taxepunkter!A33</f>
        <v>§2.2.3</v>
      </c>
      <c r="B24" s="5" t="str">
        <f>Taxepunkter!B33</f>
        <v>Gemensam uppsamlingsplats inom hämtningsområde X</v>
      </c>
      <c r="C24" s="5" t="str">
        <f>Taxepunkter!C33</f>
        <v>Gemensam uppsamlingsplats för förpackningar</v>
      </c>
      <c r="D24" s="5" t="str">
        <f>Taxepunkter!D33</f>
        <v>Kostnadsfritt</v>
      </c>
      <c r="E24" s="5" t="str">
        <f>Taxepunkter!E33</f>
        <v>st/år</v>
      </c>
      <c r="F24" s="5" t="str">
        <f>Taxepunkter!F33</f>
        <v>GEMUPPFRI</v>
      </c>
      <c r="G24" s="5" t="str">
        <f>Taxepunkter!G33</f>
        <v>GEMUPPFRI</v>
      </c>
      <c r="H24" s="5" t="str">
        <f>Taxepunkter!H33</f>
        <v>Gemensam uppsamlingsplats, fritidshus</v>
      </c>
      <c r="I24" s="5" t="str">
        <f>Taxepunkter!I33</f>
        <v>ÅRKV</v>
      </c>
      <c r="J24" s="5">
        <f>Taxepunkter!J33</f>
        <v>600</v>
      </c>
      <c r="K24" s="5">
        <f>Taxepunkter!K33</f>
        <v>0</v>
      </c>
      <c r="L24" s="11">
        <f>Taxepunkter!L33</f>
        <v>0</v>
      </c>
    </row>
    <row r="25" spans="1:12" x14ac:dyDescent="0.25">
      <c r="A25" s="10" t="str">
        <f>Taxepunkter!A34</f>
        <v>§2.2.3</v>
      </c>
      <c r="B25" s="5" t="str">
        <f>Taxepunkter!B34</f>
        <v>Gemensam uppsamlingsplats inom hämtningsområde X</v>
      </c>
      <c r="C25" s="5" t="str">
        <f>Taxepunkter!C34</f>
        <v>Extra digital licens (årskostnad)</v>
      </c>
      <c r="D25" s="5">
        <f>Taxepunkter!D34</f>
        <v>0</v>
      </c>
      <c r="E25" s="5" t="str">
        <f>Taxepunkter!E34</f>
        <v>st/år</v>
      </c>
      <c r="F25" s="5" t="str">
        <f>Taxepunkter!F34</f>
        <v>GEMUPPEXTRAFRI</v>
      </c>
      <c r="G25" s="5" t="str">
        <f>Taxepunkter!G34</f>
        <v>GEMUPPEXTRAFRI</v>
      </c>
      <c r="H25" s="5" t="str">
        <f>Taxepunkter!H34</f>
        <v>Extra mobilnyckel till Gemensam uppsamlingsplats, fritidshus</v>
      </c>
      <c r="I25" s="5" t="str">
        <f>Taxepunkter!I34</f>
        <v>ÅRPR</v>
      </c>
      <c r="J25" s="5">
        <f>Taxepunkter!J34</f>
        <v>80</v>
      </c>
      <c r="K25" s="5">
        <f>Taxepunkter!K34</f>
        <v>0</v>
      </c>
      <c r="L25" s="11">
        <f>Taxepunkter!L34</f>
        <v>0</v>
      </c>
    </row>
    <row r="26" spans="1:12" x14ac:dyDescent="0.25">
      <c r="A26" s="10" t="str">
        <f>Taxepunkter!A35</f>
        <v>§2.2.3</v>
      </c>
      <c r="B26" s="5" t="str">
        <f>Taxepunkter!B35</f>
        <v>Gemensam uppsamlingsplats inom hämtningsområde X</v>
      </c>
      <c r="C26" s="5" t="str">
        <f>Taxepunkter!C35</f>
        <v>Fysisk nyckel, kallad fob (engångskostnad)</v>
      </c>
      <c r="D26" s="5">
        <f>Taxepunkter!D35</f>
        <v>0</v>
      </c>
      <c r="E26" s="5" t="str">
        <f>Taxepunkter!E35</f>
        <v>st/tillfälle</v>
      </c>
      <c r="F26" s="5" t="str">
        <f>Taxepunkter!F35</f>
        <v>FOBFRI</v>
      </c>
      <c r="G26" s="5" t="str">
        <f>Taxepunkter!G35</f>
        <v>FOBFRI</v>
      </c>
      <c r="H26" s="5" t="str">
        <f>Taxepunkter!H35</f>
        <v>Nyckelfob mat- och restavfall fritidshus (engångs)</v>
      </c>
      <c r="I26" s="5" t="str">
        <f>Taxepunkter!I35</f>
        <v>KVAN</v>
      </c>
      <c r="J26" s="5">
        <f>Taxepunkter!J35</f>
        <v>1200</v>
      </c>
      <c r="K26" s="5">
        <f>Taxepunkter!K35</f>
        <v>0</v>
      </c>
      <c r="L26" s="11">
        <f>Taxepunkter!L35</f>
        <v>0</v>
      </c>
    </row>
    <row r="27" spans="1:12" x14ac:dyDescent="0.25">
      <c r="A27" s="10" t="str">
        <f>Taxepunkter!A36</f>
        <v>§2.2.3</v>
      </c>
      <c r="B27" s="5" t="str">
        <f>Taxepunkter!B36</f>
        <v>Gemensam uppsamlingsplats inom hämtningsområde X</v>
      </c>
      <c r="C27" s="5" t="str">
        <f>Taxepunkter!C36</f>
        <v>Byte av telefonnummer kopplat till licens</v>
      </c>
      <c r="D27" s="5">
        <f>Taxepunkter!D36</f>
        <v>0</v>
      </c>
      <c r="E27" s="5" t="str">
        <f>Taxepunkter!E36</f>
        <v>st/tillfälle</v>
      </c>
      <c r="F27" s="5" t="str">
        <f>Taxepunkter!F36</f>
        <v>GEMUPPBYTE</v>
      </c>
      <c r="G27" s="5" t="str">
        <f>Taxepunkter!G36</f>
        <v>GEMUPPBYTE</v>
      </c>
      <c r="H27" s="5" t="str">
        <f>Taxepunkter!H36</f>
        <v/>
      </c>
      <c r="I27" s="5" t="str">
        <f>Taxepunkter!I36</f>
        <v/>
      </c>
      <c r="J27" s="5" t="str">
        <f>Taxepunkter!J36</f>
        <v/>
      </c>
      <c r="K27" s="5">
        <f>Taxepunkter!K36</f>
        <v>0</v>
      </c>
      <c r="L27" s="11">
        <f>Taxepunkter!L36</f>
        <v>0</v>
      </c>
    </row>
    <row r="28" spans="1:12" x14ac:dyDescent="0.25">
      <c r="A28" s="10" t="str">
        <f>Taxepunkter!A37</f>
        <v>§2.2.3</v>
      </c>
      <c r="B28" s="5" t="str">
        <f>Taxepunkter!B37</f>
        <v>Gemensam uppsamlingsplats inom hämtningsområde X</v>
      </c>
      <c r="C28" s="5" t="str">
        <f>Taxepunkter!C37</f>
        <v>Kostnad för öppning av behållare</v>
      </c>
      <c r="D28" s="5">
        <f>Taxepunkter!D37</f>
        <v>0</v>
      </c>
      <c r="E28" s="5" t="str">
        <f>Taxepunkter!E37</f>
        <v>st/tillfälle</v>
      </c>
      <c r="F28" s="5" t="str">
        <f>Taxepunkter!F37</f>
        <v>GEMUPPÖPP</v>
      </c>
      <c r="G28" s="5" t="str">
        <f>Taxepunkter!G37</f>
        <v>GEMUPPÖPP</v>
      </c>
      <c r="H28" s="5" t="str">
        <f>Taxepunkter!H37</f>
        <v/>
      </c>
      <c r="I28" s="5" t="str">
        <f>Taxepunkter!I37</f>
        <v/>
      </c>
      <c r="J28" s="5" t="str">
        <f>Taxepunkter!J37</f>
        <v/>
      </c>
      <c r="K28" s="5">
        <f>Taxepunkter!K37</f>
        <v>0</v>
      </c>
      <c r="L28" s="11">
        <f>Taxepunkter!L37</f>
        <v>0</v>
      </c>
    </row>
    <row r="29" spans="1:12" x14ac:dyDescent="0.25">
      <c r="A29" s="10" t="str">
        <f>Taxepunkter!A38</f>
        <v>§2.2.3</v>
      </c>
      <c r="B29" s="5">
        <f>Taxepunkter!B38</f>
        <v>0</v>
      </c>
      <c r="C29" s="5">
        <f>Taxepunkter!C38</f>
        <v>0</v>
      </c>
      <c r="D29" s="5">
        <f>Taxepunkter!D38</f>
        <v>0</v>
      </c>
      <c r="E29" s="5">
        <f>Taxepunkter!E38</f>
        <v>0</v>
      </c>
      <c r="F29" s="5">
        <f>Taxepunkter!F38</f>
        <v>0</v>
      </c>
      <c r="G29" s="5" t="str">
        <f>Taxepunkter!G38</f>
        <v/>
      </c>
      <c r="H29" s="5" t="str">
        <f>Taxepunkter!H38</f>
        <v/>
      </c>
      <c r="I29" s="5" t="str">
        <f>Taxepunkter!I38</f>
        <v/>
      </c>
      <c r="J29" s="5" t="str">
        <f>Taxepunkter!J38</f>
        <v/>
      </c>
      <c r="K29" s="5">
        <f>Taxepunkter!K38</f>
        <v>0</v>
      </c>
      <c r="L29" s="11">
        <f>Taxepunkter!L38</f>
        <v>0</v>
      </c>
    </row>
    <row r="30" spans="1:12" x14ac:dyDescent="0.25">
      <c r="A30" s="10" t="str">
        <f>Taxepunkter!A39</f>
        <v>§2.2.4 Hämtningsavgift per år för flerbostadshus</v>
      </c>
      <c r="B30" s="5">
        <f>Taxepunkter!B39</f>
        <v>0</v>
      </c>
      <c r="C30" s="5">
        <f>Taxepunkter!C39</f>
        <v>0</v>
      </c>
      <c r="D30" s="5">
        <f>Taxepunkter!D39</f>
        <v>0</v>
      </c>
      <c r="E30" s="5">
        <f>Taxepunkter!E39</f>
        <v>0</v>
      </c>
      <c r="F30" s="5">
        <f>Taxepunkter!F39</f>
        <v>0</v>
      </c>
      <c r="G30" s="5" t="str">
        <f>Taxepunkter!G39</f>
        <v/>
      </c>
      <c r="H30" s="5" t="str">
        <f>Taxepunkter!H39</f>
        <v/>
      </c>
      <c r="I30" s="5" t="str">
        <f>Taxepunkter!I39</f>
        <v/>
      </c>
      <c r="J30" s="5" t="str">
        <f>Taxepunkter!J39</f>
        <v/>
      </c>
      <c r="K30" s="5">
        <f>Taxepunkter!K39</f>
        <v>0</v>
      </c>
      <c r="L30" s="11">
        <f>Taxepunkter!L39</f>
        <v>0</v>
      </c>
    </row>
    <row r="31" spans="1:12" x14ac:dyDescent="0.25">
      <c r="A31" s="10" t="str">
        <f>Taxepunkter!A40</f>
        <v>§2.2.4</v>
      </c>
      <c r="B31" s="5" t="str">
        <f>Taxepunkter!B40</f>
        <v>Hämtningsavgift per år för flerbostadshus</v>
      </c>
      <c r="C31" s="5" t="str">
        <f>Taxepunkter!C40</f>
        <v>Kärl 240 l (mat-/restavfall)</v>
      </c>
      <c r="D31" s="5" t="str">
        <f>Taxepunkter!D40</f>
        <v>Hämtning varje vecka</v>
      </c>
      <c r="E31" s="5" t="str">
        <f>Taxepunkter!E40</f>
        <v>st/år</v>
      </c>
      <c r="F31" s="5" t="str">
        <f>Taxepunkter!F40</f>
        <v>KÄ240RM52FV</v>
      </c>
      <c r="G31" s="5" t="str">
        <f>Taxepunkter!G40</f>
        <v>KÄ240RM52FV</v>
      </c>
      <c r="H31" s="5" t="str">
        <f>Taxepunkter!H40</f>
        <v>Tvåfackskärl 240L, rest/matavfall. Varje vecka. FLB/VHT</v>
      </c>
      <c r="I31" s="5" t="str">
        <f>Taxepunkter!I40</f>
        <v>ÅRKV</v>
      </c>
      <c r="J31" s="5">
        <f>Taxepunkter!J40</f>
        <v>1000</v>
      </c>
      <c r="K31" s="5">
        <f>Taxepunkter!K40</f>
        <v>0</v>
      </c>
      <c r="L31" s="11">
        <f>Taxepunkter!L40</f>
        <v>0</v>
      </c>
    </row>
    <row r="32" spans="1:12" x14ac:dyDescent="0.25">
      <c r="A32" s="10" t="str">
        <f>Taxepunkter!A41</f>
        <v>§2.2.4</v>
      </c>
      <c r="B32" s="5" t="str">
        <f>Taxepunkter!B41</f>
        <v>Hämtningsavgift per år för flerbostadshus</v>
      </c>
      <c r="C32" s="5" t="str">
        <f>Taxepunkter!C41</f>
        <v>Kärl 240 l (mat-/restavfall)</v>
      </c>
      <c r="D32" s="5" t="str">
        <f>Taxepunkter!D41</f>
        <v>Hämtning var 14:e dag</v>
      </c>
      <c r="E32" s="5" t="str">
        <f>Taxepunkter!E41</f>
        <v>st/år</v>
      </c>
      <c r="F32" s="5" t="str">
        <f>Taxepunkter!F41</f>
        <v>KÄ240RM26FV</v>
      </c>
      <c r="G32" s="5" t="str">
        <f>Taxepunkter!G41</f>
        <v>KÄ240RM26FV</v>
      </c>
      <c r="H32" s="5" t="str">
        <f>Taxepunkter!H41</f>
        <v>Tvåfackskärl 240L, rest/matavfall. Var 14:e dag. FLB/VHT</v>
      </c>
      <c r="I32" s="5" t="str">
        <f>Taxepunkter!I41</f>
        <v>ÅRKV</v>
      </c>
      <c r="J32" s="5">
        <f>Taxepunkter!J41</f>
        <v>680</v>
      </c>
      <c r="K32" s="5">
        <f>Taxepunkter!K41</f>
        <v>0</v>
      </c>
      <c r="L32" s="11">
        <f>Taxepunkter!L41</f>
        <v>0</v>
      </c>
    </row>
    <row r="33" spans="1:12" x14ac:dyDescent="0.25">
      <c r="A33" s="10" t="str">
        <f>Taxepunkter!A42</f>
        <v>§2.2.4</v>
      </c>
      <c r="B33" s="5" t="str">
        <f>Taxepunkter!B42</f>
        <v>Hämtningsavgift per år för flerbostadshus</v>
      </c>
      <c r="C33" s="5" t="str">
        <f>Taxepunkter!C42</f>
        <v>Kärl 240 l (mat-/restavfall)</v>
      </c>
      <c r="D33" s="5" t="str">
        <f>Taxepunkter!D42</f>
        <v>Hämtning månadsvis</v>
      </c>
      <c r="E33" s="5" t="str">
        <f>Taxepunkter!E42</f>
        <v>st/år</v>
      </c>
      <c r="F33" s="5" t="str">
        <f>Taxepunkter!F42</f>
        <v>KÄ240RM12FV</v>
      </c>
      <c r="G33" s="5" t="str">
        <f>Taxepunkter!G42</f>
        <v>KÄ240RM12FV</v>
      </c>
      <c r="H33" s="5" t="str">
        <f>Taxepunkter!H42</f>
        <v/>
      </c>
      <c r="I33" s="5" t="str">
        <f>Taxepunkter!I42</f>
        <v/>
      </c>
      <c r="J33" s="5" t="str">
        <f>Taxepunkter!J42</f>
        <v/>
      </c>
      <c r="K33" s="5">
        <f>Taxepunkter!K42</f>
        <v>0</v>
      </c>
      <c r="L33" s="11">
        <f>Taxepunkter!L42</f>
        <v>0</v>
      </c>
    </row>
    <row r="34" spans="1:12" x14ac:dyDescent="0.25">
      <c r="A34" s="10" t="str">
        <f>Taxepunkter!A43</f>
        <v>§2.2.4</v>
      </c>
      <c r="B34" s="5" t="str">
        <f>Taxepunkter!B43</f>
        <v>Hämtningsavgift per år för flerbostadshus</v>
      </c>
      <c r="C34" s="5" t="str">
        <f>Taxepunkter!C43</f>
        <v>Kärl 370 l (restavfall)</v>
      </c>
      <c r="D34" s="5" t="str">
        <f>Taxepunkter!D43</f>
        <v>Hämtning varje vecka</v>
      </c>
      <c r="E34" s="5" t="str">
        <f>Taxepunkter!E43</f>
        <v>st/år</v>
      </c>
      <c r="F34" s="5" t="str">
        <f>Taxepunkter!F43</f>
        <v>KÄ370RE52FV</v>
      </c>
      <c r="G34" s="5" t="str">
        <f>Taxepunkter!G43</f>
        <v>KÄ370RE52FV</v>
      </c>
      <c r="H34" s="5" t="str">
        <f>Taxepunkter!H43</f>
        <v>Kärl 370L, restavfall. Varje vecka. FLB/VHT</v>
      </c>
      <c r="I34" s="5" t="str">
        <f>Taxepunkter!I43</f>
        <v>ÅRKV</v>
      </c>
      <c r="J34" s="5">
        <f>Taxepunkter!J43</f>
        <v>2000</v>
      </c>
      <c r="K34" s="5">
        <f>Taxepunkter!K43</f>
        <v>0</v>
      </c>
      <c r="L34" s="11">
        <f>Taxepunkter!L43</f>
        <v>0</v>
      </c>
    </row>
    <row r="35" spans="1:12" x14ac:dyDescent="0.25">
      <c r="A35" s="10" t="str">
        <f>Taxepunkter!A44</f>
        <v>§2.2.4</v>
      </c>
      <c r="B35" s="5" t="str">
        <f>Taxepunkter!B44</f>
        <v>Hämtningsavgift per år för flerbostadshus</v>
      </c>
      <c r="C35" s="5" t="str">
        <f>Taxepunkter!C44</f>
        <v>Kärl 370 l (restavfall)</v>
      </c>
      <c r="D35" s="5" t="str">
        <f>Taxepunkter!D44</f>
        <v>Hämtning var 14:e dag</v>
      </c>
      <c r="E35" s="5" t="str">
        <f>Taxepunkter!E44</f>
        <v>st/år</v>
      </c>
      <c r="F35" s="5" t="str">
        <f>Taxepunkter!F44</f>
        <v>KÄ370RE26FV</v>
      </c>
      <c r="G35" s="5" t="str">
        <f>Taxepunkter!G44</f>
        <v>KÄ370RE26FV</v>
      </c>
      <c r="H35" s="5" t="str">
        <f>Taxepunkter!H44</f>
        <v>Kärl 370L, restavfall. Var 14:e dag. FLB/VHT</v>
      </c>
      <c r="I35" s="5" t="str">
        <f>Taxepunkter!I44</f>
        <v>ÅRKV</v>
      </c>
      <c r="J35" s="5">
        <f>Taxepunkter!J44</f>
        <v>800</v>
      </c>
      <c r="K35" s="5">
        <f>Taxepunkter!K44</f>
        <v>0</v>
      </c>
      <c r="L35" s="11">
        <f>Taxepunkter!L44</f>
        <v>0</v>
      </c>
    </row>
    <row r="36" spans="1:12" x14ac:dyDescent="0.25">
      <c r="A36" s="10" t="str">
        <f>Taxepunkter!A45</f>
        <v>§2.2.4</v>
      </c>
      <c r="B36" s="5" t="str">
        <f>Taxepunkter!B45</f>
        <v>Hämtningsavgift per år för flerbostadshus</v>
      </c>
      <c r="C36" s="5" t="str">
        <f>Taxepunkter!C45</f>
        <v>Kärl 370 l (restavfall)</v>
      </c>
      <c r="D36" s="5" t="str">
        <f>Taxepunkter!D45</f>
        <v>Hämtning månadsvis</v>
      </c>
      <c r="E36" s="5" t="str">
        <f>Taxepunkter!E45</f>
        <v>st/år</v>
      </c>
      <c r="F36" s="5" t="str">
        <f>Taxepunkter!F45</f>
        <v>KÄ370RE12FV</v>
      </c>
      <c r="G36" s="5" t="str">
        <f>Taxepunkter!G45</f>
        <v>KÄ370RE12FV</v>
      </c>
      <c r="H36" s="5" t="str">
        <f>Taxepunkter!H45</f>
        <v/>
      </c>
      <c r="I36" s="5" t="str">
        <f>Taxepunkter!I45</f>
        <v/>
      </c>
      <c r="J36" s="5" t="str">
        <f>Taxepunkter!J45</f>
        <v/>
      </c>
      <c r="K36" s="5">
        <f>Taxepunkter!K45</f>
        <v>0</v>
      </c>
      <c r="L36" s="11">
        <f>Taxepunkter!L45</f>
        <v>0</v>
      </c>
    </row>
    <row r="37" spans="1:12" x14ac:dyDescent="0.25">
      <c r="A37" s="10" t="str">
        <f>Taxepunkter!A46</f>
        <v>§2.2.4</v>
      </c>
      <c r="B37" s="5" t="str">
        <f>Taxepunkter!B46</f>
        <v>Hämtningsavgift per år för flerbostadshus</v>
      </c>
      <c r="C37" s="5" t="str">
        <f>Taxepunkter!C46</f>
        <v>Kärl 660 l (restavfall)</v>
      </c>
      <c r="D37" s="5" t="str">
        <f>Taxepunkter!D46</f>
        <v>Hämtning varje vecka</v>
      </c>
      <c r="E37" s="5" t="str">
        <f>Taxepunkter!E46</f>
        <v>st/år</v>
      </c>
      <c r="F37" s="5" t="str">
        <f>Taxepunkter!F46</f>
        <v>KÄ660RE52FV</v>
      </c>
      <c r="G37" s="5" t="str">
        <f>Taxepunkter!G46</f>
        <v>KÄ660RE52FV</v>
      </c>
      <c r="H37" s="5" t="str">
        <f>Taxepunkter!H46</f>
        <v>Kärl 660L, restavfall. Varje vecka. FLB/VHT</v>
      </c>
      <c r="I37" s="5" t="str">
        <f>Taxepunkter!I46</f>
        <v>ÅRKV</v>
      </c>
      <c r="J37" s="5">
        <f>Taxepunkter!J46</f>
        <v>3600</v>
      </c>
      <c r="K37" s="5">
        <f>Taxepunkter!K46</f>
        <v>0</v>
      </c>
      <c r="L37" s="11">
        <f>Taxepunkter!L46</f>
        <v>0</v>
      </c>
    </row>
    <row r="38" spans="1:12" x14ac:dyDescent="0.25">
      <c r="A38" s="10" t="str">
        <f>Taxepunkter!A47</f>
        <v>§2.2.4</v>
      </c>
      <c r="B38" s="5" t="str">
        <f>Taxepunkter!B47</f>
        <v>Hämtningsavgift per år för flerbostadshus</v>
      </c>
      <c r="C38" s="5" t="str">
        <f>Taxepunkter!C47</f>
        <v>Kärl 660 l (restavfall)</v>
      </c>
      <c r="D38" s="5" t="str">
        <f>Taxepunkter!D47</f>
        <v>Hämtning var 14:e dag</v>
      </c>
      <c r="E38" s="5" t="str">
        <f>Taxepunkter!E47</f>
        <v>st/år</v>
      </c>
      <c r="F38" s="5" t="str">
        <f>Taxepunkter!F47</f>
        <v>KÄ660RE26FV</v>
      </c>
      <c r="G38" s="5" t="str">
        <f>Taxepunkter!G47</f>
        <v>KÄ660RE26FV</v>
      </c>
      <c r="H38" s="5" t="str">
        <f>Taxepunkter!H47</f>
        <v>Kärl 660L, restavfall. Var 14:e dag FLB/VHT</v>
      </c>
      <c r="I38" s="5" t="str">
        <f>Taxepunkter!I47</f>
        <v>ÅRKV</v>
      </c>
      <c r="J38" s="5">
        <f>Taxepunkter!J47</f>
        <v>1680</v>
      </c>
      <c r="K38" s="5">
        <f>Taxepunkter!K47</f>
        <v>0</v>
      </c>
      <c r="L38" s="11">
        <f>Taxepunkter!L47</f>
        <v>0</v>
      </c>
    </row>
    <row r="39" spans="1:12" x14ac:dyDescent="0.25">
      <c r="A39" s="10" t="str">
        <f>Taxepunkter!A48</f>
        <v>§2.2.4</v>
      </c>
      <c r="B39" s="5" t="str">
        <f>Taxepunkter!B48</f>
        <v>Hämtningsavgift per år för flerbostadshus</v>
      </c>
      <c r="C39" s="5" t="str">
        <f>Taxepunkter!C48</f>
        <v>Kärl 660 l (restavfall)</v>
      </c>
      <c r="D39" s="5" t="str">
        <f>Taxepunkter!D48</f>
        <v>Hämtning månadsvis</v>
      </c>
      <c r="E39" s="5" t="str">
        <f>Taxepunkter!E48</f>
        <v>st/år</v>
      </c>
      <c r="F39" s="5" t="str">
        <f>Taxepunkter!F48</f>
        <v>KÄ660RE12FV</v>
      </c>
      <c r="G39" s="5" t="str">
        <f>Taxepunkter!G48</f>
        <v>KÄ660RE12FV</v>
      </c>
      <c r="H39" s="5" t="str">
        <f>Taxepunkter!H48</f>
        <v/>
      </c>
      <c r="I39" s="5" t="str">
        <f>Taxepunkter!I48</f>
        <v/>
      </c>
      <c r="J39" s="5" t="str">
        <f>Taxepunkter!J48</f>
        <v/>
      </c>
      <c r="K39" s="5">
        <f>Taxepunkter!K48</f>
        <v>0</v>
      </c>
      <c r="L39" s="11">
        <f>Taxepunkter!L48</f>
        <v>0</v>
      </c>
    </row>
    <row r="40" spans="1:12" x14ac:dyDescent="0.25">
      <c r="A40" s="10" t="str">
        <f>Taxepunkter!A49</f>
        <v>§2.2.4</v>
      </c>
      <c r="B40" s="5" t="str">
        <f>Taxepunkter!B49</f>
        <v>Hämtningsavgift per år för flerbostadshus</v>
      </c>
      <c r="C40" s="5" t="str">
        <f>Taxepunkter!C49</f>
        <v>Kärl 140 l (matavfall)</v>
      </c>
      <c r="D40" s="5" t="str">
        <f>Taxepunkter!D49</f>
        <v>Hämtning varje vecka</v>
      </c>
      <c r="E40" s="5" t="str">
        <f>Taxepunkter!E49</f>
        <v>st/år</v>
      </c>
      <c r="F40" s="5" t="str">
        <f>Taxepunkter!F49</f>
        <v>KÄ140MA52FV</v>
      </c>
      <c r="G40" s="5" t="str">
        <f>Taxepunkter!G49</f>
        <v>KÄ140MA52FV</v>
      </c>
      <c r="H40" s="5" t="str">
        <f>Taxepunkter!H49</f>
        <v>Kärl 140L, matavfall. Varje vecka. FLB/VHT</v>
      </c>
      <c r="I40" s="5" t="str">
        <f>Taxepunkter!I49</f>
        <v>ÅRKV</v>
      </c>
      <c r="J40" s="5">
        <f>Taxepunkter!J49</f>
        <v>1240</v>
      </c>
      <c r="K40" s="5">
        <f>Taxepunkter!K49</f>
        <v>0</v>
      </c>
      <c r="L40" s="11">
        <f>Taxepunkter!L49</f>
        <v>0</v>
      </c>
    </row>
    <row r="41" spans="1:12" x14ac:dyDescent="0.25">
      <c r="A41" s="10" t="str">
        <f>Taxepunkter!A50</f>
        <v>§2.2.4</v>
      </c>
      <c r="B41" s="5" t="str">
        <f>Taxepunkter!B50</f>
        <v>Hämtningsavgift per år för flerbostadshus</v>
      </c>
      <c r="C41" s="5" t="str">
        <f>Taxepunkter!C50</f>
        <v>Kärl 140 l (matavfall)</v>
      </c>
      <c r="D41" s="5" t="str">
        <f>Taxepunkter!D50</f>
        <v>Hämtning var 14:e dag</v>
      </c>
      <c r="E41" s="5" t="str">
        <f>Taxepunkter!E50</f>
        <v>st/år</v>
      </c>
      <c r="F41" s="5" t="str">
        <f>Taxepunkter!F50</f>
        <v>KÄ140MA26FV</v>
      </c>
      <c r="G41" s="5" t="str">
        <f>Taxepunkter!G50</f>
        <v>KÄ140MA26FV</v>
      </c>
      <c r="H41" s="5" t="str">
        <f>Taxepunkter!H50</f>
        <v>Kärl 140L, matavfall. Var 14:e dag. FLB/VHT</v>
      </c>
      <c r="I41" s="5" t="str">
        <f>Taxepunkter!I50</f>
        <v>ÅRKV</v>
      </c>
      <c r="J41" s="5">
        <f>Taxepunkter!J50</f>
        <v>480</v>
      </c>
      <c r="K41" s="5">
        <f>Taxepunkter!K50</f>
        <v>0</v>
      </c>
      <c r="L41" s="11">
        <f>Taxepunkter!L50</f>
        <v>0</v>
      </c>
    </row>
    <row r="42" spans="1:12" x14ac:dyDescent="0.25">
      <c r="A42" s="10" t="str">
        <f>Taxepunkter!A51</f>
        <v>§2.2.4</v>
      </c>
      <c r="B42" s="5" t="str">
        <f>Taxepunkter!B51</f>
        <v>Hämtningsavgift per år för flerbostadshus</v>
      </c>
      <c r="C42" s="5" t="str">
        <f>Taxepunkter!C51</f>
        <v>Kärl 140 l (matavfall)</v>
      </c>
      <c r="D42" s="5" t="str">
        <f>Taxepunkter!D51</f>
        <v>Hämtning månadsvis</v>
      </c>
      <c r="E42" s="5" t="str">
        <f>Taxepunkter!E51</f>
        <v>st/år</v>
      </c>
      <c r="F42" s="5" t="str">
        <f>Taxepunkter!F51</f>
        <v>KÄ140MA12FV</v>
      </c>
      <c r="G42" s="5" t="str">
        <f>Taxepunkter!G51</f>
        <v>KÄ140MA12FV</v>
      </c>
      <c r="H42" s="5" t="str">
        <f>Taxepunkter!H51</f>
        <v/>
      </c>
      <c r="I42" s="5" t="str">
        <f>Taxepunkter!I51</f>
        <v/>
      </c>
      <c r="J42" s="5" t="str">
        <f>Taxepunkter!J51</f>
        <v/>
      </c>
      <c r="K42" s="5">
        <f>Taxepunkter!K51</f>
        <v>0</v>
      </c>
      <c r="L42" s="11">
        <f>Taxepunkter!L51</f>
        <v>0</v>
      </c>
    </row>
    <row r="43" spans="1:12" x14ac:dyDescent="0.25">
      <c r="A43" s="10" t="str">
        <f>Taxepunkter!A52</f>
        <v>§2.2.4</v>
      </c>
      <c r="B43" s="5" t="str">
        <f>Taxepunkter!B52</f>
        <v>Hämtningsavgift per år för flerbostadshus</v>
      </c>
      <c r="C43" s="5" t="str">
        <f>Taxepunkter!C52</f>
        <v>Kärl 190 l (förpackningar)</v>
      </c>
      <c r="D43" s="5" t="str">
        <f>Taxepunkter!D52</f>
        <v>Hämtning varje vecka</v>
      </c>
      <c r="E43" s="5" t="str">
        <f>Taxepunkter!E52</f>
        <v>st/år</v>
      </c>
      <c r="F43" s="5" t="str">
        <f>Taxepunkter!F52</f>
        <v>KÄ190FP52FV</v>
      </c>
      <c r="G43" s="5" t="str">
        <f>Taxepunkter!G52</f>
        <v>KÄ190FP52FV</v>
      </c>
      <c r="H43" s="5" t="str">
        <f>Taxepunkter!H52</f>
        <v/>
      </c>
      <c r="I43" s="5" t="str">
        <f>Taxepunkter!I52</f>
        <v/>
      </c>
      <c r="J43" s="5" t="str">
        <f>Taxepunkter!J52</f>
        <v/>
      </c>
      <c r="K43" s="5">
        <f>Taxepunkter!K52</f>
        <v>0</v>
      </c>
      <c r="L43" s="11">
        <f>Taxepunkter!L52</f>
        <v>0</v>
      </c>
    </row>
    <row r="44" spans="1:12" x14ac:dyDescent="0.25">
      <c r="A44" s="10" t="str">
        <f>Taxepunkter!A53</f>
        <v>§2.2.4</v>
      </c>
      <c r="B44" s="5" t="str">
        <f>Taxepunkter!B53</f>
        <v>Hämtningsavgift per år för flerbostadshus</v>
      </c>
      <c r="C44" s="5" t="str">
        <f>Taxepunkter!C53</f>
        <v>Kärl 190 l (förpackningar)</v>
      </c>
      <c r="D44" s="5" t="str">
        <f>Taxepunkter!D53</f>
        <v>Hämtning var 14:e dag</v>
      </c>
      <c r="E44" s="5" t="str">
        <f>Taxepunkter!E53</f>
        <v>st/år</v>
      </c>
      <c r="F44" s="5" t="str">
        <f>Taxepunkter!F53</f>
        <v>KÄ190FP26FV</v>
      </c>
      <c r="G44" s="5" t="str">
        <f>Taxepunkter!G53</f>
        <v>KÄ190FP26FV</v>
      </c>
      <c r="H44" s="5" t="str">
        <f>Taxepunkter!H53</f>
        <v/>
      </c>
      <c r="I44" s="5" t="str">
        <f>Taxepunkter!I53</f>
        <v/>
      </c>
      <c r="J44" s="5" t="str">
        <f>Taxepunkter!J53</f>
        <v/>
      </c>
      <c r="K44" s="5">
        <f>Taxepunkter!K53</f>
        <v>0</v>
      </c>
      <c r="L44" s="11">
        <f>Taxepunkter!L53</f>
        <v>0</v>
      </c>
    </row>
    <row r="45" spans="1:12" x14ac:dyDescent="0.25">
      <c r="A45" s="10" t="str">
        <f>Taxepunkter!A54</f>
        <v>§2.2.4</v>
      </c>
      <c r="B45" s="5" t="str">
        <f>Taxepunkter!B54</f>
        <v>Hämtningsavgift per år för flerbostadshus</v>
      </c>
      <c r="C45" s="5" t="str">
        <f>Taxepunkter!C54</f>
        <v>Kärl 190 l (förpackningar)</v>
      </c>
      <c r="D45" s="5" t="str">
        <f>Taxepunkter!D54</f>
        <v>Hämtning månadsvis</v>
      </c>
      <c r="E45" s="5" t="str">
        <f>Taxepunkter!E54</f>
        <v>st/år</v>
      </c>
      <c r="F45" s="5" t="str">
        <f>Taxepunkter!F54</f>
        <v>KÄ190FP12FV</v>
      </c>
      <c r="G45" s="5" t="str">
        <f>Taxepunkter!G54</f>
        <v>KÄ190FP12FV</v>
      </c>
      <c r="H45" s="5" t="str">
        <f>Taxepunkter!H54</f>
        <v/>
      </c>
      <c r="I45" s="5" t="str">
        <f>Taxepunkter!I54</f>
        <v/>
      </c>
      <c r="J45" s="5" t="str">
        <f>Taxepunkter!J54</f>
        <v/>
      </c>
      <c r="K45" s="5">
        <f>Taxepunkter!K54</f>
        <v>0</v>
      </c>
      <c r="L45" s="11">
        <f>Taxepunkter!L54</f>
        <v>0</v>
      </c>
    </row>
    <row r="46" spans="1:12" x14ac:dyDescent="0.25">
      <c r="A46" s="10" t="str">
        <f>Taxepunkter!A55</f>
        <v>§2.2.4</v>
      </c>
      <c r="B46" s="5" t="str">
        <f>Taxepunkter!B55</f>
        <v>Hämtningsavgift per år för flerbostadshus</v>
      </c>
      <c r="C46" s="5" t="str">
        <f>Taxepunkter!C55</f>
        <v>Kärl 370 l (förpackningar)</v>
      </c>
      <c r="D46" s="5" t="str">
        <f>Taxepunkter!D55</f>
        <v>Hämtning varje vecka</v>
      </c>
      <c r="E46" s="5" t="str">
        <f>Taxepunkter!E55</f>
        <v>st/år</v>
      </c>
      <c r="F46" s="5" t="str">
        <f>Taxepunkter!F55</f>
        <v>KÄ370FP52FV</v>
      </c>
      <c r="G46" s="5" t="str">
        <f>Taxepunkter!G55</f>
        <v>KÄ370FP52FV</v>
      </c>
      <c r="H46" s="5" t="str">
        <f>Taxepunkter!H55</f>
        <v/>
      </c>
      <c r="I46" s="5" t="str">
        <f>Taxepunkter!I55</f>
        <v/>
      </c>
      <c r="J46" s="5" t="str">
        <f>Taxepunkter!J55</f>
        <v/>
      </c>
      <c r="K46" s="5">
        <f>Taxepunkter!K55</f>
        <v>0</v>
      </c>
      <c r="L46" s="11">
        <f>Taxepunkter!L55</f>
        <v>0</v>
      </c>
    </row>
    <row r="47" spans="1:12" x14ac:dyDescent="0.25">
      <c r="A47" s="10" t="str">
        <f>Taxepunkter!A56</f>
        <v>§2.2.4</v>
      </c>
      <c r="B47" s="5" t="str">
        <f>Taxepunkter!B56</f>
        <v>Hämtningsavgift per år för flerbostadshus</v>
      </c>
      <c r="C47" s="5" t="str">
        <f>Taxepunkter!C56</f>
        <v>Kärl 370 l (förpackningar)</v>
      </c>
      <c r="D47" s="5" t="str">
        <f>Taxepunkter!D56</f>
        <v>Hämtning var 14:e dag</v>
      </c>
      <c r="E47" s="5" t="str">
        <f>Taxepunkter!E56</f>
        <v>st/år</v>
      </c>
      <c r="F47" s="5" t="str">
        <f>Taxepunkter!F56</f>
        <v>KÄ370FP26FV</v>
      </c>
      <c r="G47" s="5" t="str">
        <f>Taxepunkter!G56</f>
        <v>KÄ370FP26FV</v>
      </c>
      <c r="H47" s="5" t="str">
        <f>Taxepunkter!H56</f>
        <v/>
      </c>
      <c r="I47" s="5" t="str">
        <f>Taxepunkter!I56</f>
        <v/>
      </c>
      <c r="J47" s="5" t="str">
        <f>Taxepunkter!J56</f>
        <v/>
      </c>
      <c r="K47" s="5">
        <f>Taxepunkter!K56</f>
        <v>0</v>
      </c>
      <c r="L47" s="11">
        <f>Taxepunkter!L56</f>
        <v>0</v>
      </c>
    </row>
    <row r="48" spans="1:12" x14ac:dyDescent="0.25">
      <c r="A48" s="10" t="str">
        <f>Taxepunkter!A57</f>
        <v>§2.2.4</v>
      </c>
      <c r="B48" s="5" t="str">
        <f>Taxepunkter!B57</f>
        <v>Hämtningsavgift per år för flerbostadshus</v>
      </c>
      <c r="C48" s="5" t="str">
        <f>Taxepunkter!C57</f>
        <v>Kärl 370 l (förpackningar)</v>
      </c>
      <c r="D48" s="5" t="str">
        <f>Taxepunkter!D57</f>
        <v>Hämtning månadsvis</v>
      </c>
      <c r="E48" s="5" t="str">
        <f>Taxepunkter!E57</f>
        <v>st/år</v>
      </c>
      <c r="F48" s="5" t="str">
        <f>Taxepunkter!F57</f>
        <v>KÄ370FP12FV</v>
      </c>
      <c r="G48" s="5" t="str">
        <f>Taxepunkter!G57</f>
        <v>KÄ370FP12FV</v>
      </c>
      <c r="H48" s="5" t="str">
        <f>Taxepunkter!H57</f>
        <v/>
      </c>
      <c r="I48" s="5" t="str">
        <f>Taxepunkter!I57</f>
        <v/>
      </c>
      <c r="J48" s="5" t="str">
        <f>Taxepunkter!J57</f>
        <v/>
      </c>
      <c r="K48" s="5">
        <f>Taxepunkter!K57</f>
        <v>0</v>
      </c>
      <c r="L48" s="11">
        <f>Taxepunkter!L57</f>
        <v>0</v>
      </c>
    </row>
    <row r="49" spans="1:12" x14ac:dyDescent="0.25">
      <c r="A49" s="10" t="str">
        <f>Taxepunkter!A59</f>
        <v>§2.2.4</v>
      </c>
      <c r="B49" s="5" t="str">
        <f>Taxepunkter!B59</f>
        <v>Hämtningsavgift per år för flerbostadshus</v>
      </c>
      <c r="C49" s="5" t="str">
        <f>Taxepunkter!C59</f>
        <v>Kärl 660 l (förpackningar)</v>
      </c>
      <c r="D49" s="5" t="str">
        <f>Taxepunkter!D59</f>
        <v>Hämtning var 14:e dag</v>
      </c>
      <c r="E49" s="5" t="str">
        <f>Taxepunkter!E59</f>
        <v>st/år</v>
      </c>
      <c r="F49" s="5" t="str">
        <f>Taxepunkter!F59</f>
        <v>KÄ660FP26FV</v>
      </c>
      <c r="G49" s="5" t="str">
        <f>Taxepunkter!G59</f>
        <v>KÄ660FP26FV</v>
      </c>
      <c r="H49" s="5" t="str">
        <f>Taxepunkter!H59</f>
        <v/>
      </c>
      <c r="I49" s="5" t="str">
        <f>Taxepunkter!I59</f>
        <v/>
      </c>
      <c r="J49" s="5" t="str">
        <f>Taxepunkter!J59</f>
        <v/>
      </c>
      <c r="K49" s="5">
        <f>Taxepunkter!K59</f>
        <v>0</v>
      </c>
      <c r="L49" s="11">
        <f>Taxepunkter!L59</f>
        <v>0</v>
      </c>
    </row>
    <row r="50" spans="1:12" x14ac:dyDescent="0.25">
      <c r="A50" s="10" t="str">
        <f>Taxepunkter!A60</f>
        <v>§2.2.4</v>
      </c>
      <c r="B50" s="5" t="str">
        <f>Taxepunkter!B60</f>
        <v>Hämtningsavgift per år för flerbostadshus</v>
      </c>
      <c r="C50" s="5" t="str">
        <f>Taxepunkter!C60</f>
        <v>Kärl 660 l (förpackningar)</v>
      </c>
      <c r="D50" s="5" t="str">
        <f>Taxepunkter!D60</f>
        <v>Hämtning månadsvis</v>
      </c>
      <c r="E50" s="5" t="str">
        <f>Taxepunkter!E60</f>
        <v>st/år</v>
      </c>
      <c r="F50" s="5" t="str">
        <f>Taxepunkter!F60</f>
        <v>KÄ660FP12FV</v>
      </c>
      <c r="G50" s="5" t="str">
        <f>Taxepunkter!G60</f>
        <v>KÄ660FP12FV</v>
      </c>
      <c r="H50" s="5" t="str">
        <f>Taxepunkter!H60</f>
        <v/>
      </c>
      <c r="I50" s="5" t="str">
        <f>Taxepunkter!I60</f>
        <v/>
      </c>
      <c r="J50" s="5" t="str">
        <f>Taxepunkter!J60</f>
        <v/>
      </c>
      <c r="K50" s="5">
        <f>Taxepunkter!K60</f>
        <v>0</v>
      </c>
      <c r="L50" s="11">
        <f>Taxepunkter!L60</f>
        <v>0</v>
      </c>
    </row>
    <row r="51" spans="1:12" x14ac:dyDescent="0.25">
      <c r="A51" s="10" t="str">
        <f>Taxepunkter!A61</f>
        <v>§2.2.4</v>
      </c>
      <c r="B51" s="5" t="str">
        <f>Taxepunkter!B61</f>
        <v>Hämtningsavgift per år för flerbostadshus</v>
      </c>
      <c r="C51" s="5" t="str">
        <f>Taxepunkter!C61</f>
        <v>Kärl 190 l (tidningar och returpapper)</v>
      </c>
      <c r="D51" s="5" t="str">
        <f>Taxepunkter!D61</f>
        <v>Hämtning varje vecka</v>
      </c>
      <c r="E51" s="5" t="str">
        <f>Taxepunkter!E61</f>
        <v>st/år</v>
      </c>
      <c r="F51" s="5" t="str">
        <f>Taxepunkter!F61</f>
        <v>KÄ190TI52FV</v>
      </c>
      <c r="G51" s="5" t="str">
        <f>Taxepunkter!G61</f>
        <v>KÄ190TI52FV</v>
      </c>
      <c r="H51" s="5" t="str">
        <f>Taxepunkter!H61</f>
        <v/>
      </c>
      <c r="I51" s="5" t="str">
        <f>Taxepunkter!I61</f>
        <v/>
      </c>
      <c r="J51" s="5" t="str">
        <f>Taxepunkter!J61</f>
        <v/>
      </c>
      <c r="K51" s="5">
        <f>Taxepunkter!K61</f>
        <v>0</v>
      </c>
      <c r="L51" s="11">
        <f>Taxepunkter!L61</f>
        <v>0</v>
      </c>
    </row>
    <row r="52" spans="1:12" x14ac:dyDescent="0.25">
      <c r="A52" s="10" t="str">
        <f>Taxepunkter!A62</f>
        <v>§2.2.4</v>
      </c>
      <c r="B52" s="5" t="str">
        <f>Taxepunkter!B62</f>
        <v>Hämtningsavgift per år för flerbostadshus</v>
      </c>
      <c r="C52" s="5" t="str">
        <f>Taxepunkter!C62</f>
        <v>Kärl 190 l (tidningar och returpapper)</v>
      </c>
      <c r="D52" s="5" t="str">
        <f>Taxepunkter!D62</f>
        <v>Hämtning var 14:e dag</v>
      </c>
      <c r="E52" s="5" t="str">
        <f>Taxepunkter!E62</f>
        <v>st/år</v>
      </c>
      <c r="F52" s="5" t="str">
        <f>Taxepunkter!F62</f>
        <v>KÄ190TI26FV</v>
      </c>
      <c r="G52" s="5" t="str">
        <f>Taxepunkter!G62</f>
        <v>KÄ190TI26FV</v>
      </c>
      <c r="H52" s="5" t="str">
        <f>Taxepunkter!H62</f>
        <v/>
      </c>
      <c r="I52" s="5" t="str">
        <f>Taxepunkter!I62</f>
        <v/>
      </c>
      <c r="J52" s="5" t="str">
        <f>Taxepunkter!J62</f>
        <v/>
      </c>
      <c r="K52" s="5">
        <f>Taxepunkter!K62</f>
        <v>0</v>
      </c>
      <c r="L52" s="11">
        <f>Taxepunkter!L62</f>
        <v>0</v>
      </c>
    </row>
    <row r="53" spans="1:12" x14ac:dyDescent="0.25">
      <c r="A53" s="10" t="str">
        <f>Taxepunkter!A63</f>
        <v>§2.2.4</v>
      </c>
      <c r="B53" s="5" t="str">
        <f>Taxepunkter!B63</f>
        <v>Hämtningsavgift per år för flerbostadshus</v>
      </c>
      <c r="C53" s="5" t="str">
        <f>Taxepunkter!C63</f>
        <v>Kärl 190 l (tidningar och returpapper)</v>
      </c>
      <c r="D53" s="5" t="str">
        <f>Taxepunkter!D63</f>
        <v>Hämtning månadsvis</v>
      </c>
      <c r="E53" s="5" t="str">
        <f>Taxepunkter!E63</f>
        <v>st/år</v>
      </c>
      <c r="F53" s="5" t="str">
        <f>Taxepunkter!F63</f>
        <v>KÄ190TI12FV</v>
      </c>
      <c r="G53" s="5" t="str">
        <f>Taxepunkter!G63</f>
        <v>KÄ190TI12FV</v>
      </c>
      <c r="H53" s="5" t="str">
        <f>Taxepunkter!H63</f>
        <v/>
      </c>
      <c r="I53" s="5" t="str">
        <f>Taxepunkter!I63</f>
        <v/>
      </c>
      <c r="J53" s="5" t="str">
        <f>Taxepunkter!J63</f>
        <v/>
      </c>
      <c r="K53" s="5">
        <f>Taxepunkter!K63</f>
        <v>0</v>
      </c>
      <c r="L53" s="11">
        <f>Taxepunkter!L63</f>
        <v>0</v>
      </c>
    </row>
    <row r="54" spans="1:12" x14ac:dyDescent="0.25">
      <c r="A54" s="10" t="str">
        <f>Taxepunkter!A64</f>
        <v>§2.2.4</v>
      </c>
      <c r="B54" s="5" t="str">
        <f>Taxepunkter!B64</f>
        <v>Hämtningsavgift per år för flerbostadshus</v>
      </c>
      <c r="C54" s="5" t="str">
        <f>Taxepunkter!C64</f>
        <v>Kärl 370 l (tidningar och returpapper)</v>
      </c>
      <c r="D54" s="5" t="str">
        <f>Taxepunkter!D64</f>
        <v>Hämtning varje vecka</v>
      </c>
      <c r="E54" s="5" t="str">
        <f>Taxepunkter!E64</f>
        <v>st/år</v>
      </c>
      <c r="F54" s="5" t="str">
        <f>Taxepunkter!F64</f>
        <v>KÄ370TI52FV</v>
      </c>
      <c r="G54" s="5" t="str">
        <f>Taxepunkter!G64</f>
        <v>KÄ370TI52FV</v>
      </c>
      <c r="H54" s="5" t="str">
        <f>Taxepunkter!H64</f>
        <v/>
      </c>
      <c r="I54" s="5" t="str">
        <f>Taxepunkter!I64</f>
        <v/>
      </c>
      <c r="J54" s="5" t="str">
        <f>Taxepunkter!J64</f>
        <v/>
      </c>
      <c r="K54" s="5">
        <f>Taxepunkter!K64</f>
        <v>0</v>
      </c>
      <c r="L54" s="11">
        <f>Taxepunkter!L64</f>
        <v>0</v>
      </c>
    </row>
    <row r="55" spans="1:12" x14ac:dyDescent="0.25">
      <c r="A55" s="10" t="str">
        <f>Taxepunkter!A65</f>
        <v>§2.2.4</v>
      </c>
      <c r="B55" s="5" t="str">
        <f>Taxepunkter!B65</f>
        <v>Hämtningsavgift per år för flerbostadshus</v>
      </c>
      <c r="C55" s="5" t="str">
        <f>Taxepunkter!C65</f>
        <v>Kärl 370 l (tidningar och returpapper)</v>
      </c>
      <c r="D55" s="5" t="str">
        <f>Taxepunkter!D65</f>
        <v>Hämtning var 14:e dag</v>
      </c>
      <c r="E55" s="5" t="str">
        <f>Taxepunkter!E65</f>
        <v>st/år</v>
      </c>
      <c r="F55" s="5" t="str">
        <f>Taxepunkter!F65</f>
        <v>KÄ370TI26FV</v>
      </c>
      <c r="G55" s="5" t="str">
        <f>Taxepunkter!G65</f>
        <v>KÄ370TI26FV</v>
      </c>
      <c r="H55" s="5" t="str">
        <f>Taxepunkter!H65</f>
        <v/>
      </c>
      <c r="I55" s="5" t="str">
        <f>Taxepunkter!I65</f>
        <v/>
      </c>
      <c r="J55" s="5" t="str">
        <f>Taxepunkter!J65</f>
        <v/>
      </c>
      <c r="K55" s="5">
        <f>Taxepunkter!K65</f>
        <v>0</v>
      </c>
      <c r="L55" s="11">
        <f>Taxepunkter!L65</f>
        <v>0</v>
      </c>
    </row>
    <row r="56" spans="1:12" x14ac:dyDescent="0.25">
      <c r="A56" s="10" t="str">
        <f>Taxepunkter!A66</f>
        <v>§2.2.4</v>
      </c>
      <c r="B56" s="5" t="str">
        <f>Taxepunkter!B66</f>
        <v>Hämtningsavgift per år för flerbostadshus</v>
      </c>
      <c r="C56" s="5" t="str">
        <f>Taxepunkter!C66</f>
        <v>Kärl 370 l (tidningar och returpapper)</v>
      </c>
      <c r="D56" s="5" t="str">
        <f>Taxepunkter!D66</f>
        <v>Hämtning månadsvis</v>
      </c>
      <c r="E56" s="5" t="str">
        <f>Taxepunkter!E66</f>
        <v>st/år</v>
      </c>
      <c r="F56" s="5" t="str">
        <f>Taxepunkter!F66</f>
        <v>KÄ370TI12FV</v>
      </c>
      <c r="G56" s="5" t="str">
        <f>Taxepunkter!G66</f>
        <v>KÄ370TI12FV</v>
      </c>
      <c r="H56" s="5" t="str">
        <f>Taxepunkter!H66</f>
        <v/>
      </c>
      <c r="I56" s="5" t="str">
        <f>Taxepunkter!I66</f>
        <v/>
      </c>
      <c r="J56" s="5" t="str">
        <f>Taxepunkter!J66</f>
        <v/>
      </c>
      <c r="K56" s="5">
        <f>Taxepunkter!K66</f>
        <v>0</v>
      </c>
      <c r="L56" s="11">
        <f>Taxepunkter!L66</f>
        <v>0</v>
      </c>
    </row>
    <row r="57" spans="1:12" x14ac:dyDescent="0.25">
      <c r="A57" s="10" t="str">
        <f>Taxepunkter!A67</f>
        <v>§2.2.4</v>
      </c>
      <c r="B57" s="5" t="str">
        <f>Taxepunkter!B67</f>
        <v>Hämtningsavgift per år för flerbostadshus</v>
      </c>
      <c r="C57" s="5" t="str">
        <f>Taxepunkter!C67</f>
        <v>Bottentömmande behållare (mat-/restavfall, förpackningar)</v>
      </c>
      <c r="D57" s="5" t="str">
        <f>Taxepunkter!D67</f>
        <v>Avgift per tömning</v>
      </c>
      <c r="E57" s="5" t="str">
        <f>Taxepunkter!E67</f>
        <v>st/tömning</v>
      </c>
      <c r="F57" s="5" t="str">
        <f>Taxepunkter!F67</f>
        <v>MBRMFPFV</v>
      </c>
      <c r="G57" s="5" t="str">
        <f>Taxepunkter!G67</f>
        <v>MBRMFPFV</v>
      </c>
      <c r="H57" s="5" t="str">
        <f>Taxepunkter!H67</f>
        <v/>
      </c>
      <c r="I57" s="5" t="str">
        <f>Taxepunkter!I67</f>
        <v/>
      </c>
      <c r="J57" s="5" t="str">
        <f>Taxepunkter!J67</f>
        <v/>
      </c>
      <c r="K57" s="5">
        <f>Taxepunkter!K67</f>
        <v>0</v>
      </c>
      <c r="L57" s="11">
        <f>Taxepunkter!L67</f>
        <v>0</v>
      </c>
    </row>
    <row r="58" spans="1:12" x14ac:dyDescent="0.25">
      <c r="A58" s="10" t="str">
        <f>Taxepunkter!A68</f>
        <v>§2.2.4</v>
      </c>
      <c r="B58" s="5" t="str">
        <f>Taxepunkter!B68</f>
        <v>Hämtningsavgift per år för flerbostadshus</v>
      </c>
      <c r="C58" s="5" t="str">
        <f>Taxepunkter!C68</f>
        <v>Bottentömmande behållare (mat-/restavfall, förpackningar)</v>
      </c>
      <c r="D58" s="5" t="str">
        <f>Taxepunkter!D68</f>
        <v>Tillägg för två tömningar per vecka</v>
      </c>
      <c r="E58" s="5" t="str">
        <f>Taxepunkter!E68</f>
        <v>st/tömning</v>
      </c>
      <c r="F58" s="5" t="str">
        <f>Taxepunkter!F68</f>
        <v>MBRMFP2VFV</v>
      </c>
      <c r="G58" s="5" t="str">
        <f>Taxepunkter!G68</f>
        <v>MBRMFP2VFV</v>
      </c>
      <c r="H58" s="5" t="str">
        <f>Taxepunkter!H68</f>
        <v/>
      </c>
      <c r="I58" s="5" t="str">
        <f>Taxepunkter!I68</f>
        <v/>
      </c>
      <c r="J58" s="5" t="str">
        <f>Taxepunkter!J68</f>
        <v/>
      </c>
      <c r="K58" s="5">
        <f>Taxepunkter!K68</f>
        <v>0</v>
      </c>
      <c r="L58" s="11">
        <f>Taxepunkter!L68</f>
        <v>0</v>
      </c>
    </row>
    <row r="59" spans="1:12" x14ac:dyDescent="0.25">
      <c r="A59" s="10" t="str">
        <f>Taxepunkter!A69</f>
        <v>§2.2.4</v>
      </c>
      <c r="B59" s="5" t="str">
        <f>Taxepunkter!B69</f>
        <v>Hämtningsavgift per år för flerbostadshus</v>
      </c>
      <c r="C59" s="5" t="str">
        <f>Taxepunkter!C69</f>
        <v>Gemensam uppsamlingsplats för mat-/restavfall, förpackningar</v>
      </c>
      <c r="D59" s="5" t="str">
        <f>Taxepunkter!D69</f>
        <v>Avgift per lägenhet</v>
      </c>
      <c r="E59" s="5" t="str">
        <f>Taxepunkter!E69</f>
        <v>lägenhet/år</v>
      </c>
      <c r="F59" s="5" t="str">
        <f>Taxepunkter!F69</f>
        <v>GEMUPPMRFPFLB</v>
      </c>
      <c r="G59" s="5" t="str">
        <f>Taxepunkter!G69</f>
        <v>GEMUPPMRFPFLB</v>
      </c>
      <c r="H59" s="5" t="str">
        <f>Taxepunkter!H69</f>
        <v/>
      </c>
      <c r="I59" s="5" t="str">
        <f>Taxepunkter!I69</f>
        <v/>
      </c>
      <c r="J59" s="5" t="str">
        <f>Taxepunkter!J69</f>
        <v/>
      </c>
      <c r="K59" s="5">
        <f>Taxepunkter!K69</f>
        <v>0</v>
      </c>
      <c r="L59" s="11">
        <f>Taxepunkter!L69</f>
        <v>0</v>
      </c>
    </row>
    <row r="60" spans="1:12" x14ac:dyDescent="0.25">
      <c r="A60" s="10" t="str">
        <f>Taxepunkter!A70</f>
        <v>§2.2.4</v>
      </c>
      <c r="B60" s="5">
        <f>Taxepunkter!B70</f>
        <v>0</v>
      </c>
      <c r="C60" s="5">
        <f>Taxepunkter!C70</f>
        <v>0</v>
      </c>
      <c r="D60" s="5">
        <f>Taxepunkter!D70</f>
        <v>0</v>
      </c>
      <c r="E60" s="5">
        <f>Taxepunkter!E70</f>
        <v>0</v>
      </c>
      <c r="F60" s="5">
        <f>Taxepunkter!F70</f>
        <v>0</v>
      </c>
      <c r="G60" s="5" t="str">
        <f>Taxepunkter!G70</f>
        <v/>
      </c>
      <c r="H60" s="5" t="str">
        <f>Taxepunkter!H70</f>
        <v/>
      </c>
      <c r="I60" s="5" t="str">
        <f>Taxepunkter!I70</f>
        <v/>
      </c>
      <c r="J60" s="5" t="str">
        <f>Taxepunkter!J70</f>
        <v/>
      </c>
      <c r="K60" s="5">
        <f>Taxepunkter!K70</f>
        <v>0</v>
      </c>
      <c r="L60" s="11">
        <f>Taxepunkter!L70</f>
        <v>0</v>
      </c>
    </row>
    <row r="61" spans="1:12" x14ac:dyDescent="0.25">
      <c r="A61" s="10" t="str">
        <f>Taxepunkter!A71</f>
        <v>§2.2.5 Hämtningsavgift per år för verksamheter</v>
      </c>
      <c r="B61" s="5">
        <f>Taxepunkter!B71</f>
        <v>0</v>
      </c>
      <c r="C61" s="5">
        <f>Taxepunkter!C71</f>
        <v>0</v>
      </c>
      <c r="D61" s="5">
        <f>Taxepunkter!D71</f>
        <v>0</v>
      </c>
      <c r="E61" s="5">
        <f>Taxepunkter!E71</f>
        <v>0</v>
      </c>
      <c r="F61" s="5">
        <f>Taxepunkter!F71</f>
        <v>0</v>
      </c>
      <c r="G61" s="5" t="str">
        <f>Taxepunkter!G71</f>
        <v/>
      </c>
      <c r="H61" s="5" t="str">
        <f>Taxepunkter!H71</f>
        <v/>
      </c>
      <c r="I61" s="5" t="str">
        <f>Taxepunkter!I71</f>
        <v/>
      </c>
      <c r="J61" s="5" t="str">
        <f>Taxepunkter!J71</f>
        <v/>
      </c>
      <c r="K61" s="5">
        <f>Taxepunkter!K71</f>
        <v>0</v>
      </c>
      <c r="L61" s="11">
        <f>Taxepunkter!L71</f>
        <v>0</v>
      </c>
    </row>
    <row r="62" spans="1:12" x14ac:dyDescent="0.25">
      <c r="A62" s="10" t="str">
        <f>Taxepunkter!A73</f>
        <v>§2.2.5</v>
      </c>
      <c r="B62" s="5" t="str">
        <f>Taxepunkter!B73</f>
        <v>Hämtningsavgift per år för verksamheter</v>
      </c>
      <c r="C62" s="5" t="str">
        <f>Taxepunkter!C73</f>
        <v>Kärl 240 l (mat-/restavfall)</v>
      </c>
      <c r="D62" s="5" t="str">
        <f>Taxepunkter!D73</f>
        <v>Hämtning var 14:e dag</v>
      </c>
      <c r="E62" s="5" t="str">
        <f>Taxepunkter!E73</f>
        <v>st/år</v>
      </c>
      <c r="F62" s="5" t="str">
        <f>Taxepunkter!F73</f>
        <v>KÄ240RM26FV</v>
      </c>
      <c r="G62" s="5" t="str">
        <f>Taxepunkter!G73</f>
        <v>KÄ240RM26FV</v>
      </c>
      <c r="H62" s="5" t="str">
        <f>Taxepunkter!H73</f>
        <v>Tvåfackskärl 240L, rest/matavfall. Var 14:e dag. FLB/VHT</v>
      </c>
      <c r="I62" s="5" t="str">
        <f>Taxepunkter!I73</f>
        <v>ÅRKV</v>
      </c>
      <c r="J62" s="5">
        <f>Taxepunkter!J73</f>
        <v>680</v>
      </c>
      <c r="K62" s="5">
        <f>Taxepunkter!K73</f>
        <v>0</v>
      </c>
      <c r="L62" s="11">
        <f>Taxepunkter!L73</f>
        <v>0</v>
      </c>
    </row>
    <row r="63" spans="1:12" x14ac:dyDescent="0.25">
      <c r="A63" s="10" t="str">
        <f>Taxepunkter!A74</f>
        <v>§2.2.5</v>
      </c>
      <c r="B63" s="5" t="str">
        <f>Taxepunkter!B74</f>
        <v>Hämtningsavgift per år för verksamheter</v>
      </c>
      <c r="C63" s="5" t="str">
        <f>Taxepunkter!C74</f>
        <v>Kärl 240 l (mat-/restavfall)</v>
      </c>
      <c r="D63" s="5" t="str">
        <f>Taxepunkter!D74</f>
        <v>Hämtning månadsvis</v>
      </c>
      <c r="E63" s="5" t="str">
        <f>Taxepunkter!E74</f>
        <v>st/år</v>
      </c>
      <c r="F63" s="5">
        <f>Taxepunkter!F74</f>
        <v>0</v>
      </c>
      <c r="G63" s="5" t="str">
        <f>Taxepunkter!G74</f>
        <v>KÄ240RM12FV</v>
      </c>
      <c r="H63" s="5" t="str">
        <f>Taxepunkter!H74</f>
        <v/>
      </c>
      <c r="I63" s="5" t="str">
        <f>Taxepunkter!I74</f>
        <v/>
      </c>
      <c r="J63" s="5" t="str">
        <f>Taxepunkter!J74</f>
        <v/>
      </c>
      <c r="K63" s="5">
        <f>Taxepunkter!K74</f>
        <v>0</v>
      </c>
      <c r="L63" s="11">
        <f>Taxepunkter!L74</f>
        <v>0</v>
      </c>
    </row>
    <row r="64" spans="1:12" x14ac:dyDescent="0.25">
      <c r="A64" s="10" t="str">
        <f>Taxepunkter!A75</f>
        <v>§2.2.5</v>
      </c>
      <c r="B64" s="5" t="str">
        <f>Taxepunkter!B75</f>
        <v>Hämtningsavgift per år för verksamheter</v>
      </c>
      <c r="C64" s="5" t="str">
        <f>Taxepunkter!C75</f>
        <v>Kärl 370 l (restavfall)</v>
      </c>
      <c r="D64" s="5" t="str">
        <f>Taxepunkter!D75</f>
        <v>Hämtning varje vecka</v>
      </c>
      <c r="E64" s="5" t="str">
        <f>Taxepunkter!E75</f>
        <v>st/år</v>
      </c>
      <c r="F64" s="5" t="str">
        <f>Taxepunkter!F75</f>
        <v>KÄ370RE52FV</v>
      </c>
      <c r="G64" s="5" t="str">
        <f>Taxepunkter!G75</f>
        <v>KÄ370RE52FV</v>
      </c>
      <c r="H64" s="5" t="str">
        <f>Taxepunkter!H75</f>
        <v>Kärl 370L, restavfall. Varje vecka. FLB/VHT</v>
      </c>
      <c r="I64" s="5" t="str">
        <f>Taxepunkter!I75</f>
        <v>ÅRKV</v>
      </c>
      <c r="J64" s="5">
        <f>Taxepunkter!J75</f>
        <v>2000</v>
      </c>
      <c r="K64" s="5">
        <f>Taxepunkter!K75</f>
        <v>0</v>
      </c>
      <c r="L64" s="11">
        <f>Taxepunkter!L75</f>
        <v>0</v>
      </c>
    </row>
    <row r="65" spans="1:12" x14ac:dyDescent="0.25">
      <c r="A65" s="10" t="str">
        <f>Taxepunkter!A77</f>
        <v>§2.2.5</v>
      </c>
      <c r="B65" s="5" t="str">
        <f>Taxepunkter!B77</f>
        <v>Hämtningsavgift per år för verksamheter</v>
      </c>
      <c r="C65" s="5" t="str">
        <f>Taxepunkter!C77</f>
        <v>Kärl 370 l (restavfall)</v>
      </c>
      <c r="D65" s="5" t="str">
        <f>Taxepunkter!D77</f>
        <v>Hämtning månadsvis</v>
      </c>
      <c r="E65" s="5" t="str">
        <f>Taxepunkter!E77</f>
        <v>st/år</v>
      </c>
      <c r="F65" s="5">
        <f>Taxepunkter!F77</f>
        <v>0</v>
      </c>
      <c r="G65" s="5" t="str">
        <f>Taxepunkter!G77</f>
        <v>KÄ370RE12FV</v>
      </c>
      <c r="H65" s="5" t="str">
        <f>Taxepunkter!H77</f>
        <v/>
      </c>
      <c r="I65" s="5" t="str">
        <f>Taxepunkter!I77</f>
        <v/>
      </c>
      <c r="J65" s="5" t="str">
        <f>Taxepunkter!J77</f>
        <v/>
      </c>
      <c r="K65" s="5">
        <f>Taxepunkter!K77</f>
        <v>0</v>
      </c>
      <c r="L65" s="11">
        <f>Taxepunkter!L77</f>
        <v>0</v>
      </c>
    </row>
    <row r="66" spans="1:12" x14ac:dyDescent="0.25">
      <c r="A66" s="10" t="str">
        <f>Taxepunkter!A78</f>
        <v>§2.2.5</v>
      </c>
      <c r="B66" s="5" t="str">
        <f>Taxepunkter!B78</f>
        <v>Hämtningsavgift per år för verksamheter</v>
      </c>
      <c r="C66" s="5" t="str">
        <f>Taxepunkter!C78</f>
        <v>Kärl 660 l (restavfall)</v>
      </c>
      <c r="D66" s="5" t="str">
        <f>Taxepunkter!D78</f>
        <v>Hämtning varje vecka</v>
      </c>
      <c r="E66" s="5" t="str">
        <f>Taxepunkter!E78</f>
        <v>st/år</v>
      </c>
      <c r="F66" s="5" t="str">
        <f>Taxepunkter!F78</f>
        <v>KÄ660RE52FV</v>
      </c>
      <c r="G66" s="5" t="str">
        <f>Taxepunkter!G78</f>
        <v>KÄ660RE52FV</v>
      </c>
      <c r="H66" s="5" t="str">
        <f>Taxepunkter!H78</f>
        <v>Kärl 660L, restavfall. Varje vecka. FLB/VHT</v>
      </c>
      <c r="I66" s="5" t="str">
        <f>Taxepunkter!I78</f>
        <v>ÅRKV</v>
      </c>
      <c r="J66" s="5">
        <f>Taxepunkter!J78</f>
        <v>3600</v>
      </c>
      <c r="K66" s="5">
        <f>Taxepunkter!K78</f>
        <v>0</v>
      </c>
      <c r="L66" s="11">
        <f>Taxepunkter!L78</f>
        <v>0</v>
      </c>
    </row>
    <row r="67" spans="1:12" x14ac:dyDescent="0.25">
      <c r="A67" s="10" t="str">
        <f>Taxepunkter!A80</f>
        <v>§2.2.5</v>
      </c>
      <c r="B67" s="5" t="str">
        <f>Taxepunkter!B80</f>
        <v>Hämtningsavgift per år för verksamheter</v>
      </c>
      <c r="C67" s="5" t="str">
        <f>Taxepunkter!C80</f>
        <v>Kärl 660 l (restavfall)</v>
      </c>
      <c r="D67" s="5" t="str">
        <f>Taxepunkter!D80</f>
        <v>Hämtning månadsvis</v>
      </c>
      <c r="E67" s="5" t="str">
        <f>Taxepunkter!E80</f>
        <v>st/år</v>
      </c>
      <c r="F67" s="5">
        <f>Taxepunkter!F80</f>
        <v>0</v>
      </c>
      <c r="G67" s="5" t="str">
        <f>Taxepunkter!G80</f>
        <v>KÄ660RE12FV</v>
      </c>
      <c r="H67" s="5" t="str">
        <f>Taxepunkter!H80</f>
        <v/>
      </c>
      <c r="I67" s="5" t="str">
        <f>Taxepunkter!I80</f>
        <v/>
      </c>
      <c r="J67" s="5" t="str">
        <f>Taxepunkter!J80</f>
        <v/>
      </c>
      <c r="K67" s="5">
        <f>Taxepunkter!K80</f>
        <v>0</v>
      </c>
      <c r="L67" s="11">
        <f>Taxepunkter!L80</f>
        <v>0</v>
      </c>
    </row>
    <row r="68" spans="1:12" x14ac:dyDescent="0.25">
      <c r="A68" s="10" t="str">
        <f>Taxepunkter!A81</f>
        <v>§2.2.5</v>
      </c>
      <c r="B68" s="5" t="str">
        <f>Taxepunkter!B81</f>
        <v>Hämtningsavgift per år för verksamheter</v>
      </c>
      <c r="C68" s="5" t="str">
        <f>Taxepunkter!C81</f>
        <v>Kärl 140 l (matavfall)</v>
      </c>
      <c r="D68" s="5" t="str">
        <f>Taxepunkter!D81</f>
        <v>Hämtning varje vecka</v>
      </c>
      <c r="E68" s="5" t="str">
        <f>Taxepunkter!E81</f>
        <v>st/år</v>
      </c>
      <c r="F68" s="5" t="str">
        <f>Taxepunkter!F81</f>
        <v>KÄ140MA52FV</v>
      </c>
      <c r="G68" s="5" t="str">
        <f>Taxepunkter!G81</f>
        <v>KÄ140MA52FV</v>
      </c>
      <c r="H68" s="5" t="str">
        <f>Taxepunkter!H81</f>
        <v>Kärl 140L, matavfall. Varje vecka. FLB/VHT</v>
      </c>
      <c r="I68" s="5" t="str">
        <f>Taxepunkter!I81</f>
        <v>ÅRKV</v>
      </c>
      <c r="J68" s="5">
        <f>Taxepunkter!J81</f>
        <v>1240</v>
      </c>
      <c r="K68" s="5">
        <f>Taxepunkter!K81</f>
        <v>0</v>
      </c>
      <c r="L68" s="11">
        <f>Taxepunkter!L81</f>
        <v>0</v>
      </c>
    </row>
    <row r="69" spans="1:12" x14ac:dyDescent="0.25">
      <c r="A69" s="10" t="str">
        <f>Taxepunkter!A83</f>
        <v>§2.2.5</v>
      </c>
      <c r="B69" s="5" t="str">
        <f>Taxepunkter!B83</f>
        <v>Hämtningsavgift per år för verksamheter</v>
      </c>
      <c r="C69" s="5" t="str">
        <f>Taxepunkter!C83</f>
        <v>Kärl 140 l (matavfall)</v>
      </c>
      <c r="D69" s="5" t="str">
        <f>Taxepunkter!D83</f>
        <v>Hämtning månadsvis</v>
      </c>
      <c r="E69" s="5" t="str">
        <f>Taxepunkter!E83</f>
        <v>st/år</v>
      </c>
      <c r="F69" s="5">
        <f>Taxepunkter!F83</f>
        <v>0</v>
      </c>
      <c r="G69" s="5" t="str">
        <f>Taxepunkter!G83</f>
        <v>KÄ140MA12FV</v>
      </c>
      <c r="H69" s="5" t="str">
        <f>Taxepunkter!H83</f>
        <v/>
      </c>
      <c r="I69" s="5" t="str">
        <f>Taxepunkter!I83</f>
        <v/>
      </c>
      <c r="J69" s="5" t="str">
        <f>Taxepunkter!J83</f>
        <v/>
      </c>
      <c r="K69" s="5">
        <f>Taxepunkter!K83</f>
        <v>0</v>
      </c>
      <c r="L69" s="11">
        <f>Taxepunkter!L83</f>
        <v>0</v>
      </c>
    </row>
    <row r="70" spans="1:12" x14ac:dyDescent="0.25">
      <c r="A70" s="10" t="str">
        <f>Taxepunkter!A85</f>
        <v>§2.2.5</v>
      </c>
      <c r="B70" s="5" t="str">
        <f>Taxepunkter!B85</f>
        <v>Hämtningsavgift per år för verksamheter</v>
      </c>
      <c r="C70" s="5" t="str">
        <f>Taxepunkter!C85</f>
        <v>Lastväxlarflak (restavfall)</v>
      </c>
      <c r="D70" s="5" t="str">
        <f>Taxepunkter!D85</f>
        <v>Avgift per tömning</v>
      </c>
      <c r="E70" s="5" t="str">
        <f>Taxepunkter!E85</f>
        <v>st/tömning</v>
      </c>
      <c r="F70" s="5" t="str">
        <f>Taxepunkter!F85</f>
        <v>LVREFV</v>
      </c>
      <c r="G70" s="5" t="str">
        <f>Taxepunkter!G85</f>
        <v>LVREFV</v>
      </c>
      <c r="H70" s="5" t="str">
        <f>Taxepunkter!H85</f>
        <v/>
      </c>
      <c r="I70" s="5" t="str">
        <f>Taxepunkter!I85</f>
        <v/>
      </c>
      <c r="J70" s="5" t="str">
        <f>Taxepunkter!J85</f>
        <v/>
      </c>
      <c r="K70" s="5">
        <f>Taxepunkter!K85</f>
        <v>0</v>
      </c>
      <c r="L70" s="11">
        <f>Taxepunkter!L85</f>
        <v>0</v>
      </c>
    </row>
    <row r="71" spans="1:12" x14ac:dyDescent="0.25">
      <c r="A71" s="10" t="str">
        <f>Taxepunkter!A86</f>
        <v>§2.2.5</v>
      </c>
      <c r="B71" s="5" t="str">
        <f>Taxepunkter!B86</f>
        <v>Hämtningsavgift per år för verksamheter</v>
      </c>
      <c r="C71" s="5" t="str">
        <f>Taxepunkter!C86</f>
        <v>Bottentömmande behållare (mat-/restavfall)</v>
      </c>
      <c r="D71" s="5" t="str">
        <f>Taxepunkter!D86</f>
        <v>Tillägg för två tömningar per vecka</v>
      </c>
      <c r="E71" s="5" t="str">
        <f>Taxepunkter!E86</f>
        <v>st/tömning</v>
      </c>
      <c r="F71" s="5" t="str">
        <f>Taxepunkter!F86</f>
        <v>MBRM2VFV</v>
      </c>
      <c r="G71" s="5" t="str">
        <f>Taxepunkter!G86</f>
        <v>MBRM2VFV</v>
      </c>
      <c r="H71" s="5" t="str">
        <f>Taxepunkter!H86</f>
        <v/>
      </c>
      <c r="I71" s="5" t="str">
        <f>Taxepunkter!I86</f>
        <v/>
      </c>
      <c r="J71" s="5" t="str">
        <f>Taxepunkter!J86</f>
        <v/>
      </c>
      <c r="K71" s="5">
        <f>Taxepunkter!K86</f>
        <v>0</v>
      </c>
      <c r="L71" s="11">
        <f>Taxepunkter!L86</f>
        <v>0</v>
      </c>
    </row>
    <row r="72" spans="1:12" x14ac:dyDescent="0.25">
      <c r="A72" s="10" t="str">
        <f>Taxepunkter!A87</f>
        <v>§2.2.5</v>
      </c>
      <c r="B72" s="5">
        <f>Taxepunkter!B87</f>
        <v>0</v>
      </c>
      <c r="C72" s="5">
        <f>Taxepunkter!C87</f>
        <v>0</v>
      </c>
      <c r="D72" s="5">
        <f>Taxepunkter!D87</f>
        <v>0</v>
      </c>
      <c r="E72" s="5">
        <f>Taxepunkter!E87</f>
        <v>0</v>
      </c>
      <c r="F72" s="5">
        <f>Taxepunkter!F87</f>
        <v>0</v>
      </c>
      <c r="G72" s="5" t="str">
        <f>Taxepunkter!G87</f>
        <v/>
      </c>
      <c r="H72" s="5" t="str">
        <f>Taxepunkter!H87</f>
        <v/>
      </c>
      <c r="I72" s="5" t="str">
        <f>Taxepunkter!I87</f>
        <v/>
      </c>
      <c r="J72" s="5" t="str">
        <f>Taxepunkter!J87</f>
        <v/>
      </c>
      <c r="K72" s="5">
        <f>Taxepunkter!K87</f>
        <v>0</v>
      </c>
      <c r="L72" s="11">
        <f>Taxepunkter!L87</f>
        <v>0</v>
      </c>
    </row>
    <row r="73" spans="1:12" x14ac:dyDescent="0.25">
      <c r="A73" s="10" t="str">
        <f>Taxepunkter!A88</f>
        <v>§2.2.6 Hämtningsavgift per år för verksamhet inom detaljhandeln med beviljad hantering av kommunalt avfall</v>
      </c>
      <c r="B73" s="5">
        <f>Taxepunkter!B88</f>
        <v>0</v>
      </c>
      <c r="C73" s="5">
        <f>Taxepunkter!C88</f>
        <v>0</v>
      </c>
      <c r="D73" s="5">
        <f>Taxepunkter!D88</f>
        <v>0</v>
      </c>
      <c r="E73" s="5">
        <f>Taxepunkter!E88</f>
        <v>0</v>
      </c>
      <c r="F73" s="5">
        <f>Taxepunkter!F88</f>
        <v>0</v>
      </c>
      <c r="G73" s="5" t="str">
        <f>Taxepunkter!G88</f>
        <v/>
      </c>
      <c r="H73" s="5" t="str">
        <f>Taxepunkter!H88</f>
        <v/>
      </c>
      <c r="I73" s="5" t="str">
        <f>Taxepunkter!I88</f>
        <v/>
      </c>
      <c r="J73" s="5" t="str">
        <f>Taxepunkter!J88</f>
        <v/>
      </c>
      <c r="K73" s="5">
        <f>Taxepunkter!K88</f>
        <v>0</v>
      </c>
      <c r="L73" s="11">
        <f>Taxepunkter!L88</f>
        <v>0</v>
      </c>
    </row>
    <row r="74" spans="1:12" x14ac:dyDescent="0.25">
      <c r="A74" s="10" t="str">
        <f>Taxepunkter!A89</f>
        <v>§2.2.6</v>
      </c>
      <c r="B74" s="5" t="str">
        <f>Taxepunkter!B89</f>
        <v>Hämtningsavgift per år för verksamhet inom detaljhandeln med beviljad hantering av kommunalt avfall</v>
      </c>
      <c r="C74" s="5" t="str">
        <f>Taxepunkter!C89</f>
        <v>Kärl 240 l (mat-/restavfall)</v>
      </c>
      <c r="D74" s="5" t="str">
        <f>Taxepunkter!D89</f>
        <v>Hämtning varje vecka</v>
      </c>
      <c r="E74" s="5" t="str">
        <f>Taxepunkter!E89</f>
        <v>st/år</v>
      </c>
      <c r="F74" s="5" t="str">
        <f>Taxepunkter!F89</f>
        <v>KÄ240RM52DH</v>
      </c>
      <c r="G74" s="5" t="str">
        <f>Taxepunkter!G89</f>
        <v>KÄ240RM52DH</v>
      </c>
      <c r="H74" s="5" t="str">
        <f>Taxepunkter!H89</f>
        <v/>
      </c>
      <c r="I74" s="5" t="str">
        <f>Taxepunkter!I89</f>
        <v/>
      </c>
      <c r="J74" s="5" t="str">
        <f>Taxepunkter!J89</f>
        <v/>
      </c>
      <c r="K74" s="5">
        <f>Taxepunkter!K89</f>
        <v>0</v>
      </c>
      <c r="L74" s="11">
        <f>Taxepunkter!L89</f>
        <v>0</v>
      </c>
    </row>
    <row r="75" spans="1:12" x14ac:dyDescent="0.25">
      <c r="A75" s="10" t="str">
        <f>Taxepunkter!A90</f>
        <v>§2.2.6</v>
      </c>
      <c r="B75" s="5" t="str">
        <f>Taxepunkter!B90</f>
        <v>Hämtningsavgift per år för verksamhet inom detaljhandeln med beviljad hantering av kommunalt avfall</v>
      </c>
      <c r="C75" s="5" t="str">
        <f>Taxepunkter!C90</f>
        <v>Kärl 240 l (mat-/restavfall)</v>
      </c>
      <c r="D75" s="5" t="str">
        <f>Taxepunkter!D90</f>
        <v>Hämtning var 14:e dag</v>
      </c>
      <c r="E75" s="5" t="str">
        <f>Taxepunkter!E90</f>
        <v>st/år</v>
      </c>
      <c r="F75" s="5" t="str">
        <f>Taxepunkter!F90</f>
        <v>KÄ240RM26DH</v>
      </c>
      <c r="G75" s="5" t="str">
        <f>Taxepunkter!G90</f>
        <v>KÄ240RM26DH</v>
      </c>
      <c r="H75" s="5" t="str">
        <f>Taxepunkter!H90</f>
        <v/>
      </c>
      <c r="I75" s="5" t="str">
        <f>Taxepunkter!I90</f>
        <v/>
      </c>
      <c r="J75" s="5" t="str">
        <f>Taxepunkter!J90</f>
        <v/>
      </c>
      <c r="K75" s="5">
        <f>Taxepunkter!K90</f>
        <v>0</v>
      </c>
      <c r="L75" s="11">
        <f>Taxepunkter!L90</f>
        <v>0</v>
      </c>
    </row>
    <row r="76" spans="1:12" x14ac:dyDescent="0.25">
      <c r="A76" s="10" t="str">
        <f>Taxepunkter!A92</f>
        <v>§2.2.6</v>
      </c>
      <c r="B76" s="5" t="str">
        <f>Taxepunkter!B92</f>
        <v>Hämtningsavgift per år för verksamhet inom detaljhandeln med beviljad hantering av kommunalt avfall</v>
      </c>
      <c r="C76" s="5" t="str">
        <f>Taxepunkter!C92</f>
        <v>Kärl 370 l (restavfall)</v>
      </c>
      <c r="D76" s="5" t="str">
        <f>Taxepunkter!D92</f>
        <v>Hämtning varje vecka</v>
      </c>
      <c r="E76" s="5" t="str">
        <f>Taxepunkter!E92</f>
        <v>st/år</v>
      </c>
      <c r="F76" s="5" t="str">
        <f>Taxepunkter!F92</f>
        <v>KÄ370RE52DH</v>
      </c>
      <c r="G76" s="5" t="str">
        <f>Taxepunkter!G92</f>
        <v>KÄ370RE52DH</v>
      </c>
      <c r="H76" s="5" t="str">
        <f>Taxepunkter!H92</f>
        <v/>
      </c>
      <c r="I76" s="5" t="str">
        <f>Taxepunkter!I92</f>
        <v/>
      </c>
      <c r="J76" s="5" t="str">
        <f>Taxepunkter!J92</f>
        <v/>
      </c>
      <c r="K76" s="5">
        <f>Taxepunkter!K92</f>
        <v>0</v>
      </c>
      <c r="L76" s="11">
        <f>Taxepunkter!L92</f>
        <v>0</v>
      </c>
    </row>
    <row r="77" spans="1:12" x14ac:dyDescent="0.25">
      <c r="A77" s="10" t="str">
        <f>Taxepunkter!A93</f>
        <v>§2.2.6</v>
      </c>
      <c r="B77" s="5" t="str">
        <f>Taxepunkter!B93</f>
        <v>Hämtningsavgift per år för verksamhet inom detaljhandeln med beviljad hantering av kommunalt avfall</v>
      </c>
      <c r="C77" s="5" t="str">
        <f>Taxepunkter!C93</f>
        <v>Kärl 370 l (restavfall)</v>
      </c>
      <c r="D77" s="5" t="str">
        <f>Taxepunkter!D93</f>
        <v>Hämtning var 14:e dag</v>
      </c>
      <c r="E77" s="5" t="str">
        <f>Taxepunkter!E93</f>
        <v>st/år</v>
      </c>
      <c r="F77" s="5" t="str">
        <f>Taxepunkter!F93</f>
        <v>KÄ370RE26DH</v>
      </c>
      <c r="G77" s="5" t="str">
        <f>Taxepunkter!G93</f>
        <v>KÄ370RE26DH</v>
      </c>
      <c r="H77" s="5" t="str">
        <f>Taxepunkter!H93</f>
        <v/>
      </c>
      <c r="I77" s="5" t="str">
        <f>Taxepunkter!I93</f>
        <v/>
      </c>
      <c r="J77" s="5" t="str">
        <f>Taxepunkter!J93</f>
        <v/>
      </c>
      <c r="K77" s="5">
        <f>Taxepunkter!K93</f>
        <v>0</v>
      </c>
      <c r="L77" s="11">
        <f>Taxepunkter!L93</f>
        <v>0</v>
      </c>
    </row>
    <row r="78" spans="1:12" x14ac:dyDescent="0.25">
      <c r="A78" s="10" t="str">
        <f>Taxepunkter!A95</f>
        <v>§2.2.6</v>
      </c>
      <c r="B78" s="5" t="str">
        <f>Taxepunkter!B95</f>
        <v>Hämtningsavgift per år för verksamhet inom detaljhandeln med beviljad hantering av kommunalt avfall</v>
      </c>
      <c r="C78" s="5" t="str">
        <f>Taxepunkter!C95</f>
        <v>Kärl 660 l (restavfall)</v>
      </c>
      <c r="D78" s="5" t="str">
        <f>Taxepunkter!D95</f>
        <v>Hämtning varje vecka</v>
      </c>
      <c r="E78" s="5" t="str">
        <f>Taxepunkter!E95</f>
        <v>st/år</v>
      </c>
      <c r="F78" s="5" t="str">
        <f>Taxepunkter!F95</f>
        <v>KÄ660RE52DH</v>
      </c>
      <c r="G78" s="5" t="str">
        <f>Taxepunkter!G95</f>
        <v>KÄ660RE52DH</v>
      </c>
      <c r="H78" s="5" t="str">
        <f>Taxepunkter!H95</f>
        <v/>
      </c>
      <c r="I78" s="5" t="str">
        <f>Taxepunkter!I95</f>
        <v/>
      </c>
      <c r="J78" s="5" t="str">
        <f>Taxepunkter!J95</f>
        <v/>
      </c>
      <c r="K78" s="5">
        <f>Taxepunkter!K95</f>
        <v>0</v>
      </c>
      <c r="L78" s="11">
        <f>Taxepunkter!L95</f>
        <v>0</v>
      </c>
    </row>
    <row r="79" spans="1:12" x14ac:dyDescent="0.25">
      <c r="A79" s="10" t="str">
        <f>Taxepunkter!A96</f>
        <v>§2.2.6</v>
      </c>
      <c r="B79" s="5" t="str">
        <f>Taxepunkter!B96</f>
        <v>Hämtningsavgift per år för verksamhet inom detaljhandeln med beviljad hantering av kommunalt avfall</v>
      </c>
      <c r="C79" s="5" t="str">
        <f>Taxepunkter!C96</f>
        <v>Kärl 660 l (restavfall)</v>
      </c>
      <c r="D79" s="5" t="str">
        <f>Taxepunkter!D96</f>
        <v>Hämtning var 14:e dag</v>
      </c>
      <c r="E79" s="5" t="str">
        <f>Taxepunkter!E96</f>
        <v>st/år</v>
      </c>
      <c r="F79" s="5" t="str">
        <f>Taxepunkter!F96</f>
        <v>KÄ660RE26DH</v>
      </c>
      <c r="G79" s="5" t="str">
        <f>Taxepunkter!G96</f>
        <v>KÄ660RE26DH</v>
      </c>
      <c r="H79" s="5" t="str">
        <f>Taxepunkter!H96</f>
        <v/>
      </c>
      <c r="I79" s="5" t="str">
        <f>Taxepunkter!I96</f>
        <v/>
      </c>
      <c r="J79" s="5" t="str">
        <f>Taxepunkter!J96</f>
        <v/>
      </c>
      <c r="K79" s="5">
        <f>Taxepunkter!K96</f>
        <v>0</v>
      </c>
      <c r="L79" s="11">
        <f>Taxepunkter!L96</f>
        <v>0</v>
      </c>
    </row>
    <row r="80" spans="1:12" x14ac:dyDescent="0.25">
      <c r="A80" s="10" t="str">
        <f>Taxepunkter!A98</f>
        <v>§2.2.6</v>
      </c>
      <c r="B80" s="5" t="str">
        <f>Taxepunkter!B98</f>
        <v>Hämtningsavgift per år för verksamhet inom detaljhandeln med beviljad hantering av kommunalt avfall</v>
      </c>
      <c r="C80" s="5" t="str">
        <f>Taxepunkter!C98</f>
        <v>Kärl 140 l (matavfall)</v>
      </c>
      <c r="D80" s="5" t="str">
        <f>Taxepunkter!D98</f>
        <v>Hämtning varje vecka</v>
      </c>
      <c r="E80" s="5" t="str">
        <f>Taxepunkter!E98</f>
        <v>st/år</v>
      </c>
      <c r="F80" s="5" t="str">
        <f>Taxepunkter!F98</f>
        <v>KÄ140MA52DH</v>
      </c>
      <c r="G80" s="5" t="str">
        <f>Taxepunkter!G98</f>
        <v>KÄ140MA52DH</v>
      </c>
      <c r="H80" s="5" t="str">
        <f>Taxepunkter!H98</f>
        <v/>
      </c>
      <c r="I80" s="5" t="str">
        <f>Taxepunkter!I98</f>
        <v/>
      </c>
      <c r="J80" s="5" t="str">
        <f>Taxepunkter!J98</f>
        <v/>
      </c>
      <c r="K80" s="5">
        <f>Taxepunkter!K98</f>
        <v>0</v>
      </c>
      <c r="L80" s="11">
        <f>Taxepunkter!L98</f>
        <v>0</v>
      </c>
    </row>
    <row r="81" spans="1:12" x14ac:dyDescent="0.25">
      <c r="A81" s="10" t="str">
        <f>Taxepunkter!A99</f>
        <v>§2.2.6</v>
      </c>
      <c r="B81" s="5" t="str">
        <f>Taxepunkter!B99</f>
        <v>Hämtningsavgift per år för verksamhet inom detaljhandeln med beviljad hantering av kommunalt avfall</v>
      </c>
      <c r="C81" s="5" t="str">
        <f>Taxepunkter!C99</f>
        <v>Kärl 140 l (matavfall)</v>
      </c>
      <c r="D81" s="5" t="str">
        <f>Taxepunkter!D99</f>
        <v>Hämtning var 14:e dag</v>
      </c>
      <c r="E81" s="5" t="str">
        <f>Taxepunkter!E99</f>
        <v>st/år</v>
      </c>
      <c r="F81" s="5" t="str">
        <f>Taxepunkter!F99</f>
        <v>KÄ140MA26DH</v>
      </c>
      <c r="G81" s="5" t="str">
        <f>Taxepunkter!G99</f>
        <v>KÄ140MA26DH</v>
      </c>
      <c r="H81" s="5" t="str">
        <f>Taxepunkter!H99</f>
        <v/>
      </c>
      <c r="I81" s="5" t="str">
        <f>Taxepunkter!I99</f>
        <v/>
      </c>
      <c r="J81" s="5" t="str">
        <f>Taxepunkter!J99</f>
        <v/>
      </c>
      <c r="K81" s="5">
        <f>Taxepunkter!K99</f>
        <v>0</v>
      </c>
      <c r="L81" s="11">
        <f>Taxepunkter!L99</f>
        <v>0</v>
      </c>
    </row>
    <row r="82" spans="1:12" x14ac:dyDescent="0.25">
      <c r="A82" s="10" t="str">
        <f>Taxepunkter!A100</f>
        <v>§2.2.6</v>
      </c>
      <c r="B82" s="5" t="str">
        <f>Taxepunkter!B100</f>
        <v>Hämtningsavgift per år för verksamhet inom detaljhandeln med beviljad hantering av kommunalt avfall</v>
      </c>
      <c r="C82" s="5" t="str">
        <f>Taxepunkter!C100</f>
        <v>Kärl 140 l (matavfall)</v>
      </c>
      <c r="D82" s="5" t="str">
        <f>Taxepunkter!D100</f>
        <v>Hämtning månadsvis</v>
      </c>
      <c r="E82" s="5" t="str">
        <f>Taxepunkter!E100</f>
        <v>st/år</v>
      </c>
      <c r="F82" s="5" t="str">
        <f>Taxepunkter!F100</f>
        <v>KÄ140MA12DH</v>
      </c>
      <c r="G82" s="5" t="str">
        <f>Taxepunkter!G100</f>
        <v>KÄ140MA12DH</v>
      </c>
      <c r="H82" s="5" t="str">
        <f>Taxepunkter!H100</f>
        <v/>
      </c>
      <c r="I82" s="5" t="str">
        <f>Taxepunkter!I100</f>
        <v/>
      </c>
      <c r="J82" s="5" t="str">
        <f>Taxepunkter!J100</f>
        <v/>
      </c>
      <c r="K82" s="5">
        <f>Taxepunkter!K100</f>
        <v>0</v>
      </c>
      <c r="L82" s="11">
        <f>Taxepunkter!L100</f>
        <v>0</v>
      </c>
    </row>
    <row r="83" spans="1:12" x14ac:dyDescent="0.25">
      <c r="A83" s="10" t="str">
        <f>Taxepunkter!A102</f>
        <v>§2.2.6</v>
      </c>
      <c r="B83" s="5" t="str">
        <f>Taxepunkter!B102</f>
        <v>Hämtningsavgift per år för verksamhet inom detaljhandeln med beviljad hantering av kommunalt avfall</v>
      </c>
      <c r="C83" s="5" t="str">
        <f>Taxepunkter!C102</f>
        <v>Lastväxlarflak (restavfall)</v>
      </c>
      <c r="D83" s="5" t="str">
        <f>Taxepunkter!D102</f>
        <v>Avgift per tömning</v>
      </c>
      <c r="E83" s="5" t="str">
        <f>Taxepunkter!E102</f>
        <v>st/tömning</v>
      </c>
      <c r="F83" s="5" t="str">
        <f>Taxepunkter!F102</f>
        <v>LVREDH</v>
      </c>
      <c r="G83" s="5" t="str">
        <f>Taxepunkter!G102</f>
        <v>LVREDH</v>
      </c>
      <c r="H83" s="5" t="str">
        <f>Taxepunkter!H102</f>
        <v/>
      </c>
      <c r="I83" s="5" t="str">
        <f>Taxepunkter!I102</f>
        <v/>
      </c>
      <c r="J83" s="5" t="str">
        <f>Taxepunkter!J102</f>
        <v/>
      </c>
      <c r="K83" s="5">
        <f>Taxepunkter!K102</f>
        <v>0</v>
      </c>
      <c r="L83" s="11">
        <f>Taxepunkter!L102</f>
        <v>0</v>
      </c>
    </row>
    <row r="84" spans="1:12" x14ac:dyDescent="0.25">
      <c r="A84" s="10" t="str">
        <f>Taxepunkter!A103</f>
        <v>§2.2.6</v>
      </c>
      <c r="B84" s="5" t="str">
        <f>Taxepunkter!B103</f>
        <v>Hämtningsavgift per år för verksamhet inom detaljhandeln med beviljad hantering av kommunalt avfall</v>
      </c>
      <c r="C84" s="5" t="str">
        <f>Taxepunkter!C103</f>
        <v>Bottentömmande behållare (mat-/restavfall)</v>
      </c>
      <c r="D84" s="5" t="str">
        <f>Taxepunkter!D103</f>
        <v>Tillägg för två tömningar per vecka</v>
      </c>
      <c r="E84" s="5" t="str">
        <f>Taxepunkter!E103</f>
        <v>st/tömning</v>
      </c>
      <c r="F84" s="5" t="str">
        <f>Taxepunkter!F103</f>
        <v>MBRM2VDH</v>
      </c>
      <c r="G84" s="5" t="str">
        <f>Taxepunkter!G103</f>
        <v>MBRM2VDH</v>
      </c>
      <c r="H84" s="5" t="str">
        <f>Taxepunkter!H103</f>
        <v/>
      </c>
      <c r="I84" s="5" t="str">
        <f>Taxepunkter!I103</f>
        <v/>
      </c>
      <c r="J84" s="5" t="str">
        <f>Taxepunkter!J103</f>
        <v/>
      </c>
      <c r="K84" s="5">
        <f>Taxepunkter!K103</f>
        <v>0</v>
      </c>
      <c r="L84" s="11">
        <f>Taxepunkter!L103</f>
        <v>0</v>
      </c>
    </row>
    <row r="85" spans="1:12" x14ac:dyDescent="0.25">
      <c r="A85" s="10" t="str">
        <f>Taxepunkter!A105</f>
        <v>§2.2.7 Verksamheter med beviljad hantering av förbrukat matfett, kontorspapper eller returpapper</v>
      </c>
      <c r="B85" s="5">
        <f>Taxepunkter!B105</f>
        <v>0</v>
      </c>
      <c r="C85" s="5">
        <f>Taxepunkter!C105</f>
        <v>0</v>
      </c>
      <c r="D85" s="5">
        <f>Taxepunkter!D105</f>
        <v>0</v>
      </c>
      <c r="E85" s="5">
        <f>Taxepunkter!E105</f>
        <v>0</v>
      </c>
      <c r="F85" s="5">
        <f>Taxepunkter!F105</f>
        <v>0</v>
      </c>
      <c r="G85" s="5" t="str">
        <f>Taxepunkter!G105</f>
        <v/>
      </c>
      <c r="H85" s="5" t="str">
        <f>Taxepunkter!H105</f>
        <v/>
      </c>
      <c r="I85" s="5" t="str">
        <f>Taxepunkter!I105</f>
        <v/>
      </c>
      <c r="J85" s="5" t="str">
        <f>Taxepunkter!J105</f>
        <v/>
      </c>
      <c r="K85" s="5">
        <f>Taxepunkter!K105</f>
        <v>0</v>
      </c>
      <c r="L85" s="11">
        <f>Taxepunkter!L105</f>
        <v>0</v>
      </c>
    </row>
    <row r="86" spans="1:12" x14ac:dyDescent="0.25">
      <c r="A86" s="10" t="str">
        <f>Taxepunkter!A106</f>
        <v>§2.2.7</v>
      </c>
      <c r="B86" s="5" t="str">
        <f>Taxepunkter!B106</f>
        <v>Verksamheter med beviljad hantering av förbrukat matfett, kontorspapper eller returpapper</v>
      </c>
      <c r="C86" s="5" t="str">
        <f>Taxepunkter!C106</f>
        <v>Kärl 140 l (kontors-/returpapper)</v>
      </c>
      <c r="D86" s="5">
        <f>Taxepunkter!D106</f>
        <v>0</v>
      </c>
      <c r="E86" s="5" t="str">
        <f>Taxepunkter!E106</f>
        <v>st/år</v>
      </c>
      <c r="F86" s="5" t="str">
        <f>Taxepunkter!F106</f>
        <v>KÄ140TI</v>
      </c>
      <c r="G86" s="5" t="str">
        <f>Taxepunkter!G106</f>
        <v>KÄ140TI</v>
      </c>
      <c r="H86" s="5" t="str">
        <f>Taxepunkter!H106</f>
        <v/>
      </c>
      <c r="I86" s="5" t="str">
        <f>Taxepunkter!I106</f>
        <v/>
      </c>
      <c r="J86" s="5" t="str">
        <f>Taxepunkter!J106</f>
        <v/>
      </c>
      <c r="K86" s="5">
        <f>Taxepunkter!K106</f>
        <v>0</v>
      </c>
      <c r="L86" s="11">
        <f>Taxepunkter!L106</f>
        <v>0</v>
      </c>
    </row>
    <row r="87" spans="1:12" x14ac:dyDescent="0.25">
      <c r="A87" s="10" t="str">
        <f>Taxepunkter!A107</f>
        <v>§2.2.7</v>
      </c>
      <c r="B87" s="5">
        <f>Taxepunkter!B107</f>
        <v>0</v>
      </c>
      <c r="C87" s="5">
        <f>Taxepunkter!C107</f>
        <v>0</v>
      </c>
      <c r="D87" s="5">
        <f>Taxepunkter!D107</f>
        <v>0</v>
      </c>
      <c r="E87" s="5">
        <f>Taxepunkter!E107</f>
        <v>0</v>
      </c>
      <c r="F87" s="5">
        <f>Taxepunkter!F107</f>
        <v>0</v>
      </c>
      <c r="G87" s="5" t="str">
        <f>Taxepunkter!G107</f>
        <v>EGENKONTRET</v>
      </c>
      <c r="H87" s="5" t="str">
        <f>Taxepunkter!H107</f>
        <v/>
      </c>
      <c r="I87" s="5" t="str">
        <f>Taxepunkter!I107</f>
        <v/>
      </c>
      <c r="J87" s="5" t="str">
        <f>Taxepunkter!J107</f>
        <v/>
      </c>
      <c r="K87" s="5">
        <f>Taxepunkter!K107</f>
        <v>0</v>
      </c>
      <c r="L87" s="11">
        <f>Taxepunkter!L107</f>
        <v>0</v>
      </c>
    </row>
    <row r="88" spans="1:12" x14ac:dyDescent="0.25">
      <c r="A88" s="10" t="str">
        <f>Taxepunkter!A108</f>
        <v>§2.2.7</v>
      </c>
      <c r="B88" s="5" t="str">
        <f>Taxepunkter!B108</f>
        <v>Verksamheter med beviljad hantering av förbrukat matfett, kontorspapper eller returpapper</v>
      </c>
      <c r="C88" s="5" t="str">
        <f>Taxepunkter!C108</f>
        <v>Egen överlämning av förbrukat matfett enligt anvisning</v>
      </c>
      <c r="D88" s="5">
        <f>Taxepunkter!D108</f>
        <v>0</v>
      </c>
      <c r="E88" s="5" t="str">
        <f>Taxepunkter!E108</f>
        <v>st/år</v>
      </c>
      <c r="F88" s="5" t="str">
        <f>Taxepunkter!F108</f>
        <v>EGENMATFETT</v>
      </c>
      <c r="G88" s="5" t="str">
        <f>Taxepunkter!G108</f>
        <v>EGENMATFETT</v>
      </c>
      <c r="H88" s="5" t="str">
        <f>Taxepunkter!H108</f>
        <v/>
      </c>
      <c r="I88" s="5" t="str">
        <f>Taxepunkter!I108</f>
        <v/>
      </c>
      <c r="J88" s="5" t="str">
        <f>Taxepunkter!J108</f>
        <v/>
      </c>
      <c r="K88" s="5">
        <f>Taxepunkter!K108</f>
        <v>0</v>
      </c>
      <c r="L88" s="11">
        <f>Taxepunkter!L108</f>
        <v>0</v>
      </c>
    </row>
    <row r="89" spans="1:12" x14ac:dyDescent="0.25">
      <c r="A89" s="10" t="str">
        <f>Taxepunkter!A109</f>
        <v>§2.2.7</v>
      </c>
      <c r="B89" s="5">
        <f>Taxepunkter!B109</f>
        <v>0</v>
      </c>
      <c r="C89" s="5">
        <f>Taxepunkter!C109</f>
        <v>0</v>
      </c>
      <c r="D89" s="5">
        <f>Taxepunkter!D109</f>
        <v>0</v>
      </c>
      <c r="E89" s="5">
        <f>Taxepunkter!E109</f>
        <v>0</v>
      </c>
      <c r="F89" s="5">
        <f>Taxepunkter!F109</f>
        <v>0</v>
      </c>
      <c r="G89" s="5" t="str">
        <f>Taxepunkter!G109</f>
        <v/>
      </c>
      <c r="H89" s="5" t="str">
        <f>Taxepunkter!H109</f>
        <v/>
      </c>
      <c r="I89" s="5" t="str">
        <f>Taxepunkter!I109</f>
        <v/>
      </c>
      <c r="J89" s="5" t="str">
        <f>Taxepunkter!J109</f>
        <v/>
      </c>
      <c r="K89" s="5">
        <f>Taxepunkter!K109</f>
        <v>0</v>
      </c>
      <c r="L89" s="11">
        <f>Taxepunkter!L109</f>
        <v>0</v>
      </c>
    </row>
    <row r="90" spans="1:12" x14ac:dyDescent="0.25">
      <c r="A90" s="10" t="str">
        <f>Taxepunkter!A111</f>
        <v>§2.3</v>
      </c>
      <c r="B90" s="5" t="str">
        <f>Taxepunkter!B111</f>
        <v>Rörlig avgift (gäller ej gemensam uppsamlingsplats)</v>
      </c>
      <c r="C90" s="5" t="str">
        <f>Taxepunkter!C111</f>
        <v>Viktavgift matavfall</v>
      </c>
      <c r="D90" s="5">
        <f>Taxepunkter!D111</f>
        <v>0</v>
      </c>
      <c r="E90" s="5" t="str">
        <f>Taxepunkter!E111</f>
        <v>kr/kg</v>
      </c>
      <c r="F90" s="5">
        <f>Taxepunkter!F111</f>
        <v>0</v>
      </c>
      <c r="G90" s="5" t="str">
        <f>Taxepunkter!G111</f>
        <v/>
      </c>
      <c r="H90" s="5" t="str">
        <f>Taxepunkter!H111</f>
        <v/>
      </c>
      <c r="I90" s="5" t="str">
        <f>Taxepunkter!I111</f>
        <v/>
      </c>
      <c r="J90" s="5" t="str">
        <f>Taxepunkter!J111</f>
        <v/>
      </c>
      <c r="K90" s="5">
        <f>Taxepunkter!K111</f>
        <v>0</v>
      </c>
      <c r="L90" s="11">
        <f>Taxepunkter!L111</f>
        <v>0</v>
      </c>
    </row>
    <row r="91" spans="1:12" x14ac:dyDescent="0.25">
      <c r="A91" s="10" t="str">
        <f>Taxepunkter!A112</f>
        <v>§2.3</v>
      </c>
      <c r="B91" s="5" t="str">
        <f>Taxepunkter!B112</f>
        <v>Rörlig avgift (gäller ej gemensam uppsamlingsplats)</v>
      </c>
      <c r="C91" s="5" t="str">
        <f>Taxepunkter!C112</f>
        <v>Viktavgift restavfall</v>
      </c>
      <c r="D91" s="5">
        <f>Taxepunkter!D112</f>
        <v>0</v>
      </c>
      <c r="E91" s="5" t="str">
        <f>Taxepunkter!E112</f>
        <v>kr/kg</v>
      </c>
      <c r="F91" s="5">
        <f>Taxepunkter!F112</f>
        <v>0</v>
      </c>
      <c r="G91" s="5" t="str">
        <f>Taxepunkter!G112</f>
        <v/>
      </c>
      <c r="H91" s="5" t="str">
        <f>Taxepunkter!H112</f>
        <v/>
      </c>
      <c r="I91" s="5" t="str">
        <f>Taxepunkter!I112</f>
        <v/>
      </c>
      <c r="J91" s="5" t="str">
        <f>Taxepunkter!J112</f>
        <v/>
      </c>
      <c r="K91" s="5">
        <f>Taxepunkter!K112</f>
        <v>0</v>
      </c>
      <c r="L91" s="11">
        <f>Taxepunkter!L112</f>
        <v>0</v>
      </c>
    </row>
    <row r="92" spans="1:12" x14ac:dyDescent="0.25">
      <c r="A92" s="10" t="str">
        <f>Taxepunkter!A113</f>
        <v>§2.3</v>
      </c>
      <c r="B92" s="5">
        <f>Taxepunkter!B113</f>
        <v>0</v>
      </c>
      <c r="C92" s="5">
        <f>Taxepunkter!C113</f>
        <v>0</v>
      </c>
      <c r="D92" s="5">
        <f>Taxepunkter!D113</f>
        <v>0</v>
      </c>
      <c r="E92" s="5">
        <f>Taxepunkter!E113</f>
        <v>0</v>
      </c>
      <c r="F92" s="5">
        <f>Taxepunkter!F113</f>
        <v>0</v>
      </c>
      <c r="G92" s="5" t="str">
        <f>Taxepunkter!G113</f>
        <v/>
      </c>
      <c r="H92" s="5" t="str">
        <f>Taxepunkter!H113</f>
        <v/>
      </c>
      <c r="I92" s="5" t="str">
        <f>Taxepunkter!I113</f>
        <v/>
      </c>
      <c r="J92" s="5" t="str">
        <f>Taxepunkter!J113</f>
        <v/>
      </c>
      <c r="K92" s="5">
        <f>Taxepunkter!K113</f>
        <v>0</v>
      </c>
      <c r="L92" s="11">
        <f>Taxepunkter!L113</f>
        <v>0</v>
      </c>
    </row>
    <row r="93" spans="1:12" x14ac:dyDescent="0.25">
      <c r="A93" s="10" t="str">
        <f>Taxepunkter!A114</f>
        <v>§2.3</v>
      </c>
      <c r="B93" s="5">
        <f>Taxepunkter!B114</f>
        <v>0</v>
      </c>
      <c r="C93" s="5">
        <f>Taxepunkter!C114</f>
        <v>0</v>
      </c>
      <c r="D93" s="5">
        <f>Taxepunkter!D114</f>
        <v>0</v>
      </c>
      <c r="E93" s="5">
        <f>Taxepunkter!E114</f>
        <v>0</v>
      </c>
      <c r="F93" s="5">
        <f>Taxepunkter!F114</f>
        <v>0</v>
      </c>
      <c r="G93" s="5" t="str">
        <f>Taxepunkter!G114</f>
        <v/>
      </c>
      <c r="H93" s="5" t="str">
        <f>Taxepunkter!H114</f>
        <v/>
      </c>
      <c r="I93" s="5" t="str">
        <f>Taxepunkter!I114</f>
        <v/>
      </c>
      <c r="J93" s="5" t="str">
        <f>Taxepunkter!J114</f>
        <v/>
      </c>
      <c r="K93" s="5">
        <f>Taxepunkter!K114</f>
        <v>0</v>
      </c>
      <c r="L93" s="11">
        <f>Taxepunkter!L114</f>
        <v>0</v>
      </c>
    </row>
    <row r="94" spans="1:12" x14ac:dyDescent="0.25">
      <c r="A94" s="10" t="str">
        <f>Taxepunkter!A115</f>
        <v>§2.4.1 Fakturaavgift</v>
      </c>
      <c r="B94" s="5">
        <f>Taxepunkter!B115</f>
        <v>0</v>
      </c>
      <c r="C94" s="5">
        <f>Taxepunkter!C115</f>
        <v>0</v>
      </c>
      <c r="D94" s="5">
        <f>Taxepunkter!D115</f>
        <v>0</v>
      </c>
      <c r="E94" s="5">
        <f>Taxepunkter!E115</f>
        <v>0</v>
      </c>
      <c r="F94" s="5">
        <f>Taxepunkter!F115</f>
        <v>0</v>
      </c>
      <c r="G94" s="5" t="str">
        <f>Taxepunkter!G115</f>
        <v/>
      </c>
      <c r="H94" s="5" t="str">
        <f>Taxepunkter!H115</f>
        <v/>
      </c>
      <c r="I94" s="5" t="str">
        <f>Taxepunkter!I115</f>
        <v/>
      </c>
      <c r="J94" s="5" t="str">
        <f>Taxepunkter!J115</f>
        <v/>
      </c>
      <c r="K94" s="5">
        <f>Taxepunkter!K115</f>
        <v>0</v>
      </c>
      <c r="L94" s="11">
        <f>Taxepunkter!L115</f>
        <v>0</v>
      </c>
    </row>
    <row r="95" spans="1:12" x14ac:dyDescent="0.25">
      <c r="A95" s="10" t="str">
        <f>Taxepunkter!A117</f>
        <v>§2.4.1</v>
      </c>
      <c r="B95" s="5">
        <f>Taxepunkter!B117</f>
        <v>0</v>
      </c>
      <c r="C95" s="5">
        <f>Taxepunkter!C117</f>
        <v>0</v>
      </c>
      <c r="D95" s="5">
        <f>Taxepunkter!D117</f>
        <v>0</v>
      </c>
      <c r="E95" s="5">
        <f>Taxepunkter!E117</f>
        <v>0</v>
      </c>
      <c r="F95" s="5">
        <f>Taxepunkter!F117</f>
        <v>0</v>
      </c>
      <c r="G95" s="5" t="str">
        <f>Taxepunkter!G117</f>
        <v/>
      </c>
      <c r="H95" s="5" t="str">
        <f>Taxepunkter!H117</f>
        <v/>
      </c>
      <c r="I95" s="5" t="str">
        <f>Taxepunkter!I117</f>
        <v/>
      </c>
      <c r="J95" s="5" t="str">
        <f>Taxepunkter!J117</f>
        <v/>
      </c>
      <c r="K95" s="5">
        <f>Taxepunkter!K117</f>
        <v>0</v>
      </c>
      <c r="L95" s="11">
        <f>Taxepunkter!L117</f>
        <v>0</v>
      </c>
    </row>
    <row r="96" spans="1:12" x14ac:dyDescent="0.25">
      <c r="A96" s="10" t="str">
        <f>Taxepunkter!A118</f>
        <v>§2.4.2 Överviktsavgift kärl</v>
      </c>
      <c r="B96" s="5">
        <f>Taxepunkter!B118</f>
        <v>0</v>
      </c>
      <c r="C96" s="5">
        <f>Taxepunkter!C118</f>
        <v>0</v>
      </c>
      <c r="D96" s="5">
        <f>Taxepunkter!D118</f>
        <v>0</v>
      </c>
      <c r="E96" s="5">
        <f>Taxepunkter!E118</f>
        <v>0</v>
      </c>
      <c r="F96" s="5">
        <f>Taxepunkter!F118</f>
        <v>0</v>
      </c>
      <c r="G96" s="5" t="str">
        <f>Taxepunkter!G118</f>
        <v/>
      </c>
      <c r="H96" s="5" t="str">
        <f>Taxepunkter!H118</f>
        <v/>
      </c>
      <c r="I96" s="5" t="str">
        <f>Taxepunkter!I118</f>
        <v/>
      </c>
      <c r="J96" s="5" t="str">
        <f>Taxepunkter!J118</f>
        <v/>
      </c>
      <c r="K96" s="5">
        <f>Taxepunkter!K118</f>
        <v>0</v>
      </c>
      <c r="L96" s="11">
        <f>Taxepunkter!L118</f>
        <v>0</v>
      </c>
    </row>
    <row r="97" spans="1:12" x14ac:dyDescent="0.25">
      <c r="A97" s="10" t="str">
        <f>Taxepunkter!A120</f>
        <v>§2.4.2</v>
      </c>
      <c r="B97" s="5" t="str">
        <f>Taxepunkter!B120</f>
        <v>Överviktsavgift kärl</v>
      </c>
      <c r="C97" s="5" t="str">
        <f>Taxepunkter!C120</f>
        <v>Delat kärl 240 l restavfall</v>
      </c>
      <c r="D97" s="5" t="str">
        <f>Taxepunkter!D120</f>
        <v>Över 40 kg</v>
      </c>
      <c r="E97" s="5" t="str">
        <f>Taxepunkter!E120</f>
        <v>kr/kg</v>
      </c>
      <c r="F97" s="5">
        <f>Taxepunkter!F120</f>
        <v>0</v>
      </c>
      <c r="G97" s="5" t="str">
        <f>Taxepunkter!G120</f>
        <v/>
      </c>
      <c r="H97" s="5" t="str">
        <f>Taxepunkter!H120</f>
        <v/>
      </c>
      <c r="I97" s="5" t="str">
        <f>Taxepunkter!I120</f>
        <v/>
      </c>
      <c r="J97" s="5" t="str">
        <f>Taxepunkter!J120</f>
        <v/>
      </c>
      <c r="K97" s="5">
        <f>Taxepunkter!K120</f>
        <v>0</v>
      </c>
      <c r="L97" s="11">
        <f>Taxepunkter!L120</f>
        <v>0</v>
      </c>
    </row>
    <row r="98" spans="1:12" x14ac:dyDescent="0.25">
      <c r="A98" s="10" t="str">
        <f>Taxepunkter!A121</f>
        <v>§2.4.2</v>
      </c>
      <c r="B98" s="5" t="str">
        <f>Taxepunkter!B121</f>
        <v>Överviktsavgift kärl</v>
      </c>
      <c r="C98" s="5" t="str">
        <f>Taxepunkter!C121</f>
        <v>Extra kärl 140 l matavfall</v>
      </c>
      <c r="D98" s="5" t="str">
        <f>Taxepunkter!D121</f>
        <v>Över 60 kg</v>
      </c>
      <c r="E98" s="5" t="str">
        <f>Taxepunkter!E121</f>
        <v>kr/kg</v>
      </c>
      <c r="F98" s="5">
        <f>Taxepunkter!F121</f>
        <v>0</v>
      </c>
      <c r="G98" s="5" t="str">
        <f>Taxepunkter!G121</f>
        <v/>
      </c>
      <c r="H98" s="5" t="str">
        <f>Taxepunkter!H121</f>
        <v/>
      </c>
      <c r="I98" s="5" t="str">
        <f>Taxepunkter!I121</f>
        <v/>
      </c>
      <c r="J98" s="5" t="str">
        <f>Taxepunkter!J121</f>
        <v/>
      </c>
      <c r="K98" s="5">
        <f>Taxepunkter!K121</f>
        <v>0</v>
      </c>
      <c r="L98" s="11">
        <f>Taxepunkter!L121</f>
        <v>0</v>
      </c>
    </row>
    <row r="99" spans="1:12" x14ac:dyDescent="0.25">
      <c r="A99" s="10" t="str">
        <f>Taxepunkter!A122</f>
        <v>§2.4.2</v>
      </c>
      <c r="B99" s="5">
        <f>Taxepunkter!B122</f>
        <v>0</v>
      </c>
      <c r="C99" s="5">
        <f>Taxepunkter!C122</f>
        <v>0</v>
      </c>
      <c r="D99" s="5">
        <f>Taxepunkter!D122</f>
        <v>0</v>
      </c>
      <c r="E99" s="5">
        <f>Taxepunkter!E122</f>
        <v>0</v>
      </c>
      <c r="F99" s="5">
        <f>Taxepunkter!F122</f>
        <v>0</v>
      </c>
      <c r="G99" s="5" t="str">
        <f>Taxepunkter!G122</f>
        <v/>
      </c>
      <c r="H99" s="5" t="str">
        <f>Taxepunkter!H122</f>
        <v/>
      </c>
      <c r="I99" s="5" t="str">
        <f>Taxepunkter!I122</f>
        <v/>
      </c>
      <c r="J99" s="5" t="str">
        <f>Taxepunkter!J122</f>
        <v/>
      </c>
      <c r="K99" s="5">
        <f>Taxepunkter!K122</f>
        <v>0</v>
      </c>
      <c r="L99" s="11">
        <f>Taxepunkter!L122</f>
        <v>0</v>
      </c>
    </row>
    <row r="100" spans="1:12" x14ac:dyDescent="0.25">
      <c r="A100" s="10" t="str">
        <f>Taxepunkter!A123</f>
        <v>§2.4.2</v>
      </c>
      <c r="B100" s="5" t="str">
        <f>Taxepunkter!B123</f>
        <v>Överviktsavgift kärl</v>
      </c>
      <c r="C100" s="5" t="str">
        <f>Taxepunkter!C123</f>
        <v>Kärl 370 l restavfall</v>
      </c>
      <c r="D100" s="5" t="str">
        <f>Taxepunkter!D123</f>
        <v>Över 60 kg</v>
      </c>
      <c r="E100" s="5" t="str">
        <f>Taxepunkter!E123</f>
        <v>kr/kg</v>
      </c>
      <c r="F100" s="5">
        <f>Taxepunkter!F123</f>
        <v>0</v>
      </c>
      <c r="G100" s="5" t="str">
        <f>Taxepunkter!G123</f>
        <v/>
      </c>
      <c r="H100" s="5" t="str">
        <f>Taxepunkter!H123</f>
        <v/>
      </c>
      <c r="I100" s="5" t="str">
        <f>Taxepunkter!I123</f>
        <v/>
      </c>
      <c r="J100" s="5" t="str">
        <f>Taxepunkter!J123</f>
        <v/>
      </c>
      <c r="K100" s="5">
        <f>Taxepunkter!K123</f>
        <v>0</v>
      </c>
      <c r="L100" s="11">
        <f>Taxepunkter!L123</f>
        <v>0</v>
      </c>
    </row>
    <row r="101" spans="1:12" x14ac:dyDescent="0.25">
      <c r="A101" s="10" t="str">
        <f>Taxepunkter!A124</f>
        <v>§2.4.2</v>
      </c>
      <c r="B101" s="5" t="str">
        <f>Taxepunkter!B124</f>
        <v>Överviktsavgift kärl</v>
      </c>
      <c r="C101" s="5" t="str">
        <f>Taxepunkter!C124</f>
        <v>Kärl 660 l restavfall</v>
      </c>
      <c r="D101" s="5" t="str">
        <f>Taxepunkter!D124</f>
        <v>Över 100 kg</v>
      </c>
      <c r="E101" s="5" t="str">
        <f>Taxepunkter!E124</f>
        <v>kr/kg</v>
      </c>
      <c r="F101" s="5">
        <f>Taxepunkter!F124</f>
        <v>0</v>
      </c>
      <c r="G101" s="5" t="str">
        <f>Taxepunkter!G124</f>
        <v/>
      </c>
      <c r="H101" s="5" t="str">
        <f>Taxepunkter!H124</f>
        <v/>
      </c>
      <c r="I101" s="5" t="str">
        <f>Taxepunkter!I124</f>
        <v/>
      </c>
      <c r="J101" s="5" t="str">
        <f>Taxepunkter!J124</f>
        <v/>
      </c>
      <c r="K101" s="5">
        <f>Taxepunkter!K124</f>
        <v>0</v>
      </c>
      <c r="L101" s="11">
        <f>Taxepunkter!L124</f>
        <v>0</v>
      </c>
    </row>
    <row r="102" spans="1:12" x14ac:dyDescent="0.25">
      <c r="A102" s="10" t="str">
        <f>Taxepunkter!A125</f>
        <v>§2.4.2</v>
      </c>
      <c r="B102" s="5">
        <f>Taxepunkter!B125</f>
        <v>0</v>
      </c>
      <c r="C102" s="5">
        <f>Taxepunkter!C125</f>
        <v>0</v>
      </c>
      <c r="D102" s="5">
        <f>Taxepunkter!D125</f>
        <v>0</v>
      </c>
      <c r="E102" s="5">
        <f>Taxepunkter!E125</f>
        <v>0</v>
      </c>
      <c r="F102" s="5">
        <f>Taxepunkter!F125</f>
        <v>0</v>
      </c>
      <c r="G102" s="5" t="str">
        <f>Taxepunkter!G125</f>
        <v/>
      </c>
      <c r="H102" s="5" t="str">
        <f>Taxepunkter!H125</f>
        <v/>
      </c>
      <c r="I102" s="5" t="str">
        <f>Taxepunkter!I125</f>
        <v/>
      </c>
      <c r="J102" s="5" t="str">
        <f>Taxepunkter!J125</f>
        <v/>
      </c>
      <c r="K102" s="5">
        <f>Taxepunkter!K125</f>
        <v>0</v>
      </c>
      <c r="L102" s="11">
        <f>Taxepunkter!L125</f>
        <v>0</v>
      </c>
    </row>
    <row r="103" spans="1:12" x14ac:dyDescent="0.25">
      <c r="A103" s="10" t="str">
        <f>Taxepunkter!A126</f>
        <v>§2.4.3 Överfull behållare</v>
      </c>
      <c r="B103" s="5">
        <f>Taxepunkter!B126</f>
        <v>0</v>
      </c>
      <c r="C103" s="5">
        <f>Taxepunkter!C126</f>
        <v>0</v>
      </c>
      <c r="D103" s="5">
        <f>Taxepunkter!D126</f>
        <v>0</v>
      </c>
      <c r="E103" s="5">
        <f>Taxepunkter!E126</f>
        <v>0</v>
      </c>
      <c r="F103" s="5">
        <f>Taxepunkter!F126</f>
        <v>0</v>
      </c>
      <c r="G103" s="5" t="str">
        <f>Taxepunkter!G126</f>
        <v/>
      </c>
      <c r="H103" s="5" t="str">
        <f>Taxepunkter!H126</f>
        <v/>
      </c>
      <c r="I103" s="5" t="str">
        <f>Taxepunkter!I126</f>
        <v/>
      </c>
      <c r="J103" s="5" t="str">
        <f>Taxepunkter!J126</f>
        <v/>
      </c>
      <c r="K103" s="5">
        <f>Taxepunkter!K126</f>
        <v>0</v>
      </c>
      <c r="L103" s="11">
        <f>Taxepunkter!L126</f>
        <v>0</v>
      </c>
    </row>
    <row r="104" spans="1:12" x14ac:dyDescent="0.25">
      <c r="A104" s="10" t="str">
        <f>Taxepunkter!A127</f>
        <v>§2.4.3</v>
      </c>
      <c r="B104" s="5" t="str">
        <f>Taxepunkter!B127</f>
        <v>Överfull behållare</v>
      </c>
      <c r="C104" s="5" t="str">
        <f>Taxepunkter!C127</f>
        <v>Överfullt kärl</v>
      </c>
      <c r="D104" s="5">
        <f>Taxepunkter!D127</f>
        <v>0</v>
      </c>
      <c r="E104" s="5" t="str">
        <f>Taxepunkter!E127</f>
        <v>st/tillfälle/behållare</v>
      </c>
      <c r="F104" s="5">
        <f>Taxepunkter!F127</f>
        <v>0</v>
      </c>
      <c r="G104" s="5" t="str">
        <f>Taxepunkter!G127</f>
        <v/>
      </c>
      <c r="H104" s="5" t="str">
        <f>Taxepunkter!H127</f>
        <v/>
      </c>
      <c r="I104" s="5" t="str">
        <f>Taxepunkter!I127</f>
        <v/>
      </c>
      <c r="J104" s="5" t="str">
        <f>Taxepunkter!J127</f>
        <v/>
      </c>
      <c r="K104" s="5">
        <f>Taxepunkter!K127</f>
        <v>0</v>
      </c>
      <c r="L104" s="11">
        <f>Taxepunkter!L127</f>
        <v>0</v>
      </c>
    </row>
    <row r="105" spans="1:12" x14ac:dyDescent="0.25">
      <c r="A105" s="10" t="str">
        <f>Taxepunkter!A128</f>
        <v>§2.4.3</v>
      </c>
      <c r="B105" s="5" t="str">
        <f>Taxepunkter!B128</f>
        <v>Överfull behållare</v>
      </c>
      <c r="C105" s="5" t="str">
        <f>Taxepunkter!C128</f>
        <v>Överfull bottentömmande behållare</v>
      </c>
      <c r="D105" s="5">
        <f>Taxepunkter!D128</f>
        <v>0</v>
      </c>
      <c r="E105" s="5" t="str">
        <f>Taxepunkter!E128</f>
        <v>st/tillfälle/behållare</v>
      </c>
      <c r="F105" s="5">
        <f>Taxepunkter!F128</f>
        <v>0</v>
      </c>
      <c r="G105" s="5" t="str">
        <f>Taxepunkter!G128</f>
        <v/>
      </c>
      <c r="H105" s="5" t="str">
        <f>Taxepunkter!H128</f>
        <v/>
      </c>
      <c r="I105" s="5" t="str">
        <f>Taxepunkter!I128</f>
        <v/>
      </c>
      <c r="J105" s="5" t="str">
        <f>Taxepunkter!J128</f>
        <v/>
      </c>
      <c r="K105" s="5">
        <f>Taxepunkter!K128</f>
        <v>0</v>
      </c>
      <c r="L105" s="11">
        <f>Taxepunkter!L128</f>
        <v>0</v>
      </c>
    </row>
    <row r="106" spans="1:12" x14ac:dyDescent="0.25">
      <c r="A106" s="10" t="str">
        <f>Taxepunkter!A129</f>
        <v>§2.4.3</v>
      </c>
      <c r="B106" s="5">
        <f>Taxepunkter!B129</f>
        <v>0</v>
      </c>
      <c r="C106" s="5">
        <f>Taxepunkter!C129</f>
        <v>0</v>
      </c>
      <c r="D106" s="5">
        <f>Taxepunkter!D129</f>
        <v>0</v>
      </c>
      <c r="E106" s="5">
        <f>Taxepunkter!E129</f>
        <v>0</v>
      </c>
      <c r="F106" s="5">
        <f>Taxepunkter!F129</f>
        <v>0</v>
      </c>
      <c r="G106" s="5" t="str">
        <f>Taxepunkter!G129</f>
        <v/>
      </c>
      <c r="H106" s="5" t="str">
        <f>Taxepunkter!H129</f>
        <v/>
      </c>
      <c r="I106" s="5" t="str">
        <f>Taxepunkter!I129</f>
        <v/>
      </c>
      <c r="J106" s="5" t="str">
        <f>Taxepunkter!J129</f>
        <v/>
      </c>
      <c r="K106" s="5">
        <f>Taxepunkter!K129</f>
        <v>0</v>
      </c>
      <c r="L106" s="11">
        <f>Taxepunkter!L129</f>
        <v>0</v>
      </c>
    </row>
    <row r="107" spans="1:12" x14ac:dyDescent="0.25">
      <c r="A107" s="10" t="str">
        <f>Taxepunkter!A130</f>
        <v>§2.4.4 Byte av trasigt kärl</v>
      </c>
      <c r="B107" s="5">
        <f>Taxepunkter!B130</f>
        <v>0</v>
      </c>
      <c r="C107" s="5">
        <f>Taxepunkter!C130</f>
        <v>0</v>
      </c>
      <c r="D107" s="5">
        <f>Taxepunkter!D130</f>
        <v>0</v>
      </c>
      <c r="E107" s="5">
        <f>Taxepunkter!E130</f>
        <v>0</v>
      </c>
      <c r="F107" s="5">
        <f>Taxepunkter!F130</f>
        <v>0</v>
      </c>
      <c r="G107" s="5" t="str">
        <f>Taxepunkter!G130</f>
        <v/>
      </c>
      <c r="H107" s="5" t="str">
        <f>Taxepunkter!H130</f>
        <v/>
      </c>
      <c r="I107" s="5" t="str">
        <f>Taxepunkter!I130</f>
        <v/>
      </c>
      <c r="J107" s="5" t="str">
        <f>Taxepunkter!J130</f>
        <v/>
      </c>
      <c r="K107" s="5">
        <f>Taxepunkter!K130</f>
        <v>0</v>
      </c>
      <c r="L107" s="11">
        <f>Taxepunkter!L130</f>
        <v>0</v>
      </c>
    </row>
    <row r="108" spans="1:12" x14ac:dyDescent="0.25">
      <c r="A108" s="10" t="str">
        <f>Taxepunkter!A131</f>
        <v>§2.4.4</v>
      </c>
      <c r="B108" s="5" t="str">
        <f>Taxepunkter!B131</f>
        <v>Byte av trasigt kärl</v>
      </c>
      <c r="C108" s="5" t="str">
        <f>Taxepunkter!C131</f>
        <v>Byte av trasigt kärl vid oaktsamhet</v>
      </c>
      <c r="D108" s="5">
        <f>Taxepunkter!D131</f>
        <v>0</v>
      </c>
      <c r="E108" s="5" t="str">
        <f>Taxepunkter!E131</f>
        <v>st/kärl</v>
      </c>
      <c r="F108" s="5">
        <f>Taxepunkter!F131</f>
        <v>0</v>
      </c>
      <c r="G108" s="5" t="str">
        <f>Taxepunkter!G131</f>
        <v/>
      </c>
      <c r="H108" s="5" t="str">
        <f>Taxepunkter!H131</f>
        <v/>
      </c>
      <c r="I108" s="5" t="str">
        <f>Taxepunkter!I131</f>
        <v/>
      </c>
      <c r="J108" s="5" t="str">
        <f>Taxepunkter!J131</f>
        <v/>
      </c>
      <c r="K108" s="5">
        <f>Taxepunkter!K131</f>
        <v>0</v>
      </c>
      <c r="L108" s="11">
        <f>Taxepunkter!L131</f>
        <v>0</v>
      </c>
    </row>
    <row r="109" spans="1:12" x14ac:dyDescent="0.25">
      <c r="A109" s="10" t="str">
        <f>Taxepunkter!A132</f>
        <v>§2.4.4</v>
      </c>
      <c r="B109" s="5">
        <f>Taxepunkter!B132</f>
        <v>0</v>
      </c>
      <c r="C109" s="5">
        <f>Taxepunkter!C132</f>
        <v>0</v>
      </c>
      <c r="D109" s="5">
        <f>Taxepunkter!D132</f>
        <v>0</v>
      </c>
      <c r="E109" s="5">
        <f>Taxepunkter!E132</f>
        <v>0</v>
      </c>
      <c r="F109" s="5">
        <f>Taxepunkter!F132</f>
        <v>0</v>
      </c>
      <c r="G109" s="5" t="str">
        <f>Taxepunkter!G132</f>
        <v/>
      </c>
      <c r="H109" s="5" t="str">
        <f>Taxepunkter!H132</f>
        <v/>
      </c>
      <c r="I109" s="5" t="str">
        <f>Taxepunkter!I132</f>
        <v/>
      </c>
      <c r="J109" s="5" t="str">
        <f>Taxepunkter!J132</f>
        <v/>
      </c>
      <c r="K109" s="5">
        <f>Taxepunkter!K132</f>
        <v>0</v>
      </c>
      <c r="L109" s="11">
        <f>Taxepunkter!L132</f>
        <v>0</v>
      </c>
    </row>
    <row r="110" spans="1:12" x14ac:dyDescent="0.25">
      <c r="A110" s="10" t="str">
        <f>Taxepunkter!A133</f>
        <v>§2.4.5 Byte av abonnemang</v>
      </c>
      <c r="B110" s="5">
        <f>Taxepunkter!B133</f>
        <v>0</v>
      </c>
      <c r="C110" s="5">
        <f>Taxepunkter!C133</f>
        <v>0</v>
      </c>
      <c r="D110" s="5">
        <f>Taxepunkter!D133</f>
        <v>0</v>
      </c>
      <c r="E110" s="5">
        <f>Taxepunkter!E133</f>
        <v>0</v>
      </c>
      <c r="F110" s="5">
        <f>Taxepunkter!F133</f>
        <v>0</v>
      </c>
      <c r="G110" s="5" t="str">
        <f>Taxepunkter!G133</f>
        <v/>
      </c>
      <c r="H110" s="5" t="str">
        <f>Taxepunkter!H133</f>
        <v/>
      </c>
      <c r="I110" s="5" t="str">
        <f>Taxepunkter!I133</f>
        <v/>
      </c>
      <c r="J110" s="5" t="str">
        <f>Taxepunkter!J133</f>
        <v/>
      </c>
      <c r="K110" s="5">
        <f>Taxepunkter!K133</f>
        <v>0</v>
      </c>
      <c r="L110" s="11">
        <f>Taxepunkter!L133</f>
        <v>0</v>
      </c>
    </row>
    <row r="111" spans="1:12" x14ac:dyDescent="0.25">
      <c r="A111" s="10" t="str">
        <f>Taxepunkter!A134</f>
        <v>§2.4.5</v>
      </c>
      <c r="B111" s="5" t="str">
        <f>Taxepunkter!B134</f>
        <v>Byte av abonnemang</v>
      </c>
      <c r="C111" s="5" t="str">
        <f>Taxepunkter!C134</f>
        <v>Byte/återtag av kärl en (1) ggr/år</v>
      </c>
      <c r="D111" s="5" t="str">
        <f>Taxepunkter!D134</f>
        <v>140–240 liter</v>
      </c>
      <c r="E111" s="5" t="str">
        <f>Taxepunkter!E134</f>
        <v>st/kärl</v>
      </c>
      <c r="F111" s="5">
        <f>Taxepunkter!F134</f>
        <v>0</v>
      </c>
      <c r="G111" s="5" t="str">
        <f>Taxepunkter!G134</f>
        <v/>
      </c>
      <c r="H111" s="5" t="str">
        <f>Taxepunkter!H134</f>
        <v/>
      </c>
      <c r="I111" s="5" t="str">
        <f>Taxepunkter!I134</f>
        <v/>
      </c>
      <c r="J111" s="5" t="str">
        <f>Taxepunkter!J134</f>
        <v/>
      </c>
      <c r="K111" s="5">
        <f>Taxepunkter!K134</f>
        <v>0</v>
      </c>
      <c r="L111" s="11">
        <f>Taxepunkter!L134</f>
        <v>0</v>
      </c>
    </row>
    <row r="112" spans="1:12" x14ac:dyDescent="0.25">
      <c r="A112" s="10" t="str">
        <f>Taxepunkter!A135</f>
        <v>§2.4.5</v>
      </c>
      <c r="B112" s="5" t="str">
        <f>Taxepunkter!B135</f>
        <v>Byte av abonnemang</v>
      </c>
      <c r="C112" s="5" t="str">
        <f>Taxepunkter!C135</f>
        <v>Byte/återtag av kärl en (1) ggr/år</v>
      </c>
      <c r="D112" s="5" t="str">
        <f>Taxepunkter!D135</f>
        <v>370–660 liter</v>
      </c>
      <c r="E112" s="5" t="str">
        <f>Taxepunkter!E135</f>
        <v>st/kärl</v>
      </c>
      <c r="F112" s="5">
        <f>Taxepunkter!F135</f>
        <v>0</v>
      </c>
      <c r="G112" s="5" t="str">
        <f>Taxepunkter!G135</f>
        <v/>
      </c>
      <c r="H112" s="5" t="str">
        <f>Taxepunkter!H135</f>
        <v/>
      </c>
      <c r="I112" s="5" t="str">
        <f>Taxepunkter!I135</f>
        <v/>
      </c>
      <c r="J112" s="5" t="str">
        <f>Taxepunkter!J135</f>
        <v/>
      </c>
      <c r="K112" s="5">
        <f>Taxepunkter!K135</f>
        <v>0</v>
      </c>
      <c r="L112" s="11">
        <f>Taxepunkter!L135</f>
        <v>0</v>
      </c>
    </row>
    <row r="113" spans="1:12" x14ac:dyDescent="0.25">
      <c r="A113" s="10" t="str">
        <f>Taxepunkter!A136</f>
        <v>§2.4.5</v>
      </c>
      <c r="B113" s="5" t="str">
        <f>Taxepunkter!B136</f>
        <v>Byte av abonnemang</v>
      </c>
      <c r="C113" s="5" t="str">
        <f>Taxepunkter!C136</f>
        <v>Ytterligare byte av kärl under kalenderåret</v>
      </c>
      <c r="D113" s="5">
        <f>Taxepunkter!D136</f>
        <v>0</v>
      </c>
      <c r="E113" s="5" t="str">
        <f>Taxepunkter!E136</f>
        <v>st/kärl</v>
      </c>
      <c r="F113" s="5">
        <f>Taxepunkter!F136</f>
        <v>0</v>
      </c>
      <c r="G113" s="5" t="str">
        <f>Taxepunkter!G136</f>
        <v/>
      </c>
      <c r="H113" s="5" t="str">
        <f>Taxepunkter!H136</f>
        <v/>
      </c>
      <c r="I113" s="5" t="str">
        <f>Taxepunkter!I136</f>
        <v/>
      </c>
      <c r="J113" s="5" t="str">
        <f>Taxepunkter!J136</f>
        <v/>
      </c>
      <c r="K113" s="5">
        <f>Taxepunkter!K136</f>
        <v>0</v>
      </c>
      <c r="L113" s="11">
        <f>Taxepunkter!L136</f>
        <v>0</v>
      </c>
    </row>
    <row r="114" spans="1:12" x14ac:dyDescent="0.25">
      <c r="A114" s="10" t="str">
        <f>Taxepunkter!A137</f>
        <v>§2.4.5</v>
      </c>
      <c r="B114" s="5">
        <f>Taxepunkter!B137</f>
        <v>0</v>
      </c>
      <c r="C114" s="5">
        <f>Taxepunkter!C137</f>
        <v>0</v>
      </c>
      <c r="D114" s="5">
        <f>Taxepunkter!D137</f>
        <v>0</v>
      </c>
      <c r="E114" s="5">
        <f>Taxepunkter!E137</f>
        <v>0</v>
      </c>
      <c r="F114" s="5">
        <f>Taxepunkter!F137</f>
        <v>0</v>
      </c>
      <c r="G114" s="5" t="str">
        <f>Taxepunkter!G137</f>
        <v/>
      </c>
      <c r="H114" s="5" t="str">
        <f>Taxepunkter!H137</f>
        <v/>
      </c>
      <c r="I114" s="5" t="str">
        <f>Taxepunkter!I137</f>
        <v/>
      </c>
      <c r="J114" s="5" t="str">
        <f>Taxepunkter!J137</f>
        <v/>
      </c>
      <c r="K114" s="5">
        <f>Taxepunkter!K137</f>
        <v>0</v>
      </c>
      <c r="L114" s="11">
        <f>Taxepunkter!L137</f>
        <v>0</v>
      </c>
    </row>
    <row r="115" spans="1:12" x14ac:dyDescent="0.25">
      <c r="A115" s="10" t="str">
        <f>Taxepunkter!A138</f>
        <v>§2.4.6 Felsorteringsavgift</v>
      </c>
      <c r="B115" s="5">
        <f>Taxepunkter!B138</f>
        <v>0</v>
      </c>
      <c r="C115" s="5">
        <f>Taxepunkter!C138</f>
        <v>0</v>
      </c>
      <c r="D115" s="5">
        <f>Taxepunkter!D138</f>
        <v>0</v>
      </c>
      <c r="E115" s="5">
        <f>Taxepunkter!E138</f>
        <v>0</v>
      </c>
      <c r="F115" s="5">
        <f>Taxepunkter!F138</f>
        <v>0</v>
      </c>
      <c r="G115" s="5" t="str">
        <f>Taxepunkter!G138</f>
        <v/>
      </c>
      <c r="H115" s="5" t="str">
        <f>Taxepunkter!H138</f>
        <v/>
      </c>
      <c r="I115" s="5" t="str">
        <f>Taxepunkter!I138</f>
        <v/>
      </c>
      <c r="J115" s="5" t="str">
        <f>Taxepunkter!J138</f>
        <v/>
      </c>
      <c r="K115" s="5">
        <f>Taxepunkter!K138</f>
        <v>0</v>
      </c>
      <c r="L115" s="11">
        <f>Taxepunkter!L138</f>
        <v>0</v>
      </c>
    </row>
    <row r="116" spans="1:12" x14ac:dyDescent="0.25">
      <c r="A116" s="10" t="str">
        <f>Taxepunkter!A139</f>
        <v>§2.4.6</v>
      </c>
      <c r="B116" s="5" t="str">
        <f>Taxepunkter!B139</f>
        <v>Felsorteringsavgift</v>
      </c>
      <c r="C116" s="5" t="str">
        <f>Taxepunkter!C139</f>
        <v>Kärl</v>
      </c>
      <c r="D116" s="5">
        <f>Taxepunkter!D139</f>
        <v>0</v>
      </c>
      <c r="E116" s="5" t="str">
        <f>Taxepunkter!E139</f>
        <v>st/tillfälle</v>
      </c>
      <c r="F116" s="5">
        <f>Taxepunkter!F139</f>
        <v>0</v>
      </c>
      <c r="G116" s="5" t="str">
        <f>Taxepunkter!G139</f>
        <v/>
      </c>
      <c r="H116" s="5" t="str">
        <f>Taxepunkter!H139</f>
        <v/>
      </c>
      <c r="I116" s="5" t="str">
        <f>Taxepunkter!I139</f>
        <v/>
      </c>
      <c r="J116" s="5" t="str">
        <f>Taxepunkter!J139</f>
        <v/>
      </c>
      <c r="K116" s="5">
        <f>Taxepunkter!K139</f>
        <v>0</v>
      </c>
      <c r="L116" s="11">
        <f>Taxepunkter!L139</f>
        <v>0</v>
      </c>
    </row>
    <row r="117" spans="1:12" x14ac:dyDescent="0.25">
      <c r="A117" s="10" t="str">
        <f>Taxepunkter!A140</f>
        <v>§2.4.6</v>
      </c>
      <c r="B117" s="5" t="str">
        <f>Taxepunkter!B140</f>
        <v>Felsorteringsavgift</v>
      </c>
      <c r="C117" s="5" t="str">
        <f>Taxepunkter!C140</f>
        <v>Bottentömmande behållare</v>
      </c>
      <c r="D117" s="5">
        <f>Taxepunkter!D140</f>
        <v>0</v>
      </c>
      <c r="E117" s="5" t="str">
        <f>Taxepunkter!E140</f>
        <v>st/tillfälle</v>
      </c>
      <c r="F117" s="5">
        <f>Taxepunkter!F140</f>
        <v>0</v>
      </c>
      <c r="G117" s="5" t="str">
        <f>Taxepunkter!G140</f>
        <v/>
      </c>
      <c r="H117" s="5" t="str">
        <f>Taxepunkter!H140</f>
        <v/>
      </c>
      <c r="I117" s="5" t="str">
        <f>Taxepunkter!I140</f>
        <v/>
      </c>
      <c r="J117" s="5" t="str">
        <f>Taxepunkter!J140</f>
        <v/>
      </c>
      <c r="K117" s="5">
        <f>Taxepunkter!K140</f>
        <v>0</v>
      </c>
      <c r="L117" s="11">
        <f>Taxepunkter!L140</f>
        <v>0</v>
      </c>
    </row>
    <row r="118" spans="1:12" x14ac:dyDescent="0.25">
      <c r="A118" s="10" t="str">
        <f>Taxepunkter!A141</f>
        <v>§2.4.6</v>
      </c>
      <c r="B118" s="5">
        <f>Taxepunkter!B141</f>
        <v>0</v>
      </c>
      <c r="C118" s="5">
        <f>Taxepunkter!C141</f>
        <v>0</v>
      </c>
      <c r="D118" s="5">
        <f>Taxepunkter!D141</f>
        <v>0</v>
      </c>
      <c r="E118" s="5">
        <f>Taxepunkter!E141</f>
        <v>0</v>
      </c>
      <c r="F118" s="5">
        <f>Taxepunkter!F141</f>
        <v>0</v>
      </c>
      <c r="G118" s="5" t="str">
        <f>Taxepunkter!G141</f>
        <v/>
      </c>
      <c r="H118" s="5" t="str">
        <f>Taxepunkter!H141</f>
        <v/>
      </c>
      <c r="I118" s="5" t="str">
        <f>Taxepunkter!I141</f>
        <v/>
      </c>
      <c r="J118" s="5" t="str">
        <f>Taxepunkter!J141</f>
        <v/>
      </c>
      <c r="K118" s="5">
        <f>Taxepunkter!K141</f>
        <v>0</v>
      </c>
      <c r="L118" s="11">
        <f>Taxepunkter!L141</f>
        <v>0</v>
      </c>
    </row>
    <row r="119" spans="1:12" x14ac:dyDescent="0.25">
      <c r="A119" s="10" t="str">
        <f>Taxepunkter!A142</f>
        <v>§2.4.7 Dragväg och avfallsutrymmen</v>
      </c>
      <c r="B119" s="5">
        <f>Taxepunkter!B142</f>
        <v>0</v>
      </c>
      <c r="C119" s="5">
        <f>Taxepunkter!C142</f>
        <v>0</v>
      </c>
      <c r="D119" s="5">
        <f>Taxepunkter!D142</f>
        <v>0</v>
      </c>
      <c r="E119" s="5">
        <f>Taxepunkter!E142</f>
        <v>0</v>
      </c>
      <c r="F119" s="5">
        <f>Taxepunkter!F142</f>
        <v>0</v>
      </c>
      <c r="G119" s="5" t="str">
        <f>Taxepunkter!G142</f>
        <v/>
      </c>
      <c r="H119" s="5" t="str">
        <f>Taxepunkter!H142</f>
        <v/>
      </c>
      <c r="I119" s="5" t="str">
        <f>Taxepunkter!I142</f>
        <v/>
      </c>
      <c r="J119" s="5" t="str">
        <f>Taxepunkter!J142</f>
        <v/>
      </c>
      <c r="K119" s="5">
        <f>Taxepunkter!K142</f>
        <v>0</v>
      </c>
      <c r="L119" s="11">
        <f>Taxepunkter!L142</f>
        <v>0</v>
      </c>
    </row>
    <row r="120" spans="1:12" x14ac:dyDescent="0.25">
      <c r="A120" s="10" t="str">
        <f>Taxepunkter!A144</f>
        <v>§2.4.7</v>
      </c>
      <c r="B120" s="5" t="str">
        <f>Taxepunkter!B144</f>
        <v>Dragväg och avfallsutrymmen</v>
      </c>
      <c r="C120" s="5" t="str">
        <f>Taxepunkter!C144</f>
        <v>Kärl 140-660 L</v>
      </c>
      <c r="D120" s="5" t="str">
        <f>Taxepunkter!D144</f>
        <v>10-20</v>
      </c>
      <c r="E120" s="5" t="str">
        <f>Taxepunkter!E144</f>
        <v>st/år</v>
      </c>
      <c r="F120" s="5">
        <f>Taxepunkter!F144</f>
        <v>0</v>
      </c>
      <c r="G120" s="5" t="str">
        <f>Taxepunkter!G144</f>
        <v/>
      </c>
      <c r="H120" s="5" t="str">
        <f>Taxepunkter!H144</f>
        <v/>
      </c>
      <c r="I120" s="5" t="str">
        <f>Taxepunkter!I144</f>
        <v/>
      </c>
      <c r="J120" s="5" t="str">
        <f>Taxepunkter!J144</f>
        <v/>
      </c>
      <c r="K120" s="5">
        <f>Taxepunkter!K144</f>
        <v>0</v>
      </c>
      <c r="L120" s="11">
        <f>Taxepunkter!L144</f>
        <v>0</v>
      </c>
    </row>
    <row r="121" spans="1:12" x14ac:dyDescent="0.25">
      <c r="A121" s="10" t="str">
        <f>Taxepunkter!A145</f>
        <v>§2.4.7</v>
      </c>
      <c r="B121" s="5" t="str">
        <f>Taxepunkter!B145</f>
        <v>Dragväg och avfallsutrymmen</v>
      </c>
      <c r="C121" s="5" t="str">
        <f>Taxepunkter!C145</f>
        <v>Kärl 140-660 L</v>
      </c>
      <c r="D121" s="5" t="str">
        <f>Taxepunkter!D145</f>
        <v>20-30</v>
      </c>
      <c r="E121" s="5" t="str">
        <f>Taxepunkter!E145</f>
        <v>st/år</v>
      </c>
      <c r="F121" s="5">
        <f>Taxepunkter!F145</f>
        <v>0</v>
      </c>
      <c r="G121" s="5" t="str">
        <f>Taxepunkter!G145</f>
        <v/>
      </c>
      <c r="H121" s="5" t="str">
        <f>Taxepunkter!H145</f>
        <v/>
      </c>
      <c r="I121" s="5" t="str">
        <f>Taxepunkter!I145</f>
        <v/>
      </c>
      <c r="J121" s="5" t="str">
        <f>Taxepunkter!J145</f>
        <v/>
      </c>
      <c r="K121" s="5">
        <f>Taxepunkter!K145</f>
        <v>0</v>
      </c>
      <c r="L121" s="11">
        <f>Taxepunkter!L145</f>
        <v>0</v>
      </c>
    </row>
    <row r="122" spans="1:12" x14ac:dyDescent="0.25">
      <c r="A122" s="10" t="str">
        <f>Taxepunkter!A147</f>
        <v>§2.4.7</v>
      </c>
      <c r="B122" s="5" t="str">
        <f>Taxepunkter!B147</f>
        <v>Dragväg och avfallsutrymmen</v>
      </c>
      <c r="C122" s="5" t="str">
        <f>Taxepunkter!C147</f>
        <v>Låst dörr, med kod</v>
      </c>
      <c r="D122" s="5">
        <f>Taxepunkter!D147</f>
        <v>0</v>
      </c>
      <c r="E122" s="5" t="str">
        <f>Taxepunkter!E147</f>
        <v>st/år</v>
      </c>
      <c r="F122" s="5">
        <f>Taxepunkter!F147</f>
        <v>0</v>
      </c>
      <c r="G122" s="5" t="str">
        <f>Taxepunkter!G147</f>
        <v/>
      </c>
      <c r="H122" s="5" t="str">
        <f>Taxepunkter!H147</f>
        <v/>
      </c>
      <c r="I122" s="5" t="str">
        <f>Taxepunkter!I147</f>
        <v/>
      </c>
      <c r="J122" s="5" t="str">
        <f>Taxepunkter!J147</f>
        <v/>
      </c>
      <c r="K122" s="5">
        <f>Taxepunkter!K147</f>
        <v>0</v>
      </c>
      <c r="L122" s="11">
        <f>Taxepunkter!L147</f>
        <v>0</v>
      </c>
    </row>
    <row r="123" spans="1:12" x14ac:dyDescent="0.25">
      <c r="A123" s="10" t="str">
        <f>Taxepunkter!A148</f>
        <v>§2.4.7</v>
      </c>
      <c r="B123" s="5">
        <f>Taxepunkter!B148</f>
        <v>0</v>
      </c>
      <c r="C123" s="5">
        <f>Taxepunkter!C148</f>
        <v>0</v>
      </c>
      <c r="D123" s="5">
        <f>Taxepunkter!D148</f>
        <v>0</v>
      </c>
      <c r="E123" s="5">
        <f>Taxepunkter!E148</f>
        <v>0</v>
      </c>
      <c r="F123" s="5">
        <f>Taxepunkter!F148</f>
        <v>0</v>
      </c>
      <c r="G123" s="5" t="str">
        <f>Taxepunkter!G148</f>
        <v/>
      </c>
      <c r="H123" s="5" t="str">
        <f>Taxepunkter!H148</f>
        <v/>
      </c>
      <c r="I123" s="5" t="str">
        <f>Taxepunkter!I148</f>
        <v/>
      </c>
      <c r="J123" s="5" t="str">
        <f>Taxepunkter!J148</f>
        <v/>
      </c>
      <c r="K123" s="5">
        <f>Taxepunkter!K148</f>
        <v>0</v>
      </c>
      <c r="L123" s="11">
        <f>Taxepunkter!L148</f>
        <v>0</v>
      </c>
    </row>
    <row r="124" spans="1:12" x14ac:dyDescent="0.25">
      <c r="A124" s="10" t="str">
        <f>Taxepunkter!A149</f>
        <v>§2.4.8 Evenemang och andra tillfälliga händelser</v>
      </c>
      <c r="B124" s="5">
        <f>Taxepunkter!B149</f>
        <v>0</v>
      </c>
      <c r="C124" s="5">
        <f>Taxepunkter!C149</f>
        <v>0</v>
      </c>
      <c r="D124" s="5">
        <f>Taxepunkter!D149</f>
        <v>0</v>
      </c>
      <c r="E124" s="5">
        <f>Taxepunkter!E149</f>
        <v>0</v>
      </c>
      <c r="F124" s="5">
        <f>Taxepunkter!F149</f>
        <v>0</v>
      </c>
      <c r="G124" s="5" t="str">
        <f>Taxepunkter!G149</f>
        <v/>
      </c>
      <c r="H124" s="5" t="str">
        <f>Taxepunkter!H149</f>
        <v/>
      </c>
      <c r="I124" s="5" t="str">
        <f>Taxepunkter!I149</f>
        <v/>
      </c>
      <c r="J124" s="5" t="str">
        <f>Taxepunkter!J149</f>
        <v/>
      </c>
      <c r="K124" s="5">
        <f>Taxepunkter!K149</f>
        <v>0</v>
      </c>
      <c r="L124" s="11">
        <f>Taxepunkter!L149</f>
        <v>0</v>
      </c>
    </row>
    <row r="125" spans="1:12" x14ac:dyDescent="0.25">
      <c r="A125" s="10" t="str">
        <f>Taxepunkter!A150</f>
        <v>§2.4.8</v>
      </c>
      <c r="B125" s="5" t="str">
        <f>Taxepunkter!B150</f>
        <v>Evenemang och andra tillfälliga händelser</v>
      </c>
      <c r="C125" s="5" t="str">
        <f>Taxepunkter!C150</f>
        <v>Kärl 140 l matavfall</v>
      </c>
      <c r="D125" s="5">
        <f>Taxepunkter!D150</f>
        <v>0</v>
      </c>
      <c r="E125" s="5" t="str">
        <f>Taxepunkter!E150</f>
        <v>st/period</v>
      </c>
      <c r="F125" s="5">
        <f>Taxepunkter!F150</f>
        <v>0</v>
      </c>
      <c r="G125" s="5" t="str">
        <f>Taxepunkter!G150</f>
        <v/>
      </c>
      <c r="H125" s="5" t="str">
        <f>Taxepunkter!H150</f>
        <v/>
      </c>
      <c r="I125" s="5" t="str">
        <f>Taxepunkter!I150</f>
        <v/>
      </c>
      <c r="J125" s="5" t="str">
        <f>Taxepunkter!J150</f>
        <v/>
      </c>
      <c r="K125" s="5">
        <f>Taxepunkter!K150</f>
        <v>0</v>
      </c>
      <c r="L125" s="11">
        <f>Taxepunkter!L150</f>
        <v>0</v>
      </c>
    </row>
    <row r="126" spans="1:12" x14ac:dyDescent="0.25">
      <c r="A126" s="10" t="str">
        <f>Taxepunkter!A152</f>
        <v>§2.4.8</v>
      </c>
      <c r="B126" s="5" t="str">
        <f>Taxepunkter!B152</f>
        <v>Evenemang och andra tillfälliga händelser</v>
      </c>
      <c r="C126" s="5" t="str">
        <f>Taxepunkter!C152</f>
        <v>Kärl 370 l restavfall</v>
      </c>
      <c r="D126" s="5">
        <f>Taxepunkter!D152</f>
        <v>0</v>
      </c>
      <c r="E126" s="5" t="str">
        <f>Taxepunkter!E152</f>
        <v>st/period</v>
      </c>
      <c r="F126" s="5">
        <f>Taxepunkter!F152</f>
        <v>0</v>
      </c>
      <c r="G126" s="5" t="str">
        <f>Taxepunkter!G152</f>
        <v/>
      </c>
      <c r="H126" s="5" t="str">
        <f>Taxepunkter!H152</f>
        <v/>
      </c>
      <c r="I126" s="5" t="str">
        <f>Taxepunkter!I152</f>
        <v/>
      </c>
      <c r="J126" s="5" t="str">
        <f>Taxepunkter!J152</f>
        <v/>
      </c>
      <c r="K126" s="5">
        <f>Taxepunkter!K152</f>
        <v>0</v>
      </c>
      <c r="L126" s="11">
        <f>Taxepunkter!L152</f>
        <v>0</v>
      </c>
    </row>
    <row r="127" spans="1:12" x14ac:dyDescent="0.25">
      <c r="A127" s="10" t="str">
        <f>Taxepunkter!A153</f>
        <v>§2.4.8</v>
      </c>
      <c r="B127" s="5" t="str">
        <f>Taxepunkter!B153</f>
        <v>Evenemang och andra tillfälliga händelser</v>
      </c>
      <c r="C127" s="5" t="str">
        <f>Taxepunkter!C153</f>
        <v>Kärl 660 l restavfall</v>
      </c>
      <c r="D127" s="5">
        <f>Taxepunkter!D153</f>
        <v>0</v>
      </c>
      <c r="E127" s="5" t="str">
        <f>Taxepunkter!E153</f>
        <v>st/period</v>
      </c>
      <c r="F127" s="5">
        <f>Taxepunkter!F153</f>
        <v>0</v>
      </c>
      <c r="G127" s="5" t="str">
        <f>Taxepunkter!G153</f>
        <v/>
      </c>
      <c r="H127" s="5" t="str">
        <f>Taxepunkter!H153</f>
        <v/>
      </c>
      <c r="I127" s="5" t="str">
        <f>Taxepunkter!I153</f>
        <v/>
      </c>
      <c r="J127" s="5" t="str">
        <f>Taxepunkter!J153</f>
        <v/>
      </c>
      <c r="K127" s="5">
        <f>Taxepunkter!K153</f>
        <v>0</v>
      </c>
      <c r="L127" s="11">
        <f>Taxepunkter!L153</f>
        <v>0</v>
      </c>
    </row>
    <row r="128" spans="1:12" x14ac:dyDescent="0.25">
      <c r="A128" s="10" t="str">
        <f>Taxepunkter!A154</f>
        <v>§2.4.8</v>
      </c>
      <c r="B128" s="5">
        <f>Taxepunkter!B154</f>
        <v>0</v>
      </c>
      <c r="C128" s="5">
        <f>Taxepunkter!C154</f>
        <v>0</v>
      </c>
      <c r="D128" s="5">
        <f>Taxepunkter!D154</f>
        <v>0</v>
      </c>
      <c r="E128" s="5">
        <f>Taxepunkter!E154</f>
        <v>0</v>
      </c>
      <c r="F128" s="5">
        <f>Taxepunkter!F154</f>
        <v>0</v>
      </c>
      <c r="G128" s="5" t="str">
        <f>Taxepunkter!G154</f>
        <v/>
      </c>
      <c r="H128" s="5" t="str">
        <f>Taxepunkter!H154</f>
        <v/>
      </c>
      <c r="I128" s="5" t="str">
        <f>Taxepunkter!I154</f>
        <v/>
      </c>
      <c r="J128" s="5" t="str">
        <f>Taxepunkter!J154</f>
        <v/>
      </c>
      <c r="K128" s="5">
        <f>Taxepunkter!K154</f>
        <v>0</v>
      </c>
      <c r="L128" s="11">
        <f>Taxepunkter!L154</f>
        <v>0</v>
      </c>
    </row>
    <row r="129" spans="1:12" x14ac:dyDescent="0.25">
      <c r="A129" s="10" t="str">
        <f>Taxepunkter!A155</f>
        <v>§2.4.8</v>
      </c>
      <c r="B129" s="5">
        <f>Taxepunkter!B155</f>
        <v>0</v>
      </c>
      <c r="C129" s="5">
        <f>Taxepunkter!C155</f>
        <v>0</v>
      </c>
      <c r="D129" s="5">
        <f>Taxepunkter!D155</f>
        <v>0</v>
      </c>
      <c r="E129" s="5">
        <f>Taxepunkter!E155</f>
        <v>0</v>
      </c>
      <c r="F129" s="5">
        <f>Taxepunkter!F155</f>
        <v>0</v>
      </c>
      <c r="G129" s="5" t="str">
        <f>Taxepunkter!G155</f>
        <v/>
      </c>
      <c r="H129" s="5" t="str">
        <f>Taxepunkter!H155</f>
        <v/>
      </c>
      <c r="I129" s="5" t="str">
        <f>Taxepunkter!I155</f>
        <v/>
      </c>
      <c r="J129" s="5" t="str">
        <f>Taxepunkter!J155</f>
        <v/>
      </c>
      <c r="K129" s="5">
        <f>Taxepunkter!K155</f>
        <v>0</v>
      </c>
      <c r="L129" s="11">
        <f>Taxepunkter!L155</f>
        <v>0</v>
      </c>
    </row>
    <row r="130" spans="1:12" x14ac:dyDescent="0.25">
      <c r="A130" s="10" t="str">
        <f>Taxepunkter!A157</f>
        <v>§2.4.9</v>
      </c>
      <c r="B130" s="5" t="str">
        <f>Taxepunkter!B157</f>
        <v>Budning av mat- och restavfall</v>
      </c>
      <c r="C130" s="5" t="str">
        <f>Taxepunkter!C157</f>
        <v>Sidlastande fordon</v>
      </c>
      <c r="D130" s="5">
        <f>Taxepunkter!D157</f>
        <v>0</v>
      </c>
      <c r="E130" s="5" t="str">
        <f>Taxepunkter!E157</f>
        <v>st/tillfälle</v>
      </c>
      <c r="F130" s="5">
        <f>Taxepunkter!F157</f>
        <v>0</v>
      </c>
      <c r="G130" s="5" t="str">
        <f>Taxepunkter!G157</f>
        <v/>
      </c>
      <c r="H130" s="5" t="str">
        <f>Taxepunkter!H157</f>
        <v/>
      </c>
      <c r="I130" s="5" t="str">
        <f>Taxepunkter!I157</f>
        <v/>
      </c>
      <c r="J130" s="5" t="str">
        <f>Taxepunkter!J157</f>
        <v/>
      </c>
      <c r="K130" s="5">
        <f>Taxepunkter!K157</f>
        <v>0</v>
      </c>
      <c r="L130" s="11">
        <f>Taxepunkter!L157</f>
        <v>0</v>
      </c>
    </row>
    <row r="131" spans="1:12" x14ac:dyDescent="0.25">
      <c r="A131" s="10" t="str">
        <f>Taxepunkter!A158</f>
        <v>§2.4.9</v>
      </c>
      <c r="B131" s="5" t="str">
        <f>Taxepunkter!B158</f>
        <v>Budning av mat- och restavfall</v>
      </c>
      <c r="C131" s="5" t="str">
        <f>Taxepunkter!C158</f>
        <v>Bottentömmande fordon</v>
      </c>
      <c r="D131" s="5">
        <f>Taxepunkter!D158</f>
        <v>0</v>
      </c>
      <c r="E131" s="5" t="str">
        <f>Taxepunkter!E158</f>
        <v>st/tillfälle</v>
      </c>
      <c r="F131" s="5">
        <f>Taxepunkter!F158</f>
        <v>0</v>
      </c>
      <c r="G131" s="5" t="str">
        <f>Taxepunkter!G158</f>
        <v/>
      </c>
      <c r="H131" s="5" t="str">
        <f>Taxepunkter!H158</f>
        <v/>
      </c>
      <c r="I131" s="5" t="str">
        <f>Taxepunkter!I158</f>
        <v/>
      </c>
      <c r="J131" s="5" t="str">
        <f>Taxepunkter!J158</f>
        <v/>
      </c>
      <c r="K131" s="5">
        <f>Taxepunkter!K158</f>
        <v>0</v>
      </c>
      <c r="L131" s="11">
        <f>Taxepunkter!L158</f>
        <v>0</v>
      </c>
    </row>
    <row r="132" spans="1:12" x14ac:dyDescent="0.25">
      <c r="A132" s="10" t="str">
        <f>Taxepunkter!A159</f>
        <v>§2.4.9</v>
      </c>
      <c r="B132" s="5">
        <f>Taxepunkter!B159</f>
        <v>0</v>
      </c>
      <c r="C132" s="5">
        <f>Taxepunkter!C159</f>
        <v>0</v>
      </c>
      <c r="D132" s="5">
        <f>Taxepunkter!D159</f>
        <v>0</v>
      </c>
      <c r="E132" s="5">
        <f>Taxepunkter!E159</f>
        <v>0</v>
      </c>
      <c r="F132" s="5">
        <f>Taxepunkter!F159</f>
        <v>0</v>
      </c>
      <c r="G132" s="5" t="str">
        <f>Taxepunkter!G159</f>
        <v/>
      </c>
      <c r="H132" s="5" t="str">
        <f>Taxepunkter!H159</f>
        <v/>
      </c>
      <c r="I132" s="5" t="str">
        <f>Taxepunkter!I159</f>
        <v/>
      </c>
      <c r="J132" s="5" t="str">
        <f>Taxepunkter!J159</f>
        <v/>
      </c>
      <c r="K132" s="5">
        <f>Taxepunkter!K159</f>
        <v>0</v>
      </c>
      <c r="L132" s="11">
        <f>Taxepunkter!L159</f>
        <v>0</v>
      </c>
    </row>
    <row r="133" spans="1:12" x14ac:dyDescent="0.25">
      <c r="A133" s="10" t="str">
        <f>Taxepunkter!A160</f>
        <v>§2.4.9</v>
      </c>
      <c r="B133" s="5">
        <f>Taxepunkter!B160</f>
        <v>0</v>
      </c>
      <c r="C133" s="5">
        <f>Taxepunkter!C160</f>
        <v>0</v>
      </c>
      <c r="D133" s="5">
        <f>Taxepunkter!D160</f>
        <v>0</v>
      </c>
      <c r="E133" s="5">
        <f>Taxepunkter!E160</f>
        <v>0</v>
      </c>
      <c r="F133" s="5">
        <f>Taxepunkter!F160</f>
        <v>0</v>
      </c>
      <c r="G133" s="5" t="str">
        <f>Taxepunkter!G160</f>
        <v/>
      </c>
      <c r="H133" s="5" t="str">
        <f>Taxepunkter!H160</f>
        <v/>
      </c>
      <c r="I133" s="5" t="str">
        <f>Taxepunkter!I160</f>
        <v/>
      </c>
      <c r="J133" s="5" t="str">
        <f>Taxepunkter!J160</f>
        <v/>
      </c>
      <c r="K133" s="5">
        <f>Taxepunkter!K160</f>
        <v>0</v>
      </c>
      <c r="L133" s="11">
        <f>Taxepunkter!L160</f>
        <v>0</v>
      </c>
    </row>
    <row r="134" spans="1:12" x14ac:dyDescent="0.25">
      <c r="A134" s="10" t="str">
        <f>Taxepunkter!A161</f>
        <v>§2.4.10 Betalsäck och akutsäck</v>
      </c>
      <c r="B134" s="5">
        <f>Taxepunkter!B161</f>
        <v>0</v>
      </c>
      <c r="C134" s="5">
        <f>Taxepunkter!C161</f>
        <v>0</v>
      </c>
      <c r="D134" s="5">
        <f>Taxepunkter!D161</f>
        <v>0</v>
      </c>
      <c r="E134" s="5">
        <f>Taxepunkter!E161</f>
        <v>0</v>
      </c>
      <c r="F134" s="5">
        <f>Taxepunkter!F161</f>
        <v>0</v>
      </c>
      <c r="G134" s="5" t="str">
        <f>Taxepunkter!G161</f>
        <v/>
      </c>
      <c r="H134" s="5" t="str">
        <f>Taxepunkter!H161</f>
        <v/>
      </c>
      <c r="I134" s="5" t="str">
        <f>Taxepunkter!I161</f>
        <v/>
      </c>
      <c r="J134" s="5" t="str">
        <f>Taxepunkter!J161</f>
        <v/>
      </c>
      <c r="K134" s="5">
        <f>Taxepunkter!K161</f>
        <v>0</v>
      </c>
      <c r="L134" s="11">
        <f>Taxepunkter!L161</f>
        <v>0</v>
      </c>
    </row>
    <row r="135" spans="1:12" x14ac:dyDescent="0.25">
      <c r="A135" s="10" t="str">
        <f>Taxepunkter!A162</f>
        <v>§2.4.10</v>
      </c>
      <c r="B135" s="5" t="str">
        <f>Taxepunkter!B162</f>
        <v>Betalsäck och akutsäck</v>
      </c>
      <c r="C135" s="5" t="str">
        <f>Taxepunkter!C162</f>
        <v>Betalsäck</v>
      </c>
      <c r="D135" s="5">
        <f>Taxepunkter!D162</f>
        <v>0</v>
      </c>
      <c r="E135" s="5" t="str">
        <f>Taxepunkter!E162</f>
        <v>st/säck</v>
      </c>
      <c r="F135" s="5">
        <f>Taxepunkter!F162</f>
        <v>0</v>
      </c>
      <c r="G135" s="5" t="str">
        <f>Taxepunkter!G162</f>
        <v/>
      </c>
      <c r="H135" s="5" t="str">
        <f>Taxepunkter!H162</f>
        <v/>
      </c>
      <c r="I135" s="5" t="str">
        <f>Taxepunkter!I162</f>
        <v/>
      </c>
      <c r="J135" s="5" t="str">
        <f>Taxepunkter!J162</f>
        <v/>
      </c>
      <c r="K135" s="5">
        <f>Taxepunkter!K162</f>
        <v>0</v>
      </c>
      <c r="L135" s="11">
        <f>Taxepunkter!L162</f>
        <v>0</v>
      </c>
    </row>
    <row r="136" spans="1:12" x14ac:dyDescent="0.25">
      <c r="A136" s="10" t="str">
        <f>Taxepunkter!A164</f>
        <v>§2.4.10</v>
      </c>
      <c r="B136" s="5">
        <f>Taxepunkter!B164</f>
        <v>0</v>
      </c>
      <c r="C136" s="5">
        <f>Taxepunkter!C164</f>
        <v>0</v>
      </c>
      <c r="D136" s="5">
        <f>Taxepunkter!D164</f>
        <v>0</v>
      </c>
      <c r="E136" s="5">
        <f>Taxepunkter!E164</f>
        <v>0</v>
      </c>
      <c r="F136" s="5">
        <f>Taxepunkter!F164</f>
        <v>0</v>
      </c>
      <c r="G136" s="5" t="str">
        <f>Taxepunkter!G164</f>
        <v/>
      </c>
      <c r="H136" s="5" t="str">
        <f>Taxepunkter!H164</f>
        <v/>
      </c>
      <c r="I136" s="5" t="str">
        <f>Taxepunkter!I164</f>
        <v/>
      </c>
      <c r="J136" s="5" t="str">
        <f>Taxepunkter!J164</f>
        <v/>
      </c>
      <c r="K136" s="5">
        <f>Taxepunkter!K164</f>
        <v>0</v>
      </c>
      <c r="L136" s="11">
        <f>Taxepunkter!L164</f>
        <v>0</v>
      </c>
    </row>
    <row r="137" spans="1:12" x14ac:dyDescent="0.25">
      <c r="A137" s="10" t="str">
        <f>Taxepunkter!A165</f>
        <v>§2.4.11 Tillbehör</v>
      </c>
      <c r="B137" s="5">
        <f>Taxepunkter!B165</f>
        <v>0</v>
      </c>
      <c r="C137" s="5">
        <f>Taxepunkter!C165</f>
        <v>0</v>
      </c>
      <c r="D137" s="5">
        <f>Taxepunkter!D165</f>
        <v>0</v>
      </c>
      <c r="E137" s="5">
        <f>Taxepunkter!E165</f>
        <v>0</v>
      </c>
      <c r="F137" s="5">
        <f>Taxepunkter!F165</f>
        <v>0</v>
      </c>
      <c r="G137" s="5" t="str">
        <f>Taxepunkter!G165</f>
        <v/>
      </c>
      <c r="H137" s="5" t="str">
        <f>Taxepunkter!H165</f>
        <v/>
      </c>
      <c r="I137" s="5" t="str">
        <f>Taxepunkter!I165</f>
        <v/>
      </c>
      <c r="J137" s="5" t="str">
        <f>Taxepunkter!J165</f>
        <v/>
      </c>
      <c r="K137" s="5">
        <f>Taxepunkter!K165</f>
        <v>0</v>
      </c>
      <c r="L137" s="11">
        <f>Taxepunkter!L165</f>
        <v>0</v>
      </c>
    </row>
    <row r="138" spans="1:12" x14ac:dyDescent="0.25">
      <c r="A138" s="10" t="str">
        <f>Taxepunkter!A166</f>
        <v>§2.4.11</v>
      </c>
      <c r="B138" s="5">
        <f>Taxepunkter!B166</f>
        <v>0</v>
      </c>
      <c r="C138" s="5">
        <f>Taxepunkter!C166</f>
        <v>0</v>
      </c>
      <c r="D138" s="5">
        <f>Taxepunkter!D166</f>
        <v>0</v>
      </c>
      <c r="E138" s="5">
        <f>Taxepunkter!E166</f>
        <v>0</v>
      </c>
      <c r="F138" s="5">
        <f>Taxepunkter!F166</f>
        <v>0</v>
      </c>
      <c r="G138" s="5" t="str">
        <f>Taxepunkter!G166</f>
        <v/>
      </c>
      <c r="H138" s="5" t="str">
        <f>Taxepunkter!H166</f>
        <v/>
      </c>
      <c r="I138" s="5" t="str">
        <f>Taxepunkter!I166</f>
        <v/>
      </c>
      <c r="J138" s="5" t="str">
        <f>Taxepunkter!J166</f>
        <v/>
      </c>
      <c r="K138" s="5">
        <f>Taxepunkter!K166</f>
        <v>0</v>
      </c>
      <c r="L138" s="11">
        <f>Taxepunkter!L166</f>
        <v>0</v>
      </c>
    </row>
    <row r="139" spans="1:12" x14ac:dyDescent="0.25">
      <c r="A139" s="10" t="str">
        <f>Taxepunkter!A167</f>
        <v>§2.4.11</v>
      </c>
      <c r="B139" s="5" t="str">
        <f>Taxepunkter!B167</f>
        <v>Tillbehör</v>
      </c>
      <c r="C139" s="5" t="str">
        <f>Taxepunkter!C167</f>
        <v>Matavfallspåsar 22 L</v>
      </c>
      <c r="D139" s="5">
        <f>Taxepunkter!D167</f>
        <v>0</v>
      </c>
      <c r="E139" s="5" t="str">
        <f>Taxepunkter!E167</f>
        <v>bunt</v>
      </c>
      <c r="F139" s="5">
        <f>Taxepunkter!F167</f>
        <v>0</v>
      </c>
      <c r="G139" s="5" t="str">
        <f>Taxepunkter!G167</f>
        <v/>
      </c>
      <c r="H139" s="5" t="str">
        <f>Taxepunkter!H167</f>
        <v/>
      </c>
      <c r="I139" s="5" t="str">
        <f>Taxepunkter!I167</f>
        <v/>
      </c>
      <c r="J139" s="5" t="str">
        <f>Taxepunkter!J167</f>
        <v/>
      </c>
      <c r="K139" s="5">
        <f>Taxepunkter!K167</f>
        <v>0</v>
      </c>
      <c r="L139" s="11">
        <f>Taxepunkter!L167</f>
        <v>0</v>
      </c>
    </row>
    <row r="140" spans="1:12" x14ac:dyDescent="0.25">
      <c r="A140" s="10" t="str">
        <f>Taxepunkter!A168</f>
        <v>§2.4.11</v>
      </c>
      <c r="B140" s="5" t="str">
        <f>Taxepunkter!B168</f>
        <v>Tillbehör</v>
      </c>
      <c r="C140" s="5" t="str">
        <f>Taxepunkter!C168</f>
        <v>Gravitationslås till kärl</v>
      </c>
      <c r="D140" s="5">
        <f>Taxepunkter!D168</f>
        <v>0</v>
      </c>
      <c r="E140" s="5" t="str">
        <f>Taxepunkter!E168</f>
        <v>st</v>
      </c>
      <c r="F140" s="5">
        <f>Taxepunkter!F168</f>
        <v>0</v>
      </c>
      <c r="G140" s="5" t="str">
        <f>Taxepunkter!G168</f>
        <v/>
      </c>
      <c r="H140" s="5" t="str">
        <f>Taxepunkter!H168</f>
        <v/>
      </c>
      <c r="I140" s="5" t="str">
        <f>Taxepunkter!I168</f>
        <v/>
      </c>
      <c r="J140" s="5" t="str">
        <f>Taxepunkter!J168</f>
        <v/>
      </c>
      <c r="K140" s="5">
        <f>Taxepunkter!K168</f>
        <v>0</v>
      </c>
      <c r="L140" s="11">
        <f>Taxepunkter!L168</f>
        <v>0</v>
      </c>
    </row>
    <row r="141" spans="1:12" x14ac:dyDescent="0.25">
      <c r="A141" s="10" t="str">
        <f>Taxepunkter!A169</f>
        <v>§2.4.11</v>
      </c>
      <c r="B141" s="5" t="str">
        <f>Taxepunkter!B169</f>
        <v>Tillbehör</v>
      </c>
      <c r="C141" s="5" t="str">
        <f>Taxepunkter!C169</f>
        <v>Extra nyckel till gravitationslås</v>
      </c>
      <c r="D141" s="5">
        <f>Taxepunkter!D169</f>
        <v>0</v>
      </c>
      <c r="E141" s="5" t="str">
        <f>Taxepunkter!E169</f>
        <v>st</v>
      </c>
      <c r="F141" s="5">
        <f>Taxepunkter!F169</f>
        <v>0</v>
      </c>
      <c r="G141" s="5" t="str">
        <f>Taxepunkter!G169</f>
        <v/>
      </c>
      <c r="H141" s="5" t="str">
        <f>Taxepunkter!H169</f>
        <v/>
      </c>
      <c r="I141" s="5" t="str">
        <f>Taxepunkter!I169</f>
        <v/>
      </c>
      <c r="J141" s="5" t="str">
        <f>Taxepunkter!J169</f>
        <v/>
      </c>
      <c r="K141" s="5">
        <f>Taxepunkter!K169</f>
        <v>0</v>
      </c>
      <c r="L141" s="11">
        <f>Taxepunkter!L169</f>
        <v>0</v>
      </c>
    </row>
    <row r="142" spans="1:12" x14ac:dyDescent="0.25">
      <c r="A142" s="10" t="str">
        <f>Taxepunkter!A170</f>
        <v>§2.4.11</v>
      </c>
      <c r="B142" s="5">
        <f>Taxepunkter!B170</f>
        <v>0</v>
      </c>
      <c r="C142" s="5">
        <f>Taxepunkter!C170</f>
        <v>0</v>
      </c>
      <c r="D142" s="5">
        <f>Taxepunkter!D170</f>
        <v>0</v>
      </c>
      <c r="E142" s="5">
        <f>Taxepunkter!E170</f>
        <v>0</v>
      </c>
      <c r="F142" s="5">
        <f>Taxepunkter!F170</f>
        <v>0</v>
      </c>
      <c r="G142" s="5" t="str">
        <f>Taxepunkter!G170</f>
        <v/>
      </c>
      <c r="H142" s="5" t="str">
        <f>Taxepunkter!H170</f>
        <v/>
      </c>
      <c r="I142" s="5" t="str">
        <f>Taxepunkter!I170</f>
        <v/>
      </c>
      <c r="J142" s="5" t="str">
        <f>Taxepunkter!J170</f>
        <v/>
      </c>
      <c r="K142" s="5">
        <f>Taxepunkter!K170</f>
        <v>0</v>
      </c>
      <c r="L142" s="11">
        <f>Taxepunkter!L170</f>
        <v>0</v>
      </c>
    </row>
    <row r="143" spans="1:12" x14ac:dyDescent="0.25">
      <c r="A143" s="10" t="str">
        <f>Taxepunkter!A171</f>
        <v>§2.5.1 Budning för fastighetsnära hämtning av kommunalt avfall</v>
      </c>
      <c r="B143" s="5">
        <f>Taxepunkter!B171</f>
        <v>0</v>
      </c>
      <c r="C143" s="5">
        <f>Taxepunkter!C171</f>
        <v>0</v>
      </c>
      <c r="D143" s="5">
        <f>Taxepunkter!D171</f>
        <v>0</v>
      </c>
      <c r="E143" s="5">
        <f>Taxepunkter!E171</f>
        <v>0</v>
      </c>
      <c r="F143" s="5">
        <f>Taxepunkter!F171</f>
        <v>0</v>
      </c>
      <c r="G143" s="5" t="str">
        <f>Taxepunkter!G171</f>
        <v/>
      </c>
      <c r="H143" s="5" t="str">
        <f>Taxepunkter!H171</f>
        <v/>
      </c>
      <c r="I143" s="5" t="str">
        <f>Taxepunkter!I171</f>
        <v/>
      </c>
      <c r="J143" s="5" t="str">
        <f>Taxepunkter!J171</f>
        <v/>
      </c>
      <c r="K143" s="5">
        <f>Taxepunkter!K171</f>
        <v>0</v>
      </c>
      <c r="L143" s="11">
        <f>Taxepunkter!L171</f>
        <v>0</v>
      </c>
    </row>
    <row r="144" spans="1:12" x14ac:dyDescent="0.25">
      <c r="A144" s="10" t="str">
        <f>Taxepunkter!A172</f>
        <v>§2.5.1</v>
      </c>
      <c r="B144" s="5" t="str">
        <f>Taxepunkter!B172</f>
        <v>Budning för fastighetsnära hämtning av kommunalt avfall</v>
      </c>
      <c r="C144" s="5" t="str">
        <f>Taxepunkter!C172</f>
        <v>Kommunalt avfall</v>
      </c>
      <c r="D144" s="5">
        <f>Taxepunkter!D172</f>
        <v>0</v>
      </c>
      <c r="E144" s="5" t="str">
        <f>Taxepunkter!E172</f>
        <v>st/tillfälle</v>
      </c>
      <c r="F144" s="5">
        <f>Taxepunkter!F172</f>
        <v>0</v>
      </c>
      <c r="G144" s="5" t="str">
        <f>Taxepunkter!G172</f>
        <v/>
      </c>
      <c r="H144" s="5" t="str">
        <f>Taxepunkter!H172</f>
        <v/>
      </c>
      <c r="I144" s="5" t="str">
        <f>Taxepunkter!I172</f>
        <v/>
      </c>
      <c r="J144" s="5" t="str">
        <f>Taxepunkter!J172</f>
        <v/>
      </c>
      <c r="K144" s="5">
        <f>Taxepunkter!K172</f>
        <v>0</v>
      </c>
      <c r="L144" s="11">
        <f>Taxepunkter!L172</f>
        <v>0</v>
      </c>
    </row>
    <row r="145" spans="1:12" x14ac:dyDescent="0.25">
      <c r="A145" s="10" t="str">
        <f>Taxepunkter!A173</f>
        <v>§2.5.1</v>
      </c>
      <c r="B145" s="5" t="str">
        <f>Taxepunkter!B173</f>
        <v>Budning för fastighetsnära hämtning av kommunalt avfall</v>
      </c>
      <c r="C145" s="5" t="str">
        <f>Taxepunkter!C173</f>
        <v>Farligt avfall (ej uppmärkt)</v>
      </c>
      <c r="D145" s="5">
        <f>Taxepunkter!D173</f>
        <v>0</v>
      </c>
      <c r="E145" s="5" t="str">
        <f>Taxepunkter!E173</f>
        <v>st/tillfälle</v>
      </c>
      <c r="F145" s="5">
        <f>Taxepunkter!F173</f>
        <v>0</v>
      </c>
      <c r="G145" s="5" t="str">
        <f>Taxepunkter!G173</f>
        <v/>
      </c>
      <c r="H145" s="5" t="str">
        <f>Taxepunkter!H173</f>
        <v/>
      </c>
      <c r="I145" s="5" t="str">
        <f>Taxepunkter!I173</f>
        <v/>
      </c>
      <c r="J145" s="5" t="str">
        <f>Taxepunkter!J173</f>
        <v/>
      </c>
      <c r="K145" s="5">
        <f>Taxepunkter!K173</f>
        <v>0</v>
      </c>
      <c r="L145" s="11">
        <f>Taxepunkter!L173</f>
        <v>0</v>
      </c>
    </row>
    <row r="146" spans="1:12" x14ac:dyDescent="0.25">
      <c r="A146" s="10" t="str">
        <f>Taxepunkter!A174</f>
        <v>§2.5.1</v>
      </c>
      <c r="B146" s="5" t="str">
        <f>Taxepunkter!B174</f>
        <v>Budning för fastighetsnära hämtning av kommunalt avfall</v>
      </c>
      <c r="C146" s="5" t="str">
        <f>Taxepunkter!C174</f>
        <v>Farligt avfall (uppmärkt)</v>
      </c>
      <c r="D146" s="5">
        <f>Taxepunkter!D174</f>
        <v>0</v>
      </c>
      <c r="E146" s="5" t="str">
        <f>Taxepunkter!E174</f>
        <v>st/tillfälle</v>
      </c>
      <c r="F146" s="5">
        <f>Taxepunkter!F174</f>
        <v>0</v>
      </c>
      <c r="G146" s="5" t="str">
        <f>Taxepunkter!G174</f>
        <v/>
      </c>
      <c r="H146" s="5" t="str">
        <f>Taxepunkter!H174</f>
        <v/>
      </c>
      <c r="I146" s="5" t="str">
        <f>Taxepunkter!I174</f>
        <v/>
      </c>
      <c r="J146" s="5" t="str">
        <f>Taxepunkter!J174</f>
        <v/>
      </c>
      <c r="K146" s="5">
        <f>Taxepunkter!K174</f>
        <v>0</v>
      </c>
      <c r="L146" s="11">
        <f>Taxepunkter!L174</f>
        <v>0</v>
      </c>
    </row>
    <row r="147" spans="1:12" x14ac:dyDescent="0.25">
      <c r="A147" s="10" t="str">
        <f>Taxepunkter!A176</f>
        <v>§2.5.1</v>
      </c>
      <c r="B147" s="5">
        <f>Taxepunkter!B176</f>
        <v>0</v>
      </c>
      <c r="C147" s="5">
        <f>Taxepunkter!C176</f>
        <v>0</v>
      </c>
      <c r="D147" s="5">
        <f>Taxepunkter!D176</f>
        <v>0</v>
      </c>
      <c r="E147" s="5">
        <f>Taxepunkter!E176</f>
        <v>0</v>
      </c>
      <c r="F147" s="5">
        <f>Taxepunkter!F176</f>
        <v>0</v>
      </c>
      <c r="G147" s="5" t="str">
        <f>Taxepunkter!G176</f>
        <v/>
      </c>
      <c r="H147" s="5" t="str">
        <f>Taxepunkter!H176</f>
        <v/>
      </c>
      <c r="I147" s="5" t="str">
        <f>Taxepunkter!I176</f>
        <v/>
      </c>
      <c r="J147" s="5" t="str">
        <f>Taxepunkter!J176</f>
        <v/>
      </c>
      <c r="K147" s="5">
        <f>Taxepunkter!K176</f>
        <v>0</v>
      </c>
      <c r="L147" s="11">
        <f>Taxepunkter!L176</f>
        <v>0</v>
      </c>
    </row>
    <row r="148" spans="1:12" x14ac:dyDescent="0.25">
      <c r="A148" s="10" t="str">
        <f>Taxepunkter!A177</f>
        <v>§3.1 Ordinarie tömning slam</v>
      </c>
      <c r="B148" s="5">
        <f>Taxepunkter!B177</f>
        <v>0</v>
      </c>
      <c r="C148" s="5">
        <f>Taxepunkter!C177</f>
        <v>0</v>
      </c>
      <c r="D148" s="5">
        <f>Taxepunkter!D177</f>
        <v>0</v>
      </c>
      <c r="E148" s="5">
        <f>Taxepunkter!E177</f>
        <v>0</v>
      </c>
      <c r="F148" s="5">
        <f>Taxepunkter!F177</f>
        <v>0</v>
      </c>
      <c r="G148" s="5" t="str">
        <f>Taxepunkter!G177</f>
        <v/>
      </c>
      <c r="H148" s="5" t="str">
        <f>Taxepunkter!H177</f>
        <v/>
      </c>
      <c r="I148" s="5" t="str">
        <f>Taxepunkter!I177</f>
        <v/>
      </c>
      <c r="J148" s="5" t="str">
        <f>Taxepunkter!J177</f>
        <v/>
      </c>
      <c r="K148" s="5">
        <f>Taxepunkter!K177</f>
        <v>0</v>
      </c>
      <c r="L148" s="11">
        <f>Taxepunkter!L177</f>
        <v>0</v>
      </c>
    </row>
    <row r="149" spans="1:12" x14ac:dyDescent="0.25">
      <c r="A149" s="10" t="str">
        <f>Taxepunkter!A178</f>
        <v>§3.1</v>
      </c>
      <c r="B149" s="5">
        <f>Taxepunkter!B178</f>
        <v>0</v>
      </c>
      <c r="C149" s="5">
        <f>Taxepunkter!C178</f>
        <v>0</v>
      </c>
      <c r="D149" s="5">
        <f>Taxepunkter!D178</f>
        <v>0</v>
      </c>
      <c r="E149" s="5">
        <f>Taxepunkter!E178</f>
        <v>0</v>
      </c>
      <c r="F149" s="5">
        <f>Taxepunkter!F178</f>
        <v>0</v>
      </c>
      <c r="G149" s="5" t="str">
        <f>Taxepunkter!G178</f>
        <v/>
      </c>
      <c r="H149" s="5" t="str">
        <f>Taxepunkter!H178</f>
        <v/>
      </c>
      <c r="I149" s="5" t="str">
        <f>Taxepunkter!I178</f>
        <v/>
      </c>
      <c r="J149" s="5" t="str">
        <f>Taxepunkter!J178</f>
        <v/>
      </c>
      <c r="K149" s="5">
        <f>Taxepunkter!K178</f>
        <v>0</v>
      </c>
      <c r="L149" s="11">
        <f>Taxepunkter!L178</f>
        <v>0</v>
      </c>
    </row>
    <row r="150" spans="1:12" x14ac:dyDescent="0.25">
      <c r="A150" s="10" t="str">
        <f>Taxepunkter!A179</f>
        <v>§3.1</v>
      </c>
      <c r="B150" s="5" t="str">
        <f>Taxepunkter!B179</f>
        <v>Ordinarie tömning slam</v>
      </c>
      <c r="C150" s="5" t="str">
        <f>Taxepunkter!C179</f>
        <v>Mellan 3 m3 och 6 m3</v>
      </c>
      <c r="D150" s="5">
        <f>Taxepunkter!D179</f>
        <v>0</v>
      </c>
      <c r="E150" s="5" t="str">
        <f>Taxepunkter!E179</f>
        <v>kr/tömning</v>
      </c>
      <c r="F150" s="5">
        <f>Taxepunkter!F179</f>
        <v>0</v>
      </c>
      <c r="G150" s="5" t="str">
        <f>Taxepunkter!G179</f>
        <v/>
      </c>
      <c r="H150" s="5" t="str">
        <f>Taxepunkter!H179</f>
        <v/>
      </c>
      <c r="I150" s="5" t="str">
        <f>Taxepunkter!I179</f>
        <v/>
      </c>
      <c r="J150" s="5" t="str">
        <f>Taxepunkter!J179</f>
        <v/>
      </c>
      <c r="K150" s="5">
        <f>Taxepunkter!K179</f>
        <v>0</v>
      </c>
      <c r="L150" s="11">
        <f>Taxepunkter!L179</f>
        <v>0</v>
      </c>
    </row>
    <row r="151" spans="1:12" x14ac:dyDescent="0.25">
      <c r="A151" s="10" t="str">
        <f>Taxepunkter!A180</f>
        <v>§3.1</v>
      </c>
      <c r="B151" s="5" t="str">
        <f>Taxepunkter!B180</f>
        <v>Ordinarie tömning slam</v>
      </c>
      <c r="C151" s="5" t="str">
        <f>Taxepunkter!C180</f>
        <v>Mellan 6 m3 och 9 m3</v>
      </c>
      <c r="D151" s="5">
        <f>Taxepunkter!D180</f>
        <v>0</v>
      </c>
      <c r="E151" s="5" t="str">
        <f>Taxepunkter!E180</f>
        <v>kr/tömning</v>
      </c>
      <c r="F151" s="5">
        <f>Taxepunkter!F180</f>
        <v>0</v>
      </c>
      <c r="G151" s="5" t="str">
        <f>Taxepunkter!G180</f>
        <v/>
      </c>
      <c r="H151" s="5" t="str">
        <f>Taxepunkter!H180</f>
        <v/>
      </c>
      <c r="I151" s="5" t="str">
        <f>Taxepunkter!I180</f>
        <v/>
      </c>
      <c r="J151" s="5" t="str">
        <f>Taxepunkter!J180</f>
        <v/>
      </c>
      <c r="K151" s="5">
        <f>Taxepunkter!K180</f>
        <v>0</v>
      </c>
      <c r="L151" s="11">
        <f>Taxepunkter!L180</f>
        <v>0</v>
      </c>
    </row>
    <row r="152" spans="1:12" x14ac:dyDescent="0.25">
      <c r="A152" s="10" t="str">
        <f>Taxepunkter!A181</f>
        <v>§3.1</v>
      </c>
      <c r="B152" s="5" t="str">
        <f>Taxepunkter!B181</f>
        <v>Ordinarie tömning slam</v>
      </c>
      <c r="C152" s="5" t="str">
        <f>Taxepunkter!C181</f>
        <v>Tillägg per m3 över 9 m3</v>
      </c>
      <c r="D152" s="5">
        <f>Taxepunkter!D181</f>
        <v>0</v>
      </c>
      <c r="E152" s="5" t="str">
        <f>Taxepunkter!E181</f>
        <v>kr/m3</v>
      </c>
      <c r="F152" s="5">
        <f>Taxepunkter!F181</f>
        <v>0</v>
      </c>
      <c r="G152" s="5" t="str">
        <f>Taxepunkter!G181</f>
        <v/>
      </c>
      <c r="H152" s="5" t="str">
        <f>Taxepunkter!H181</f>
        <v/>
      </c>
      <c r="I152" s="5" t="str">
        <f>Taxepunkter!I181</f>
        <v/>
      </c>
      <c r="J152" s="5" t="str">
        <f>Taxepunkter!J181</f>
        <v/>
      </c>
      <c r="K152" s="5">
        <f>Taxepunkter!K181</f>
        <v>0</v>
      </c>
      <c r="L152" s="11">
        <f>Taxepunkter!L181</f>
        <v>0</v>
      </c>
    </row>
    <row r="153" spans="1:12" x14ac:dyDescent="0.25">
      <c r="A153" s="10" t="str">
        <f>Taxepunkter!A182</f>
        <v>§3.1</v>
      </c>
      <c r="B153" s="5" t="str">
        <f>Taxepunkter!B182</f>
        <v>Ordinarie tömning slam</v>
      </c>
      <c r="C153" s="5" t="str">
        <f>Taxepunkter!C182</f>
        <v>Bad-, disk- och tvättbrunn upp till 3 m3</v>
      </c>
      <c r="D153" s="5">
        <f>Taxepunkter!D182</f>
        <v>0</v>
      </c>
      <c r="E153" s="5" t="str">
        <f>Taxepunkter!E182</f>
        <v>kr/tömning</v>
      </c>
      <c r="F153" s="5">
        <f>Taxepunkter!F182</f>
        <v>0</v>
      </c>
      <c r="G153" s="5" t="str">
        <f>Taxepunkter!G182</f>
        <v/>
      </c>
      <c r="H153" s="5" t="str">
        <f>Taxepunkter!H182</f>
        <v/>
      </c>
      <c r="I153" s="5" t="str">
        <f>Taxepunkter!I182</f>
        <v/>
      </c>
      <c r="J153" s="5" t="str">
        <f>Taxepunkter!J182</f>
        <v/>
      </c>
      <c r="K153" s="5">
        <f>Taxepunkter!K182</f>
        <v>0</v>
      </c>
      <c r="L153" s="11">
        <f>Taxepunkter!L182</f>
        <v>0</v>
      </c>
    </row>
    <row r="154" spans="1:12" x14ac:dyDescent="0.25">
      <c r="A154" s="10" t="str">
        <f>Taxepunkter!A184</f>
        <v>§3.1</v>
      </c>
      <c r="B154" s="5">
        <f>Taxepunkter!B184</f>
        <v>0</v>
      </c>
      <c r="C154" s="5">
        <f>Taxepunkter!C184</f>
        <v>0</v>
      </c>
      <c r="D154" s="5">
        <f>Taxepunkter!D184</f>
        <v>0</v>
      </c>
      <c r="E154" s="5">
        <f>Taxepunkter!E184</f>
        <v>0</v>
      </c>
      <c r="F154" s="5">
        <f>Taxepunkter!F184</f>
        <v>0</v>
      </c>
      <c r="G154" s="5" t="str">
        <f>Taxepunkter!G184</f>
        <v/>
      </c>
      <c r="H154" s="5" t="str">
        <f>Taxepunkter!H184</f>
        <v/>
      </c>
      <c r="I154" s="5" t="str">
        <f>Taxepunkter!I184</f>
        <v/>
      </c>
      <c r="J154" s="5" t="str">
        <f>Taxepunkter!J184</f>
        <v/>
      </c>
      <c r="K154" s="5">
        <f>Taxepunkter!K184</f>
        <v>0</v>
      </c>
      <c r="L154" s="11">
        <f>Taxepunkter!L184</f>
        <v>0</v>
      </c>
    </row>
    <row r="155" spans="1:12" x14ac:dyDescent="0.25">
      <c r="A155" s="10" t="str">
        <f>Taxepunkter!A185</f>
        <v>§3.2 Tilläggstjänster slam</v>
      </c>
      <c r="B155" s="5">
        <f>Taxepunkter!B185</f>
        <v>0</v>
      </c>
      <c r="C155" s="5">
        <f>Taxepunkter!C185</f>
        <v>0</v>
      </c>
      <c r="D155" s="5">
        <f>Taxepunkter!D185</f>
        <v>0</v>
      </c>
      <c r="E155" s="5">
        <f>Taxepunkter!E185</f>
        <v>0</v>
      </c>
      <c r="F155" s="5">
        <f>Taxepunkter!F185</f>
        <v>0</v>
      </c>
      <c r="G155" s="5" t="str">
        <f>Taxepunkter!G185</f>
        <v/>
      </c>
      <c r="H155" s="5" t="str">
        <f>Taxepunkter!H185</f>
        <v/>
      </c>
      <c r="I155" s="5" t="str">
        <f>Taxepunkter!I185</f>
        <v/>
      </c>
      <c r="J155" s="5" t="str">
        <f>Taxepunkter!J185</f>
        <v/>
      </c>
      <c r="K155" s="5">
        <f>Taxepunkter!K185</f>
        <v>0</v>
      </c>
      <c r="L155" s="11">
        <f>Taxepunkter!L185</f>
        <v>0</v>
      </c>
    </row>
    <row r="156" spans="1:12" x14ac:dyDescent="0.25">
      <c r="A156" s="10" t="str">
        <f>Taxepunkter!A187</f>
        <v>§3.2</v>
      </c>
      <c r="B156" s="5" t="str">
        <f>Taxepunkter!B187</f>
        <v>Tilläggstjänster slam</v>
      </c>
      <c r="C156" s="5" t="str">
        <f>Taxepunkter!C187</f>
        <v>Dragning av extra slang vid 25-35 m</v>
      </c>
      <c r="D156" s="5">
        <f>Taxepunkter!D187</f>
        <v>0</v>
      </c>
      <c r="E156" s="5" t="str">
        <f>Taxepunkter!E187</f>
        <v>kr/tillfälle</v>
      </c>
      <c r="F156" s="5">
        <f>Taxepunkter!F187</f>
        <v>0</v>
      </c>
      <c r="G156" s="5" t="str">
        <f>Taxepunkter!G187</f>
        <v/>
      </c>
      <c r="H156" s="5" t="str">
        <f>Taxepunkter!H187</f>
        <v/>
      </c>
      <c r="I156" s="5" t="str">
        <f>Taxepunkter!I187</f>
        <v/>
      </c>
      <c r="J156" s="5" t="str">
        <f>Taxepunkter!J187</f>
        <v/>
      </c>
      <c r="K156" s="5">
        <f>Taxepunkter!K187</f>
        <v>0</v>
      </c>
      <c r="L156" s="11">
        <f>Taxepunkter!L187</f>
        <v>0</v>
      </c>
    </row>
    <row r="157" spans="1:12" x14ac:dyDescent="0.25">
      <c r="A157" s="10" t="str">
        <f>Taxepunkter!A188</f>
        <v>§3.2</v>
      </c>
      <c r="B157" s="5" t="str">
        <f>Taxepunkter!B188</f>
        <v>Tilläggstjänster slam</v>
      </c>
      <c r="C157" s="5" t="str">
        <f>Taxepunkter!C188</f>
        <v>Dragning av extra slang vid 36-45 m</v>
      </c>
      <c r="D157" s="5">
        <f>Taxepunkter!D188</f>
        <v>0</v>
      </c>
      <c r="E157" s="5" t="str">
        <f>Taxepunkter!E188</f>
        <v>kr/tillfälle</v>
      </c>
      <c r="F157" s="5">
        <f>Taxepunkter!F188</f>
        <v>0</v>
      </c>
      <c r="G157" s="5" t="str">
        <f>Taxepunkter!G188</f>
        <v/>
      </c>
      <c r="H157" s="5" t="str">
        <f>Taxepunkter!H188</f>
        <v/>
      </c>
      <c r="I157" s="5" t="str">
        <f>Taxepunkter!I188</f>
        <v/>
      </c>
      <c r="J157" s="5" t="str">
        <f>Taxepunkter!J188</f>
        <v/>
      </c>
      <c r="K157" s="5">
        <f>Taxepunkter!K188</f>
        <v>0</v>
      </c>
      <c r="L157" s="11">
        <f>Taxepunkter!L188</f>
        <v>0</v>
      </c>
    </row>
    <row r="158" spans="1:12" x14ac:dyDescent="0.25">
      <c r="A158" s="10" t="str">
        <f>Taxepunkter!A189</f>
        <v>§3.2</v>
      </c>
      <c r="B158" s="5">
        <f>Taxepunkter!B189</f>
        <v>0</v>
      </c>
      <c r="C158" s="5">
        <f>Taxepunkter!C189</f>
        <v>0</v>
      </c>
      <c r="D158" s="5">
        <f>Taxepunkter!D189</f>
        <v>0</v>
      </c>
      <c r="E158" s="5">
        <f>Taxepunkter!E189</f>
        <v>0</v>
      </c>
      <c r="F158" s="5">
        <f>Taxepunkter!F189</f>
        <v>0</v>
      </c>
      <c r="G158" s="5" t="str">
        <f>Taxepunkter!G189</f>
        <v/>
      </c>
      <c r="H158" s="5" t="str">
        <f>Taxepunkter!H189</f>
        <v/>
      </c>
      <c r="I158" s="5" t="str">
        <f>Taxepunkter!I189</f>
        <v/>
      </c>
      <c r="J158" s="5" t="str">
        <f>Taxepunkter!J189</f>
        <v/>
      </c>
      <c r="K158" s="5">
        <f>Taxepunkter!K189</f>
        <v>0</v>
      </c>
      <c r="L158" s="11">
        <f>Taxepunkter!L189</f>
        <v>0</v>
      </c>
    </row>
    <row r="159" spans="1:12" x14ac:dyDescent="0.25">
      <c r="A159" s="10" t="str">
        <f>Taxepunkter!A190</f>
        <v>§3.2</v>
      </c>
      <c r="B159" s="5" t="str">
        <f>Taxepunkter!B190</f>
        <v>Tilläggstjänster slam</v>
      </c>
      <c r="C159" s="5" t="str">
        <f>Taxepunkter!C190</f>
        <v>Hantering av brunnslock som väger 15-25 kg</v>
      </c>
      <c r="D159" s="5">
        <f>Taxepunkter!D190</f>
        <v>0</v>
      </c>
      <c r="E159" s="5" t="str">
        <f>Taxepunkter!E190</f>
        <v>kr/tillfälle</v>
      </c>
      <c r="F159" s="5">
        <f>Taxepunkter!F190</f>
        <v>0</v>
      </c>
      <c r="G159" s="5" t="str">
        <f>Taxepunkter!G190</f>
        <v/>
      </c>
      <c r="H159" s="5" t="str">
        <f>Taxepunkter!H190</f>
        <v/>
      </c>
      <c r="I159" s="5" t="str">
        <f>Taxepunkter!I190</f>
        <v/>
      </c>
      <c r="J159" s="5" t="str">
        <f>Taxepunkter!J190</f>
        <v/>
      </c>
      <c r="K159" s="5">
        <f>Taxepunkter!K190</f>
        <v>0</v>
      </c>
      <c r="L159" s="11">
        <f>Taxepunkter!L190</f>
        <v>0</v>
      </c>
    </row>
    <row r="160" spans="1:12" x14ac:dyDescent="0.25">
      <c r="A160" s="10" t="str">
        <f>Taxepunkter!A191</f>
        <v>§3.2</v>
      </c>
      <c r="B160" s="5" t="str">
        <f>Taxepunkter!B191</f>
        <v>Tilläggstjänster slam</v>
      </c>
      <c r="C160" s="5" t="str">
        <f>Taxepunkter!C191</f>
        <v>Krav på information om tömningstid</v>
      </c>
      <c r="D160" s="5">
        <f>Taxepunkter!D191</f>
        <v>0</v>
      </c>
      <c r="E160" s="5" t="str">
        <f>Taxepunkter!E191</f>
        <v>kr/tillfälle</v>
      </c>
      <c r="F160" s="5">
        <f>Taxepunkter!F191</f>
        <v>0</v>
      </c>
      <c r="G160" s="5" t="str">
        <f>Taxepunkter!G191</f>
        <v/>
      </c>
      <c r="H160" s="5" t="str">
        <f>Taxepunkter!H191</f>
        <v/>
      </c>
      <c r="I160" s="5" t="str">
        <f>Taxepunkter!I191</f>
        <v/>
      </c>
      <c r="J160" s="5" t="str">
        <f>Taxepunkter!J191</f>
        <v/>
      </c>
      <c r="K160" s="5">
        <f>Taxepunkter!K191</f>
        <v>0</v>
      </c>
      <c r="L160" s="11">
        <f>Taxepunkter!L191</f>
        <v>0</v>
      </c>
    </row>
    <row r="161" spans="1:12" x14ac:dyDescent="0.25">
      <c r="A161" s="10" t="str">
        <f>Taxepunkter!A192</f>
        <v>§3.2</v>
      </c>
      <c r="B161" s="5" t="str">
        <f>Taxepunkter!B192</f>
        <v>Tilläggstjänster slam</v>
      </c>
      <c r="C161" s="5" t="str">
        <f>Taxepunkter!C192</f>
        <v>Krav på närvaro vid specificerad tömningstid</v>
      </c>
      <c r="D161" s="5">
        <f>Taxepunkter!D192</f>
        <v>0</v>
      </c>
      <c r="E161" s="5" t="str">
        <f>Taxepunkter!E192</f>
        <v>kr/tillfälle</v>
      </c>
      <c r="F161" s="5">
        <f>Taxepunkter!F192</f>
        <v>0</v>
      </c>
      <c r="G161" s="5" t="str">
        <f>Taxepunkter!G192</f>
        <v/>
      </c>
      <c r="H161" s="5" t="str">
        <f>Taxepunkter!H192</f>
        <v/>
      </c>
      <c r="I161" s="5" t="str">
        <f>Taxepunkter!I192</f>
        <v/>
      </c>
      <c r="J161" s="5" t="str">
        <f>Taxepunkter!J192</f>
        <v/>
      </c>
      <c r="K161" s="5">
        <f>Taxepunkter!K192</f>
        <v>0</v>
      </c>
      <c r="L161" s="11">
        <f>Taxepunkter!L192</f>
        <v>0</v>
      </c>
    </row>
    <row r="162" spans="1:12" x14ac:dyDescent="0.25">
      <c r="A162" s="10" t="str">
        <f>Taxepunkter!A193</f>
        <v>§3.2</v>
      </c>
      <c r="B162" s="5" t="str">
        <f>Taxepunkter!B193</f>
        <v>Tilläggstjänster slam</v>
      </c>
      <c r="C162" s="5" t="str">
        <f>Taxepunkter!C193</f>
        <v>Hantering av kod för kodlås vid slamtömning</v>
      </c>
      <c r="D162" s="5">
        <f>Taxepunkter!D193</f>
        <v>0</v>
      </c>
      <c r="E162" s="5" t="str">
        <f>Taxepunkter!E193</f>
        <v>kr/tillfälle</v>
      </c>
      <c r="F162" s="5">
        <f>Taxepunkter!F193</f>
        <v>0</v>
      </c>
      <c r="G162" s="5" t="str">
        <f>Taxepunkter!G193</f>
        <v/>
      </c>
      <c r="H162" s="5" t="str">
        <f>Taxepunkter!H193</f>
        <v/>
      </c>
      <c r="I162" s="5" t="str">
        <f>Taxepunkter!I193</f>
        <v/>
      </c>
      <c r="J162" s="5" t="str">
        <f>Taxepunkter!J193</f>
        <v/>
      </c>
      <c r="K162" s="5">
        <f>Taxepunkter!K193</f>
        <v>0</v>
      </c>
      <c r="L162" s="11">
        <f>Taxepunkter!L193</f>
        <v>0</v>
      </c>
    </row>
    <row r="163" spans="1:12" x14ac:dyDescent="0.25">
      <c r="A163" s="10" t="str">
        <f>Taxepunkter!A194</f>
        <v>§3.2</v>
      </c>
      <c r="B163" s="5" t="str">
        <f>Taxepunkter!B194</f>
        <v>Tilläggstjänster slam</v>
      </c>
      <c r="C163" s="5" t="str">
        <f>Taxepunkter!C194</f>
        <v>Hetvattentvätt med spolbil, timersättning</v>
      </c>
      <c r="D163" s="5">
        <f>Taxepunkter!D194</f>
        <v>0</v>
      </c>
      <c r="E163" s="5" t="str">
        <f>Taxepunkter!E194</f>
        <v>kr/tillfälle</v>
      </c>
      <c r="F163" s="5">
        <f>Taxepunkter!F194</f>
        <v>0</v>
      </c>
      <c r="G163" s="5" t="str">
        <f>Taxepunkter!G194</f>
        <v/>
      </c>
      <c r="H163" s="5" t="str">
        <f>Taxepunkter!H194</f>
        <v/>
      </c>
      <c r="I163" s="5" t="str">
        <f>Taxepunkter!I194</f>
        <v/>
      </c>
      <c r="J163" s="5" t="str">
        <f>Taxepunkter!J194</f>
        <v/>
      </c>
      <c r="K163" s="5">
        <f>Taxepunkter!K194</f>
        <v>0</v>
      </c>
      <c r="L163" s="11">
        <f>Taxepunkter!L194</f>
        <v>0</v>
      </c>
    </row>
    <row r="164" spans="1:12" x14ac:dyDescent="0.25">
      <c r="A164" s="10" t="str">
        <f>Taxepunkter!A195</f>
        <v>§3.2</v>
      </c>
      <c r="B164" s="5" t="str">
        <f>Taxepunkter!B195</f>
        <v>Tilläggstjänster slam</v>
      </c>
      <c r="C164" s="5" t="str">
        <f>Taxepunkter!C195</f>
        <v>Avgift om tömning ej kan utföras pga. hinder, bristande transportväg, betonglock, lock tyngre än 25 kg eller vägran</v>
      </c>
      <c r="D164" s="5">
        <f>Taxepunkter!D195</f>
        <v>0</v>
      </c>
      <c r="E164" s="5" t="str">
        <f>Taxepunkter!E195</f>
        <v>kr/tillfälle</v>
      </c>
      <c r="F164" s="5">
        <f>Taxepunkter!F195</f>
        <v>0</v>
      </c>
      <c r="G164" s="5" t="str">
        <f>Taxepunkter!G195</f>
        <v/>
      </c>
      <c r="H164" s="5" t="str">
        <f>Taxepunkter!H195</f>
        <v/>
      </c>
      <c r="I164" s="5" t="str">
        <f>Taxepunkter!I195</f>
        <v/>
      </c>
      <c r="J164" s="5" t="str">
        <f>Taxepunkter!J195</f>
        <v/>
      </c>
      <c r="K164" s="5">
        <f>Taxepunkter!K195</f>
        <v>0</v>
      </c>
      <c r="L164" s="11">
        <f>Taxepunkter!L195</f>
        <v>0</v>
      </c>
    </row>
    <row r="165" spans="1:12" x14ac:dyDescent="0.25">
      <c r="A165" s="10" t="str">
        <f>Taxepunkter!A196</f>
        <v>§3.2</v>
      </c>
      <c r="B165" s="5" t="str">
        <f>Taxepunkter!B196</f>
        <v>Tilläggstjänster slam</v>
      </c>
      <c r="C165" s="5" t="str">
        <f>Taxepunkter!C196</f>
        <v>Tömning av extra tank/brunn i samband med ordinarie/budad tömning upp till 5 m3</v>
      </c>
      <c r="D165" s="5">
        <f>Taxepunkter!D196</f>
        <v>0</v>
      </c>
      <c r="E165" s="5" t="str">
        <f>Taxepunkter!E196</f>
        <v>kr/tillfälle</v>
      </c>
      <c r="F165" s="5">
        <f>Taxepunkter!F196</f>
        <v>0</v>
      </c>
      <c r="G165" s="5" t="str">
        <f>Taxepunkter!G196</f>
        <v/>
      </c>
      <c r="H165" s="5" t="str">
        <f>Taxepunkter!H196</f>
        <v/>
      </c>
      <c r="I165" s="5" t="str">
        <f>Taxepunkter!I196</f>
        <v/>
      </c>
      <c r="J165" s="5" t="str">
        <f>Taxepunkter!J196</f>
        <v/>
      </c>
      <c r="K165" s="5">
        <f>Taxepunkter!K196</f>
        <v>0</v>
      </c>
      <c r="L165" s="11">
        <f>Taxepunkter!L196</f>
        <v>0</v>
      </c>
    </row>
    <row r="166" spans="1:12" x14ac:dyDescent="0.25">
      <c r="A166" s="10" t="str">
        <f>Taxepunkter!A197</f>
        <v>§3.2</v>
      </c>
      <c r="B166" s="5">
        <f>Taxepunkter!B197</f>
        <v>0</v>
      </c>
      <c r="C166" s="5">
        <f>Taxepunkter!C197</f>
        <v>0</v>
      </c>
      <c r="D166" s="5">
        <f>Taxepunkter!D197</f>
        <v>0</v>
      </c>
      <c r="E166" s="5">
        <f>Taxepunkter!E197</f>
        <v>0</v>
      </c>
      <c r="F166" s="5">
        <f>Taxepunkter!F197</f>
        <v>0</v>
      </c>
      <c r="G166" s="5" t="str">
        <f>Taxepunkter!G197</f>
        <v/>
      </c>
      <c r="H166" s="5" t="str">
        <f>Taxepunkter!H197</f>
        <v/>
      </c>
      <c r="I166" s="5" t="str">
        <f>Taxepunkter!I197</f>
        <v/>
      </c>
      <c r="J166" s="5" t="str">
        <f>Taxepunkter!J197</f>
        <v/>
      </c>
      <c r="K166" s="5">
        <f>Taxepunkter!K197</f>
        <v>0</v>
      </c>
      <c r="L166" s="11">
        <f>Taxepunkter!L197</f>
        <v>0</v>
      </c>
    </row>
    <row r="167" spans="1:12" x14ac:dyDescent="0.25">
      <c r="A167" s="10" t="str">
        <f>Taxepunkter!A199</f>
        <v>§3.3</v>
      </c>
      <c r="B167" s="5" t="str">
        <f>Taxepunkter!B199</f>
        <v>Övriga avgifter och tillägg slam</v>
      </c>
      <c r="C167" s="5" t="str">
        <f>Taxepunkter!C199</f>
        <v>Budning inom ordinarie tömningsperiod (1 maj- 31 oktober)</v>
      </c>
      <c r="D167" s="5" t="str">
        <f>Taxepunkter!D199</f>
        <v>Inom 24 timmar</v>
      </c>
      <c r="E167" s="5" t="str">
        <f>Taxepunkter!E199</f>
        <v>kr/tillfälle</v>
      </c>
      <c r="F167" s="5">
        <f>Taxepunkter!F199</f>
        <v>0</v>
      </c>
      <c r="G167" s="5" t="str">
        <f>Taxepunkter!G199</f>
        <v/>
      </c>
      <c r="H167" s="5" t="str">
        <f>Taxepunkter!H199</f>
        <v/>
      </c>
      <c r="I167" s="5" t="str">
        <f>Taxepunkter!I199</f>
        <v/>
      </c>
      <c r="J167" s="5" t="str">
        <f>Taxepunkter!J199</f>
        <v/>
      </c>
      <c r="K167" s="5">
        <f>Taxepunkter!K199</f>
        <v>0</v>
      </c>
      <c r="L167" s="11">
        <f>Taxepunkter!L199</f>
        <v>0</v>
      </c>
    </row>
    <row r="168" spans="1:12" x14ac:dyDescent="0.25">
      <c r="A168" s="10" t="str">
        <f>Taxepunkter!A200</f>
        <v>§3.3</v>
      </c>
      <c r="B168" s="5" t="str">
        <f>Taxepunkter!B200</f>
        <v>Övriga avgifter och tillägg slam</v>
      </c>
      <c r="C168" s="5" t="str">
        <f>Taxepunkter!C200</f>
        <v>Budning utanför ordinarie tömningsperiod (1 nov – 30 april)</v>
      </c>
      <c r="D168" s="5" t="str">
        <f>Taxepunkter!D200</f>
        <v>Inom 24 timmar</v>
      </c>
      <c r="E168" s="5" t="str">
        <f>Taxepunkter!E200</f>
        <v>kr/tillfälle</v>
      </c>
      <c r="F168" s="5">
        <f>Taxepunkter!F200</f>
        <v>0</v>
      </c>
      <c r="G168" s="5" t="str">
        <f>Taxepunkter!G200</f>
        <v/>
      </c>
      <c r="H168" s="5" t="str">
        <f>Taxepunkter!H200</f>
        <v/>
      </c>
      <c r="I168" s="5" t="str">
        <f>Taxepunkter!I200</f>
        <v/>
      </c>
      <c r="J168" s="5" t="str">
        <f>Taxepunkter!J200</f>
        <v/>
      </c>
      <c r="K168" s="5">
        <f>Taxepunkter!K200</f>
        <v>0</v>
      </c>
      <c r="L168" s="11">
        <f>Taxepunkter!L200</f>
        <v>0</v>
      </c>
    </row>
    <row r="169" spans="1:12" x14ac:dyDescent="0.25">
      <c r="A169" s="10" t="str">
        <f>Taxepunkter!A201</f>
        <v>§3.3</v>
      </c>
      <c r="B169" s="5">
        <f>Taxepunkter!B201</f>
        <v>0</v>
      </c>
      <c r="C169" s="5">
        <f>Taxepunkter!C201</f>
        <v>0</v>
      </c>
      <c r="D169" s="5">
        <f>Taxepunkter!D201</f>
        <v>0</v>
      </c>
      <c r="E169" s="5">
        <f>Taxepunkter!E201</f>
        <v>0</v>
      </c>
      <c r="F169" s="5">
        <f>Taxepunkter!F201</f>
        <v>0</v>
      </c>
      <c r="G169" s="5" t="str">
        <f>Taxepunkter!G201</f>
        <v/>
      </c>
      <c r="H169" s="5" t="str">
        <f>Taxepunkter!H201</f>
        <v/>
      </c>
      <c r="I169" s="5" t="str">
        <f>Taxepunkter!I201</f>
        <v/>
      </c>
      <c r="J169" s="5" t="str">
        <f>Taxepunkter!J201</f>
        <v/>
      </c>
      <c r="K169" s="5">
        <f>Taxepunkter!K201</f>
        <v>0</v>
      </c>
      <c r="L169" s="11">
        <f>Taxepunkter!L201</f>
        <v>0</v>
      </c>
    </row>
    <row r="170" spans="1:12" x14ac:dyDescent="0.25">
      <c r="A170" s="10" t="str">
        <f>Taxepunkter!A202</f>
        <v>§3.3</v>
      </c>
      <c r="B170" s="5" t="str">
        <f>Taxepunkter!B202</f>
        <v>Övriga avgifter och tillägg slam</v>
      </c>
      <c r="C170" s="5" t="str">
        <f>Taxepunkter!C202</f>
        <v>Budning utanför ordinarie tömningsperiod (1 nov – 30 april)</v>
      </c>
      <c r="D170" s="5" t="str">
        <f>Taxepunkter!D202</f>
        <v>Inom 7 arbetsdagar</v>
      </c>
      <c r="E170" s="5" t="str">
        <f>Taxepunkter!E202</f>
        <v>kr/tillfälle</v>
      </c>
      <c r="F170" s="5">
        <f>Taxepunkter!F202</f>
        <v>0</v>
      </c>
      <c r="G170" s="5" t="str">
        <f>Taxepunkter!G202</f>
        <v/>
      </c>
      <c r="H170" s="5" t="str">
        <f>Taxepunkter!H202</f>
        <v/>
      </c>
      <c r="I170" s="5" t="str">
        <f>Taxepunkter!I202</f>
        <v/>
      </c>
      <c r="J170" s="5" t="str">
        <f>Taxepunkter!J202</f>
        <v/>
      </c>
      <c r="K170" s="5">
        <f>Taxepunkter!K202</f>
        <v>0</v>
      </c>
      <c r="L170" s="11">
        <f>Taxepunkter!L202</f>
        <v>0</v>
      </c>
    </row>
    <row r="171" spans="1:12" x14ac:dyDescent="0.25">
      <c r="A171" s="10" t="str">
        <f>Taxepunkter!A203</f>
        <v>§3.3</v>
      </c>
      <c r="B171" s="5" t="str">
        <f>Taxepunkter!B203</f>
        <v>Övriga avgifter och tillägg slam</v>
      </c>
      <c r="C171" s="5" t="str">
        <f>Taxepunkter!C203</f>
        <v>Tömning av toalettvagnar eller liknande</v>
      </c>
      <c r="D171" s="5">
        <f>Taxepunkter!D203</f>
        <v>0</v>
      </c>
      <c r="E171" s="5" t="str">
        <f>Taxepunkter!E203</f>
        <v>kr/tillfälle</v>
      </c>
      <c r="F171" s="5">
        <f>Taxepunkter!F203</f>
        <v>0</v>
      </c>
      <c r="G171" s="5" t="str">
        <f>Taxepunkter!G203</f>
        <v/>
      </c>
      <c r="H171" s="5" t="str">
        <f>Taxepunkter!H203</f>
        <v/>
      </c>
      <c r="I171" s="5" t="str">
        <f>Taxepunkter!I203</f>
        <v/>
      </c>
      <c r="J171" s="5" t="str">
        <f>Taxepunkter!J203</f>
        <v/>
      </c>
      <c r="K171" s="5">
        <f>Taxepunkter!K203</f>
        <v>0</v>
      </c>
      <c r="L171" s="11">
        <f>Taxepunkter!L203</f>
        <v>0</v>
      </c>
    </row>
    <row r="172" spans="1:12" x14ac:dyDescent="0.25">
      <c r="A172" s="10" t="str">
        <f>Taxepunkter!A204</f>
        <v>§3.3</v>
      </c>
      <c r="B172" s="5" t="str">
        <f>Taxepunkter!B204</f>
        <v>Övriga avgifter och tillägg slam</v>
      </c>
      <c r="C172" s="5" t="str">
        <f>Taxepunkter!C204</f>
        <v>Framkörningsavgift då ordinarie tömning inte skett på grund av hinder, abonnenten vägrar, bristfällig väg eller annat</v>
      </c>
      <c r="D172" s="5">
        <f>Taxepunkter!D204</f>
        <v>0</v>
      </c>
      <c r="E172" s="5" t="str">
        <f>Taxepunkter!E204</f>
        <v>kr/tillfälle</v>
      </c>
      <c r="F172" s="5">
        <f>Taxepunkter!F204</f>
        <v>0</v>
      </c>
      <c r="G172" s="5" t="str">
        <f>Taxepunkter!G204</f>
        <v/>
      </c>
      <c r="H172" s="5" t="str">
        <f>Taxepunkter!H204</f>
        <v/>
      </c>
      <c r="I172" s="5" t="str">
        <f>Taxepunkter!I204</f>
        <v/>
      </c>
      <c r="J172" s="5" t="str">
        <f>Taxepunkter!J204</f>
        <v/>
      </c>
      <c r="K172" s="5">
        <f>Taxepunkter!K204</f>
        <v>0</v>
      </c>
      <c r="L172" s="11">
        <f>Taxepunkter!L204</f>
        <v>0</v>
      </c>
    </row>
    <row r="173" spans="1:12" x14ac:dyDescent="0.25">
      <c r="A173" s="10" t="str">
        <f>Taxepunkter!A205</f>
        <v>§3.3</v>
      </c>
      <c r="B173" s="5" t="str">
        <f>Taxepunkter!B205</f>
        <v>Övriga avgifter och tillägg slam</v>
      </c>
      <c r="C173" s="5" t="str">
        <f>Taxepunkter!C205</f>
        <v>Sen anmälan om förändringar av tömningsintervall. Om förändring, nyanmälan eller avbokning av slamtömning meddelas efter 1 april innevarande år.</v>
      </c>
      <c r="D173" s="5">
        <f>Taxepunkter!D205</f>
        <v>0</v>
      </c>
      <c r="E173" s="5" t="str">
        <f>Taxepunkter!E205</f>
        <v>kr/tillfälle</v>
      </c>
      <c r="F173" s="5">
        <f>Taxepunkter!F205</f>
        <v>0</v>
      </c>
      <c r="G173" s="5" t="str">
        <f>Taxepunkter!G205</f>
        <v/>
      </c>
      <c r="H173" s="5" t="str">
        <f>Taxepunkter!H205</f>
        <v/>
      </c>
      <c r="I173" s="5" t="str">
        <f>Taxepunkter!I205</f>
        <v/>
      </c>
      <c r="J173" s="5" t="str">
        <f>Taxepunkter!J205</f>
        <v/>
      </c>
      <c r="K173" s="5">
        <f>Taxepunkter!K205</f>
        <v>0</v>
      </c>
      <c r="L173" s="11">
        <f>Taxepunkter!L205</f>
        <v>0</v>
      </c>
    </row>
    <row r="174" spans="1:12" x14ac:dyDescent="0.25">
      <c r="A174" s="10" t="str">
        <f>Taxepunkter!A207</f>
        <v>§3.4 Latrinbehållare</v>
      </c>
      <c r="B174" s="5">
        <f>Taxepunkter!B207</f>
        <v>0</v>
      </c>
      <c r="C174" s="5">
        <f>Taxepunkter!C207</f>
        <v>0</v>
      </c>
      <c r="D174" s="5">
        <f>Taxepunkter!D207</f>
        <v>0</v>
      </c>
      <c r="E174" s="5">
        <f>Taxepunkter!E207</f>
        <v>0</v>
      </c>
      <c r="F174" s="5">
        <f>Taxepunkter!F207</f>
        <v>0</v>
      </c>
      <c r="G174" s="5" t="str">
        <f>Taxepunkter!G207</f>
        <v/>
      </c>
      <c r="H174" s="5" t="str">
        <f>Taxepunkter!H207</f>
        <v/>
      </c>
      <c r="I174" s="5" t="str">
        <f>Taxepunkter!I207</f>
        <v/>
      </c>
      <c r="J174" s="5" t="str">
        <f>Taxepunkter!J207</f>
        <v/>
      </c>
      <c r="K174" s="5">
        <f>Taxepunkter!K207</f>
        <v>0</v>
      </c>
      <c r="L174" s="11">
        <f>Taxepunkter!L207</f>
        <v>0</v>
      </c>
    </row>
    <row r="175" spans="1:12" x14ac:dyDescent="0.25">
      <c r="A175" s="10" t="str">
        <f>Taxepunkter!A208</f>
        <v>§3.4</v>
      </c>
      <c r="B175" s="5" t="str">
        <f>Taxepunkter!B208</f>
        <v>Latrinbehållare</v>
      </c>
      <c r="C175" s="5" t="str">
        <f>Taxepunkter!C208</f>
        <v>Latrinbehållare 37 liter inkl. mottagning och behandling</v>
      </c>
      <c r="D175" s="5">
        <f>Taxepunkter!D208</f>
        <v>0</v>
      </c>
      <c r="E175" s="5" t="str">
        <f>Taxepunkter!E208</f>
        <v>st</v>
      </c>
      <c r="F175" s="5">
        <f>Taxepunkter!F208</f>
        <v>0</v>
      </c>
      <c r="G175" s="5" t="str">
        <f>Taxepunkter!G208</f>
        <v/>
      </c>
      <c r="H175" s="5" t="str">
        <f>Taxepunkter!H208</f>
        <v/>
      </c>
      <c r="I175" s="5" t="str">
        <f>Taxepunkter!I208</f>
        <v/>
      </c>
      <c r="J175" s="5" t="str">
        <f>Taxepunkter!J208</f>
        <v/>
      </c>
      <c r="K175" s="5">
        <f>Taxepunkter!K208</f>
        <v>0</v>
      </c>
      <c r="L175" s="11">
        <f>Taxepunkter!L208</f>
        <v>0</v>
      </c>
    </row>
    <row r="176" spans="1:12" x14ac:dyDescent="0.25">
      <c r="A176" s="10" t="str">
        <f>Taxepunkter!A209</f>
        <v>§3.4</v>
      </c>
      <c r="B176" s="5">
        <f>Taxepunkter!B209</f>
        <v>0</v>
      </c>
      <c r="C176" s="5">
        <f>Taxepunkter!C209</f>
        <v>0</v>
      </c>
      <c r="D176" s="5">
        <f>Taxepunkter!D209</f>
        <v>0</v>
      </c>
      <c r="E176" s="5">
        <f>Taxepunkter!E209</f>
        <v>0</v>
      </c>
      <c r="F176" s="5">
        <f>Taxepunkter!F209</f>
        <v>0</v>
      </c>
      <c r="G176" s="5" t="str">
        <f>Taxepunkter!G209</f>
        <v/>
      </c>
      <c r="H176" s="5" t="str">
        <f>Taxepunkter!H209</f>
        <v/>
      </c>
      <c r="I176" s="5" t="str">
        <f>Taxepunkter!I209</f>
        <v/>
      </c>
      <c r="J176" s="5" t="str">
        <f>Taxepunkter!J209</f>
        <v/>
      </c>
      <c r="K176" s="5">
        <f>Taxepunkter!K209</f>
        <v>0</v>
      </c>
      <c r="L176" s="11">
        <f>Taxepunkter!L209</f>
        <v>0</v>
      </c>
    </row>
    <row r="177" spans="1:12" x14ac:dyDescent="0.25">
      <c r="A177" s="10" t="str">
        <f>Taxepunkter!A210</f>
        <v>§4.1 Budad hämtning fosforfilter</v>
      </c>
      <c r="B177" s="5">
        <f>Taxepunkter!B210</f>
        <v>0</v>
      </c>
      <c r="C177" s="5">
        <f>Taxepunkter!C210</f>
        <v>0</v>
      </c>
      <c r="D177" s="5">
        <f>Taxepunkter!D210</f>
        <v>0</v>
      </c>
      <c r="E177" s="5">
        <f>Taxepunkter!E210</f>
        <v>0</v>
      </c>
      <c r="F177" s="5">
        <f>Taxepunkter!F210</f>
        <v>0</v>
      </c>
      <c r="G177" s="5" t="str">
        <f>Taxepunkter!G210</f>
        <v/>
      </c>
      <c r="H177" s="5" t="str">
        <f>Taxepunkter!H210</f>
        <v/>
      </c>
      <c r="I177" s="5" t="str">
        <f>Taxepunkter!I210</f>
        <v/>
      </c>
      <c r="J177" s="5" t="str">
        <f>Taxepunkter!J210</f>
        <v/>
      </c>
      <c r="K177" s="5">
        <f>Taxepunkter!K210</f>
        <v>0</v>
      </c>
      <c r="L177" s="11">
        <f>Taxepunkter!L210</f>
        <v>0</v>
      </c>
    </row>
    <row r="178" spans="1:12" x14ac:dyDescent="0.25">
      <c r="A178" s="10" t="str">
        <f>Taxepunkter!A211</f>
        <v>§4.1</v>
      </c>
      <c r="B178" s="5" t="str">
        <f>Taxepunkter!B211</f>
        <v>Budad hämtning fosforfilter</v>
      </c>
      <c r="C178" s="5" t="str">
        <f>Taxepunkter!C211</f>
        <v>Filtermassor upp till 500 kg</v>
      </c>
      <c r="D178" s="5" t="str">
        <f>Taxepunkter!D211</f>
        <v>Budad hämtning inom sju (7) arbetsdagar</v>
      </c>
      <c r="E178" s="5" t="str">
        <f>Taxepunkter!E211</f>
        <v>kr/tillfälle</v>
      </c>
      <c r="F178" s="5">
        <f>Taxepunkter!F211</f>
        <v>0</v>
      </c>
      <c r="G178" s="5" t="str">
        <f>Taxepunkter!G211</f>
        <v/>
      </c>
      <c r="H178" s="5" t="str">
        <f>Taxepunkter!H211</f>
        <v/>
      </c>
      <c r="I178" s="5" t="str">
        <f>Taxepunkter!I211</f>
        <v/>
      </c>
      <c r="J178" s="5" t="str">
        <f>Taxepunkter!J211</f>
        <v/>
      </c>
      <c r="K178" s="5">
        <f>Taxepunkter!K211</f>
        <v>0</v>
      </c>
      <c r="L178" s="11">
        <f>Taxepunkter!L211</f>
        <v>0</v>
      </c>
    </row>
    <row r="179" spans="1:12" x14ac:dyDescent="0.25">
      <c r="A179" s="10" t="str">
        <f>Taxepunkter!A212</f>
        <v>§4.1</v>
      </c>
      <c r="B179" s="5" t="str">
        <f>Taxepunkter!B212</f>
        <v>Budad hämtning fosforfilter</v>
      </c>
      <c r="C179" s="5" t="str">
        <f>Taxepunkter!C212</f>
        <v>Filtermassor 500-1000 kg</v>
      </c>
      <c r="D179" s="5" t="str">
        <f>Taxepunkter!D212</f>
        <v>Budad hämtning inom sju (7) arbetsdagar</v>
      </c>
      <c r="E179" s="5" t="str">
        <f>Taxepunkter!E212</f>
        <v>kr/tillfälle</v>
      </c>
      <c r="F179" s="5">
        <f>Taxepunkter!F212</f>
        <v>0</v>
      </c>
      <c r="G179" s="5" t="str">
        <f>Taxepunkter!G212</f>
        <v/>
      </c>
      <c r="H179" s="5" t="str">
        <f>Taxepunkter!H212</f>
        <v/>
      </c>
      <c r="I179" s="5" t="str">
        <f>Taxepunkter!I212</f>
        <v/>
      </c>
      <c r="J179" s="5" t="str">
        <f>Taxepunkter!J212</f>
        <v/>
      </c>
      <c r="K179" s="5">
        <f>Taxepunkter!K212</f>
        <v>0</v>
      </c>
      <c r="L179" s="11">
        <f>Taxepunkter!L212</f>
        <v>0</v>
      </c>
    </row>
    <row r="180" spans="1:12" x14ac:dyDescent="0.25">
      <c r="A180" s="10" t="str">
        <f>Taxepunkter!A214</f>
        <v>§4.1</v>
      </c>
      <c r="B180" s="5" t="str">
        <f>Taxepunkter!B214</f>
        <v>Budad hämtning fosforfilter</v>
      </c>
      <c r="C180" s="5" t="str">
        <f>Taxepunkter!C214</f>
        <v>Filtermassor 500-1000 kg</v>
      </c>
      <c r="D180" s="5" t="str">
        <f>Taxepunkter!D214</f>
        <v>Tillägg för transport och behandlingskostnad</v>
      </c>
      <c r="E180" s="5" t="str">
        <f>Taxepunkter!E214</f>
        <v>kr/tillfälle</v>
      </c>
      <c r="F180" s="5">
        <f>Taxepunkter!F214</f>
        <v>0</v>
      </c>
      <c r="G180" s="5" t="str">
        <f>Taxepunkter!G214</f>
        <v/>
      </c>
      <c r="H180" s="5" t="str">
        <f>Taxepunkter!H214</f>
        <v/>
      </c>
      <c r="I180" s="5" t="str">
        <f>Taxepunkter!I214</f>
        <v/>
      </c>
      <c r="J180" s="5" t="str">
        <f>Taxepunkter!J214</f>
        <v/>
      </c>
      <c r="K180" s="5">
        <f>Taxepunkter!K214</f>
        <v>0</v>
      </c>
      <c r="L180" s="11">
        <f>Taxepunkter!L214</f>
        <v>0</v>
      </c>
    </row>
    <row r="181" spans="1:12" x14ac:dyDescent="0.25">
      <c r="A181" s="10" t="str">
        <f>Taxepunkter!A215</f>
        <v>§4.1</v>
      </c>
      <c r="B181" s="5">
        <f>Taxepunkter!B215</f>
        <v>0</v>
      </c>
      <c r="C181" s="5">
        <f>Taxepunkter!C215</f>
        <v>0</v>
      </c>
      <c r="D181" s="5">
        <f>Taxepunkter!D215</f>
        <v>0</v>
      </c>
      <c r="E181" s="5">
        <f>Taxepunkter!E215</f>
        <v>0</v>
      </c>
      <c r="F181" s="5">
        <f>Taxepunkter!F215</f>
        <v>0</v>
      </c>
      <c r="G181" s="5" t="str">
        <f>Taxepunkter!G215</f>
        <v/>
      </c>
      <c r="H181" s="5" t="str">
        <f>Taxepunkter!H215</f>
        <v/>
      </c>
      <c r="I181" s="5" t="str">
        <f>Taxepunkter!I215</f>
        <v/>
      </c>
      <c r="J181" s="5" t="str">
        <f>Taxepunkter!J215</f>
        <v/>
      </c>
      <c r="K181" s="5">
        <f>Taxepunkter!K215</f>
        <v>0</v>
      </c>
      <c r="L181" s="11">
        <f>Taxepunkter!L215</f>
        <v>0</v>
      </c>
    </row>
    <row r="182" spans="1:12" x14ac:dyDescent="0.25">
      <c r="A182" s="10" t="str">
        <f>Taxepunkter!A216</f>
        <v>§4.2 Tilläggstjänster fosforfilter</v>
      </c>
      <c r="B182" s="5">
        <f>Taxepunkter!B216</f>
        <v>0</v>
      </c>
      <c r="C182" s="5">
        <f>Taxepunkter!C216</f>
        <v>0</v>
      </c>
      <c r="D182" s="5">
        <f>Taxepunkter!D216</f>
        <v>0</v>
      </c>
      <c r="E182" s="5">
        <f>Taxepunkter!E216</f>
        <v>0</v>
      </c>
      <c r="F182" s="5">
        <f>Taxepunkter!F216</f>
        <v>0</v>
      </c>
      <c r="G182" s="5" t="str">
        <f>Taxepunkter!G216</f>
        <v/>
      </c>
      <c r="H182" s="5" t="str">
        <f>Taxepunkter!H216</f>
        <v/>
      </c>
      <c r="I182" s="5" t="str">
        <f>Taxepunkter!I216</f>
        <v/>
      </c>
      <c r="J182" s="5" t="str">
        <f>Taxepunkter!J216</f>
        <v/>
      </c>
      <c r="K182" s="5">
        <f>Taxepunkter!K216</f>
        <v>0</v>
      </c>
      <c r="L182" s="11">
        <f>Taxepunkter!L216</f>
        <v>0</v>
      </c>
    </row>
    <row r="183" spans="1:12" x14ac:dyDescent="0.25">
      <c r="A183" s="10" t="str">
        <f>Taxepunkter!A217</f>
        <v>§4.2</v>
      </c>
      <c r="B183" s="5" t="str">
        <f>Taxepunkter!B217</f>
        <v>Tilläggstjänster fosforfilter</v>
      </c>
      <c r="C183" s="5" t="str">
        <f>Taxepunkter!C217</f>
        <v>Krav på information om hämtningstid</v>
      </c>
      <c r="D183" s="5">
        <f>Taxepunkter!D217</f>
        <v>0</v>
      </c>
      <c r="E183" s="5" t="str">
        <f>Taxepunkter!E217</f>
        <v>kr/tillfälle</v>
      </c>
      <c r="F183" s="5">
        <f>Taxepunkter!F217</f>
        <v>0</v>
      </c>
      <c r="G183" s="5" t="str">
        <f>Taxepunkter!G217</f>
        <v/>
      </c>
      <c r="H183" s="5" t="str">
        <f>Taxepunkter!H217</f>
        <v/>
      </c>
      <c r="I183" s="5" t="str">
        <f>Taxepunkter!I217</f>
        <v/>
      </c>
      <c r="J183" s="5" t="str">
        <f>Taxepunkter!J217</f>
        <v/>
      </c>
      <c r="K183" s="5">
        <f>Taxepunkter!K217</f>
        <v>0</v>
      </c>
      <c r="L183" s="11">
        <f>Taxepunkter!L217</f>
        <v>0</v>
      </c>
    </row>
    <row r="184" spans="1:12" x14ac:dyDescent="0.25">
      <c r="A184" s="10" t="str">
        <f>Taxepunkter!A218</f>
        <v>§4.2</v>
      </c>
      <c r="B184" s="5" t="str">
        <f>Taxepunkter!B218</f>
        <v>Tilläggstjänster fosforfilter</v>
      </c>
      <c r="C184" s="5" t="str">
        <f>Taxepunkter!C218</f>
        <v>Krav på närvaro vid specificerad hämtningstid</v>
      </c>
      <c r="D184" s="5">
        <f>Taxepunkter!D218</f>
        <v>0</v>
      </c>
      <c r="E184" s="5" t="str">
        <f>Taxepunkter!E218</f>
        <v>kr/tillfälle</v>
      </c>
      <c r="F184" s="5">
        <f>Taxepunkter!F218</f>
        <v>0</v>
      </c>
      <c r="G184" s="5" t="str">
        <f>Taxepunkter!G218</f>
        <v/>
      </c>
      <c r="H184" s="5" t="str">
        <f>Taxepunkter!H218</f>
        <v/>
      </c>
      <c r="I184" s="5" t="str">
        <f>Taxepunkter!I218</f>
        <v/>
      </c>
      <c r="J184" s="5" t="str">
        <f>Taxepunkter!J218</f>
        <v/>
      </c>
      <c r="K184" s="5">
        <f>Taxepunkter!K218</f>
        <v>0</v>
      </c>
      <c r="L184" s="11">
        <f>Taxepunkter!L218</f>
        <v>0</v>
      </c>
    </row>
    <row r="185" spans="1:12" x14ac:dyDescent="0.25">
      <c r="A185" s="10" t="str">
        <f>Taxepunkter!A219</f>
        <v>§4.2</v>
      </c>
      <c r="B185" s="5" t="str">
        <f>Taxepunkter!B219</f>
        <v>Tilläggstjänster fosforfilter</v>
      </c>
      <c r="C185" s="5" t="str">
        <f>Taxepunkter!C219</f>
        <v>Hantering av kod för kodlås</v>
      </c>
      <c r="D185" s="5">
        <f>Taxepunkter!D219</f>
        <v>0</v>
      </c>
      <c r="E185" s="5" t="str">
        <f>Taxepunkter!E219</f>
        <v>kr/tillfälle</v>
      </c>
      <c r="F185" s="5">
        <f>Taxepunkter!F219</f>
        <v>0</v>
      </c>
      <c r="G185" s="5" t="str">
        <f>Taxepunkter!G219</f>
        <v/>
      </c>
      <c r="H185" s="5" t="str">
        <f>Taxepunkter!H219</f>
        <v/>
      </c>
      <c r="I185" s="5" t="str">
        <f>Taxepunkter!I219</f>
        <v/>
      </c>
      <c r="J185" s="5" t="str">
        <f>Taxepunkter!J219</f>
        <v/>
      </c>
      <c r="K185" s="5">
        <f>Taxepunkter!K219</f>
        <v>0</v>
      </c>
      <c r="L185" s="11">
        <f>Taxepunkter!L219</f>
        <v>0</v>
      </c>
    </row>
    <row r="186" spans="1:12" x14ac:dyDescent="0.25">
      <c r="A186" s="10" t="str">
        <f>Taxepunkter!A220</f>
        <v>§4.2</v>
      </c>
      <c r="B186" s="5" t="str">
        <f>Taxepunkter!B220</f>
        <v>Tilläggstjänster fosforfilter</v>
      </c>
      <c r="C186" s="5" t="str">
        <f>Taxepunkter!C220</f>
        <v>Avgift om hämtning ej kan utföras pga hinder, bristande väg eller vägran</v>
      </c>
      <c r="D186" s="5">
        <f>Taxepunkter!D220</f>
        <v>0</v>
      </c>
      <c r="E186" s="5" t="str">
        <f>Taxepunkter!E220</f>
        <v>kr/tillfälle</v>
      </c>
      <c r="F186" s="5">
        <f>Taxepunkter!F220</f>
        <v>0</v>
      </c>
      <c r="G186" s="5" t="str">
        <f>Taxepunkter!G220</f>
        <v/>
      </c>
      <c r="H186" s="5" t="str">
        <f>Taxepunkter!H220</f>
        <v/>
      </c>
      <c r="I186" s="5" t="str">
        <f>Taxepunkter!I220</f>
        <v/>
      </c>
      <c r="J186" s="5" t="str">
        <f>Taxepunkter!J220</f>
        <v/>
      </c>
      <c r="K186" s="5">
        <f>Taxepunkter!K220</f>
        <v>0</v>
      </c>
      <c r="L186" s="11">
        <f>Taxepunkter!L220</f>
        <v>0</v>
      </c>
    </row>
    <row r="187" spans="1:12" x14ac:dyDescent="0.25">
      <c r="A187" s="10" t="str">
        <f>Taxepunkter!A221</f>
        <v>§4.2</v>
      </c>
      <c r="B187" s="5">
        <f>Taxepunkter!B221</f>
        <v>0</v>
      </c>
      <c r="C187" s="5">
        <f>Taxepunkter!C221</f>
        <v>0</v>
      </c>
      <c r="D187" s="5">
        <f>Taxepunkter!D221</f>
        <v>0</v>
      </c>
      <c r="E187" s="5">
        <f>Taxepunkter!E221</f>
        <v>0</v>
      </c>
      <c r="F187" s="5">
        <f>Taxepunkter!F221</f>
        <v>0</v>
      </c>
      <c r="G187" s="5" t="str">
        <f>Taxepunkter!G221</f>
        <v/>
      </c>
      <c r="H187" s="5" t="str">
        <f>Taxepunkter!H221</f>
        <v/>
      </c>
      <c r="I187" s="5" t="str">
        <f>Taxepunkter!I221</f>
        <v/>
      </c>
      <c r="J187" s="5" t="str">
        <f>Taxepunkter!J221</f>
        <v/>
      </c>
      <c r="K187" s="5">
        <f>Taxepunkter!K221</f>
        <v>0</v>
      </c>
      <c r="L187" s="11">
        <f>Taxepunkter!L221</f>
        <v>0</v>
      </c>
    </row>
    <row r="188" spans="1:12" x14ac:dyDescent="0.25">
      <c r="A188" s="10" t="str">
        <f>Taxepunkter!A222</f>
        <v>§5.1 Ordinarie tömning av fettavskiljare</v>
      </c>
      <c r="B188" s="5">
        <f>Taxepunkter!B222</f>
        <v>0</v>
      </c>
      <c r="C188" s="5">
        <f>Taxepunkter!C222</f>
        <v>0</v>
      </c>
      <c r="D188" s="5">
        <f>Taxepunkter!D222</f>
        <v>0</v>
      </c>
      <c r="E188" s="5">
        <f>Taxepunkter!E222</f>
        <v>0</v>
      </c>
      <c r="F188" s="5">
        <f>Taxepunkter!F222</f>
        <v>0</v>
      </c>
      <c r="G188" s="5" t="str">
        <f>Taxepunkter!G222</f>
        <v/>
      </c>
      <c r="H188" s="5" t="str">
        <f>Taxepunkter!H222</f>
        <v/>
      </c>
      <c r="I188" s="5" t="str">
        <f>Taxepunkter!I222</f>
        <v/>
      </c>
      <c r="J188" s="5" t="str">
        <f>Taxepunkter!J222</f>
        <v/>
      </c>
      <c r="K188" s="5">
        <f>Taxepunkter!K222</f>
        <v>0</v>
      </c>
      <c r="L188" s="11">
        <f>Taxepunkter!L222</f>
        <v>0</v>
      </c>
    </row>
    <row r="189" spans="1:12" x14ac:dyDescent="0.25">
      <c r="A189" s="10" t="str">
        <f>Taxepunkter!A223</f>
        <v>§5.1</v>
      </c>
      <c r="B189" s="5" t="str">
        <f>Taxepunkter!B223</f>
        <v>Ordinarie tömning av fettavskiljare</v>
      </c>
      <c r="C189" s="5" t="str">
        <f>Taxepunkter!C223</f>
        <v>Upp till 3 m3</v>
      </c>
      <c r="D189" s="5" t="str">
        <f>Taxepunkter!D223</f>
        <v>Tömning, transport och behandling av fettavskiljare/tank enligt anmält tömningsintervall</v>
      </c>
      <c r="E189" s="5" t="str">
        <f>Taxepunkter!E223</f>
        <v>kr/tillfälle</v>
      </c>
      <c r="F189" s="5">
        <f>Taxepunkter!F223</f>
        <v>0</v>
      </c>
      <c r="G189" s="5" t="str">
        <f>Taxepunkter!G223</f>
        <v/>
      </c>
      <c r="H189" s="5" t="str">
        <f>Taxepunkter!H223</f>
        <v/>
      </c>
      <c r="I189" s="5" t="str">
        <f>Taxepunkter!I223</f>
        <v/>
      </c>
      <c r="J189" s="5" t="str">
        <f>Taxepunkter!J223</f>
        <v/>
      </c>
      <c r="K189" s="5">
        <f>Taxepunkter!K223</f>
        <v>0</v>
      </c>
      <c r="L189" s="11">
        <f>Taxepunkter!L223</f>
        <v>0</v>
      </c>
    </row>
    <row r="190" spans="1:12" x14ac:dyDescent="0.25">
      <c r="A190" s="10" t="str">
        <f>Taxepunkter!A224</f>
        <v>§5.1</v>
      </c>
      <c r="B190" s="5" t="str">
        <f>Taxepunkter!B224</f>
        <v>Ordinarie tömning av fettavskiljare</v>
      </c>
      <c r="C190" s="5" t="str">
        <f>Taxepunkter!C224</f>
        <v>Mellan 3 m3 och 6 m3</v>
      </c>
      <c r="D190" s="5" t="str">
        <f>Taxepunkter!D224</f>
        <v>Tömning, transport och behandling av fettavskiljare/tank enligt anmält tömningsintervall</v>
      </c>
      <c r="E190" s="5" t="str">
        <f>Taxepunkter!E224</f>
        <v>kr/tillfälle</v>
      </c>
      <c r="F190" s="5">
        <f>Taxepunkter!F224</f>
        <v>0</v>
      </c>
      <c r="G190" s="5" t="str">
        <f>Taxepunkter!G224</f>
        <v/>
      </c>
      <c r="H190" s="5" t="str">
        <f>Taxepunkter!H224</f>
        <v/>
      </c>
      <c r="I190" s="5" t="str">
        <f>Taxepunkter!I224</f>
        <v/>
      </c>
      <c r="J190" s="5" t="str">
        <f>Taxepunkter!J224</f>
        <v/>
      </c>
      <c r="K190" s="5">
        <f>Taxepunkter!K224</f>
        <v>0</v>
      </c>
      <c r="L190" s="11">
        <f>Taxepunkter!L224</f>
        <v>0</v>
      </c>
    </row>
    <row r="191" spans="1:12" x14ac:dyDescent="0.25">
      <c r="A191" s="10" t="str">
        <f>Taxepunkter!A225</f>
        <v>§5.1</v>
      </c>
      <c r="B191" s="5" t="str">
        <f>Taxepunkter!B225</f>
        <v>Ordinarie tömning av fettavskiljare</v>
      </c>
      <c r="C191" s="5" t="str">
        <f>Taxepunkter!C225</f>
        <v>Över 6 m3</v>
      </c>
      <c r="D191" s="5" t="str">
        <f>Taxepunkter!D225</f>
        <v>Tömning, transport och behandling av fettavskiljare/tank enligt anmält tömningsintervall</v>
      </c>
      <c r="E191" s="5" t="str">
        <f>Taxepunkter!E225</f>
        <v>kr/tillfälle</v>
      </c>
      <c r="F191" s="5">
        <f>Taxepunkter!F225</f>
        <v>0</v>
      </c>
      <c r="G191" s="5" t="str">
        <f>Taxepunkter!G225</f>
        <v/>
      </c>
      <c r="H191" s="5" t="str">
        <f>Taxepunkter!H225</f>
        <v/>
      </c>
      <c r="I191" s="5" t="str">
        <f>Taxepunkter!I225</f>
        <v/>
      </c>
      <c r="J191" s="5" t="str">
        <f>Taxepunkter!J225</f>
        <v/>
      </c>
      <c r="K191" s="5">
        <f>Taxepunkter!K225</f>
        <v>0</v>
      </c>
      <c r="L191" s="11">
        <f>Taxepunkter!L225</f>
        <v>0</v>
      </c>
    </row>
    <row r="192" spans="1:12" x14ac:dyDescent="0.25">
      <c r="A192" s="10" t="str">
        <f>Taxepunkter!A227</f>
        <v>§5.1</v>
      </c>
      <c r="B192" s="5" t="str">
        <f>Taxepunkter!B227</f>
        <v>Ordinarie tömning av fettavskiljare</v>
      </c>
      <c r="C192" s="5" t="str">
        <f>Taxepunkter!C227</f>
        <v>Mellan 3 m3 och 6 m3</v>
      </c>
      <c r="D192" s="5" t="str">
        <f>Taxepunkter!D227</f>
        <v>Tillägg för transport och behandlingskostnad</v>
      </c>
      <c r="E192" s="5" t="str">
        <f>Taxepunkter!E227</f>
        <v>kr/tillfälle</v>
      </c>
      <c r="F192" s="5">
        <f>Taxepunkter!F227</f>
        <v>0</v>
      </c>
      <c r="G192" s="5" t="str">
        <f>Taxepunkter!G227</f>
        <v/>
      </c>
      <c r="H192" s="5" t="str">
        <f>Taxepunkter!H227</f>
        <v/>
      </c>
      <c r="I192" s="5" t="str">
        <f>Taxepunkter!I227</f>
        <v/>
      </c>
      <c r="J192" s="5" t="str">
        <f>Taxepunkter!J227</f>
        <v/>
      </c>
      <c r="K192" s="5">
        <f>Taxepunkter!K227</f>
        <v>0</v>
      </c>
      <c r="L192" s="11">
        <f>Taxepunkter!L227</f>
        <v>0</v>
      </c>
    </row>
    <row r="193" spans="1:12" x14ac:dyDescent="0.25">
      <c r="A193" s="10" t="str">
        <f>Taxepunkter!A228</f>
        <v>§5.1</v>
      </c>
      <c r="B193" s="5" t="str">
        <f>Taxepunkter!B228</f>
        <v>Ordinarie tömning av fettavskiljare</v>
      </c>
      <c r="C193" s="5" t="str">
        <f>Taxepunkter!C228</f>
        <v>Över 6 m3</v>
      </c>
      <c r="D193" s="5" t="str">
        <f>Taxepunkter!D228</f>
        <v>Tillägg för transport och behandlingskostnad</v>
      </c>
      <c r="E193" s="5" t="str">
        <f>Taxepunkter!E228</f>
        <v>kr/tillfälle</v>
      </c>
      <c r="F193" s="5">
        <f>Taxepunkter!F228</f>
        <v>0</v>
      </c>
      <c r="G193" s="5" t="str">
        <f>Taxepunkter!G228</f>
        <v/>
      </c>
      <c r="H193" s="5" t="str">
        <f>Taxepunkter!H228</f>
        <v/>
      </c>
      <c r="I193" s="5" t="str">
        <f>Taxepunkter!I228</f>
        <v/>
      </c>
      <c r="J193" s="5" t="str">
        <f>Taxepunkter!J228</f>
        <v/>
      </c>
      <c r="K193" s="5">
        <f>Taxepunkter!K228</f>
        <v>0</v>
      </c>
      <c r="L193" s="11">
        <f>Taxepunkter!L228</f>
        <v>0</v>
      </c>
    </row>
    <row r="194" spans="1:12" x14ac:dyDescent="0.25">
      <c r="A194" s="10" t="str">
        <f>Taxepunkter!A229</f>
        <v>§5.1</v>
      </c>
      <c r="B194" s="5">
        <f>Taxepunkter!B229</f>
        <v>0</v>
      </c>
      <c r="C194" s="5">
        <f>Taxepunkter!C229</f>
        <v>0</v>
      </c>
      <c r="D194" s="5">
        <f>Taxepunkter!D229</f>
        <v>0</v>
      </c>
      <c r="E194" s="5">
        <f>Taxepunkter!E229</f>
        <v>0</v>
      </c>
      <c r="F194" s="5">
        <f>Taxepunkter!F229</f>
        <v>0</v>
      </c>
      <c r="G194" s="5" t="str">
        <f>Taxepunkter!G229</f>
        <v/>
      </c>
      <c r="H194" s="5" t="str">
        <f>Taxepunkter!H229</f>
        <v/>
      </c>
      <c r="I194" s="5" t="str">
        <f>Taxepunkter!I229</f>
        <v/>
      </c>
      <c r="J194" s="5" t="str">
        <f>Taxepunkter!J229</f>
        <v/>
      </c>
      <c r="K194" s="5">
        <f>Taxepunkter!K229</f>
        <v>0</v>
      </c>
      <c r="L194" s="11">
        <f>Taxepunkter!L229</f>
        <v>0</v>
      </c>
    </row>
    <row r="195" spans="1:12" x14ac:dyDescent="0.25">
      <c r="A195" s="10" t="str">
        <f>Taxepunkter!A230</f>
        <v>§5.2 Tilläggstjänster fettavskiljare</v>
      </c>
      <c r="B195" s="5">
        <f>Taxepunkter!B230</f>
        <v>0</v>
      </c>
      <c r="C195" s="5">
        <f>Taxepunkter!C230</f>
        <v>0</v>
      </c>
      <c r="D195" s="5">
        <f>Taxepunkter!D230</f>
        <v>0</v>
      </c>
      <c r="E195" s="5">
        <f>Taxepunkter!E230</f>
        <v>0</v>
      </c>
      <c r="F195" s="5">
        <f>Taxepunkter!F230</f>
        <v>0</v>
      </c>
      <c r="G195" s="5" t="str">
        <f>Taxepunkter!G230</f>
        <v/>
      </c>
      <c r="H195" s="5" t="str">
        <f>Taxepunkter!H230</f>
        <v/>
      </c>
      <c r="I195" s="5" t="str">
        <f>Taxepunkter!I230</f>
        <v/>
      </c>
      <c r="J195" s="5" t="str">
        <f>Taxepunkter!J230</f>
        <v/>
      </c>
      <c r="K195" s="5">
        <f>Taxepunkter!K230</f>
        <v>0</v>
      </c>
      <c r="L195" s="11">
        <f>Taxepunkter!L230</f>
        <v>0</v>
      </c>
    </row>
    <row r="196" spans="1:12" x14ac:dyDescent="0.25">
      <c r="A196" s="10" t="str">
        <f>Taxepunkter!A231</f>
        <v>§5.2</v>
      </c>
      <c r="B196" s="5" t="str">
        <f>Taxepunkter!B231</f>
        <v>Tilläggstjänster fettavskiljare</v>
      </c>
      <c r="C196" s="5" t="str">
        <f>Taxepunkter!C231</f>
        <v>Dragning av extra slang vid 5-25 m</v>
      </c>
      <c r="D196" s="5">
        <f>Taxepunkter!D231</f>
        <v>0</v>
      </c>
      <c r="E196" s="5" t="str">
        <f>Taxepunkter!E231</f>
        <v>kr/tillfälle</v>
      </c>
      <c r="F196" s="5">
        <f>Taxepunkter!F231</f>
        <v>0</v>
      </c>
      <c r="G196" s="5" t="str">
        <f>Taxepunkter!G231</f>
        <v/>
      </c>
      <c r="H196" s="5" t="str">
        <f>Taxepunkter!H231</f>
        <v/>
      </c>
      <c r="I196" s="5" t="str">
        <f>Taxepunkter!I231</f>
        <v/>
      </c>
      <c r="J196" s="5" t="str">
        <f>Taxepunkter!J231</f>
        <v/>
      </c>
      <c r="K196" s="5">
        <f>Taxepunkter!K231</f>
        <v>0</v>
      </c>
      <c r="L196" s="11">
        <f>Taxepunkter!L231</f>
        <v>0</v>
      </c>
    </row>
    <row r="197" spans="1:12" x14ac:dyDescent="0.25">
      <c r="A197" s="10" t="str">
        <f>Taxepunkter!A232</f>
        <v>§5.2</v>
      </c>
      <c r="B197" s="5" t="str">
        <f>Taxepunkter!B232</f>
        <v>Tilläggstjänster fettavskiljare</v>
      </c>
      <c r="C197" s="5" t="str">
        <f>Taxepunkter!C232</f>
        <v>Dragning av extra slang vid 25-35 m</v>
      </c>
      <c r="D197" s="5">
        <f>Taxepunkter!D232</f>
        <v>0</v>
      </c>
      <c r="E197" s="5" t="str">
        <f>Taxepunkter!E232</f>
        <v>kr/tillfälle</v>
      </c>
      <c r="F197" s="5">
        <f>Taxepunkter!F232</f>
        <v>0</v>
      </c>
      <c r="G197" s="5" t="str">
        <f>Taxepunkter!G232</f>
        <v/>
      </c>
      <c r="H197" s="5" t="str">
        <f>Taxepunkter!H232</f>
        <v/>
      </c>
      <c r="I197" s="5" t="str">
        <f>Taxepunkter!I232</f>
        <v/>
      </c>
      <c r="J197" s="5" t="str">
        <f>Taxepunkter!J232</f>
        <v/>
      </c>
      <c r="K197" s="5">
        <f>Taxepunkter!K232</f>
        <v>0</v>
      </c>
      <c r="L197" s="11">
        <f>Taxepunkter!L232</f>
        <v>0</v>
      </c>
    </row>
    <row r="198" spans="1:12" x14ac:dyDescent="0.25">
      <c r="A198" s="10" t="str">
        <f>Taxepunkter!A233</f>
        <v>§5.2</v>
      </c>
      <c r="B198" s="5" t="str">
        <f>Taxepunkter!B233</f>
        <v>Tilläggstjänster fettavskiljare</v>
      </c>
      <c r="C198" s="5" t="str">
        <f>Taxepunkter!C233</f>
        <v>Dragning av extra slang vid 36-45 m</v>
      </c>
      <c r="D198" s="5">
        <f>Taxepunkter!D233</f>
        <v>0</v>
      </c>
      <c r="E198" s="5" t="str">
        <f>Taxepunkter!E233</f>
        <v>kr/tillfälle</v>
      </c>
      <c r="F198" s="5">
        <f>Taxepunkter!F233</f>
        <v>0</v>
      </c>
      <c r="G198" s="5" t="str">
        <f>Taxepunkter!G233</f>
        <v/>
      </c>
      <c r="H198" s="5" t="str">
        <f>Taxepunkter!H233</f>
        <v/>
      </c>
      <c r="I198" s="5" t="str">
        <f>Taxepunkter!I233</f>
        <v/>
      </c>
      <c r="J198" s="5" t="str">
        <f>Taxepunkter!J233</f>
        <v/>
      </c>
      <c r="K198" s="5">
        <f>Taxepunkter!K233</f>
        <v>0</v>
      </c>
      <c r="L198" s="11">
        <f>Taxepunkter!L233</f>
        <v>0</v>
      </c>
    </row>
    <row r="199" spans="1:12" x14ac:dyDescent="0.25">
      <c r="A199" s="10" t="str">
        <f>Taxepunkter!A235</f>
        <v>§5.2</v>
      </c>
      <c r="B199" s="5" t="str">
        <f>Taxepunkter!B235</f>
        <v>Tilläggstjänster fettavskiljare</v>
      </c>
      <c r="C199" s="5" t="str">
        <f>Taxepunkter!C235</f>
        <v>Hantering av brunnslock som väger 15-25 kg</v>
      </c>
      <c r="D199" s="5">
        <f>Taxepunkter!D235</f>
        <v>0</v>
      </c>
      <c r="E199" s="5" t="str">
        <f>Taxepunkter!E235</f>
        <v>kr/tillfälle</v>
      </c>
      <c r="F199" s="5">
        <f>Taxepunkter!F235</f>
        <v>0</v>
      </c>
      <c r="G199" s="5" t="str">
        <f>Taxepunkter!G235</f>
        <v/>
      </c>
      <c r="H199" s="5" t="str">
        <f>Taxepunkter!H235</f>
        <v/>
      </c>
      <c r="I199" s="5" t="str">
        <f>Taxepunkter!I235</f>
        <v/>
      </c>
      <c r="J199" s="5" t="str">
        <f>Taxepunkter!J235</f>
        <v/>
      </c>
      <c r="K199" s="5">
        <f>Taxepunkter!K235</f>
        <v>0</v>
      </c>
      <c r="L199" s="11">
        <f>Taxepunkter!L235</f>
        <v>0</v>
      </c>
    </row>
    <row r="200" spans="1:12" x14ac:dyDescent="0.25">
      <c r="A200" s="10" t="str">
        <f>Taxepunkter!A236</f>
        <v>§5.2</v>
      </c>
      <c r="B200" s="5" t="str">
        <f>Taxepunkter!B236</f>
        <v>Tilläggstjänster fettavskiljare</v>
      </c>
      <c r="C200" s="5" t="str">
        <f>Taxepunkter!C236</f>
        <v>Krav på information om tömningstid</v>
      </c>
      <c r="D200" s="5">
        <f>Taxepunkter!D236</f>
        <v>0</v>
      </c>
      <c r="E200" s="5" t="str">
        <f>Taxepunkter!E236</f>
        <v>kr/tillfälle</v>
      </c>
      <c r="F200" s="5">
        <f>Taxepunkter!F236</f>
        <v>0</v>
      </c>
      <c r="G200" s="5" t="str">
        <f>Taxepunkter!G236</f>
        <v/>
      </c>
      <c r="H200" s="5" t="str">
        <f>Taxepunkter!H236</f>
        <v/>
      </c>
      <c r="I200" s="5" t="str">
        <f>Taxepunkter!I236</f>
        <v/>
      </c>
      <c r="J200" s="5" t="str">
        <f>Taxepunkter!J236</f>
        <v/>
      </c>
      <c r="K200" s="5">
        <f>Taxepunkter!K236</f>
        <v>0</v>
      </c>
      <c r="L200" s="11">
        <f>Taxepunkter!L236</f>
        <v>0</v>
      </c>
    </row>
    <row r="201" spans="1:12" x14ac:dyDescent="0.25">
      <c r="A201" s="10" t="str">
        <f>Taxepunkter!A237</f>
        <v>§5.2</v>
      </c>
      <c r="B201" s="5">
        <f>Taxepunkter!B237</f>
        <v>0</v>
      </c>
      <c r="C201" s="5">
        <f>Taxepunkter!C237</f>
        <v>0</v>
      </c>
      <c r="D201" s="5">
        <f>Taxepunkter!D237</f>
        <v>0</v>
      </c>
      <c r="E201" s="5">
        <f>Taxepunkter!E237</f>
        <v>0</v>
      </c>
      <c r="F201" s="5">
        <f>Taxepunkter!F237</f>
        <v>0</v>
      </c>
      <c r="G201" s="5" t="str">
        <f>Taxepunkter!G237</f>
        <v/>
      </c>
      <c r="H201" s="5" t="str">
        <f>Taxepunkter!H237</f>
        <v/>
      </c>
      <c r="I201" s="5" t="str">
        <f>Taxepunkter!I237</f>
        <v/>
      </c>
      <c r="J201" s="5" t="str">
        <f>Taxepunkter!J237</f>
        <v/>
      </c>
      <c r="K201" s="5">
        <f>Taxepunkter!K237</f>
        <v>0</v>
      </c>
      <c r="L201" s="11">
        <f>Taxepunkter!L237</f>
        <v>0</v>
      </c>
    </row>
    <row r="202" spans="1:12" x14ac:dyDescent="0.25">
      <c r="A202" s="10" t="str">
        <f>Taxepunkter!A238</f>
        <v>§5.2</v>
      </c>
      <c r="B202" s="5" t="str">
        <f>Taxepunkter!B238</f>
        <v>Tilläggstjänster fettavskiljare</v>
      </c>
      <c r="C202" s="5" t="str">
        <f>Taxepunkter!C238</f>
        <v>Hantering av kod för kodlås vid tömning</v>
      </c>
      <c r="D202" s="5">
        <f>Taxepunkter!D238</f>
        <v>0</v>
      </c>
      <c r="E202" s="5" t="str">
        <f>Taxepunkter!E238</f>
        <v>kr/tillfälle</v>
      </c>
      <c r="F202" s="5">
        <f>Taxepunkter!F238</f>
        <v>0</v>
      </c>
      <c r="G202" s="5" t="str">
        <f>Taxepunkter!G238</f>
        <v/>
      </c>
      <c r="H202" s="5" t="str">
        <f>Taxepunkter!H238</f>
        <v/>
      </c>
      <c r="I202" s="5" t="str">
        <f>Taxepunkter!I238</f>
        <v/>
      </c>
      <c r="J202" s="5" t="str">
        <f>Taxepunkter!J238</f>
        <v/>
      </c>
      <c r="K202" s="5">
        <f>Taxepunkter!K238</f>
        <v>0</v>
      </c>
      <c r="L202" s="11">
        <f>Taxepunkter!L238</f>
        <v>0</v>
      </c>
    </row>
    <row r="203" spans="1:12" x14ac:dyDescent="0.25">
      <c r="A203" s="10" t="str">
        <f>Taxepunkter!A239</f>
        <v>§5.2</v>
      </c>
      <c r="B203" s="5" t="str">
        <f>Taxepunkter!B239</f>
        <v>Tilläggstjänster fettavskiljare</v>
      </c>
      <c r="C203" s="5" t="str">
        <f>Taxepunkter!C239</f>
        <v>Hetvattentvätt med spolbil, timersättning</v>
      </c>
      <c r="D203" s="5">
        <f>Taxepunkter!D239</f>
        <v>0</v>
      </c>
      <c r="E203" s="5" t="str">
        <f>Taxepunkter!E239</f>
        <v>kr/tillfälle</v>
      </c>
      <c r="F203" s="5">
        <f>Taxepunkter!F239</f>
        <v>0</v>
      </c>
      <c r="G203" s="5" t="str">
        <f>Taxepunkter!G239</f>
        <v/>
      </c>
      <c r="H203" s="5" t="str">
        <f>Taxepunkter!H239</f>
        <v/>
      </c>
      <c r="I203" s="5" t="str">
        <f>Taxepunkter!I239</f>
        <v/>
      </c>
      <c r="J203" s="5" t="str">
        <f>Taxepunkter!J239</f>
        <v/>
      </c>
      <c r="K203" s="5">
        <f>Taxepunkter!K239</f>
        <v>0</v>
      </c>
      <c r="L203" s="11">
        <f>Taxepunkter!L239</f>
        <v>0</v>
      </c>
    </row>
    <row r="204" spans="1:12" x14ac:dyDescent="0.25">
      <c r="A204" s="10" t="str">
        <f>Taxepunkter!A240</f>
        <v>§5.2</v>
      </c>
      <c r="B204" s="5" t="str">
        <f>Taxepunkter!B240</f>
        <v>Tilläggstjänster fettavskiljare</v>
      </c>
      <c r="C204" s="5" t="str">
        <f>Taxepunkter!C240</f>
        <v>Silikontätning per lock</v>
      </c>
      <c r="D204" s="5">
        <f>Taxepunkter!D240</f>
        <v>0</v>
      </c>
      <c r="E204" s="5" t="str">
        <f>Taxepunkter!E240</f>
        <v>kr/tillfälle</v>
      </c>
      <c r="F204" s="5">
        <f>Taxepunkter!F240</f>
        <v>0</v>
      </c>
      <c r="G204" s="5" t="str">
        <f>Taxepunkter!G240</f>
        <v/>
      </c>
      <c r="H204" s="5" t="str">
        <f>Taxepunkter!H240</f>
        <v/>
      </c>
      <c r="I204" s="5" t="str">
        <f>Taxepunkter!I240</f>
        <v/>
      </c>
      <c r="J204" s="5" t="str">
        <f>Taxepunkter!J240</f>
        <v/>
      </c>
      <c r="K204" s="5">
        <f>Taxepunkter!K240</f>
        <v>0</v>
      </c>
      <c r="L204" s="11">
        <f>Taxepunkter!L240</f>
        <v>0</v>
      </c>
    </row>
    <row r="205" spans="1:12" x14ac:dyDescent="0.25">
      <c r="A205" s="10" t="str">
        <f>Taxepunkter!A241</f>
        <v>§5.2</v>
      </c>
      <c r="B205" s="5" t="str">
        <f>Taxepunkter!B241</f>
        <v>Tilläggstjänster fettavskiljare</v>
      </c>
      <c r="C205" s="5" t="str">
        <f>Taxepunkter!C241</f>
        <v>Avgift om tömning ej kan utföras pga hinder, bristande transportväg, betonglock, lock tyngre än 25 kg eller vägran</v>
      </c>
      <c r="D205" s="5">
        <f>Taxepunkter!D241</f>
        <v>0</v>
      </c>
      <c r="E205" s="5" t="str">
        <f>Taxepunkter!E241</f>
        <v>kr/tillfälle</v>
      </c>
      <c r="F205" s="5">
        <f>Taxepunkter!F241</f>
        <v>0</v>
      </c>
      <c r="G205" s="5" t="str">
        <f>Taxepunkter!G241</f>
        <v/>
      </c>
      <c r="H205" s="5" t="str">
        <f>Taxepunkter!H241</f>
        <v/>
      </c>
      <c r="I205" s="5" t="str">
        <f>Taxepunkter!I241</f>
        <v/>
      </c>
      <c r="J205" s="5" t="str">
        <f>Taxepunkter!J241</f>
        <v/>
      </c>
      <c r="K205" s="5">
        <f>Taxepunkter!K241</f>
        <v>0</v>
      </c>
      <c r="L205" s="11">
        <f>Taxepunkter!L241</f>
        <v>0</v>
      </c>
    </row>
    <row r="206" spans="1:12" x14ac:dyDescent="0.25">
      <c r="A206" s="10" t="str">
        <f>Taxepunkter!A242</f>
        <v>§5.2</v>
      </c>
      <c r="B206" s="5" t="str">
        <f>Taxepunkter!B242</f>
        <v>Tilläggstjänster fettavskiljare</v>
      </c>
      <c r="C206" s="5" t="str">
        <f>Taxepunkter!C242</f>
        <v>Tömning av extra tank i samband med ordinarie/budad tömning upp till 5 m3</v>
      </c>
      <c r="D206" s="5">
        <f>Taxepunkter!D242</f>
        <v>0</v>
      </c>
      <c r="E206" s="5" t="str">
        <f>Taxepunkter!E242</f>
        <v>kr/tillfälle</v>
      </c>
      <c r="F206" s="5">
        <f>Taxepunkter!F242</f>
        <v>0</v>
      </c>
      <c r="G206" s="5" t="str">
        <f>Taxepunkter!G242</f>
        <v/>
      </c>
      <c r="H206" s="5" t="str">
        <f>Taxepunkter!H242</f>
        <v/>
      </c>
      <c r="I206" s="5" t="str">
        <f>Taxepunkter!I242</f>
        <v/>
      </c>
      <c r="J206" s="5" t="str">
        <f>Taxepunkter!J242</f>
        <v/>
      </c>
      <c r="K206" s="5">
        <f>Taxepunkter!K242</f>
        <v>0</v>
      </c>
      <c r="L206" s="11">
        <f>Taxepunkter!L242</f>
        <v>0</v>
      </c>
    </row>
    <row r="207" spans="1:12" x14ac:dyDescent="0.25">
      <c r="A207" s="10" t="str">
        <f>Taxepunkter!A243</f>
        <v>§5.2</v>
      </c>
      <c r="B207" s="5">
        <f>Taxepunkter!B243</f>
        <v>0</v>
      </c>
      <c r="C207" s="5">
        <f>Taxepunkter!C243</f>
        <v>0</v>
      </c>
      <c r="D207" s="5">
        <f>Taxepunkter!D243</f>
        <v>0</v>
      </c>
      <c r="E207" s="5">
        <f>Taxepunkter!E243</f>
        <v>0</v>
      </c>
      <c r="F207" s="5">
        <f>Taxepunkter!F243</f>
        <v>0</v>
      </c>
      <c r="G207" s="5" t="str">
        <f>Taxepunkter!G243</f>
        <v/>
      </c>
      <c r="H207" s="5" t="str">
        <f>Taxepunkter!H243</f>
        <v/>
      </c>
      <c r="I207" s="5" t="str">
        <f>Taxepunkter!I243</f>
        <v/>
      </c>
      <c r="J207" s="5" t="str">
        <f>Taxepunkter!J243</f>
        <v/>
      </c>
      <c r="K207" s="5">
        <f>Taxepunkter!K243</f>
        <v>0</v>
      </c>
      <c r="L207" s="11">
        <f>Taxepunkter!L243</f>
        <v>0</v>
      </c>
    </row>
    <row r="208" spans="1:12" x14ac:dyDescent="0.25">
      <c r="A208" s="10" t="str">
        <f>Taxepunkter!A244</f>
        <v>§5.3 Övriga avgifter och tillägg fettavskiljare</v>
      </c>
      <c r="B208" s="5">
        <f>Taxepunkter!B244</f>
        <v>0</v>
      </c>
      <c r="C208" s="5">
        <f>Taxepunkter!C244</f>
        <v>0</v>
      </c>
      <c r="D208" s="5">
        <f>Taxepunkter!D244</f>
        <v>0</v>
      </c>
      <c r="E208" s="5">
        <f>Taxepunkter!E244</f>
        <v>0</v>
      </c>
      <c r="F208" s="5">
        <f>Taxepunkter!F244</f>
        <v>0</v>
      </c>
      <c r="G208" s="5" t="str">
        <f>Taxepunkter!G244</f>
        <v/>
      </c>
      <c r="H208" s="5" t="str">
        <f>Taxepunkter!H244</f>
        <v/>
      </c>
      <c r="I208" s="5" t="str">
        <f>Taxepunkter!I244</f>
        <v/>
      </c>
      <c r="J208" s="5" t="str">
        <f>Taxepunkter!J244</f>
        <v/>
      </c>
      <c r="K208" s="5">
        <f>Taxepunkter!K244</f>
        <v>0</v>
      </c>
      <c r="L208" s="11">
        <f>Taxepunkter!L244</f>
        <v>0</v>
      </c>
    </row>
    <row r="209" spans="1:12" x14ac:dyDescent="0.25">
      <c r="A209" s="10" t="str">
        <f>Taxepunkter!A245</f>
        <v>§5.3</v>
      </c>
      <c r="B209" s="5" t="str">
        <f>Taxepunkter!B245</f>
        <v>Övriga avgifter och tillägg fettavskiljare</v>
      </c>
      <c r="C209" s="5" t="str">
        <f>Taxepunkter!C245</f>
        <v>Budning inom ordinarie tömningsperiod (1 maj- 31 oktober)</v>
      </c>
      <c r="D209" s="5" t="str">
        <f>Taxepunkter!D245</f>
        <v>Inom 48 timmar</v>
      </c>
      <c r="E209" s="5" t="str">
        <f>Taxepunkter!E245</f>
        <v>kr/tillfälle</v>
      </c>
      <c r="F209" s="5">
        <f>Taxepunkter!F245</f>
        <v>0</v>
      </c>
      <c r="G209" s="5" t="str">
        <f>Taxepunkter!G245</f>
        <v/>
      </c>
      <c r="H209" s="5" t="str">
        <f>Taxepunkter!H245</f>
        <v/>
      </c>
      <c r="I209" s="5" t="str">
        <f>Taxepunkter!I245</f>
        <v/>
      </c>
      <c r="J209" s="5" t="str">
        <f>Taxepunkter!J245</f>
        <v/>
      </c>
      <c r="K209" s="5">
        <f>Taxepunkter!K245</f>
        <v>0</v>
      </c>
      <c r="L209" s="11">
        <f>Taxepunkter!L245</f>
        <v>0</v>
      </c>
    </row>
    <row r="210" spans="1:12" x14ac:dyDescent="0.25">
      <c r="A210" s="10" t="str">
        <f>Taxepunkter!A246</f>
        <v>§5.3</v>
      </c>
      <c r="B210" s="5" t="str">
        <f>Taxepunkter!B246</f>
        <v>Övriga avgifter och tillägg fettavskiljare</v>
      </c>
      <c r="C210" s="5" t="str">
        <f>Taxepunkter!C246</f>
        <v>Budning utanför ordinarie tömningsperiod</v>
      </c>
      <c r="D210" s="5" t="str">
        <f>Taxepunkter!D246</f>
        <v>Inom 48 timmar</v>
      </c>
      <c r="E210" s="5" t="str">
        <f>Taxepunkter!E246</f>
        <v>kr/tillfälle</v>
      </c>
      <c r="F210" s="5">
        <f>Taxepunkter!F246</f>
        <v>0</v>
      </c>
      <c r="G210" s="5" t="str">
        <f>Taxepunkter!G246</f>
        <v/>
      </c>
      <c r="H210" s="5" t="str">
        <f>Taxepunkter!H246</f>
        <v/>
      </c>
      <c r="I210" s="5" t="str">
        <f>Taxepunkter!I246</f>
        <v/>
      </c>
      <c r="J210" s="5" t="str">
        <f>Taxepunkter!J246</f>
        <v/>
      </c>
      <c r="K210" s="5">
        <f>Taxepunkter!K246</f>
        <v>0</v>
      </c>
      <c r="L210" s="11">
        <f>Taxepunkter!L246</f>
        <v>0</v>
      </c>
    </row>
    <row r="211" spans="1:12" x14ac:dyDescent="0.25">
      <c r="A211" s="10" t="str">
        <f>Taxepunkter!A247</f>
        <v>§5.3</v>
      </c>
      <c r="B211" s="5" t="str">
        <f>Taxepunkter!B247</f>
        <v>Övriga avgifter och tillägg fettavskiljare</v>
      </c>
      <c r="C211" s="5" t="str">
        <f>Taxepunkter!C247</f>
        <v>Budning inom ordinarie tömningsperiod (1 maj- 31 oktober)</v>
      </c>
      <c r="D211" s="5" t="str">
        <f>Taxepunkter!D247</f>
        <v>Inom 8 arbetsdagar</v>
      </c>
      <c r="E211" s="5" t="str">
        <f>Taxepunkter!E247</f>
        <v>kr/tillfälle</v>
      </c>
      <c r="F211" s="5">
        <f>Taxepunkter!F247</f>
        <v>0</v>
      </c>
      <c r="G211" s="5" t="str">
        <f>Taxepunkter!G247</f>
        <v/>
      </c>
      <c r="H211" s="5" t="str">
        <f>Taxepunkter!H247</f>
        <v/>
      </c>
      <c r="I211" s="5" t="str">
        <f>Taxepunkter!I247</f>
        <v/>
      </c>
      <c r="J211" s="5" t="str">
        <f>Taxepunkter!J247</f>
        <v/>
      </c>
      <c r="K211" s="5">
        <f>Taxepunkter!K247</f>
        <v>0</v>
      </c>
      <c r="L211" s="11">
        <f>Taxepunkter!L247</f>
        <v>0</v>
      </c>
    </row>
    <row r="212" spans="1:12" x14ac:dyDescent="0.25">
      <c r="A212" s="10" t="str">
        <f>Taxepunkter!A248</f>
        <v>§5.3</v>
      </c>
      <c r="B212" s="5" t="str">
        <f>Taxepunkter!B248</f>
        <v>Övriga avgifter och tillägg fettavskiljare</v>
      </c>
      <c r="C212" s="5" t="str">
        <f>Taxepunkter!C248</f>
        <v>Budning utanför ordinarie tömningsperiod</v>
      </c>
      <c r="D212" s="5" t="str">
        <f>Taxepunkter!D248</f>
        <v>Inom 8 arbetsdagar</v>
      </c>
      <c r="E212" s="5" t="str">
        <f>Taxepunkter!E248</f>
        <v>kr/tillfälle</v>
      </c>
      <c r="F212" s="5">
        <f>Taxepunkter!F248</f>
        <v>0</v>
      </c>
      <c r="G212" s="5" t="str">
        <f>Taxepunkter!G248</f>
        <v/>
      </c>
      <c r="H212" s="5" t="str">
        <f>Taxepunkter!H248</f>
        <v/>
      </c>
      <c r="I212" s="5" t="str">
        <f>Taxepunkter!I248</f>
        <v/>
      </c>
      <c r="J212" s="5" t="str">
        <f>Taxepunkter!J248</f>
        <v/>
      </c>
      <c r="K212" s="5">
        <f>Taxepunkter!K248</f>
        <v>0</v>
      </c>
      <c r="L212" s="11">
        <f>Taxepunkter!L248</f>
        <v>0</v>
      </c>
    </row>
    <row r="213" spans="1:12" x14ac:dyDescent="0.25">
      <c r="A213" s="10" t="str">
        <f>Taxepunkter!A249</f>
        <v>§5.3</v>
      </c>
      <c r="B213" s="5" t="str">
        <f>Taxepunkter!B249</f>
        <v>Övriga avgifter och tillägg fettavskiljare</v>
      </c>
      <c r="C213" s="5" t="str">
        <f>Taxepunkter!C249</f>
        <v>Framkörningsavgift då ordinarie tömning inte skett på grund av hinder, abonnenten vägrar, bristfällig väg eller annat</v>
      </c>
      <c r="D213" s="5">
        <f>Taxepunkter!D249</f>
        <v>0</v>
      </c>
      <c r="E213" s="5" t="str">
        <f>Taxepunkter!E249</f>
        <v>kr/tillfälle</v>
      </c>
      <c r="F213" s="5">
        <f>Taxepunkter!F249</f>
        <v>0</v>
      </c>
      <c r="G213" s="5" t="str">
        <f>Taxepunkter!G249</f>
        <v/>
      </c>
      <c r="H213" s="5" t="str">
        <f>Taxepunkter!H249</f>
        <v/>
      </c>
      <c r="I213" s="5" t="str">
        <f>Taxepunkter!I249</f>
        <v/>
      </c>
      <c r="J213" s="5" t="str">
        <f>Taxepunkter!J249</f>
        <v/>
      </c>
      <c r="K213" s="5">
        <f>Taxepunkter!K249</f>
        <v>0</v>
      </c>
      <c r="L213" s="11">
        <f>Taxepunkter!L249</f>
        <v>0</v>
      </c>
    </row>
    <row r="214" spans="1:12" x14ac:dyDescent="0.25">
      <c r="A214" s="10" t="str">
        <f>Taxepunkter!A250</f>
        <v>§5.3</v>
      </c>
      <c r="B214" s="5" t="str">
        <f>Taxepunkter!B250</f>
        <v>Övriga avgifter och tillägg fettavskiljare</v>
      </c>
      <c r="C214" s="5" t="str">
        <f>Taxepunkter!C250</f>
        <v>Sen anmälan om förändringar av tömningsintervall. Om förändring, nyanmälan eller avbokning av tömning meddelas efter 1 april innevarande år.</v>
      </c>
      <c r="D214" s="5">
        <f>Taxepunkter!D250</f>
        <v>0</v>
      </c>
      <c r="E214" s="5" t="str">
        <f>Taxepunkter!E250</f>
        <v>kr/tillfälle</v>
      </c>
      <c r="F214" s="5">
        <f>Taxepunkter!F250</f>
        <v>0</v>
      </c>
      <c r="G214" s="5" t="str">
        <f>Taxepunkter!G250</f>
        <v/>
      </c>
      <c r="H214" s="5" t="str">
        <f>Taxepunkter!H250</f>
        <v/>
      </c>
      <c r="I214" s="5" t="str">
        <f>Taxepunkter!I250</f>
        <v/>
      </c>
      <c r="J214" s="5" t="str">
        <f>Taxepunkter!J250</f>
        <v/>
      </c>
      <c r="K214" s="5">
        <f>Taxepunkter!K250</f>
        <v>0</v>
      </c>
      <c r="L214" s="11">
        <f>Taxepunkter!L250</f>
        <v>0</v>
      </c>
    </row>
    <row r="215" spans="1:12" x14ac:dyDescent="0.25">
      <c r="A215" s="10" t="str">
        <f>Taxepunkter!A251</f>
        <v>§5.3</v>
      </c>
      <c r="B215" s="5">
        <f>Taxepunkter!B251</f>
        <v>0</v>
      </c>
      <c r="C215" s="5">
        <f>Taxepunkter!C251</f>
        <v>0</v>
      </c>
      <c r="D215" s="5">
        <f>Taxepunkter!D251</f>
        <v>0</v>
      </c>
      <c r="E215" s="5">
        <f>Taxepunkter!E251</f>
        <v>0</v>
      </c>
      <c r="F215" s="5">
        <f>Taxepunkter!F251</f>
        <v>0</v>
      </c>
      <c r="G215" s="5" t="str">
        <f>Taxepunkter!G251</f>
        <v/>
      </c>
      <c r="H215" s="5" t="str">
        <f>Taxepunkter!H251</f>
        <v/>
      </c>
      <c r="I215" s="5" t="str">
        <f>Taxepunkter!I251</f>
        <v/>
      </c>
      <c r="J215" s="5" t="str">
        <f>Taxepunkter!J251</f>
        <v/>
      </c>
      <c r="K215" s="5">
        <f>Taxepunkter!K251</f>
        <v>0</v>
      </c>
      <c r="L215" s="11">
        <f>Taxepunkter!L251</f>
        <v>0</v>
      </c>
    </row>
    <row r="216" spans="1:12" x14ac:dyDescent="0.25">
      <c r="A216" s="10" t="str">
        <f>Taxepunkter!A252</f>
        <v>§6.1.1 Inpassering på ÅVC</v>
      </c>
      <c r="B216" s="5">
        <f>Taxepunkter!B252</f>
        <v>0</v>
      </c>
      <c r="C216" s="5">
        <f>Taxepunkter!C252</f>
        <v>0</v>
      </c>
      <c r="D216" s="5">
        <f>Taxepunkter!D252</f>
        <v>0</v>
      </c>
      <c r="E216" s="5">
        <f>Taxepunkter!E252</f>
        <v>0</v>
      </c>
      <c r="F216" s="5">
        <f>Taxepunkter!F252</f>
        <v>0</v>
      </c>
      <c r="G216" s="5" t="str">
        <f>Taxepunkter!G252</f>
        <v/>
      </c>
      <c r="H216" s="5" t="str">
        <f>Taxepunkter!H252</f>
        <v/>
      </c>
      <c r="I216" s="5" t="str">
        <f>Taxepunkter!I252</f>
        <v/>
      </c>
      <c r="J216" s="5" t="str">
        <f>Taxepunkter!J252</f>
        <v/>
      </c>
      <c r="K216" s="5">
        <f>Taxepunkter!K252</f>
        <v>0</v>
      </c>
      <c r="L216" s="11">
        <f>Taxepunkter!L252</f>
        <v>0</v>
      </c>
    </row>
    <row r="217" spans="1:12" x14ac:dyDescent="0.25">
      <c r="A217" s="10" t="str">
        <f>Taxepunkter!A253</f>
        <v>§6.1.1</v>
      </c>
      <c r="B217" s="5" t="str">
        <f>Taxepunkter!B253</f>
        <v>Inpassering på ÅVC</v>
      </c>
      <c r="C217" s="5" t="str">
        <f>Taxepunkter!C253</f>
        <v>Verksamheter</v>
      </c>
      <c r="D217" s="5">
        <f>Taxepunkter!D253</f>
        <v>0</v>
      </c>
      <c r="E217" s="5" t="str">
        <f>Taxepunkter!E253</f>
        <v>kr/besök</v>
      </c>
      <c r="F217" s="5">
        <f>Taxepunkter!F253</f>
        <v>0</v>
      </c>
      <c r="G217" s="5" t="str">
        <f>Taxepunkter!G253</f>
        <v/>
      </c>
      <c r="H217" s="5" t="str">
        <f>Taxepunkter!H253</f>
        <v/>
      </c>
      <c r="I217" s="5" t="str">
        <f>Taxepunkter!I253</f>
        <v/>
      </c>
      <c r="J217" s="5" t="str">
        <f>Taxepunkter!J253</f>
        <v/>
      </c>
      <c r="K217" s="5">
        <f>Taxepunkter!K253</f>
        <v>0</v>
      </c>
      <c r="L217" s="11">
        <f>Taxepunkter!L253</f>
        <v>0</v>
      </c>
    </row>
    <row r="218" spans="1:12" x14ac:dyDescent="0.25">
      <c r="A218" s="10" t="str">
        <f>Taxepunkter!A254</f>
        <v>§6.1.1</v>
      </c>
      <c r="B218" s="5" t="str">
        <f>Taxepunkter!B254</f>
        <v>Inpassering på ÅVC</v>
      </c>
      <c r="C218" s="5" t="str">
        <f>Taxepunkter!C254</f>
        <v>Övriga abonnemangstyper</v>
      </c>
      <c r="D218" s="5">
        <f>Taxepunkter!D254</f>
        <v>0</v>
      </c>
      <c r="E218" s="5" t="str">
        <f>Taxepunkter!E254</f>
        <v>kr/besök</v>
      </c>
      <c r="F218" s="5">
        <f>Taxepunkter!F254</f>
        <v>0</v>
      </c>
      <c r="G218" s="5" t="str">
        <f>Taxepunkter!G254</f>
        <v/>
      </c>
      <c r="H218" s="5" t="str">
        <f>Taxepunkter!H254</f>
        <v/>
      </c>
      <c r="I218" s="5" t="str">
        <f>Taxepunkter!I254</f>
        <v/>
      </c>
      <c r="J218" s="5" t="str">
        <f>Taxepunkter!J254</f>
        <v/>
      </c>
      <c r="K218" s="5">
        <f>Taxepunkter!K254</f>
        <v>0</v>
      </c>
      <c r="L218" s="11">
        <f>Taxepunkter!L254</f>
        <v>0</v>
      </c>
    </row>
    <row r="219" spans="1:12" x14ac:dyDescent="0.25">
      <c r="A219" s="10" t="str">
        <f>Taxepunkter!A255</f>
        <v>§6.1.1</v>
      </c>
      <c r="B219" s="5" t="str">
        <f>Taxepunkter!B255</f>
        <v>Inpassering på ÅVC</v>
      </c>
      <c r="C219" s="5" t="str">
        <f>Taxepunkter!C255</f>
        <v>Vågkort</v>
      </c>
      <c r="D219" s="5">
        <f>Taxepunkter!D255</f>
        <v>0</v>
      </c>
      <c r="E219" s="5" t="str">
        <f>Taxepunkter!E255</f>
        <v>kr/besök</v>
      </c>
      <c r="F219" s="5">
        <f>Taxepunkter!F255</f>
        <v>0</v>
      </c>
      <c r="G219" s="5" t="str">
        <f>Taxepunkter!G255</f>
        <v/>
      </c>
      <c r="H219" s="5" t="str">
        <f>Taxepunkter!H255</f>
        <v/>
      </c>
      <c r="I219" s="5" t="str">
        <f>Taxepunkter!I255</f>
        <v/>
      </c>
      <c r="J219" s="5" t="str">
        <f>Taxepunkter!J255</f>
        <v/>
      </c>
      <c r="K219" s="5">
        <f>Taxepunkter!K255</f>
        <v>0</v>
      </c>
      <c r="L219" s="11">
        <f>Taxepunkter!L255</f>
        <v>0</v>
      </c>
    </row>
    <row r="220" spans="1:12" x14ac:dyDescent="0.25">
      <c r="A220" s="10" t="str">
        <f>Taxepunkter!A256</f>
        <v>§6.1.1</v>
      </c>
      <c r="B220" s="5" t="str">
        <f>Taxepunkter!B256</f>
        <v>Inpassering på ÅVC</v>
      </c>
      <c r="C220" s="5" t="str">
        <f>Taxepunkter!C256</f>
        <v>Borttappat vågkort</v>
      </c>
      <c r="D220" s="5">
        <f>Taxepunkter!D256</f>
        <v>0</v>
      </c>
      <c r="E220" s="5" t="str">
        <f>Taxepunkter!E256</f>
        <v>kr/besök</v>
      </c>
      <c r="F220" s="5">
        <f>Taxepunkter!F256</f>
        <v>0</v>
      </c>
      <c r="G220" s="5" t="str">
        <f>Taxepunkter!G256</f>
        <v/>
      </c>
      <c r="H220" s="5" t="str">
        <f>Taxepunkter!H256</f>
        <v/>
      </c>
      <c r="I220" s="5" t="str">
        <f>Taxepunkter!I256</f>
        <v/>
      </c>
      <c r="J220" s="5" t="str">
        <f>Taxepunkter!J256</f>
        <v/>
      </c>
      <c r="K220" s="5">
        <f>Taxepunkter!K256</f>
        <v>0</v>
      </c>
      <c r="L220" s="11">
        <f>Taxepunkter!L256</f>
        <v>0</v>
      </c>
    </row>
    <row r="221" spans="1:12" x14ac:dyDescent="0.25">
      <c r="A221" s="10" t="str">
        <f>Taxepunkter!A257</f>
        <v>§6.1.1</v>
      </c>
      <c r="B221" s="5">
        <f>Taxepunkter!B257</f>
        <v>0</v>
      </c>
      <c r="C221" s="5">
        <f>Taxepunkter!C257</f>
        <v>0</v>
      </c>
      <c r="D221" s="5">
        <f>Taxepunkter!D257</f>
        <v>0</v>
      </c>
      <c r="E221" s="5">
        <f>Taxepunkter!E257</f>
        <v>0</v>
      </c>
      <c r="F221" s="5">
        <f>Taxepunkter!F257</f>
        <v>0</v>
      </c>
      <c r="G221" s="5" t="str">
        <f>Taxepunkter!G257</f>
        <v/>
      </c>
      <c r="H221" s="5" t="str">
        <f>Taxepunkter!H257</f>
        <v/>
      </c>
      <c r="I221" s="5" t="str">
        <f>Taxepunkter!I257</f>
        <v/>
      </c>
      <c r="J221" s="5" t="str">
        <f>Taxepunkter!J257</f>
        <v/>
      </c>
      <c r="K221" s="5">
        <f>Taxepunkter!K257</f>
        <v>0</v>
      </c>
      <c r="L221" s="11">
        <f>Taxepunkter!L257</f>
        <v>0</v>
      </c>
    </row>
    <row r="222" spans="1:12" x14ac:dyDescent="0.25">
      <c r="A222" s="10" t="str">
        <f>Taxepunkter!A258</f>
        <v>§6.1.2 Hanteringsavgifter för avfall inlämnat på återvinningscentral</v>
      </c>
      <c r="B222" s="5">
        <f>Taxepunkter!B258</f>
        <v>0</v>
      </c>
      <c r="C222" s="5">
        <f>Taxepunkter!C258</f>
        <v>0</v>
      </c>
      <c r="D222" s="5">
        <f>Taxepunkter!D258</f>
        <v>0</v>
      </c>
      <c r="E222" s="5">
        <f>Taxepunkter!E258</f>
        <v>0</v>
      </c>
      <c r="F222" s="5">
        <f>Taxepunkter!F258</f>
        <v>0</v>
      </c>
      <c r="G222" s="5" t="str">
        <f>Taxepunkter!G258</f>
        <v/>
      </c>
      <c r="H222" s="5" t="str">
        <f>Taxepunkter!H258</f>
        <v/>
      </c>
      <c r="I222" s="5" t="str">
        <f>Taxepunkter!I258</f>
        <v/>
      </c>
      <c r="J222" s="5" t="str">
        <f>Taxepunkter!J258</f>
        <v/>
      </c>
      <c r="K222" s="5">
        <f>Taxepunkter!K258</f>
        <v>0</v>
      </c>
      <c r="L222" s="11">
        <f>Taxepunkter!L258</f>
        <v>0</v>
      </c>
    </row>
    <row r="223" spans="1:12" x14ac:dyDescent="0.25">
      <c r="A223" s="10" t="str">
        <f>Taxepunkter!A259</f>
        <v>§6.1.2</v>
      </c>
      <c r="B223" s="5" t="str">
        <f>Taxepunkter!B259</f>
        <v>Hanteringsavgifter för avfall inlämnat på återvinningscentral</v>
      </c>
      <c r="C223" s="5" t="str">
        <f>Taxepunkter!C259</f>
        <v>Avfall till energiåtervinning (&lt;20x20x80cm)</v>
      </c>
      <c r="D223" s="5">
        <f>Taxepunkter!D259</f>
        <v>0</v>
      </c>
      <c r="E223" s="5" t="str">
        <f>Taxepunkter!E259</f>
        <v>kr/ton</v>
      </c>
      <c r="F223" s="5">
        <f>Taxepunkter!F259</f>
        <v>0</v>
      </c>
      <c r="G223" s="5" t="str">
        <f>Taxepunkter!G259</f>
        <v/>
      </c>
      <c r="H223" s="5" t="str">
        <f>Taxepunkter!H259</f>
        <v/>
      </c>
      <c r="I223" s="5" t="str">
        <f>Taxepunkter!I259</f>
        <v/>
      </c>
      <c r="J223" s="5" t="str">
        <f>Taxepunkter!J259</f>
        <v/>
      </c>
      <c r="K223" s="5">
        <f>Taxepunkter!K259</f>
        <v>0</v>
      </c>
      <c r="L223" s="11">
        <f>Taxepunkter!L259</f>
        <v>0</v>
      </c>
    </row>
    <row r="224" spans="1:12" x14ac:dyDescent="0.25">
      <c r="A224" s="10" t="str">
        <f>Taxepunkter!A260</f>
        <v>§6.1.2</v>
      </c>
      <c r="B224" s="5" t="str">
        <f>Taxepunkter!B260</f>
        <v>Hanteringsavgifter för avfall inlämnat på återvinningscentral</v>
      </c>
      <c r="C224" s="5" t="str">
        <f>Taxepunkter!C260</f>
        <v>Skrymmande avfall till energiåtervinning (&gt;20x20x80cm)</v>
      </c>
      <c r="D224" s="5">
        <f>Taxepunkter!D260</f>
        <v>0</v>
      </c>
      <c r="E224" s="5" t="str">
        <f>Taxepunkter!E260</f>
        <v>kr/ton</v>
      </c>
      <c r="F224" s="5">
        <f>Taxepunkter!F260</f>
        <v>0</v>
      </c>
      <c r="G224" s="5" t="str">
        <f>Taxepunkter!G260</f>
        <v/>
      </c>
      <c r="H224" s="5" t="str">
        <f>Taxepunkter!H260</f>
        <v/>
      </c>
      <c r="I224" s="5" t="str">
        <f>Taxepunkter!I260</f>
        <v/>
      </c>
      <c r="J224" s="5" t="str">
        <f>Taxepunkter!J260</f>
        <v/>
      </c>
      <c r="K224" s="5">
        <f>Taxepunkter!K260</f>
        <v>0</v>
      </c>
      <c r="L224" s="11">
        <f>Taxepunkter!L260</f>
        <v>0</v>
      </c>
    </row>
    <row r="225" spans="1:12" x14ac:dyDescent="0.25">
      <c r="A225" s="10" t="str">
        <f>Taxepunkter!A261</f>
        <v>§6.1.2</v>
      </c>
      <c r="B225" s="5" t="str">
        <f>Taxepunkter!B261</f>
        <v>Hanteringsavgifter för avfall inlämnat på återvinningscentral</v>
      </c>
      <c r="C225" s="5" t="str">
        <f>Taxepunkter!C261</f>
        <v>Material till sortering (ej innehålla farligt avfall och elavfall)</v>
      </c>
      <c r="D225" s="5">
        <f>Taxepunkter!D261</f>
        <v>0</v>
      </c>
      <c r="E225" s="5" t="str">
        <f>Taxepunkter!E261</f>
        <v>kr/ton</v>
      </c>
      <c r="F225" s="5">
        <f>Taxepunkter!F261</f>
        <v>0</v>
      </c>
      <c r="G225" s="5" t="str">
        <f>Taxepunkter!G261</f>
        <v/>
      </c>
      <c r="H225" s="5" t="str">
        <f>Taxepunkter!H261</f>
        <v/>
      </c>
      <c r="I225" s="5" t="str">
        <f>Taxepunkter!I261</f>
        <v/>
      </c>
      <c r="J225" s="5" t="str">
        <f>Taxepunkter!J261</f>
        <v/>
      </c>
      <c r="K225" s="5">
        <f>Taxepunkter!K261</f>
        <v>0</v>
      </c>
      <c r="L225" s="11">
        <f>Taxepunkter!L261</f>
        <v>0</v>
      </c>
    </row>
    <row r="226" spans="1:12" x14ac:dyDescent="0.25">
      <c r="A226" s="10" t="str">
        <f>Taxepunkter!A262</f>
        <v>§6.1.2</v>
      </c>
      <c r="B226" s="5" t="str">
        <f>Taxepunkter!B262</f>
        <v>Hanteringsavgifter för avfall inlämnat på återvinningscentral</v>
      </c>
      <c r="C226" s="5" t="str">
        <f>Taxepunkter!C262</f>
        <v>Träavfall – obehandlat, utan tapet, plastmatta, tjärpapp</v>
      </c>
      <c r="D226" s="5">
        <f>Taxepunkter!D262</f>
        <v>0</v>
      </c>
      <c r="E226" s="5" t="str">
        <f>Taxepunkter!E262</f>
        <v>kr/ton</v>
      </c>
      <c r="F226" s="5">
        <f>Taxepunkter!F262</f>
        <v>0</v>
      </c>
      <c r="G226" s="5" t="str">
        <f>Taxepunkter!G262</f>
        <v/>
      </c>
      <c r="H226" s="5" t="str">
        <f>Taxepunkter!H262</f>
        <v/>
      </c>
      <c r="I226" s="5" t="str">
        <f>Taxepunkter!I262</f>
        <v/>
      </c>
      <c r="J226" s="5" t="str">
        <f>Taxepunkter!J262</f>
        <v/>
      </c>
      <c r="K226" s="5">
        <f>Taxepunkter!K262</f>
        <v>0</v>
      </c>
      <c r="L226" s="11">
        <f>Taxepunkter!L262</f>
        <v>0</v>
      </c>
    </row>
    <row r="227" spans="1:12" x14ac:dyDescent="0.25">
      <c r="A227" s="10" t="str">
        <f>Taxepunkter!A263</f>
        <v>§6.1.2</v>
      </c>
      <c r="B227" s="5" t="str">
        <f>Taxepunkter!B263</f>
        <v>Hanteringsavgifter för avfall inlämnat på återvinningscentral</v>
      </c>
      <c r="C227" s="5" t="str">
        <f>Taxepunkter!C263</f>
        <v>Träavfall – behandlat, utan tapet, plastmatta, tjärpapp</v>
      </c>
      <c r="D227" s="5">
        <f>Taxepunkter!D263</f>
        <v>0</v>
      </c>
      <c r="E227" s="5" t="str">
        <f>Taxepunkter!E263</f>
        <v>kr/ton</v>
      </c>
      <c r="F227" s="5">
        <f>Taxepunkter!F263</f>
        <v>0</v>
      </c>
      <c r="G227" s="5" t="str">
        <f>Taxepunkter!G263</f>
        <v/>
      </c>
      <c r="H227" s="5" t="str">
        <f>Taxepunkter!H263</f>
        <v/>
      </c>
      <c r="I227" s="5" t="str">
        <f>Taxepunkter!I263</f>
        <v/>
      </c>
      <c r="J227" s="5" t="str">
        <f>Taxepunkter!J263</f>
        <v/>
      </c>
      <c r="K227" s="5">
        <f>Taxepunkter!K263</f>
        <v>0</v>
      </c>
      <c r="L227" s="11">
        <f>Taxepunkter!L263</f>
        <v>0</v>
      </c>
    </row>
    <row r="228" spans="1:12" x14ac:dyDescent="0.25">
      <c r="A228" s="10" t="str">
        <f>Taxepunkter!A264</f>
        <v>§6.1.2</v>
      </c>
      <c r="B228" s="5" t="str">
        <f>Taxepunkter!B264</f>
        <v>Hanteringsavgifter för avfall inlämnat på återvinningscentral</v>
      </c>
      <c r="C228" s="5" t="str">
        <f>Taxepunkter!C264</f>
        <v>Tryckimpregnerat trä (inkl pall)</v>
      </c>
      <c r="D228" s="5">
        <f>Taxepunkter!D264</f>
        <v>0</v>
      </c>
      <c r="E228" s="5" t="str">
        <f>Taxepunkter!E264</f>
        <v>kr/ton</v>
      </c>
      <c r="F228" s="5">
        <f>Taxepunkter!F264</f>
        <v>0</v>
      </c>
      <c r="G228" s="5" t="str">
        <f>Taxepunkter!G264</f>
        <v/>
      </c>
      <c r="H228" s="5" t="str">
        <f>Taxepunkter!H264</f>
        <v/>
      </c>
      <c r="I228" s="5" t="str">
        <f>Taxepunkter!I264</f>
        <v/>
      </c>
      <c r="J228" s="5" t="str">
        <f>Taxepunkter!J264</f>
        <v/>
      </c>
      <c r="K228" s="5">
        <f>Taxepunkter!K264</f>
        <v>0</v>
      </c>
      <c r="L228" s="11">
        <f>Taxepunkter!L264</f>
        <v>0</v>
      </c>
    </row>
    <row r="229" spans="1:12" x14ac:dyDescent="0.25">
      <c r="A229" s="10" t="str">
        <f>Taxepunkter!A265</f>
        <v>§6.1.2</v>
      </c>
      <c r="B229" s="5" t="str">
        <f>Taxepunkter!B265</f>
        <v>Hanteringsavgifter för avfall inlämnat på återvinningscentral</v>
      </c>
      <c r="C229" s="5" t="str">
        <f>Taxepunkter!C265</f>
        <v>Klinker, porslin</v>
      </c>
      <c r="D229" s="5">
        <f>Taxepunkter!D265</f>
        <v>0</v>
      </c>
      <c r="E229" s="5" t="str">
        <f>Taxepunkter!E265</f>
        <v>kr/ton</v>
      </c>
      <c r="F229" s="5">
        <f>Taxepunkter!F265</f>
        <v>0</v>
      </c>
      <c r="G229" s="5" t="str">
        <f>Taxepunkter!G265</f>
        <v/>
      </c>
      <c r="H229" s="5" t="str">
        <f>Taxepunkter!H265</f>
        <v/>
      </c>
      <c r="I229" s="5" t="str">
        <f>Taxepunkter!I265</f>
        <v/>
      </c>
      <c r="J229" s="5" t="str">
        <f>Taxepunkter!J265</f>
        <v/>
      </c>
      <c r="K229" s="5">
        <f>Taxepunkter!K265</f>
        <v>0</v>
      </c>
      <c r="L229" s="11">
        <f>Taxepunkter!L265</f>
        <v>0</v>
      </c>
    </row>
    <row r="230" spans="1:12" x14ac:dyDescent="0.25">
      <c r="A230" s="10" t="str">
        <f>Taxepunkter!A266</f>
        <v>§6.1.2</v>
      </c>
      <c r="B230" s="5" t="str">
        <f>Taxepunkter!B266</f>
        <v>Hanteringsavgifter för avfall inlämnat på återvinningscentral</v>
      </c>
      <c r="C230" s="5" t="str">
        <f>Taxepunkter!C266</f>
        <v>Gips</v>
      </c>
      <c r="D230" s="5">
        <f>Taxepunkter!D266</f>
        <v>0</v>
      </c>
      <c r="E230" s="5" t="str">
        <f>Taxepunkter!E266</f>
        <v>kr/ton</v>
      </c>
      <c r="F230" s="5">
        <f>Taxepunkter!F266</f>
        <v>0</v>
      </c>
      <c r="G230" s="5" t="str">
        <f>Taxepunkter!G266</f>
        <v/>
      </c>
      <c r="H230" s="5" t="str">
        <f>Taxepunkter!H266</f>
        <v/>
      </c>
      <c r="I230" s="5" t="str">
        <f>Taxepunkter!I266</f>
        <v/>
      </c>
      <c r="J230" s="5" t="str">
        <f>Taxepunkter!J266</f>
        <v/>
      </c>
      <c r="K230" s="5">
        <f>Taxepunkter!K266</f>
        <v>0</v>
      </c>
      <c r="L230" s="11">
        <f>Taxepunkter!L266</f>
        <v>0</v>
      </c>
    </row>
    <row r="231" spans="1:12" x14ac:dyDescent="0.25">
      <c r="A231" s="10" t="str">
        <f>Taxepunkter!A267</f>
        <v>§6.1.2</v>
      </c>
      <c r="B231" s="5" t="str">
        <f>Taxepunkter!B267</f>
        <v>Hanteringsavgifter för avfall inlämnat på återvinningscentral</v>
      </c>
      <c r="C231" s="5" t="str">
        <f>Taxepunkter!C267</f>
        <v>Tegel</v>
      </c>
      <c r="D231" s="5">
        <f>Taxepunkter!D267</f>
        <v>0</v>
      </c>
      <c r="E231" s="5" t="str">
        <f>Taxepunkter!E267</f>
        <v>kr/ton</v>
      </c>
      <c r="F231" s="5">
        <f>Taxepunkter!F267</f>
        <v>0</v>
      </c>
      <c r="G231" s="5" t="str">
        <f>Taxepunkter!G267</f>
        <v/>
      </c>
      <c r="H231" s="5" t="str">
        <f>Taxepunkter!H267</f>
        <v/>
      </c>
      <c r="I231" s="5" t="str">
        <f>Taxepunkter!I267</f>
        <v/>
      </c>
      <c r="J231" s="5" t="str">
        <f>Taxepunkter!J267</f>
        <v/>
      </c>
      <c r="K231" s="5">
        <f>Taxepunkter!K267</f>
        <v>0</v>
      </c>
      <c r="L231" s="11">
        <f>Taxepunkter!L267</f>
        <v>0</v>
      </c>
    </row>
    <row r="232" spans="1:12" x14ac:dyDescent="0.25">
      <c r="A232" s="10" t="str">
        <f>Taxepunkter!A268</f>
        <v>§6.1.2</v>
      </c>
      <c r="B232" s="5" t="str">
        <f>Taxepunkter!B268</f>
        <v>Hanteringsavgifter för avfall inlämnat på återvinningscentral</v>
      </c>
      <c r="C232" s="5" t="str">
        <f>Taxepunkter!C268</f>
        <v>Planglas (fönster utan karm)</v>
      </c>
      <c r="D232" s="5">
        <f>Taxepunkter!D268</f>
        <v>0</v>
      </c>
      <c r="E232" s="5" t="str">
        <f>Taxepunkter!E268</f>
        <v>kr/ton</v>
      </c>
      <c r="F232" s="5">
        <f>Taxepunkter!F268</f>
        <v>0</v>
      </c>
      <c r="G232" s="5" t="str">
        <f>Taxepunkter!G268</f>
        <v/>
      </c>
      <c r="H232" s="5" t="str">
        <f>Taxepunkter!H268</f>
        <v/>
      </c>
      <c r="I232" s="5" t="str">
        <f>Taxepunkter!I268</f>
        <v/>
      </c>
      <c r="J232" s="5" t="str">
        <f>Taxepunkter!J268</f>
        <v/>
      </c>
      <c r="K232" s="5">
        <f>Taxepunkter!K268</f>
        <v>0</v>
      </c>
      <c r="L232" s="11">
        <f>Taxepunkter!L268</f>
        <v>0</v>
      </c>
    </row>
    <row r="233" spans="1:12" x14ac:dyDescent="0.25">
      <c r="A233" s="10" t="str">
        <f>Taxepunkter!A269</f>
        <v>§6.1.2</v>
      </c>
      <c r="B233" s="5" t="str">
        <f>Taxepunkter!B269</f>
        <v>Hanteringsavgifter för avfall inlämnat på återvinningscentral</v>
      </c>
      <c r="C233" s="5" t="str">
        <f>Taxepunkter!C269</f>
        <v>Fönster med karm</v>
      </c>
      <c r="D233" s="5">
        <f>Taxepunkter!D269</f>
        <v>0</v>
      </c>
      <c r="E233" s="5" t="str">
        <f>Taxepunkter!E269</f>
        <v>kr/ton</v>
      </c>
      <c r="F233" s="5">
        <f>Taxepunkter!F269</f>
        <v>0</v>
      </c>
      <c r="G233" s="5" t="str">
        <f>Taxepunkter!G269</f>
        <v/>
      </c>
      <c r="H233" s="5" t="str">
        <f>Taxepunkter!H269</f>
        <v/>
      </c>
      <c r="I233" s="5" t="str">
        <f>Taxepunkter!I269</f>
        <v/>
      </c>
      <c r="J233" s="5" t="str">
        <f>Taxepunkter!J269</f>
        <v/>
      </c>
      <c r="K233" s="5">
        <f>Taxepunkter!K269</f>
        <v>0</v>
      </c>
      <c r="L233" s="11">
        <f>Taxepunkter!L269</f>
        <v>0</v>
      </c>
    </row>
    <row r="234" spans="1:12" x14ac:dyDescent="0.25">
      <c r="A234" s="10" t="str">
        <f>Taxepunkter!A270</f>
        <v>§6.1.2</v>
      </c>
      <c r="B234" s="5" t="str">
        <f>Taxepunkter!B270</f>
        <v>Hanteringsavgifter för avfall inlämnat på återvinningscentral</v>
      </c>
      <c r="C234" s="5" t="str">
        <f>Taxepunkter!C270</f>
        <v>Isolering utan innehåll av asbest</v>
      </c>
      <c r="D234" s="5">
        <f>Taxepunkter!D270</f>
        <v>0</v>
      </c>
      <c r="E234" s="5" t="str">
        <f>Taxepunkter!E270</f>
        <v>kr/ton</v>
      </c>
      <c r="F234" s="5">
        <f>Taxepunkter!F270</f>
        <v>0</v>
      </c>
      <c r="G234" s="5" t="str">
        <f>Taxepunkter!G270</f>
        <v/>
      </c>
      <c r="H234" s="5" t="str">
        <f>Taxepunkter!H270</f>
        <v/>
      </c>
      <c r="I234" s="5" t="str">
        <f>Taxepunkter!I270</f>
        <v/>
      </c>
      <c r="J234" s="5" t="str">
        <f>Taxepunkter!J270</f>
        <v/>
      </c>
      <c r="K234" s="5">
        <f>Taxepunkter!K270</f>
        <v>0</v>
      </c>
      <c r="L234" s="11">
        <f>Taxepunkter!L270</f>
        <v>0</v>
      </c>
    </row>
    <row r="235" spans="1:12" x14ac:dyDescent="0.25">
      <c r="A235" s="10" t="str">
        <f>Taxepunkter!A271</f>
        <v>§6.1.2</v>
      </c>
      <c r="B235" s="5" t="str">
        <f>Taxepunkter!B271</f>
        <v>Hanteringsavgifter för avfall inlämnat på återvinningscentral</v>
      </c>
      <c r="C235" s="5" t="str">
        <f>Taxepunkter!C271</f>
        <v>Metallskrot rent</v>
      </c>
      <c r="D235" s="5">
        <f>Taxepunkter!D271</f>
        <v>0</v>
      </c>
      <c r="E235" s="5" t="str">
        <f>Taxepunkter!E271</f>
        <v>kr/ton</v>
      </c>
      <c r="F235" s="5">
        <f>Taxepunkter!F271</f>
        <v>0</v>
      </c>
      <c r="G235" s="5" t="str">
        <f>Taxepunkter!G271</f>
        <v/>
      </c>
      <c r="H235" s="5" t="str">
        <f>Taxepunkter!H271</f>
        <v/>
      </c>
      <c r="I235" s="5" t="str">
        <f>Taxepunkter!I271</f>
        <v/>
      </c>
      <c r="J235" s="5" t="str">
        <f>Taxepunkter!J271</f>
        <v/>
      </c>
      <c r="K235" s="5">
        <f>Taxepunkter!K271</f>
        <v>0</v>
      </c>
      <c r="L235" s="11">
        <f>Taxepunkter!L271</f>
        <v>0</v>
      </c>
    </row>
    <row r="236" spans="1:12" x14ac:dyDescent="0.25">
      <c r="A236" s="10" t="str">
        <f>Taxepunkter!A272</f>
        <v>§6.1.2</v>
      </c>
      <c r="B236" s="5" t="str">
        <f>Taxepunkter!B272</f>
        <v>Hanteringsavgifter för avfall inlämnat på återvinningscentral</v>
      </c>
      <c r="C236" s="5" t="str">
        <f>Taxepunkter!C272</f>
        <v>Trädgårdsavfall</v>
      </c>
      <c r="D236" s="5">
        <f>Taxepunkter!D272</f>
        <v>0</v>
      </c>
      <c r="E236" s="5" t="str">
        <f>Taxepunkter!E272</f>
        <v>kr/ton</v>
      </c>
      <c r="F236" s="5">
        <f>Taxepunkter!F272</f>
        <v>0</v>
      </c>
      <c r="G236" s="5" t="str">
        <f>Taxepunkter!G272</f>
        <v/>
      </c>
      <c r="H236" s="5" t="str">
        <f>Taxepunkter!H272</f>
        <v/>
      </c>
      <c r="I236" s="5" t="str">
        <f>Taxepunkter!I272</f>
        <v/>
      </c>
      <c r="J236" s="5" t="str">
        <f>Taxepunkter!J272</f>
        <v/>
      </c>
      <c r="K236" s="5">
        <f>Taxepunkter!K272</f>
        <v>0</v>
      </c>
      <c r="L236" s="11">
        <f>Taxepunkter!L272</f>
        <v>0</v>
      </c>
    </row>
    <row r="237" spans="1:12" x14ac:dyDescent="0.25">
      <c r="A237" s="10" t="str">
        <f>Taxepunkter!A273</f>
        <v>§6.1.2</v>
      </c>
      <c r="B237" s="5" t="str">
        <f>Taxepunkter!B273</f>
        <v>Hanteringsavgifter för avfall inlämnat på återvinningscentral</v>
      </c>
      <c r="C237" s="5" t="str">
        <f>Taxepunkter!C273</f>
        <v>Kvistar och grenar</v>
      </c>
      <c r="D237" s="5">
        <f>Taxepunkter!D273</f>
        <v>0</v>
      </c>
      <c r="E237" s="5" t="str">
        <f>Taxepunkter!E273</f>
        <v>kr/ton</v>
      </c>
      <c r="F237" s="5">
        <f>Taxepunkter!F273</f>
        <v>0</v>
      </c>
      <c r="G237" s="5" t="str">
        <f>Taxepunkter!G273</f>
        <v/>
      </c>
      <c r="H237" s="5" t="str">
        <f>Taxepunkter!H273</f>
        <v/>
      </c>
      <c r="I237" s="5" t="str">
        <f>Taxepunkter!I273</f>
        <v/>
      </c>
      <c r="J237" s="5" t="str">
        <f>Taxepunkter!J273</f>
        <v/>
      </c>
      <c r="K237" s="5">
        <f>Taxepunkter!K273</f>
        <v>0</v>
      </c>
      <c r="L237" s="11">
        <f>Taxepunkter!L273</f>
        <v>0</v>
      </c>
    </row>
    <row r="238" spans="1:12" x14ac:dyDescent="0.25">
      <c r="A238" s="10" t="str">
        <f>Taxepunkter!A274</f>
        <v>§6.1.2</v>
      </c>
      <c r="B238" s="5" t="str">
        <f>Taxepunkter!B274</f>
        <v>Hanteringsavgifter för avfall inlämnat på återvinningscentral</v>
      </c>
      <c r="C238" s="5" t="str">
        <f>Taxepunkter!C274</f>
        <v>Jord och sten</v>
      </c>
      <c r="D238" s="5">
        <f>Taxepunkter!D274</f>
        <v>0</v>
      </c>
      <c r="E238" s="5" t="str">
        <f>Taxepunkter!E274</f>
        <v>kr/ton</v>
      </c>
      <c r="F238" s="5">
        <f>Taxepunkter!F274</f>
        <v>0</v>
      </c>
      <c r="G238" s="5" t="str">
        <f>Taxepunkter!G274</f>
        <v/>
      </c>
      <c r="H238" s="5" t="str">
        <f>Taxepunkter!H274</f>
        <v/>
      </c>
      <c r="I238" s="5" t="str">
        <f>Taxepunkter!I274</f>
        <v/>
      </c>
      <c r="J238" s="5" t="str">
        <f>Taxepunkter!J274</f>
        <v/>
      </c>
      <c r="K238" s="5">
        <f>Taxepunkter!K274</f>
        <v>0</v>
      </c>
      <c r="L238" s="11">
        <f>Taxepunkter!L274</f>
        <v>0</v>
      </c>
    </row>
    <row r="239" spans="1:12" x14ac:dyDescent="0.25">
      <c r="A239" s="10" t="str">
        <f>Taxepunkter!A275</f>
        <v>§6.1.2</v>
      </c>
      <c r="B239" s="5" t="str">
        <f>Taxepunkter!B275</f>
        <v>Hanteringsavgifter för avfall inlämnat på återvinningscentral</v>
      </c>
      <c r="C239" s="5" t="str">
        <f>Taxepunkter!C275</f>
        <v>Betong</v>
      </c>
      <c r="D239" s="5">
        <f>Taxepunkter!D275</f>
        <v>0</v>
      </c>
      <c r="E239" s="5" t="str">
        <f>Taxepunkter!E275</f>
        <v>kr/ton</v>
      </c>
      <c r="F239" s="5">
        <f>Taxepunkter!F275</f>
        <v>0</v>
      </c>
      <c r="G239" s="5" t="str">
        <f>Taxepunkter!G275</f>
        <v/>
      </c>
      <c r="H239" s="5" t="str">
        <f>Taxepunkter!H275</f>
        <v/>
      </c>
      <c r="I239" s="5" t="str">
        <f>Taxepunkter!I275</f>
        <v/>
      </c>
      <c r="J239" s="5" t="str">
        <f>Taxepunkter!J275</f>
        <v/>
      </c>
      <c r="K239" s="5">
        <f>Taxepunkter!K275</f>
        <v>0</v>
      </c>
      <c r="L239" s="11">
        <f>Taxepunkter!L275</f>
        <v>0</v>
      </c>
    </row>
    <row r="240" spans="1:12" x14ac:dyDescent="0.25">
      <c r="A240" s="10" t="str">
        <f>Taxepunkter!A276</f>
        <v>§6.1.2</v>
      </c>
      <c r="B240" s="5" t="str">
        <f>Taxepunkter!B276</f>
        <v>Hanteringsavgifter för avfall inlämnat på återvinningscentral</v>
      </c>
      <c r="C240" s="5" t="str">
        <f>Taxepunkter!C276</f>
        <v>Asbest</v>
      </c>
      <c r="D240" s="5">
        <f>Taxepunkter!D276</f>
        <v>0</v>
      </c>
      <c r="E240" s="5" t="str">
        <f>Taxepunkter!E276</f>
        <v>kr/ton</v>
      </c>
      <c r="F240" s="5">
        <f>Taxepunkter!F276</f>
        <v>0</v>
      </c>
      <c r="G240" s="5" t="str">
        <f>Taxepunkter!G276</f>
        <v/>
      </c>
      <c r="H240" s="5" t="str">
        <f>Taxepunkter!H276</f>
        <v/>
      </c>
      <c r="I240" s="5" t="str">
        <f>Taxepunkter!I276</f>
        <v/>
      </c>
      <c r="J240" s="5" t="str">
        <f>Taxepunkter!J276</f>
        <v/>
      </c>
      <c r="K240" s="5">
        <f>Taxepunkter!K276</f>
        <v>0</v>
      </c>
      <c r="L240" s="11">
        <f>Taxepunkter!L276</f>
        <v>0</v>
      </c>
    </row>
    <row r="241" spans="1:12" x14ac:dyDescent="0.25">
      <c r="A241" s="10" t="str">
        <f>Taxepunkter!A277</f>
        <v>§6.1.2</v>
      </c>
      <c r="B241" s="5" t="str">
        <f>Taxepunkter!B277</f>
        <v>Hanteringsavgifter för avfall inlämnat på återvinningscentral</v>
      </c>
      <c r="C241" s="5" t="str">
        <f>Taxepunkter!C277</f>
        <v>Elavfall producentansvar (tex lysrör, glödlampor,</v>
      </c>
      <c r="D241" s="5">
        <f>Taxepunkter!D277</f>
        <v>0</v>
      </c>
      <c r="E241" s="5" t="str">
        <f>Taxepunkter!E277</f>
        <v>kr/ton</v>
      </c>
      <c r="F241" s="5">
        <f>Taxepunkter!F277</f>
        <v>0</v>
      </c>
      <c r="G241" s="5" t="str">
        <f>Taxepunkter!G277</f>
        <v/>
      </c>
      <c r="H241" s="5" t="str">
        <f>Taxepunkter!H277</f>
        <v/>
      </c>
      <c r="I241" s="5" t="str">
        <f>Taxepunkter!I277</f>
        <v/>
      </c>
      <c r="J241" s="5" t="str">
        <f>Taxepunkter!J277</f>
        <v/>
      </c>
      <c r="K241" s="5">
        <f>Taxepunkter!K277</f>
        <v>0</v>
      </c>
      <c r="L241" s="11">
        <f>Taxepunkter!L277</f>
        <v>0</v>
      </c>
    </row>
    <row r="242" spans="1:12" x14ac:dyDescent="0.25">
      <c r="A242" s="10" t="str">
        <f>Taxepunkter!A278</f>
        <v>§6.1.2</v>
      </c>
      <c r="B242" s="5" t="str">
        <f>Taxepunkter!B278</f>
        <v>Hanteringsavgifter för avfall inlämnat på återvinningscentral</v>
      </c>
      <c r="C242" s="5" t="str">
        <f>Taxepunkter!C278</f>
        <v>kylsklåp/frys av hushållsmodell)</v>
      </c>
      <c r="D242" s="5">
        <f>Taxepunkter!D278</f>
        <v>0</v>
      </c>
      <c r="E242" s="5" t="str">
        <f>Taxepunkter!E278</f>
        <v>kr/ton</v>
      </c>
      <c r="F242" s="5">
        <f>Taxepunkter!F278</f>
        <v>0</v>
      </c>
      <c r="G242" s="5" t="str">
        <f>Taxepunkter!G278</f>
        <v/>
      </c>
      <c r="H242" s="5" t="str">
        <f>Taxepunkter!H278</f>
        <v/>
      </c>
      <c r="I242" s="5" t="str">
        <f>Taxepunkter!I278</f>
        <v/>
      </c>
      <c r="J242" s="5" t="str">
        <f>Taxepunkter!J278</f>
        <v/>
      </c>
      <c r="K242" s="5">
        <f>Taxepunkter!K278</f>
        <v>0</v>
      </c>
      <c r="L242" s="11">
        <f>Taxepunkter!L278</f>
        <v>0</v>
      </c>
    </row>
    <row r="243" spans="1:12" x14ac:dyDescent="0.25">
      <c r="A243" s="10" t="str">
        <f>Taxepunkter!A279</f>
        <v>§6.1.2</v>
      </c>
      <c r="B243" s="5" t="str">
        <f>Taxepunkter!B279</f>
        <v>Hanteringsavgifter för avfall inlämnat på återvinningscentral</v>
      </c>
      <c r="C243" s="5" t="str">
        <f>Taxepunkter!C279</f>
        <v>Elavfall ej producentansvar (tex ventillationsfläkt, kyldisk)</v>
      </c>
      <c r="D243" s="5">
        <f>Taxepunkter!D279</f>
        <v>0</v>
      </c>
      <c r="E243" s="5" t="str">
        <f>Taxepunkter!E279</f>
        <v>kr/ton</v>
      </c>
      <c r="F243" s="5">
        <f>Taxepunkter!F279</f>
        <v>0</v>
      </c>
      <c r="G243" s="5" t="str">
        <f>Taxepunkter!G279</f>
        <v/>
      </c>
      <c r="H243" s="5" t="str">
        <f>Taxepunkter!H279</f>
        <v/>
      </c>
      <c r="I243" s="5" t="str">
        <f>Taxepunkter!I279</f>
        <v/>
      </c>
      <c r="J243" s="5" t="str">
        <f>Taxepunkter!J279</f>
        <v/>
      </c>
      <c r="K243" s="5">
        <f>Taxepunkter!K279</f>
        <v>0</v>
      </c>
      <c r="L243" s="11">
        <f>Taxepunkter!L279</f>
        <v>0</v>
      </c>
    </row>
    <row r="244" spans="1:12" x14ac:dyDescent="0.25">
      <c r="A244" s="10" t="str">
        <f>Taxepunkter!A280</f>
        <v>§6.1.2</v>
      </c>
      <c r="B244" s="5" t="str">
        <f>Taxepunkter!B280</f>
        <v>Hanteringsavgifter för avfall inlämnat på återvinningscentral</v>
      </c>
      <c r="C244" s="5" t="str">
        <f>Taxepunkter!C280</f>
        <v>Blandat avfall för sortering på ramp (max 2 m3)</v>
      </c>
      <c r="D244" s="5">
        <f>Taxepunkter!D280</f>
        <v>0</v>
      </c>
      <c r="E244" s="5" t="str">
        <f>Taxepunkter!E280</f>
        <v>kr/fordon</v>
      </c>
      <c r="F244" s="5">
        <f>Taxepunkter!F280</f>
        <v>0</v>
      </c>
      <c r="G244" s="5" t="str">
        <f>Taxepunkter!G280</f>
        <v/>
      </c>
      <c r="H244" s="5" t="str">
        <f>Taxepunkter!H280</f>
        <v/>
      </c>
      <c r="I244" s="5" t="str">
        <f>Taxepunkter!I280</f>
        <v/>
      </c>
      <c r="J244" s="5" t="str">
        <f>Taxepunkter!J280</f>
        <v/>
      </c>
      <c r="K244" s="5">
        <f>Taxepunkter!K280</f>
        <v>0</v>
      </c>
      <c r="L244" s="11">
        <f>Taxepunkter!L280</f>
        <v>0</v>
      </c>
    </row>
    <row r="245" spans="1:12" x14ac:dyDescent="0.25">
      <c r="A245" s="10" t="str">
        <f>Taxepunkter!A281</f>
        <v>§6.1.2</v>
      </c>
      <c r="B245" s="5" t="str">
        <f>Taxepunkter!B281</f>
        <v>Hanteringsavgifter för avfall inlämnat på återvinningscentral</v>
      </c>
      <c r="C245" s="5" t="str">
        <f>Taxepunkter!C281</f>
        <v>Oljehaltigt avfall (Spillolja) i dunkar mindre än 10 liter Avfallskod 20 01 26*</v>
      </c>
      <c r="D245" s="5" t="str">
        <f>Taxepunkter!D281</f>
        <v>3295</v>
      </c>
      <c r="E245" s="5" t="str">
        <f>Taxepunkter!E281</f>
        <v>Kr/l</v>
      </c>
      <c r="F245" s="5">
        <f>Taxepunkter!F281</f>
        <v>0</v>
      </c>
      <c r="G245" s="5" t="str">
        <f>Taxepunkter!G281</f>
        <v/>
      </c>
      <c r="H245" s="5" t="str">
        <f>Taxepunkter!H281</f>
        <v/>
      </c>
      <c r="I245" s="5" t="str">
        <f>Taxepunkter!I281</f>
        <v/>
      </c>
      <c r="J245" s="5" t="str">
        <f>Taxepunkter!J281</f>
        <v/>
      </c>
      <c r="K245" s="5">
        <f>Taxepunkter!K281</f>
        <v>0</v>
      </c>
      <c r="L245" s="11">
        <f>Taxepunkter!L281</f>
        <v>0</v>
      </c>
    </row>
    <row r="246" spans="1:12" x14ac:dyDescent="0.25">
      <c r="A246" s="10" t="str">
        <f>Taxepunkter!A282</f>
        <v>§6.1.2</v>
      </c>
      <c r="B246" s="5" t="str">
        <f>Taxepunkter!B282</f>
        <v>Hanteringsavgifter för avfall inlämnat på återvinningscentral</v>
      </c>
      <c r="C246" s="5" t="str">
        <f>Taxepunkter!C282</f>
        <v>Oljehaltigt avfall (Spillolja) i fat och dunkar större än 10 liter Avfallskod 20 01 26*</v>
      </c>
      <c r="D246" s="5" t="str">
        <f>Taxepunkter!D282</f>
        <v>3295</v>
      </c>
      <c r="E246" s="5" t="str">
        <f>Taxepunkter!E282</f>
        <v>Kr/l</v>
      </c>
      <c r="F246" s="5">
        <f>Taxepunkter!F282</f>
        <v>0</v>
      </c>
      <c r="G246" s="5" t="str">
        <f>Taxepunkter!G282</f>
        <v/>
      </c>
      <c r="H246" s="5" t="str">
        <f>Taxepunkter!H282</f>
        <v/>
      </c>
      <c r="I246" s="5" t="str">
        <f>Taxepunkter!I282</f>
        <v/>
      </c>
      <c r="J246" s="5" t="str">
        <f>Taxepunkter!J282</f>
        <v/>
      </c>
      <c r="K246" s="5">
        <f>Taxepunkter!K282</f>
        <v>0</v>
      </c>
      <c r="L246" s="11">
        <f>Taxepunkter!L282</f>
        <v>0</v>
      </c>
    </row>
    <row r="247" spans="1:12" x14ac:dyDescent="0.25">
      <c r="A247" s="10" t="str">
        <f>Taxepunkter!A283</f>
        <v>§6.1.2</v>
      </c>
      <c r="B247" s="5" t="str">
        <f>Taxepunkter!B283</f>
        <v>Hanteringsavgifter för avfall inlämnat på återvinningscentral</v>
      </c>
      <c r="C247" s="5" t="str">
        <f>Taxepunkter!C283</f>
        <v>Förorenad olja (ej PCB) Avfallskod 20 01 26*</v>
      </c>
      <c r="D247" s="5" t="str">
        <f>Taxepunkter!D283</f>
        <v>3295</v>
      </c>
      <c r="E247" s="5" t="str">
        <f>Taxepunkter!E283</f>
        <v>Kr/Kg</v>
      </c>
      <c r="F247" s="5">
        <f>Taxepunkter!F283</f>
        <v>0</v>
      </c>
      <c r="G247" s="5" t="str">
        <f>Taxepunkter!G283</f>
        <v/>
      </c>
      <c r="H247" s="5" t="str">
        <f>Taxepunkter!H283</f>
        <v/>
      </c>
      <c r="I247" s="5" t="str">
        <f>Taxepunkter!I283</f>
        <v/>
      </c>
      <c r="J247" s="5" t="str">
        <f>Taxepunkter!J283</f>
        <v/>
      </c>
      <c r="K247" s="5">
        <f>Taxepunkter!K283</f>
        <v>0</v>
      </c>
      <c r="L247" s="11">
        <f>Taxepunkter!L283</f>
        <v>0</v>
      </c>
    </row>
    <row r="248" spans="1:12" x14ac:dyDescent="0.25">
      <c r="A248" s="10" t="str">
        <f>Taxepunkter!A284</f>
        <v>§6.1.2</v>
      </c>
      <c r="B248" s="5" t="str">
        <f>Taxepunkter!B284</f>
        <v>Hanteringsavgifter för avfall inlämnat på återvinningscentral</v>
      </c>
      <c r="C248" s="5" t="str">
        <f>Taxepunkter!C284</f>
        <v>Förorenad olja innehållande PCB Avfallskod 13 03 01*</v>
      </c>
      <c r="D248" s="5" t="str">
        <f>Taxepunkter!D284</f>
        <v>3295</v>
      </c>
      <c r="E248" s="5" t="str">
        <f>Taxepunkter!E284</f>
        <v>Kr/Kg</v>
      </c>
      <c r="F248" s="5">
        <f>Taxepunkter!F284</f>
        <v>0</v>
      </c>
      <c r="G248" s="5" t="str">
        <f>Taxepunkter!G284</f>
        <v/>
      </c>
      <c r="H248" s="5" t="str">
        <f>Taxepunkter!H284</f>
        <v/>
      </c>
      <c r="I248" s="5" t="str">
        <f>Taxepunkter!I284</f>
        <v/>
      </c>
      <c r="J248" s="5" t="str">
        <f>Taxepunkter!J284</f>
        <v/>
      </c>
      <c r="K248" s="5">
        <f>Taxepunkter!K284</f>
        <v>0</v>
      </c>
      <c r="L248" s="11">
        <f>Taxepunkter!L284</f>
        <v>0</v>
      </c>
    </row>
    <row r="249" spans="1:12" x14ac:dyDescent="0.25">
      <c r="A249" s="10" t="str">
        <f>Taxepunkter!A285</f>
        <v>§6.1.2</v>
      </c>
      <c r="B249" s="5" t="str">
        <f>Taxepunkter!B285</f>
        <v>Hanteringsavgifter för avfall inlämnat på återvinningscentral</v>
      </c>
      <c r="C249" s="5" t="str">
        <f>Taxepunkter!C285</f>
        <v>Bensinrester Avfallskod 13 07 02*</v>
      </c>
      <c r="D249" s="5" t="str">
        <f>Taxepunkter!D285</f>
        <v>1203</v>
      </c>
      <c r="E249" s="5" t="str">
        <f>Taxepunkter!E285</f>
        <v>Kr/Kg</v>
      </c>
      <c r="F249" s="5">
        <f>Taxepunkter!F285</f>
        <v>0</v>
      </c>
      <c r="G249" s="5" t="str">
        <f>Taxepunkter!G285</f>
        <v/>
      </c>
      <c r="H249" s="5" t="str">
        <f>Taxepunkter!H285</f>
        <v/>
      </c>
      <c r="I249" s="5" t="str">
        <f>Taxepunkter!I285</f>
        <v/>
      </c>
      <c r="J249" s="5" t="str">
        <f>Taxepunkter!J285</f>
        <v/>
      </c>
      <c r="K249" s="5">
        <f>Taxepunkter!K285</f>
        <v>0</v>
      </c>
      <c r="L249" s="11">
        <f>Taxepunkter!L285</f>
        <v>0</v>
      </c>
    </row>
    <row r="250" spans="1:12" x14ac:dyDescent="0.25">
      <c r="A250" s="10" t="str">
        <f>Taxepunkter!A286</f>
        <v>§6.1.2</v>
      </c>
      <c r="B250" s="5" t="str">
        <f>Taxepunkter!B286</f>
        <v>Hanteringsavgifter för avfall inlämnat på återvinningscentral</v>
      </c>
      <c r="C250" s="5" t="str">
        <f>Taxepunkter!C286</f>
        <v>Diesel Avfallskod 13 07 01*</v>
      </c>
      <c r="D250" s="5" t="str">
        <f>Taxepunkter!D286</f>
        <v>1202</v>
      </c>
      <c r="E250" s="5" t="str">
        <f>Taxepunkter!E286</f>
        <v>Kr/Kg</v>
      </c>
      <c r="F250" s="5">
        <f>Taxepunkter!F286</f>
        <v>0</v>
      </c>
      <c r="G250" s="5" t="str">
        <f>Taxepunkter!G286</f>
        <v/>
      </c>
      <c r="H250" s="5" t="str">
        <f>Taxepunkter!H286</f>
        <v/>
      </c>
      <c r="I250" s="5" t="str">
        <f>Taxepunkter!I286</f>
        <v/>
      </c>
      <c r="J250" s="5" t="str">
        <f>Taxepunkter!J286</f>
        <v/>
      </c>
      <c r="K250" s="5">
        <f>Taxepunkter!K286</f>
        <v>0</v>
      </c>
      <c r="L250" s="11">
        <f>Taxepunkter!L286</f>
        <v>0</v>
      </c>
    </row>
    <row r="251" spans="1:12" x14ac:dyDescent="0.25">
      <c r="A251" s="10" t="str">
        <f>Taxepunkter!A287</f>
        <v>§6.1.2</v>
      </c>
      <c r="B251" s="5" t="str">
        <f>Taxepunkter!B287</f>
        <v>Hanteringsavgifter för avfall inlämnat på återvinningscentral</v>
      </c>
      <c r="C251" s="5" t="str">
        <f>Taxepunkter!C287</f>
        <v>Oljefilter Avfallskod 16 01 07*</v>
      </c>
      <c r="D251" s="5" t="str">
        <f>Taxepunkter!D287</f>
        <v>3295</v>
      </c>
      <c r="E251" s="5" t="str">
        <f>Taxepunkter!E287</f>
        <v>Kr/Kg</v>
      </c>
      <c r="F251" s="5">
        <f>Taxepunkter!F287</f>
        <v>0</v>
      </c>
      <c r="G251" s="5" t="str">
        <f>Taxepunkter!G287</f>
        <v/>
      </c>
      <c r="H251" s="5" t="str">
        <f>Taxepunkter!H287</f>
        <v/>
      </c>
      <c r="I251" s="5" t="str">
        <f>Taxepunkter!I287</f>
        <v/>
      </c>
      <c r="J251" s="5" t="str">
        <f>Taxepunkter!J287</f>
        <v/>
      </c>
      <c r="K251" s="5">
        <f>Taxepunkter!K287</f>
        <v>0</v>
      </c>
      <c r="L251" s="11">
        <f>Taxepunkter!L287</f>
        <v>0</v>
      </c>
    </row>
    <row r="252" spans="1:12" x14ac:dyDescent="0.25">
      <c r="A252" s="10" t="str">
        <f>Taxepunkter!A288</f>
        <v>§6.1.2</v>
      </c>
      <c r="B252" s="5" t="str">
        <f>Taxepunkter!B288</f>
        <v>Hanteringsavgifter för avfall inlämnat på återvinningscentral</v>
      </c>
      <c r="C252" s="5" t="str">
        <f>Taxepunkter!C288</f>
        <v>Färg, lack och lim lösningsbaserat Avfallskod 20 01 27*</v>
      </c>
      <c r="D252" s="5" t="str">
        <f>Taxepunkter!D288</f>
        <v>1263</v>
      </c>
      <c r="E252" s="5" t="str">
        <f>Taxepunkter!E288</f>
        <v>Kr/Kg</v>
      </c>
      <c r="F252" s="5">
        <f>Taxepunkter!F288</f>
        <v>0</v>
      </c>
      <c r="G252" s="5" t="str">
        <f>Taxepunkter!G288</f>
        <v/>
      </c>
      <c r="H252" s="5" t="str">
        <f>Taxepunkter!H288</f>
        <v/>
      </c>
      <c r="I252" s="5" t="str">
        <f>Taxepunkter!I288</f>
        <v/>
      </c>
      <c r="J252" s="5" t="str">
        <f>Taxepunkter!J288</f>
        <v/>
      </c>
      <c r="K252" s="5">
        <f>Taxepunkter!K288</f>
        <v>0</v>
      </c>
      <c r="L252" s="11">
        <f>Taxepunkter!L288</f>
        <v>0</v>
      </c>
    </row>
    <row r="253" spans="1:12" x14ac:dyDescent="0.25">
      <c r="A253" s="10" t="str">
        <f>Taxepunkter!A289</f>
        <v>§6.1.2</v>
      </c>
      <c r="B253" s="5" t="str">
        <f>Taxepunkter!B289</f>
        <v>Hanteringsavgifter för avfall inlämnat på återvinningscentral</v>
      </c>
      <c r="C253" s="5" t="str">
        <f>Taxepunkter!C289</f>
        <v>Aerosoler, färg, lack och lim Avfallskod 20 01 27*</v>
      </c>
      <c r="D253" s="5" t="str">
        <f>Taxepunkter!D289</f>
        <v>1950</v>
      </c>
      <c r="E253" s="5" t="str">
        <f>Taxepunkter!E289</f>
        <v>Kr/Kg</v>
      </c>
      <c r="F253" s="5">
        <f>Taxepunkter!F289</f>
        <v>0</v>
      </c>
      <c r="G253" s="5" t="str">
        <f>Taxepunkter!G289</f>
        <v/>
      </c>
      <c r="H253" s="5" t="str">
        <f>Taxepunkter!H289</f>
        <v/>
      </c>
      <c r="I253" s="5" t="str">
        <f>Taxepunkter!I289</f>
        <v/>
      </c>
      <c r="J253" s="5" t="str">
        <f>Taxepunkter!J289</f>
        <v/>
      </c>
      <c r="K253" s="5">
        <f>Taxepunkter!K289</f>
        <v>0</v>
      </c>
      <c r="L253" s="11">
        <f>Taxepunkter!L289</f>
        <v>0</v>
      </c>
    </row>
    <row r="254" spans="1:12" x14ac:dyDescent="0.25">
      <c r="A254" s="10" t="str">
        <f>Taxepunkter!A290</f>
        <v>§6.1.2</v>
      </c>
      <c r="B254" s="5" t="str">
        <f>Taxepunkter!B290</f>
        <v>Hanteringsavgifter för avfall inlämnat på återvinningscentral</v>
      </c>
      <c r="C254" s="5" t="str">
        <f>Taxepunkter!C290</f>
        <v>Färg, lack och lim vattenbaserad Avfallskod 20 01 28</v>
      </c>
      <c r="D254" s="5">
        <f>Taxepunkter!D290</f>
        <v>0</v>
      </c>
      <c r="E254" s="5" t="str">
        <f>Taxepunkter!E290</f>
        <v>Kr/Kg</v>
      </c>
      <c r="F254" s="5">
        <f>Taxepunkter!F290</f>
        <v>0</v>
      </c>
      <c r="G254" s="5" t="str">
        <f>Taxepunkter!G290</f>
        <v/>
      </c>
      <c r="H254" s="5" t="str">
        <f>Taxepunkter!H290</f>
        <v/>
      </c>
      <c r="I254" s="5" t="str">
        <f>Taxepunkter!I290</f>
        <v/>
      </c>
      <c r="J254" s="5" t="str">
        <f>Taxepunkter!J290</f>
        <v/>
      </c>
      <c r="K254" s="5">
        <f>Taxepunkter!K290</f>
        <v>0</v>
      </c>
      <c r="L254" s="11">
        <f>Taxepunkter!L290</f>
        <v>0</v>
      </c>
    </row>
    <row r="255" spans="1:12" x14ac:dyDescent="0.25">
      <c r="A255" s="10" t="str">
        <f>Taxepunkter!A291</f>
        <v>§6.1.2</v>
      </c>
      <c r="B255" s="5" t="str">
        <f>Taxepunkter!B291</f>
        <v>Hanteringsavgifter för avfall inlämnat på återvinningscentral</v>
      </c>
      <c r="C255" s="5" t="str">
        <f>Taxepunkter!C291</f>
        <v>Alkaliskt flytande avfall Avfallskod 20 01 29*</v>
      </c>
      <c r="D255" s="5" t="str">
        <f>Taxepunkter!D291</f>
        <v>3266</v>
      </c>
      <c r="E255" s="5" t="str">
        <f>Taxepunkter!E291</f>
        <v>Kr/Kg</v>
      </c>
      <c r="F255" s="5">
        <f>Taxepunkter!F291</f>
        <v>0</v>
      </c>
      <c r="G255" s="5" t="str">
        <f>Taxepunkter!G291</f>
        <v/>
      </c>
      <c r="H255" s="5" t="str">
        <f>Taxepunkter!H291</f>
        <v/>
      </c>
      <c r="I255" s="5" t="str">
        <f>Taxepunkter!I291</f>
        <v/>
      </c>
      <c r="J255" s="5" t="str">
        <f>Taxepunkter!J291</f>
        <v/>
      </c>
      <c r="K255" s="5">
        <f>Taxepunkter!K291</f>
        <v>0</v>
      </c>
      <c r="L255" s="11">
        <f>Taxepunkter!L291</f>
        <v>0</v>
      </c>
    </row>
    <row r="256" spans="1:12" x14ac:dyDescent="0.25">
      <c r="A256" s="10" t="str">
        <f>Taxepunkter!A292</f>
        <v>§6.1.2</v>
      </c>
      <c r="B256" s="5" t="str">
        <f>Taxepunkter!B292</f>
        <v>Hanteringsavgifter för avfall inlämnat på återvinningscentral</v>
      </c>
      <c r="C256" s="5" t="str">
        <f>Taxepunkter!C292</f>
        <v>Alkaliskt avfall fast Avfallskod 20 01 15*</v>
      </c>
      <c r="D256" s="5" t="str">
        <f>Taxepunkter!D292</f>
        <v>3262</v>
      </c>
      <c r="E256" s="5" t="str">
        <f>Taxepunkter!E292</f>
        <v>Kr/Kg</v>
      </c>
      <c r="F256" s="5">
        <f>Taxepunkter!F292</f>
        <v>0</v>
      </c>
      <c r="G256" s="5" t="str">
        <f>Taxepunkter!G292</f>
        <v/>
      </c>
      <c r="H256" s="5" t="str">
        <f>Taxepunkter!H292</f>
        <v/>
      </c>
      <c r="I256" s="5" t="str">
        <f>Taxepunkter!I292</f>
        <v/>
      </c>
      <c r="J256" s="5" t="str">
        <f>Taxepunkter!J292</f>
        <v/>
      </c>
      <c r="K256" s="5">
        <f>Taxepunkter!K292</f>
        <v>0</v>
      </c>
      <c r="L256" s="11">
        <f>Taxepunkter!L292</f>
        <v>0</v>
      </c>
    </row>
    <row r="257" spans="1:12" x14ac:dyDescent="0.25">
      <c r="A257" s="10" t="str">
        <f>Taxepunkter!A293</f>
        <v>§6.1.2</v>
      </c>
      <c r="B257" s="5" t="str">
        <f>Taxepunkter!B293</f>
        <v>Hanteringsavgifter för avfall inlämnat på återvinningscentral</v>
      </c>
      <c r="C257" s="5" t="str">
        <f>Taxepunkter!C293</f>
        <v>Lösningsmedel Avfallskod 20 01 13*</v>
      </c>
      <c r="D257" s="5" t="str">
        <f>Taxepunkter!D293</f>
        <v>1993</v>
      </c>
      <c r="E257" s="5" t="str">
        <f>Taxepunkter!E293</f>
        <v>Kr/Kg</v>
      </c>
      <c r="F257" s="5">
        <f>Taxepunkter!F293</f>
        <v>0</v>
      </c>
      <c r="G257" s="5" t="str">
        <f>Taxepunkter!G293</f>
        <v/>
      </c>
      <c r="H257" s="5" t="str">
        <f>Taxepunkter!H293</f>
        <v/>
      </c>
      <c r="I257" s="5" t="str">
        <f>Taxepunkter!I293</f>
        <v/>
      </c>
      <c r="J257" s="5" t="str">
        <f>Taxepunkter!J293</f>
        <v/>
      </c>
      <c r="K257" s="5">
        <f>Taxepunkter!K293</f>
        <v>0</v>
      </c>
      <c r="L257" s="11">
        <f>Taxepunkter!L293</f>
        <v>0</v>
      </c>
    </row>
    <row r="258" spans="1:12" x14ac:dyDescent="0.25">
      <c r="A258" s="10" t="str">
        <f>Taxepunkter!A294</f>
        <v>§6.1.2</v>
      </c>
      <c r="B258" s="5" t="str">
        <f>Taxepunkter!B294</f>
        <v>Hanteringsavgifter för avfall inlämnat på återvinningscentral</v>
      </c>
      <c r="C258" s="5" t="str">
        <f>Taxepunkter!C294</f>
        <v>Smittförande avfall Avfallskod 18 01 03*</v>
      </c>
      <c r="D258" s="5" t="str">
        <f>Taxepunkter!D294</f>
        <v>3291</v>
      </c>
      <c r="E258" s="5" t="str">
        <f>Taxepunkter!E294</f>
        <v>Kr/Kg</v>
      </c>
      <c r="F258" s="5">
        <f>Taxepunkter!F294</f>
        <v>0</v>
      </c>
      <c r="G258" s="5" t="str">
        <f>Taxepunkter!G294</f>
        <v/>
      </c>
      <c r="H258" s="5" t="str">
        <f>Taxepunkter!H294</f>
        <v/>
      </c>
      <c r="I258" s="5" t="str">
        <f>Taxepunkter!I294</f>
        <v/>
      </c>
      <c r="J258" s="5" t="str">
        <f>Taxepunkter!J294</f>
        <v/>
      </c>
      <c r="K258" s="5">
        <f>Taxepunkter!K294</f>
        <v>0</v>
      </c>
      <c r="L258" s="11">
        <f>Taxepunkter!L294</f>
        <v>0</v>
      </c>
    </row>
    <row r="259" spans="1:12" x14ac:dyDescent="0.25">
      <c r="A259" s="10" t="str">
        <f>Taxepunkter!A295</f>
        <v>§6.1.2</v>
      </c>
      <c r="B259" s="5" t="str">
        <f>Taxepunkter!B295</f>
        <v>Hanteringsavgifter för avfall inlämnat på återvinningscentral</v>
      </c>
      <c r="C259" s="5" t="str">
        <f>Taxepunkter!C295</f>
        <v>Bekämpningsmedel Flytande Avfallskod 20 01 19*</v>
      </c>
      <c r="D259" s="5" t="str">
        <f>Taxepunkter!D295</f>
        <v>2903</v>
      </c>
      <c r="E259" s="5" t="str">
        <f>Taxepunkter!E295</f>
        <v>Kr/Kg</v>
      </c>
      <c r="F259" s="5">
        <f>Taxepunkter!F295</f>
        <v>0</v>
      </c>
      <c r="G259" s="5" t="str">
        <f>Taxepunkter!G295</f>
        <v/>
      </c>
      <c r="H259" s="5" t="str">
        <f>Taxepunkter!H295</f>
        <v/>
      </c>
      <c r="I259" s="5" t="str">
        <f>Taxepunkter!I295</f>
        <v/>
      </c>
      <c r="J259" s="5" t="str">
        <f>Taxepunkter!J295</f>
        <v/>
      </c>
      <c r="K259" s="5">
        <f>Taxepunkter!K295</f>
        <v>0</v>
      </c>
      <c r="L259" s="11">
        <f>Taxepunkter!L295</f>
        <v>0</v>
      </c>
    </row>
    <row r="260" spans="1:12" x14ac:dyDescent="0.25">
      <c r="A260" s="10" t="str">
        <f>Taxepunkter!A296</f>
        <v>§6.1.2</v>
      </c>
      <c r="B260" s="5" t="str">
        <f>Taxepunkter!B296</f>
        <v>Hanteringsavgifter för avfall inlämnat på återvinningscentral</v>
      </c>
      <c r="C260" s="5" t="str">
        <f>Taxepunkter!C296</f>
        <v>Bekämpningsmedel Fast Avfallskod 20 01 19*</v>
      </c>
      <c r="D260" s="5" t="str">
        <f>Taxepunkter!D296</f>
        <v>2588</v>
      </c>
      <c r="E260" s="5" t="str">
        <f>Taxepunkter!E296</f>
        <v>Kr/Kg</v>
      </c>
      <c r="F260" s="5">
        <f>Taxepunkter!F296</f>
        <v>0</v>
      </c>
      <c r="G260" s="5" t="str">
        <f>Taxepunkter!G296</f>
        <v/>
      </c>
      <c r="H260" s="5" t="str">
        <f>Taxepunkter!H296</f>
        <v/>
      </c>
      <c r="I260" s="5" t="str">
        <f>Taxepunkter!I296</f>
        <v/>
      </c>
      <c r="J260" s="5" t="str">
        <f>Taxepunkter!J296</f>
        <v/>
      </c>
      <c r="K260" s="5">
        <f>Taxepunkter!K296</f>
        <v>0</v>
      </c>
      <c r="L260" s="11">
        <f>Taxepunkter!L296</f>
        <v>0</v>
      </c>
    </row>
    <row r="261" spans="1:12" x14ac:dyDescent="0.25">
      <c r="A261" s="10" t="str">
        <f>Taxepunkter!A297</f>
        <v>§6.1.2</v>
      </c>
      <c r="B261" s="5" t="str">
        <f>Taxepunkter!B297</f>
        <v>Hanteringsavgifter för avfall inlämnat på återvinningscentral</v>
      </c>
      <c r="C261" s="5" t="str">
        <f>Taxepunkter!C297</f>
        <v>Bekämpningsmedel aerosoler Avfallskod 20 01 19*</v>
      </c>
      <c r="D261" s="5" t="str">
        <f>Taxepunkter!D297</f>
        <v>1950</v>
      </c>
      <c r="E261" s="5" t="str">
        <f>Taxepunkter!E297</f>
        <v>Kr/Kg</v>
      </c>
      <c r="F261" s="5">
        <f>Taxepunkter!F297</f>
        <v>0</v>
      </c>
      <c r="G261" s="5" t="str">
        <f>Taxepunkter!G297</f>
        <v/>
      </c>
      <c r="H261" s="5" t="str">
        <f>Taxepunkter!H297</f>
        <v/>
      </c>
      <c r="I261" s="5" t="str">
        <f>Taxepunkter!I297</f>
        <v/>
      </c>
      <c r="J261" s="5" t="str">
        <f>Taxepunkter!J297</f>
        <v/>
      </c>
      <c r="K261" s="5">
        <f>Taxepunkter!K297</f>
        <v>0</v>
      </c>
      <c r="L261" s="11">
        <f>Taxepunkter!L297</f>
        <v>0</v>
      </c>
    </row>
    <row r="262" spans="1:12" x14ac:dyDescent="0.25">
      <c r="A262" s="10" t="str">
        <f>Taxepunkter!A298</f>
        <v>§6.1.2</v>
      </c>
      <c r="B262" s="5" t="str">
        <f>Taxepunkter!B298</f>
        <v>Hanteringsavgifter för avfall inlämnat på återvinningscentral</v>
      </c>
      <c r="C262" s="5" t="str">
        <f>Taxepunkter!C298</f>
        <v>Giftig oorganisk vätska Avfallskod 16 05 06*</v>
      </c>
      <c r="D262" s="5" t="str">
        <f>Taxepunkter!D298</f>
        <v>3287</v>
      </c>
      <c r="E262" s="5" t="str">
        <f>Taxepunkter!E298</f>
        <v>Kr/Kg</v>
      </c>
      <c r="F262" s="5">
        <f>Taxepunkter!F298</f>
        <v>0</v>
      </c>
      <c r="G262" s="5" t="str">
        <f>Taxepunkter!G298</f>
        <v/>
      </c>
      <c r="H262" s="5" t="str">
        <f>Taxepunkter!H298</f>
        <v/>
      </c>
      <c r="I262" s="5" t="str">
        <f>Taxepunkter!I298</f>
        <v/>
      </c>
      <c r="J262" s="5" t="str">
        <f>Taxepunkter!J298</f>
        <v/>
      </c>
      <c r="K262" s="5">
        <f>Taxepunkter!K298</f>
        <v>0</v>
      </c>
      <c r="L262" s="11">
        <f>Taxepunkter!L298</f>
        <v>0</v>
      </c>
    </row>
    <row r="263" spans="1:12" x14ac:dyDescent="0.25">
      <c r="A263" s="10" t="str">
        <f>Taxepunkter!A299</f>
        <v>§6.1.2</v>
      </c>
      <c r="B263" s="5" t="str">
        <f>Taxepunkter!B299</f>
        <v>Hanteringsavgifter för avfall inlämnat på återvinningscentral</v>
      </c>
      <c r="C263" s="5" t="str">
        <f>Taxepunkter!C299</f>
        <v>Giftig organisk vätska Avfallskod 16 05 06*</v>
      </c>
      <c r="D263" s="5" t="str">
        <f>Taxepunkter!D299</f>
        <v>2810</v>
      </c>
      <c r="E263" s="5" t="str">
        <f>Taxepunkter!E299</f>
        <v>Kr/Kg</v>
      </c>
      <c r="F263" s="5">
        <f>Taxepunkter!F299</f>
        <v>0</v>
      </c>
      <c r="G263" s="5" t="str">
        <f>Taxepunkter!G299</f>
        <v/>
      </c>
      <c r="H263" s="5" t="str">
        <f>Taxepunkter!H299</f>
        <v/>
      </c>
      <c r="I263" s="5" t="str">
        <f>Taxepunkter!I299</f>
        <v/>
      </c>
      <c r="J263" s="5" t="str">
        <f>Taxepunkter!J299</f>
        <v/>
      </c>
      <c r="K263" s="5">
        <f>Taxepunkter!K299</f>
        <v>0</v>
      </c>
      <c r="L263" s="11">
        <f>Taxepunkter!L299</f>
        <v>0</v>
      </c>
    </row>
    <row r="264" spans="1:12" x14ac:dyDescent="0.25">
      <c r="A264" s="10" t="str">
        <f>Taxepunkter!A300</f>
        <v>§6.1.2</v>
      </c>
      <c r="B264" s="5" t="str">
        <f>Taxepunkter!B300</f>
        <v>Hanteringsavgifter för avfall inlämnat på återvinningscentral</v>
      </c>
      <c r="C264" s="5" t="str">
        <f>Taxepunkter!C300</f>
        <v>Surt organisk vätska ämne Avfallskod 20 01 14*</v>
      </c>
      <c r="D264" s="5" t="str">
        <f>Taxepunkter!D300</f>
        <v>3265</v>
      </c>
      <c r="E264" s="5" t="str">
        <f>Taxepunkter!E300</f>
        <v>Kr/Kg</v>
      </c>
      <c r="F264" s="5">
        <f>Taxepunkter!F300</f>
        <v>0</v>
      </c>
      <c r="G264" s="5" t="str">
        <f>Taxepunkter!G300</f>
        <v/>
      </c>
      <c r="H264" s="5" t="str">
        <f>Taxepunkter!H300</f>
        <v/>
      </c>
      <c r="I264" s="5" t="str">
        <f>Taxepunkter!I300</f>
        <v/>
      </c>
      <c r="J264" s="5" t="str">
        <f>Taxepunkter!J300</f>
        <v/>
      </c>
      <c r="K264" s="5">
        <f>Taxepunkter!K300</f>
        <v>0</v>
      </c>
      <c r="L264" s="11">
        <f>Taxepunkter!L300</f>
        <v>0</v>
      </c>
    </row>
    <row r="265" spans="1:12" x14ac:dyDescent="0.25">
      <c r="A265" s="10" t="str">
        <f>Taxepunkter!A301</f>
        <v>§6.1.2</v>
      </c>
      <c r="B265" s="5" t="str">
        <f>Taxepunkter!B301</f>
        <v>Hanteringsavgifter för avfall inlämnat på återvinningscentral</v>
      </c>
      <c r="C265" s="5" t="str">
        <f>Taxepunkter!C301</f>
        <v>Surt organisk fast ämne Avfallskod 20 01 14*</v>
      </c>
      <c r="D265" s="5" t="str">
        <f>Taxepunkter!D301</f>
        <v>3261</v>
      </c>
      <c r="E265" s="5" t="str">
        <f>Taxepunkter!E301</f>
        <v>Kr/Kg</v>
      </c>
      <c r="F265" s="5">
        <f>Taxepunkter!F301</f>
        <v>0</v>
      </c>
      <c r="G265" s="5" t="str">
        <f>Taxepunkter!G301</f>
        <v/>
      </c>
      <c r="H265" s="5" t="str">
        <f>Taxepunkter!H301</f>
        <v/>
      </c>
      <c r="I265" s="5" t="str">
        <f>Taxepunkter!I301</f>
        <v/>
      </c>
      <c r="J265" s="5" t="str">
        <f>Taxepunkter!J301</f>
        <v/>
      </c>
      <c r="K265" s="5">
        <f>Taxepunkter!K301</f>
        <v>0</v>
      </c>
      <c r="L265" s="11">
        <f>Taxepunkter!L301</f>
        <v>0</v>
      </c>
    </row>
    <row r="266" spans="1:12" x14ac:dyDescent="0.25">
      <c r="A266" s="10" t="str">
        <f>Taxepunkter!A302</f>
        <v>§6.1.2</v>
      </c>
      <c r="B266" s="5" t="str">
        <f>Taxepunkter!B302</f>
        <v>Hanteringsavgifter för avfall inlämnat på återvinningscentral</v>
      </c>
      <c r="C266" s="5" t="str">
        <f>Taxepunkter!C302</f>
        <v>Surt oorganiskt fast ämne Avfallskod 20 01 14*</v>
      </c>
      <c r="D266" s="5" t="str">
        <f>Taxepunkter!D302</f>
        <v>3260</v>
      </c>
      <c r="E266" s="5" t="str">
        <f>Taxepunkter!E302</f>
        <v>Kr/Kg</v>
      </c>
      <c r="F266" s="5">
        <f>Taxepunkter!F302</f>
        <v>0</v>
      </c>
      <c r="G266" s="5" t="str">
        <f>Taxepunkter!G302</f>
        <v/>
      </c>
      <c r="H266" s="5" t="str">
        <f>Taxepunkter!H302</f>
        <v/>
      </c>
      <c r="I266" s="5" t="str">
        <f>Taxepunkter!I302</f>
        <v/>
      </c>
      <c r="J266" s="5" t="str">
        <f>Taxepunkter!J302</f>
        <v/>
      </c>
      <c r="K266" s="5">
        <f>Taxepunkter!K302</f>
        <v>0</v>
      </c>
      <c r="L266" s="11">
        <f>Taxepunkter!L302</f>
        <v>0</v>
      </c>
    </row>
    <row r="267" spans="1:12" x14ac:dyDescent="0.25">
      <c r="A267" s="10" t="str">
        <f>Taxepunkter!A303</f>
        <v>§6.1.2</v>
      </c>
      <c r="B267" s="5" t="str">
        <f>Taxepunkter!B303</f>
        <v>Hanteringsavgifter för avfall inlämnat på återvinningscentral</v>
      </c>
      <c r="C267" s="5" t="str">
        <f>Taxepunkter!C303</f>
        <v>Surt oorganisk vätska Avfallskod 20 01 14*</v>
      </c>
      <c r="D267" s="5" t="str">
        <f>Taxepunkter!D303</f>
        <v>3264</v>
      </c>
      <c r="E267" s="5" t="str">
        <f>Taxepunkter!E303</f>
        <v>Kr/Kg</v>
      </c>
      <c r="F267" s="5">
        <f>Taxepunkter!F303</f>
        <v>0</v>
      </c>
      <c r="G267" s="5" t="str">
        <f>Taxepunkter!G303</f>
        <v/>
      </c>
      <c r="H267" s="5" t="str">
        <f>Taxepunkter!H303</f>
        <v/>
      </c>
      <c r="I267" s="5" t="str">
        <f>Taxepunkter!I303</f>
        <v/>
      </c>
      <c r="J267" s="5" t="str">
        <f>Taxepunkter!J303</f>
        <v/>
      </c>
      <c r="K267" s="5">
        <f>Taxepunkter!K303</f>
        <v>0</v>
      </c>
      <c r="L267" s="11">
        <f>Taxepunkter!L303</f>
        <v>0</v>
      </c>
    </row>
    <row r="268" spans="1:12" x14ac:dyDescent="0.25">
      <c r="A268" s="10" t="str">
        <f>Taxepunkter!A304</f>
        <v>§6.1.2</v>
      </c>
      <c r="B268" s="5" t="str">
        <f>Taxepunkter!B304</f>
        <v>Hanteringsavgifter för avfall inlämnat på återvinningscentral</v>
      </c>
      <c r="C268" s="5" t="str">
        <f>Taxepunkter!C304</f>
        <v>Svavelsyra Avfallskod 20 01 14*</v>
      </c>
      <c r="D268" s="5" t="str">
        <f>Taxepunkter!D304</f>
        <v>1832</v>
      </c>
      <c r="E268" s="5" t="str">
        <f>Taxepunkter!E304</f>
        <v>Kr/Kg</v>
      </c>
      <c r="F268" s="5">
        <f>Taxepunkter!F304</f>
        <v>0</v>
      </c>
      <c r="G268" s="5" t="str">
        <f>Taxepunkter!G304</f>
        <v/>
      </c>
      <c r="H268" s="5" t="str">
        <f>Taxepunkter!H304</f>
        <v/>
      </c>
      <c r="I268" s="5" t="str">
        <f>Taxepunkter!I304</f>
        <v/>
      </c>
      <c r="J268" s="5" t="str">
        <f>Taxepunkter!J304</f>
        <v/>
      </c>
      <c r="K268" s="5">
        <f>Taxepunkter!K304</f>
        <v>0</v>
      </c>
      <c r="L268" s="11">
        <f>Taxepunkter!L304</f>
        <v>0</v>
      </c>
    </row>
    <row r="269" spans="1:12" x14ac:dyDescent="0.25">
      <c r="A269" s="10" t="str">
        <f>Taxepunkter!A305</f>
        <v>§6.1.2</v>
      </c>
      <c r="B269" s="5" t="str">
        <f>Taxepunkter!B305</f>
        <v>Hanteringsavgifter för avfall inlämnat på återvinningscentral</v>
      </c>
      <c r="C269" s="5" t="str">
        <f>Taxepunkter!C305</f>
        <v>Salpetersyra Avfallskod 20 01 14*</v>
      </c>
      <c r="D269" s="5" t="str">
        <f>Taxepunkter!D305</f>
        <v>2031</v>
      </c>
      <c r="E269" s="5" t="str">
        <f>Taxepunkter!E305</f>
        <v>Kr/Kg</v>
      </c>
      <c r="F269" s="5">
        <f>Taxepunkter!F305</f>
        <v>0</v>
      </c>
      <c r="G269" s="5" t="str">
        <f>Taxepunkter!G305</f>
        <v/>
      </c>
      <c r="H269" s="5" t="str">
        <f>Taxepunkter!H305</f>
        <v/>
      </c>
      <c r="I269" s="5" t="str">
        <f>Taxepunkter!I305</f>
        <v/>
      </c>
      <c r="J269" s="5" t="str">
        <f>Taxepunkter!J305</f>
        <v/>
      </c>
      <c r="K269" s="5">
        <f>Taxepunkter!K305</f>
        <v>0</v>
      </c>
      <c r="L269" s="11">
        <f>Taxepunkter!L305</f>
        <v>0</v>
      </c>
    </row>
    <row r="270" spans="1:12" x14ac:dyDescent="0.25">
      <c r="A270" s="10" t="str">
        <f>Taxepunkter!A306</f>
        <v>§6.1.2</v>
      </c>
      <c r="B270" s="5" t="str">
        <f>Taxepunkter!B306</f>
        <v>Hanteringsavgifter för avfall inlämnat på återvinningscentral</v>
      </c>
      <c r="C270" s="5" t="str">
        <f>Taxepunkter!C306</f>
        <v>Fluorvätesyra Avfallskod 20 01 14*</v>
      </c>
      <c r="D270" s="5" t="str">
        <f>Taxepunkter!D306</f>
        <v>1790</v>
      </c>
      <c r="E270" s="5" t="str">
        <f>Taxepunkter!E306</f>
        <v>Kr/Kg</v>
      </c>
      <c r="F270" s="5">
        <f>Taxepunkter!F306</f>
        <v>0</v>
      </c>
      <c r="G270" s="5" t="str">
        <f>Taxepunkter!G306</f>
        <v/>
      </c>
      <c r="H270" s="5" t="str">
        <f>Taxepunkter!H306</f>
        <v/>
      </c>
      <c r="I270" s="5" t="str">
        <f>Taxepunkter!I306</f>
        <v/>
      </c>
      <c r="J270" s="5" t="str">
        <f>Taxepunkter!J306</f>
        <v/>
      </c>
      <c r="K270" s="5">
        <f>Taxepunkter!K306</f>
        <v>0</v>
      </c>
      <c r="L270" s="11">
        <f>Taxepunkter!L306</f>
        <v>0</v>
      </c>
    </row>
    <row r="271" spans="1:12" x14ac:dyDescent="0.25">
      <c r="A271" s="10" t="str">
        <f>Taxepunkter!A307</f>
        <v>§6.1.2</v>
      </c>
      <c r="B271" s="5" t="str">
        <f>Taxepunkter!B307</f>
        <v>Hanteringsavgifter för avfall inlämnat på återvinningscentral</v>
      </c>
      <c r="C271" s="5" t="str">
        <f>Taxepunkter!C307</f>
        <v>Basiskt organiskt fast ämne/flytande Avfallskod 20 01 15*</v>
      </c>
      <c r="D271" s="5" t="str">
        <f>Taxepunkter!D307</f>
        <v>3263</v>
      </c>
      <c r="E271" s="5" t="str">
        <f>Taxepunkter!E307</f>
        <v>Kr/Kg</v>
      </c>
      <c r="F271" s="5">
        <f>Taxepunkter!F307</f>
        <v>0</v>
      </c>
      <c r="G271" s="5" t="str">
        <f>Taxepunkter!G307</f>
        <v/>
      </c>
      <c r="H271" s="5" t="str">
        <f>Taxepunkter!H307</f>
        <v/>
      </c>
      <c r="I271" s="5" t="str">
        <f>Taxepunkter!I307</f>
        <v/>
      </c>
      <c r="J271" s="5" t="str">
        <f>Taxepunkter!J307</f>
        <v/>
      </c>
      <c r="K271" s="5">
        <f>Taxepunkter!K307</f>
        <v>0</v>
      </c>
      <c r="L271" s="11">
        <f>Taxepunkter!L307</f>
        <v>0</v>
      </c>
    </row>
    <row r="272" spans="1:12" x14ac:dyDescent="0.25">
      <c r="A272" s="10" t="str">
        <f>Taxepunkter!A308</f>
        <v>§6.1.2</v>
      </c>
      <c r="B272" s="5" t="str">
        <f>Taxepunkter!B308</f>
        <v>Hanteringsavgifter för avfall inlämnat på återvinningscentral</v>
      </c>
      <c r="C272" s="5" t="str">
        <f>Taxepunkter!C308</f>
        <v>Ammoniaklösning Avfallskod 20 01 15*</v>
      </c>
      <c r="D272" s="5" t="str">
        <f>Taxepunkter!D308</f>
        <v>2672</v>
      </c>
      <c r="E272" s="5" t="str">
        <f>Taxepunkter!E308</f>
        <v>Kr/Kg</v>
      </c>
      <c r="F272" s="5">
        <f>Taxepunkter!F308</f>
        <v>0</v>
      </c>
      <c r="G272" s="5" t="str">
        <f>Taxepunkter!G308</f>
        <v/>
      </c>
      <c r="H272" s="5" t="str">
        <f>Taxepunkter!H308</f>
        <v/>
      </c>
      <c r="I272" s="5" t="str">
        <f>Taxepunkter!I308</f>
        <v/>
      </c>
      <c r="J272" s="5" t="str">
        <f>Taxepunkter!J308</f>
        <v/>
      </c>
      <c r="K272" s="5">
        <f>Taxepunkter!K308</f>
        <v>0</v>
      </c>
      <c r="L272" s="11">
        <f>Taxepunkter!L308</f>
        <v>0</v>
      </c>
    </row>
    <row r="273" spans="1:12" x14ac:dyDescent="0.25">
      <c r="A273" s="10" t="str">
        <f>Taxepunkter!A309</f>
        <v>§6.1.2</v>
      </c>
      <c r="B273" s="5" t="str">
        <f>Taxepunkter!B309</f>
        <v>Hanteringsavgifter för avfall inlämnat på återvinningscentral</v>
      </c>
      <c r="C273" s="5" t="str">
        <f>Taxepunkter!C309</f>
        <v>Rengöringsmedel Avfallskod 20 01 29*</v>
      </c>
      <c r="D273" s="5" t="str">
        <f>Taxepunkter!D309</f>
        <v>2903</v>
      </c>
      <c r="E273" s="5" t="str">
        <f>Taxepunkter!E309</f>
        <v>Kr/Kg</v>
      </c>
      <c r="F273" s="5">
        <f>Taxepunkter!F309</f>
        <v>0</v>
      </c>
      <c r="G273" s="5" t="str">
        <f>Taxepunkter!G309</f>
        <v/>
      </c>
      <c r="H273" s="5" t="str">
        <f>Taxepunkter!H309</f>
        <v/>
      </c>
      <c r="I273" s="5" t="str">
        <f>Taxepunkter!I309</f>
        <v/>
      </c>
      <c r="J273" s="5" t="str">
        <f>Taxepunkter!J309</f>
        <v/>
      </c>
      <c r="K273" s="5">
        <f>Taxepunkter!K309</f>
        <v>0</v>
      </c>
      <c r="L273" s="11">
        <f>Taxepunkter!L309</f>
        <v>0</v>
      </c>
    </row>
    <row r="274" spans="1:12" x14ac:dyDescent="0.25">
      <c r="A274" s="10" t="str">
        <f>Taxepunkter!A310</f>
        <v>§6.1.2</v>
      </c>
      <c r="B274" s="5" t="str">
        <f>Taxepunkter!B310</f>
        <v>Hanteringsavgifter för avfall inlämnat på återvinningscentral</v>
      </c>
      <c r="C274" s="5" t="str">
        <f>Taxepunkter!C310</f>
        <v>Väteperoxid Avfallskod 20 01 13*</v>
      </c>
      <c r="D274" s="5" t="str">
        <f>Taxepunkter!D310</f>
        <v>2014</v>
      </c>
      <c r="E274" s="5" t="str">
        <f>Taxepunkter!E310</f>
        <v>Kr/Kg</v>
      </c>
      <c r="F274" s="5">
        <f>Taxepunkter!F310</f>
        <v>0</v>
      </c>
      <c r="G274" s="5" t="str">
        <f>Taxepunkter!G310</f>
        <v/>
      </c>
      <c r="H274" s="5" t="str">
        <f>Taxepunkter!H310</f>
        <v/>
      </c>
      <c r="I274" s="5" t="str">
        <f>Taxepunkter!I310</f>
        <v/>
      </c>
      <c r="J274" s="5" t="str">
        <f>Taxepunkter!J310</f>
        <v/>
      </c>
      <c r="K274" s="5">
        <f>Taxepunkter!K310</f>
        <v>0</v>
      </c>
      <c r="L274" s="11">
        <f>Taxepunkter!L310</f>
        <v>0</v>
      </c>
    </row>
    <row r="275" spans="1:12" x14ac:dyDescent="0.25">
      <c r="A275" s="10" t="str">
        <f>Taxepunkter!A311</f>
        <v>§6.1.2</v>
      </c>
      <c r="B275" s="5" t="str">
        <f>Taxepunkter!B311</f>
        <v>Hanteringsavgifter för avfall inlämnat på återvinningscentral</v>
      </c>
      <c r="C275" s="5" t="str">
        <f>Taxepunkter!C311</f>
        <v>Glykolspill Avfallskod 16 01 14*</v>
      </c>
      <c r="D275" s="5">
        <f>Taxepunkter!D311</f>
        <v>0</v>
      </c>
      <c r="E275" s="5" t="str">
        <f>Taxepunkter!E311</f>
        <v>Kr/Kg</v>
      </c>
      <c r="F275" s="5">
        <f>Taxepunkter!F311</f>
        <v>0</v>
      </c>
      <c r="G275" s="5" t="str">
        <f>Taxepunkter!G311</f>
        <v/>
      </c>
      <c r="H275" s="5" t="str">
        <f>Taxepunkter!H311</f>
        <v/>
      </c>
      <c r="I275" s="5" t="str">
        <f>Taxepunkter!I311</f>
        <v/>
      </c>
      <c r="J275" s="5" t="str">
        <f>Taxepunkter!J311</f>
        <v/>
      </c>
      <c r="K275" s="5">
        <f>Taxepunkter!K311</f>
        <v>0</v>
      </c>
      <c r="L275" s="11">
        <f>Taxepunkter!L311</f>
        <v>0</v>
      </c>
    </row>
    <row r="276" spans="1:12" x14ac:dyDescent="0.25">
      <c r="A276" s="10" t="str">
        <f>Taxepunkter!A312</f>
        <v>§6.1.2</v>
      </c>
      <c r="B276" s="5" t="str">
        <f>Taxepunkter!B312</f>
        <v>Hanteringsavgifter för avfall inlämnat på återvinningscentral</v>
      </c>
      <c r="C276" s="5" t="str">
        <f>Taxepunkter!C312</f>
        <v>Härdare dibenzoylperoxid Avfallskod 20 01 27*</v>
      </c>
      <c r="D276" s="5" t="str">
        <f>Taxepunkter!D312</f>
        <v>3106</v>
      </c>
      <c r="E276" s="5" t="str">
        <f>Taxepunkter!E312</f>
        <v>Kr/Kg</v>
      </c>
      <c r="F276" s="5">
        <f>Taxepunkter!F312</f>
        <v>0</v>
      </c>
      <c r="G276" s="5" t="str">
        <f>Taxepunkter!G312</f>
        <v/>
      </c>
      <c r="H276" s="5" t="str">
        <f>Taxepunkter!H312</f>
        <v/>
      </c>
      <c r="I276" s="5" t="str">
        <f>Taxepunkter!I312</f>
        <v/>
      </c>
      <c r="J276" s="5" t="str">
        <f>Taxepunkter!J312</f>
        <v/>
      </c>
      <c r="K276" s="5">
        <f>Taxepunkter!K312</f>
        <v>0</v>
      </c>
      <c r="L276" s="11">
        <f>Taxepunkter!L312</f>
        <v>0</v>
      </c>
    </row>
    <row r="277" spans="1:12" x14ac:dyDescent="0.25">
      <c r="A277" s="10" t="str">
        <f>Taxepunkter!A313</f>
        <v>§6.1.2</v>
      </c>
      <c r="B277" s="5" t="str">
        <f>Taxepunkter!B313</f>
        <v>Hanteringsavgifter för avfall inlämnat på återvinningscentral</v>
      </c>
      <c r="C277" s="5" t="str">
        <f>Taxepunkter!C313</f>
        <v>Härdare metyletylketonperoxid Avfallskod 20 01 27*</v>
      </c>
      <c r="D277" s="5" t="str">
        <f>Taxepunkter!D313</f>
        <v>3105</v>
      </c>
      <c r="E277" s="5" t="str">
        <f>Taxepunkter!E313</f>
        <v>Kr/Kg</v>
      </c>
      <c r="F277" s="5">
        <f>Taxepunkter!F313</f>
        <v>0</v>
      </c>
      <c r="G277" s="5" t="str">
        <f>Taxepunkter!G313</f>
        <v/>
      </c>
      <c r="H277" s="5" t="str">
        <f>Taxepunkter!H313</f>
        <v/>
      </c>
      <c r="I277" s="5" t="str">
        <f>Taxepunkter!I313</f>
        <v/>
      </c>
      <c r="J277" s="5" t="str">
        <f>Taxepunkter!J313</f>
        <v/>
      </c>
      <c r="K277" s="5">
        <f>Taxepunkter!K313</f>
        <v>0</v>
      </c>
      <c r="L277" s="11">
        <f>Taxepunkter!L313</f>
        <v>0</v>
      </c>
    </row>
    <row r="278" spans="1:12" x14ac:dyDescent="0.25">
      <c r="A278" s="10" t="str">
        <f>Taxepunkter!A314</f>
        <v>§6.1.2</v>
      </c>
      <c r="B278" s="5" t="str">
        <f>Taxepunkter!B314</f>
        <v>Hanteringsavgifter för avfall inlämnat på återvinningscentral</v>
      </c>
      <c r="C278" s="5" t="str">
        <f>Taxepunkter!C314</f>
        <v>Fotokemikalier Avfallskod 20 01 17*</v>
      </c>
      <c r="D278" s="5">
        <f>Taxepunkter!D314</f>
        <v>0</v>
      </c>
      <c r="E278" s="5" t="str">
        <f>Taxepunkter!E314</f>
        <v>Kr/Kg</v>
      </c>
      <c r="F278" s="5">
        <f>Taxepunkter!F314</f>
        <v>0</v>
      </c>
      <c r="G278" s="5" t="str">
        <f>Taxepunkter!G314</f>
        <v/>
      </c>
      <c r="H278" s="5" t="str">
        <f>Taxepunkter!H314</f>
        <v/>
      </c>
      <c r="I278" s="5" t="str">
        <f>Taxepunkter!I314</f>
        <v/>
      </c>
      <c r="J278" s="5" t="str">
        <f>Taxepunkter!J314</f>
        <v/>
      </c>
      <c r="K278" s="5">
        <f>Taxepunkter!K314</f>
        <v>0</v>
      </c>
      <c r="L278" s="11">
        <f>Taxepunkter!L314</f>
        <v>0</v>
      </c>
    </row>
    <row r="279" spans="1:12" x14ac:dyDescent="0.25">
      <c r="A279" s="10" t="str">
        <f>Taxepunkter!A315</f>
        <v>§6.1.2</v>
      </c>
      <c r="B279" s="5" t="str">
        <f>Taxepunkter!B315</f>
        <v>Hanteringsavgifter för avfall inlämnat på återvinningscentral</v>
      </c>
      <c r="C279" s="5" t="str">
        <f>Taxepunkter!C315</f>
        <v>Avfall med kvicksilverinnehåll Avfallskod 20 01 21*</v>
      </c>
      <c r="D279" s="5" t="str">
        <f>Taxepunkter!D315</f>
        <v>2809</v>
      </c>
      <c r="E279" s="5" t="str">
        <f>Taxepunkter!E315</f>
        <v>Kr/Kg</v>
      </c>
      <c r="F279" s="5">
        <f>Taxepunkter!F315</f>
        <v>0</v>
      </c>
      <c r="G279" s="5" t="str">
        <f>Taxepunkter!G315</f>
        <v/>
      </c>
      <c r="H279" s="5" t="str">
        <f>Taxepunkter!H315</f>
        <v/>
      </c>
      <c r="I279" s="5" t="str">
        <f>Taxepunkter!I315</f>
        <v/>
      </c>
      <c r="J279" s="5" t="str">
        <f>Taxepunkter!J315</f>
        <v/>
      </c>
      <c r="K279" s="5">
        <f>Taxepunkter!K315</f>
        <v>0</v>
      </c>
      <c r="L279" s="11">
        <f>Taxepunkter!L315</f>
        <v>0</v>
      </c>
    </row>
    <row r="280" spans="1:12" x14ac:dyDescent="0.25">
      <c r="A280" s="10" t="str">
        <f>Taxepunkter!A316</f>
        <v>§6.1.2</v>
      </c>
      <c r="B280" s="5" t="str">
        <f>Taxepunkter!B316</f>
        <v>Hanteringsavgifter för avfall inlämnat på återvinningscentral</v>
      </c>
      <c r="C280" s="5" t="str">
        <f>Taxepunkter!C316</f>
        <v>Kvicksilver i föremål Avfallskod 20 01 21*</v>
      </c>
      <c r="D280" s="5" t="str">
        <f>Taxepunkter!D316</f>
        <v>3506</v>
      </c>
      <c r="E280" s="5" t="str">
        <f>Taxepunkter!E316</f>
        <v>Kr/Kg</v>
      </c>
      <c r="F280" s="5">
        <f>Taxepunkter!F316</f>
        <v>0</v>
      </c>
      <c r="G280" s="5" t="str">
        <f>Taxepunkter!G316</f>
        <v/>
      </c>
      <c r="H280" s="5" t="str">
        <f>Taxepunkter!H316</f>
        <v/>
      </c>
      <c r="I280" s="5" t="str">
        <f>Taxepunkter!I316</f>
        <v/>
      </c>
      <c r="J280" s="5" t="str">
        <f>Taxepunkter!J316</f>
        <v/>
      </c>
      <c r="K280" s="5">
        <f>Taxepunkter!K316</f>
        <v>0</v>
      </c>
      <c r="L280" s="11">
        <f>Taxepunkter!L316</f>
        <v>0</v>
      </c>
    </row>
    <row r="281" spans="1:12" x14ac:dyDescent="0.25">
      <c r="A281" s="10" t="str">
        <f>Taxepunkter!A317</f>
        <v>§6.1.2</v>
      </c>
      <c r="B281" s="5" t="str">
        <f>Taxepunkter!B317</f>
        <v>Hanteringsavgifter för avfall inlämnat på återvinningscentral</v>
      </c>
      <c r="C281" s="5" t="str">
        <f>Taxepunkter!C317</f>
        <v>Småkemikalier, ej Hg-haltiga Avfallskod 16 05 06*</v>
      </c>
      <c r="D281" s="5" t="str">
        <f>Taxepunkter!D317</f>
        <v>3286</v>
      </c>
      <c r="E281" s="5" t="str">
        <f>Taxepunkter!E317</f>
        <v>Kr/Kg</v>
      </c>
      <c r="F281" s="5">
        <f>Taxepunkter!F317</f>
        <v>0</v>
      </c>
      <c r="G281" s="5" t="str">
        <f>Taxepunkter!G317</f>
        <v/>
      </c>
      <c r="H281" s="5" t="str">
        <f>Taxepunkter!H317</f>
        <v/>
      </c>
      <c r="I281" s="5" t="str">
        <f>Taxepunkter!I317</f>
        <v/>
      </c>
      <c r="J281" s="5" t="str">
        <f>Taxepunkter!J317</f>
        <v/>
      </c>
      <c r="K281" s="5">
        <f>Taxepunkter!K317</f>
        <v>0</v>
      </c>
      <c r="L281" s="11">
        <f>Taxepunkter!L317</f>
        <v>0</v>
      </c>
    </row>
    <row r="282" spans="1:12" x14ac:dyDescent="0.25">
      <c r="A282" s="10" t="str">
        <f>Taxepunkter!A318</f>
        <v>§6.1.2</v>
      </c>
      <c r="B282" s="5" t="str">
        <f>Taxepunkter!B318</f>
        <v>Hanteringsavgifter för avfall inlämnat på återvinningscentral</v>
      </c>
      <c r="C282" s="5" t="str">
        <f>Taxepunkter!C318</f>
        <v>Förpackningar, tömda ej rengjorda Avfallskod 15 01 10*</v>
      </c>
      <c r="D282" s="5">
        <f>Taxepunkter!D318</f>
        <v>0</v>
      </c>
      <c r="E282" s="5" t="str">
        <f>Taxepunkter!E318</f>
        <v>Kr/Kg</v>
      </c>
      <c r="F282" s="5">
        <f>Taxepunkter!F318</f>
        <v>0</v>
      </c>
      <c r="G282" s="5" t="str">
        <f>Taxepunkter!G318</f>
        <v/>
      </c>
      <c r="H282" s="5" t="str">
        <f>Taxepunkter!H318</f>
        <v/>
      </c>
      <c r="I282" s="5" t="str">
        <f>Taxepunkter!I318</f>
        <v/>
      </c>
      <c r="J282" s="5" t="str">
        <f>Taxepunkter!J318</f>
        <v/>
      </c>
      <c r="K282" s="5">
        <f>Taxepunkter!K318</f>
        <v>0</v>
      </c>
      <c r="L282" s="11">
        <f>Taxepunkter!L318</f>
        <v>0</v>
      </c>
    </row>
    <row r="283" spans="1:12" x14ac:dyDescent="0.25">
      <c r="A283" s="10" t="str">
        <f>Taxepunkter!A319</f>
        <v>§6.1.2</v>
      </c>
      <c r="B283" s="5" t="str">
        <f>Taxepunkter!B319</f>
        <v>Hanteringsavgifter för avfall inlämnat på återvinningscentral</v>
      </c>
      <c r="C283" s="5" t="str">
        <f>Taxepunkter!C319</f>
        <v>Toner/färgpatroner Avfallskod 08 03 07</v>
      </c>
      <c r="D283" s="5">
        <f>Taxepunkter!D319</f>
        <v>0</v>
      </c>
      <c r="E283" s="5" t="str">
        <f>Taxepunkter!E319</f>
        <v>Kr/Kg</v>
      </c>
      <c r="F283" s="5">
        <f>Taxepunkter!F319</f>
        <v>0</v>
      </c>
      <c r="G283" s="5" t="str">
        <f>Taxepunkter!G319</f>
        <v/>
      </c>
      <c r="H283" s="5" t="str">
        <f>Taxepunkter!H319</f>
        <v/>
      </c>
      <c r="I283" s="5" t="str">
        <f>Taxepunkter!I319</f>
        <v/>
      </c>
      <c r="J283" s="5" t="str">
        <f>Taxepunkter!J319</f>
        <v/>
      </c>
      <c r="K283" s="5">
        <f>Taxepunkter!K319</f>
        <v>0</v>
      </c>
      <c r="L283" s="11">
        <f>Taxepunkter!L319</f>
        <v>0</v>
      </c>
    </row>
    <row r="284" spans="1:12" x14ac:dyDescent="0.25">
      <c r="A284" s="10" t="str">
        <f>Taxepunkter!A320</f>
        <v>§6.1.2</v>
      </c>
      <c r="B284" s="5" t="str">
        <f>Taxepunkter!B320</f>
        <v>Hanteringsavgifter för avfall inlämnat på återvinningscentral</v>
      </c>
      <c r="C284" s="5" t="str">
        <f>Taxepunkter!C320</f>
        <v>Oxiderande fast ämnen/vätska Avfallskod 16 05 04*</v>
      </c>
      <c r="D284" s="5" t="str">
        <f>Taxepunkter!D320</f>
        <v>1479</v>
      </c>
      <c r="E284" s="5" t="str">
        <f>Taxepunkter!E320</f>
        <v>Kr/Kg</v>
      </c>
      <c r="F284" s="5">
        <f>Taxepunkter!F320</f>
        <v>0</v>
      </c>
      <c r="G284" s="5" t="str">
        <f>Taxepunkter!G320</f>
        <v/>
      </c>
      <c r="H284" s="5" t="str">
        <f>Taxepunkter!H320</f>
        <v/>
      </c>
      <c r="I284" s="5" t="str">
        <f>Taxepunkter!I320</f>
        <v/>
      </c>
      <c r="J284" s="5" t="str">
        <f>Taxepunkter!J320</f>
        <v/>
      </c>
      <c r="K284" s="5">
        <f>Taxepunkter!K320</f>
        <v>0</v>
      </c>
      <c r="L284" s="11">
        <f>Taxepunkter!L320</f>
        <v>0</v>
      </c>
    </row>
    <row r="285" spans="1:12" x14ac:dyDescent="0.25">
      <c r="A285" s="10" t="str">
        <f>Taxepunkter!A321</f>
        <v>§6.1.2</v>
      </c>
      <c r="B285" s="5" t="str">
        <f>Taxepunkter!B321</f>
        <v>Hanteringsavgifter för avfall inlämnat på återvinningscentral</v>
      </c>
      <c r="C285" s="5" t="str">
        <f>Taxepunkter!C321</f>
        <v>Klorex Avfallskod 16 05 04*</v>
      </c>
      <c r="D285" s="5" t="str">
        <f>Taxepunkter!D321</f>
        <v>1495</v>
      </c>
      <c r="E285" s="5" t="str">
        <f>Taxepunkter!E321</f>
        <v>Kr/Kg</v>
      </c>
      <c r="F285" s="5">
        <f>Taxepunkter!F321</f>
        <v>0</v>
      </c>
      <c r="G285" s="5" t="str">
        <f>Taxepunkter!G321</f>
        <v/>
      </c>
      <c r="H285" s="5" t="str">
        <f>Taxepunkter!H321</f>
        <v/>
      </c>
      <c r="I285" s="5" t="str">
        <f>Taxepunkter!I321</f>
        <v/>
      </c>
      <c r="J285" s="5" t="str">
        <f>Taxepunkter!J321</f>
        <v/>
      </c>
      <c r="K285" s="5">
        <f>Taxepunkter!K321</f>
        <v>0</v>
      </c>
      <c r="L285" s="11">
        <f>Taxepunkter!L321</f>
        <v>0</v>
      </c>
    </row>
    <row r="286" spans="1:12" x14ac:dyDescent="0.25">
      <c r="A286" s="10" t="str">
        <f>Taxepunkter!A322</f>
        <v>§6.1.2</v>
      </c>
      <c r="B286" s="5" t="str">
        <f>Taxepunkter!B322</f>
        <v>Hanteringsavgifter för avfall inlämnat på återvinningscentral</v>
      </c>
      <c r="C286" s="5" t="str">
        <f>Taxepunkter!C322</f>
        <v>Aerosoler isocyanat/bekämpningsmedel/ugnsrengöring Avfallskod 16 05 04*</v>
      </c>
      <c r="D286" s="5" t="str">
        <f>Taxepunkter!D322</f>
        <v>1950</v>
      </c>
      <c r="E286" s="5" t="str">
        <f>Taxepunkter!E322</f>
        <v>Kr/Kg</v>
      </c>
      <c r="F286" s="5">
        <f>Taxepunkter!F322</f>
        <v>0</v>
      </c>
      <c r="G286" s="5" t="str">
        <f>Taxepunkter!G322</f>
        <v/>
      </c>
      <c r="H286" s="5" t="str">
        <f>Taxepunkter!H322</f>
        <v/>
      </c>
      <c r="I286" s="5" t="str">
        <f>Taxepunkter!I322</f>
        <v/>
      </c>
      <c r="J286" s="5" t="str">
        <f>Taxepunkter!J322</f>
        <v/>
      </c>
      <c r="K286" s="5">
        <f>Taxepunkter!K322</f>
        <v>0</v>
      </c>
      <c r="L286" s="11">
        <f>Taxepunkter!L322</f>
        <v>0</v>
      </c>
    </row>
    <row r="287" spans="1:12" x14ac:dyDescent="0.25">
      <c r="A287" s="10" t="str">
        <f>Taxepunkter!A323</f>
        <v>§6.1.2</v>
      </c>
      <c r="B287" s="5" t="str">
        <f>Taxepunkter!B323</f>
        <v>Hanteringsavgifter för avfall inlämnat på återvinningscentral</v>
      </c>
      <c r="C287" s="5" t="str">
        <f>Taxepunkter!C323</f>
        <v>Tändare Avfallskod 16 05 04*</v>
      </c>
      <c r="D287" s="5" t="str">
        <f>Taxepunkter!D323</f>
        <v>1057</v>
      </c>
      <c r="E287" s="5" t="str">
        <f>Taxepunkter!E323</f>
        <v>Kr/Kg</v>
      </c>
      <c r="F287" s="5">
        <f>Taxepunkter!F323</f>
        <v>0</v>
      </c>
      <c r="G287" s="5" t="str">
        <f>Taxepunkter!G323</f>
        <v/>
      </c>
      <c r="H287" s="5" t="str">
        <f>Taxepunkter!H323</f>
        <v/>
      </c>
      <c r="I287" s="5" t="str">
        <f>Taxepunkter!I323</f>
        <v/>
      </c>
      <c r="J287" s="5" t="str">
        <f>Taxepunkter!J323</f>
        <v/>
      </c>
      <c r="K287" s="5">
        <f>Taxepunkter!K323</f>
        <v>0</v>
      </c>
      <c r="L287" s="11">
        <f>Taxepunkter!L323</f>
        <v>0</v>
      </c>
    </row>
    <row r="288" spans="1:12" x14ac:dyDescent="0.25">
      <c r="A288" s="10" t="str">
        <f>Taxepunkter!A324</f>
        <v>§6.1.2</v>
      </c>
      <c r="B288" s="5" t="str">
        <f>Taxepunkter!B324</f>
        <v>Hanteringsavgifter för avfall inlämnat på återvinningscentral</v>
      </c>
      <c r="C288" s="5" t="str">
        <f>Taxepunkter!C324</f>
        <v>Engångsgasol Avfallskod 16 05 04*</v>
      </c>
      <c r="D288" s="5" t="str">
        <f>Taxepunkter!D324</f>
        <v>2037</v>
      </c>
      <c r="E288" s="5" t="str">
        <f>Taxepunkter!E324</f>
        <v>Kr/Kg</v>
      </c>
      <c r="F288" s="5">
        <f>Taxepunkter!F324</f>
        <v>0</v>
      </c>
      <c r="G288" s="5" t="str">
        <f>Taxepunkter!G324</f>
        <v/>
      </c>
      <c r="H288" s="5" t="str">
        <f>Taxepunkter!H324</f>
        <v/>
      </c>
      <c r="I288" s="5" t="str">
        <f>Taxepunkter!I324</f>
        <v/>
      </c>
      <c r="J288" s="5" t="str">
        <f>Taxepunkter!J324</f>
        <v/>
      </c>
      <c r="K288" s="5">
        <f>Taxepunkter!K324</f>
        <v>0</v>
      </c>
      <c r="L288" s="11">
        <f>Taxepunkter!L324</f>
        <v>0</v>
      </c>
    </row>
    <row r="289" spans="1:12" x14ac:dyDescent="0.25">
      <c r="A289" s="10" t="str">
        <f>Taxepunkter!A325</f>
        <v>§6.1.2</v>
      </c>
      <c r="B289" s="5" t="str">
        <f>Taxepunkter!B325</f>
        <v>Hanteringsavgifter för avfall inlämnat på återvinningscentral</v>
      </c>
      <c r="C289" s="5" t="str">
        <f>Taxepunkter!C325</f>
        <v>Brandsläckare Avfallskod 16 05 04*</v>
      </c>
      <c r="D289" s="5" t="str">
        <f>Taxepunkter!D325</f>
        <v>1044</v>
      </c>
      <c r="E289" s="5" t="str">
        <f>Taxepunkter!E325</f>
        <v>Kr/Kg</v>
      </c>
      <c r="F289" s="5">
        <f>Taxepunkter!F325</f>
        <v>0</v>
      </c>
      <c r="G289" s="5" t="str">
        <f>Taxepunkter!G325</f>
        <v/>
      </c>
      <c r="H289" s="5" t="str">
        <f>Taxepunkter!H325</f>
        <v/>
      </c>
      <c r="I289" s="5" t="str">
        <f>Taxepunkter!I325</f>
        <v/>
      </c>
      <c r="J289" s="5" t="str">
        <f>Taxepunkter!J325</f>
        <v/>
      </c>
      <c r="K289" s="5">
        <f>Taxepunkter!K325</f>
        <v>0</v>
      </c>
      <c r="L289" s="11">
        <f>Taxepunkter!L325</f>
        <v>0</v>
      </c>
    </row>
    <row r="290" spans="1:12" x14ac:dyDescent="0.25">
      <c r="A290" s="10" t="str">
        <f>Taxepunkter!A326</f>
        <v>§6.1.2</v>
      </c>
      <c r="B290" s="5" t="str">
        <f>Taxepunkter!B326</f>
        <v>Hanteringsavgifter för avfall inlämnat på återvinningscentral</v>
      </c>
      <c r="C290" s="5" t="str">
        <f>Taxepunkter!C326</f>
        <v>Koldioxid Avfallskod 16 05 04*</v>
      </c>
      <c r="D290" s="5" t="str">
        <f>Taxepunkter!D326</f>
        <v>1013</v>
      </c>
      <c r="E290" s="5" t="str">
        <f>Taxepunkter!E326</f>
        <v>Kr/Kg</v>
      </c>
      <c r="F290" s="5">
        <f>Taxepunkter!F326</f>
        <v>0</v>
      </c>
      <c r="G290" s="5" t="str">
        <f>Taxepunkter!G326</f>
        <v/>
      </c>
      <c r="H290" s="5" t="str">
        <f>Taxepunkter!H326</f>
        <v/>
      </c>
      <c r="I290" s="5" t="str">
        <f>Taxepunkter!I326</f>
        <v/>
      </c>
      <c r="J290" s="5" t="str">
        <f>Taxepunkter!J326</f>
        <v/>
      </c>
      <c r="K290" s="5">
        <f>Taxepunkter!K326</f>
        <v>0</v>
      </c>
      <c r="L290" s="11">
        <f>Taxepunkter!L326</f>
        <v>0</v>
      </c>
    </row>
    <row r="291" spans="1:12" x14ac:dyDescent="0.25">
      <c r="A291" s="10" t="str">
        <f>Taxepunkter!A327</f>
        <v>§6.1.2</v>
      </c>
      <c r="B291" s="5" t="str">
        <f>Taxepunkter!B327</f>
        <v>Hanteringsavgifter för avfall inlämnat på återvinningscentral</v>
      </c>
      <c r="C291" s="5" t="str">
        <f>Taxepunkter!C327</f>
        <v>Gasol Avfallskod 16 05 04*</v>
      </c>
      <c r="D291" s="5" t="str">
        <f>Taxepunkter!D327</f>
        <v>1965</v>
      </c>
      <c r="E291" s="5" t="str">
        <f>Taxepunkter!E327</f>
        <v>Kr/Kg</v>
      </c>
      <c r="F291" s="5">
        <f>Taxepunkter!F327</f>
        <v>0</v>
      </c>
      <c r="G291" s="5" t="str">
        <f>Taxepunkter!G327</f>
        <v/>
      </c>
      <c r="H291" s="5" t="str">
        <f>Taxepunkter!H327</f>
        <v/>
      </c>
      <c r="I291" s="5" t="str">
        <f>Taxepunkter!I327</f>
        <v/>
      </c>
      <c r="J291" s="5" t="str">
        <f>Taxepunkter!J327</f>
        <v/>
      </c>
      <c r="K291" s="5">
        <f>Taxepunkter!K327</f>
        <v>0</v>
      </c>
      <c r="L291" s="11">
        <f>Taxepunkter!L327</f>
        <v>0</v>
      </c>
    </row>
    <row r="292" spans="1:12" x14ac:dyDescent="0.25">
      <c r="A292" s="46" t="str">
        <f>Taxepunkter!A328</f>
        <v>§6.1.2</v>
      </c>
      <c r="B292" s="47" t="str">
        <f>Taxepunkter!B328</f>
        <v>Hanteringsavgifter för avfall inlämnat på återvinningscentral</v>
      </c>
      <c r="C292" s="47" t="str">
        <f>Taxepunkter!C328</f>
        <v>Helium Avfallskod 16 05 04*</v>
      </c>
      <c r="D292" s="47" t="str">
        <f>Taxepunkter!D328</f>
        <v>1046</v>
      </c>
      <c r="E292" s="47" t="str">
        <f>Taxepunkter!E328</f>
        <v>Kr/Kg</v>
      </c>
      <c r="F292" s="47">
        <f>Taxepunkter!F328</f>
        <v>0</v>
      </c>
      <c r="G292" s="47" t="str">
        <f>Taxepunkter!G328</f>
        <v/>
      </c>
      <c r="H292" s="47" t="str">
        <f>Taxepunkter!H328</f>
        <v/>
      </c>
      <c r="I292" s="47" t="str">
        <f>Taxepunkter!I328</f>
        <v/>
      </c>
      <c r="J292" s="47" t="str">
        <f>Taxepunkter!J328</f>
        <v/>
      </c>
      <c r="K292" s="47">
        <f>Taxepunkter!K328</f>
        <v>0</v>
      </c>
      <c r="L292" s="48">
        <f>Taxepunkter!L328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4"/>
  <sheetViews>
    <sheetView workbookViewId="0"/>
  </sheetViews>
  <sheetFormatPr defaultRowHeight="15" x14ac:dyDescent="0.25"/>
  <sheetData>
    <row r="1" spans="1:3" ht="18.75" customHeight="1" x14ac:dyDescent="0.3">
      <c r="A1" s="49" t="s">
        <v>489</v>
      </c>
      <c r="B1" s="50"/>
      <c r="C1" s="9"/>
    </row>
    <row r="2" spans="1:3" x14ac:dyDescent="0.25">
      <c r="A2" s="10"/>
      <c r="B2" s="5"/>
      <c r="C2" s="11"/>
    </row>
    <row r="3" spans="1:3" x14ac:dyDescent="0.25">
      <c r="A3" s="12" t="s">
        <v>9</v>
      </c>
      <c r="B3" s="6" t="s">
        <v>12</v>
      </c>
      <c r="C3" s="51" t="s">
        <v>1</v>
      </c>
    </row>
    <row r="4" spans="1:3" x14ac:dyDescent="0.25">
      <c r="A4" s="10" t="s">
        <v>81</v>
      </c>
      <c r="B4" s="5" t="s">
        <v>490</v>
      </c>
      <c r="C4" s="13">
        <f>SUMIFS(Taxepunkter_Rådata!K:K,Taxepunkter_Rådata!A:A,"§2.2.4",Taxepunkter_Rådata!D:D,"Hämtning Avgift per lägenhet")</f>
        <v>0</v>
      </c>
    </row>
    <row r="5" spans="1:3" x14ac:dyDescent="0.25">
      <c r="A5" s="10" t="s">
        <v>81</v>
      </c>
      <c r="B5" s="5" t="s">
        <v>491</v>
      </c>
      <c r="C5" s="13">
        <f>SUMIFS(Taxepunkter_Rådata!K:K,Taxepunkter_Rådata!A:A,"§2.2.4",Taxepunkter_Rådata!D:D,"Hämtning Avgift per tömning")</f>
        <v>0</v>
      </c>
    </row>
    <row r="6" spans="1:3" x14ac:dyDescent="0.25">
      <c r="A6" s="10" t="s">
        <v>81</v>
      </c>
      <c r="B6" s="5" t="s">
        <v>51</v>
      </c>
      <c r="C6" s="13">
        <f>SUMIFS(Taxepunkter_Rådata!K:K,Taxepunkter_Rådata!A:A,"§2.2.4",Taxepunkter_Rådata!D:D,"Hämtning månadsvis")</f>
        <v>0</v>
      </c>
    </row>
    <row r="7" spans="1:3" x14ac:dyDescent="0.25">
      <c r="A7" s="10" t="s">
        <v>81</v>
      </c>
      <c r="B7" s="5" t="s">
        <v>49</v>
      </c>
      <c r="C7" s="13">
        <f>SUMIFS(Taxepunkter_Rådata!K:K,Taxepunkter_Rådata!A:A,"§2.2.4",Taxepunkter_Rådata!D:D,"Hämtning var 14:e dag")</f>
        <v>0</v>
      </c>
    </row>
    <row r="8" spans="1:3" x14ac:dyDescent="0.25">
      <c r="A8" s="10" t="s">
        <v>81</v>
      </c>
      <c r="B8" s="5" t="s">
        <v>83</v>
      </c>
      <c r="C8" s="13">
        <f>SUMIFS(Taxepunkter_Rådata!K:K,Taxepunkter_Rådata!A:A,"§2.2.4",Taxepunkter_Rådata!D:D,"Hämtning varje vecka")</f>
        <v>0</v>
      </c>
    </row>
    <row r="9" spans="1:3" x14ac:dyDescent="0.25">
      <c r="A9" s="10" t="s">
        <v>130</v>
      </c>
      <c r="B9" s="5" t="s">
        <v>491</v>
      </c>
      <c r="C9" s="13">
        <f>SUMIFS(Taxepunkter_Rådata!K:K,Taxepunkter_Rådata!A:A,"§2.2.5",Taxepunkter_Rådata!D:D,"Hämtning Avgift per tömning")</f>
        <v>0</v>
      </c>
    </row>
    <row r="10" spans="1:3" x14ac:dyDescent="0.25">
      <c r="A10" s="10" t="s">
        <v>130</v>
      </c>
      <c r="B10" s="5" t="s">
        <v>51</v>
      </c>
      <c r="C10" s="13">
        <f>SUMIFS(Taxepunkter_Rådata!K:K,Taxepunkter_Rådata!A:A,"§2.2.5",Taxepunkter_Rådata!D:D,"Hämtning månadsvis")</f>
        <v>0</v>
      </c>
    </row>
    <row r="11" spans="1:3" x14ac:dyDescent="0.25">
      <c r="A11" s="10" t="s">
        <v>130</v>
      </c>
      <c r="B11" s="5" t="s">
        <v>49</v>
      </c>
      <c r="C11" s="13">
        <f>SUMIFS(Taxepunkter_Rådata!K:K,Taxepunkter_Rådata!A:A,"§2.2.5",Taxepunkter_Rådata!D:D,"Hämtning var 14:e dag")</f>
        <v>0</v>
      </c>
    </row>
    <row r="12" spans="1:3" x14ac:dyDescent="0.25">
      <c r="A12" s="10" t="s">
        <v>130</v>
      </c>
      <c r="B12" s="5" t="s">
        <v>83</v>
      </c>
      <c r="C12" s="13">
        <f>SUMIFS(Taxepunkter_Rådata!K:K,Taxepunkter_Rådata!A:A,"§2.2.5",Taxepunkter_Rådata!D:D,"Hämtning varje vecka")</f>
        <v>0</v>
      </c>
    </row>
    <row r="13" spans="1:3" x14ac:dyDescent="0.25">
      <c r="A13" s="10" t="s">
        <v>492</v>
      </c>
      <c r="B13" s="5" t="s">
        <v>177</v>
      </c>
      <c r="C13" s="13">
        <f>SUMIFS(Taxepunkter_Rådata!K:K,Taxepunkter_Rådata!A:A,"§2.6.2",Taxepunkter_Rådata!D:D,"Över 100 kg")</f>
        <v>0</v>
      </c>
    </row>
    <row r="14" spans="1:3" x14ac:dyDescent="0.25">
      <c r="A14" s="10" t="s">
        <v>492</v>
      </c>
      <c r="B14" s="5" t="s">
        <v>172</v>
      </c>
      <c r="C14" s="13">
        <f>SUMIFS(Taxepunkter_Rådata!K:K,Taxepunkter_Rådata!A:A,"§2.6.2",Taxepunkter_Rådata!D:D,"Över 40 kg")</f>
        <v>0</v>
      </c>
    </row>
    <row r="15" spans="1:3" x14ac:dyDescent="0.25">
      <c r="A15" s="10" t="s">
        <v>492</v>
      </c>
      <c r="B15" s="5" t="s">
        <v>174</v>
      </c>
      <c r="C15" s="13">
        <f>SUMIFS(Taxepunkter_Rådata!K:K,Taxepunkter_Rådata!A:A,"§2.6.2",Taxepunkter_Rådata!D:D,"Över 60 kg")</f>
        <v>0</v>
      </c>
    </row>
    <row r="16" spans="1:3" x14ac:dyDescent="0.25">
      <c r="A16" s="10" t="s">
        <v>493</v>
      </c>
      <c r="B16" s="5" t="s">
        <v>193</v>
      </c>
      <c r="C16" s="13">
        <f>SUMIFS(Taxepunkter_Rådata!K:K,Taxepunkter_Rådata!A:A,"§2.6.5",Taxepunkter_Rådata!D:D,"140–240 liter")</f>
        <v>0</v>
      </c>
    </row>
    <row r="17" spans="1:3" x14ac:dyDescent="0.25">
      <c r="A17" s="10" t="s">
        <v>493</v>
      </c>
      <c r="B17" s="5" t="s">
        <v>194</v>
      </c>
      <c r="C17" s="13">
        <f>SUMIFS(Taxepunkter_Rådata!K:K,Taxepunkter_Rådata!A:A,"§2.6.5",Taxepunkter_Rådata!D:D,"370–660 liter")</f>
        <v>0</v>
      </c>
    </row>
    <row r="18" spans="1:3" x14ac:dyDescent="0.25">
      <c r="A18" s="10" t="s">
        <v>494</v>
      </c>
      <c r="B18" s="5" t="s">
        <v>495</v>
      </c>
      <c r="C18" s="13">
        <f>SUMIFS(Taxepunkter_Rådata!K:K,Taxepunkter_Rådata!A:A,"§2.6.7",Taxepunkter_Rådata!D:D,"1,5-10")</f>
        <v>0</v>
      </c>
    </row>
    <row r="19" spans="1:3" x14ac:dyDescent="0.25">
      <c r="A19" s="10" t="s">
        <v>494</v>
      </c>
      <c r="B19" s="5" t="s">
        <v>205</v>
      </c>
      <c r="C19" s="13">
        <f>SUMIFS(Taxepunkter_Rådata!K:K,Taxepunkter_Rådata!A:A,"§2.6.7",Taxepunkter_Rådata!D:D,"10-20")</f>
        <v>0</v>
      </c>
    </row>
    <row r="20" spans="1:3" x14ac:dyDescent="0.25">
      <c r="A20" s="10" t="s">
        <v>494</v>
      </c>
      <c r="B20" s="5" t="s">
        <v>206</v>
      </c>
      <c r="C20" s="13">
        <f>SUMIFS(Taxepunkter_Rådata!K:K,Taxepunkter_Rådata!A:A,"§2.6.7",Taxepunkter_Rådata!D:D,"20-30")</f>
        <v>0</v>
      </c>
    </row>
    <row r="21" spans="1:3" x14ac:dyDescent="0.25">
      <c r="A21" s="10" t="s">
        <v>260</v>
      </c>
      <c r="B21" s="5" t="s">
        <v>263</v>
      </c>
      <c r="C21" s="13">
        <f>SUMIFS(Taxepunkter_Rådata!K:K,Taxepunkter_Rådata!A:A,"§3.3",Taxepunkter_Rådata!D:D,"Inom 24 timmar")</f>
        <v>0</v>
      </c>
    </row>
    <row r="22" spans="1:3" x14ac:dyDescent="0.25">
      <c r="A22" s="10" t="s">
        <v>260</v>
      </c>
      <c r="B22" s="5" t="s">
        <v>265</v>
      </c>
      <c r="C22" s="13">
        <f>SUMIFS(Taxepunkter_Rådata!K:K,Taxepunkter_Rådata!A:A,"§3.3",Taxepunkter_Rådata!D:D,"Inom 7 arbetsdagar")</f>
        <v>0</v>
      </c>
    </row>
    <row r="23" spans="1:3" x14ac:dyDescent="0.25">
      <c r="A23" s="10" t="s">
        <v>274</v>
      </c>
      <c r="B23" s="5" t="s">
        <v>265</v>
      </c>
      <c r="C23" s="13">
        <f>SUMIFS(Taxepunkter_Rådata!K:K,Taxepunkter_Rådata!A:A,"§4.1",Taxepunkter_Rådata!D:D,"Inom 7 arbetsdagar")</f>
        <v>0</v>
      </c>
    </row>
    <row r="24" spans="1:3" x14ac:dyDescent="0.25">
      <c r="A24" s="10" t="s">
        <v>496</v>
      </c>
      <c r="B24" s="5" t="s">
        <v>263</v>
      </c>
      <c r="C24" s="13">
        <f>SUMIFS(Taxepunkter_Rådata!K:K,Taxepunkter_Rådata!A:A,"§4.3",Taxepunkter_Rådata!D:D,"Inom 24 timmar")</f>
        <v>0</v>
      </c>
    </row>
    <row r="25" spans="1:3" x14ac:dyDescent="0.25">
      <c r="A25" s="10" t="s">
        <v>496</v>
      </c>
      <c r="B25" s="5" t="s">
        <v>265</v>
      </c>
      <c r="C25" s="13">
        <f>SUMIFS(Taxepunkter_Rådata!K:K,Taxepunkter_Rådata!A:A,"§4.3",Taxepunkter_Rådata!D:D,"Inom 7 arbetsdagar")</f>
        <v>0</v>
      </c>
    </row>
    <row r="26" spans="1:3" x14ac:dyDescent="0.25">
      <c r="A26" s="10" t="s">
        <v>302</v>
      </c>
      <c r="B26" s="5" t="s">
        <v>263</v>
      </c>
      <c r="C26" s="13">
        <f>SUMIFS(Taxepunkter_Rådata!K:K,Taxepunkter_Rådata!A:A,"§5.3",Taxepunkter_Rådata!D:D,"Inom 24 timmar")</f>
        <v>0</v>
      </c>
    </row>
    <row r="27" spans="1:3" x14ac:dyDescent="0.25">
      <c r="A27" s="10" t="s">
        <v>302</v>
      </c>
      <c r="B27" s="5" t="s">
        <v>265</v>
      </c>
      <c r="C27" s="13">
        <f>SUMIFS(Taxepunkter_Rådata!K:K,Taxepunkter_Rådata!A:A,"§5.3",Taxepunkter_Rådata!D:D,"Inom 7 arbetsdagar")</f>
        <v>0</v>
      </c>
    </row>
    <row r="28" spans="1:3" x14ac:dyDescent="0.25">
      <c r="A28" s="10" t="s">
        <v>497</v>
      </c>
      <c r="B28" s="5" t="s">
        <v>432</v>
      </c>
      <c r="C28" s="13">
        <f>SUMIFS(Taxepunkter_Rådata!K:K,Taxepunkter_Rådata!A:A,"§6",Taxepunkter_Rådata!D:D,"1009")</f>
        <v>0</v>
      </c>
    </row>
    <row r="29" spans="1:3" x14ac:dyDescent="0.25">
      <c r="A29" s="10" t="s">
        <v>497</v>
      </c>
      <c r="B29" s="5" t="s">
        <v>424</v>
      </c>
      <c r="C29" s="13">
        <f>SUMIFS(Taxepunkter_Rådata!K:K,Taxepunkter_Rådata!A:A,"§6",Taxepunkter_Rådata!D:D,"1013")</f>
        <v>0</v>
      </c>
    </row>
    <row r="30" spans="1:3" x14ac:dyDescent="0.25">
      <c r="A30" s="10" t="s">
        <v>497</v>
      </c>
      <c r="B30" s="5" t="s">
        <v>448</v>
      </c>
      <c r="C30" s="13">
        <f>SUMIFS(Taxepunkter_Rådata!K:K,Taxepunkter_Rådata!A:A,"§6",Taxepunkter_Rådata!D:D,"1043")</f>
        <v>0</v>
      </c>
    </row>
    <row r="31" spans="1:3" x14ac:dyDescent="0.25">
      <c r="A31" s="10" t="s">
        <v>497</v>
      </c>
      <c r="B31" s="5" t="s">
        <v>422</v>
      </c>
      <c r="C31" s="13">
        <f>SUMIFS(Taxepunkter_Rådata!K:K,Taxepunkter_Rådata!A:A,"§6",Taxepunkter_Rådata!D:D,"1044")</f>
        <v>0</v>
      </c>
    </row>
    <row r="32" spans="1:3" x14ac:dyDescent="0.25">
      <c r="A32" s="10" t="s">
        <v>497</v>
      </c>
      <c r="B32" s="5" t="s">
        <v>428</v>
      </c>
      <c r="C32" s="13">
        <f>SUMIFS(Taxepunkter_Rådata!K:K,Taxepunkter_Rådata!A:A,"§6",Taxepunkter_Rådata!D:D,"1046")</f>
        <v>0</v>
      </c>
    </row>
    <row r="33" spans="1:3" x14ac:dyDescent="0.25">
      <c r="A33" s="10" t="s">
        <v>497</v>
      </c>
      <c r="B33" s="5" t="s">
        <v>418</v>
      </c>
      <c r="C33" s="13">
        <f>SUMIFS(Taxepunkter_Rådata!K:K,Taxepunkter_Rådata!A:A,"§6",Taxepunkter_Rådata!D:D,"1057")</f>
        <v>0</v>
      </c>
    </row>
    <row r="34" spans="1:3" x14ac:dyDescent="0.25">
      <c r="A34" s="10" t="s">
        <v>497</v>
      </c>
      <c r="B34" s="5" t="s">
        <v>430</v>
      </c>
      <c r="C34" s="13">
        <f>SUMIFS(Taxepunkter_Rådata!K:K,Taxepunkter_Rådata!A:A,"§6",Taxepunkter_Rådata!D:D,"1072")</f>
        <v>0</v>
      </c>
    </row>
    <row r="35" spans="1:3" x14ac:dyDescent="0.25">
      <c r="A35" s="10" t="s">
        <v>497</v>
      </c>
      <c r="B35" s="5" t="s">
        <v>443</v>
      </c>
      <c r="C35" s="13">
        <f>SUMIFS(Taxepunkter_Rådata!K:K,Taxepunkter_Rådata!A:A,"§6",Taxepunkter_Rådata!D:D,"12")</f>
        <v>0</v>
      </c>
    </row>
    <row r="36" spans="1:3" x14ac:dyDescent="0.25">
      <c r="A36" s="10" t="s">
        <v>497</v>
      </c>
      <c r="B36" s="5" t="s">
        <v>353</v>
      </c>
      <c r="C36" s="13">
        <f>SUMIFS(Taxepunkter_Rådata!K:K,Taxepunkter_Rådata!A:A,"§6",Taxepunkter_Rådata!D:D,"1202")</f>
        <v>0</v>
      </c>
    </row>
    <row r="37" spans="1:3" x14ac:dyDescent="0.25">
      <c r="A37" s="10" t="s">
        <v>497</v>
      </c>
      <c r="B37" s="5" t="s">
        <v>351</v>
      </c>
      <c r="C37" s="13">
        <f>SUMIFS(Taxepunkter_Rådata!K:K,Taxepunkter_Rådata!A:A,"§6",Taxepunkter_Rådata!D:D,"1203")</f>
        <v>0</v>
      </c>
    </row>
    <row r="38" spans="1:3" x14ac:dyDescent="0.25">
      <c r="A38" s="10" t="s">
        <v>497</v>
      </c>
      <c r="B38" s="5" t="s">
        <v>356</v>
      </c>
      <c r="C38" s="13">
        <f>SUMIFS(Taxepunkter_Rådata!K:K,Taxepunkter_Rådata!A:A,"§6",Taxepunkter_Rådata!D:D,"1263")</f>
        <v>0</v>
      </c>
    </row>
    <row r="39" spans="1:3" x14ac:dyDescent="0.25">
      <c r="A39" s="10" t="s">
        <v>497</v>
      </c>
      <c r="B39" s="5" t="s">
        <v>439</v>
      </c>
      <c r="C39" s="13">
        <f>SUMIFS(Taxepunkter_Rådata!K:K,Taxepunkter_Rådata!A:A,"§6",Taxepunkter_Rådata!D:D,"1304")</f>
        <v>0</v>
      </c>
    </row>
    <row r="40" spans="1:3" x14ac:dyDescent="0.25">
      <c r="A40" s="10" t="s">
        <v>497</v>
      </c>
      <c r="B40" s="5" t="s">
        <v>413</v>
      </c>
      <c r="C40" s="13">
        <f>SUMIFS(Taxepunkter_Rådata!K:K,Taxepunkter_Rådata!A:A,"§6",Taxepunkter_Rådata!D:D,"1479")</f>
        <v>0</v>
      </c>
    </row>
    <row r="41" spans="1:3" x14ac:dyDescent="0.25">
      <c r="A41" s="10" t="s">
        <v>497</v>
      </c>
      <c r="B41" s="5" t="s">
        <v>415</v>
      </c>
      <c r="C41" s="13">
        <f>SUMIFS(Taxepunkter_Rådata!K:K,Taxepunkter_Rådata!A:A,"§6",Taxepunkter_Rådata!D:D,"1495")</f>
        <v>0</v>
      </c>
    </row>
    <row r="42" spans="1:3" x14ac:dyDescent="0.25">
      <c r="A42" s="10" t="s">
        <v>497</v>
      </c>
      <c r="B42" s="5" t="s">
        <v>441</v>
      </c>
      <c r="C42" s="13">
        <f>SUMIFS(Taxepunkter_Rådata!K:K,Taxepunkter_Rådata!A:A,"§6",Taxepunkter_Rådata!D:D,"1497")</f>
        <v>0</v>
      </c>
    </row>
    <row r="43" spans="1:3" x14ac:dyDescent="0.25">
      <c r="A43" s="10" t="s">
        <v>497</v>
      </c>
      <c r="B43" s="5" t="s">
        <v>390</v>
      </c>
      <c r="C43" s="13">
        <f>SUMIFS(Taxepunkter_Rådata!K:K,Taxepunkter_Rådata!A:A,"§6",Taxepunkter_Rådata!D:D,"1790")</f>
        <v>0</v>
      </c>
    </row>
    <row r="44" spans="1:3" x14ac:dyDescent="0.25">
      <c r="A44" s="10" t="s">
        <v>497</v>
      </c>
      <c r="B44" s="5" t="s">
        <v>386</v>
      </c>
      <c r="C44" s="13">
        <f>SUMIFS(Taxepunkter_Rådata!K:K,Taxepunkter_Rådata!A:A,"§6",Taxepunkter_Rådata!D:D,"1832")</f>
        <v>0</v>
      </c>
    </row>
    <row r="45" spans="1:3" x14ac:dyDescent="0.25">
      <c r="A45" s="10" t="s">
        <v>497</v>
      </c>
      <c r="B45" s="5" t="s">
        <v>358</v>
      </c>
      <c r="C45" s="13">
        <f>SUMIFS(Taxepunkter_Rådata!K:K,Taxepunkter_Rådata!A:A,"§6",Taxepunkter_Rådata!D:D,"1950")</f>
        <v>0</v>
      </c>
    </row>
    <row r="46" spans="1:3" x14ac:dyDescent="0.25">
      <c r="A46" s="10" t="s">
        <v>497</v>
      </c>
      <c r="B46" s="5" t="s">
        <v>426</v>
      </c>
      <c r="C46" s="13">
        <f>SUMIFS(Taxepunkter_Rådata!K:K,Taxepunkter_Rådata!A:A,"§6",Taxepunkter_Rådata!D:D,"1965")</f>
        <v>0</v>
      </c>
    </row>
    <row r="47" spans="1:3" x14ac:dyDescent="0.25">
      <c r="A47" s="10" t="s">
        <v>497</v>
      </c>
      <c r="B47" s="5" t="s">
        <v>365</v>
      </c>
      <c r="C47" s="13">
        <f>SUMIFS(Taxepunkter_Rådata!K:K,Taxepunkter_Rådata!A:A,"§6",Taxepunkter_Rådata!D:D,"1993")</f>
        <v>0</v>
      </c>
    </row>
    <row r="48" spans="1:3" x14ac:dyDescent="0.25">
      <c r="A48" s="10" t="s">
        <v>497</v>
      </c>
      <c r="B48" s="5" t="s">
        <v>397</v>
      </c>
      <c r="C48" s="13">
        <f>SUMIFS(Taxepunkter_Rådata!K:K,Taxepunkter_Rådata!A:A,"§6",Taxepunkter_Rådata!D:D,"2014")</f>
        <v>0</v>
      </c>
    </row>
    <row r="49" spans="1:3" x14ac:dyDescent="0.25">
      <c r="A49" s="10" t="s">
        <v>497</v>
      </c>
      <c r="B49" s="5" t="s">
        <v>388</v>
      </c>
      <c r="C49" s="13">
        <f>SUMIFS(Taxepunkter_Rådata!K:K,Taxepunkter_Rådata!A:A,"§6",Taxepunkter_Rådata!D:D,"2031")</f>
        <v>0</v>
      </c>
    </row>
    <row r="50" spans="1:3" x14ac:dyDescent="0.25">
      <c r="A50" s="10" t="s">
        <v>497</v>
      </c>
      <c r="B50" s="5" t="s">
        <v>420</v>
      </c>
      <c r="C50" s="13">
        <f>SUMIFS(Taxepunkter_Rådata!K:K,Taxepunkter_Rådata!A:A,"§6",Taxepunkter_Rådata!D:D,"2037")</f>
        <v>0</v>
      </c>
    </row>
    <row r="51" spans="1:3" x14ac:dyDescent="0.25">
      <c r="A51" s="10" t="s">
        <v>497</v>
      </c>
      <c r="B51" s="5" t="s">
        <v>453</v>
      </c>
      <c r="C51" s="13">
        <f>SUMIFS(Taxepunkter_Rådata!K:K,Taxepunkter_Rådata!A:A,"§6",Taxepunkter_Rådata!D:D,"2212")</f>
        <v>0</v>
      </c>
    </row>
    <row r="52" spans="1:3" x14ac:dyDescent="0.25">
      <c r="A52" s="10" t="s">
        <v>497</v>
      </c>
      <c r="B52" s="5" t="s">
        <v>371</v>
      </c>
      <c r="C52" s="13">
        <f>SUMIFS(Taxepunkter_Rådata!K:K,Taxepunkter_Rådata!A:A,"§6",Taxepunkter_Rådata!D:D,"2588")</f>
        <v>0</v>
      </c>
    </row>
    <row r="53" spans="1:3" x14ac:dyDescent="0.25">
      <c r="A53" s="10" t="s">
        <v>497</v>
      </c>
      <c r="B53" s="5" t="s">
        <v>394</v>
      </c>
      <c r="C53" s="13">
        <f>SUMIFS(Taxepunkter_Rådata!K:K,Taxepunkter_Rådata!A:A,"§6",Taxepunkter_Rådata!D:D,"2672")</f>
        <v>0</v>
      </c>
    </row>
    <row r="54" spans="1:3" x14ac:dyDescent="0.25">
      <c r="A54" s="10" t="s">
        <v>497</v>
      </c>
      <c r="B54" s="5" t="s">
        <v>405</v>
      </c>
      <c r="C54" s="13">
        <f>SUMIFS(Taxepunkter_Rådata!K:K,Taxepunkter_Rådata!A:A,"§6",Taxepunkter_Rådata!D:D,"2809")</f>
        <v>0</v>
      </c>
    </row>
    <row r="55" spans="1:3" x14ac:dyDescent="0.25">
      <c r="A55" s="10" t="s">
        <v>497</v>
      </c>
      <c r="B55" s="5" t="s">
        <v>376</v>
      </c>
      <c r="C55" s="13">
        <f>SUMIFS(Taxepunkter_Rådata!K:K,Taxepunkter_Rådata!A:A,"§6",Taxepunkter_Rådata!D:D,"2810")</f>
        <v>0</v>
      </c>
    </row>
    <row r="56" spans="1:3" x14ac:dyDescent="0.25">
      <c r="A56" s="10" t="s">
        <v>497</v>
      </c>
      <c r="B56" s="5" t="s">
        <v>369</v>
      </c>
      <c r="C56" s="13">
        <f>SUMIFS(Taxepunkter_Rådata!K:K,Taxepunkter_Rådata!A:A,"§6",Taxepunkter_Rådata!D:D,"2903")</f>
        <v>0</v>
      </c>
    </row>
    <row r="57" spans="1:3" x14ac:dyDescent="0.25">
      <c r="A57" s="10" t="s">
        <v>497</v>
      </c>
      <c r="B57" s="5" t="s">
        <v>458</v>
      </c>
      <c r="C57" s="13">
        <f>SUMIFS(Taxepunkter_Rådata!K:K,Taxepunkter_Rådata!A:A,"§6",Taxepunkter_Rådata!D:D,"2911")</f>
        <v>0</v>
      </c>
    </row>
    <row r="58" spans="1:3" x14ac:dyDescent="0.25">
      <c r="A58" s="10" t="s">
        <v>497</v>
      </c>
      <c r="B58" s="5" t="s">
        <v>437</v>
      </c>
      <c r="C58" s="13">
        <f>SUMIFS(Taxepunkter_Rådata!K:K,Taxepunkter_Rådata!A:A,"§6",Taxepunkter_Rådata!D:D,"3080")</f>
        <v>0</v>
      </c>
    </row>
    <row r="59" spans="1:3" x14ac:dyDescent="0.25">
      <c r="A59" s="10" t="s">
        <v>497</v>
      </c>
      <c r="B59" s="5" t="s">
        <v>402</v>
      </c>
      <c r="C59" s="13">
        <f>SUMIFS(Taxepunkter_Rådata!K:K,Taxepunkter_Rådata!A:A,"§6",Taxepunkter_Rådata!D:D,"3105")</f>
        <v>0</v>
      </c>
    </row>
    <row r="60" spans="1:3" x14ac:dyDescent="0.25">
      <c r="A60" s="10" t="s">
        <v>497</v>
      </c>
      <c r="B60" s="5" t="s">
        <v>400</v>
      </c>
      <c r="C60" s="13">
        <f>SUMIFS(Taxepunkter_Rådata!K:K,Taxepunkter_Rådata!A:A,"§6",Taxepunkter_Rådata!D:D,"3106")</f>
        <v>0</v>
      </c>
    </row>
    <row r="61" spans="1:3" x14ac:dyDescent="0.25">
      <c r="A61" s="10" t="s">
        <v>497</v>
      </c>
      <c r="B61" s="5" t="s">
        <v>435</v>
      </c>
      <c r="C61" s="13">
        <f>SUMIFS(Taxepunkter_Rådata!K:K,Taxepunkter_Rådata!A:A,"§6",Taxepunkter_Rådata!D:D,"3249")</f>
        <v>0</v>
      </c>
    </row>
    <row r="62" spans="1:3" x14ac:dyDescent="0.25">
      <c r="A62" s="10" t="s">
        <v>497</v>
      </c>
      <c r="B62" s="5" t="s">
        <v>382</v>
      </c>
      <c r="C62" s="13">
        <f>SUMIFS(Taxepunkter_Rådata!K:K,Taxepunkter_Rådata!A:A,"§6",Taxepunkter_Rådata!D:D,"3260")</f>
        <v>0</v>
      </c>
    </row>
    <row r="63" spans="1:3" x14ac:dyDescent="0.25">
      <c r="A63" s="10" t="s">
        <v>497</v>
      </c>
      <c r="B63" s="5" t="s">
        <v>380</v>
      </c>
      <c r="C63" s="13">
        <f>SUMIFS(Taxepunkter_Rådata!K:K,Taxepunkter_Rådata!A:A,"§6",Taxepunkter_Rådata!D:D,"3261")</f>
        <v>0</v>
      </c>
    </row>
    <row r="64" spans="1:3" x14ac:dyDescent="0.25">
      <c r="A64" s="10" t="s">
        <v>497</v>
      </c>
      <c r="B64" s="5" t="s">
        <v>363</v>
      </c>
      <c r="C64" s="13">
        <f>SUMIFS(Taxepunkter_Rådata!K:K,Taxepunkter_Rådata!A:A,"§6",Taxepunkter_Rådata!D:D,"3262")</f>
        <v>0</v>
      </c>
    </row>
    <row r="65" spans="1:3" x14ac:dyDescent="0.25">
      <c r="A65" s="10" t="s">
        <v>497</v>
      </c>
      <c r="B65" s="5" t="s">
        <v>392</v>
      </c>
      <c r="C65" s="13">
        <f>SUMIFS(Taxepunkter_Rådata!K:K,Taxepunkter_Rådata!A:A,"§6",Taxepunkter_Rådata!D:D,"3263")</f>
        <v>0</v>
      </c>
    </row>
    <row r="66" spans="1:3" x14ac:dyDescent="0.25">
      <c r="A66" s="10" t="s">
        <v>497</v>
      </c>
      <c r="B66" s="5" t="s">
        <v>384</v>
      </c>
      <c r="C66" s="13">
        <f>SUMIFS(Taxepunkter_Rådata!K:K,Taxepunkter_Rådata!A:A,"§6",Taxepunkter_Rådata!D:D,"3264")</f>
        <v>0</v>
      </c>
    </row>
    <row r="67" spans="1:3" x14ac:dyDescent="0.25">
      <c r="A67" s="10" t="s">
        <v>497</v>
      </c>
      <c r="B67" s="5" t="s">
        <v>378</v>
      </c>
      <c r="C67" s="13">
        <f>SUMIFS(Taxepunkter_Rådata!K:K,Taxepunkter_Rådata!A:A,"§6",Taxepunkter_Rådata!D:D,"3265")</f>
        <v>0</v>
      </c>
    </row>
    <row r="68" spans="1:3" x14ac:dyDescent="0.25">
      <c r="A68" s="10" t="s">
        <v>497</v>
      </c>
      <c r="B68" s="5" t="s">
        <v>361</v>
      </c>
      <c r="C68" s="13">
        <f>SUMIFS(Taxepunkter_Rådata!K:K,Taxepunkter_Rådata!A:A,"§6",Taxepunkter_Rådata!D:D,"3266")</f>
        <v>0</v>
      </c>
    </row>
    <row r="69" spans="1:3" x14ac:dyDescent="0.25">
      <c r="A69" s="10" t="s">
        <v>497</v>
      </c>
      <c r="B69" s="5" t="s">
        <v>409</v>
      </c>
      <c r="C69" s="13">
        <f>SUMIFS(Taxepunkter_Rådata!K:K,Taxepunkter_Rådata!A:A,"§6",Taxepunkter_Rådata!D:D,"3286")</f>
        <v>0</v>
      </c>
    </row>
    <row r="70" spans="1:3" x14ac:dyDescent="0.25">
      <c r="A70" s="10" t="s">
        <v>497</v>
      </c>
      <c r="B70" s="5" t="s">
        <v>374</v>
      </c>
      <c r="C70" s="13">
        <f>SUMIFS(Taxepunkter_Rådata!K:K,Taxepunkter_Rådata!A:A,"§6",Taxepunkter_Rådata!D:D,"3287")</f>
        <v>0</v>
      </c>
    </row>
    <row r="71" spans="1:3" x14ac:dyDescent="0.25">
      <c r="A71" s="10" t="s">
        <v>497</v>
      </c>
      <c r="B71" s="5" t="s">
        <v>367</v>
      </c>
      <c r="C71" s="13">
        <f>SUMIFS(Taxepunkter_Rådata!K:K,Taxepunkter_Rådata!A:A,"§6",Taxepunkter_Rådata!D:D,"3291")</f>
        <v>0</v>
      </c>
    </row>
    <row r="72" spans="1:3" x14ac:dyDescent="0.25">
      <c r="A72" s="10" t="s">
        <v>497</v>
      </c>
      <c r="B72" s="5" t="s">
        <v>344</v>
      </c>
      <c r="C72" s="13">
        <f>SUMIFS(Taxepunkter_Rådata!K:K,Taxepunkter_Rådata!A:A,"§6",Taxepunkter_Rådata!D:D,"3295")</f>
        <v>0</v>
      </c>
    </row>
    <row r="73" spans="1:3" x14ac:dyDescent="0.25">
      <c r="A73" s="10" t="s">
        <v>497</v>
      </c>
      <c r="B73" s="5" t="s">
        <v>445</v>
      </c>
      <c r="C73" s="13">
        <f>SUMIFS(Taxepunkter_Rådata!K:K,Taxepunkter_Rådata!A:A,"§6",Taxepunkter_Rådata!D:D,"333")</f>
        <v>0</v>
      </c>
    </row>
    <row r="74" spans="1:3" x14ac:dyDescent="0.25">
      <c r="A74" s="46" t="s">
        <v>497</v>
      </c>
      <c r="B74" s="47" t="s">
        <v>407</v>
      </c>
      <c r="C74" s="52">
        <f>SUMIFS(Taxepunkter_Rådata!K:K,Taxepunkter_Rådata!A:A,"§6",Taxepunkter_Rådata!D:D,"3506")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/>
  </sheetViews>
  <sheetFormatPr defaultRowHeight="15" x14ac:dyDescent="0.25"/>
  <sheetData>
    <row r="1" spans="1:2" ht="18.75" customHeight="1" x14ac:dyDescent="0.3">
      <c r="A1" s="49" t="s">
        <v>498</v>
      </c>
      <c r="B1" s="9"/>
    </row>
    <row r="2" spans="1:2" x14ac:dyDescent="0.25">
      <c r="A2" s="10"/>
      <c r="B2" s="11"/>
    </row>
    <row r="3" spans="1:2" x14ac:dyDescent="0.25">
      <c r="A3" s="12" t="s">
        <v>9</v>
      </c>
      <c r="B3" s="51" t="s">
        <v>1</v>
      </c>
    </row>
    <row r="4" spans="1:2" x14ac:dyDescent="0.25">
      <c r="A4" s="10" t="s">
        <v>24</v>
      </c>
      <c r="B4" s="13">
        <f>SUMIFS(Taxepunkter_Rådata!K:K,Taxepunkter_Rådata!A:A,"§2.1")</f>
        <v>0</v>
      </c>
    </row>
    <row r="5" spans="1:2" x14ac:dyDescent="0.25">
      <c r="A5" s="10" t="s">
        <v>46</v>
      </c>
      <c r="B5" s="13">
        <f>SUMIFS(Taxepunkter_Rådata!K:K,Taxepunkter_Rådata!A:A,"§2.2.1")</f>
        <v>0</v>
      </c>
    </row>
    <row r="6" spans="1:2" x14ac:dyDescent="0.25">
      <c r="A6" s="10" t="s">
        <v>57</v>
      </c>
      <c r="B6" s="13">
        <f>SUMIFS(Taxepunkter_Rådata!K:K,Taxepunkter_Rådata!A:A,"§2.2.2")</f>
        <v>0</v>
      </c>
    </row>
    <row r="7" spans="1:2" x14ac:dyDescent="0.25">
      <c r="A7" s="10" t="s">
        <v>66</v>
      </c>
      <c r="B7" s="13">
        <f>SUMIFS(Taxepunkter_Rådata!K:K,Taxepunkter_Rådata!A:A,"§2.2.3")</f>
        <v>0</v>
      </c>
    </row>
    <row r="8" spans="1:2" x14ac:dyDescent="0.25">
      <c r="A8" s="10" t="s">
        <v>81</v>
      </c>
      <c r="B8" s="13">
        <f>SUMIFS(Taxepunkter_Rådata!K:K,Taxepunkter_Rådata!A:A,"§2.2.4")</f>
        <v>0</v>
      </c>
    </row>
    <row r="9" spans="1:2" x14ac:dyDescent="0.25">
      <c r="A9" s="10" t="s">
        <v>130</v>
      </c>
      <c r="B9" s="13">
        <f>SUMIFS(Taxepunkter_Rådata!K:K,Taxepunkter_Rådata!A:A,"§2.2.5")</f>
        <v>0</v>
      </c>
    </row>
    <row r="10" spans="1:2" x14ac:dyDescent="0.25">
      <c r="A10" s="10" t="s">
        <v>161</v>
      </c>
      <c r="B10" s="13">
        <f>SUMIFS(Taxepunkter_Rådata!K:K,Taxepunkter_Rådata!A:A,"§2.3")</f>
        <v>0</v>
      </c>
    </row>
    <row r="11" spans="1:2" x14ac:dyDescent="0.25">
      <c r="A11" s="10" t="s">
        <v>499</v>
      </c>
      <c r="B11" s="13">
        <f>SUMIFS(Taxepunkter_Rådata!K:K,Taxepunkter_Rådata!A:A,"§2.4")</f>
        <v>0</v>
      </c>
    </row>
    <row r="12" spans="1:2" x14ac:dyDescent="0.25">
      <c r="A12" s="10" t="s">
        <v>500</v>
      </c>
      <c r="B12" s="13">
        <f>SUMIFS(Taxepunkter_Rådata!K:K,Taxepunkter_Rådata!A:A,"§2.5")</f>
        <v>0</v>
      </c>
    </row>
    <row r="13" spans="1:2" x14ac:dyDescent="0.25">
      <c r="A13" s="10" t="s">
        <v>501</v>
      </c>
      <c r="B13" s="13">
        <f>SUMIFS(Taxepunkter_Rådata!K:K,Taxepunkter_Rådata!A:A,"§2.6.1")</f>
        <v>0</v>
      </c>
    </row>
    <row r="14" spans="1:2" x14ac:dyDescent="0.25">
      <c r="A14" s="10" t="s">
        <v>492</v>
      </c>
      <c r="B14" s="13">
        <f>SUMIFS(Taxepunkter_Rådata!K:K,Taxepunkter_Rådata!A:A,"§2.6.2")</f>
        <v>0</v>
      </c>
    </row>
    <row r="15" spans="1:2" x14ac:dyDescent="0.25">
      <c r="A15" s="10" t="s">
        <v>502</v>
      </c>
      <c r="B15" s="13">
        <f>SUMIFS(Taxepunkter_Rådata!K:K,Taxepunkter_Rådata!A:A,"§2.6.3")</f>
        <v>0</v>
      </c>
    </row>
    <row r="16" spans="1:2" x14ac:dyDescent="0.25">
      <c r="A16" s="10" t="s">
        <v>503</v>
      </c>
      <c r="B16" s="13">
        <f>SUMIFS(Taxepunkter_Rådata!K:K,Taxepunkter_Rådata!A:A,"§2.6.4")</f>
        <v>0</v>
      </c>
    </row>
    <row r="17" spans="1:2" x14ac:dyDescent="0.25">
      <c r="A17" s="10" t="s">
        <v>493</v>
      </c>
      <c r="B17" s="13">
        <f>SUMIFS(Taxepunkter_Rådata!K:K,Taxepunkter_Rådata!A:A,"§2.6.5")</f>
        <v>0</v>
      </c>
    </row>
    <row r="18" spans="1:2" x14ac:dyDescent="0.25">
      <c r="A18" s="10" t="s">
        <v>504</v>
      </c>
      <c r="B18" s="13">
        <f>SUMIFS(Taxepunkter_Rådata!K:K,Taxepunkter_Rådata!A:A,"§2.6.6")</f>
        <v>0</v>
      </c>
    </row>
    <row r="19" spans="1:2" x14ac:dyDescent="0.25">
      <c r="A19" s="10" t="s">
        <v>494</v>
      </c>
      <c r="B19" s="13">
        <f>SUMIFS(Taxepunkter_Rådata!K:K,Taxepunkter_Rådata!A:A,"§2.6.7")</f>
        <v>0</v>
      </c>
    </row>
    <row r="20" spans="1:2" x14ac:dyDescent="0.25">
      <c r="A20" s="10" t="s">
        <v>505</v>
      </c>
      <c r="B20" s="13">
        <f>SUMIFS(Taxepunkter_Rådata!K:K,Taxepunkter_Rådata!A:A,"§2.6.8")</f>
        <v>0</v>
      </c>
    </row>
    <row r="21" spans="1:2" x14ac:dyDescent="0.25">
      <c r="A21" s="10" t="s">
        <v>506</v>
      </c>
      <c r="B21" s="13">
        <f>SUMIFS(Taxepunkter_Rådata!K:K,Taxepunkter_Rådata!A:A,"§2.6.9")</f>
        <v>0</v>
      </c>
    </row>
    <row r="22" spans="1:2" x14ac:dyDescent="0.25">
      <c r="A22" s="10" t="s">
        <v>507</v>
      </c>
      <c r="B22" s="13">
        <f>SUMIFS(Taxepunkter_Rådata!K:K,Taxepunkter_Rådata!A:A,"§2.7.1")</f>
        <v>0</v>
      </c>
    </row>
    <row r="23" spans="1:2" x14ac:dyDescent="0.25">
      <c r="A23" s="10" t="s">
        <v>508</v>
      </c>
      <c r="B23" s="13">
        <f>SUMIFS(Taxepunkter_Rådata!K:K,Taxepunkter_Rådata!A:A,"§2.7.2")</f>
        <v>0</v>
      </c>
    </row>
    <row r="24" spans="1:2" x14ac:dyDescent="0.25">
      <c r="A24" s="10" t="s">
        <v>509</v>
      </c>
      <c r="B24" s="13">
        <f>SUMIFS(Taxepunkter_Rådata!K:K,Taxepunkter_Rådata!A:A,"§2.7.3")</f>
        <v>0</v>
      </c>
    </row>
    <row r="25" spans="1:2" x14ac:dyDescent="0.25">
      <c r="A25" s="10" t="s">
        <v>510</v>
      </c>
      <c r="B25" s="13">
        <f>SUMIFS(Taxepunkter_Rådata!K:K,Taxepunkter_Rådata!A:A,"§2.7.4")</f>
        <v>0</v>
      </c>
    </row>
    <row r="26" spans="1:2" x14ac:dyDescent="0.25">
      <c r="A26" s="10" t="s">
        <v>238</v>
      </c>
      <c r="B26" s="13">
        <f>SUMIFS(Taxepunkter_Rådata!K:K,Taxepunkter_Rådata!A:A,"§3.1")</f>
        <v>0</v>
      </c>
    </row>
    <row r="27" spans="1:2" x14ac:dyDescent="0.25">
      <c r="A27" s="10" t="s">
        <v>247</v>
      </c>
      <c r="B27" s="13">
        <f>SUMIFS(Taxepunkter_Rådata!K:K,Taxepunkter_Rådata!A:A,"§3.2")</f>
        <v>0</v>
      </c>
    </row>
    <row r="28" spans="1:2" x14ac:dyDescent="0.25">
      <c r="A28" s="10" t="s">
        <v>260</v>
      </c>
      <c r="B28" s="13">
        <f>SUMIFS(Taxepunkter_Rådata!K:K,Taxepunkter_Rådata!A:A,"§3.3")</f>
        <v>0</v>
      </c>
    </row>
    <row r="29" spans="1:2" x14ac:dyDescent="0.25">
      <c r="A29" s="10" t="s">
        <v>274</v>
      </c>
      <c r="B29" s="13">
        <f>SUMIFS(Taxepunkter_Rådata!K:K,Taxepunkter_Rådata!A:A,"§4.1")</f>
        <v>0</v>
      </c>
    </row>
    <row r="30" spans="1:2" x14ac:dyDescent="0.25">
      <c r="A30" s="10" t="s">
        <v>281</v>
      </c>
      <c r="B30" s="13">
        <f>SUMIFS(Taxepunkter_Rådata!K:K,Taxepunkter_Rådata!A:A,"§4.2")</f>
        <v>0</v>
      </c>
    </row>
    <row r="31" spans="1:2" x14ac:dyDescent="0.25">
      <c r="A31" s="10" t="s">
        <v>496</v>
      </c>
      <c r="B31" s="13">
        <f>SUMIFS(Taxepunkter_Rådata!K:K,Taxepunkter_Rådata!A:A,"§4.3")</f>
        <v>0</v>
      </c>
    </row>
    <row r="32" spans="1:2" x14ac:dyDescent="0.25">
      <c r="A32" s="10" t="s">
        <v>288</v>
      </c>
      <c r="B32" s="13">
        <f>SUMIFS(Taxepunkter_Rådata!K:K,Taxepunkter_Rådata!A:A,"§5.1")</f>
        <v>0</v>
      </c>
    </row>
    <row r="33" spans="1:2" x14ac:dyDescent="0.25">
      <c r="A33" s="10" t="s">
        <v>294</v>
      </c>
      <c r="B33" s="13">
        <f>SUMIFS(Taxepunkter_Rådata!K:K,Taxepunkter_Rådata!A:A,"§5.2")</f>
        <v>0</v>
      </c>
    </row>
    <row r="34" spans="1:2" x14ac:dyDescent="0.25">
      <c r="A34" s="10" t="s">
        <v>302</v>
      </c>
      <c r="B34" s="13">
        <f>SUMIFS(Taxepunkter_Rådata!K:K,Taxepunkter_Rådata!A:A,"§5.3")</f>
        <v>0</v>
      </c>
    </row>
    <row r="35" spans="1:2" x14ac:dyDescent="0.25">
      <c r="A35" s="46" t="s">
        <v>497</v>
      </c>
      <c r="B35" s="52">
        <f>SUMIFS(Taxepunkter_Rådata!K:K,Taxepunkter_Rådata!A:A,"§6")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ht="18.75" customHeight="1" x14ac:dyDescent="0.3">
      <c r="A1" s="49" t="s">
        <v>511</v>
      </c>
      <c r="B1" s="9"/>
    </row>
    <row r="2" spans="1:2" x14ac:dyDescent="0.25">
      <c r="A2" s="10"/>
      <c r="B2" s="11"/>
    </row>
    <row r="3" spans="1:2" x14ac:dyDescent="0.25">
      <c r="A3" s="12" t="s">
        <v>512</v>
      </c>
      <c r="B3" s="51" t="s">
        <v>1</v>
      </c>
    </row>
    <row r="4" spans="1:2" x14ac:dyDescent="0.25">
      <c r="A4" s="10" t="s">
        <v>513</v>
      </c>
      <c r="B4" s="13">
        <f>SUMIFS(Taxepunkter_Rådata!K:K,Taxepunkter_Rådata!A:A,"§2*")</f>
        <v>0</v>
      </c>
    </row>
    <row r="5" spans="1:2" x14ac:dyDescent="0.25">
      <c r="A5" s="10" t="s">
        <v>514</v>
      </c>
      <c r="B5" s="13">
        <f>SUMIFS(Taxepunkter_Rådata!K:K,Taxepunkter_Rådata!A:A,"§3*")</f>
        <v>0</v>
      </c>
    </row>
    <row r="6" spans="1:2" x14ac:dyDescent="0.25">
      <c r="A6" s="10" t="s">
        <v>515</v>
      </c>
      <c r="B6" s="13">
        <f>SUMIFS(Taxepunkter_Rådata!K:K,Taxepunkter_Rådata!A:A,"§4*")</f>
        <v>0</v>
      </c>
    </row>
    <row r="7" spans="1:2" x14ac:dyDescent="0.25">
      <c r="A7" s="10" t="s">
        <v>516</v>
      </c>
      <c r="B7" s="13">
        <f>SUMIFS(Taxepunkter_Rådata!K:K,Taxepunkter_Rådata!A:A,"§5*")</f>
        <v>0</v>
      </c>
    </row>
    <row r="8" spans="1:2" x14ac:dyDescent="0.25">
      <c r="A8" s="46" t="s">
        <v>517</v>
      </c>
      <c r="B8" s="52">
        <f>SUMIFS(Taxepunkter_Rådata!K:K,Taxepunkter_Rådata!A:A,"§6*")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ht="18.75" customHeight="1" x14ac:dyDescent="0.3">
      <c r="A1" s="1" t="s">
        <v>518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5" x14ac:dyDescent="0.25"/>
  <sheetData>
    <row r="1" spans="1:3" ht="18.75" customHeight="1" x14ac:dyDescent="0.3">
      <c r="A1" s="49" t="s">
        <v>519</v>
      </c>
      <c r="B1" s="50"/>
      <c r="C1" s="9"/>
    </row>
    <row r="2" spans="1:3" x14ac:dyDescent="0.25">
      <c r="A2" s="10"/>
      <c r="B2" s="5"/>
      <c r="C2" s="11"/>
    </row>
    <row r="3" spans="1:3" x14ac:dyDescent="0.25">
      <c r="A3" s="12" t="s">
        <v>520</v>
      </c>
      <c r="B3" s="6" t="s">
        <v>521</v>
      </c>
      <c r="C3" s="51" t="s">
        <v>522</v>
      </c>
    </row>
    <row r="4" spans="1:3" ht="45" customHeight="1" x14ac:dyDescent="0.25">
      <c r="A4" s="54" t="s">
        <v>523</v>
      </c>
      <c r="B4" s="5">
        <f>COUNTA(Taxepunkter_Rådata!A:A)-1</f>
        <v>291</v>
      </c>
      <c r="C4" s="51" t="str">
        <f>IF(B4&gt;0,"OK","VARNING")</f>
        <v>OK</v>
      </c>
    </row>
    <row r="5" spans="1:3" ht="45" customHeight="1" x14ac:dyDescent="0.25">
      <c r="A5" s="54" t="s">
        <v>3</v>
      </c>
      <c r="B5" s="5">
        <f>COUNTIF(Taxepunkter_Rådata!J:J,"")-1</f>
        <v>1048551</v>
      </c>
      <c r="C5" s="51" t="str">
        <f>IF(B5=0,"OK","VARNING")</f>
        <v>VARNING</v>
      </c>
    </row>
    <row r="6" spans="1:3" ht="60" customHeight="1" x14ac:dyDescent="0.25">
      <c r="A6" s="54" t="s">
        <v>524</v>
      </c>
      <c r="B6" s="7">
        <f>IF(B4=0,"",1-(B5/B4))</f>
        <v>-3602.2680412371133</v>
      </c>
      <c r="C6" s="51" t="str">
        <f>IF(B6=1,"OK","VARNING")</f>
        <v>VARNING</v>
      </c>
    </row>
    <row r="7" spans="1:3" ht="90" customHeight="1" x14ac:dyDescent="0.25">
      <c r="A7" s="54" t="s">
        <v>5</v>
      </c>
      <c r="B7" s="5">
        <f>COUNTIFS(Taxepunkter_Rådata!I:I,"&gt;0",Taxepunkter_Rådata!J:J,"")</f>
        <v>0</v>
      </c>
      <c r="C7" s="51" t="str">
        <f>IF(B7=0,"OK","VARNING")</f>
        <v>OK</v>
      </c>
    </row>
    <row r="8" spans="1:3" ht="90" customHeight="1" x14ac:dyDescent="0.25">
      <c r="A8" s="55" t="s">
        <v>525</v>
      </c>
      <c r="B8" s="47">
        <f>COUNTIFS(Taxepunkter_Rådata!J:J,"&lt;&gt;",Taxepunkter_Rådata!I:I,"")</f>
        <v>268</v>
      </c>
      <c r="C8" s="16" t="str">
        <f>IF(B8=0,"OK","VARNING")</f>
        <v>VARNING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71"/>
  <sheetViews>
    <sheetView tabSelected="1" topLeftCell="A132" workbookViewId="0"/>
  </sheetViews>
  <sheetFormatPr defaultRowHeight="15" x14ac:dyDescent="0.25"/>
  <cols>
    <col min="1" max="17" width="18.140625" customWidth="1"/>
  </cols>
  <sheetData>
    <row r="1" spans="1:26" ht="30" customHeight="1" x14ac:dyDescent="0.25">
      <c r="A1" s="110" t="s">
        <v>526</v>
      </c>
      <c r="B1" s="111" t="s">
        <v>527</v>
      </c>
      <c r="C1" s="111" t="s">
        <v>528</v>
      </c>
      <c r="D1" s="111" t="s">
        <v>529</v>
      </c>
      <c r="E1" s="111" t="s">
        <v>530</v>
      </c>
      <c r="F1" s="111" t="s">
        <v>531</v>
      </c>
      <c r="G1" s="111" t="s">
        <v>532</v>
      </c>
      <c r="H1" s="111" t="s">
        <v>533</v>
      </c>
      <c r="I1" s="111" t="s">
        <v>534</v>
      </c>
      <c r="J1" s="111" t="s">
        <v>535</v>
      </c>
      <c r="K1" s="111" t="s">
        <v>536</v>
      </c>
      <c r="L1" s="111" t="s">
        <v>537</v>
      </c>
      <c r="M1" s="111" t="s">
        <v>538</v>
      </c>
      <c r="N1" s="111" t="s">
        <v>539</v>
      </c>
      <c r="O1" s="111" t="s">
        <v>540</v>
      </c>
      <c r="P1" s="111" t="s">
        <v>541</v>
      </c>
      <c r="Q1" s="117" t="s">
        <v>542</v>
      </c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0">
        <v>1689</v>
      </c>
      <c r="B2" s="5" t="s">
        <v>543</v>
      </c>
      <c r="C2" s="5" t="s">
        <v>544</v>
      </c>
      <c r="D2" s="5" t="s">
        <v>545</v>
      </c>
      <c r="E2" s="5" t="s">
        <v>546</v>
      </c>
      <c r="F2" s="5">
        <v>1</v>
      </c>
      <c r="G2" s="5" t="s">
        <v>547</v>
      </c>
      <c r="H2" s="5" t="s">
        <v>548</v>
      </c>
      <c r="I2" s="5"/>
      <c r="J2" s="5"/>
      <c r="K2" s="5">
        <v>2</v>
      </c>
      <c r="L2" s="56">
        <v>44927</v>
      </c>
      <c r="M2" s="5">
        <v>0</v>
      </c>
      <c r="N2" s="5"/>
      <c r="O2" s="5" t="s">
        <v>549</v>
      </c>
      <c r="P2" s="5">
        <v>1</v>
      </c>
      <c r="Q2" s="11" t="s">
        <v>550</v>
      </c>
    </row>
    <row r="3" spans="1:26" x14ac:dyDescent="0.25">
      <c r="A3" s="10">
        <v>1690</v>
      </c>
      <c r="B3" s="5" t="s">
        <v>543</v>
      </c>
      <c r="C3" s="5" t="s">
        <v>544</v>
      </c>
      <c r="D3" s="5" t="s">
        <v>545</v>
      </c>
      <c r="E3" s="5" t="s">
        <v>546</v>
      </c>
      <c r="F3" s="5">
        <v>2</v>
      </c>
      <c r="G3" s="5" t="s">
        <v>547</v>
      </c>
      <c r="H3" s="5" t="s">
        <v>551</v>
      </c>
      <c r="I3" s="5"/>
      <c r="J3" s="5"/>
      <c r="K3" s="5">
        <v>3.68</v>
      </c>
      <c r="L3" s="56">
        <v>44927</v>
      </c>
      <c r="M3" s="5">
        <v>0</v>
      </c>
      <c r="N3" s="5"/>
      <c r="O3" s="5" t="s">
        <v>549</v>
      </c>
      <c r="P3" s="5">
        <v>1</v>
      </c>
      <c r="Q3" s="11" t="s">
        <v>552</v>
      </c>
    </row>
    <row r="4" spans="1:26" x14ac:dyDescent="0.25">
      <c r="A4" s="10">
        <v>1693</v>
      </c>
      <c r="B4" s="5" t="s">
        <v>553</v>
      </c>
      <c r="C4" s="5" t="s">
        <v>554</v>
      </c>
      <c r="D4" s="5" t="s">
        <v>545</v>
      </c>
      <c r="E4" s="5" t="s">
        <v>546</v>
      </c>
      <c r="F4" s="5">
        <v>1</v>
      </c>
      <c r="G4" s="5" t="s">
        <v>547</v>
      </c>
      <c r="H4" s="5" t="s">
        <v>555</v>
      </c>
      <c r="I4" s="5"/>
      <c r="J4" s="5"/>
      <c r="K4" s="5">
        <v>4</v>
      </c>
      <c r="L4" s="56">
        <v>44927</v>
      </c>
      <c r="M4" s="5">
        <v>0</v>
      </c>
      <c r="N4" s="5"/>
      <c r="O4" s="5" t="s">
        <v>549</v>
      </c>
      <c r="P4" s="5">
        <v>1</v>
      </c>
      <c r="Q4" s="11" t="s">
        <v>550</v>
      </c>
    </row>
    <row r="5" spans="1:26" x14ac:dyDescent="0.25">
      <c r="A5" s="10">
        <v>1694</v>
      </c>
      <c r="B5" s="5" t="s">
        <v>553</v>
      </c>
      <c r="C5" s="5" t="s">
        <v>554</v>
      </c>
      <c r="D5" s="5" t="s">
        <v>545</v>
      </c>
      <c r="E5" s="5" t="s">
        <v>546</v>
      </c>
      <c r="F5" s="5">
        <v>2</v>
      </c>
      <c r="G5" s="5" t="s">
        <v>547</v>
      </c>
      <c r="H5" s="5" t="s">
        <v>556</v>
      </c>
      <c r="I5" s="5"/>
      <c r="J5" s="5"/>
      <c r="K5" s="5">
        <v>7.36</v>
      </c>
      <c r="L5" s="56">
        <v>44927</v>
      </c>
      <c r="M5" s="5">
        <v>0</v>
      </c>
      <c r="N5" s="5"/>
      <c r="O5" s="5" t="s">
        <v>549</v>
      </c>
      <c r="P5" s="5">
        <v>1</v>
      </c>
      <c r="Q5" s="11" t="s">
        <v>552</v>
      </c>
    </row>
    <row r="6" spans="1:26" x14ac:dyDescent="0.25">
      <c r="A6" s="10">
        <v>1695</v>
      </c>
      <c r="B6" s="5" t="s">
        <v>557</v>
      </c>
      <c r="C6" s="5" t="s">
        <v>558</v>
      </c>
      <c r="D6" s="5" t="s">
        <v>545</v>
      </c>
      <c r="E6" s="5" t="s">
        <v>546</v>
      </c>
      <c r="F6" s="5">
        <v>1</v>
      </c>
      <c r="G6" s="5" t="s">
        <v>547</v>
      </c>
      <c r="H6" s="5" t="s">
        <v>559</v>
      </c>
      <c r="I6" s="5"/>
      <c r="J6" s="5"/>
      <c r="K6" s="5">
        <v>4</v>
      </c>
      <c r="L6" s="56">
        <v>44927</v>
      </c>
      <c r="M6" s="5">
        <v>0</v>
      </c>
      <c r="N6" s="5"/>
      <c r="O6" s="5" t="s">
        <v>549</v>
      </c>
      <c r="P6" s="5">
        <v>1</v>
      </c>
      <c r="Q6" s="11" t="s">
        <v>560</v>
      </c>
    </row>
    <row r="7" spans="1:26" x14ac:dyDescent="0.25">
      <c r="A7" s="10">
        <v>1696</v>
      </c>
      <c r="B7" s="5" t="s">
        <v>557</v>
      </c>
      <c r="C7" s="5" t="s">
        <v>558</v>
      </c>
      <c r="D7" s="5" t="s">
        <v>545</v>
      </c>
      <c r="E7" s="5" t="s">
        <v>546</v>
      </c>
      <c r="F7" s="5">
        <v>2</v>
      </c>
      <c r="G7" s="5" t="s">
        <v>547</v>
      </c>
      <c r="H7" s="5" t="s">
        <v>561</v>
      </c>
      <c r="I7" s="5"/>
      <c r="J7" s="5"/>
      <c r="K7" s="5">
        <v>7.36</v>
      </c>
      <c r="L7" s="56">
        <v>44927</v>
      </c>
      <c r="M7" s="5">
        <v>0</v>
      </c>
      <c r="N7" s="5"/>
      <c r="O7" s="5" t="s">
        <v>549</v>
      </c>
      <c r="P7" s="5">
        <v>1</v>
      </c>
      <c r="Q7" s="11" t="s">
        <v>562</v>
      </c>
    </row>
    <row r="8" spans="1:26" x14ac:dyDescent="0.25">
      <c r="A8" s="10">
        <v>1626</v>
      </c>
      <c r="B8" s="5" t="s">
        <v>563</v>
      </c>
      <c r="C8" s="5" t="s">
        <v>564</v>
      </c>
      <c r="D8" s="5" t="s">
        <v>545</v>
      </c>
      <c r="E8" s="5" t="s">
        <v>565</v>
      </c>
      <c r="F8" s="5">
        <v>1</v>
      </c>
      <c r="G8" s="5" t="s">
        <v>566</v>
      </c>
      <c r="H8" s="5" t="s">
        <v>564</v>
      </c>
      <c r="I8" s="5"/>
      <c r="J8" s="5"/>
      <c r="K8" s="5">
        <v>0</v>
      </c>
      <c r="L8" s="56">
        <v>44927</v>
      </c>
      <c r="M8" s="5">
        <v>0</v>
      </c>
      <c r="N8" s="5"/>
      <c r="O8" s="5" t="s">
        <v>549</v>
      </c>
      <c r="P8" s="5">
        <v>1</v>
      </c>
      <c r="Q8" s="11" t="s">
        <v>567</v>
      </c>
    </row>
    <row r="9" spans="1:26" x14ac:dyDescent="0.25">
      <c r="A9" s="10">
        <v>1610</v>
      </c>
      <c r="B9" s="5" t="s">
        <v>568</v>
      </c>
      <c r="C9" s="5" t="s">
        <v>569</v>
      </c>
      <c r="D9" s="5" t="s">
        <v>545</v>
      </c>
      <c r="E9" s="5" t="s">
        <v>565</v>
      </c>
      <c r="F9" s="5">
        <v>1</v>
      </c>
      <c r="G9" s="5" t="s">
        <v>566</v>
      </c>
      <c r="H9" s="5" t="s">
        <v>569</v>
      </c>
      <c r="I9" s="5"/>
      <c r="J9" s="5"/>
      <c r="K9" s="5">
        <v>0</v>
      </c>
      <c r="L9" s="56">
        <v>44927</v>
      </c>
      <c r="M9" s="5">
        <v>0</v>
      </c>
      <c r="N9" s="5"/>
      <c r="O9" s="5" t="s">
        <v>549</v>
      </c>
      <c r="P9" s="5">
        <v>1</v>
      </c>
      <c r="Q9" s="11" t="s">
        <v>567</v>
      </c>
    </row>
    <row r="10" spans="1:26" x14ac:dyDescent="0.25">
      <c r="A10" s="10">
        <v>1625</v>
      </c>
      <c r="B10" s="5" t="s">
        <v>570</v>
      </c>
      <c r="C10" s="5" t="s">
        <v>571</v>
      </c>
      <c r="D10" s="5" t="s">
        <v>545</v>
      </c>
      <c r="E10" s="5" t="s">
        <v>565</v>
      </c>
      <c r="F10" s="5">
        <v>1</v>
      </c>
      <c r="G10" s="5" t="s">
        <v>566</v>
      </c>
      <c r="H10" s="5" t="s">
        <v>571</v>
      </c>
      <c r="I10" s="5"/>
      <c r="J10" s="5"/>
      <c r="K10" s="5">
        <v>0</v>
      </c>
      <c r="L10" s="56">
        <v>44927</v>
      </c>
      <c r="M10" s="5">
        <v>0</v>
      </c>
      <c r="N10" s="5"/>
      <c r="O10" s="5" t="s">
        <v>549</v>
      </c>
      <c r="P10" s="5">
        <v>1</v>
      </c>
      <c r="Q10" s="11" t="s">
        <v>567</v>
      </c>
    </row>
    <row r="11" spans="1:26" x14ac:dyDescent="0.25">
      <c r="A11" s="10">
        <v>1611</v>
      </c>
      <c r="B11" s="5" t="s">
        <v>572</v>
      </c>
      <c r="C11" s="5" t="s">
        <v>573</v>
      </c>
      <c r="D11" s="5" t="s">
        <v>545</v>
      </c>
      <c r="E11" s="5" t="s">
        <v>565</v>
      </c>
      <c r="F11" s="5">
        <v>1</v>
      </c>
      <c r="G11" s="5" t="s">
        <v>566</v>
      </c>
      <c r="H11" s="5" t="s">
        <v>573</v>
      </c>
      <c r="I11" s="5"/>
      <c r="J11" s="5"/>
      <c r="K11" s="5">
        <v>0</v>
      </c>
      <c r="L11" s="56">
        <v>44927</v>
      </c>
      <c r="M11" s="5">
        <v>0</v>
      </c>
      <c r="N11" s="5"/>
      <c r="O11" s="5" t="s">
        <v>549</v>
      </c>
      <c r="P11" s="5">
        <v>1</v>
      </c>
      <c r="Q11" s="11" t="s">
        <v>567</v>
      </c>
    </row>
    <row r="12" spans="1:26" x14ac:dyDescent="0.25">
      <c r="A12" s="10">
        <v>1613</v>
      </c>
      <c r="B12" s="5" t="s">
        <v>574</v>
      </c>
      <c r="C12" s="5" t="s">
        <v>575</v>
      </c>
      <c r="D12" s="5" t="s">
        <v>545</v>
      </c>
      <c r="E12" s="5" t="s">
        <v>565</v>
      </c>
      <c r="F12" s="5">
        <v>1</v>
      </c>
      <c r="G12" s="5" t="s">
        <v>566</v>
      </c>
      <c r="H12" s="5" t="s">
        <v>575</v>
      </c>
      <c r="I12" s="5"/>
      <c r="J12" s="5"/>
      <c r="K12" s="5">
        <v>0</v>
      </c>
      <c r="L12" s="56">
        <v>44927</v>
      </c>
      <c r="M12" s="5">
        <v>0</v>
      </c>
      <c r="N12" s="5"/>
      <c r="O12" s="5" t="s">
        <v>576</v>
      </c>
      <c r="P12" s="5">
        <v>1</v>
      </c>
      <c r="Q12" s="11" t="s">
        <v>567</v>
      </c>
    </row>
    <row r="13" spans="1:26" x14ac:dyDescent="0.25">
      <c r="A13" s="10">
        <v>1598</v>
      </c>
      <c r="B13" s="5" t="s">
        <v>577</v>
      </c>
      <c r="C13" s="5" t="s">
        <v>578</v>
      </c>
      <c r="D13" s="5" t="s">
        <v>545</v>
      </c>
      <c r="E13" s="5" t="s">
        <v>565</v>
      </c>
      <c r="F13" s="5">
        <v>1</v>
      </c>
      <c r="G13" s="5" t="s">
        <v>566</v>
      </c>
      <c r="H13" s="5" t="s">
        <v>578</v>
      </c>
      <c r="I13" s="5"/>
      <c r="J13" s="5"/>
      <c r="K13" s="5">
        <v>0</v>
      </c>
      <c r="L13" s="56">
        <v>44927</v>
      </c>
      <c r="M13" s="5">
        <v>0</v>
      </c>
      <c r="N13" s="5"/>
      <c r="O13" s="5" t="s">
        <v>549</v>
      </c>
      <c r="P13" s="5">
        <v>1</v>
      </c>
      <c r="Q13" s="11" t="s">
        <v>567</v>
      </c>
    </row>
    <row r="14" spans="1:26" x14ac:dyDescent="0.25">
      <c r="A14" s="10">
        <v>1937</v>
      </c>
      <c r="B14" s="5" t="s">
        <v>579</v>
      </c>
      <c r="C14" s="5" t="s">
        <v>578</v>
      </c>
      <c r="D14" s="5" t="s">
        <v>545</v>
      </c>
      <c r="E14" s="5" t="s">
        <v>565</v>
      </c>
      <c r="F14" s="5">
        <v>1</v>
      </c>
      <c r="G14" s="5" t="s">
        <v>566</v>
      </c>
      <c r="H14" s="5" t="s">
        <v>578</v>
      </c>
      <c r="I14" s="5"/>
      <c r="J14" s="5"/>
      <c r="K14" s="5">
        <v>0</v>
      </c>
      <c r="L14" s="56">
        <v>44927</v>
      </c>
      <c r="M14" s="5">
        <v>0</v>
      </c>
      <c r="N14" s="5"/>
      <c r="O14" s="5" t="s">
        <v>549</v>
      </c>
      <c r="P14" s="5">
        <v>1</v>
      </c>
      <c r="Q14" s="11" t="s">
        <v>567</v>
      </c>
    </row>
    <row r="15" spans="1:26" x14ac:dyDescent="0.25">
      <c r="A15" s="10">
        <v>1614</v>
      </c>
      <c r="B15" s="5" t="s">
        <v>580</v>
      </c>
      <c r="C15" s="5" t="s">
        <v>581</v>
      </c>
      <c r="D15" s="5" t="s">
        <v>545</v>
      </c>
      <c r="E15" s="5" t="s">
        <v>565</v>
      </c>
      <c r="F15" s="5">
        <v>1</v>
      </c>
      <c r="G15" s="5" t="s">
        <v>566</v>
      </c>
      <c r="H15" s="5" t="s">
        <v>581</v>
      </c>
      <c r="I15" s="5"/>
      <c r="J15" s="5"/>
      <c r="K15" s="5">
        <v>0</v>
      </c>
      <c r="L15" s="56">
        <v>44927</v>
      </c>
      <c r="M15" s="5">
        <v>0</v>
      </c>
      <c r="N15" s="5"/>
      <c r="O15" s="5" t="s">
        <v>549</v>
      </c>
      <c r="P15" s="5">
        <v>1</v>
      </c>
      <c r="Q15" s="11" t="s">
        <v>567</v>
      </c>
    </row>
    <row r="16" spans="1:26" x14ac:dyDescent="0.25">
      <c r="A16" s="10">
        <v>1599</v>
      </c>
      <c r="B16" s="5" t="s">
        <v>582</v>
      </c>
      <c r="C16" s="5" t="s">
        <v>583</v>
      </c>
      <c r="D16" s="5" t="s">
        <v>545</v>
      </c>
      <c r="E16" s="5" t="s">
        <v>565</v>
      </c>
      <c r="F16" s="5">
        <v>1</v>
      </c>
      <c r="G16" s="5" t="s">
        <v>566</v>
      </c>
      <c r="H16" s="5" t="s">
        <v>583</v>
      </c>
      <c r="I16" s="5"/>
      <c r="J16" s="5"/>
      <c r="K16" s="5">
        <v>0</v>
      </c>
      <c r="L16" s="56">
        <v>44927</v>
      </c>
      <c r="M16" s="5">
        <v>0</v>
      </c>
      <c r="N16" s="5"/>
      <c r="O16" s="5" t="s">
        <v>549</v>
      </c>
      <c r="P16" s="5">
        <v>1</v>
      </c>
      <c r="Q16" s="11" t="s">
        <v>567</v>
      </c>
    </row>
    <row r="17" spans="1:17" x14ac:dyDescent="0.25">
      <c r="A17" s="10">
        <v>1941</v>
      </c>
      <c r="B17" s="5" t="s">
        <v>584</v>
      </c>
      <c r="C17" s="5" t="s">
        <v>585</v>
      </c>
      <c r="D17" s="5" t="s">
        <v>545</v>
      </c>
      <c r="E17" s="5" t="s">
        <v>565</v>
      </c>
      <c r="F17" s="5">
        <v>1</v>
      </c>
      <c r="G17" s="5" t="s">
        <v>566</v>
      </c>
      <c r="H17" s="5" t="s">
        <v>578</v>
      </c>
      <c r="I17" s="5"/>
      <c r="J17" s="5"/>
      <c r="K17" s="5">
        <v>0</v>
      </c>
      <c r="L17" s="56">
        <v>44927</v>
      </c>
      <c r="M17" s="5">
        <v>0</v>
      </c>
      <c r="N17" s="5"/>
      <c r="O17" s="5" t="s">
        <v>549</v>
      </c>
      <c r="P17" s="5">
        <v>1</v>
      </c>
      <c r="Q17" s="11" t="s">
        <v>567</v>
      </c>
    </row>
    <row r="18" spans="1:17" x14ac:dyDescent="0.25">
      <c r="A18" s="10">
        <v>1615</v>
      </c>
      <c r="B18" s="5" t="s">
        <v>586</v>
      </c>
      <c r="C18" s="5" t="s">
        <v>587</v>
      </c>
      <c r="D18" s="5" t="s">
        <v>545</v>
      </c>
      <c r="E18" s="5" t="s">
        <v>565</v>
      </c>
      <c r="F18" s="5">
        <v>1</v>
      </c>
      <c r="G18" s="5" t="s">
        <v>566</v>
      </c>
      <c r="H18" s="5" t="s">
        <v>587</v>
      </c>
      <c r="I18" s="5"/>
      <c r="J18" s="5"/>
      <c r="K18" s="5">
        <v>0</v>
      </c>
      <c r="L18" s="56">
        <v>44927</v>
      </c>
      <c r="M18" s="5">
        <v>0</v>
      </c>
      <c r="N18" s="5"/>
      <c r="O18" s="5" t="s">
        <v>549</v>
      </c>
      <c r="P18" s="5">
        <v>1</v>
      </c>
      <c r="Q18" s="11" t="s">
        <v>567</v>
      </c>
    </row>
    <row r="19" spans="1:17" x14ac:dyDescent="0.25">
      <c r="A19" s="10">
        <v>1600</v>
      </c>
      <c r="B19" s="5" t="s">
        <v>588</v>
      </c>
      <c r="C19" s="5" t="s">
        <v>589</v>
      </c>
      <c r="D19" s="5" t="s">
        <v>545</v>
      </c>
      <c r="E19" s="5" t="s">
        <v>565</v>
      </c>
      <c r="F19" s="5">
        <v>1</v>
      </c>
      <c r="G19" s="5" t="s">
        <v>566</v>
      </c>
      <c r="H19" s="5" t="s">
        <v>589</v>
      </c>
      <c r="I19" s="5"/>
      <c r="J19" s="5"/>
      <c r="K19" s="5">
        <v>0</v>
      </c>
      <c r="L19" s="56">
        <v>44927</v>
      </c>
      <c r="M19" s="5">
        <v>0</v>
      </c>
      <c r="N19" s="5"/>
      <c r="O19" s="5" t="s">
        <v>549</v>
      </c>
      <c r="P19" s="5">
        <v>1</v>
      </c>
      <c r="Q19" s="11" t="s">
        <v>567</v>
      </c>
    </row>
    <row r="20" spans="1:17" x14ac:dyDescent="0.25">
      <c r="A20" s="10">
        <v>1616</v>
      </c>
      <c r="B20" s="5" t="s">
        <v>590</v>
      </c>
      <c r="C20" s="5" t="s">
        <v>591</v>
      </c>
      <c r="D20" s="5" t="s">
        <v>545</v>
      </c>
      <c r="E20" s="5" t="s">
        <v>565</v>
      </c>
      <c r="F20" s="5">
        <v>1</v>
      </c>
      <c r="G20" s="5" t="s">
        <v>566</v>
      </c>
      <c r="H20" s="5" t="s">
        <v>591</v>
      </c>
      <c r="I20" s="5"/>
      <c r="J20" s="5"/>
      <c r="K20" s="5">
        <v>0</v>
      </c>
      <c r="L20" s="56">
        <v>44927</v>
      </c>
      <c r="M20" s="5">
        <v>0</v>
      </c>
      <c r="N20" s="5"/>
      <c r="O20" s="5" t="s">
        <v>549</v>
      </c>
      <c r="P20" s="5">
        <v>1</v>
      </c>
      <c r="Q20" s="11" t="s">
        <v>567</v>
      </c>
    </row>
    <row r="21" spans="1:17" x14ac:dyDescent="0.25">
      <c r="A21" s="10">
        <v>1601</v>
      </c>
      <c r="B21" s="5" t="s">
        <v>592</v>
      </c>
      <c r="C21" s="5" t="s">
        <v>593</v>
      </c>
      <c r="D21" s="5" t="s">
        <v>545</v>
      </c>
      <c r="E21" s="5" t="s">
        <v>565</v>
      </c>
      <c r="F21" s="5">
        <v>1</v>
      </c>
      <c r="G21" s="5" t="s">
        <v>566</v>
      </c>
      <c r="H21" s="5" t="s">
        <v>593</v>
      </c>
      <c r="I21" s="5"/>
      <c r="J21" s="5"/>
      <c r="K21" s="5">
        <v>0</v>
      </c>
      <c r="L21" s="56">
        <v>44927</v>
      </c>
      <c r="M21" s="5">
        <v>0</v>
      </c>
      <c r="N21" s="5"/>
      <c r="O21" s="5" t="s">
        <v>549</v>
      </c>
      <c r="P21" s="5">
        <v>1</v>
      </c>
      <c r="Q21" s="11" t="s">
        <v>567</v>
      </c>
    </row>
    <row r="22" spans="1:17" x14ac:dyDescent="0.25">
      <c r="A22" s="10">
        <v>1780</v>
      </c>
      <c r="B22" s="5" t="s">
        <v>594</v>
      </c>
      <c r="C22" s="5" t="s">
        <v>595</v>
      </c>
      <c r="D22" s="5" t="s">
        <v>545</v>
      </c>
      <c r="E22" s="5" t="s">
        <v>546</v>
      </c>
      <c r="F22" s="5">
        <v>1</v>
      </c>
      <c r="G22" s="5" t="s">
        <v>566</v>
      </c>
      <c r="H22" s="5" t="s">
        <v>595</v>
      </c>
      <c r="I22" s="5"/>
      <c r="J22" s="5"/>
      <c r="K22" s="5">
        <v>0</v>
      </c>
      <c r="L22" s="56">
        <v>44927</v>
      </c>
      <c r="M22" s="5">
        <v>0</v>
      </c>
      <c r="N22" s="5"/>
      <c r="O22" s="5" t="s">
        <v>549</v>
      </c>
      <c r="P22" s="5">
        <v>1</v>
      </c>
      <c r="Q22" s="11" t="s">
        <v>567</v>
      </c>
    </row>
    <row r="23" spans="1:17" x14ac:dyDescent="0.25">
      <c r="A23" s="10">
        <v>1779</v>
      </c>
      <c r="B23" s="5" t="s">
        <v>596</v>
      </c>
      <c r="C23" s="5" t="s">
        <v>597</v>
      </c>
      <c r="D23" s="5" t="s">
        <v>545</v>
      </c>
      <c r="E23" s="5" t="s">
        <v>546</v>
      </c>
      <c r="F23" s="5">
        <v>1</v>
      </c>
      <c r="G23" s="5" t="s">
        <v>566</v>
      </c>
      <c r="H23" s="5" t="s">
        <v>597</v>
      </c>
      <c r="I23" s="5"/>
      <c r="J23" s="5"/>
      <c r="K23" s="5">
        <v>0</v>
      </c>
      <c r="L23" s="56">
        <v>44927</v>
      </c>
      <c r="M23" s="5">
        <v>0</v>
      </c>
      <c r="N23" s="5"/>
      <c r="O23" s="5" t="s">
        <v>549</v>
      </c>
      <c r="P23" s="5">
        <v>1</v>
      </c>
      <c r="Q23" s="11" t="s">
        <v>567</v>
      </c>
    </row>
    <row r="24" spans="1:17" x14ac:dyDescent="0.25">
      <c r="A24" s="10">
        <v>1969</v>
      </c>
      <c r="B24" s="5" t="s">
        <v>598</v>
      </c>
      <c r="C24" s="5" t="s">
        <v>598</v>
      </c>
      <c r="D24" s="5" t="s">
        <v>545</v>
      </c>
      <c r="E24" s="5" t="s">
        <v>565</v>
      </c>
      <c r="F24" s="5">
        <v>1</v>
      </c>
      <c r="G24" s="5" t="s">
        <v>566</v>
      </c>
      <c r="H24" s="5" t="s">
        <v>578</v>
      </c>
      <c r="I24" s="5"/>
      <c r="J24" s="5"/>
      <c r="K24" s="5">
        <v>0</v>
      </c>
      <c r="L24" s="56">
        <v>44927</v>
      </c>
      <c r="M24" s="5">
        <v>0</v>
      </c>
      <c r="N24" s="5"/>
      <c r="O24" s="5" t="s">
        <v>549</v>
      </c>
      <c r="P24" s="5">
        <v>1</v>
      </c>
      <c r="Q24" s="11" t="s">
        <v>567</v>
      </c>
    </row>
    <row r="25" spans="1:17" x14ac:dyDescent="0.25">
      <c r="A25" s="10">
        <v>1774</v>
      </c>
      <c r="B25" s="5" t="s">
        <v>599</v>
      </c>
      <c r="C25" s="5" t="s">
        <v>600</v>
      </c>
      <c r="D25" s="5" t="s">
        <v>545</v>
      </c>
      <c r="E25" s="5" t="s">
        <v>546</v>
      </c>
      <c r="F25" s="5">
        <v>1</v>
      </c>
      <c r="G25" s="5" t="s">
        <v>566</v>
      </c>
      <c r="H25" s="5" t="s">
        <v>600</v>
      </c>
      <c r="I25" s="5"/>
      <c r="J25" s="5"/>
      <c r="K25" s="5">
        <v>0</v>
      </c>
      <c r="L25" s="56">
        <v>44927</v>
      </c>
      <c r="M25" s="5">
        <v>0</v>
      </c>
      <c r="N25" s="5"/>
      <c r="O25" s="5" t="s">
        <v>549</v>
      </c>
      <c r="P25" s="5">
        <v>1</v>
      </c>
      <c r="Q25" s="11" t="s">
        <v>567</v>
      </c>
    </row>
    <row r="26" spans="1:17" x14ac:dyDescent="0.25">
      <c r="A26" s="10">
        <v>1744</v>
      </c>
      <c r="B26" s="5" t="s">
        <v>601</v>
      </c>
      <c r="C26" s="5" t="s">
        <v>602</v>
      </c>
      <c r="D26" s="5" t="s">
        <v>545</v>
      </c>
      <c r="E26" s="5" t="s">
        <v>546</v>
      </c>
      <c r="F26" s="5">
        <v>1</v>
      </c>
      <c r="G26" s="5" t="s">
        <v>566</v>
      </c>
      <c r="H26" s="5" t="s">
        <v>602</v>
      </c>
      <c r="I26" s="5"/>
      <c r="J26" s="5"/>
      <c r="K26" s="5">
        <v>0</v>
      </c>
      <c r="L26" s="56">
        <v>44927</v>
      </c>
      <c r="M26" s="5">
        <v>0</v>
      </c>
      <c r="N26" s="5"/>
      <c r="O26" s="5" t="s">
        <v>549</v>
      </c>
      <c r="P26" s="5">
        <v>1</v>
      </c>
      <c r="Q26" s="11" t="s">
        <v>567</v>
      </c>
    </row>
    <row r="27" spans="1:17" x14ac:dyDescent="0.25">
      <c r="A27" s="10">
        <v>1627</v>
      </c>
      <c r="B27" s="5" t="s">
        <v>603</v>
      </c>
      <c r="C27" s="5" t="s">
        <v>604</v>
      </c>
      <c r="D27" s="5" t="s">
        <v>545</v>
      </c>
      <c r="E27" s="5" t="s">
        <v>565</v>
      </c>
      <c r="F27" s="5">
        <v>1</v>
      </c>
      <c r="G27" s="5" t="s">
        <v>566</v>
      </c>
      <c r="H27" s="5" t="s">
        <v>604</v>
      </c>
      <c r="I27" s="5"/>
      <c r="J27" s="5"/>
      <c r="K27" s="5">
        <v>0</v>
      </c>
      <c r="L27" s="56">
        <v>44927</v>
      </c>
      <c r="M27" s="5">
        <v>0</v>
      </c>
      <c r="N27" s="5"/>
      <c r="O27" s="5" t="s">
        <v>549</v>
      </c>
      <c r="P27" s="5">
        <v>1</v>
      </c>
      <c r="Q27" s="11" t="s">
        <v>567</v>
      </c>
    </row>
    <row r="28" spans="1:17" x14ac:dyDescent="0.25">
      <c r="A28" s="10">
        <v>1612</v>
      </c>
      <c r="B28" s="5" t="s">
        <v>605</v>
      </c>
      <c r="C28" s="5" t="s">
        <v>606</v>
      </c>
      <c r="D28" s="5" t="s">
        <v>545</v>
      </c>
      <c r="E28" s="5" t="s">
        <v>565</v>
      </c>
      <c r="F28" s="5">
        <v>1</v>
      </c>
      <c r="G28" s="5" t="s">
        <v>566</v>
      </c>
      <c r="H28" s="5" t="s">
        <v>606</v>
      </c>
      <c r="I28" s="5"/>
      <c r="J28" s="5"/>
      <c r="K28" s="5">
        <v>0</v>
      </c>
      <c r="L28" s="56">
        <v>44927</v>
      </c>
      <c r="M28" s="5">
        <v>0</v>
      </c>
      <c r="N28" s="5"/>
      <c r="O28" s="5" t="s">
        <v>549</v>
      </c>
      <c r="P28" s="5">
        <v>1</v>
      </c>
      <c r="Q28" s="11" t="s">
        <v>567</v>
      </c>
    </row>
    <row r="29" spans="1:17" x14ac:dyDescent="0.25">
      <c r="A29" s="10">
        <v>1743</v>
      </c>
      <c r="B29" s="5" t="s">
        <v>607</v>
      </c>
      <c r="C29" s="5" t="s">
        <v>608</v>
      </c>
      <c r="D29" s="5" t="s">
        <v>545</v>
      </c>
      <c r="E29" s="5" t="s">
        <v>546</v>
      </c>
      <c r="F29" s="5">
        <v>1</v>
      </c>
      <c r="G29" s="5" t="s">
        <v>566</v>
      </c>
      <c r="H29" s="5" t="s">
        <v>608</v>
      </c>
      <c r="I29" s="5"/>
      <c r="J29" s="5"/>
      <c r="K29" s="5">
        <v>0</v>
      </c>
      <c r="L29" s="56">
        <v>44927</v>
      </c>
      <c r="M29" s="5">
        <v>0</v>
      </c>
      <c r="N29" s="5"/>
      <c r="O29" s="5" t="s">
        <v>549</v>
      </c>
      <c r="P29" s="5">
        <v>1</v>
      </c>
      <c r="Q29" s="11" t="s">
        <v>567</v>
      </c>
    </row>
    <row r="30" spans="1:17" x14ac:dyDescent="0.25">
      <c r="A30" s="10">
        <v>1791</v>
      </c>
      <c r="B30" s="5" t="s">
        <v>609</v>
      </c>
      <c r="C30" s="5" t="s">
        <v>610</v>
      </c>
      <c r="D30" s="5" t="s">
        <v>545</v>
      </c>
      <c r="E30" s="5" t="s">
        <v>546</v>
      </c>
      <c r="F30" s="5">
        <v>1</v>
      </c>
      <c r="G30" s="5" t="s">
        <v>566</v>
      </c>
      <c r="H30" s="5" t="s">
        <v>610</v>
      </c>
      <c r="I30" s="5"/>
      <c r="J30" s="5"/>
      <c r="K30" s="5">
        <v>0</v>
      </c>
      <c r="L30" s="56">
        <v>44927</v>
      </c>
      <c r="M30" s="5">
        <v>0</v>
      </c>
      <c r="N30" s="5"/>
      <c r="O30" s="5" t="s">
        <v>549</v>
      </c>
      <c r="P30" s="5">
        <v>1</v>
      </c>
      <c r="Q30" s="11" t="s">
        <v>567</v>
      </c>
    </row>
    <row r="31" spans="1:17" x14ac:dyDescent="0.25">
      <c r="A31" s="10">
        <v>1565</v>
      </c>
      <c r="B31" s="5" t="s">
        <v>84</v>
      </c>
      <c r="C31" s="5" t="s">
        <v>611</v>
      </c>
      <c r="D31" s="5" t="s">
        <v>545</v>
      </c>
      <c r="E31" s="5" t="s">
        <v>546</v>
      </c>
      <c r="F31" s="5">
        <v>1</v>
      </c>
      <c r="G31" s="5" t="s">
        <v>566</v>
      </c>
      <c r="H31" s="5" t="s">
        <v>612</v>
      </c>
      <c r="I31" s="5"/>
      <c r="J31" s="5"/>
      <c r="K31" s="5">
        <v>1000</v>
      </c>
      <c r="L31" s="56">
        <v>44927</v>
      </c>
      <c r="M31" s="5">
        <v>0</v>
      </c>
      <c r="N31" s="5"/>
      <c r="O31" s="5" t="s">
        <v>549</v>
      </c>
      <c r="P31" s="5">
        <v>1</v>
      </c>
      <c r="Q31" s="11" t="s">
        <v>613</v>
      </c>
    </row>
    <row r="32" spans="1:17" x14ac:dyDescent="0.25">
      <c r="A32" s="10">
        <v>1566</v>
      </c>
      <c r="B32" s="5" t="s">
        <v>84</v>
      </c>
      <c r="C32" s="5" t="s">
        <v>611</v>
      </c>
      <c r="D32" s="5" t="s">
        <v>545</v>
      </c>
      <c r="E32" s="5" t="s">
        <v>546</v>
      </c>
      <c r="F32" s="5">
        <v>2</v>
      </c>
      <c r="G32" s="5" t="s">
        <v>547</v>
      </c>
      <c r="H32" s="5" t="s">
        <v>614</v>
      </c>
      <c r="I32" s="5"/>
      <c r="J32" s="5"/>
      <c r="K32" s="5">
        <v>0</v>
      </c>
      <c r="L32" s="56">
        <v>44927</v>
      </c>
      <c r="M32" s="5">
        <v>0</v>
      </c>
      <c r="N32" s="5"/>
      <c r="O32" s="5" t="s">
        <v>549</v>
      </c>
      <c r="P32" s="5">
        <v>1</v>
      </c>
      <c r="Q32" s="11" t="s">
        <v>615</v>
      </c>
    </row>
    <row r="33" spans="1:17" x14ac:dyDescent="0.25">
      <c r="A33" s="10">
        <v>1581</v>
      </c>
      <c r="B33" s="5" t="s">
        <v>84</v>
      </c>
      <c r="C33" s="5" t="s">
        <v>611</v>
      </c>
      <c r="D33" s="5" t="s">
        <v>545</v>
      </c>
      <c r="E33" s="5" t="s">
        <v>546</v>
      </c>
      <c r="F33" s="5">
        <v>4</v>
      </c>
      <c r="G33" s="5" t="s">
        <v>566</v>
      </c>
      <c r="H33" s="5" t="s">
        <v>616</v>
      </c>
      <c r="I33" s="5"/>
      <c r="J33" s="5"/>
      <c r="K33" s="5">
        <v>0</v>
      </c>
      <c r="L33" s="56">
        <v>44927</v>
      </c>
      <c r="M33" s="5">
        <v>0</v>
      </c>
      <c r="N33" s="5"/>
      <c r="O33" s="5" t="s">
        <v>549</v>
      </c>
      <c r="P33" s="5">
        <v>1</v>
      </c>
      <c r="Q33" s="11" t="s">
        <v>617</v>
      </c>
    </row>
    <row r="34" spans="1:17" x14ac:dyDescent="0.25">
      <c r="A34" s="10">
        <v>1582</v>
      </c>
      <c r="B34" s="5" t="s">
        <v>84</v>
      </c>
      <c r="C34" s="5" t="s">
        <v>611</v>
      </c>
      <c r="D34" s="5" t="s">
        <v>545</v>
      </c>
      <c r="E34" s="5" t="s">
        <v>546</v>
      </c>
      <c r="F34" s="5">
        <v>5</v>
      </c>
      <c r="G34" s="5" t="s">
        <v>566</v>
      </c>
      <c r="H34" s="5" t="s">
        <v>618</v>
      </c>
      <c r="I34" s="5"/>
      <c r="J34" s="5"/>
      <c r="K34" s="5">
        <v>0</v>
      </c>
      <c r="L34" s="56">
        <v>44927</v>
      </c>
      <c r="M34" s="5">
        <v>0</v>
      </c>
      <c r="N34" s="5"/>
      <c r="O34" s="5" t="s">
        <v>549</v>
      </c>
      <c r="P34" s="5">
        <v>1</v>
      </c>
      <c r="Q34" s="11" t="s">
        <v>619</v>
      </c>
    </row>
    <row r="35" spans="1:17" x14ac:dyDescent="0.25">
      <c r="A35" s="10">
        <v>1950</v>
      </c>
      <c r="B35" s="5" t="s">
        <v>620</v>
      </c>
      <c r="C35" s="5" t="s">
        <v>621</v>
      </c>
      <c r="D35" s="5" t="s">
        <v>545</v>
      </c>
      <c r="E35" s="5" t="s">
        <v>546</v>
      </c>
      <c r="F35" s="5">
        <v>1</v>
      </c>
      <c r="G35" s="5" t="s">
        <v>566</v>
      </c>
      <c r="H35" s="5" t="s">
        <v>622</v>
      </c>
      <c r="I35" s="5"/>
      <c r="J35" s="5"/>
      <c r="K35" s="5">
        <v>0</v>
      </c>
      <c r="L35" s="56">
        <v>44927</v>
      </c>
      <c r="M35" s="5">
        <v>0</v>
      </c>
      <c r="N35" s="5"/>
      <c r="O35" s="5" t="s">
        <v>549</v>
      </c>
      <c r="P35" s="5">
        <v>1</v>
      </c>
      <c r="Q35" s="11" t="s">
        <v>567</v>
      </c>
    </row>
    <row r="36" spans="1:17" x14ac:dyDescent="0.25">
      <c r="A36" s="10">
        <v>1963</v>
      </c>
      <c r="B36" s="5" t="s">
        <v>623</v>
      </c>
      <c r="C36" s="5" t="s">
        <v>624</v>
      </c>
      <c r="D36" s="5" t="s">
        <v>545</v>
      </c>
      <c r="E36" s="5" t="s">
        <v>546</v>
      </c>
      <c r="F36" s="5">
        <v>1</v>
      </c>
      <c r="G36" s="5" t="s">
        <v>566</v>
      </c>
      <c r="H36" s="5" t="s">
        <v>625</v>
      </c>
      <c r="I36" s="5"/>
      <c r="J36" s="5"/>
      <c r="K36" s="5">
        <v>0</v>
      </c>
      <c r="L36" s="56">
        <v>44927</v>
      </c>
      <c r="M36" s="5">
        <v>0</v>
      </c>
      <c r="N36" s="5"/>
      <c r="O36" s="5" t="s">
        <v>549</v>
      </c>
      <c r="P36" s="5">
        <v>1</v>
      </c>
      <c r="Q36" s="11" t="s">
        <v>567</v>
      </c>
    </row>
    <row r="37" spans="1:17" x14ac:dyDescent="0.25">
      <c r="A37" s="10">
        <v>1757</v>
      </c>
      <c r="B37" s="5" t="s">
        <v>626</v>
      </c>
      <c r="C37" s="5" t="s">
        <v>627</v>
      </c>
      <c r="D37" s="5" t="s">
        <v>545</v>
      </c>
      <c r="E37" s="5" t="s">
        <v>546</v>
      </c>
      <c r="F37" s="5">
        <v>1</v>
      </c>
      <c r="G37" s="5" t="s">
        <v>566</v>
      </c>
      <c r="H37" s="5" t="s">
        <v>627</v>
      </c>
      <c r="I37" s="5"/>
      <c r="J37" s="5"/>
      <c r="K37" s="5">
        <v>0</v>
      </c>
      <c r="L37" s="56">
        <v>44927</v>
      </c>
      <c r="M37" s="5">
        <v>0</v>
      </c>
      <c r="N37" s="5"/>
      <c r="O37" s="5" t="s">
        <v>549</v>
      </c>
      <c r="P37" s="5">
        <v>1</v>
      </c>
      <c r="Q37" s="11" t="s">
        <v>567</v>
      </c>
    </row>
    <row r="38" spans="1:17" x14ac:dyDescent="0.25">
      <c r="A38" s="10">
        <v>1754</v>
      </c>
      <c r="B38" s="5" t="s">
        <v>628</v>
      </c>
      <c r="C38" s="5" t="s">
        <v>627</v>
      </c>
      <c r="D38" s="5" t="s">
        <v>545</v>
      </c>
      <c r="E38" s="5" t="s">
        <v>546</v>
      </c>
      <c r="F38" s="5">
        <v>1</v>
      </c>
      <c r="G38" s="5" t="s">
        <v>547</v>
      </c>
      <c r="H38" s="5" t="s">
        <v>627</v>
      </c>
      <c r="I38" s="5"/>
      <c r="J38" s="5"/>
      <c r="K38" s="5">
        <v>0</v>
      </c>
      <c r="L38" s="56">
        <v>44927</v>
      </c>
      <c r="M38" s="5">
        <v>0</v>
      </c>
      <c r="N38" s="5"/>
      <c r="O38" s="5" t="s">
        <v>549</v>
      </c>
      <c r="P38" s="5">
        <v>1</v>
      </c>
      <c r="Q38" s="11" t="s">
        <v>567</v>
      </c>
    </row>
    <row r="39" spans="1:17" x14ac:dyDescent="0.25">
      <c r="A39" s="10">
        <v>1759</v>
      </c>
      <c r="B39" s="5" t="s">
        <v>629</v>
      </c>
      <c r="C39" s="5" t="s">
        <v>630</v>
      </c>
      <c r="D39" s="5" t="s">
        <v>545</v>
      </c>
      <c r="E39" s="5" t="s">
        <v>546</v>
      </c>
      <c r="F39" s="5">
        <v>1</v>
      </c>
      <c r="G39" s="5" t="s">
        <v>566</v>
      </c>
      <c r="H39" s="5" t="s">
        <v>630</v>
      </c>
      <c r="I39" s="5"/>
      <c r="J39" s="5"/>
      <c r="K39" s="5">
        <v>0</v>
      </c>
      <c r="L39" s="56">
        <v>44927</v>
      </c>
      <c r="M39" s="5">
        <v>0</v>
      </c>
      <c r="N39" s="5"/>
      <c r="O39" s="5" t="s">
        <v>549</v>
      </c>
      <c r="P39" s="5">
        <v>1</v>
      </c>
      <c r="Q39" s="11" t="s">
        <v>567</v>
      </c>
    </row>
    <row r="40" spans="1:17" x14ac:dyDescent="0.25">
      <c r="A40" s="10">
        <v>1755</v>
      </c>
      <c r="B40" s="5" t="s">
        <v>631</v>
      </c>
      <c r="C40" s="5" t="s">
        <v>630</v>
      </c>
      <c r="D40" s="5" t="s">
        <v>545</v>
      </c>
      <c r="E40" s="5" t="s">
        <v>546</v>
      </c>
      <c r="F40" s="5">
        <v>1</v>
      </c>
      <c r="G40" s="5" t="s">
        <v>547</v>
      </c>
      <c r="H40" s="5" t="s">
        <v>630</v>
      </c>
      <c r="I40" s="5"/>
      <c r="J40" s="5"/>
      <c r="K40" s="5">
        <v>0</v>
      </c>
      <c r="L40" s="56">
        <v>44927</v>
      </c>
      <c r="M40" s="5">
        <v>0</v>
      </c>
      <c r="N40" s="5"/>
      <c r="O40" s="5" t="s">
        <v>549</v>
      </c>
      <c r="P40" s="5">
        <v>1</v>
      </c>
      <c r="Q40" s="11" t="s">
        <v>567</v>
      </c>
    </row>
    <row r="41" spans="1:17" x14ac:dyDescent="0.25">
      <c r="A41" s="10">
        <v>1758</v>
      </c>
      <c r="B41" s="5" t="s">
        <v>632</v>
      </c>
      <c r="C41" s="5" t="s">
        <v>633</v>
      </c>
      <c r="D41" s="5" t="s">
        <v>545</v>
      </c>
      <c r="E41" s="5" t="s">
        <v>546</v>
      </c>
      <c r="F41" s="5">
        <v>1</v>
      </c>
      <c r="G41" s="5" t="s">
        <v>566</v>
      </c>
      <c r="H41" s="5" t="s">
        <v>633</v>
      </c>
      <c r="I41" s="5"/>
      <c r="J41" s="5"/>
      <c r="K41" s="5">
        <v>0</v>
      </c>
      <c r="L41" s="56">
        <v>44927</v>
      </c>
      <c r="M41" s="5">
        <v>0</v>
      </c>
      <c r="N41" s="5"/>
      <c r="O41" s="5" t="s">
        <v>549</v>
      </c>
      <c r="P41" s="5">
        <v>1</v>
      </c>
      <c r="Q41" s="11" t="s">
        <v>567</v>
      </c>
    </row>
    <row r="42" spans="1:17" x14ac:dyDescent="0.25">
      <c r="A42" s="10">
        <v>1756</v>
      </c>
      <c r="B42" s="5" t="s">
        <v>634</v>
      </c>
      <c r="C42" s="5" t="s">
        <v>633</v>
      </c>
      <c r="D42" s="5" t="s">
        <v>545</v>
      </c>
      <c r="E42" s="5" t="s">
        <v>546</v>
      </c>
      <c r="F42" s="5">
        <v>1</v>
      </c>
      <c r="G42" s="5" t="s">
        <v>547</v>
      </c>
      <c r="H42" s="5" t="s">
        <v>633</v>
      </c>
      <c r="I42" s="5"/>
      <c r="J42" s="5"/>
      <c r="K42" s="5">
        <v>0</v>
      </c>
      <c r="L42" s="56">
        <v>44927</v>
      </c>
      <c r="M42" s="5">
        <v>0</v>
      </c>
      <c r="N42" s="5"/>
      <c r="O42" s="5" t="s">
        <v>549</v>
      </c>
      <c r="P42" s="5">
        <v>1</v>
      </c>
      <c r="Q42" s="11" t="s">
        <v>567</v>
      </c>
    </row>
    <row r="43" spans="1:17" x14ac:dyDescent="0.25">
      <c r="A43" s="10">
        <v>1942</v>
      </c>
      <c r="B43" s="5" t="s">
        <v>635</v>
      </c>
      <c r="C43" s="5" t="s">
        <v>636</v>
      </c>
      <c r="D43" s="5" t="s">
        <v>545</v>
      </c>
      <c r="E43" s="5" t="s">
        <v>546</v>
      </c>
      <c r="F43" s="5">
        <v>1</v>
      </c>
      <c r="G43" s="5" t="s">
        <v>566</v>
      </c>
      <c r="H43" s="5" t="s">
        <v>627</v>
      </c>
      <c r="I43" s="5"/>
      <c r="J43" s="5"/>
      <c r="K43" s="5">
        <v>0</v>
      </c>
      <c r="L43" s="56">
        <v>44927</v>
      </c>
      <c r="M43" s="5">
        <v>0</v>
      </c>
      <c r="N43" s="5"/>
      <c r="O43" s="5" t="s">
        <v>549</v>
      </c>
      <c r="P43" s="5">
        <v>1</v>
      </c>
      <c r="Q43" s="11" t="s">
        <v>567</v>
      </c>
    </row>
    <row r="44" spans="1:17" x14ac:dyDescent="0.25">
      <c r="A44" s="10">
        <v>1897</v>
      </c>
      <c r="B44" s="5" t="s">
        <v>637</v>
      </c>
      <c r="C44" s="5" t="s">
        <v>638</v>
      </c>
      <c r="D44" s="5" t="s">
        <v>545</v>
      </c>
      <c r="E44" s="5" t="s">
        <v>546</v>
      </c>
      <c r="F44" s="5">
        <v>1</v>
      </c>
      <c r="G44" s="5" t="s">
        <v>547</v>
      </c>
      <c r="H44" s="5" t="s">
        <v>638</v>
      </c>
      <c r="I44" s="5"/>
      <c r="J44" s="5"/>
      <c r="K44" s="5">
        <v>0</v>
      </c>
      <c r="L44" s="56">
        <v>44927</v>
      </c>
      <c r="M44" s="5">
        <v>0</v>
      </c>
      <c r="N44" s="5"/>
      <c r="O44" s="5" t="s">
        <v>549</v>
      </c>
      <c r="P44" s="5">
        <v>1</v>
      </c>
      <c r="Q44" s="11" t="s">
        <v>567</v>
      </c>
    </row>
    <row r="45" spans="1:17" x14ac:dyDescent="0.25">
      <c r="A45" s="10">
        <v>1898</v>
      </c>
      <c r="B45" s="5" t="s">
        <v>639</v>
      </c>
      <c r="C45" s="5" t="s">
        <v>640</v>
      </c>
      <c r="D45" s="5" t="s">
        <v>545</v>
      </c>
      <c r="E45" s="5" t="s">
        <v>546</v>
      </c>
      <c r="F45" s="5">
        <v>1</v>
      </c>
      <c r="G45" s="5" t="s">
        <v>547</v>
      </c>
      <c r="H45" s="5" t="s">
        <v>640</v>
      </c>
      <c r="I45" s="5"/>
      <c r="J45" s="5"/>
      <c r="K45" s="5">
        <v>0</v>
      </c>
      <c r="L45" s="56">
        <v>44927</v>
      </c>
      <c r="M45" s="5">
        <v>0</v>
      </c>
      <c r="N45" s="5"/>
      <c r="O45" s="5" t="s">
        <v>549</v>
      </c>
      <c r="P45" s="5">
        <v>1</v>
      </c>
      <c r="Q45" s="11" t="s">
        <v>567</v>
      </c>
    </row>
    <row r="46" spans="1:17" x14ac:dyDescent="0.25">
      <c r="A46" s="10">
        <v>1899</v>
      </c>
      <c r="B46" s="5" t="s">
        <v>641</v>
      </c>
      <c r="C46" s="5" t="s">
        <v>642</v>
      </c>
      <c r="D46" s="5" t="s">
        <v>545</v>
      </c>
      <c r="E46" s="5" t="s">
        <v>546</v>
      </c>
      <c r="F46" s="5">
        <v>1</v>
      </c>
      <c r="G46" s="5" t="s">
        <v>547</v>
      </c>
      <c r="H46" s="5" t="s">
        <v>642</v>
      </c>
      <c r="I46" s="5"/>
      <c r="J46" s="5"/>
      <c r="K46" s="5">
        <v>0</v>
      </c>
      <c r="L46" s="56">
        <v>44927</v>
      </c>
      <c r="M46" s="5">
        <v>0</v>
      </c>
      <c r="N46" s="5"/>
      <c r="O46" s="5" t="s">
        <v>549</v>
      </c>
      <c r="P46" s="5">
        <v>1</v>
      </c>
      <c r="Q46" s="11" t="s">
        <v>567</v>
      </c>
    </row>
    <row r="47" spans="1:17" x14ac:dyDescent="0.25">
      <c r="A47" s="10">
        <v>1900</v>
      </c>
      <c r="B47" s="5" t="s">
        <v>643</v>
      </c>
      <c r="C47" s="5" t="s">
        <v>644</v>
      </c>
      <c r="D47" s="5" t="s">
        <v>545</v>
      </c>
      <c r="E47" s="5" t="s">
        <v>546</v>
      </c>
      <c r="F47" s="5">
        <v>1</v>
      </c>
      <c r="G47" s="5" t="s">
        <v>547</v>
      </c>
      <c r="H47" s="5" t="s">
        <v>644</v>
      </c>
      <c r="I47" s="5"/>
      <c r="J47" s="5"/>
      <c r="K47" s="5">
        <v>0</v>
      </c>
      <c r="L47" s="56">
        <v>44927</v>
      </c>
      <c r="M47" s="5">
        <v>0</v>
      </c>
      <c r="N47" s="5"/>
      <c r="O47" s="5" t="s">
        <v>549</v>
      </c>
      <c r="P47" s="5">
        <v>1</v>
      </c>
      <c r="Q47" s="11" t="s">
        <v>567</v>
      </c>
    </row>
    <row r="48" spans="1:17" x14ac:dyDescent="0.25">
      <c r="A48" s="10">
        <v>1901</v>
      </c>
      <c r="B48" s="5" t="s">
        <v>645</v>
      </c>
      <c r="C48" s="5" t="s">
        <v>646</v>
      </c>
      <c r="D48" s="5" t="s">
        <v>545</v>
      </c>
      <c r="E48" s="5" t="s">
        <v>546</v>
      </c>
      <c r="F48" s="5">
        <v>1</v>
      </c>
      <c r="G48" s="5" t="s">
        <v>547</v>
      </c>
      <c r="H48" s="5" t="s">
        <v>646</v>
      </c>
      <c r="I48" s="5"/>
      <c r="J48" s="5"/>
      <c r="K48" s="5">
        <v>0</v>
      </c>
      <c r="L48" s="56">
        <v>44927</v>
      </c>
      <c r="M48" s="5">
        <v>0</v>
      </c>
      <c r="N48" s="5"/>
      <c r="O48" s="5" t="s">
        <v>549</v>
      </c>
      <c r="P48" s="5">
        <v>1</v>
      </c>
      <c r="Q48" s="11" t="s">
        <v>567</v>
      </c>
    </row>
    <row r="49" spans="1:17" x14ac:dyDescent="0.25">
      <c r="A49" s="10">
        <v>1902</v>
      </c>
      <c r="B49" s="5" t="s">
        <v>647</v>
      </c>
      <c r="C49" s="5" t="s">
        <v>648</v>
      </c>
      <c r="D49" s="5" t="s">
        <v>545</v>
      </c>
      <c r="E49" s="5" t="s">
        <v>546</v>
      </c>
      <c r="F49" s="5">
        <v>1</v>
      </c>
      <c r="G49" s="5" t="s">
        <v>547</v>
      </c>
      <c r="H49" s="5" t="s">
        <v>648</v>
      </c>
      <c r="I49" s="5"/>
      <c r="J49" s="5"/>
      <c r="K49" s="5">
        <v>0</v>
      </c>
      <c r="L49" s="56">
        <v>44927</v>
      </c>
      <c r="M49" s="5">
        <v>0</v>
      </c>
      <c r="N49" s="5"/>
      <c r="O49" s="5" t="s">
        <v>549</v>
      </c>
      <c r="P49" s="5">
        <v>1</v>
      </c>
      <c r="Q49" s="11" t="s">
        <v>567</v>
      </c>
    </row>
    <row r="50" spans="1:17" x14ac:dyDescent="0.25">
      <c r="A50" s="10">
        <v>1617</v>
      </c>
      <c r="B50" s="5" t="s">
        <v>649</v>
      </c>
      <c r="C50" s="5" t="s">
        <v>650</v>
      </c>
      <c r="D50" s="5" t="s">
        <v>545</v>
      </c>
      <c r="E50" s="5" t="s">
        <v>565</v>
      </c>
      <c r="F50" s="5">
        <v>1</v>
      </c>
      <c r="G50" s="5" t="s">
        <v>566</v>
      </c>
      <c r="H50" s="5" t="s">
        <v>650</v>
      </c>
      <c r="I50" s="5"/>
      <c r="J50" s="5"/>
      <c r="K50" s="5">
        <v>0</v>
      </c>
      <c r="L50" s="56">
        <v>44927</v>
      </c>
      <c r="M50" s="5">
        <v>0</v>
      </c>
      <c r="N50" s="5"/>
      <c r="O50" s="5" t="s">
        <v>549</v>
      </c>
      <c r="P50" s="5">
        <v>1</v>
      </c>
      <c r="Q50" s="11" t="s">
        <v>567</v>
      </c>
    </row>
    <row r="51" spans="1:17" x14ac:dyDescent="0.25">
      <c r="A51" s="10">
        <v>1602</v>
      </c>
      <c r="B51" s="5" t="s">
        <v>651</v>
      </c>
      <c r="C51" s="5" t="s">
        <v>652</v>
      </c>
      <c r="D51" s="5" t="s">
        <v>545</v>
      </c>
      <c r="E51" s="5" t="s">
        <v>565</v>
      </c>
      <c r="F51" s="5">
        <v>1</v>
      </c>
      <c r="G51" s="5" t="s">
        <v>566</v>
      </c>
      <c r="H51" s="5" t="s">
        <v>652</v>
      </c>
      <c r="I51" s="5"/>
      <c r="J51" s="5"/>
      <c r="K51" s="5">
        <v>0</v>
      </c>
      <c r="L51" s="56">
        <v>44927</v>
      </c>
      <c r="M51" s="5">
        <v>0</v>
      </c>
      <c r="N51" s="5"/>
      <c r="O51" s="5" t="s">
        <v>549</v>
      </c>
      <c r="P51" s="5">
        <v>1</v>
      </c>
      <c r="Q51" s="11" t="s">
        <v>567</v>
      </c>
    </row>
    <row r="52" spans="1:17" x14ac:dyDescent="0.25">
      <c r="A52" s="10">
        <v>1618</v>
      </c>
      <c r="B52" s="5" t="s">
        <v>653</v>
      </c>
      <c r="C52" s="5" t="s">
        <v>654</v>
      </c>
      <c r="D52" s="5" t="s">
        <v>545</v>
      </c>
      <c r="E52" s="5" t="s">
        <v>565</v>
      </c>
      <c r="F52" s="5">
        <v>1</v>
      </c>
      <c r="G52" s="5" t="s">
        <v>566</v>
      </c>
      <c r="H52" s="5" t="s">
        <v>654</v>
      </c>
      <c r="I52" s="5"/>
      <c r="J52" s="5"/>
      <c r="K52" s="5">
        <v>0</v>
      </c>
      <c r="L52" s="56">
        <v>44927</v>
      </c>
      <c r="M52" s="5">
        <v>0</v>
      </c>
      <c r="N52" s="5"/>
      <c r="O52" s="5" t="s">
        <v>549</v>
      </c>
      <c r="P52" s="5">
        <v>1</v>
      </c>
      <c r="Q52" s="11" t="s">
        <v>567</v>
      </c>
    </row>
    <row r="53" spans="1:17" x14ac:dyDescent="0.25">
      <c r="A53" s="10">
        <v>1603</v>
      </c>
      <c r="B53" s="5" t="s">
        <v>655</v>
      </c>
      <c r="C53" s="5" t="s">
        <v>656</v>
      </c>
      <c r="D53" s="5" t="s">
        <v>545</v>
      </c>
      <c r="E53" s="5" t="s">
        <v>565</v>
      </c>
      <c r="F53" s="5">
        <v>1</v>
      </c>
      <c r="G53" s="5" t="s">
        <v>566</v>
      </c>
      <c r="H53" s="5" t="s">
        <v>656</v>
      </c>
      <c r="I53" s="5"/>
      <c r="J53" s="5"/>
      <c r="K53" s="5">
        <v>0</v>
      </c>
      <c r="L53" s="56">
        <v>44927</v>
      </c>
      <c r="M53" s="5">
        <v>0</v>
      </c>
      <c r="N53" s="5"/>
      <c r="O53" s="5" t="s">
        <v>549</v>
      </c>
      <c r="P53" s="5">
        <v>1</v>
      </c>
      <c r="Q53" s="11" t="s">
        <v>567</v>
      </c>
    </row>
    <row r="54" spans="1:17" x14ac:dyDescent="0.25">
      <c r="A54" s="10">
        <v>1619</v>
      </c>
      <c r="B54" s="5" t="s">
        <v>657</v>
      </c>
      <c r="C54" s="5" t="s">
        <v>658</v>
      </c>
      <c r="D54" s="5" t="s">
        <v>545</v>
      </c>
      <c r="E54" s="5" t="s">
        <v>565</v>
      </c>
      <c r="F54" s="5">
        <v>1</v>
      </c>
      <c r="G54" s="5" t="s">
        <v>566</v>
      </c>
      <c r="H54" s="5" t="s">
        <v>658</v>
      </c>
      <c r="I54" s="5"/>
      <c r="J54" s="5"/>
      <c r="K54" s="5">
        <v>0</v>
      </c>
      <c r="L54" s="56">
        <v>44927</v>
      </c>
      <c r="M54" s="5">
        <v>0</v>
      </c>
      <c r="N54" s="5"/>
      <c r="O54" s="5" t="s">
        <v>549</v>
      </c>
      <c r="P54" s="5">
        <v>1</v>
      </c>
      <c r="Q54" s="11" t="s">
        <v>567</v>
      </c>
    </row>
    <row r="55" spans="1:17" x14ac:dyDescent="0.25">
      <c r="A55" s="10">
        <v>1604</v>
      </c>
      <c r="B55" s="5" t="s">
        <v>659</v>
      </c>
      <c r="C55" s="5" t="s">
        <v>660</v>
      </c>
      <c r="D55" s="5" t="s">
        <v>545</v>
      </c>
      <c r="E55" s="5" t="s">
        <v>565</v>
      </c>
      <c r="F55" s="5">
        <v>1</v>
      </c>
      <c r="G55" s="5" t="s">
        <v>566</v>
      </c>
      <c r="H55" s="5" t="s">
        <v>660</v>
      </c>
      <c r="I55" s="5"/>
      <c r="J55" s="5"/>
      <c r="K55" s="5">
        <v>0</v>
      </c>
      <c r="L55" s="56">
        <v>44927</v>
      </c>
      <c r="M55" s="5">
        <v>0</v>
      </c>
      <c r="N55" s="5"/>
      <c r="O55" s="5" t="s">
        <v>549</v>
      </c>
      <c r="P55" s="5">
        <v>1</v>
      </c>
      <c r="Q55" s="11" t="s">
        <v>567</v>
      </c>
    </row>
    <row r="56" spans="1:17" x14ac:dyDescent="0.25">
      <c r="A56" s="10">
        <v>1620</v>
      </c>
      <c r="B56" s="5" t="s">
        <v>661</v>
      </c>
      <c r="C56" s="5" t="s">
        <v>662</v>
      </c>
      <c r="D56" s="5" t="s">
        <v>545</v>
      </c>
      <c r="E56" s="5" t="s">
        <v>565</v>
      </c>
      <c r="F56" s="5">
        <v>1</v>
      </c>
      <c r="G56" s="5" t="s">
        <v>566</v>
      </c>
      <c r="H56" s="5" t="s">
        <v>662</v>
      </c>
      <c r="I56" s="5"/>
      <c r="J56" s="5"/>
      <c r="K56" s="5">
        <v>0</v>
      </c>
      <c r="L56" s="56">
        <v>44927</v>
      </c>
      <c r="M56" s="5">
        <v>0</v>
      </c>
      <c r="N56" s="5"/>
      <c r="O56" s="5" t="s">
        <v>549</v>
      </c>
      <c r="P56" s="5">
        <v>1</v>
      </c>
      <c r="Q56" s="11" t="s">
        <v>567</v>
      </c>
    </row>
    <row r="57" spans="1:17" x14ac:dyDescent="0.25">
      <c r="A57" s="10">
        <v>1605</v>
      </c>
      <c r="B57" s="5" t="s">
        <v>663</v>
      </c>
      <c r="C57" s="5" t="s">
        <v>664</v>
      </c>
      <c r="D57" s="5" t="s">
        <v>545</v>
      </c>
      <c r="E57" s="5" t="s">
        <v>565</v>
      </c>
      <c r="F57" s="5">
        <v>1</v>
      </c>
      <c r="G57" s="5" t="s">
        <v>566</v>
      </c>
      <c r="H57" s="5" t="s">
        <v>664</v>
      </c>
      <c r="I57" s="5"/>
      <c r="J57" s="5"/>
      <c r="K57" s="5">
        <v>0</v>
      </c>
      <c r="L57" s="56">
        <v>44927</v>
      </c>
      <c r="M57" s="5">
        <v>0</v>
      </c>
      <c r="N57" s="5"/>
      <c r="O57" s="5" t="s">
        <v>549</v>
      </c>
      <c r="P57" s="5">
        <v>1</v>
      </c>
      <c r="Q57" s="11" t="s">
        <v>567</v>
      </c>
    </row>
    <row r="58" spans="1:17" x14ac:dyDescent="0.25">
      <c r="A58" s="10">
        <v>1781</v>
      </c>
      <c r="B58" s="5" t="s">
        <v>665</v>
      </c>
      <c r="C58" s="5" t="s">
        <v>622</v>
      </c>
      <c r="D58" s="5" t="s">
        <v>545</v>
      </c>
      <c r="E58" s="5" t="s">
        <v>546</v>
      </c>
      <c r="F58" s="5">
        <v>1</v>
      </c>
      <c r="G58" s="5" t="s">
        <v>566</v>
      </c>
      <c r="H58" s="5" t="s">
        <v>622</v>
      </c>
      <c r="I58" s="5"/>
      <c r="J58" s="5"/>
      <c r="K58" s="5">
        <v>0</v>
      </c>
      <c r="L58" s="56">
        <v>44927</v>
      </c>
      <c r="M58" s="5">
        <v>0</v>
      </c>
      <c r="N58" s="5"/>
      <c r="O58" s="5" t="s">
        <v>549</v>
      </c>
      <c r="P58" s="5">
        <v>1</v>
      </c>
      <c r="Q58" s="11" t="s">
        <v>567</v>
      </c>
    </row>
    <row r="59" spans="1:17" x14ac:dyDescent="0.25">
      <c r="A59" s="10">
        <v>1782</v>
      </c>
      <c r="B59" s="5" t="s">
        <v>666</v>
      </c>
      <c r="C59" s="5" t="s">
        <v>621</v>
      </c>
      <c r="D59" s="5" t="s">
        <v>545</v>
      </c>
      <c r="E59" s="5" t="s">
        <v>546</v>
      </c>
      <c r="F59" s="5">
        <v>1</v>
      </c>
      <c r="G59" s="5" t="s">
        <v>566</v>
      </c>
      <c r="H59" s="5" t="s">
        <v>621</v>
      </c>
      <c r="I59" s="5"/>
      <c r="J59" s="5"/>
      <c r="K59" s="5">
        <v>0</v>
      </c>
      <c r="L59" s="56">
        <v>44927</v>
      </c>
      <c r="M59" s="5">
        <v>0</v>
      </c>
      <c r="N59" s="5"/>
      <c r="O59" s="5" t="s">
        <v>549</v>
      </c>
      <c r="P59" s="5">
        <v>1</v>
      </c>
      <c r="Q59" s="11" t="s">
        <v>567</v>
      </c>
    </row>
    <row r="60" spans="1:17" x14ac:dyDescent="0.25">
      <c r="A60" s="10">
        <v>1847</v>
      </c>
      <c r="B60" s="5" t="s">
        <v>667</v>
      </c>
      <c r="C60" s="5" t="s">
        <v>668</v>
      </c>
      <c r="D60" s="5" t="s">
        <v>545</v>
      </c>
      <c r="E60" s="5" t="s">
        <v>669</v>
      </c>
      <c r="F60" s="5">
        <v>1</v>
      </c>
      <c r="G60" s="5" t="s">
        <v>547</v>
      </c>
      <c r="H60" s="5" t="s">
        <v>668</v>
      </c>
      <c r="I60" s="5"/>
      <c r="J60" s="5"/>
      <c r="K60" s="5">
        <v>25</v>
      </c>
      <c r="L60" s="56">
        <v>45292</v>
      </c>
      <c r="M60" s="5">
        <v>0</v>
      </c>
      <c r="N60" s="5"/>
      <c r="O60" s="5" t="s">
        <v>549</v>
      </c>
      <c r="P60" s="5">
        <v>1</v>
      </c>
      <c r="Q60" s="11" t="s">
        <v>615</v>
      </c>
    </row>
    <row r="61" spans="1:17" x14ac:dyDescent="0.25">
      <c r="A61" s="10">
        <v>1831</v>
      </c>
      <c r="B61" s="5" t="s">
        <v>670</v>
      </c>
      <c r="C61" s="5" t="s">
        <v>671</v>
      </c>
      <c r="D61" s="5" t="s">
        <v>545</v>
      </c>
      <c r="E61" s="5" t="s">
        <v>669</v>
      </c>
      <c r="F61" s="5">
        <v>1</v>
      </c>
      <c r="G61" s="5" t="s">
        <v>547</v>
      </c>
      <c r="H61" s="5" t="s">
        <v>671</v>
      </c>
      <c r="I61" s="5"/>
      <c r="J61" s="5"/>
      <c r="K61" s="5">
        <v>40</v>
      </c>
      <c r="L61" s="56">
        <v>45292</v>
      </c>
      <c r="M61" s="5">
        <v>0</v>
      </c>
      <c r="N61" s="5"/>
      <c r="O61" s="5" t="s">
        <v>549</v>
      </c>
      <c r="P61" s="5">
        <v>1</v>
      </c>
      <c r="Q61" s="11" t="s">
        <v>615</v>
      </c>
    </row>
    <row r="62" spans="1:17" x14ac:dyDescent="0.25">
      <c r="A62" s="10">
        <v>1833</v>
      </c>
      <c r="B62" s="5" t="s">
        <v>672</v>
      </c>
      <c r="C62" s="5" t="s">
        <v>673</v>
      </c>
      <c r="D62" s="5" t="s">
        <v>545</v>
      </c>
      <c r="E62" s="5" t="s">
        <v>669</v>
      </c>
      <c r="F62" s="5">
        <v>1</v>
      </c>
      <c r="G62" s="5" t="s">
        <v>547</v>
      </c>
      <c r="H62" s="5" t="s">
        <v>673</v>
      </c>
      <c r="I62" s="5"/>
      <c r="J62" s="5"/>
      <c r="K62" s="5">
        <v>20</v>
      </c>
      <c r="L62" s="56">
        <v>45292</v>
      </c>
      <c r="M62" s="5">
        <v>0</v>
      </c>
      <c r="N62" s="5"/>
      <c r="O62" s="5" t="s">
        <v>549</v>
      </c>
      <c r="P62" s="5">
        <v>1</v>
      </c>
      <c r="Q62" s="11" t="s">
        <v>615</v>
      </c>
    </row>
    <row r="63" spans="1:17" x14ac:dyDescent="0.25">
      <c r="A63" s="10">
        <v>1832</v>
      </c>
      <c r="B63" s="5" t="s">
        <v>674</v>
      </c>
      <c r="C63" s="5" t="s">
        <v>675</v>
      </c>
      <c r="D63" s="5" t="s">
        <v>545</v>
      </c>
      <c r="E63" s="5" t="s">
        <v>669</v>
      </c>
      <c r="F63" s="5">
        <v>1</v>
      </c>
      <c r="G63" s="5" t="s">
        <v>547</v>
      </c>
      <c r="H63" s="5" t="s">
        <v>675</v>
      </c>
      <c r="I63" s="5"/>
      <c r="J63" s="5"/>
      <c r="K63" s="5">
        <v>40</v>
      </c>
      <c r="L63" s="56">
        <v>45292</v>
      </c>
      <c r="M63" s="5">
        <v>0</v>
      </c>
      <c r="N63" s="5"/>
      <c r="O63" s="5" t="s">
        <v>549</v>
      </c>
      <c r="P63" s="5">
        <v>1</v>
      </c>
      <c r="Q63" s="11" t="s">
        <v>615</v>
      </c>
    </row>
    <row r="64" spans="1:17" x14ac:dyDescent="0.25">
      <c r="A64" s="10">
        <v>1834</v>
      </c>
      <c r="B64" s="5" t="s">
        <v>676</v>
      </c>
      <c r="C64" s="5" t="s">
        <v>677</v>
      </c>
      <c r="D64" s="5" t="s">
        <v>545</v>
      </c>
      <c r="E64" s="5" t="s">
        <v>669</v>
      </c>
      <c r="F64" s="5">
        <v>1</v>
      </c>
      <c r="G64" s="5" t="s">
        <v>547</v>
      </c>
      <c r="H64" s="5" t="s">
        <v>677</v>
      </c>
      <c r="I64" s="5"/>
      <c r="J64" s="5"/>
      <c r="K64" s="5">
        <v>25</v>
      </c>
      <c r="L64" s="56">
        <v>45292</v>
      </c>
      <c r="M64" s="5">
        <v>0</v>
      </c>
      <c r="N64" s="5"/>
      <c r="O64" s="5" t="s">
        <v>549</v>
      </c>
      <c r="P64" s="5">
        <v>1</v>
      </c>
      <c r="Q64" s="11" t="s">
        <v>615</v>
      </c>
    </row>
    <row r="65" spans="1:17" x14ac:dyDescent="0.25">
      <c r="A65" s="10">
        <v>1835</v>
      </c>
      <c r="B65" s="5" t="s">
        <v>678</v>
      </c>
      <c r="C65" s="5" t="s">
        <v>679</v>
      </c>
      <c r="D65" s="5" t="s">
        <v>545</v>
      </c>
      <c r="E65" s="5" t="s">
        <v>669</v>
      </c>
      <c r="F65" s="5">
        <v>1</v>
      </c>
      <c r="G65" s="5" t="s">
        <v>547</v>
      </c>
      <c r="H65" s="5" t="s">
        <v>679</v>
      </c>
      <c r="I65" s="5"/>
      <c r="J65" s="5"/>
      <c r="K65" s="5">
        <v>1000</v>
      </c>
      <c r="L65" s="56">
        <v>45292</v>
      </c>
      <c r="M65" s="5">
        <v>0</v>
      </c>
      <c r="N65" s="5"/>
      <c r="O65" s="5" t="s">
        <v>549</v>
      </c>
      <c r="P65" s="5">
        <v>1</v>
      </c>
      <c r="Q65" s="11" t="s">
        <v>680</v>
      </c>
    </row>
    <row r="66" spans="1:17" x14ac:dyDescent="0.25">
      <c r="A66" s="10">
        <v>1836</v>
      </c>
      <c r="B66" s="5" t="s">
        <v>681</v>
      </c>
      <c r="C66" s="5" t="s">
        <v>682</v>
      </c>
      <c r="D66" s="5" t="s">
        <v>545</v>
      </c>
      <c r="E66" s="5" t="s">
        <v>669</v>
      </c>
      <c r="F66" s="5">
        <v>1</v>
      </c>
      <c r="G66" s="5" t="s">
        <v>547</v>
      </c>
      <c r="H66" s="5" t="s">
        <v>682</v>
      </c>
      <c r="I66" s="5"/>
      <c r="J66" s="5"/>
      <c r="K66" s="5">
        <v>250</v>
      </c>
      <c r="L66" s="56">
        <v>45292</v>
      </c>
      <c r="M66" s="5">
        <v>0</v>
      </c>
      <c r="N66" s="5"/>
      <c r="O66" s="5" t="s">
        <v>549</v>
      </c>
      <c r="P66" s="5">
        <v>1</v>
      </c>
      <c r="Q66" s="11" t="s">
        <v>680</v>
      </c>
    </row>
    <row r="67" spans="1:17" x14ac:dyDescent="0.25">
      <c r="A67" s="10">
        <v>1715</v>
      </c>
      <c r="B67" s="5" t="s">
        <v>683</v>
      </c>
      <c r="C67" s="5" t="s">
        <v>684</v>
      </c>
      <c r="D67" s="5" t="s">
        <v>545</v>
      </c>
      <c r="E67" s="5" t="s">
        <v>565</v>
      </c>
      <c r="F67" s="5">
        <v>1</v>
      </c>
      <c r="G67" s="5" t="s">
        <v>547</v>
      </c>
      <c r="H67" s="5" t="s">
        <v>685</v>
      </c>
      <c r="I67" s="5"/>
      <c r="J67" s="5"/>
      <c r="K67" s="5">
        <v>1320</v>
      </c>
      <c r="L67" s="56">
        <v>45292</v>
      </c>
      <c r="M67" s="5">
        <v>0</v>
      </c>
      <c r="N67" s="5"/>
      <c r="O67" s="5" t="s">
        <v>549</v>
      </c>
      <c r="P67" s="5">
        <v>1</v>
      </c>
      <c r="Q67" s="11" t="s">
        <v>686</v>
      </c>
    </row>
    <row r="68" spans="1:17" x14ac:dyDescent="0.25">
      <c r="A68" s="10">
        <v>1839</v>
      </c>
      <c r="B68" s="5" t="s">
        <v>687</v>
      </c>
      <c r="C68" s="5" t="s">
        <v>688</v>
      </c>
      <c r="D68" s="5" t="s">
        <v>545</v>
      </c>
      <c r="E68" s="5" t="s">
        <v>669</v>
      </c>
      <c r="F68" s="5">
        <v>1</v>
      </c>
      <c r="G68" s="5" t="s">
        <v>547</v>
      </c>
      <c r="H68" s="5" t="s">
        <v>688</v>
      </c>
      <c r="I68" s="5"/>
      <c r="J68" s="5"/>
      <c r="K68" s="5">
        <v>35</v>
      </c>
      <c r="L68" s="56">
        <v>45292</v>
      </c>
      <c r="M68" s="5">
        <v>0</v>
      </c>
      <c r="N68" s="5"/>
      <c r="O68" s="5" t="s">
        <v>549</v>
      </c>
      <c r="P68" s="5">
        <v>1</v>
      </c>
      <c r="Q68" s="11" t="s">
        <v>615</v>
      </c>
    </row>
    <row r="69" spans="1:17" x14ac:dyDescent="0.25">
      <c r="A69" s="10">
        <v>1868</v>
      </c>
      <c r="B69" s="5" t="s">
        <v>689</v>
      </c>
      <c r="C69" s="5" t="s">
        <v>690</v>
      </c>
      <c r="D69" s="5" t="s">
        <v>545</v>
      </c>
      <c r="E69" s="5" t="s">
        <v>669</v>
      </c>
      <c r="F69" s="5">
        <v>1</v>
      </c>
      <c r="G69" s="5" t="s">
        <v>547</v>
      </c>
      <c r="H69" s="5" t="s">
        <v>690</v>
      </c>
      <c r="I69" s="5"/>
      <c r="J69" s="5"/>
      <c r="K69" s="5">
        <v>10</v>
      </c>
      <c r="L69" s="56">
        <v>45292</v>
      </c>
      <c r="M69" s="5">
        <v>0</v>
      </c>
      <c r="N69" s="5"/>
      <c r="O69" s="5" t="s">
        <v>549</v>
      </c>
      <c r="P69" s="5">
        <v>1</v>
      </c>
      <c r="Q69" s="11" t="s">
        <v>691</v>
      </c>
    </row>
    <row r="70" spans="1:17" x14ac:dyDescent="0.25">
      <c r="A70" s="10">
        <v>1838</v>
      </c>
      <c r="B70" s="5" t="s">
        <v>692</v>
      </c>
      <c r="C70" s="5" t="s">
        <v>693</v>
      </c>
      <c r="D70" s="5" t="s">
        <v>545</v>
      </c>
      <c r="E70" s="5" t="s">
        <v>669</v>
      </c>
      <c r="F70" s="5">
        <v>1</v>
      </c>
      <c r="G70" s="5" t="s">
        <v>547</v>
      </c>
      <c r="H70" s="5" t="s">
        <v>693</v>
      </c>
      <c r="I70" s="5"/>
      <c r="J70" s="5"/>
      <c r="K70" s="5">
        <v>25</v>
      </c>
      <c r="L70" s="56">
        <v>45292</v>
      </c>
      <c r="M70" s="5">
        <v>0</v>
      </c>
      <c r="N70" s="5"/>
      <c r="O70" s="5" t="s">
        <v>549</v>
      </c>
      <c r="P70" s="5">
        <v>1</v>
      </c>
      <c r="Q70" s="11" t="s">
        <v>615</v>
      </c>
    </row>
    <row r="71" spans="1:17" x14ac:dyDescent="0.25">
      <c r="A71" s="10">
        <v>1794</v>
      </c>
      <c r="B71" s="5" t="s">
        <v>694</v>
      </c>
      <c r="C71" s="5" t="s">
        <v>695</v>
      </c>
      <c r="D71" s="5" t="s">
        <v>545</v>
      </c>
      <c r="E71" s="5" t="s">
        <v>546</v>
      </c>
      <c r="F71" s="5">
        <v>1</v>
      </c>
      <c r="G71" s="5" t="s">
        <v>547</v>
      </c>
      <c r="H71" s="5" t="s">
        <v>695</v>
      </c>
      <c r="I71" s="5"/>
      <c r="J71" s="5"/>
      <c r="K71" s="5">
        <v>480</v>
      </c>
      <c r="L71" s="56">
        <v>45292</v>
      </c>
      <c r="M71" s="5">
        <v>0</v>
      </c>
      <c r="N71" s="5"/>
      <c r="O71" s="5" t="s">
        <v>549</v>
      </c>
      <c r="P71" s="5">
        <v>1</v>
      </c>
      <c r="Q71" s="11" t="s">
        <v>680</v>
      </c>
    </row>
    <row r="72" spans="1:17" x14ac:dyDescent="0.25">
      <c r="A72" s="10">
        <v>1837</v>
      </c>
      <c r="B72" s="5" t="s">
        <v>696</v>
      </c>
      <c r="C72" s="5" t="s">
        <v>697</v>
      </c>
      <c r="D72" s="5" t="s">
        <v>545</v>
      </c>
      <c r="E72" s="5" t="s">
        <v>669</v>
      </c>
      <c r="F72" s="5">
        <v>1</v>
      </c>
      <c r="G72" s="5" t="s">
        <v>547</v>
      </c>
      <c r="H72" s="5" t="s">
        <v>697</v>
      </c>
      <c r="I72" s="5"/>
      <c r="J72" s="5"/>
      <c r="K72" s="5">
        <v>25</v>
      </c>
      <c r="L72" s="56">
        <v>45292</v>
      </c>
      <c r="M72" s="5">
        <v>0</v>
      </c>
      <c r="N72" s="5"/>
      <c r="O72" s="5" t="s">
        <v>549</v>
      </c>
      <c r="P72" s="5">
        <v>1</v>
      </c>
      <c r="Q72" s="11" t="s">
        <v>615</v>
      </c>
    </row>
    <row r="73" spans="1:17" x14ac:dyDescent="0.25">
      <c r="A73" s="10">
        <v>1819</v>
      </c>
      <c r="B73" s="5" t="s">
        <v>698</v>
      </c>
      <c r="C73" s="5" t="s">
        <v>699</v>
      </c>
      <c r="D73" s="5" t="s">
        <v>545</v>
      </c>
      <c r="E73" s="5" t="s">
        <v>669</v>
      </c>
      <c r="F73" s="5">
        <v>1</v>
      </c>
      <c r="G73" s="5" t="s">
        <v>547</v>
      </c>
      <c r="H73" s="5" t="s">
        <v>699</v>
      </c>
      <c r="I73" s="5"/>
      <c r="J73" s="5"/>
      <c r="K73" s="5">
        <v>600</v>
      </c>
      <c r="L73" s="56">
        <v>45292</v>
      </c>
      <c r="M73" s="5">
        <v>0</v>
      </c>
      <c r="N73" s="5"/>
      <c r="O73" s="5" t="s">
        <v>549</v>
      </c>
      <c r="P73" s="5">
        <v>1</v>
      </c>
      <c r="Q73" s="11" t="s">
        <v>680</v>
      </c>
    </row>
    <row r="74" spans="1:17" x14ac:dyDescent="0.25">
      <c r="A74" s="10">
        <v>1820</v>
      </c>
      <c r="B74" s="5" t="s">
        <v>700</v>
      </c>
      <c r="C74" s="5" t="s">
        <v>701</v>
      </c>
      <c r="D74" s="5" t="s">
        <v>545</v>
      </c>
      <c r="E74" s="5" t="s">
        <v>669</v>
      </c>
      <c r="F74" s="5">
        <v>1</v>
      </c>
      <c r="G74" s="5" t="s">
        <v>547</v>
      </c>
      <c r="H74" s="5" t="s">
        <v>702</v>
      </c>
      <c r="I74" s="5"/>
      <c r="J74" s="5"/>
      <c r="K74" s="5">
        <v>650</v>
      </c>
      <c r="L74" s="56">
        <v>45292</v>
      </c>
      <c r="M74" s="5">
        <v>0</v>
      </c>
      <c r="N74" s="5"/>
      <c r="O74" s="5" t="s">
        <v>549</v>
      </c>
      <c r="P74" s="5">
        <v>1</v>
      </c>
      <c r="Q74" s="11" t="s">
        <v>680</v>
      </c>
    </row>
    <row r="75" spans="1:17" x14ac:dyDescent="0.25">
      <c r="A75" s="10">
        <v>1818</v>
      </c>
      <c r="B75" s="5" t="s">
        <v>703</v>
      </c>
      <c r="C75" s="5" t="s">
        <v>704</v>
      </c>
      <c r="D75" s="5" t="s">
        <v>545</v>
      </c>
      <c r="E75" s="5" t="s">
        <v>669</v>
      </c>
      <c r="F75" s="5">
        <v>1</v>
      </c>
      <c r="G75" s="5" t="s">
        <v>547</v>
      </c>
      <c r="H75" s="5" t="s">
        <v>704</v>
      </c>
      <c r="I75" s="5"/>
      <c r="J75" s="5"/>
      <c r="K75" s="5">
        <v>600</v>
      </c>
      <c r="L75" s="56">
        <v>45292</v>
      </c>
      <c r="M75" s="5">
        <v>0</v>
      </c>
      <c r="N75" s="5"/>
      <c r="O75" s="5" t="s">
        <v>549</v>
      </c>
      <c r="P75" s="5">
        <v>1</v>
      </c>
      <c r="Q75" s="11" t="s">
        <v>680</v>
      </c>
    </row>
    <row r="76" spans="1:17" x14ac:dyDescent="0.25">
      <c r="A76" s="10">
        <v>1817</v>
      </c>
      <c r="B76" s="5" t="s">
        <v>705</v>
      </c>
      <c r="C76" s="5" t="s">
        <v>706</v>
      </c>
      <c r="D76" s="5" t="s">
        <v>545</v>
      </c>
      <c r="E76" s="5" t="s">
        <v>669</v>
      </c>
      <c r="F76" s="5">
        <v>1</v>
      </c>
      <c r="G76" s="5" t="s">
        <v>547</v>
      </c>
      <c r="H76" s="5" t="s">
        <v>706</v>
      </c>
      <c r="I76" s="5"/>
      <c r="J76" s="5"/>
      <c r="K76" s="5">
        <v>650</v>
      </c>
      <c r="L76" s="56">
        <v>45292</v>
      </c>
      <c r="M76" s="5">
        <v>0</v>
      </c>
      <c r="N76" s="5"/>
      <c r="O76" s="5" t="s">
        <v>549</v>
      </c>
      <c r="P76" s="5">
        <v>1</v>
      </c>
      <c r="Q76" s="11" t="s">
        <v>680</v>
      </c>
    </row>
    <row r="77" spans="1:17" x14ac:dyDescent="0.25">
      <c r="A77" s="10">
        <v>1856</v>
      </c>
      <c r="B77" s="5" t="s">
        <v>707</v>
      </c>
      <c r="C77" s="5" t="s">
        <v>708</v>
      </c>
      <c r="D77" s="5" t="s">
        <v>545</v>
      </c>
      <c r="E77" s="5" t="s">
        <v>669</v>
      </c>
      <c r="F77" s="5">
        <v>1</v>
      </c>
      <c r="G77" s="5" t="s">
        <v>547</v>
      </c>
      <c r="H77" s="5" t="s">
        <v>708</v>
      </c>
      <c r="I77" s="5"/>
      <c r="J77" s="5"/>
      <c r="K77" s="5">
        <v>60</v>
      </c>
      <c r="L77" s="56">
        <v>45292</v>
      </c>
      <c r="M77" s="5">
        <v>0</v>
      </c>
      <c r="N77" s="5"/>
      <c r="O77" s="5" t="s">
        <v>549</v>
      </c>
      <c r="P77" s="5">
        <v>1</v>
      </c>
      <c r="Q77" s="11" t="s">
        <v>615</v>
      </c>
    </row>
    <row r="78" spans="1:17" x14ac:dyDescent="0.25">
      <c r="A78" s="10">
        <v>1816</v>
      </c>
      <c r="B78" s="5" t="s">
        <v>709</v>
      </c>
      <c r="C78" s="5" t="s">
        <v>710</v>
      </c>
      <c r="D78" s="5" t="s">
        <v>545</v>
      </c>
      <c r="E78" s="5" t="s">
        <v>669</v>
      </c>
      <c r="F78" s="5">
        <v>1</v>
      </c>
      <c r="G78" s="5" t="s">
        <v>547</v>
      </c>
      <c r="H78" s="5" t="s">
        <v>710</v>
      </c>
      <c r="I78" s="5"/>
      <c r="J78" s="5"/>
      <c r="K78" s="5">
        <v>800</v>
      </c>
      <c r="L78" s="56">
        <v>45292</v>
      </c>
      <c r="M78" s="5">
        <v>0</v>
      </c>
      <c r="N78" s="5"/>
      <c r="O78" s="5" t="s">
        <v>549</v>
      </c>
      <c r="P78" s="5">
        <v>1</v>
      </c>
      <c r="Q78" s="11" t="s">
        <v>680</v>
      </c>
    </row>
    <row r="79" spans="1:17" x14ac:dyDescent="0.25">
      <c r="A79" s="10">
        <v>1869</v>
      </c>
      <c r="B79" s="5" t="s">
        <v>711</v>
      </c>
      <c r="C79" s="5" t="s">
        <v>712</v>
      </c>
      <c r="D79" s="5" t="s">
        <v>545</v>
      </c>
      <c r="E79" s="5" t="s">
        <v>669</v>
      </c>
      <c r="F79" s="5">
        <v>1</v>
      </c>
      <c r="G79" s="5" t="s">
        <v>547</v>
      </c>
      <c r="H79" s="5" t="s">
        <v>713</v>
      </c>
      <c r="I79" s="5"/>
      <c r="J79" s="5"/>
      <c r="K79" s="5">
        <v>1000</v>
      </c>
      <c r="L79" s="56">
        <v>45292</v>
      </c>
      <c r="M79" s="5">
        <v>0</v>
      </c>
      <c r="N79" s="5"/>
      <c r="O79" s="5" t="s">
        <v>549</v>
      </c>
      <c r="P79" s="5">
        <v>1</v>
      </c>
      <c r="Q79" s="11" t="s">
        <v>686</v>
      </c>
    </row>
    <row r="80" spans="1:17" x14ac:dyDescent="0.25">
      <c r="A80" s="10">
        <v>1865</v>
      </c>
      <c r="B80" s="5" t="s">
        <v>714</v>
      </c>
      <c r="C80" s="5" t="s">
        <v>715</v>
      </c>
      <c r="D80" s="5" t="s">
        <v>545</v>
      </c>
      <c r="E80" s="5" t="s">
        <v>669</v>
      </c>
      <c r="F80" s="5">
        <v>1</v>
      </c>
      <c r="G80" s="5" t="s">
        <v>547</v>
      </c>
      <c r="H80" s="5" t="s">
        <v>715</v>
      </c>
      <c r="I80" s="5"/>
      <c r="J80" s="5"/>
      <c r="K80" s="5">
        <v>1000</v>
      </c>
      <c r="L80" s="56">
        <v>45292</v>
      </c>
      <c r="M80" s="5">
        <v>0</v>
      </c>
      <c r="N80" s="5"/>
      <c r="O80" s="5" t="s">
        <v>549</v>
      </c>
      <c r="P80" s="5">
        <v>1</v>
      </c>
      <c r="Q80" s="11" t="s">
        <v>615</v>
      </c>
    </row>
    <row r="81" spans="1:17" x14ac:dyDescent="0.25">
      <c r="A81" s="10">
        <v>1825</v>
      </c>
      <c r="B81" s="5" t="s">
        <v>716</v>
      </c>
      <c r="C81" s="5" t="s">
        <v>717</v>
      </c>
      <c r="D81" s="5" t="s">
        <v>545</v>
      </c>
      <c r="E81" s="5" t="s">
        <v>669</v>
      </c>
      <c r="F81" s="5">
        <v>1</v>
      </c>
      <c r="G81" s="5" t="s">
        <v>547</v>
      </c>
      <c r="H81" s="5" t="s">
        <v>717</v>
      </c>
      <c r="I81" s="5"/>
      <c r="J81" s="5"/>
      <c r="K81" s="5">
        <v>0</v>
      </c>
      <c r="L81" s="56">
        <v>45292</v>
      </c>
      <c r="M81" s="5">
        <v>0</v>
      </c>
      <c r="N81" s="5"/>
      <c r="O81" s="5" t="s">
        <v>549</v>
      </c>
      <c r="P81" s="5">
        <v>1</v>
      </c>
      <c r="Q81" s="11" t="s">
        <v>686</v>
      </c>
    </row>
    <row r="82" spans="1:17" x14ac:dyDescent="0.25">
      <c r="A82" s="10">
        <v>1800</v>
      </c>
      <c r="B82" s="5" t="s">
        <v>718</v>
      </c>
      <c r="C82" s="5" t="s">
        <v>719</v>
      </c>
      <c r="D82" s="5" t="s">
        <v>545</v>
      </c>
      <c r="E82" s="5" t="s">
        <v>546</v>
      </c>
      <c r="F82" s="5">
        <v>1</v>
      </c>
      <c r="G82" s="5" t="s">
        <v>547</v>
      </c>
      <c r="H82" s="5" t="s">
        <v>719</v>
      </c>
      <c r="I82" s="5"/>
      <c r="J82" s="5"/>
      <c r="K82" s="5">
        <v>480</v>
      </c>
      <c r="L82" s="56">
        <v>45292</v>
      </c>
      <c r="M82" s="5">
        <v>0</v>
      </c>
      <c r="N82" s="5"/>
      <c r="O82" s="5" t="s">
        <v>549</v>
      </c>
      <c r="P82" s="5">
        <v>1</v>
      </c>
      <c r="Q82" s="11" t="s">
        <v>686</v>
      </c>
    </row>
    <row r="83" spans="1:17" x14ac:dyDescent="0.25">
      <c r="A83" s="10">
        <v>1775</v>
      </c>
      <c r="B83" s="5" t="s">
        <v>720</v>
      </c>
      <c r="C83" s="5" t="s">
        <v>721</v>
      </c>
      <c r="D83" s="5" t="s">
        <v>545</v>
      </c>
      <c r="E83" s="5" t="s">
        <v>546</v>
      </c>
      <c r="F83" s="5">
        <v>1</v>
      </c>
      <c r="G83" s="5" t="s">
        <v>547</v>
      </c>
      <c r="H83" s="5" t="s">
        <v>721</v>
      </c>
      <c r="I83" s="5"/>
      <c r="J83" s="5"/>
      <c r="K83" s="5">
        <v>96</v>
      </c>
      <c r="L83" s="56">
        <v>45292</v>
      </c>
      <c r="M83" s="5">
        <v>0</v>
      </c>
      <c r="N83" s="5"/>
      <c r="O83" s="5" t="s">
        <v>549</v>
      </c>
      <c r="P83" s="5">
        <v>1</v>
      </c>
      <c r="Q83" s="11" t="s">
        <v>686</v>
      </c>
    </row>
    <row r="84" spans="1:17" x14ac:dyDescent="0.25">
      <c r="A84" s="10">
        <v>1812</v>
      </c>
      <c r="B84" s="5" t="s">
        <v>722</v>
      </c>
      <c r="C84" s="5" t="s">
        <v>723</v>
      </c>
      <c r="D84" s="5" t="s">
        <v>545</v>
      </c>
      <c r="E84" s="5" t="s">
        <v>546</v>
      </c>
      <c r="F84" s="5">
        <v>1</v>
      </c>
      <c r="G84" s="5" t="s">
        <v>547</v>
      </c>
      <c r="H84" s="5" t="s">
        <v>723</v>
      </c>
      <c r="I84" s="5"/>
      <c r="J84" s="5"/>
      <c r="K84" s="5">
        <v>96</v>
      </c>
      <c r="L84" s="56">
        <v>45292</v>
      </c>
      <c r="M84" s="5">
        <v>0</v>
      </c>
      <c r="N84" s="5"/>
      <c r="O84" s="5" t="s">
        <v>549</v>
      </c>
      <c r="P84" s="5">
        <v>1</v>
      </c>
      <c r="Q84" s="11" t="s">
        <v>686</v>
      </c>
    </row>
    <row r="85" spans="1:17" x14ac:dyDescent="0.25">
      <c r="A85" s="10">
        <v>1813</v>
      </c>
      <c r="B85" s="5" t="s">
        <v>724</v>
      </c>
      <c r="C85" s="5" t="s">
        <v>725</v>
      </c>
      <c r="D85" s="5" t="s">
        <v>545</v>
      </c>
      <c r="E85" s="5" t="s">
        <v>546</v>
      </c>
      <c r="F85" s="5">
        <v>1</v>
      </c>
      <c r="G85" s="5" t="s">
        <v>547</v>
      </c>
      <c r="H85" s="5" t="s">
        <v>725</v>
      </c>
      <c r="I85" s="5"/>
      <c r="J85" s="5"/>
      <c r="K85" s="5">
        <v>120</v>
      </c>
      <c r="L85" s="56">
        <v>45292</v>
      </c>
      <c r="M85" s="5">
        <v>0</v>
      </c>
      <c r="N85" s="5"/>
      <c r="O85" s="5" t="s">
        <v>549</v>
      </c>
      <c r="P85" s="5">
        <v>1</v>
      </c>
      <c r="Q85" s="11" t="s">
        <v>613</v>
      </c>
    </row>
    <row r="86" spans="1:17" x14ac:dyDescent="0.25">
      <c r="A86" s="10">
        <v>1814</v>
      </c>
      <c r="B86" s="5" t="s">
        <v>726</v>
      </c>
      <c r="C86" s="5" t="s">
        <v>727</v>
      </c>
      <c r="D86" s="5" t="s">
        <v>545</v>
      </c>
      <c r="E86" s="5" t="s">
        <v>546</v>
      </c>
      <c r="F86" s="5">
        <v>1</v>
      </c>
      <c r="G86" s="5" t="s">
        <v>547</v>
      </c>
      <c r="H86" s="5" t="s">
        <v>727</v>
      </c>
      <c r="I86" s="5"/>
      <c r="J86" s="5"/>
      <c r="K86" s="5">
        <v>184</v>
      </c>
      <c r="L86" s="56">
        <v>45292</v>
      </c>
      <c r="M86" s="5">
        <v>0</v>
      </c>
      <c r="N86" s="5"/>
      <c r="O86" s="5" t="s">
        <v>549</v>
      </c>
      <c r="P86" s="5">
        <v>1</v>
      </c>
      <c r="Q86" s="11" t="s">
        <v>613</v>
      </c>
    </row>
    <row r="87" spans="1:17" x14ac:dyDescent="0.25">
      <c r="A87" s="10">
        <v>1652</v>
      </c>
      <c r="B87" s="5" t="s">
        <v>728</v>
      </c>
      <c r="C87" s="5" t="s">
        <v>729</v>
      </c>
      <c r="D87" s="5" t="s">
        <v>730</v>
      </c>
      <c r="E87" s="5" t="s">
        <v>730</v>
      </c>
      <c r="F87" s="5">
        <v>1</v>
      </c>
      <c r="G87" s="5" t="s">
        <v>731</v>
      </c>
      <c r="H87" s="5" t="s">
        <v>732</v>
      </c>
      <c r="I87" s="5"/>
      <c r="J87" s="5"/>
      <c r="K87" s="5">
        <v>656</v>
      </c>
      <c r="L87" s="56">
        <v>45292</v>
      </c>
      <c r="M87" s="5">
        <v>0</v>
      </c>
      <c r="N87" s="5"/>
      <c r="O87" s="5" t="s">
        <v>549</v>
      </c>
      <c r="P87" s="5">
        <v>1</v>
      </c>
      <c r="Q87" s="11"/>
    </row>
    <row r="88" spans="1:17" x14ac:dyDescent="0.25">
      <c r="A88" s="10">
        <v>1793</v>
      </c>
      <c r="B88" s="5" t="s">
        <v>733</v>
      </c>
      <c r="C88" s="5" t="s">
        <v>734</v>
      </c>
      <c r="D88" s="5" t="s">
        <v>545</v>
      </c>
      <c r="E88" s="5" t="s">
        <v>546</v>
      </c>
      <c r="F88" s="5">
        <v>1</v>
      </c>
      <c r="G88" s="5" t="s">
        <v>547</v>
      </c>
      <c r="H88" s="5" t="s">
        <v>734</v>
      </c>
      <c r="I88" s="5"/>
      <c r="J88" s="5"/>
      <c r="K88" s="5">
        <v>3840</v>
      </c>
      <c r="L88" s="56">
        <v>45292</v>
      </c>
      <c r="M88" s="5">
        <v>0</v>
      </c>
      <c r="N88" s="5"/>
      <c r="O88" s="5" t="s">
        <v>549</v>
      </c>
      <c r="P88" s="5">
        <v>1</v>
      </c>
      <c r="Q88" s="11" t="s">
        <v>686</v>
      </c>
    </row>
    <row r="89" spans="1:17" x14ac:dyDescent="0.25">
      <c r="A89" s="10">
        <v>1863</v>
      </c>
      <c r="B89" s="5" t="s">
        <v>735</v>
      </c>
      <c r="C89" s="5" t="s">
        <v>736</v>
      </c>
      <c r="D89" s="5" t="s">
        <v>545</v>
      </c>
      <c r="E89" s="5" t="s">
        <v>669</v>
      </c>
      <c r="F89" s="5">
        <v>1</v>
      </c>
      <c r="G89" s="5" t="s">
        <v>547</v>
      </c>
      <c r="H89" s="5" t="s">
        <v>736</v>
      </c>
      <c r="I89" s="5"/>
      <c r="J89" s="5"/>
      <c r="K89" s="5">
        <v>25</v>
      </c>
      <c r="L89" s="56">
        <v>45292</v>
      </c>
      <c r="M89" s="5">
        <v>0</v>
      </c>
      <c r="N89" s="5"/>
      <c r="O89" s="5" t="s">
        <v>549</v>
      </c>
      <c r="P89" s="5">
        <v>1</v>
      </c>
      <c r="Q89" s="11" t="s">
        <v>615</v>
      </c>
    </row>
    <row r="90" spans="1:17" x14ac:dyDescent="0.25">
      <c r="A90" s="10">
        <v>1840</v>
      </c>
      <c r="B90" s="5" t="s">
        <v>737</v>
      </c>
      <c r="C90" s="5" t="s">
        <v>738</v>
      </c>
      <c r="D90" s="5" t="s">
        <v>545</v>
      </c>
      <c r="E90" s="5" t="s">
        <v>669</v>
      </c>
      <c r="F90" s="5">
        <v>1</v>
      </c>
      <c r="G90" s="5" t="s">
        <v>547</v>
      </c>
      <c r="H90" s="5" t="s">
        <v>738</v>
      </c>
      <c r="I90" s="5"/>
      <c r="J90" s="5"/>
      <c r="K90" s="5">
        <v>50</v>
      </c>
      <c r="L90" s="56">
        <v>45292</v>
      </c>
      <c r="M90" s="5">
        <v>0</v>
      </c>
      <c r="N90" s="5"/>
      <c r="O90" s="5" t="s">
        <v>549</v>
      </c>
      <c r="P90" s="5">
        <v>1</v>
      </c>
      <c r="Q90" s="11" t="s">
        <v>615</v>
      </c>
    </row>
    <row r="91" spans="1:17" x14ac:dyDescent="0.25">
      <c r="A91" s="10">
        <v>1938</v>
      </c>
      <c r="B91" s="5" t="s">
        <v>75</v>
      </c>
      <c r="C91" s="5" t="s">
        <v>739</v>
      </c>
      <c r="D91" s="5" t="s">
        <v>545</v>
      </c>
      <c r="E91" s="5" t="s">
        <v>546</v>
      </c>
      <c r="F91" s="5">
        <v>1</v>
      </c>
      <c r="G91" s="5" t="s">
        <v>547</v>
      </c>
      <c r="H91" s="5" t="s">
        <v>740</v>
      </c>
      <c r="I91" s="5"/>
      <c r="J91" s="5"/>
      <c r="K91" s="5">
        <v>1200</v>
      </c>
      <c r="L91" s="56">
        <v>45292</v>
      </c>
      <c r="M91" s="5">
        <v>0</v>
      </c>
      <c r="N91" s="5"/>
      <c r="O91" s="5" t="s">
        <v>549</v>
      </c>
      <c r="P91" s="5">
        <v>1</v>
      </c>
      <c r="Q91" s="11" t="s">
        <v>686</v>
      </c>
    </row>
    <row r="92" spans="1:17" x14ac:dyDescent="0.25">
      <c r="A92" s="10">
        <v>1723</v>
      </c>
      <c r="B92" s="5" t="s">
        <v>741</v>
      </c>
      <c r="C92" s="5" t="s">
        <v>742</v>
      </c>
      <c r="D92" s="5" t="s">
        <v>545</v>
      </c>
      <c r="E92" s="5" t="s">
        <v>565</v>
      </c>
      <c r="F92" s="5">
        <v>1</v>
      </c>
      <c r="G92" s="5" t="s">
        <v>547</v>
      </c>
      <c r="H92" s="5" t="s">
        <v>742</v>
      </c>
      <c r="I92" s="5"/>
      <c r="J92" s="5"/>
      <c r="K92" s="5">
        <v>3840</v>
      </c>
      <c r="L92" s="56">
        <v>45292</v>
      </c>
      <c r="M92" s="5">
        <v>0</v>
      </c>
      <c r="N92" s="5"/>
      <c r="O92" s="5" t="s">
        <v>549</v>
      </c>
      <c r="P92" s="5">
        <v>1</v>
      </c>
      <c r="Q92" s="11" t="s">
        <v>686</v>
      </c>
    </row>
    <row r="93" spans="1:17" x14ac:dyDescent="0.25">
      <c r="A93" s="10">
        <v>1724</v>
      </c>
      <c r="B93" s="5" t="s">
        <v>743</v>
      </c>
      <c r="C93" s="5" t="s">
        <v>744</v>
      </c>
      <c r="D93" s="5" t="s">
        <v>545</v>
      </c>
      <c r="E93" s="5" t="s">
        <v>565</v>
      </c>
      <c r="F93" s="5">
        <v>1</v>
      </c>
      <c r="G93" s="5" t="s">
        <v>547</v>
      </c>
      <c r="H93" s="5" t="s">
        <v>744</v>
      </c>
      <c r="I93" s="5"/>
      <c r="J93" s="5"/>
      <c r="K93" s="5">
        <v>2880</v>
      </c>
      <c r="L93" s="56">
        <v>45292</v>
      </c>
      <c r="M93" s="5">
        <v>0</v>
      </c>
      <c r="N93" s="5"/>
      <c r="O93" s="5" t="s">
        <v>549</v>
      </c>
      <c r="P93" s="5">
        <v>1</v>
      </c>
      <c r="Q93" s="11" t="s">
        <v>686</v>
      </c>
    </row>
    <row r="94" spans="1:17" x14ac:dyDescent="0.25">
      <c r="A94" s="10">
        <v>1841</v>
      </c>
      <c r="B94" s="5" t="s">
        <v>745</v>
      </c>
      <c r="C94" s="5" t="s">
        <v>746</v>
      </c>
      <c r="D94" s="5" t="s">
        <v>545</v>
      </c>
      <c r="E94" s="5" t="s">
        <v>669</v>
      </c>
      <c r="F94" s="5">
        <v>1</v>
      </c>
      <c r="G94" s="5" t="s">
        <v>547</v>
      </c>
      <c r="H94" s="5" t="s">
        <v>746</v>
      </c>
      <c r="I94" s="5"/>
      <c r="J94" s="5"/>
      <c r="K94" s="5">
        <v>35</v>
      </c>
      <c r="L94" s="56">
        <v>45292</v>
      </c>
      <c r="M94" s="5">
        <v>0</v>
      </c>
      <c r="N94" s="5"/>
      <c r="O94" s="5" t="s">
        <v>549</v>
      </c>
      <c r="P94" s="5">
        <v>1</v>
      </c>
      <c r="Q94" s="11" t="s">
        <v>615</v>
      </c>
    </row>
    <row r="95" spans="1:17" x14ac:dyDescent="0.25">
      <c r="A95" s="10">
        <v>1760</v>
      </c>
      <c r="B95" s="5" t="s">
        <v>747</v>
      </c>
      <c r="C95" s="5" t="s">
        <v>748</v>
      </c>
      <c r="D95" s="5" t="s">
        <v>545</v>
      </c>
      <c r="E95" s="5" t="s">
        <v>546</v>
      </c>
      <c r="F95" s="5">
        <v>1</v>
      </c>
      <c r="G95" s="5" t="s">
        <v>547</v>
      </c>
      <c r="H95" s="5" t="s">
        <v>748</v>
      </c>
      <c r="I95" s="5"/>
      <c r="J95" s="5"/>
      <c r="K95" s="5">
        <v>1600</v>
      </c>
      <c r="L95" s="56">
        <v>45292</v>
      </c>
      <c r="M95" s="5">
        <v>0</v>
      </c>
      <c r="N95" s="5"/>
      <c r="O95" s="5" t="s">
        <v>549</v>
      </c>
      <c r="P95" s="5">
        <v>1</v>
      </c>
      <c r="Q95" s="11" t="s">
        <v>686</v>
      </c>
    </row>
    <row r="96" spans="1:17" x14ac:dyDescent="0.25">
      <c r="A96" s="10">
        <v>1845</v>
      </c>
      <c r="B96" s="5" t="s">
        <v>749</v>
      </c>
      <c r="C96" s="5" t="s">
        <v>750</v>
      </c>
      <c r="D96" s="5" t="s">
        <v>545</v>
      </c>
      <c r="E96" s="5" t="s">
        <v>669</v>
      </c>
      <c r="F96" s="5">
        <v>1</v>
      </c>
      <c r="G96" s="5" t="s">
        <v>547</v>
      </c>
      <c r="H96" s="5" t="s">
        <v>750</v>
      </c>
      <c r="I96" s="5"/>
      <c r="J96" s="5"/>
      <c r="K96" s="5">
        <v>25</v>
      </c>
      <c r="L96" s="56">
        <v>45292</v>
      </c>
      <c r="M96" s="5">
        <v>0</v>
      </c>
      <c r="N96" s="5"/>
      <c r="O96" s="5" t="s">
        <v>549</v>
      </c>
      <c r="P96" s="5">
        <v>1</v>
      </c>
      <c r="Q96" s="11" t="s">
        <v>615</v>
      </c>
    </row>
    <row r="97" spans="1:17" x14ac:dyDescent="0.25">
      <c r="A97" s="10">
        <v>1843</v>
      </c>
      <c r="B97" s="5" t="s">
        <v>751</v>
      </c>
      <c r="C97" s="5" t="s">
        <v>752</v>
      </c>
      <c r="D97" s="5" t="s">
        <v>545</v>
      </c>
      <c r="E97" s="5" t="s">
        <v>669</v>
      </c>
      <c r="F97" s="5">
        <v>1</v>
      </c>
      <c r="G97" s="5" t="s">
        <v>547</v>
      </c>
      <c r="H97" s="5" t="s">
        <v>752</v>
      </c>
      <c r="I97" s="5"/>
      <c r="J97" s="5"/>
      <c r="K97" s="5">
        <v>10</v>
      </c>
      <c r="L97" s="56">
        <v>45292</v>
      </c>
      <c r="M97" s="5">
        <v>0</v>
      </c>
      <c r="N97" s="5"/>
      <c r="O97" s="5" t="s">
        <v>549</v>
      </c>
      <c r="P97" s="5">
        <v>1</v>
      </c>
      <c r="Q97" s="11" t="s">
        <v>615</v>
      </c>
    </row>
    <row r="98" spans="1:17" x14ac:dyDescent="0.25">
      <c r="A98" s="10">
        <v>1844</v>
      </c>
      <c r="B98" s="5" t="s">
        <v>753</v>
      </c>
      <c r="C98" s="5" t="s">
        <v>754</v>
      </c>
      <c r="D98" s="5" t="s">
        <v>545</v>
      </c>
      <c r="E98" s="5" t="s">
        <v>669</v>
      </c>
      <c r="F98" s="5">
        <v>1</v>
      </c>
      <c r="G98" s="5" t="s">
        <v>547</v>
      </c>
      <c r="H98" s="5" t="s">
        <v>754</v>
      </c>
      <c r="I98" s="5"/>
      <c r="J98" s="5"/>
      <c r="K98" s="5">
        <v>10</v>
      </c>
      <c r="L98" s="56">
        <v>45292</v>
      </c>
      <c r="M98" s="5">
        <v>0</v>
      </c>
      <c r="N98" s="5"/>
      <c r="O98" s="5" t="s">
        <v>549</v>
      </c>
      <c r="P98" s="5">
        <v>1</v>
      </c>
      <c r="Q98" s="11" t="s">
        <v>615</v>
      </c>
    </row>
    <row r="99" spans="1:17" x14ac:dyDescent="0.25">
      <c r="A99" s="10">
        <v>1851</v>
      </c>
      <c r="B99" s="5" t="s">
        <v>755</v>
      </c>
      <c r="C99" s="5" t="s">
        <v>756</v>
      </c>
      <c r="D99" s="5" t="s">
        <v>545</v>
      </c>
      <c r="E99" s="5" t="s">
        <v>669</v>
      </c>
      <c r="F99" s="5">
        <v>1</v>
      </c>
      <c r="G99" s="5" t="s">
        <v>547</v>
      </c>
      <c r="H99" s="5" t="s">
        <v>757</v>
      </c>
      <c r="I99" s="5"/>
      <c r="J99" s="5"/>
      <c r="K99" s="5">
        <v>500</v>
      </c>
      <c r="L99" s="56">
        <v>45292</v>
      </c>
      <c r="M99" s="5">
        <v>0</v>
      </c>
      <c r="N99" s="5"/>
      <c r="O99" s="5" t="s">
        <v>549</v>
      </c>
      <c r="P99" s="5">
        <v>1</v>
      </c>
      <c r="Q99" s="11" t="s">
        <v>615</v>
      </c>
    </row>
    <row r="100" spans="1:17" x14ac:dyDescent="0.25">
      <c r="A100" s="10">
        <v>1747</v>
      </c>
      <c r="B100" s="5" t="s">
        <v>758</v>
      </c>
      <c r="C100" s="5" t="s">
        <v>759</v>
      </c>
      <c r="D100" s="5" t="s">
        <v>545</v>
      </c>
      <c r="E100" s="5" t="s">
        <v>546</v>
      </c>
      <c r="F100" s="5">
        <v>1</v>
      </c>
      <c r="G100" s="5" t="s">
        <v>566</v>
      </c>
      <c r="H100" s="5" t="s">
        <v>760</v>
      </c>
      <c r="I100" s="5"/>
      <c r="J100" s="5"/>
      <c r="K100" s="5">
        <v>480</v>
      </c>
      <c r="L100" s="56">
        <v>45292</v>
      </c>
      <c r="M100" s="5">
        <v>0</v>
      </c>
      <c r="N100" s="5"/>
      <c r="O100" s="5" t="s">
        <v>549</v>
      </c>
      <c r="P100" s="5">
        <v>1</v>
      </c>
      <c r="Q100" s="11" t="s">
        <v>613</v>
      </c>
    </row>
    <row r="101" spans="1:17" x14ac:dyDescent="0.25">
      <c r="A101" s="10">
        <v>1748</v>
      </c>
      <c r="B101" s="5" t="s">
        <v>758</v>
      </c>
      <c r="C101" s="5" t="s">
        <v>759</v>
      </c>
      <c r="D101" s="5" t="s">
        <v>545</v>
      </c>
      <c r="E101" s="5" t="s">
        <v>546</v>
      </c>
      <c r="F101" s="5">
        <v>2</v>
      </c>
      <c r="G101" s="5" t="s">
        <v>547</v>
      </c>
      <c r="H101" s="5" t="s">
        <v>614</v>
      </c>
      <c r="I101" s="5"/>
      <c r="J101" s="5"/>
      <c r="K101" s="5">
        <v>0</v>
      </c>
      <c r="L101" s="56">
        <v>45292</v>
      </c>
      <c r="M101" s="5">
        <v>0</v>
      </c>
      <c r="N101" s="5"/>
      <c r="O101" s="5" t="s">
        <v>549</v>
      </c>
      <c r="P101" s="5">
        <v>1</v>
      </c>
      <c r="Q101" s="11" t="s">
        <v>615</v>
      </c>
    </row>
    <row r="102" spans="1:17" x14ac:dyDescent="0.25">
      <c r="A102" s="10">
        <v>1935</v>
      </c>
      <c r="B102" s="5" t="s">
        <v>72</v>
      </c>
      <c r="C102" s="5" t="s">
        <v>761</v>
      </c>
      <c r="D102" s="5" t="s">
        <v>545</v>
      </c>
      <c r="E102" s="5" t="s">
        <v>546</v>
      </c>
      <c r="F102" s="5">
        <v>1</v>
      </c>
      <c r="G102" s="5" t="s">
        <v>731</v>
      </c>
      <c r="H102" s="5" t="s">
        <v>762</v>
      </c>
      <c r="I102" s="5"/>
      <c r="J102" s="5"/>
      <c r="K102" s="5">
        <v>80</v>
      </c>
      <c r="L102" s="56">
        <v>45292</v>
      </c>
      <c r="M102" s="5">
        <v>0</v>
      </c>
      <c r="N102" s="5"/>
      <c r="O102" s="5" t="s">
        <v>549</v>
      </c>
      <c r="P102" s="5">
        <v>1</v>
      </c>
      <c r="Q102" s="11"/>
    </row>
    <row r="103" spans="1:17" x14ac:dyDescent="0.25">
      <c r="A103" s="10">
        <v>1934</v>
      </c>
      <c r="B103" s="5" t="s">
        <v>763</v>
      </c>
      <c r="C103" s="5" t="s">
        <v>764</v>
      </c>
      <c r="D103" s="5" t="s">
        <v>545</v>
      </c>
      <c r="E103" s="5" t="s">
        <v>546</v>
      </c>
      <c r="F103" s="5">
        <v>1</v>
      </c>
      <c r="G103" s="5" t="s">
        <v>765</v>
      </c>
      <c r="H103" s="5" t="s">
        <v>766</v>
      </c>
      <c r="I103" s="5"/>
      <c r="J103" s="5"/>
      <c r="K103" s="5">
        <v>1200</v>
      </c>
      <c r="L103" s="56">
        <v>45292</v>
      </c>
      <c r="M103" s="5">
        <v>0</v>
      </c>
      <c r="N103" s="5"/>
      <c r="O103" s="5" t="s">
        <v>549</v>
      </c>
      <c r="P103" s="5">
        <v>1</v>
      </c>
      <c r="Q103" s="11"/>
    </row>
    <row r="104" spans="1:17" x14ac:dyDescent="0.25">
      <c r="A104" s="10">
        <v>1970</v>
      </c>
      <c r="B104" s="5" t="s">
        <v>767</v>
      </c>
      <c r="C104" s="5" t="s">
        <v>768</v>
      </c>
      <c r="D104" s="5" t="s">
        <v>545</v>
      </c>
      <c r="E104" s="5" t="s">
        <v>546</v>
      </c>
      <c r="F104" s="5">
        <v>1</v>
      </c>
      <c r="G104" s="5" t="s">
        <v>566</v>
      </c>
      <c r="H104" s="5" t="s">
        <v>768</v>
      </c>
      <c r="I104" s="5"/>
      <c r="J104" s="5"/>
      <c r="K104" s="5">
        <v>0</v>
      </c>
      <c r="L104" s="56">
        <v>45292</v>
      </c>
      <c r="M104" s="5">
        <v>0</v>
      </c>
      <c r="N104" s="5"/>
      <c r="O104" s="5" t="s">
        <v>549</v>
      </c>
      <c r="P104" s="5">
        <v>1</v>
      </c>
      <c r="Q104" s="11" t="s">
        <v>769</v>
      </c>
    </row>
    <row r="105" spans="1:17" x14ac:dyDescent="0.25">
      <c r="A105" s="10">
        <v>1936</v>
      </c>
      <c r="B105" s="5" t="s">
        <v>770</v>
      </c>
      <c r="C105" s="5" t="s">
        <v>771</v>
      </c>
      <c r="D105" s="5" t="s">
        <v>545</v>
      </c>
      <c r="E105" s="5" t="s">
        <v>546</v>
      </c>
      <c r="F105" s="5">
        <v>1</v>
      </c>
      <c r="G105" s="5" t="s">
        <v>566</v>
      </c>
      <c r="H105" s="5" t="s">
        <v>772</v>
      </c>
      <c r="I105" s="5"/>
      <c r="J105" s="5"/>
      <c r="K105" s="5">
        <v>0</v>
      </c>
      <c r="L105" s="56">
        <v>45292</v>
      </c>
      <c r="M105" s="5">
        <v>0</v>
      </c>
      <c r="N105" s="5"/>
      <c r="O105" s="5" t="s">
        <v>549</v>
      </c>
      <c r="P105" s="5">
        <v>1</v>
      </c>
      <c r="Q105" s="11" t="s">
        <v>769</v>
      </c>
    </row>
    <row r="106" spans="1:17" x14ac:dyDescent="0.25">
      <c r="A106" s="10">
        <v>1770</v>
      </c>
      <c r="B106" s="5" t="s">
        <v>773</v>
      </c>
      <c r="C106" s="5" t="s">
        <v>774</v>
      </c>
      <c r="D106" s="5" t="s">
        <v>545</v>
      </c>
      <c r="E106" s="5" t="s">
        <v>546</v>
      </c>
      <c r="F106" s="5">
        <v>1</v>
      </c>
      <c r="G106" s="5" t="s">
        <v>547</v>
      </c>
      <c r="H106" s="5" t="s">
        <v>774</v>
      </c>
      <c r="I106" s="5"/>
      <c r="J106" s="5"/>
      <c r="K106" s="5">
        <v>480</v>
      </c>
      <c r="L106" s="56">
        <v>45292</v>
      </c>
      <c r="M106" s="5">
        <v>0</v>
      </c>
      <c r="N106" s="5"/>
      <c r="O106" s="5" t="s">
        <v>549</v>
      </c>
      <c r="P106" s="5">
        <v>1</v>
      </c>
      <c r="Q106" s="11" t="s">
        <v>680</v>
      </c>
    </row>
    <row r="107" spans="1:17" x14ac:dyDescent="0.25">
      <c r="A107" s="10">
        <v>1792</v>
      </c>
      <c r="B107" s="5" t="s">
        <v>775</v>
      </c>
      <c r="C107" s="5" t="s">
        <v>776</v>
      </c>
      <c r="D107" s="5" t="s">
        <v>545</v>
      </c>
      <c r="E107" s="5" t="s">
        <v>546</v>
      </c>
      <c r="F107" s="5">
        <v>1</v>
      </c>
      <c r="G107" s="5" t="s">
        <v>547</v>
      </c>
      <c r="H107" s="5" t="s">
        <v>776</v>
      </c>
      <c r="I107" s="5"/>
      <c r="J107" s="5"/>
      <c r="K107" s="5">
        <v>480</v>
      </c>
      <c r="L107" s="56">
        <v>45292</v>
      </c>
      <c r="M107" s="5">
        <v>0</v>
      </c>
      <c r="N107" s="5"/>
      <c r="O107" s="5" t="s">
        <v>549</v>
      </c>
      <c r="P107" s="5">
        <v>1</v>
      </c>
      <c r="Q107" s="11" t="s">
        <v>680</v>
      </c>
    </row>
    <row r="108" spans="1:17" x14ac:dyDescent="0.25">
      <c r="A108" s="10">
        <v>1749</v>
      </c>
      <c r="B108" s="5" t="s">
        <v>34</v>
      </c>
      <c r="C108" s="5" t="s">
        <v>777</v>
      </c>
      <c r="D108" s="5" t="s">
        <v>545</v>
      </c>
      <c r="E108" s="5" t="s">
        <v>546</v>
      </c>
      <c r="F108" s="5">
        <v>1</v>
      </c>
      <c r="G108" s="5" t="s">
        <v>566</v>
      </c>
      <c r="H108" s="5" t="s">
        <v>777</v>
      </c>
      <c r="I108" s="5"/>
      <c r="J108" s="5"/>
      <c r="K108" s="5">
        <v>640</v>
      </c>
      <c r="L108" s="56">
        <v>45292</v>
      </c>
      <c r="M108" s="5">
        <v>0</v>
      </c>
      <c r="N108" s="5"/>
      <c r="O108" s="5" t="s">
        <v>549</v>
      </c>
      <c r="P108" s="5">
        <v>1</v>
      </c>
      <c r="Q108" s="11" t="s">
        <v>778</v>
      </c>
    </row>
    <row r="109" spans="1:17" x14ac:dyDescent="0.25">
      <c r="A109" s="10">
        <v>1807</v>
      </c>
      <c r="B109" s="5" t="s">
        <v>30</v>
      </c>
      <c r="C109" s="5" t="s">
        <v>779</v>
      </c>
      <c r="D109" s="5" t="s">
        <v>545</v>
      </c>
      <c r="E109" s="5" t="s">
        <v>546</v>
      </c>
      <c r="F109" s="5">
        <v>1</v>
      </c>
      <c r="G109" s="5" t="s">
        <v>566</v>
      </c>
      <c r="H109" s="5" t="s">
        <v>779</v>
      </c>
      <c r="I109" s="5"/>
      <c r="J109" s="5"/>
      <c r="K109" s="5">
        <v>1000</v>
      </c>
      <c r="L109" s="56">
        <v>45292</v>
      </c>
      <c r="M109" s="5">
        <v>0</v>
      </c>
      <c r="N109" s="5"/>
      <c r="O109" s="5" t="s">
        <v>549</v>
      </c>
      <c r="P109" s="5">
        <v>1</v>
      </c>
      <c r="Q109" s="11" t="s">
        <v>778</v>
      </c>
    </row>
    <row r="110" spans="1:17" x14ac:dyDescent="0.25">
      <c r="A110" s="10">
        <v>1752</v>
      </c>
      <c r="B110" s="5" t="s">
        <v>32</v>
      </c>
      <c r="C110" s="5" t="s">
        <v>780</v>
      </c>
      <c r="D110" s="5" t="s">
        <v>545</v>
      </c>
      <c r="E110" s="5" t="s">
        <v>546</v>
      </c>
      <c r="F110" s="5">
        <v>1</v>
      </c>
      <c r="G110" s="5" t="s">
        <v>566</v>
      </c>
      <c r="H110" s="5" t="s">
        <v>780</v>
      </c>
      <c r="I110" s="5"/>
      <c r="J110" s="5"/>
      <c r="K110" s="5">
        <v>1000</v>
      </c>
      <c r="L110" s="56">
        <v>45292</v>
      </c>
      <c r="M110" s="5">
        <v>0</v>
      </c>
      <c r="N110" s="5"/>
      <c r="O110" s="5" t="s">
        <v>549</v>
      </c>
      <c r="P110" s="5">
        <v>1</v>
      </c>
      <c r="Q110" s="11" t="s">
        <v>778</v>
      </c>
    </row>
    <row r="111" spans="1:17" x14ac:dyDescent="0.25">
      <c r="A111" s="10">
        <v>1850</v>
      </c>
      <c r="B111" s="5" t="s">
        <v>781</v>
      </c>
      <c r="C111" s="5" t="s">
        <v>782</v>
      </c>
      <c r="D111" s="5" t="s">
        <v>545</v>
      </c>
      <c r="E111" s="5" t="s">
        <v>669</v>
      </c>
      <c r="F111" s="5">
        <v>1</v>
      </c>
      <c r="G111" s="5" t="s">
        <v>547</v>
      </c>
      <c r="H111" s="5" t="s">
        <v>783</v>
      </c>
      <c r="I111" s="5"/>
      <c r="J111" s="5"/>
      <c r="K111" s="5">
        <v>160</v>
      </c>
      <c r="L111" s="56">
        <v>45292</v>
      </c>
      <c r="M111" s="5">
        <v>0</v>
      </c>
      <c r="N111" s="5"/>
      <c r="O111" s="5" t="s">
        <v>549</v>
      </c>
      <c r="P111" s="5">
        <v>1</v>
      </c>
      <c r="Q111" s="11" t="s">
        <v>615</v>
      </c>
    </row>
    <row r="112" spans="1:17" x14ac:dyDescent="0.25">
      <c r="A112" s="10">
        <v>1848</v>
      </c>
      <c r="B112" s="5" t="s">
        <v>784</v>
      </c>
      <c r="C112" s="5" t="s">
        <v>785</v>
      </c>
      <c r="D112" s="5" t="s">
        <v>545</v>
      </c>
      <c r="E112" s="5" t="s">
        <v>669</v>
      </c>
      <c r="F112" s="5">
        <v>1</v>
      </c>
      <c r="G112" s="5" t="s">
        <v>547</v>
      </c>
      <c r="H112" s="5" t="s">
        <v>785</v>
      </c>
      <c r="I112" s="5"/>
      <c r="J112" s="5"/>
      <c r="K112" s="5">
        <v>15</v>
      </c>
      <c r="L112" s="56">
        <v>45292</v>
      </c>
      <c r="M112" s="5">
        <v>0</v>
      </c>
      <c r="N112" s="5"/>
      <c r="O112" s="5" t="s">
        <v>549</v>
      </c>
      <c r="P112" s="5">
        <v>1</v>
      </c>
      <c r="Q112" s="11" t="s">
        <v>615</v>
      </c>
    </row>
    <row r="113" spans="1:17" x14ac:dyDescent="0.25">
      <c r="A113" s="10">
        <v>1860</v>
      </c>
      <c r="B113" s="5" t="s">
        <v>786</v>
      </c>
      <c r="C113" s="5" t="s">
        <v>787</v>
      </c>
      <c r="D113" s="5" t="s">
        <v>545</v>
      </c>
      <c r="E113" s="5" t="s">
        <v>669</v>
      </c>
      <c r="F113" s="5">
        <v>1</v>
      </c>
      <c r="G113" s="5" t="s">
        <v>547</v>
      </c>
      <c r="H113" s="5" t="s">
        <v>787</v>
      </c>
      <c r="I113" s="5"/>
      <c r="J113" s="5"/>
      <c r="K113" s="5">
        <v>60</v>
      </c>
      <c r="L113" s="56">
        <v>45292</v>
      </c>
      <c r="M113" s="5">
        <v>0</v>
      </c>
      <c r="N113" s="5"/>
      <c r="O113" s="5" t="s">
        <v>549</v>
      </c>
      <c r="P113" s="5">
        <v>1</v>
      </c>
      <c r="Q113" s="11" t="s">
        <v>615</v>
      </c>
    </row>
    <row r="114" spans="1:17" x14ac:dyDescent="0.25">
      <c r="A114" s="10">
        <v>1852</v>
      </c>
      <c r="B114" s="5" t="s">
        <v>788</v>
      </c>
      <c r="C114" s="5" t="s">
        <v>789</v>
      </c>
      <c r="D114" s="5" t="s">
        <v>545</v>
      </c>
      <c r="E114" s="5" t="s">
        <v>669</v>
      </c>
      <c r="F114" s="5">
        <v>1</v>
      </c>
      <c r="G114" s="5" t="s">
        <v>547</v>
      </c>
      <c r="H114" s="5" t="s">
        <v>789</v>
      </c>
      <c r="I114" s="5"/>
      <c r="J114" s="5"/>
      <c r="K114" s="5">
        <v>400</v>
      </c>
      <c r="L114" s="56">
        <v>45292</v>
      </c>
      <c r="M114" s="5">
        <v>0</v>
      </c>
      <c r="N114" s="5"/>
      <c r="O114" s="5" t="s">
        <v>549</v>
      </c>
      <c r="P114" s="5">
        <v>1</v>
      </c>
      <c r="Q114" s="11" t="s">
        <v>680</v>
      </c>
    </row>
    <row r="115" spans="1:17" x14ac:dyDescent="0.25">
      <c r="A115" s="10">
        <v>1824</v>
      </c>
      <c r="B115" s="5" t="s">
        <v>790</v>
      </c>
      <c r="C115" s="5" t="s">
        <v>791</v>
      </c>
      <c r="D115" s="5" t="s">
        <v>545</v>
      </c>
      <c r="E115" s="5" t="s">
        <v>669</v>
      </c>
      <c r="F115" s="5">
        <v>1</v>
      </c>
      <c r="G115" s="5" t="s">
        <v>547</v>
      </c>
      <c r="H115" s="5" t="s">
        <v>791</v>
      </c>
      <c r="I115" s="5"/>
      <c r="J115" s="5"/>
      <c r="K115" s="5">
        <v>200</v>
      </c>
      <c r="L115" s="56">
        <v>45292</v>
      </c>
      <c r="M115" s="5">
        <v>0</v>
      </c>
      <c r="N115" s="5"/>
      <c r="O115" s="5" t="s">
        <v>549</v>
      </c>
      <c r="P115" s="5">
        <v>1</v>
      </c>
      <c r="Q115" s="11" t="s">
        <v>686</v>
      </c>
    </row>
    <row r="116" spans="1:17" x14ac:dyDescent="0.25">
      <c r="A116" s="10">
        <v>1849</v>
      </c>
      <c r="B116" s="5" t="s">
        <v>792</v>
      </c>
      <c r="C116" s="5" t="s">
        <v>793</v>
      </c>
      <c r="D116" s="5" t="s">
        <v>545</v>
      </c>
      <c r="E116" s="5" t="s">
        <v>669</v>
      </c>
      <c r="F116" s="5">
        <v>1</v>
      </c>
      <c r="G116" s="5" t="s">
        <v>547</v>
      </c>
      <c r="H116" s="5" t="s">
        <v>793</v>
      </c>
      <c r="I116" s="5"/>
      <c r="J116" s="5"/>
      <c r="K116" s="5">
        <v>40</v>
      </c>
      <c r="L116" s="56">
        <v>45292</v>
      </c>
      <c r="M116" s="5">
        <v>0</v>
      </c>
      <c r="N116" s="5"/>
      <c r="O116" s="5" t="s">
        <v>549</v>
      </c>
      <c r="P116" s="5">
        <v>1</v>
      </c>
      <c r="Q116" s="11" t="s">
        <v>615</v>
      </c>
    </row>
    <row r="117" spans="1:17" x14ac:dyDescent="0.25">
      <c r="A117" s="10">
        <v>1853</v>
      </c>
      <c r="B117" s="5" t="s">
        <v>794</v>
      </c>
      <c r="C117" s="5" t="s">
        <v>795</v>
      </c>
      <c r="D117" s="5" t="s">
        <v>545</v>
      </c>
      <c r="E117" s="5" t="s">
        <v>669</v>
      </c>
      <c r="F117" s="5">
        <v>1</v>
      </c>
      <c r="G117" s="5" t="s">
        <v>547</v>
      </c>
      <c r="H117" s="5" t="s">
        <v>795</v>
      </c>
      <c r="I117" s="5"/>
      <c r="J117" s="5"/>
      <c r="K117" s="5">
        <v>400</v>
      </c>
      <c r="L117" s="56">
        <v>45292</v>
      </c>
      <c r="M117" s="5">
        <v>0</v>
      </c>
      <c r="N117" s="5"/>
      <c r="O117" s="5" t="s">
        <v>549</v>
      </c>
      <c r="P117" s="5">
        <v>1</v>
      </c>
      <c r="Q117" s="11" t="s">
        <v>615</v>
      </c>
    </row>
    <row r="118" spans="1:17" x14ac:dyDescent="0.25">
      <c r="A118" s="10">
        <v>1828</v>
      </c>
      <c r="B118" s="5" t="s">
        <v>796</v>
      </c>
      <c r="C118" s="5" t="s">
        <v>797</v>
      </c>
      <c r="D118" s="5" t="s">
        <v>545</v>
      </c>
      <c r="E118" s="5" t="s">
        <v>669</v>
      </c>
      <c r="F118" s="5">
        <v>1</v>
      </c>
      <c r="G118" s="5" t="s">
        <v>547</v>
      </c>
      <c r="H118" s="5" t="s">
        <v>797</v>
      </c>
      <c r="I118" s="5"/>
      <c r="J118" s="5"/>
      <c r="K118" s="5">
        <v>0</v>
      </c>
      <c r="L118" s="56">
        <v>45292</v>
      </c>
      <c r="M118" s="5">
        <v>0</v>
      </c>
      <c r="N118" s="5"/>
      <c r="O118" s="5" t="s">
        <v>549</v>
      </c>
      <c r="P118" s="5">
        <v>1</v>
      </c>
      <c r="Q118" s="11" t="s">
        <v>686</v>
      </c>
    </row>
    <row r="119" spans="1:17" x14ac:dyDescent="0.25">
      <c r="A119" s="10">
        <v>1827</v>
      </c>
      <c r="B119" s="5" t="s">
        <v>798</v>
      </c>
      <c r="C119" s="5" t="s">
        <v>799</v>
      </c>
      <c r="D119" s="5" t="s">
        <v>545</v>
      </c>
      <c r="E119" s="5" t="s">
        <v>669</v>
      </c>
      <c r="F119" s="5">
        <v>1</v>
      </c>
      <c r="G119" s="5" t="s">
        <v>547</v>
      </c>
      <c r="H119" s="5" t="s">
        <v>799</v>
      </c>
      <c r="I119" s="5"/>
      <c r="J119" s="5"/>
      <c r="K119" s="5">
        <v>0</v>
      </c>
      <c r="L119" s="56">
        <v>45292</v>
      </c>
      <c r="M119" s="5">
        <v>0</v>
      </c>
      <c r="N119" s="5"/>
      <c r="O119" s="5" t="s">
        <v>549</v>
      </c>
      <c r="P119" s="5">
        <v>1</v>
      </c>
      <c r="Q119" s="11" t="s">
        <v>686</v>
      </c>
    </row>
    <row r="120" spans="1:17" x14ac:dyDescent="0.25">
      <c r="A120" s="10">
        <v>1772</v>
      </c>
      <c r="B120" s="5" t="s">
        <v>800</v>
      </c>
      <c r="C120" s="5" t="s">
        <v>801</v>
      </c>
      <c r="D120" s="5" t="s">
        <v>545</v>
      </c>
      <c r="E120" s="5" t="s">
        <v>546</v>
      </c>
      <c r="F120" s="5">
        <v>1</v>
      </c>
      <c r="G120" s="5" t="s">
        <v>547</v>
      </c>
      <c r="H120" s="5" t="s">
        <v>801</v>
      </c>
      <c r="I120" s="5"/>
      <c r="J120" s="5"/>
      <c r="K120" s="5">
        <v>320</v>
      </c>
      <c r="L120" s="56">
        <v>45292</v>
      </c>
      <c r="M120" s="5">
        <v>0</v>
      </c>
      <c r="N120" s="5"/>
      <c r="O120" s="5" t="s">
        <v>549</v>
      </c>
      <c r="P120" s="5">
        <v>1</v>
      </c>
      <c r="Q120" s="11" t="s">
        <v>686</v>
      </c>
    </row>
    <row r="121" spans="1:17" x14ac:dyDescent="0.25">
      <c r="A121" s="10">
        <v>1773</v>
      </c>
      <c r="B121" s="5" t="s">
        <v>802</v>
      </c>
      <c r="C121" s="5" t="s">
        <v>195</v>
      </c>
      <c r="D121" s="5" t="s">
        <v>545</v>
      </c>
      <c r="E121" s="5" t="s">
        <v>546</v>
      </c>
      <c r="F121" s="5">
        <v>1</v>
      </c>
      <c r="G121" s="5" t="s">
        <v>547</v>
      </c>
      <c r="H121" s="5" t="s">
        <v>195</v>
      </c>
      <c r="I121" s="5"/>
      <c r="J121" s="5"/>
      <c r="K121" s="5">
        <v>480</v>
      </c>
      <c r="L121" s="56">
        <v>45292</v>
      </c>
      <c r="M121" s="5">
        <v>0</v>
      </c>
      <c r="N121" s="5"/>
      <c r="O121" s="5" t="s">
        <v>549</v>
      </c>
      <c r="P121" s="5">
        <v>1</v>
      </c>
      <c r="Q121" s="11" t="s">
        <v>686</v>
      </c>
    </row>
    <row r="122" spans="1:17" x14ac:dyDescent="0.25">
      <c r="A122" s="10">
        <v>1796</v>
      </c>
      <c r="B122" s="5" t="s">
        <v>803</v>
      </c>
      <c r="C122" s="5" t="s">
        <v>804</v>
      </c>
      <c r="D122" s="5" t="s">
        <v>545</v>
      </c>
      <c r="E122" s="5" t="s">
        <v>546</v>
      </c>
      <c r="F122" s="5">
        <v>1</v>
      </c>
      <c r="G122" s="5" t="s">
        <v>547</v>
      </c>
      <c r="H122" s="5" t="s">
        <v>804</v>
      </c>
      <c r="I122" s="5"/>
      <c r="J122" s="5"/>
      <c r="K122" s="5">
        <v>800</v>
      </c>
      <c r="L122" s="56">
        <v>45292</v>
      </c>
      <c r="M122" s="5">
        <v>0</v>
      </c>
      <c r="N122" s="5"/>
      <c r="O122" s="5" t="s">
        <v>549</v>
      </c>
      <c r="P122" s="5">
        <v>1</v>
      </c>
      <c r="Q122" s="11" t="s">
        <v>686</v>
      </c>
    </row>
    <row r="123" spans="1:17" x14ac:dyDescent="0.25">
      <c r="A123" s="10">
        <v>1797</v>
      </c>
      <c r="B123" s="5" t="s">
        <v>805</v>
      </c>
      <c r="C123" s="5" t="s">
        <v>806</v>
      </c>
      <c r="D123" s="5" t="s">
        <v>545</v>
      </c>
      <c r="E123" s="5" t="s">
        <v>546</v>
      </c>
      <c r="F123" s="5">
        <v>1</v>
      </c>
      <c r="G123" s="5" t="s">
        <v>547</v>
      </c>
      <c r="H123" s="5" t="s">
        <v>806</v>
      </c>
      <c r="I123" s="5"/>
      <c r="J123" s="5"/>
      <c r="K123" s="5">
        <v>800</v>
      </c>
      <c r="L123" s="56">
        <v>45292</v>
      </c>
      <c r="M123" s="5">
        <v>0</v>
      </c>
      <c r="N123" s="5"/>
      <c r="O123" s="5" t="s">
        <v>549</v>
      </c>
      <c r="P123" s="5">
        <v>1</v>
      </c>
      <c r="Q123" s="11" t="s">
        <v>686</v>
      </c>
    </row>
    <row r="124" spans="1:17" x14ac:dyDescent="0.25">
      <c r="A124" s="10">
        <v>1798</v>
      </c>
      <c r="B124" s="5" t="s">
        <v>807</v>
      </c>
      <c r="C124" s="5" t="s">
        <v>808</v>
      </c>
      <c r="D124" s="5" t="s">
        <v>545</v>
      </c>
      <c r="E124" s="5" t="s">
        <v>546</v>
      </c>
      <c r="F124" s="5">
        <v>1</v>
      </c>
      <c r="G124" s="5" t="s">
        <v>547</v>
      </c>
      <c r="H124" s="5" t="s">
        <v>808</v>
      </c>
      <c r="I124" s="5"/>
      <c r="J124" s="5"/>
      <c r="K124" s="5">
        <v>160</v>
      </c>
      <c r="L124" s="56">
        <v>45292</v>
      </c>
      <c r="M124" s="5">
        <v>0</v>
      </c>
      <c r="N124" s="5"/>
      <c r="O124" s="5" t="s">
        <v>549</v>
      </c>
      <c r="P124" s="5">
        <v>1</v>
      </c>
      <c r="Q124" s="11" t="s">
        <v>686</v>
      </c>
    </row>
    <row r="125" spans="1:17" x14ac:dyDescent="0.25">
      <c r="A125" s="10">
        <v>1854</v>
      </c>
      <c r="B125" s="5" t="s">
        <v>809</v>
      </c>
      <c r="C125" s="5" t="s">
        <v>810</v>
      </c>
      <c r="D125" s="5" t="s">
        <v>545</v>
      </c>
      <c r="E125" s="5" t="s">
        <v>669</v>
      </c>
      <c r="F125" s="5">
        <v>1</v>
      </c>
      <c r="G125" s="5" t="s">
        <v>547</v>
      </c>
      <c r="H125" s="5" t="s">
        <v>810</v>
      </c>
      <c r="I125" s="5"/>
      <c r="J125" s="5"/>
      <c r="K125" s="5">
        <v>10</v>
      </c>
      <c r="L125" s="56">
        <v>45292</v>
      </c>
      <c r="M125" s="5">
        <v>0</v>
      </c>
      <c r="N125" s="5"/>
      <c r="O125" s="5" t="s">
        <v>549</v>
      </c>
      <c r="P125" s="5">
        <v>1</v>
      </c>
      <c r="Q125" s="11" t="s">
        <v>615</v>
      </c>
    </row>
    <row r="126" spans="1:17" x14ac:dyDescent="0.25">
      <c r="A126" s="10">
        <v>1870</v>
      </c>
      <c r="B126" s="5" t="s">
        <v>811</v>
      </c>
      <c r="C126" s="5" t="s">
        <v>812</v>
      </c>
      <c r="D126" s="5" t="s">
        <v>545</v>
      </c>
      <c r="E126" s="5" t="s">
        <v>669</v>
      </c>
      <c r="F126" s="5">
        <v>1</v>
      </c>
      <c r="G126" s="5" t="s">
        <v>547</v>
      </c>
      <c r="H126" s="5" t="s">
        <v>812</v>
      </c>
      <c r="I126" s="5"/>
      <c r="J126" s="5"/>
      <c r="K126" s="5">
        <v>500</v>
      </c>
      <c r="L126" s="56">
        <v>45292</v>
      </c>
      <c r="M126" s="5">
        <v>0</v>
      </c>
      <c r="N126" s="5"/>
      <c r="O126" s="5" t="s">
        <v>549</v>
      </c>
      <c r="P126" s="5">
        <v>1</v>
      </c>
      <c r="Q126" s="11" t="s">
        <v>813</v>
      </c>
    </row>
    <row r="127" spans="1:17" x14ac:dyDescent="0.25">
      <c r="A127" s="10">
        <v>1866</v>
      </c>
      <c r="B127" s="5" t="s">
        <v>814</v>
      </c>
      <c r="C127" s="5" t="s">
        <v>815</v>
      </c>
      <c r="D127" s="5" t="s">
        <v>545</v>
      </c>
      <c r="E127" s="5" t="s">
        <v>669</v>
      </c>
      <c r="F127" s="5">
        <v>1</v>
      </c>
      <c r="G127" s="5" t="s">
        <v>547</v>
      </c>
      <c r="H127" s="5" t="s">
        <v>816</v>
      </c>
      <c r="I127" s="5"/>
      <c r="J127" s="5"/>
      <c r="K127" s="5">
        <v>40</v>
      </c>
      <c r="L127" s="56">
        <v>45292</v>
      </c>
      <c r="M127" s="5">
        <v>0</v>
      </c>
      <c r="N127" s="5"/>
      <c r="O127" s="5" t="s">
        <v>549</v>
      </c>
      <c r="P127" s="5">
        <v>1</v>
      </c>
      <c r="Q127" s="11" t="s">
        <v>615</v>
      </c>
    </row>
    <row r="128" spans="1:17" x14ac:dyDescent="0.25">
      <c r="A128" s="10">
        <v>1829</v>
      </c>
      <c r="B128" s="5" t="s">
        <v>817</v>
      </c>
      <c r="C128" s="5" t="s">
        <v>818</v>
      </c>
      <c r="D128" s="5" t="s">
        <v>545</v>
      </c>
      <c r="E128" s="5" t="s">
        <v>669</v>
      </c>
      <c r="F128" s="5">
        <v>1</v>
      </c>
      <c r="G128" s="5" t="s">
        <v>547</v>
      </c>
      <c r="H128" s="5" t="s">
        <v>819</v>
      </c>
      <c r="I128" s="5"/>
      <c r="J128" s="5"/>
      <c r="K128" s="5">
        <v>0</v>
      </c>
      <c r="L128" s="56">
        <v>45292</v>
      </c>
      <c r="M128" s="5">
        <v>0</v>
      </c>
      <c r="N128" s="5"/>
      <c r="O128" s="5" t="s">
        <v>549</v>
      </c>
      <c r="P128" s="5">
        <v>1</v>
      </c>
      <c r="Q128" s="11" t="s">
        <v>680</v>
      </c>
    </row>
    <row r="129" spans="1:17" x14ac:dyDescent="0.25">
      <c r="A129" s="10">
        <v>1939</v>
      </c>
      <c r="B129" s="5" t="s">
        <v>820</v>
      </c>
      <c r="C129" s="5" t="s">
        <v>771</v>
      </c>
      <c r="D129" s="5" t="s">
        <v>545</v>
      </c>
      <c r="E129" s="5" t="s">
        <v>546</v>
      </c>
      <c r="F129" s="5">
        <v>1</v>
      </c>
      <c r="G129" s="5" t="s">
        <v>566</v>
      </c>
      <c r="H129" s="5" t="s">
        <v>772</v>
      </c>
      <c r="I129" s="5"/>
      <c r="J129" s="5"/>
      <c r="K129" s="5">
        <v>0</v>
      </c>
      <c r="L129" s="56">
        <v>45292</v>
      </c>
      <c r="M129" s="5">
        <v>0</v>
      </c>
      <c r="N129" s="5"/>
      <c r="O129" s="5" t="s">
        <v>549</v>
      </c>
      <c r="P129" s="5">
        <v>1</v>
      </c>
      <c r="Q129" s="11" t="s">
        <v>821</v>
      </c>
    </row>
    <row r="130" spans="1:17" x14ac:dyDescent="0.25">
      <c r="A130" s="10">
        <v>1940</v>
      </c>
      <c r="B130" s="5" t="s">
        <v>820</v>
      </c>
      <c r="C130" s="5" t="s">
        <v>771</v>
      </c>
      <c r="D130" s="5" t="s">
        <v>545</v>
      </c>
      <c r="E130" s="5" t="s">
        <v>546</v>
      </c>
      <c r="F130" s="5">
        <v>2</v>
      </c>
      <c r="G130" s="5" t="s">
        <v>566</v>
      </c>
      <c r="H130" s="5" t="s">
        <v>822</v>
      </c>
      <c r="I130" s="5"/>
      <c r="J130" s="5"/>
      <c r="K130" s="5">
        <v>80</v>
      </c>
      <c r="L130" s="56">
        <v>45292</v>
      </c>
      <c r="M130" s="5">
        <v>0</v>
      </c>
      <c r="N130" s="5"/>
      <c r="O130" s="5" t="s">
        <v>549</v>
      </c>
      <c r="P130" s="5">
        <v>1</v>
      </c>
      <c r="Q130" s="11" t="s">
        <v>823</v>
      </c>
    </row>
    <row r="131" spans="1:17" x14ac:dyDescent="0.25">
      <c r="A131" s="10">
        <v>1855</v>
      </c>
      <c r="B131" s="5" t="s">
        <v>824</v>
      </c>
      <c r="C131" s="5" t="s">
        <v>825</v>
      </c>
      <c r="D131" s="5" t="s">
        <v>545</v>
      </c>
      <c r="E131" s="5" t="s">
        <v>669</v>
      </c>
      <c r="F131" s="5">
        <v>1</v>
      </c>
      <c r="G131" s="5" t="s">
        <v>547</v>
      </c>
      <c r="H131" s="5" t="s">
        <v>825</v>
      </c>
      <c r="I131" s="5"/>
      <c r="J131" s="5"/>
      <c r="K131" s="5">
        <v>10</v>
      </c>
      <c r="L131" s="56">
        <v>45292</v>
      </c>
      <c r="M131" s="5">
        <v>0</v>
      </c>
      <c r="N131" s="5"/>
      <c r="O131" s="5" t="s">
        <v>549</v>
      </c>
      <c r="P131" s="5">
        <v>1</v>
      </c>
      <c r="Q131" s="11" t="s">
        <v>615</v>
      </c>
    </row>
    <row r="132" spans="1:17" x14ac:dyDescent="0.25">
      <c r="A132" s="10">
        <v>1857</v>
      </c>
      <c r="B132" s="5" t="s">
        <v>826</v>
      </c>
      <c r="C132" s="5" t="s">
        <v>827</v>
      </c>
      <c r="D132" s="5" t="s">
        <v>545</v>
      </c>
      <c r="E132" s="5" t="s">
        <v>669</v>
      </c>
      <c r="F132" s="5">
        <v>1</v>
      </c>
      <c r="G132" s="5" t="s">
        <v>547</v>
      </c>
      <c r="H132" s="5" t="s">
        <v>827</v>
      </c>
      <c r="I132" s="5"/>
      <c r="J132" s="5"/>
      <c r="K132" s="5">
        <v>25</v>
      </c>
      <c r="L132" s="56">
        <v>45292</v>
      </c>
      <c r="M132" s="5">
        <v>0</v>
      </c>
      <c r="N132" s="5"/>
      <c r="O132" s="5" t="s">
        <v>549</v>
      </c>
      <c r="P132" s="5">
        <v>1</v>
      </c>
      <c r="Q132" s="11" t="s">
        <v>615</v>
      </c>
    </row>
    <row r="133" spans="1:17" x14ac:dyDescent="0.25">
      <c r="A133" s="10">
        <v>1731</v>
      </c>
      <c r="B133" s="5" t="s">
        <v>828</v>
      </c>
      <c r="C133" s="5" t="s">
        <v>829</v>
      </c>
      <c r="D133" s="5" t="s">
        <v>545</v>
      </c>
      <c r="E133" s="5" t="s">
        <v>565</v>
      </c>
      <c r="F133" s="5">
        <v>1</v>
      </c>
      <c r="G133" s="5" t="s">
        <v>547</v>
      </c>
      <c r="H133" s="5" t="s">
        <v>830</v>
      </c>
      <c r="I133" s="5"/>
      <c r="J133" s="5"/>
      <c r="K133" s="5">
        <v>2400</v>
      </c>
      <c r="L133" s="56">
        <v>45292</v>
      </c>
      <c r="M133" s="5">
        <v>0</v>
      </c>
      <c r="N133" s="5"/>
      <c r="O133" s="5" t="s">
        <v>549</v>
      </c>
      <c r="P133" s="5">
        <v>1</v>
      </c>
      <c r="Q133" s="11" t="s">
        <v>686</v>
      </c>
    </row>
    <row r="134" spans="1:17" x14ac:dyDescent="0.25">
      <c r="A134" s="10">
        <v>1733</v>
      </c>
      <c r="B134" s="5" t="s">
        <v>831</v>
      </c>
      <c r="C134" s="5" t="s">
        <v>832</v>
      </c>
      <c r="D134" s="5" t="s">
        <v>545</v>
      </c>
      <c r="E134" s="5" t="s">
        <v>565</v>
      </c>
      <c r="F134" s="5">
        <v>1</v>
      </c>
      <c r="G134" s="5" t="s">
        <v>547</v>
      </c>
      <c r="H134" s="5" t="s">
        <v>833</v>
      </c>
      <c r="I134" s="5"/>
      <c r="J134" s="5"/>
      <c r="K134" s="5">
        <v>212</v>
      </c>
      <c r="L134" s="56">
        <v>45292</v>
      </c>
      <c r="M134" s="5">
        <v>0</v>
      </c>
      <c r="N134" s="5"/>
      <c r="O134" s="5" t="s">
        <v>549</v>
      </c>
      <c r="P134" s="5">
        <v>1</v>
      </c>
      <c r="Q134" s="11" t="s">
        <v>834</v>
      </c>
    </row>
    <row r="135" spans="1:17" x14ac:dyDescent="0.25">
      <c r="A135" s="10">
        <v>1732</v>
      </c>
      <c r="B135" s="5" t="s">
        <v>835</v>
      </c>
      <c r="C135" s="5" t="s">
        <v>836</v>
      </c>
      <c r="D135" s="5" t="s">
        <v>545</v>
      </c>
      <c r="E135" s="5" t="s">
        <v>565</v>
      </c>
      <c r="F135" s="5">
        <v>1</v>
      </c>
      <c r="G135" s="5" t="s">
        <v>547</v>
      </c>
      <c r="H135" s="5" t="s">
        <v>836</v>
      </c>
      <c r="I135" s="5"/>
      <c r="J135" s="5"/>
      <c r="K135" s="5">
        <v>0</v>
      </c>
      <c r="L135" s="56">
        <v>45292</v>
      </c>
      <c r="M135" s="5">
        <v>0</v>
      </c>
      <c r="N135" s="5"/>
      <c r="O135" s="5" t="s">
        <v>549</v>
      </c>
      <c r="P135" s="5">
        <v>1</v>
      </c>
      <c r="Q135" s="11" t="s">
        <v>615</v>
      </c>
    </row>
    <row r="136" spans="1:17" x14ac:dyDescent="0.25">
      <c r="A136" s="10">
        <v>1861</v>
      </c>
      <c r="B136" s="5" t="s">
        <v>837</v>
      </c>
      <c r="C136" s="5" t="s">
        <v>838</v>
      </c>
      <c r="D136" s="5" t="s">
        <v>545</v>
      </c>
      <c r="E136" s="5" t="s">
        <v>669</v>
      </c>
      <c r="F136" s="5">
        <v>1</v>
      </c>
      <c r="G136" s="5" t="s">
        <v>547</v>
      </c>
      <c r="H136" s="5" t="s">
        <v>838</v>
      </c>
      <c r="I136" s="5"/>
      <c r="J136" s="5"/>
      <c r="K136" s="5">
        <v>100</v>
      </c>
      <c r="L136" s="56">
        <v>45292</v>
      </c>
      <c r="M136" s="5">
        <v>0</v>
      </c>
      <c r="N136" s="5"/>
      <c r="O136" s="5" t="s">
        <v>549</v>
      </c>
      <c r="P136" s="5">
        <v>1</v>
      </c>
      <c r="Q136" s="11" t="s">
        <v>615</v>
      </c>
    </row>
    <row r="137" spans="1:17" x14ac:dyDescent="0.25">
      <c r="A137" s="10">
        <v>1862</v>
      </c>
      <c r="B137" s="5" t="s">
        <v>839</v>
      </c>
      <c r="C137" s="5" t="s">
        <v>840</v>
      </c>
      <c r="D137" s="5" t="s">
        <v>545</v>
      </c>
      <c r="E137" s="5" t="s">
        <v>669</v>
      </c>
      <c r="F137" s="5">
        <v>1</v>
      </c>
      <c r="G137" s="5" t="s">
        <v>547</v>
      </c>
      <c r="H137" s="5" t="s">
        <v>840</v>
      </c>
      <c r="I137" s="5"/>
      <c r="J137" s="5"/>
      <c r="K137" s="5">
        <v>25</v>
      </c>
      <c r="L137" s="56">
        <v>45292</v>
      </c>
      <c r="M137" s="5">
        <v>0</v>
      </c>
      <c r="N137" s="5"/>
      <c r="O137" s="5" t="s">
        <v>549</v>
      </c>
      <c r="P137" s="5">
        <v>1</v>
      </c>
      <c r="Q137" s="11" t="s">
        <v>615</v>
      </c>
    </row>
    <row r="138" spans="1:17" x14ac:dyDescent="0.25">
      <c r="A138" s="10">
        <v>1830</v>
      </c>
      <c r="B138" s="5" t="s">
        <v>841</v>
      </c>
      <c r="C138" s="5" t="s">
        <v>842</v>
      </c>
      <c r="D138" s="5" t="s">
        <v>545</v>
      </c>
      <c r="E138" s="5" t="s">
        <v>669</v>
      </c>
      <c r="F138" s="5">
        <v>1</v>
      </c>
      <c r="G138" s="5" t="s">
        <v>547</v>
      </c>
      <c r="H138" s="5" t="s">
        <v>843</v>
      </c>
      <c r="I138" s="5"/>
      <c r="J138" s="5"/>
      <c r="K138" s="5">
        <v>500</v>
      </c>
      <c r="L138" s="56">
        <v>45292</v>
      </c>
      <c r="M138" s="5">
        <v>0</v>
      </c>
      <c r="N138" s="5"/>
      <c r="O138" s="5" t="s">
        <v>549</v>
      </c>
      <c r="P138" s="5">
        <v>1</v>
      </c>
      <c r="Q138" s="11" t="s">
        <v>813</v>
      </c>
    </row>
    <row r="139" spans="1:17" x14ac:dyDescent="0.25">
      <c r="A139" s="10">
        <v>1858</v>
      </c>
      <c r="B139" s="5" t="s">
        <v>844</v>
      </c>
      <c r="C139" s="5" t="s">
        <v>845</v>
      </c>
      <c r="D139" s="5" t="s">
        <v>545</v>
      </c>
      <c r="E139" s="5" t="s">
        <v>669</v>
      </c>
      <c r="F139" s="5">
        <v>1</v>
      </c>
      <c r="G139" s="5" t="s">
        <v>547</v>
      </c>
      <c r="H139" s="5" t="s">
        <v>845</v>
      </c>
      <c r="I139" s="5"/>
      <c r="J139" s="5"/>
      <c r="K139" s="5">
        <v>25</v>
      </c>
      <c r="L139" s="56">
        <v>45292</v>
      </c>
      <c r="M139" s="5">
        <v>0</v>
      </c>
      <c r="N139" s="5"/>
      <c r="O139" s="5" t="s">
        <v>549</v>
      </c>
      <c r="P139" s="5">
        <v>1</v>
      </c>
      <c r="Q139" s="11" t="s">
        <v>615</v>
      </c>
    </row>
    <row r="140" spans="1:17" x14ac:dyDescent="0.25">
      <c r="A140" s="10">
        <v>1867</v>
      </c>
      <c r="B140" s="5" t="s">
        <v>846</v>
      </c>
      <c r="C140" s="5" t="s">
        <v>847</v>
      </c>
      <c r="D140" s="5" t="s">
        <v>545</v>
      </c>
      <c r="E140" s="5" t="s">
        <v>669</v>
      </c>
      <c r="F140" s="5">
        <v>1</v>
      </c>
      <c r="G140" s="5" t="s">
        <v>547</v>
      </c>
      <c r="H140" s="5" t="s">
        <v>847</v>
      </c>
      <c r="I140" s="5"/>
      <c r="J140" s="5"/>
      <c r="K140" s="5">
        <v>10</v>
      </c>
      <c r="L140" s="56">
        <v>45292</v>
      </c>
      <c r="M140" s="5">
        <v>0</v>
      </c>
      <c r="N140" s="5"/>
      <c r="O140" s="5" t="s">
        <v>549</v>
      </c>
      <c r="P140" s="5">
        <v>1</v>
      </c>
      <c r="Q140" s="11" t="s">
        <v>691</v>
      </c>
    </row>
    <row r="141" spans="1:17" x14ac:dyDescent="0.25">
      <c r="A141" s="10">
        <v>1846</v>
      </c>
      <c r="B141" s="5" t="s">
        <v>848</v>
      </c>
      <c r="C141" s="5" t="s">
        <v>849</v>
      </c>
      <c r="D141" s="5" t="s">
        <v>545</v>
      </c>
      <c r="E141" s="5" t="s">
        <v>669</v>
      </c>
      <c r="F141" s="5">
        <v>1</v>
      </c>
      <c r="G141" s="5" t="s">
        <v>547</v>
      </c>
      <c r="H141" s="5" t="s">
        <v>849</v>
      </c>
      <c r="I141" s="5"/>
      <c r="J141" s="5"/>
      <c r="K141" s="5">
        <v>25</v>
      </c>
      <c r="L141" s="56">
        <v>45292</v>
      </c>
      <c r="M141" s="5">
        <v>0</v>
      </c>
      <c r="N141" s="5"/>
      <c r="O141" s="5" t="s">
        <v>549</v>
      </c>
      <c r="P141" s="5">
        <v>1</v>
      </c>
      <c r="Q141" s="11" t="s">
        <v>615</v>
      </c>
    </row>
    <row r="142" spans="1:17" x14ac:dyDescent="0.25">
      <c r="A142" s="10">
        <v>1761</v>
      </c>
      <c r="B142" s="5" t="s">
        <v>850</v>
      </c>
      <c r="C142" s="5" t="s">
        <v>851</v>
      </c>
      <c r="D142" s="5" t="s">
        <v>545</v>
      </c>
      <c r="E142" s="5" t="s">
        <v>546</v>
      </c>
      <c r="F142" s="5">
        <v>1</v>
      </c>
      <c r="G142" s="5" t="s">
        <v>547</v>
      </c>
      <c r="H142" s="5" t="s">
        <v>851</v>
      </c>
      <c r="I142" s="5"/>
      <c r="J142" s="5"/>
      <c r="K142" s="5">
        <v>160</v>
      </c>
      <c r="L142" s="56">
        <v>45292</v>
      </c>
      <c r="M142" s="5">
        <v>0</v>
      </c>
      <c r="N142" s="5"/>
      <c r="O142" s="5" t="s">
        <v>549</v>
      </c>
      <c r="P142" s="5">
        <v>1</v>
      </c>
      <c r="Q142" s="11" t="s">
        <v>686</v>
      </c>
    </row>
    <row r="143" spans="1:17" x14ac:dyDescent="0.25">
      <c r="A143" s="10">
        <v>1762</v>
      </c>
      <c r="B143" s="5" t="s">
        <v>852</v>
      </c>
      <c r="C143" s="5" t="s">
        <v>853</v>
      </c>
      <c r="D143" s="5" t="s">
        <v>545</v>
      </c>
      <c r="E143" s="5" t="s">
        <v>546</v>
      </c>
      <c r="F143" s="5">
        <v>1</v>
      </c>
      <c r="G143" s="5" t="s">
        <v>547</v>
      </c>
      <c r="H143" s="5" t="s">
        <v>853</v>
      </c>
      <c r="I143" s="5"/>
      <c r="J143" s="5"/>
      <c r="K143" s="5">
        <v>160</v>
      </c>
      <c r="L143" s="56">
        <v>45292</v>
      </c>
      <c r="M143" s="5">
        <v>0</v>
      </c>
      <c r="N143" s="5"/>
      <c r="O143" s="5" t="s">
        <v>549</v>
      </c>
      <c r="P143" s="5">
        <v>1</v>
      </c>
      <c r="Q143" s="11" t="s">
        <v>686</v>
      </c>
    </row>
    <row r="144" spans="1:17" x14ac:dyDescent="0.25">
      <c r="A144" s="10">
        <v>1763</v>
      </c>
      <c r="B144" s="5" t="s">
        <v>854</v>
      </c>
      <c r="C144" s="5" t="s">
        <v>855</v>
      </c>
      <c r="D144" s="5" t="s">
        <v>545</v>
      </c>
      <c r="E144" s="5" t="s">
        <v>546</v>
      </c>
      <c r="F144" s="5">
        <v>1</v>
      </c>
      <c r="G144" s="5" t="s">
        <v>547</v>
      </c>
      <c r="H144" s="5" t="s">
        <v>855</v>
      </c>
      <c r="I144" s="5"/>
      <c r="J144" s="5"/>
      <c r="K144" s="5">
        <v>80</v>
      </c>
      <c r="L144" s="56">
        <v>45292</v>
      </c>
      <c r="M144" s="5">
        <v>0</v>
      </c>
      <c r="N144" s="5"/>
      <c r="O144" s="5" t="s">
        <v>549</v>
      </c>
      <c r="P144" s="5">
        <v>1</v>
      </c>
      <c r="Q144" s="11" t="s">
        <v>686</v>
      </c>
    </row>
    <row r="145" spans="1:17" x14ac:dyDescent="0.25">
      <c r="A145" s="10">
        <v>1769</v>
      </c>
      <c r="B145" s="5" t="s">
        <v>856</v>
      </c>
      <c r="C145" s="5" t="s">
        <v>857</v>
      </c>
      <c r="D145" s="5" t="s">
        <v>545</v>
      </c>
      <c r="E145" s="5" t="s">
        <v>546</v>
      </c>
      <c r="F145" s="5">
        <v>1</v>
      </c>
      <c r="G145" s="5" t="s">
        <v>547</v>
      </c>
      <c r="H145" s="5" t="s">
        <v>857</v>
      </c>
      <c r="I145" s="5"/>
      <c r="J145" s="5"/>
      <c r="K145" s="5">
        <v>480</v>
      </c>
      <c r="L145" s="56">
        <v>45292</v>
      </c>
      <c r="M145" s="5">
        <v>0</v>
      </c>
      <c r="N145" s="5"/>
      <c r="O145" s="5" t="s">
        <v>549</v>
      </c>
      <c r="P145" s="5">
        <v>1</v>
      </c>
      <c r="Q145" s="11" t="s">
        <v>680</v>
      </c>
    </row>
    <row r="146" spans="1:17" x14ac:dyDescent="0.25">
      <c r="A146" s="10">
        <v>1822</v>
      </c>
      <c r="B146" s="5" t="s">
        <v>858</v>
      </c>
      <c r="C146" s="5" t="s">
        <v>859</v>
      </c>
      <c r="D146" s="5" t="s">
        <v>545</v>
      </c>
      <c r="E146" s="5" t="s">
        <v>669</v>
      </c>
      <c r="F146" s="5">
        <v>1</v>
      </c>
      <c r="G146" s="5" t="s">
        <v>547</v>
      </c>
      <c r="H146" s="5" t="s">
        <v>859</v>
      </c>
      <c r="I146" s="5"/>
      <c r="J146" s="5"/>
      <c r="K146" s="5">
        <v>0</v>
      </c>
      <c r="L146" s="56">
        <v>45292</v>
      </c>
      <c r="M146" s="5">
        <v>0</v>
      </c>
      <c r="N146" s="5"/>
      <c r="O146" s="5" t="s">
        <v>549</v>
      </c>
      <c r="P146" s="5">
        <v>1</v>
      </c>
      <c r="Q146" s="11" t="s">
        <v>680</v>
      </c>
    </row>
    <row r="147" spans="1:17" x14ac:dyDescent="0.25">
      <c r="A147" s="10">
        <v>1859</v>
      </c>
      <c r="B147" s="5" t="s">
        <v>860</v>
      </c>
      <c r="C147" s="5" t="s">
        <v>861</v>
      </c>
      <c r="D147" s="5" t="s">
        <v>545</v>
      </c>
      <c r="E147" s="5" t="s">
        <v>669</v>
      </c>
      <c r="F147" s="5">
        <v>1</v>
      </c>
      <c r="G147" s="5" t="s">
        <v>547</v>
      </c>
      <c r="H147" s="5" t="s">
        <v>861</v>
      </c>
      <c r="I147" s="5"/>
      <c r="J147" s="5"/>
      <c r="K147" s="5">
        <v>120</v>
      </c>
      <c r="L147" s="56">
        <v>45292</v>
      </c>
      <c r="M147" s="5">
        <v>0</v>
      </c>
      <c r="N147" s="5"/>
      <c r="O147" s="5" t="s">
        <v>549</v>
      </c>
      <c r="P147" s="5">
        <v>1</v>
      </c>
      <c r="Q147" s="11" t="s">
        <v>615</v>
      </c>
    </row>
    <row r="148" spans="1:17" x14ac:dyDescent="0.25">
      <c r="A148" s="10">
        <v>1954</v>
      </c>
      <c r="B148" s="5" t="s">
        <v>862</v>
      </c>
      <c r="C148" s="5" t="s">
        <v>862</v>
      </c>
      <c r="D148" s="5" t="s">
        <v>545</v>
      </c>
      <c r="E148" s="5" t="s">
        <v>546</v>
      </c>
      <c r="F148" s="5">
        <v>1</v>
      </c>
      <c r="G148" s="5" t="s">
        <v>547</v>
      </c>
      <c r="H148" s="5" t="s">
        <v>721</v>
      </c>
      <c r="I148" s="5"/>
      <c r="J148" s="5"/>
      <c r="K148" s="5">
        <v>96</v>
      </c>
      <c r="L148" s="56">
        <v>45292</v>
      </c>
      <c r="M148" s="5">
        <v>0</v>
      </c>
      <c r="N148" s="5"/>
      <c r="O148" s="5" t="s">
        <v>549</v>
      </c>
      <c r="P148" s="5">
        <v>1</v>
      </c>
      <c r="Q148" s="11" t="s">
        <v>686</v>
      </c>
    </row>
    <row r="149" spans="1:17" x14ac:dyDescent="0.25">
      <c r="A149" s="10">
        <v>1785</v>
      </c>
      <c r="B149" s="5" t="s">
        <v>863</v>
      </c>
      <c r="C149" s="5" t="s">
        <v>864</v>
      </c>
      <c r="D149" s="5" t="s">
        <v>545</v>
      </c>
      <c r="E149" s="5" t="s">
        <v>546</v>
      </c>
      <c r="F149" s="5">
        <v>1</v>
      </c>
      <c r="G149" s="5" t="s">
        <v>547</v>
      </c>
      <c r="H149" s="5" t="s">
        <v>864</v>
      </c>
      <c r="I149" s="5"/>
      <c r="J149" s="5"/>
      <c r="K149" s="5">
        <v>440</v>
      </c>
      <c r="L149" s="56">
        <v>45292</v>
      </c>
      <c r="M149" s="5">
        <v>0</v>
      </c>
      <c r="N149" s="5"/>
      <c r="O149" s="5" t="s">
        <v>549</v>
      </c>
      <c r="P149" s="5">
        <v>1</v>
      </c>
      <c r="Q149" s="11" t="s">
        <v>686</v>
      </c>
    </row>
    <row r="150" spans="1:17" x14ac:dyDescent="0.25">
      <c r="A150" s="10">
        <v>1783</v>
      </c>
      <c r="B150" s="5" t="s">
        <v>865</v>
      </c>
      <c r="C150" s="5" t="s">
        <v>866</v>
      </c>
      <c r="D150" s="5" t="s">
        <v>545</v>
      </c>
      <c r="E150" s="5" t="s">
        <v>546</v>
      </c>
      <c r="F150" s="5">
        <v>1</v>
      </c>
      <c r="G150" s="5" t="s">
        <v>547</v>
      </c>
      <c r="H150" s="5" t="s">
        <v>866</v>
      </c>
      <c r="I150" s="5"/>
      <c r="J150" s="5"/>
      <c r="K150" s="5">
        <v>440</v>
      </c>
      <c r="L150" s="56">
        <v>45292</v>
      </c>
      <c r="M150" s="5">
        <v>0</v>
      </c>
      <c r="N150" s="5"/>
      <c r="O150" s="5" t="s">
        <v>549</v>
      </c>
      <c r="P150" s="5">
        <v>1</v>
      </c>
      <c r="Q150" s="11" t="s">
        <v>686</v>
      </c>
    </row>
    <row r="151" spans="1:17" x14ac:dyDescent="0.25">
      <c r="A151" s="10">
        <v>1786</v>
      </c>
      <c r="B151" s="5" t="s">
        <v>867</v>
      </c>
      <c r="C151" s="5" t="s">
        <v>868</v>
      </c>
      <c r="D151" s="5" t="s">
        <v>545</v>
      </c>
      <c r="E151" s="5" t="s">
        <v>546</v>
      </c>
      <c r="F151" s="5">
        <v>1</v>
      </c>
      <c r="G151" s="5" t="s">
        <v>547</v>
      </c>
      <c r="H151" s="5" t="s">
        <v>868</v>
      </c>
      <c r="I151" s="5"/>
      <c r="J151" s="5"/>
      <c r="K151" s="5">
        <v>440</v>
      </c>
      <c r="L151" s="56">
        <v>45292</v>
      </c>
      <c r="M151" s="5">
        <v>0</v>
      </c>
      <c r="N151" s="5"/>
      <c r="O151" s="5" t="s">
        <v>549</v>
      </c>
      <c r="P151" s="5">
        <v>1</v>
      </c>
      <c r="Q151" s="11" t="s">
        <v>686</v>
      </c>
    </row>
    <row r="152" spans="1:17" x14ac:dyDescent="0.25">
      <c r="A152" s="10">
        <v>1787</v>
      </c>
      <c r="B152" s="5" t="s">
        <v>869</v>
      </c>
      <c r="C152" s="5" t="s">
        <v>870</v>
      </c>
      <c r="D152" s="5" t="s">
        <v>545</v>
      </c>
      <c r="E152" s="5" t="s">
        <v>546</v>
      </c>
      <c r="F152" s="5">
        <v>1</v>
      </c>
      <c r="G152" s="5" t="s">
        <v>547</v>
      </c>
      <c r="H152" s="5" t="s">
        <v>870</v>
      </c>
      <c r="I152" s="5"/>
      <c r="J152" s="5"/>
      <c r="K152" s="5">
        <v>440</v>
      </c>
      <c r="L152" s="56">
        <v>45292</v>
      </c>
      <c r="M152" s="5">
        <v>0</v>
      </c>
      <c r="N152" s="5"/>
      <c r="O152" s="5" t="s">
        <v>549</v>
      </c>
      <c r="P152" s="5">
        <v>1</v>
      </c>
      <c r="Q152" s="11" t="s">
        <v>686</v>
      </c>
    </row>
    <row r="153" spans="1:17" x14ac:dyDescent="0.25">
      <c r="A153" s="10">
        <v>1864</v>
      </c>
      <c r="B153" s="5" t="s">
        <v>871</v>
      </c>
      <c r="C153" s="5" t="s">
        <v>872</v>
      </c>
      <c r="D153" s="5" t="s">
        <v>545</v>
      </c>
      <c r="E153" s="5" t="s">
        <v>669</v>
      </c>
      <c r="F153" s="5">
        <v>1</v>
      </c>
      <c r="G153" s="5" t="s">
        <v>547</v>
      </c>
      <c r="H153" s="5" t="s">
        <v>872</v>
      </c>
      <c r="I153" s="5"/>
      <c r="J153" s="5"/>
      <c r="K153" s="5">
        <v>15</v>
      </c>
      <c r="L153" s="56">
        <v>45292</v>
      </c>
      <c r="M153" s="5">
        <v>0</v>
      </c>
      <c r="N153" s="5"/>
      <c r="O153" s="5" t="s">
        <v>549</v>
      </c>
      <c r="P153" s="5">
        <v>1</v>
      </c>
      <c r="Q153" s="11" t="s">
        <v>615</v>
      </c>
    </row>
    <row r="154" spans="1:17" x14ac:dyDescent="0.25">
      <c r="A154" s="10">
        <v>1904</v>
      </c>
      <c r="B154" s="5" t="s">
        <v>873</v>
      </c>
      <c r="C154" s="5" t="s">
        <v>874</v>
      </c>
      <c r="D154" s="5" t="s">
        <v>730</v>
      </c>
      <c r="E154" s="5"/>
      <c r="F154" s="5">
        <v>1</v>
      </c>
      <c r="G154" s="5" t="s">
        <v>547</v>
      </c>
      <c r="H154" s="5" t="s">
        <v>874</v>
      </c>
      <c r="I154" s="5"/>
      <c r="J154" s="5"/>
      <c r="K154" s="5">
        <v>1.75</v>
      </c>
      <c r="L154" s="56">
        <v>45413</v>
      </c>
      <c r="M154" s="5">
        <v>0</v>
      </c>
      <c r="N154" s="5"/>
      <c r="O154" s="5" t="s">
        <v>549</v>
      </c>
      <c r="P154" s="5">
        <v>0</v>
      </c>
      <c r="Q154" s="11" t="s">
        <v>686</v>
      </c>
    </row>
    <row r="155" spans="1:17" x14ac:dyDescent="0.25">
      <c r="A155" s="10">
        <v>1707</v>
      </c>
      <c r="B155" s="5" t="s">
        <v>875</v>
      </c>
      <c r="C155" s="5" t="s">
        <v>876</v>
      </c>
      <c r="D155" s="5" t="s">
        <v>545</v>
      </c>
      <c r="E155" s="5" t="s">
        <v>565</v>
      </c>
      <c r="F155" s="5">
        <v>1</v>
      </c>
      <c r="G155" s="5" t="s">
        <v>547</v>
      </c>
      <c r="H155" s="5" t="s">
        <v>877</v>
      </c>
      <c r="I155" s="5"/>
      <c r="J155" s="5"/>
      <c r="K155" s="5">
        <v>1320</v>
      </c>
      <c r="L155" s="56">
        <v>45474</v>
      </c>
      <c r="M155" s="5">
        <v>0</v>
      </c>
      <c r="N155" s="5"/>
      <c r="O155" s="5" t="s">
        <v>549</v>
      </c>
      <c r="P155" s="5">
        <v>1</v>
      </c>
      <c r="Q155" s="11" t="s">
        <v>686</v>
      </c>
    </row>
    <row r="156" spans="1:17" x14ac:dyDescent="0.25">
      <c r="A156" s="10">
        <v>1708</v>
      </c>
      <c r="B156" s="5" t="s">
        <v>878</v>
      </c>
      <c r="C156" s="5" t="s">
        <v>879</v>
      </c>
      <c r="D156" s="5" t="s">
        <v>545</v>
      </c>
      <c r="E156" s="5" t="s">
        <v>565</v>
      </c>
      <c r="F156" s="5">
        <v>1</v>
      </c>
      <c r="G156" s="5" t="s">
        <v>547</v>
      </c>
      <c r="H156" s="5" t="s">
        <v>880</v>
      </c>
      <c r="I156" s="5"/>
      <c r="J156" s="5"/>
      <c r="K156" s="5">
        <v>2280</v>
      </c>
      <c r="L156" s="56">
        <v>45474</v>
      </c>
      <c r="M156" s="5">
        <v>0</v>
      </c>
      <c r="N156" s="5"/>
      <c r="O156" s="5" t="s">
        <v>549</v>
      </c>
      <c r="P156" s="5">
        <v>1</v>
      </c>
      <c r="Q156" s="11" t="s">
        <v>686</v>
      </c>
    </row>
    <row r="157" spans="1:17" x14ac:dyDescent="0.25">
      <c r="A157" s="10">
        <v>1710</v>
      </c>
      <c r="B157" s="5" t="s">
        <v>881</v>
      </c>
      <c r="C157" s="5" t="s">
        <v>882</v>
      </c>
      <c r="D157" s="5" t="s">
        <v>545</v>
      </c>
      <c r="E157" s="5" t="s">
        <v>565</v>
      </c>
      <c r="F157" s="5">
        <v>1</v>
      </c>
      <c r="G157" s="5" t="s">
        <v>547</v>
      </c>
      <c r="H157" s="5" t="s">
        <v>883</v>
      </c>
      <c r="I157" s="5"/>
      <c r="J157" s="5"/>
      <c r="K157" s="5">
        <v>3240</v>
      </c>
      <c r="L157" s="56">
        <v>45474</v>
      </c>
      <c r="M157" s="5">
        <v>0</v>
      </c>
      <c r="N157" s="5"/>
      <c r="O157" s="5" t="s">
        <v>549</v>
      </c>
      <c r="P157" s="5">
        <v>1</v>
      </c>
      <c r="Q157" s="11" t="s">
        <v>686</v>
      </c>
    </row>
    <row r="158" spans="1:17" x14ac:dyDescent="0.25">
      <c r="A158" s="10">
        <v>1655</v>
      </c>
      <c r="B158" s="5" t="s">
        <v>884</v>
      </c>
      <c r="C158" s="5" t="s">
        <v>885</v>
      </c>
      <c r="D158" s="5" t="s">
        <v>730</v>
      </c>
      <c r="E158" s="5" t="s">
        <v>886</v>
      </c>
      <c r="F158" s="5">
        <v>1</v>
      </c>
      <c r="G158" s="5" t="s">
        <v>887</v>
      </c>
      <c r="H158" s="5" t="s">
        <v>888</v>
      </c>
      <c r="I158" s="5"/>
      <c r="J158" s="5"/>
      <c r="K158" s="5">
        <v>30.4</v>
      </c>
      <c r="L158" s="56">
        <v>45474</v>
      </c>
      <c r="M158" s="5">
        <v>0</v>
      </c>
      <c r="N158" s="5"/>
      <c r="O158" s="5" t="s">
        <v>549</v>
      </c>
      <c r="P158" s="5">
        <v>1</v>
      </c>
      <c r="Q158" s="11"/>
    </row>
    <row r="159" spans="1:17" x14ac:dyDescent="0.25">
      <c r="A159" s="10">
        <v>1656</v>
      </c>
      <c r="B159" s="5" t="s">
        <v>889</v>
      </c>
      <c r="C159" s="5" t="s">
        <v>890</v>
      </c>
      <c r="D159" s="5" t="s">
        <v>730</v>
      </c>
      <c r="E159" s="5" t="s">
        <v>886</v>
      </c>
      <c r="F159" s="5">
        <v>1</v>
      </c>
      <c r="G159" s="5" t="s">
        <v>891</v>
      </c>
      <c r="H159" s="5" t="s">
        <v>892</v>
      </c>
      <c r="I159" s="5"/>
      <c r="J159" s="5"/>
      <c r="K159" s="5">
        <v>30.4</v>
      </c>
      <c r="L159" s="56">
        <v>45474</v>
      </c>
      <c r="M159" s="5">
        <v>0</v>
      </c>
      <c r="N159" s="5"/>
      <c r="O159" s="5" t="s">
        <v>549</v>
      </c>
      <c r="P159" s="5">
        <v>1</v>
      </c>
      <c r="Q159" s="11"/>
    </row>
    <row r="160" spans="1:17" x14ac:dyDescent="0.25">
      <c r="A160" s="10">
        <v>1621</v>
      </c>
      <c r="B160" s="5" t="s">
        <v>893</v>
      </c>
      <c r="C160" s="5" t="s">
        <v>894</v>
      </c>
      <c r="D160" s="5" t="s">
        <v>545</v>
      </c>
      <c r="E160" s="5" t="s">
        <v>565</v>
      </c>
      <c r="F160" s="5">
        <v>1</v>
      </c>
      <c r="G160" s="5" t="s">
        <v>566</v>
      </c>
      <c r="H160" s="5" t="s">
        <v>894</v>
      </c>
      <c r="I160" s="5"/>
      <c r="J160" s="5"/>
      <c r="K160" s="5">
        <v>1320</v>
      </c>
      <c r="L160" s="56">
        <v>45474</v>
      </c>
      <c r="M160" s="5">
        <v>0</v>
      </c>
      <c r="N160" s="5"/>
      <c r="O160" s="5" t="s">
        <v>549</v>
      </c>
      <c r="P160" s="5">
        <v>1</v>
      </c>
      <c r="Q160" s="11" t="s">
        <v>567</v>
      </c>
    </row>
    <row r="161" spans="1:17" x14ac:dyDescent="0.25">
      <c r="A161" s="10">
        <v>1606</v>
      </c>
      <c r="B161" s="5" t="s">
        <v>895</v>
      </c>
      <c r="C161" s="5" t="s">
        <v>896</v>
      </c>
      <c r="D161" s="5" t="s">
        <v>545</v>
      </c>
      <c r="E161" s="5" t="s">
        <v>565</v>
      </c>
      <c r="F161" s="5">
        <v>1</v>
      </c>
      <c r="G161" s="5" t="s">
        <v>566</v>
      </c>
      <c r="H161" s="5" t="s">
        <v>896</v>
      </c>
      <c r="I161" s="5"/>
      <c r="J161" s="5"/>
      <c r="K161" s="5">
        <v>1320</v>
      </c>
      <c r="L161" s="56">
        <v>45474</v>
      </c>
      <c r="M161" s="5">
        <v>0</v>
      </c>
      <c r="N161" s="5"/>
      <c r="O161" s="5" t="s">
        <v>549</v>
      </c>
      <c r="P161" s="5">
        <v>1</v>
      </c>
      <c r="Q161" s="11" t="s">
        <v>567</v>
      </c>
    </row>
    <row r="162" spans="1:17" x14ac:dyDescent="0.25">
      <c r="A162" s="10">
        <v>1622</v>
      </c>
      <c r="B162" s="5" t="s">
        <v>897</v>
      </c>
      <c r="C162" s="5" t="s">
        <v>898</v>
      </c>
      <c r="D162" s="5" t="s">
        <v>545</v>
      </c>
      <c r="E162" s="5" t="s">
        <v>565</v>
      </c>
      <c r="F162" s="5">
        <v>1</v>
      </c>
      <c r="G162" s="5" t="s">
        <v>566</v>
      </c>
      <c r="H162" s="5" t="s">
        <v>898</v>
      </c>
      <c r="I162" s="5"/>
      <c r="J162" s="5"/>
      <c r="K162" s="5">
        <v>2280</v>
      </c>
      <c r="L162" s="56">
        <v>45474</v>
      </c>
      <c r="M162" s="5">
        <v>0</v>
      </c>
      <c r="N162" s="5"/>
      <c r="O162" s="5" t="s">
        <v>549</v>
      </c>
      <c r="P162" s="5">
        <v>1</v>
      </c>
      <c r="Q162" s="11" t="s">
        <v>567</v>
      </c>
    </row>
    <row r="163" spans="1:17" x14ac:dyDescent="0.25">
      <c r="A163" s="10">
        <v>1607</v>
      </c>
      <c r="B163" s="5" t="s">
        <v>899</v>
      </c>
      <c r="C163" s="5" t="s">
        <v>900</v>
      </c>
      <c r="D163" s="5" t="s">
        <v>545</v>
      </c>
      <c r="E163" s="5" t="s">
        <v>565</v>
      </c>
      <c r="F163" s="5">
        <v>1</v>
      </c>
      <c r="G163" s="5" t="s">
        <v>566</v>
      </c>
      <c r="H163" s="5" t="s">
        <v>900</v>
      </c>
      <c r="I163" s="5"/>
      <c r="J163" s="5"/>
      <c r="K163" s="5">
        <v>2280</v>
      </c>
      <c r="L163" s="56">
        <v>45474</v>
      </c>
      <c r="M163" s="5">
        <v>0</v>
      </c>
      <c r="N163" s="5"/>
      <c r="O163" s="5" t="s">
        <v>549</v>
      </c>
      <c r="P163" s="5">
        <v>1</v>
      </c>
      <c r="Q163" s="11" t="s">
        <v>567</v>
      </c>
    </row>
    <row r="164" spans="1:17" x14ac:dyDescent="0.25">
      <c r="A164" s="10">
        <v>1623</v>
      </c>
      <c r="B164" s="5" t="s">
        <v>901</v>
      </c>
      <c r="C164" s="5" t="s">
        <v>902</v>
      </c>
      <c r="D164" s="5" t="s">
        <v>545</v>
      </c>
      <c r="E164" s="5" t="s">
        <v>565</v>
      </c>
      <c r="F164" s="5">
        <v>1</v>
      </c>
      <c r="G164" s="5" t="s">
        <v>566</v>
      </c>
      <c r="H164" s="5" t="s">
        <v>902</v>
      </c>
      <c r="I164" s="5"/>
      <c r="J164" s="5"/>
      <c r="K164" s="5">
        <v>3240</v>
      </c>
      <c r="L164" s="56">
        <v>45474</v>
      </c>
      <c r="M164" s="5">
        <v>0</v>
      </c>
      <c r="N164" s="5"/>
      <c r="O164" s="5" t="s">
        <v>549</v>
      </c>
      <c r="P164" s="5">
        <v>1</v>
      </c>
      <c r="Q164" s="11" t="s">
        <v>567</v>
      </c>
    </row>
    <row r="165" spans="1:17" x14ac:dyDescent="0.25">
      <c r="A165" s="10">
        <v>1608</v>
      </c>
      <c r="B165" s="5" t="s">
        <v>903</v>
      </c>
      <c r="C165" s="5" t="s">
        <v>904</v>
      </c>
      <c r="D165" s="5" t="s">
        <v>545</v>
      </c>
      <c r="E165" s="5" t="s">
        <v>565</v>
      </c>
      <c r="F165" s="5">
        <v>1</v>
      </c>
      <c r="G165" s="5" t="s">
        <v>566</v>
      </c>
      <c r="H165" s="5" t="s">
        <v>904</v>
      </c>
      <c r="I165" s="5"/>
      <c r="J165" s="5"/>
      <c r="K165" s="5">
        <v>3240</v>
      </c>
      <c r="L165" s="56">
        <v>45474</v>
      </c>
      <c r="M165" s="5">
        <v>0</v>
      </c>
      <c r="N165" s="5"/>
      <c r="O165" s="5" t="s">
        <v>549</v>
      </c>
      <c r="P165" s="5">
        <v>1</v>
      </c>
      <c r="Q165" s="11" t="s">
        <v>567</v>
      </c>
    </row>
    <row r="166" spans="1:17" x14ac:dyDescent="0.25">
      <c r="A166" s="10">
        <v>1624</v>
      </c>
      <c r="B166" s="5" t="s">
        <v>905</v>
      </c>
      <c r="C166" s="5" t="s">
        <v>906</v>
      </c>
      <c r="D166" s="5" t="s">
        <v>545</v>
      </c>
      <c r="E166" s="5" t="s">
        <v>565</v>
      </c>
      <c r="F166" s="5">
        <v>1</v>
      </c>
      <c r="G166" s="5" t="s">
        <v>566</v>
      </c>
      <c r="H166" s="5" t="s">
        <v>906</v>
      </c>
      <c r="I166" s="5"/>
      <c r="J166" s="5"/>
      <c r="K166" s="5">
        <v>3240</v>
      </c>
      <c r="L166" s="56">
        <v>45474</v>
      </c>
      <c r="M166" s="5">
        <v>0</v>
      </c>
      <c r="N166" s="5"/>
      <c r="O166" s="5" t="s">
        <v>549</v>
      </c>
      <c r="P166" s="5">
        <v>1</v>
      </c>
      <c r="Q166" s="11" t="s">
        <v>567</v>
      </c>
    </row>
    <row r="167" spans="1:17" x14ac:dyDescent="0.25">
      <c r="A167" s="10">
        <v>1609</v>
      </c>
      <c r="B167" s="5" t="s">
        <v>907</v>
      </c>
      <c r="C167" s="5" t="s">
        <v>908</v>
      </c>
      <c r="D167" s="5" t="s">
        <v>545</v>
      </c>
      <c r="E167" s="5" t="s">
        <v>565</v>
      </c>
      <c r="F167" s="5">
        <v>1</v>
      </c>
      <c r="G167" s="5" t="s">
        <v>566</v>
      </c>
      <c r="H167" s="5" t="s">
        <v>908</v>
      </c>
      <c r="I167" s="5"/>
      <c r="J167" s="5"/>
      <c r="K167" s="5">
        <v>3240</v>
      </c>
      <c r="L167" s="56">
        <v>45474</v>
      </c>
      <c r="M167" s="5">
        <v>0</v>
      </c>
      <c r="N167" s="5"/>
      <c r="O167" s="5" t="s">
        <v>549</v>
      </c>
      <c r="P167" s="5">
        <v>1</v>
      </c>
      <c r="Q167" s="11" t="s">
        <v>567</v>
      </c>
    </row>
    <row r="168" spans="1:17" x14ac:dyDescent="0.25">
      <c r="A168" s="10">
        <v>1734</v>
      </c>
      <c r="B168" s="5" t="s">
        <v>909</v>
      </c>
      <c r="C168" s="5" t="s">
        <v>910</v>
      </c>
      <c r="D168" s="5" t="s">
        <v>545</v>
      </c>
      <c r="E168" s="5" t="s">
        <v>565</v>
      </c>
      <c r="F168" s="5">
        <v>1</v>
      </c>
      <c r="G168" s="5" t="s">
        <v>547</v>
      </c>
      <c r="H168" s="5" t="s">
        <v>910</v>
      </c>
      <c r="I168" s="5"/>
      <c r="J168" s="5"/>
      <c r="K168" s="5">
        <v>2800</v>
      </c>
      <c r="L168" s="56">
        <v>45474</v>
      </c>
      <c r="M168" s="5">
        <v>0</v>
      </c>
      <c r="N168" s="5"/>
      <c r="O168" s="5" t="s">
        <v>549</v>
      </c>
      <c r="P168" s="5">
        <v>1</v>
      </c>
      <c r="Q168" s="11" t="s">
        <v>686</v>
      </c>
    </row>
    <row r="169" spans="1:17" x14ac:dyDescent="0.25">
      <c r="A169" s="10">
        <v>1712</v>
      </c>
      <c r="B169" s="5" t="s">
        <v>911</v>
      </c>
      <c r="C169" s="5" t="s">
        <v>912</v>
      </c>
      <c r="D169" s="5" t="s">
        <v>545</v>
      </c>
      <c r="E169" s="5" t="s">
        <v>565</v>
      </c>
      <c r="F169" s="5">
        <v>1</v>
      </c>
      <c r="G169" s="5" t="s">
        <v>547</v>
      </c>
      <c r="H169" s="5" t="s">
        <v>913</v>
      </c>
      <c r="I169" s="5"/>
      <c r="J169" s="5"/>
      <c r="K169" s="5">
        <v>1320</v>
      </c>
      <c r="L169" s="56">
        <v>45474</v>
      </c>
      <c r="M169" s="5">
        <v>0</v>
      </c>
      <c r="N169" s="5"/>
      <c r="O169" s="5" t="s">
        <v>549</v>
      </c>
      <c r="P169" s="5">
        <v>1</v>
      </c>
      <c r="Q169" s="11" t="s">
        <v>686</v>
      </c>
    </row>
    <row r="170" spans="1:17" x14ac:dyDescent="0.25">
      <c r="A170" s="10">
        <v>1713</v>
      </c>
      <c r="B170" s="5" t="s">
        <v>914</v>
      </c>
      <c r="C170" s="5" t="s">
        <v>915</v>
      </c>
      <c r="D170" s="5" t="s">
        <v>545</v>
      </c>
      <c r="E170" s="5" t="s">
        <v>565</v>
      </c>
      <c r="F170" s="5">
        <v>1</v>
      </c>
      <c r="G170" s="5" t="s">
        <v>547</v>
      </c>
      <c r="H170" s="5" t="s">
        <v>916</v>
      </c>
      <c r="I170" s="5"/>
      <c r="J170" s="5"/>
      <c r="K170" s="5">
        <v>2280</v>
      </c>
      <c r="L170" s="56">
        <v>45474</v>
      </c>
      <c r="M170" s="5">
        <v>0</v>
      </c>
      <c r="N170" s="5"/>
      <c r="O170" s="5" t="s">
        <v>549</v>
      </c>
      <c r="P170" s="5">
        <v>1</v>
      </c>
      <c r="Q170" s="11" t="s">
        <v>686</v>
      </c>
    </row>
    <row r="171" spans="1:17" x14ac:dyDescent="0.25">
      <c r="A171" s="10">
        <v>1714</v>
      </c>
      <c r="B171" s="5" t="s">
        <v>917</v>
      </c>
      <c r="C171" s="5" t="s">
        <v>918</v>
      </c>
      <c r="D171" s="5" t="s">
        <v>545</v>
      </c>
      <c r="E171" s="5" t="s">
        <v>565</v>
      </c>
      <c r="F171" s="5">
        <v>1</v>
      </c>
      <c r="G171" s="5" t="s">
        <v>547</v>
      </c>
      <c r="H171" s="5" t="s">
        <v>919</v>
      </c>
      <c r="I171" s="5"/>
      <c r="J171" s="5"/>
      <c r="K171" s="5">
        <v>3240</v>
      </c>
      <c r="L171" s="56">
        <v>45474</v>
      </c>
      <c r="M171" s="5">
        <v>0</v>
      </c>
      <c r="N171" s="5"/>
      <c r="O171" s="5" t="s">
        <v>549</v>
      </c>
      <c r="P171" s="5">
        <v>1</v>
      </c>
      <c r="Q171" s="11" t="s">
        <v>686</v>
      </c>
    </row>
    <row r="172" spans="1:17" x14ac:dyDescent="0.25">
      <c r="A172" s="10">
        <v>1726</v>
      </c>
      <c r="B172" s="5" t="s">
        <v>920</v>
      </c>
      <c r="C172" s="5" t="s">
        <v>921</v>
      </c>
      <c r="D172" s="5" t="s">
        <v>545</v>
      </c>
      <c r="E172" s="5" t="s">
        <v>565</v>
      </c>
      <c r="F172" s="5">
        <v>1</v>
      </c>
      <c r="G172" s="5" t="s">
        <v>547</v>
      </c>
      <c r="H172" s="5" t="s">
        <v>921</v>
      </c>
      <c r="I172" s="5"/>
      <c r="J172" s="5"/>
      <c r="K172" s="5">
        <v>760</v>
      </c>
      <c r="L172" s="56">
        <v>45474</v>
      </c>
      <c r="M172" s="5">
        <v>0</v>
      </c>
      <c r="N172" s="5"/>
      <c r="O172" s="5" t="s">
        <v>549</v>
      </c>
      <c r="P172" s="5">
        <v>1</v>
      </c>
      <c r="Q172" s="11" t="s">
        <v>686</v>
      </c>
    </row>
    <row r="173" spans="1:17" x14ac:dyDescent="0.25">
      <c r="A173" s="10">
        <v>1728</v>
      </c>
      <c r="B173" s="5" t="s">
        <v>922</v>
      </c>
      <c r="C173" s="5" t="s">
        <v>923</v>
      </c>
      <c r="D173" s="5" t="s">
        <v>545</v>
      </c>
      <c r="E173" s="5" t="s">
        <v>565</v>
      </c>
      <c r="F173" s="5">
        <v>1</v>
      </c>
      <c r="G173" s="5" t="s">
        <v>547</v>
      </c>
      <c r="H173" s="5" t="s">
        <v>924</v>
      </c>
      <c r="I173" s="5"/>
      <c r="J173" s="5"/>
      <c r="K173" s="5">
        <v>1200</v>
      </c>
      <c r="L173" s="56">
        <v>45491</v>
      </c>
      <c r="M173" s="5">
        <v>0</v>
      </c>
      <c r="N173" s="5"/>
      <c r="O173" s="5" t="s">
        <v>549</v>
      </c>
      <c r="P173" s="5">
        <v>1</v>
      </c>
      <c r="Q173" s="11" t="s">
        <v>686</v>
      </c>
    </row>
    <row r="174" spans="1:17" x14ac:dyDescent="0.25">
      <c r="A174" s="10">
        <v>1711</v>
      </c>
      <c r="B174" s="5" t="s">
        <v>925</v>
      </c>
      <c r="C174" s="5" t="s">
        <v>926</v>
      </c>
      <c r="D174" s="5" t="s">
        <v>545</v>
      </c>
      <c r="E174" s="5" t="s">
        <v>565</v>
      </c>
      <c r="F174" s="5">
        <v>1</v>
      </c>
      <c r="G174" s="5" t="s">
        <v>547</v>
      </c>
      <c r="H174" s="5" t="s">
        <v>926</v>
      </c>
      <c r="I174" s="5"/>
      <c r="J174" s="5"/>
      <c r="K174" s="5">
        <v>560</v>
      </c>
      <c r="L174" s="56">
        <v>45491</v>
      </c>
      <c r="M174" s="5">
        <v>0</v>
      </c>
      <c r="N174" s="5"/>
      <c r="O174" s="5" t="s">
        <v>549</v>
      </c>
      <c r="P174" s="5">
        <v>1</v>
      </c>
      <c r="Q174" s="11" t="s">
        <v>834</v>
      </c>
    </row>
    <row r="175" spans="1:17" x14ac:dyDescent="0.25">
      <c r="A175" s="10">
        <v>1725</v>
      </c>
      <c r="B175" s="5" t="s">
        <v>927</v>
      </c>
      <c r="C175" s="5" t="s">
        <v>928</v>
      </c>
      <c r="D175" s="5" t="s">
        <v>545</v>
      </c>
      <c r="E175" s="5" t="s">
        <v>565</v>
      </c>
      <c r="F175" s="5">
        <v>1</v>
      </c>
      <c r="G175" s="5" t="s">
        <v>547</v>
      </c>
      <c r="H175" s="5" t="s">
        <v>928</v>
      </c>
      <c r="I175" s="5"/>
      <c r="J175" s="5"/>
      <c r="K175" s="5">
        <v>1200</v>
      </c>
      <c r="L175" s="56">
        <v>45491</v>
      </c>
      <c r="M175" s="5">
        <v>0</v>
      </c>
      <c r="N175" s="5"/>
      <c r="O175" s="5" t="s">
        <v>549</v>
      </c>
      <c r="P175" s="5">
        <v>1</v>
      </c>
      <c r="Q175" s="11" t="s">
        <v>686</v>
      </c>
    </row>
    <row r="176" spans="1:17" x14ac:dyDescent="0.25">
      <c r="A176" s="10">
        <v>1730</v>
      </c>
      <c r="B176" s="5" t="s">
        <v>929</v>
      </c>
      <c r="C176" s="5" t="s">
        <v>930</v>
      </c>
      <c r="D176" s="5" t="s">
        <v>545</v>
      </c>
      <c r="E176" s="5" t="s">
        <v>565</v>
      </c>
      <c r="F176" s="5">
        <v>1</v>
      </c>
      <c r="G176" s="5" t="s">
        <v>547</v>
      </c>
      <c r="H176" s="5" t="s">
        <v>930</v>
      </c>
      <c r="I176" s="5"/>
      <c r="J176" s="5"/>
      <c r="K176" s="5">
        <v>1320</v>
      </c>
      <c r="L176" s="56">
        <v>45491</v>
      </c>
      <c r="M176" s="5">
        <v>0</v>
      </c>
      <c r="N176" s="5"/>
      <c r="O176" s="5" t="s">
        <v>549</v>
      </c>
      <c r="P176" s="5">
        <v>1</v>
      </c>
      <c r="Q176" s="11" t="s">
        <v>686</v>
      </c>
    </row>
    <row r="177" spans="1:17" x14ac:dyDescent="0.25">
      <c r="A177" s="10">
        <v>1717</v>
      </c>
      <c r="B177" s="5" t="s">
        <v>931</v>
      </c>
      <c r="C177" s="5" t="s">
        <v>932</v>
      </c>
      <c r="D177" s="5" t="s">
        <v>545</v>
      </c>
      <c r="E177" s="5" t="s">
        <v>565</v>
      </c>
      <c r="F177" s="5">
        <v>1</v>
      </c>
      <c r="G177" s="5" t="s">
        <v>547</v>
      </c>
      <c r="H177" s="5" t="s">
        <v>933</v>
      </c>
      <c r="I177" s="5"/>
      <c r="J177" s="5"/>
      <c r="K177" s="5">
        <v>320</v>
      </c>
      <c r="L177" s="56">
        <v>45491</v>
      </c>
      <c r="M177" s="5">
        <v>0</v>
      </c>
      <c r="N177" s="5"/>
      <c r="O177" s="5" t="s">
        <v>549</v>
      </c>
      <c r="P177" s="5">
        <v>1</v>
      </c>
      <c r="Q177" s="11" t="s">
        <v>934</v>
      </c>
    </row>
    <row r="178" spans="1:17" x14ac:dyDescent="0.25">
      <c r="A178" s="10">
        <v>1718</v>
      </c>
      <c r="B178" s="5" t="s">
        <v>931</v>
      </c>
      <c r="C178" s="5" t="s">
        <v>932</v>
      </c>
      <c r="D178" s="5" t="s">
        <v>545</v>
      </c>
      <c r="E178" s="5" t="s">
        <v>565</v>
      </c>
      <c r="F178" s="5">
        <v>2</v>
      </c>
      <c r="G178" s="5" t="s">
        <v>547</v>
      </c>
      <c r="H178" s="5" t="s">
        <v>935</v>
      </c>
      <c r="I178" s="5"/>
      <c r="J178" s="5"/>
      <c r="K178" s="5">
        <v>480</v>
      </c>
      <c r="L178" s="56">
        <v>45491</v>
      </c>
      <c r="M178" s="5">
        <v>0</v>
      </c>
      <c r="N178" s="5"/>
      <c r="O178" s="5" t="s">
        <v>549</v>
      </c>
      <c r="P178" s="5">
        <v>1</v>
      </c>
      <c r="Q178" s="11" t="s">
        <v>936</v>
      </c>
    </row>
    <row r="179" spans="1:17" x14ac:dyDescent="0.25">
      <c r="A179" s="10">
        <v>1719</v>
      </c>
      <c r="B179" s="5" t="s">
        <v>931</v>
      </c>
      <c r="C179" s="5" t="s">
        <v>932</v>
      </c>
      <c r="D179" s="5" t="s">
        <v>545</v>
      </c>
      <c r="E179" s="5" t="s">
        <v>565</v>
      </c>
      <c r="F179" s="5">
        <v>3</v>
      </c>
      <c r="G179" s="5" t="s">
        <v>547</v>
      </c>
      <c r="H179" s="5" t="s">
        <v>937</v>
      </c>
      <c r="I179" s="5"/>
      <c r="J179" s="5"/>
      <c r="K179" s="5">
        <v>720</v>
      </c>
      <c r="L179" s="56">
        <v>45491</v>
      </c>
      <c r="M179" s="5">
        <v>0</v>
      </c>
      <c r="N179" s="5"/>
      <c r="O179" s="5" t="s">
        <v>549</v>
      </c>
      <c r="P179" s="5">
        <v>1</v>
      </c>
      <c r="Q179" s="11" t="s">
        <v>938</v>
      </c>
    </row>
    <row r="180" spans="1:17" x14ac:dyDescent="0.25">
      <c r="A180" s="10">
        <v>1905</v>
      </c>
      <c r="B180" s="5" t="s">
        <v>931</v>
      </c>
      <c r="C180" s="5" t="s">
        <v>932</v>
      </c>
      <c r="D180" s="5" t="s">
        <v>545</v>
      </c>
      <c r="E180" s="5" t="s">
        <v>565</v>
      </c>
      <c r="F180" s="5">
        <v>4</v>
      </c>
      <c r="G180" s="5" t="s">
        <v>547</v>
      </c>
      <c r="H180" s="5" t="s">
        <v>939</v>
      </c>
      <c r="I180" s="5"/>
      <c r="J180" s="5"/>
      <c r="K180" s="5">
        <v>320</v>
      </c>
      <c r="L180" s="56">
        <v>45491</v>
      </c>
      <c r="M180" s="5">
        <v>0</v>
      </c>
      <c r="N180" s="5"/>
      <c r="O180" s="5" t="s">
        <v>549</v>
      </c>
      <c r="P180" s="5">
        <v>1</v>
      </c>
      <c r="Q180" s="11" t="s">
        <v>940</v>
      </c>
    </row>
    <row r="181" spans="1:17" x14ac:dyDescent="0.25">
      <c r="A181" s="10">
        <v>1906</v>
      </c>
      <c r="B181" s="5" t="s">
        <v>931</v>
      </c>
      <c r="C181" s="5" t="s">
        <v>932</v>
      </c>
      <c r="D181" s="5" t="s">
        <v>545</v>
      </c>
      <c r="E181" s="5" t="s">
        <v>565</v>
      </c>
      <c r="F181" s="5">
        <v>5</v>
      </c>
      <c r="G181" s="5" t="s">
        <v>547</v>
      </c>
      <c r="H181" s="5" t="s">
        <v>941</v>
      </c>
      <c r="I181" s="5"/>
      <c r="J181" s="5"/>
      <c r="K181" s="5">
        <v>320</v>
      </c>
      <c r="L181" s="56">
        <v>45491</v>
      </c>
      <c r="M181" s="5">
        <v>0</v>
      </c>
      <c r="N181" s="5"/>
      <c r="O181" s="5" t="s">
        <v>549</v>
      </c>
      <c r="P181" s="5">
        <v>1</v>
      </c>
      <c r="Q181" s="11" t="s">
        <v>942</v>
      </c>
    </row>
    <row r="182" spans="1:17" x14ac:dyDescent="0.25">
      <c r="A182" s="10">
        <v>1907</v>
      </c>
      <c r="B182" s="5" t="s">
        <v>931</v>
      </c>
      <c r="C182" s="5" t="s">
        <v>932</v>
      </c>
      <c r="D182" s="5" t="s">
        <v>545</v>
      </c>
      <c r="E182" s="5" t="s">
        <v>565</v>
      </c>
      <c r="F182" s="5">
        <v>6</v>
      </c>
      <c r="G182" s="5" t="s">
        <v>547</v>
      </c>
      <c r="H182" s="5" t="s">
        <v>943</v>
      </c>
      <c r="I182" s="5"/>
      <c r="J182" s="5"/>
      <c r="K182" s="5">
        <v>480</v>
      </c>
      <c r="L182" s="56">
        <v>45491</v>
      </c>
      <c r="M182" s="5">
        <v>0</v>
      </c>
      <c r="N182" s="5"/>
      <c r="O182" s="5" t="s">
        <v>549</v>
      </c>
      <c r="P182" s="5">
        <v>1</v>
      </c>
      <c r="Q182" s="11" t="s">
        <v>944</v>
      </c>
    </row>
    <row r="183" spans="1:17" x14ac:dyDescent="0.25">
      <c r="A183" s="10">
        <v>1908</v>
      </c>
      <c r="B183" s="5" t="s">
        <v>931</v>
      </c>
      <c r="C183" s="5" t="s">
        <v>932</v>
      </c>
      <c r="D183" s="5" t="s">
        <v>545</v>
      </c>
      <c r="E183" s="5" t="s">
        <v>565</v>
      </c>
      <c r="F183" s="5">
        <v>7</v>
      </c>
      <c r="G183" s="5" t="s">
        <v>547</v>
      </c>
      <c r="H183" s="5" t="s">
        <v>945</v>
      </c>
      <c r="I183" s="5"/>
      <c r="J183" s="5"/>
      <c r="K183" s="5">
        <v>720</v>
      </c>
      <c r="L183" s="56">
        <v>45491</v>
      </c>
      <c r="M183" s="5">
        <v>0</v>
      </c>
      <c r="N183" s="5"/>
      <c r="O183" s="5" t="s">
        <v>549</v>
      </c>
      <c r="P183" s="5">
        <v>1</v>
      </c>
      <c r="Q183" s="11" t="s">
        <v>936</v>
      </c>
    </row>
    <row r="184" spans="1:17" x14ac:dyDescent="0.25">
      <c r="A184" s="10">
        <v>1909</v>
      </c>
      <c r="B184" s="5" t="s">
        <v>931</v>
      </c>
      <c r="C184" s="5" t="s">
        <v>932</v>
      </c>
      <c r="D184" s="5" t="s">
        <v>545</v>
      </c>
      <c r="E184" s="5" t="s">
        <v>565</v>
      </c>
      <c r="F184" s="5">
        <v>8</v>
      </c>
      <c r="G184" s="5" t="s">
        <v>547</v>
      </c>
      <c r="H184" s="5" t="s">
        <v>946</v>
      </c>
      <c r="I184" s="5"/>
      <c r="J184" s="5"/>
      <c r="K184" s="5">
        <v>1200</v>
      </c>
      <c r="L184" s="56">
        <v>45491</v>
      </c>
      <c r="M184" s="5">
        <v>0</v>
      </c>
      <c r="N184" s="5"/>
      <c r="O184" s="5" t="s">
        <v>549</v>
      </c>
      <c r="P184" s="5">
        <v>1</v>
      </c>
      <c r="Q184" s="11" t="s">
        <v>947</v>
      </c>
    </row>
    <row r="185" spans="1:17" x14ac:dyDescent="0.25">
      <c r="A185" s="10">
        <v>1910</v>
      </c>
      <c r="B185" s="5" t="s">
        <v>931</v>
      </c>
      <c r="C185" s="5" t="s">
        <v>932</v>
      </c>
      <c r="D185" s="5" t="s">
        <v>545</v>
      </c>
      <c r="E185" s="5" t="s">
        <v>565</v>
      </c>
      <c r="F185" s="5">
        <v>9</v>
      </c>
      <c r="G185" s="5" t="s">
        <v>547</v>
      </c>
      <c r="H185" s="5" t="s">
        <v>948</v>
      </c>
      <c r="I185" s="5"/>
      <c r="J185" s="5"/>
      <c r="K185" s="5">
        <v>0</v>
      </c>
      <c r="L185" s="56">
        <v>45491</v>
      </c>
      <c r="M185" s="5">
        <v>0</v>
      </c>
      <c r="N185" s="5"/>
      <c r="O185" s="5" t="s">
        <v>549</v>
      </c>
      <c r="P185" s="5">
        <v>1</v>
      </c>
      <c r="Q185" s="11" t="s">
        <v>949</v>
      </c>
    </row>
    <row r="186" spans="1:17" x14ac:dyDescent="0.25">
      <c r="A186" s="10">
        <v>1912</v>
      </c>
      <c r="B186" s="5" t="s">
        <v>931</v>
      </c>
      <c r="C186" s="5" t="s">
        <v>932</v>
      </c>
      <c r="D186" s="5" t="s">
        <v>545</v>
      </c>
      <c r="E186" s="5" t="s">
        <v>565</v>
      </c>
      <c r="F186" s="5">
        <v>10</v>
      </c>
      <c r="G186" s="5" t="s">
        <v>547</v>
      </c>
      <c r="H186" s="5" t="s">
        <v>950</v>
      </c>
      <c r="I186" s="5"/>
      <c r="J186" s="5"/>
      <c r="K186" s="5">
        <v>480</v>
      </c>
      <c r="L186" s="56">
        <v>45491</v>
      </c>
      <c r="M186" s="5">
        <v>0</v>
      </c>
      <c r="N186" s="5"/>
      <c r="O186" s="5" t="s">
        <v>549</v>
      </c>
      <c r="P186" s="5">
        <v>1</v>
      </c>
      <c r="Q186" s="11" t="s">
        <v>944</v>
      </c>
    </row>
    <row r="187" spans="1:17" x14ac:dyDescent="0.25">
      <c r="A187" s="10">
        <v>1911</v>
      </c>
      <c r="B187" s="5" t="s">
        <v>931</v>
      </c>
      <c r="C187" s="5" t="s">
        <v>932</v>
      </c>
      <c r="D187" s="5" t="s">
        <v>545</v>
      </c>
      <c r="E187" s="5" t="s">
        <v>565</v>
      </c>
      <c r="F187" s="5">
        <v>11</v>
      </c>
      <c r="G187" s="5" t="s">
        <v>547</v>
      </c>
      <c r="H187" s="5" t="s">
        <v>951</v>
      </c>
      <c r="I187" s="5"/>
      <c r="J187" s="5"/>
      <c r="K187" s="5">
        <v>320</v>
      </c>
      <c r="L187" s="56">
        <v>45491</v>
      </c>
      <c r="M187" s="5">
        <v>0</v>
      </c>
      <c r="N187" s="5"/>
      <c r="O187" s="5" t="s">
        <v>549</v>
      </c>
      <c r="P187" s="5">
        <v>1</v>
      </c>
      <c r="Q187" s="11" t="s">
        <v>942</v>
      </c>
    </row>
    <row r="188" spans="1:17" x14ac:dyDescent="0.25">
      <c r="A188" s="10">
        <v>1913</v>
      </c>
      <c r="B188" s="5" t="s">
        <v>931</v>
      </c>
      <c r="C188" s="5" t="s">
        <v>932</v>
      </c>
      <c r="D188" s="5" t="s">
        <v>545</v>
      </c>
      <c r="E188" s="5" t="s">
        <v>565</v>
      </c>
      <c r="F188" s="5">
        <v>12</v>
      </c>
      <c r="G188" s="5" t="s">
        <v>547</v>
      </c>
      <c r="H188" s="5" t="s">
        <v>952</v>
      </c>
      <c r="I188" s="5"/>
      <c r="J188" s="5"/>
      <c r="K188" s="5">
        <v>720</v>
      </c>
      <c r="L188" s="56">
        <v>45491</v>
      </c>
      <c r="M188" s="5">
        <v>0</v>
      </c>
      <c r="N188" s="5"/>
      <c r="O188" s="5" t="s">
        <v>549</v>
      </c>
      <c r="P188" s="5">
        <v>1</v>
      </c>
      <c r="Q188" s="11" t="s">
        <v>936</v>
      </c>
    </row>
    <row r="189" spans="1:17" x14ac:dyDescent="0.25">
      <c r="A189" s="10">
        <v>1914</v>
      </c>
      <c r="B189" s="5" t="s">
        <v>931</v>
      </c>
      <c r="C189" s="5" t="s">
        <v>932</v>
      </c>
      <c r="D189" s="5" t="s">
        <v>545</v>
      </c>
      <c r="E189" s="5" t="s">
        <v>565</v>
      </c>
      <c r="F189" s="5">
        <v>13</v>
      </c>
      <c r="G189" s="5" t="s">
        <v>547</v>
      </c>
      <c r="H189" s="5" t="s">
        <v>953</v>
      </c>
      <c r="I189" s="5"/>
      <c r="J189" s="5"/>
      <c r="K189" s="5">
        <v>1200</v>
      </c>
      <c r="L189" s="56">
        <v>45491</v>
      </c>
      <c r="M189" s="5">
        <v>0</v>
      </c>
      <c r="N189" s="5"/>
      <c r="O189" s="5" t="s">
        <v>549</v>
      </c>
      <c r="P189" s="5">
        <v>1</v>
      </c>
      <c r="Q189" s="11" t="s">
        <v>947</v>
      </c>
    </row>
    <row r="190" spans="1:17" x14ac:dyDescent="0.25">
      <c r="A190" s="10">
        <v>1727</v>
      </c>
      <c r="B190" s="5" t="s">
        <v>954</v>
      </c>
      <c r="C190" s="5" t="s">
        <v>955</v>
      </c>
      <c r="D190" s="5" t="s">
        <v>545</v>
      </c>
      <c r="E190" s="5" t="s">
        <v>565</v>
      </c>
      <c r="F190" s="5">
        <v>1</v>
      </c>
      <c r="G190" s="5" t="s">
        <v>547</v>
      </c>
      <c r="H190" s="5" t="s">
        <v>955</v>
      </c>
      <c r="I190" s="5"/>
      <c r="J190" s="5"/>
      <c r="K190" s="5">
        <v>1200</v>
      </c>
      <c r="L190" s="56">
        <v>45491</v>
      </c>
      <c r="M190" s="5">
        <v>0</v>
      </c>
      <c r="N190" s="5"/>
      <c r="O190" s="5" t="s">
        <v>549</v>
      </c>
      <c r="P190" s="5">
        <v>1</v>
      </c>
      <c r="Q190" s="11" t="s">
        <v>686</v>
      </c>
    </row>
    <row r="191" spans="1:17" x14ac:dyDescent="0.25">
      <c r="A191" s="10">
        <v>1729</v>
      </c>
      <c r="B191" s="5" t="s">
        <v>956</v>
      </c>
      <c r="C191" s="5" t="s">
        <v>957</v>
      </c>
      <c r="D191" s="5" t="s">
        <v>545</v>
      </c>
      <c r="E191" s="5" t="s">
        <v>565</v>
      </c>
      <c r="F191" s="5">
        <v>1</v>
      </c>
      <c r="G191" s="5" t="s">
        <v>547</v>
      </c>
      <c r="H191" s="5" t="s">
        <v>957</v>
      </c>
      <c r="I191" s="5"/>
      <c r="J191" s="5"/>
      <c r="K191" s="5">
        <v>2400</v>
      </c>
      <c r="L191" s="56">
        <v>45491</v>
      </c>
      <c r="M191" s="5">
        <v>0</v>
      </c>
      <c r="N191" s="5"/>
      <c r="O191" s="5" t="s">
        <v>549</v>
      </c>
      <c r="P191" s="5">
        <v>1</v>
      </c>
      <c r="Q191" s="11" t="s">
        <v>686</v>
      </c>
    </row>
    <row r="192" spans="1:17" x14ac:dyDescent="0.25">
      <c r="A192" s="10">
        <v>1720</v>
      </c>
      <c r="B192" s="5" t="s">
        <v>958</v>
      </c>
      <c r="C192" s="5" t="s">
        <v>959</v>
      </c>
      <c r="D192" s="5" t="s">
        <v>545</v>
      </c>
      <c r="E192" s="5" t="s">
        <v>565</v>
      </c>
      <c r="F192" s="5">
        <v>1</v>
      </c>
      <c r="G192" s="5" t="s">
        <v>547</v>
      </c>
      <c r="H192" s="5" t="s">
        <v>959</v>
      </c>
      <c r="I192" s="5"/>
      <c r="J192" s="5"/>
      <c r="K192" s="5">
        <v>2000</v>
      </c>
      <c r="L192" s="56">
        <v>45504</v>
      </c>
      <c r="M192" s="5">
        <v>0</v>
      </c>
      <c r="N192" s="5"/>
      <c r="O192" s="5" t="s">
        <v>549</v>
      </c>
      <c r="P192" s="5">
        <v>1</v>
      </c>
      <c r="Q192" s="11" t="s">
        <v>686</v>
      </c>
    </row>
    <row r="193" spans="1:17" x14ac:dyDescent="0.25">
      <c r="A193" s="10">
        <v>1803</v>
      </c>
      <c r="B193" s="5" t="s">
        <v>960</v>
      </c>
      <c r="C193" s="5" t="s">
        <v>961</v>
      </c>
      <c r="D193" s="5" t="s">
        <v>545</v>
      </c>
      <c r="E193" s="5" t="s">
        <v>669</v>
      </c>
      <c r="F193" s="5">
        <v>1</v>
      </c>
      <c r="G193" s="5" t="s">
        <v>731</v>
      </c>
      <c r="H193" s="5" t="s">
        <v>962</v>
      </c>
      <c r="I193" s="5"/>
      <c r="J193" s="5"/>
      <c r="K193" s="5">
        <v>2000</v>
      </c>
      <c r="L193" s="56">
        <v>45658</v>
      </c>
      <c r="M193" s="5">
        <v>0</v>
      </c>
      <c r="N193" s="5"/>
      <c r="O193" s="5" t="s">
        <v>549</v>
      </c>
      <c r="P193" s="5">
        <v>1</v>
      </c>
      <c r="Q193" s="11"/>
    </row>
    <row r="194" spans="1:17" x14ac:dyDescent="0.25">
      <c r="A194" s="10">
        <v>1802</v>
      </c>
      <c r="B194" s="5" t="s">
        <v>963</v>
      </c>
      <c r="C194" s="5" t="s">
        <v>964</v>
      </c>
      <c r="D194" s="5" t="s">
        <v>545</v>
      </c>
      <c r="E194" s="5" t="s">
        <v>669</v>
      </c>
      <c r="F194" s="5">
        <v>1</v>
      </c>
      <c r="G194" s="5" t="s">
        <v>731</v>
      </c>
      <c r="H194" s="5" t="s">
        <v>965</v>
      </c>
      <c r="I194" s="5"/>
      <c r="J194" s="5"/>
      <c r="K194" s="5">
        <v>4000</v>
      </c>
      <c r="L194" s="56">
        <v>45658</v>
      </c>
      <c r="M194" s="5">
        <v>0</v>
      </c>
      <c r="N194" s="5"/>
      <c r="O194" s="5" t="s">
        <v>549</v>
      </c>
      <c r="P194" s="5">
        <v>1</v>
      </c>
      <c r="Q194" s="11"/>
    </row>
    <row r="195" spans="1:17" x14ac:dyDescent="0.25">
      <c r="A195" s="10">
        <v>1659</v>
      </c>
      <c r="B195" s="5" t="s">
        <v>966</v>
      </c>
      <c r="C195" s="5" t="s">
        <v>967</v>
      </c>
      <c r="D195" s="5" t="s">
        <v>730</v>
      </c>
      <c r="E195" s="5"/>
      <c r="F195" s="5">
        <v>1</v>
      </c>
      <c r="G195" s="5" t="s">
        <v>547</v>
      </c>
      <c r="H195" s="5" t="s">
        <v>967</v>
      </c>
      <c r="I195" s="5"/>
      <c r="J195" s="5"/>
      <c r="K195" s="5">
        <v>960</v>
      </c>
      <c r="L195" s="56">
        <v>45658</v>
      </c>
      <c r="M195" s="5">
        <v>0</v>
      </c>
      <c r="N195" s="5"/>
      <c r="O195" s="5" t="s">
        <v>549</v>
      </c>
      <c r="P195" s="5">
        <v>1</v>
      </c>
      <c r="Q195" s="11" t="s">
        <v>686</v>
      </c>
    </row>
    <row r="196" spans="1:17" x14ac:dyDescent="0.25">
      <c r="A196" s="10">
        <v>1799</v>
      </c>
      <c r="B196" s="5" t="s">
        <v>968</v>
      </c>
      <c r="C196" s="5" t="s">
        <v>969</v>
      </c>
      <c r="D196" s="5" t="s">
        <v>545</v>
      </c>
      <c r="E196" s="5" t="s">
        <v>546</v>
      </c>
      <c r="F196" s="5">
        <v>1</v>
      </c>
      <c r="G196" s="5" t="s">
        <v>547</v>
      </c>
      <c r="H196" s="5" t="s">
        <v>969</v>
      </c>
      <c r="I196" s="5"/>
      <c r="J196" s="5"/>
      <c r="K196" s="5">
        <v>240</v>
      </c>
      <c r="L196" s="56">
        <v>45658</v>
      </c>
      <c r="M196" s="5">
        <v>0</v>
      </c>
      <c r="N196" s="5"/>
      <c r="O196" s="5" t="s">
        <v>549</v>
      </c>
      <c r="P196" s="5">
        <v>1</v>
      </c>
      <c r="Q196" s="11" t="s">
        <v>686</v>
      </c>
    </row>
    <row r="197" spans="1:17" x14ac:dyDescent="0.25">
      <c r="A197" s="10">
        <v>1931</v>
      </c>
      <c r="B197" s="5" t="s">
        <v>970</v>
      </c>
      <c r="C197" s="5" t="s">
        <v>971</v>
      </c>
      <c r="D197" s="5" t="s">
        <v>545</v>
      </c>
      <c r="E197" s="5" t="s">
        <v>546</v>
      </c>
      <c r="F197" s="5">
        <v>1</v>
      </c>
      <c r="G197" s="5" t="s">
        <v>566</v>
      </c>
      <c r="H197" s="5" t="s">
        <v>766</v>
      </c>
      <c r="I197" s="5"/>
      <c r="J197" s="5"/>
      <c r="K197" s="5">
        <v>1200</v>
      </c>
      <c r="L197" s="56">
        <v>45658</v>
      </c>
      <c r="M197" s="5">
        <v>0</v>
      </c>
      <c r="N197" s="5"/>
      <c r="O197" s="5" t="s">
        <v>549</v>
      </c>
      <c r="P197" s="5">
        <v>1</v>
      </c>
      <c r="Q197" s="11" t="s">
        <v>686</v>
      </c>
    </row>
    <row r="198" spans="1:17" x14ac:dyDescent="0.25">
      <c r="A198" s="10">
        <v>1661</v>
      </c>
      <c r="B198" s="5" t="s">
        <v>972</v>
      </c>
      <c r="C198" s="5" t="s">
        <v>973</v>
      </c>
      <c r="D198" s="5" t="s">
        <v>730</v>
      </c>
      <c r="E198" s="5"/>
      <c r="F198" s="5">
        <v>1</v>
      </c>
      <c r="G198" s="5" t="s">
        <v>547</v>
      </c>
      <c r="H198" s="5" t="s">
        <v>973</v>
      </c>
      <c r="I198" s="5"/>
      <c r="J198" s="5"/>
      <c r="K198" s="5">
        <v>960</v>
      </c>
      <c r="L198" s="56">
        <v>45658</v>
      </c>
      <c r="M198" s="5">
        <v>0</v>
      </c>
      <c r="N198" s="5"/>
      <c r="O198" s="5" t="s">
        <v>549</v>
      </c>
      <c r="P198" s="5">
        <v>1</v>
      </c>
      <c r="Q198" s="11" t="s">
        <v>686</v>
      </c>
    </row>
    <row r="199" spans="1:17" x14ac:dyDescent="0.25">
      <c r="A199" s="10">
        <v>1750</v>
      </c>
      <c r="B199" s="5" t="s">
        <v>28</v>
      </c>
      <c r="C199" s="5" t="s">
        <v>974</v>
      </c>
      <c r="D199" s="5" t="s">
        <v>545</v>
      </c>
      <c r="E199" s="5" t="s">
        <v>546</v>
      </c>
      <c r="F199" s="5">
        <v>1</v>
      </c>
      <c r="G199" s="5" t="s">
        <v>566</v>
      </c>
      <c r="H199" s="5" t="s">
        <v>974</v>
      </c>
      <c r="I199" s="5"/>
      <c r="J199" s="5"/>
      <c r="K199" s="5">
        <v>1320</v>
      </c>
      <c r="L199" s="56">
        <v>45658</v>
      </c>
      <c r="M199" s="5">
        <v>0</v>
      </c>
      <c r="N199" s="5"/>
      <c r="O199" s="5" t="s">
        <v>549</v>
      </c>
      <c r="P199" s="5">
        <v>1</v>
      </c>
      <c r="Q199" s="11" t="s">
        <v>778</v>
      </c>
    </row>
    <row r="200" spans="1:17" x14ac:dyDescent="0.25">
      <c r="A200" s="10">
        <v>1823</v>
      </c>
      <c r="B200" s="5" t="s">
        <v>975</v>
      </c>
      <c r="C200" s="5" t="s">
        <v>976</v>
      </c>
      <c r="D200" s="5" t="s">
        <v>545</v>
      </c>
      <c r="E200" s="5" t="s">
        <v>669</v>
      </c>
      <c r="F200" s="5">
        <v>1</v>
      </c>
      <c r="G200" s="5" t="s">
        <v>547</v>
      </c>
      <c r="H200" s="5" t="s">
        <v>976</v>
      </c>
      <c r="I200" s="5"/>
      <c r="J200" s="5"/>
      <c r="K200" s="5">
        <v>0</v>
      </c>
      <c r="L200" s="56">
        <v>45658</v>
      </c>
      <c r="M200" s="5">
        <v>0</v>
      </c>
      <c r="N200" s="5"/>
      <c r="O200" s="5" t="s">
        <v>549</v>
      </c>
      <c r="P200" s="5">
        <v>1</v>
      </c>
      <c r="Q200" s="11" t="s">
        <v>686</v>
      </c>
    </row>
    <row r="201" spans="1:17" x14ac:dyDescent="0.25">
      <c r="A201" s="10">
        <v>1657</v>
      </c>
      <c r="B201" s="5" t="s">
        <v>977</v>
      </c>
      <c r="C201" s="5" t="s">
        <v>978</v>
      </c>
      <c r="D201" s="5" t="s">
        <v>730</v>
      </c>
      <c r="E201" s="5"/>
      <c r="F201" s="5">
        <v>1</v>
      </c>
      <c r="G201" s="5" t="s">
        <v>547</v>
      </c>
      <c r="H201" s="5" t="s">
        <v>978</v>
      </c>
      <c r="I201" s="5"/>
      <c r="J201" s="5"/>
      <c r="K201" s="5">
        <v>960</v>
      </c>
      <c r="L201" s="56">
        <v>45658</v>
      </c>
      <c r="M201" s="5">
        <v>0</v>
      </c>
      <c r="N201" s="5"/>
      <c r="O201" s="5" t="s">
        <v>549</v>
      </c>
      <c r="P201" s="5">
        <v>1</v>
      </c>
      <c r="Q201" s="11" t="s">
        <v>686</v>
      </c>
    </row>
    <row r="202" spans="1:17" x14ac:dyDescent="0.25">
      <c r="A202" s="10">
        <v>1660</v>
      </c>
      <c r="B202" s="5" t="s">
        <v>979</v>
      </c>
      <c r="C202" s="5" t="s">
        <v>980</v>
      </c>
      <c r="D202" s="5" t="s">
        <v>730</v>
      </c>
      <c r="E202" s="5"/>
      <c r="F202" s="5">
        <v>1</v>
      </c>
      <c r="G202" s="5" t="s">
        <v>547</v>
      </c>
      <c r="H202" s="5" t="s">
        <v>980</v>
      </c>
      <c r="I202" s="5"/>
      <c r="J202" s="5"/>
      <c r="K202" s="5">
        <v>960</v>
      </c>
      <c r="L202" s="56">
        <v>45658</v>
      </c>
      <c r="M202" s="5">
        <v>0</v>
      </c>
      <c r="N202" s="5"/>
      <c r="O202" s="5" t="s">
        <v>549</v>
      </c>
      <c r="P202" s="5">
        <v>1</v>
      </c>
      <c r="Q202" s="11" t="s">
        <v>686</v>
      </c>
    </row>
    <row r="203" spans="1:17" x14ac:dyDescent="0.25">
      <c r="A203" s="10">
        <v>1662</v>
      </c>
      <c r="B203" s="5" t="s">
        <v>981</v>
      </c>
      <c r="C203" s="5" t="s">
        <v>982</v>
      </c>
      <c r="D203" s="5" t="s">
        <v>730</v>
      </c>
      <c r="E203" s="5"/>
      <c r="F203" s="5">
        <v>1</v>
      </c>
      <c r="G203" s="5" t="s">
        <v>547</v>
      </c>
      <c r="H203" s="5" t="s">
        <v>982</v>
      </c>
      <c r="I203" s="5"/>
      <c r="J203" s="5"/>
      <c r="K203" s="5">
        <v>960</v>
      </c>
      <c r="L203" s="56">
        <v>45658</v>
      </c>
      <c r="M203" s="5">
        <v>0</v>
      </c>
      <c r="N203" s="5"/>
      <c r="O203" s="5" t="s">
        <v>549</v>
      </c>
      <c r="P203" s="5">
        <v>1</v>
      </c>
      <c r="Q203" s="11" t="s">
        <v>686</v>
      </c>
    </row>
    <row r="204" spans="1:17" x14ac:dyDescent="0.25">
      <c r="A204" s="10">
        <v>1658</v>
      </c>
      <c r="B204" s="5" t="s">
        <v>983</v>
      </c>
      <c r="C204" s="5" t="s">
        <v>984</v>
      </c>
      <c r="D204" s="5" t="s">
        <v>730</v>
      </c>
      <c r="E204" s="5"/>
      <c r="F204" s="5">
        <v>1</v>
      </c>
      <c r="G204" s="5" t="s">
        <v>547</v>
      </c>
      <c r="H204" s="5" t="s">
        <v>984</v>
      </c>
      <c r="I204" s="5"/>
      <c r="J204" s="5"/>
      <c r="K204" s="5">
        <v>960</v>
      </c>
      <c r="L204" s="56">
        <v>45658</v>
      </c>
      <c r="M204" s="5">
        <v>0</v>
      </c>
      <c r="N204" s="5"/>
      <c r="O204" s="5" t="s">
        <v>549</v>
      </c>
      <c r="P204" s="5">
        <v>1</v>
      </c>
      <c r="Q204" s="11" t="s">
        <v>686</v>
      </c>
    </row>
    <row r="205" spans="1:17" x14ac:dyDescent="0.25">
      <c r="A205" s="10">
        <v>1915</v>
      </c>
      <c r="B205" s="5" t="s">
        <v>985</v>
      </c>
      <c r="C205" s="5" t="s">
        <v>986</v>
      </c>
      <c r="D205" s="5" t="s">
        <v>730</v>
      </c>
      <c r="E205" s="5" t="s">
        <v>730</v>
      </c>
      <c r="F205" s="5">
        <v>1</v>
      </c>
      <c r="G205" s="5" t="s">
        <v>566</v>
      </c>
      <c r="H205" s="5" t="s">
        <v>987</v>
      </c>
      <c r="I205" s="5"/>
      <c r="J205" s="5"/>
      <c r="K205" s="5">
        <v>1600</v>
      </c>
      <c r="L205" s="56">
        <v>45658</v>
      </c>
      <c r="M205" s="5">
        <v>0</v>
      </c>
      <c r="N205" s="5"/>
      <c r="O205" s="5" t="s">
        <v>549</v>
      </c>
      <c r="P205" s="5">
        <v>1</v>
      </c>
      <c r="Q205" s="11" t="s">
        <v>988</v>
      </c>
    </row>
    <row r="206" spans="1:17" x14ac:dyDescent="0.25">
      <c r="A206" s="10">
        <v>1955</v>
      </c>
      <c r="B206" s="5" t="s">
        <v>989</v>
      </c>
      <c r="C206" s="5" t="s">
        <v>990</v>
      </c>
      <c r="D206" s="5" t="s">
        <v>545</v>
      </c>
      <c r="E206" s="5"/>
      <c r="F206" s="5">
        <v>1</v>
      </c>
      <c r="G206" s="5" t="s">
        <v>566</v>
      </c>
      <c r="H206" s="5" t="s">
        <v>962</v>
      </c>
      <c r="I206" s="5"/>
      <c r="J206" s="5"/>
      <c r="K206" s="5">
        <v>1600</v>
      </c>
      <c r="L206" s="56">
        <v>45658</v>
      </c>
      <c r="M206" s="5">
        <v>0</v>
      </c>
      <c r="N206" s="5"/>
      <c r="O206" s="5" t="s">
        <v>549</v>
      </c>
      <c r="P206" s="5">
        <v>1</v>
      </c>
      <c r="Q206" s="11" t="s">
        <v>769</v>
      </c>
    </row>
    <row r="207" spans="1:17" x14ac:dyDescent="0.25">
      <c r="A207" s="10">
        <v>1956</v>
      </c>
      <c r="B207" s="5" t="s">
        <v>991</v>
      </c>
      <c r="C207" s="5" t="s">
        <v>992</v>
      </c>
      <c r="D207" s="5" t="s">
        <v>545</v>
      </c>
      <c r="E207" s="5"/>
      <c r="F207" s="5">
        <v>1</v>
      </c>
      <c r="G207" s="5" t="s">
        <v>566</v>
      </c>
      <c r="H207" s="5" t="s">
        <v>965</v>
      </c>
      <c r="I207" s="5"/>
      <c r="J207" s="5"/>
      <c r="K207" s="5">
        <v>3200</v>
      </c>
      <c r="L207" s="56">
        <v>45658</v>
      </c>
      <c r="M207" s="5">
        <v>0</v>
      </c>
      <c r="N207" s="5"/>
      <c r="O207" s="5" t="s">
        <v>549</v>
      </c>
      <c r="P207" s="5">
        <v>1</v>
      </c>
      <c r="Q207" s="11" t="s">
        <v>769</v>
      </c>
    </row>
    <row r="208" spans="1:17" x14ac:dyDescent="0.25">
      <c r="A208" s="10">
        <v>1965</v>
      </c>
      <c r="B208" s="5" t="s">
        <v>993</v>
      </c>
      <c r="C208" s="5" t="s">
        <v>994</v>
      </c>
      <c r="D208" s="5" t="s">
        <v>545</v>
      </c>
      <c r="E208" s="5" t="s">
        <v>546</v>
      </c>
      <c r="F208" s="5">
        <v>1</v>
      </c>
      <c r="G208" s="5" t="s">
        <v>566</v>
      </c>
      <c r="H208" s="5" t="s">
        <v>995</v>
      </c>
      <c r="I208" s="5"/>
      <c r="J208" s="5"/>
      <c r="K208" s="5">
        <v>0</v>
      </c>
      <c r="L208" s="56">
        <v>45727</v>
      </c>
      <c r="M208" s="5">
        <v>0</v>
      </c>
      <c r="N208" s="5"/>
      <c r="O208" s="5" t="s">
        <v>549</v>
      </c>
      <c r="P208" s="5">
        <v>1</v>
      </c>
      <c r="Q208" s="11" t="s">
        <v>613</v>
      </c>
    </row>
    <row r="209" spans="1:17" x14ac:dyDescent="0.25">
      <c r="A209" s="10">
        <v>1964</v>
      </c>
      <c r="B209" s="5" t="s">
        <v>996</v>
      </c>
      <c r="C209" s="5" t="s">
        <v>997</v>
      </c>
      <c r="D209" s="5" t="s">
        <v>545</v>
      </c>
      <c r="E209" s="5" t="s">
        <v>546</v>
      </c>
      <c r="F209" s="5">
        <v>1</v>
      </c>
      <c r="G209" s="5" t="s">
        <v>566</v>
      </c>
      <c r="H209" s="5" t="s">
        <v>998</v>
      </c>
      <c r="I209" s="5"/>
      <c r="J209" s="5"/>
      <c r="K209" s="5">
        <v>0</v>
      </c>
      <c r="L209" s="56">
        <v>45727</v>
      </c>
      <c r="M209" s="5">
        <v>0</v>
      </c>
      <c r="N209" s="5"/>
      <c r="O209" s="5" t="s">
        <v>549</v>
      </c>
      <c r="P209" s="5">
        <v>1</v>
      </c>
      <c r="Q209" s="11" t="s">
        <v>613</v>
      </c>
    </row>
    <row r="210" spans="1:17" x14ac:dyDescent="0.25">
      <c r="A210" s="10">
        <v>1946</v>
      </c>
      <c r="B210" s="5" t="s">
        <v>999</v>
      </c>
      <c r="C210" s="5" t="s">
        <v>1000</v>
      </c>
      <c r="D210" s="5" t="s">
        <v>545</v>
      </c>
      <c r="E210" s="5" t="s">
        <v>546</v>
      </c>
      <c r="F210" s="5">
        <v>1</v>
      </c>
      <c r="G210" s="5" t="s">
        <v>547</v>
      </c>
      <c r="H210" s="5" t="s">
        <v>1000</v>
      </c>
      <c r="I210" s="5"/>
      <c r="J210" s="5"/>
      <c r="K210" s="5">
        <v>550</v>
      </c>
      <c r="L210" s="56">
        <v>45761</v>
      </c>
      <c r="M210" s="5">
        <v>0</v>
      </c>
      <c r="N210" s="5"/>
      <c r="O210" s="5" t="s">
        <v>549</v>
      </c>
      <c r="P210" s="5">
        <v>1</v>
      </c>
      <c r="Q210" s="11" t="s">
        <v>613</v>
      </c>
    </row>
    <row r="211" spans="1:17" x14ac:dyDescent="0.25">
      <c r="A211" s="10">
        <v>1952</v>
      </c>
      <c r="B211" s="5" t="s">
        <v>1001</v>
      </c>
      <c r="C211" s="5" t="s">
        <v>1002</v>
      </c>
      <c r="D211" s="5" t="s">
        <v>545</v>
      </c>
      <c r="E211" s="5" t="s">
        <v>546</v>
      </c>
      <c r="F211" s="5">
        <v>1</v>
      </c>
      <c r="G211" s="5" t="s">
        <v>547</v>
      </c>
      <c r="H211" s="5" t="s">
        <v>1002</v>
      </c>
      <c r="I211" s="5"/>
      <c r="J211" s="5"/>
      <c r="K211" s="5">
        <v>550</v>
      </c>
      <c r="L211" s="56">
        <v>45761</v>
      </c>
      <c r="M211" s="5">
        <v>0</v>
      </c>
      <c r="N211" s="5"/>
      <c r="O211" s="5" t="s">
        <v>549</v>
      </c>
      <c r="P211" s="5">
        <v>1</v>
      </c>
      <c r="Q211" s="11" t="s">
        <v>613</v>
      </c>
    </row>
    <row r="212" spans="1:17" x14ac:dyDescent="0.25">
      <c r="A212" s="10">
        <v>1945</v>
      </c>
      <c r="B212" s="5" t="s">
        <v>1003</v>
      </c>
      <c r="C212" s="5" t="s">
        <v>1004</v>
      </c>
      <c r="D212" s="5" t="s">
        <v>545</v>
      </c>
      <c r="E212" s="5" t="s">
        <v>546</v>
      </c>
      <c r="F212" s="5">
        <v>1</v>
      </c>
      <c r="G212" s="5" t="s">
        <v>547</v>
      </c>
      <c r="H212" s="5" t="s">
        <v>1004</v>
      </c>
      <c r="I212" s="5"/>
      <c r="J212" s="5"/>
      <c r="K212" s="5">
        <v>400</v>
      </c>
      <c r="L212" s="56">
        <v>45761</v>
      </c>
      <c r="M212" s="5">
        <v>0</v>
      </c>
      <c r="N212" s="5"/>
      <c r="O212" s="5" t="s">
        <v>549</v>
      </c>
      <c r="P212" s="5">
        <v>1</v>
      </c>
      <c r="Q212" s="11" t="s">
        <v>613</v>
      </c>
    </row>
    <row r="213" spans="1:17" x14ac:dyDescent="0.25">
      <c r="A213" s="10">
        <v>1943</v>
      </c>
      <c r="B213" s="5" t="s">
        <v>1005</v>
      </c>
      <c r="C213" s="5" t="s">
        <v>1006</v>
      </c>
      <c r="D213" s="5" t="s">
        <v>545</v>
      </c>
      <c r="E213" s="5" t="s">
        <v>546</v>
      </c>
      <c r="F213" s="5">
        <v>1</v>
      </c>
      <c r="G213" s="5" t="s">
        <v>547</v>
      </c>
      <c r="H213" s="5" t="s">
        <v>1006</v>
      </c>
      <c r="I213" s="5"/>
      <c r="J213" s="5"/>
      <c r="K213" s="5">
        <v>400</v>
      </c>
      <c r="L213" s="56">
        <v>45761</v>
      </c>
      <c r="M213" s="5">
        <v>0</v>
      </c>
      <c r="N213" s="5"/>
      <c r="O213" s="5" t="s">
        <v>549</v>
      </c>
      <c r="P213" s="5">
        <v>1</v>
      </c>
      <c r="Q213" s="11" t="s">
        <v>613</v>
      </c>
    </row>
    <row r="214" spans="1:17" x14ac:dyDescent="0.25">
      <c r="A214" s="10">
        <v>1753</v>
      </c>
      <c r="B214" s="5" t="s">
        <v>1007</v>
      </c>
      <c r="C214" s="5" t="s">
        <v>198</v>
      </c>
      <c r="D214" s="5" t="s">
        <v>545</v>
      </c>
      <c r="E214" s="5" t="s">
        <v>546</v>
      </c>
      <c r="F214" s="5">
        <v>1</v>
      </c>
      <c r="G214" s="5" t="s">
        <v>547</v>
      </c>
      <c r="H214" s="5" t="s">
        <v>198</v>
      </c>
      <c r="I214" s="5"/>
      <c r="J214" s="5"/>
      <c r="K214" s="5">
        <v>800</v>
      </c>
      <c r="L214" s="56">
        <v>46023</v>
      </c>
      <c r="M214" s="5">
        <v>0</v>
      </c>
      <c r="N214" s="5"/>
      <c r="O214" s="5" t="s">
        <v>549</v>
      </c>
      <c r="P214" s="5">
        <v>1</v>
      </c>
      <c r="Q214" s="11" t="s">
        <v>686</v>
      </c>
    </row>
    <row r="215" spans="1:17" x14ac:dyDescent="0.25">
      <c r="A215" s="10">
        <v>1804</v>
      </c>
      <c r="B215" s="5" t="s">
        <v>69</v>
      </c>
      <c r="C215" s="5" t="s">
        <v>1008</v>
      </c>
      <c r="D215" s="5" t="s">
        <v>545</v>
      </c>
      <c r="E215" s="5" t="s">
        <v>546</v>
      </c>
      <c r="F215" s="5">
        <v>1</v>
      </c>
      <c r="G215" s="5" t="s">
        <v>566</v>
      </c>
      <c r="H215" s="5" t="s">
        <v>1009</v>
      </c>
      <c r="I215" s="5"/>
      <c r="J215" s="5"/>
      <c r="K215" s="5">
        <v>600</v>
      </c>
      <c r="L215" s="56">
        <v>46023</v>
      </c>
      <c r="M215" s="5">
        <v>0</v>
      </c>
      <c r="N215" s="5"/>
      <c r="O215" s="5" t="s">
        <v>549</v>
      </c>
      <c r="P215" s="5">
        <v>1</v>
      </c>
      <c r="Q215" s="11" t="s">
        <v>769</v>
      </c>
    </row>
    <row r="216" spans="1:17" x14ac:dyDescent="0.25">
      <c r="A216" s="10">
        <v>1577</v>
      </c>
      <c r="B216" s="5" t="s">
        <v>97</v>
      </c>
      <c r="C216" s="5" t="s">
        <v>1010</v>
      </c>
      <c r="D216" s="5" t="s">
        <v>545</v>
      </c>
      <c r="E216" s="5" t="s">
        <v>546</v>
      </c>
      <c r="F216" s="5">
        <v>1</v>
      </c>
      <c r="G216" s="5" t="s">
        <v>566</v>
      </c>
      <c r="H216" s="5" t="s">
        <v>1011</v>
      </c>
      <c r="I216" s="5"/>
      <c r="J216" s="5"/>
      <c r="K216" s="5">
        <v>480</v>
      </c>
      <c r="L216" s="56">
        <v>46023</v>
      </c>
      <c r="M216" s="5">
        <v>0</v>
      </c>
      <c r="N216" s="5"/>
      <c r="O216" s="5" t="s">
        <v>549</v>
      </c>
      <c r="P216" s="5">
        <v>1</v>
      </c>
      <c r="Q216" s="11" t="s">
        <v>613</v>
      </c>
    </row>
    <row r="217" spans="1:17" x14ac:dyDescent="0.25">
      <c r="A217" s="10">
        <v>1578</v>
      </c>
      <c r="B217" s="5" t="s">
        <v>97</v>
      </c>
      <c r="C217" s="5" t="s">
        <v>1010</v>
      </c>
      <c r="D217" s="5" t="s">
        <v>545</v>
      </c>
      <c r="E217" s="5" t="s">
        <v>546</v>
      </c>
      <c r="F217" s="5">
        <v>2</v>
      </c>
      <c r="G217" s="5" t="s">
        <v>547</v>
      </c>
      <c r="H217" s="5" t="s">
        <v>1012</v>
      </c>
      <c r="I217" s="5"/>
      <c r="J217" s="5"/>
      <c r="K217" s="5">
        <v>2.2799999999999998</v>
      </c>
      <c r="L217" s="56">
        <v>46023</v>
      </c>
      <c r="M217" s="5">
        <v>0</v>
      </c>
      <c r="N217" s="5"/>
      <c r="O217" s="5" t="s">
        <v>549</v>
      </c>
      <c r="P217" s="5">
        <v>1</v>
      </c>
      <c r="Q217" s="11" t="s">
        <v>550</v>
      </c>
    </row>
    <row r="218" spans="1:17" x14ac:dyDescent="0.25">
      <c r="A218" s="10">
        <v>1592</v>
      </c>
      <c r="B218" s="5" t="s">
        <v>97</v>
      </c>
      <c r="C218" s="5" t="s">
        <v>1010</v>
      </c>
      <c r="D218" s="5" t="s">
        <v>545</v>
      </c>
      <c r="E218" s="5" t="s">
        <v>546</v>
      </c>
      <c r="F218" s="5">
        <v>3</v>
      </c>
      <c r="G218" s="5" t="s">
        <v>566</v>
      </c>
      <c r="H218" s="5" t="s">
        <v>616</v>
      </c>
      <c r="I218" s="5"/>
      <c r="J218" s="5"/>
      <c r="K218" s="5">
        <v>0</v>
      </c>
      <c r="L218" s="56">
        <v>46023</v>
      </c>
      <c r="M218" s="5">
        <v>0</v>
      </c>
      <c r="N218" s="5"/>
      <c r="O218" s="5" t="s">
        <v>549</v>
      </c>
      <c r="P218" s="5">
        <v>1</v>
      </c>
      <c r="Q218" s="11" t="s">
        <v>617</v>
      </c>
    </row>
    <row r="219" spans="1:17" x14ac:dyDescent="0.25">
      <c r="A219" s="10">
        <v>1593</v>
      </c>
      <c r="B219" s="5" t="s">
        <v>97</v>
      </c>
      <c r="C219" s="5" t="s">
        <v>1010</v>
      </c>
      <c r="D219" s="5" t="s">
        <v>545</v>
      </c>
      <c r="E219" s="5" t="s">
        <v>546</v>
      </c>
      <c r="F219" s="5">
        <v>4</v>
      </c>
      <c r="G219" s="5" t="s">
        <v>566</v>
      </c>
      <c r="H219" s="5" t="s">
        <v>618</v>
      </c>
      <c r="I219" s="5"/>
      <c r="J219" s="5"/>
      <c r="K219" s="5">
        <v>0</v>
      </c>
      <c r="L219" s="56">
        <v>46023</v>
      </c>
      <c r="M219" s="5">
        <v>0</v>
      </c>
      <c r="N219" s="5"/>
      <c r="O219" s="5" t="s">
        <v>549</v>
      </c>
      <c r="P219" s="5">
        <v>1</v>
      </c>
      <c r="Q219" s="11" t="s">
        <v>619</v>
      </c>
    </row>
    <row r="220" spans="1:17" x14ac:dyDescent="0.25">
      <c r="A220" s="10">
        <v>1701</v>
      </c>
      <c r="B220" s="5" t="s">
        <v>97</v>
      </c>
      <c r="C220" s="5" t="s">
        <v>1010</v>
      </c>
      <c r="D220" s="5" t="s">
        <v>545</v>
      </c>
      <c r="E220" s="5" t="s">
        <v>546</v>
      </c>
      <c r="F220" s="5">
        <v>5</v>
      </c>
      <c r="G220" s="5" t="s">
        <v>547</v>
      </c>
      <c r="H220" s="5" t="s">
        <v>1013</v>
      </c>
      <c r="I220" s="5"/>
      <c r="J220" s="5"/>
      <c r="K220" s="5">
        <v>4.8</v>
      </c>
      <c r="L220" s="56">
        <v>46023</v>
      </c>
      <c r="M220" s="5">
        <v>0</v>
      </c>
      <c r="N220" s="5"/>
      <c r="O220" s="5" t="s">
        <v>549</v>
      </c>
      <c r="P220" s="5">
        <v>1</v>
      </c>
      <c r="Q220" s="11" t="s">
        <v>552</v>
      </c>
    </row>
    <row r="221" spans="1:17" x14ac:dyDescent="0.25">
      <c r="A221" s="10">
        <v>1594</v>
      </c>
      <c r="B221" s="5" t="s">
        <v>96</v>
      </c>
      <c r="C221" s="5" t="s">
        <v>1014</v>
      </c>
      <c r="D221" s="5" t="s">
        <v>545</v>
      </c>
      <c r="E221" s="5" t="s">
        <v>546</v>
      </c>
      <c r="F221" s="5">
        <v>1</v>
      </c>
      <c r="G221" s="5" t="s">
        <v>566</v>
      </c>
      <c r="H221" s="5" t="s">
        <v>1015</v>
      </c>
      <c r="I221" s="5"/>
      <c r="J221" s="5"/>
      <c r="K221" s="5">
        <v>1240</v>
      </c>
      <c r="L221" s="56">
        <v>46023</v>
      </c>
      <c r="M221" s="5">
        <v>0</v>
      </c>
      <c r="N221" s="5"/>
      <c r="O221" s="5" t="s">
        <v>549</v>
      </c>
      <c r="P221" s="5">
        <v>1</v>
      </c>
      <c r="Q221" s="11" t="s">
        <v>613</v>
      </c>
    </row>
    <row r="222" spans="1:17" x14ac:dyDescent="0.25">
      <c r="A222" s="10">
        <v>1595</v>
      </c>
      <c r="B222" s="5" t="s">
        <v>96</v>
      </c>
      <c r="C222" s="5" t="s">
        <v>1014</v>
      </c>
      <c r="D222" s="5" t="s">
        <v>545</v>
      </c>
      <c r="E222" s="5" t="s">
        <v>546</v>
      </c>
      <c r="F222" s="5">
        <v>2</v>
      </c>
      <c r="G222" s="5" t="s">
        <v>547</v>
      </c>
      <c r="H222" s="5" t="s">
        <v>1012</v>
      </c>
      <c r="I222" s="5"/>
      <c r="J222" s="5"/>
      <c r="K222" s="5">
        <v>2.2799999999999998</v>
      </c>
      <c r="L222" s="56">
        <v>46023</v>
      </c>
      <c r="M222" s="5">
        <v>0</v>
      </c>
      <c r="N222" s="5"/>
      <c r="O222" s="5" t="s">
        <v>549</v>
      </c>
      <c r="P222" s="5">
        <v>1</v>
      </c>
      <c r="Q222" s="11" t="s">
        <v>550</v>
      </c>
    </row>
    <row r="223" spans="1:17" x14ac:dyDescent="0.25">
      <c r="A223" s="10">
        <v>1596</v>
      </c>
      <c r="B223" s="5" t="s">
        <v>96</v>
      </c>
      <c r="C223" s="5" t="s">
        <v>1014</v>
      </c>
      <c r="D223" s="5" t="s">
        <v>545</v>
      </c>
      <c r="E223" s="5" t="s">
        <v>546</v>
      </c>
      <c r="F223" s="5">
        <v>3</v>
      </c>
      <c r="G223" s="5" t="s">
        <v>566</v>
      </c>
      <c r="H223" s="5" t="s">
        <v>616</v>
      </c>
      <c r="I223" s="5"/>
      <c r="J223" s="5"/>
      <c r="K223" s="5">
        <v>0</v>
      </c>
      <c r="L223" s="56">
        <v>46023</v>
      </c>
      <c r="M223" s="5">
        <v>0</v>
      </c>
      <c r="N223" s="5"/>
      <c r="O223" s="5" t="s">
        <v>549</v>
      </c>
      <c r="P223" s="5">
        <v>1</v>
      </c>
      <c r="Q223" s="11" t="s">
        <v>617</v>
      </c>
    </row>
    <row r="224" spans="1:17" x14ac:dyDescent="0.25">
      <c r="A224" s="10">
        <v>1597</v>
      </c>
      <c r="B224" s="5" t="s">
        <v>96</v>
      </c>
      <c r="C224" s="5" t="s">
        <v>1014</v>
      </c>
      <c r="D224" s="5" t="s">
        <v>545</v>
      </c>
      <c r="E224" s="5" t="s">
        <v>546</v>
      </c>
      <c r="F224" s="5">
        <v>4</v>
      </c>
      <c r="G224" s="5" t="s">
        <v>566</v>
      </c>
      <c r="H224" s="5" t="s">
        <v>618</v>
      </c>
      <c r="I224" s="5"/>
      <c r="J224" s="5"/>
      <c r="K224" s="5">
        <v>0</v>
      </c>
      <c r="L224" s="56">
        <v>46023</v>
      </c>
      <c r="M224" s="5">
        <v>0</v>
      </c>
      <c r="N224" s="5"/>
      <c r="O224" s="5" t="s">
        <v>549</v>
      </c>
      <c r="P224" s="5">
        <v>1</v>
      </c>
      <c r="Q224" s="11" t="s">
        <v>619</v>
      </c>
    </row>
    <row r="225" spans="1:17" x14ac:dyDescent="0.25">
      <c r="A225" s="10">
        <v>1702</v>
      </c>
      <c r="B225" s="5" t="s">
        <v>96</v>
      </c>
      <c r="C225" s="5" t="s">
        <v>1014</v>
      </c>
      <c r="D225" s="5" t="s">
        <v>545</v>
      </c>
      <c r="E225" s="5" t="s">
        <v>546</v>
      </c>
      <c r="F225" s="5">
        <v>5</v>
      </c>
      <c r="G225" s="5" t="s">
        <v>547</v>
      </c>
      <c r="H225" s="5" t="s">
        <v>1013</v>
      </c>
      <c r="I225" s="5"/>
      <c r="J225" s="5"/>
      <c r="K225" s="5">
        <v>4.8</v>
      </c>
      <c r="L225" s="56">
        <v>46023</v>
      </c>
      <c r="M225" s="5">
        <v>0</v>
      </c>
      <c r="N225" s="5"/>
      <c r="O225" s="5" t="s">
        <v>549</v>
      </c>
      <c r="P225" s="5">
        <v>1</v>
      </c>
      <c r="Q225" s="11" t="s">
        <v>552</v>
      </c>
    </row>
    <row r="226" spans="1:17" x14ac:dyDescent="0.25">
      <c r="A226" s="10">
        <v>1665</v>
      </c>
      <c r="B226" s="5" t="s">
        <v>54</v>
      </c>
      <c r="C226" s="5" t="s">
        <v>1016</v>
      </c>
      <c r="D226" s="5" t="s">
        <v>545</v>
      </c>
      <c r="E226" s="5" t="s">
        <v>546</v>
      </c>
      <c r="F226" s="5">
        <v>1</v>
      </c>
      <c r="G226" s="5" t="s">
        <v>566</v>
      </c>
      <c r="H226" s="5" t="s">
        <v>1016</v>
      </c>
      <c r="I226" s="5"/>
      <c r="J226" s="5"/>
      <c r="K226" s="5">
        <v>680</v>
      </c>
      <c r="L226" s="56">
        <v>46023</v>
      </c>
      <c r="M226" s="5">
        <v>0</v>
      </c>
      <c r="N226" s="5"/>
      <c r="O226" s="5" t="s">
        <v>549</v>
      </c>
      <c r="P226" s="5">
        <v>1</v>
      </c>
      <c r="Q226" s="11" t="s">
        <v>613</v>
      </c>
    </row>
    <row r="227" spans="1:17" x14ac:dyDescent="0.25">
      <c r="A227" s="10">
        <v>1666</v>
      </c>
      <c r="B227" s="5" t="s">
        <v>54</v>
      </c>
      <c r="C227" s="5" t="s">
        <v>1016</v>
      </c>
      <c r="D227" s="5" t="s">
        <v>545</v>
      </c>
      <c r="E227" s="5" t="s">
        <v>546</v>
      </c>
      <c r="F227" s="5">
        <v>2</v>
      </c>
      <c r="G227" s="5" t="s">
        <v>547</v>
      </c>
      <c r="H227" s="5" t="s">
        <v>614</v>
      </c>
      <c r="I227" s="5"/>
      <c r="J227" s="5"/>
      <c r="K227" s="5">
        <v>4.28</v>
      </c>
      <c r="L227" s="56">
        <v>46023</v>
      </c>
      <c r="M227" s="5">
        <v>0</v>
      </c>
      <c r="N227" s="5"/>
      <c r="O227" s="5" t="s">
        <v>549</v>
      </c>
      <c r="P227" s="5">
        <v>1</v>
      </c>
      <c r="Q227" s="11" t="s">
        <v>615</v>
      </c>
    </row>
    <row r="228" spans="1:17" x14ac:dyDescent="0.25">
      <c r="A228" s="10">
        <v>1668</v>
      </c>
      <c r="B228" s="5" t="s">
        <v>1017</v>
      </c>
      <c r="C228" s="5" t="s">
        <v>1018</v>
      </c>
      <c r="D228" s="5" t="s">
        <v>545</v>
      </c>
      <c r="E228" s="5" t="s">
        <v>546</v>
      </c>
      <c r="F228" s="5">
        <v>1</v>
      </c>
      <c r="G228" s="5" t="s">
        <v>566</v>
      </c>
      <c r="H228" s="5" t="s">
        <v>1016</v>
      </c>
      <c r="I228" s="5"/>
      <c r="J228" s="5"/>
      <c r="K228" s="5">
        <v>680</v>
      </c>
      <c r="L228" s="56">
        <v>46023</v>
      </c>
      <c r="M228" s="5">
        <v>0</v>
      </c>
      <c r="N228" s="5"/>
      <c r="O228" s="5" t="s">
        <v>549</v>
      </c>
      <c r="P228" s="5">
        <v>1</v>
      </c>
      <c r="Q228" s="11" t="s">
        <v>613</v>
      </c>
    </row>
    <row r="229" spans="1:17" x14ac:dyDescent="0.25">
      <c r="A229" s="10">
        <v>1669</v>
      </c>
      <c r="B229" s="5" t="s">
        <v>1017</v>
      </c>
      <c r="C229" s="5" t="s">
        <v>1018</v>
      </c>
      <c r="D229" s="5" t="s">
        <v>545</v>
      </c>
      <c r="E229" s="5" t="s">
        <v>546</v>
      </c>
      <c r="F229" s="5">
        <v>2</v>
      </c>
      <c r="G229" s="5" t="s">
        <v>547</v>
      </c>
      <c r="H229" s="5" t="s">
        <v>614</v>
      </c>
      <c r="I229" s="5"/>
      <c r="J229" s="5"/>
      <c r="K229" s="5">
        <v>4.28</v>
      </c>
      <c r="L229" s="56">
        <v>46023</v>
      </c>
      <c r="M229" s="5">
        <v>0</v>
      </c>
      <c r="N229" s="5"/>
      <c r="O229" s="5" t="s">
        <v>549</v>
      </c>
      <c r="P229" s="5">
        <v>1</v>
      </c>
      <c r="Q229" s="11" t="s">
        <v>615</v>
      </c>
    </row>
    <row r="230" spans="1:17" x14ac:dyDescent="0.25">
      <c r="A230" s="10">
        <v>1555</v>
      </c>
      <c r="B230" s="5" t="s">
        <v>1019</v>
      </c>
      <c r="C230" s="5" t="s">
        <v>1020</v>
      </c>
      <c r="D230" s="5" t="s">
        <v>545</v>
      </c>
      <c r="E230" s="5" t="s">
        <v>546</v>
      </c>
      <c r="F230" s="5">
        <v>1</v>
      </c>
      <c r="G230" s="5" t="s">
        <v>566</v>
      </c>
      <c r="H230" s="5" t="s">
        <v>1020</v>
      </c>
      <c r="I230" s="5"/>
      <c r="J230" s="5"/>
      <c r="K230" s="5">
        <v>680</v>
      </c>
      <c r="L230" s="56">
        <v>46023</v>
      </c>
      <c r="M230" s="5">
        <v>0</v>
      </c>
      <c r="N230" s="5"/>
      <c r="O230" s="5" t="s">
        <v>549</v>
      </c>
      <c r="P230" s="5">
        <v>1</v>
      </c>
      <c r="Q230" s="11" t="s">
        <v>613</v>
      </c>
    </row>
    <row r="231" spans="1:17" x14ac:dyDescent="0.25">
      <c r="A231" s="10">
        <v>1556</v>
      </c>
      <c r="B231" s="5" t="s">
        <v>1019</v>
      </c>
      <c r="C231" s="5" t="s">
        <v>1020</v>
      </c>
      <c r="D231" s="5" t="s">
        <v>545</v>
      </c>
      <c r="E231" s="5" t="s">
        <v>546</v>
      </c>
      <c r="F231" s="5">
        <v>2</v>
      </c>
      <c r="G231" s="5" t="s">
        <v>547</v>
      </c>
      <c r="H231" s="5" t="s">
        <v>1021</v>
      </c>
      <c r="I231" s="5"/>
      <c r="J231" s="5"/>
      <c r="K231" s="5">
        <v>4.28</v>
      </c>
      <c r="L231" s="56">
        <v>46023</v>
      </c>
      <c r="M231" s="5">
        <v>0</v>
      </c>
      <c r="N231" s="5"/>
      <c r="O231" s="5" t="s">
        <v>549</v>
      </c>
      <c r="P231" s="5">
        <v>1</v>
      </c>
      <c r="Q231" s="11" t="s">
        <v>615</v>
      </c>
    </row>
    <row r="232" spans="1:17" x14ac:dyDescent="0.25">
      <c r="A232" s="10">
        <v>1808</v>
      </c>
      <c r="B232" s="5" t="s">
        <v>1022</v>
      </c>
      <c r="C232" s="5" t="s">
        <v>1023</v>
      </c>
      <c r="D232" s="5" t="s">
        <v>545</v>
      </c>
      <c r="E232" s="5" t="s">
        <v>546</v>
      </c>
      <c r="F232" s="5">
        <v>1</v>
      </c>
      <c r="G232" s="5" t="s">
        <v>566</v>
      </c>
      <c r="H232" s="5" t="s">
        <v>1020</v>
      </c>
      <c r="I232" s="5"/>
      <c r="J232" s="5"/>
      <c r="K232" s="5">
        <v>680</v>
      </c>
      <c r="L232" s="56">
        <v>46023</v>
      </c>
      <c r="M232" s="5">
        <v>0</v>
      </c>
      <c r="N232" s="5"/>
      <c r="O232" s="5" t="s">
        <v>549</v>
      </c>
      <c r="P232" s="5">
        <v>1</v>
      </c>
      <c r="Q232" s="11" t="s">
        <v>613</v>
      </c>
    </row>
    <row r="233" spans="1:17" x14ac:dyDescent="0.25">
      <c r="A233" s="10">
        <v>1809</v>
      </c>
      <c r="B233" s="5" t="s">
        <v>1022</v>
      </c>
      <c r="C233" s="5" t="s">
        <v>1023</v>
      </c>
      <c r="D233" s="5" t="s">
        <v>545</v>
      </c>
      <c r="E233" s="5" t="s">
        <v>546</v>
      </c>
      <c r="F233" s="5">
        <v>2</v>
      </c>
      <c r="G233" s="5" t="s">
        <v>547</v>
      </c>
      <c r="H233" s="5" t="s">
        <v>1021</v>
      </c>
      <c r="I233" s="5"/>
      <c r="J233" s="5"/>
      <c r="K233" s="5">
        <v>4.28</v>
      </c>
      <c r="L233" s="56">
        <v>46023</v>
      </c>
      <c r="M233" s="5">
        <v>0</v>
      </c>
      <c r="N233" s="5"/>
      <c r="O233" s="5" t="s">
        <v>549</v>
      </c>
      <c r="P233" s="5">
        <v>1</v>
      </c>
      <c r="Q233" s="11" t="s">
        <v>615</v>
      </c>
    </row>
    <row r="234" spans="1:17" x14ac:dyDescent="0.25">
      <c r="A234" s="10">
        <v>1552</v>
      </c>
      <c r="B234" s="5" t="s">
        <v>50</v>
      </c>
      <c r="C234" s="5" t="s">
        <v>1024</v>
      </c>
      <c r="D234" s="5" t="s">
        <v>545</v>
      </c>
      <c r="E234" s="5" t="s">
        <v>546</v>
      </c>
      <c r="F234" s="5">
        <v>1</v>
      </c>
      <c r="G234" s="5" t="s">
        <v>566</v>
      </c>
      <c r="H234" s="5" t="s">
        <v>1024</v>
      </c>
      <c r="I234" s="5"/>
      <c r="J234" s="5"/>
      <c r="K234" s="5">
        <v>680</v>
      </c>
      <c r="L234" s="56">
        <v>46023</v>
      </c>
      <c r="M234" s="5">
        <v>0</v>
      </c>
      <c r="N234" s="5"/>
      <c r="O234" s="5" t="s">
        <v>549</v>
      </c>
      <c r="P234" s="5">
        <v>1</v>
      </c>
      <c r="Q234" s="11" t="s">
        <v>613</v>
      </c>
    </row>
    <row r="235" spans="1:17" x14ac:dyDescent="0.25">
      <c r="A235" s="10">
        <v>1553</v>
      </c>
      <c r="B235" s="5" t="s">
        <v>50</v>
      </c>
      <c r="C235" s="5" t="s">
        <v>1024</v>
      </c>
      <c r="D235" s="5" t="s">
        <v>545</v>
      </c>
      <c r="E235" s="5" t="s">
        <v>546</v>
      </c>
      <c r="F235" s="5">
        <v>2</v>
      </c>
      <c r="G235" s="5" t="s">
        <v>547</v>
      </c>
      <c r="H235" s="5" t="s">
        <v>614</v>
      </c>
      <c r="I235" s="5"/>
      <c r="J235" s="5"/>
      <c r="K235" s="5">
        <v>0</v>
      </c>
      <c r="L235" s="56">
        <v>46023</v>
      </c>
      <c r="M235" s="5">
        <v>0</v>
      </c>
      <c r="N235" s="5"/>
      <c r="O235" s="5" t="s">
        <v>549</v>
      </c>
      <c r="P235" s="5">
        <v>1</v>
      </c>
      <c r="Q235" s="11" t="s">
        <v>615</v>
      </c>
    </row>
    <row r="236" spans="1:17" x14ac:dyDescent="0.25">
      <c r="A236" s="10">
        <v>1810</v>
      </c>
      <c r="B236" s="5" t="s">
        <v>59</v>
      </c>
      <c r="C236" s="5" t="s">
        <v>1025</v>
      </c>
      <c r="D236" s="5" t="s">
        <v>545</v>
      </c>
      <c r="E236" s="5" t="s">
        <v>546</v>
      </c>
      <c r="F236" s="5">
        <v>1</v>
      </c>
      <c r="G236" s="5" t="s">
        <v>566</v>
      </c>
      <c r="H236" s="5" t="s">
        <v>1024</v>
      </c>
      <c r="I236" s="5"/>
      <c r="J236" s="5"/>
      <c r="K236" s="5">
        <v>680</v>
      </c>
      <c r="L236" s="56">
        <v>46023</v>
      </c>
      <c r="M236" s="5">
        <v>0</v>
      </c>
      <c r="N236" s="5"/>
      <c r="O236" s="5" t="s">
        <v>549</v>
      </c>
      <c r="P236" s="5">
        <v>1</v>
      </c>
      <c r="Q236" s="11" t="s">
        <v>613</v>
      </c>
    </row>
    <row r="237" spans="1:17" x14ac:dyDescent="0.25">
      <c r="A237" s="10">
        <v>1811</v>
      </c>
      <c r="B237" s="5" t="s">
        <v>59</v>
      </c>
      <c r="C237" s="5" t="s">
        <v>1025</v>
      </c>
      <c r="D237" s="5" t="s">
        <v>545</v>
      </c>
      <c r="E237" s="5" t="s">
        <v>546</v>
      </c>
      <c r="F237" s="5">
        <v>2</v>
      </c>
      <c r="G237" s="5" t="s">
        <v>547</v>
      </c>
      <c r="H237" s="5" t="s">
        <v>614</v>
      </c>
      <c r="I237" s="5"/>
      <c r="J237" s="5"/>
      <c r="K237" s="5">
        <v>0</v>
      </c>
      <c r="L237" s="56">
        <v>46023</v>
      </c>
      <c r="M237" s="5">
        <v>0</v>
      </c>
      <c r="N237" s="5"/>
      <c r="O237" s="5" t="s">
        <v>549</v>
      </c>
      <c r="P237" s="5">
        <v>1</v>
      </c>
      <c r="Q237" s="11" t="s">
        <v>615</v>
      </c>
    </row>
    <row r="238" spans="1:17" x14ac:dyDescent="0.25">
      <c r="A238" s="10">
        <v>1562</v>
      </c>
      <c r="B238" s="5" t="s">
        <v>85</v>
      </c>
      <c r="C238" s="5" t="s">
        <v>1026</v>
      </c>
      <c r="D238" s="5" t="s">
        <v>545</v>
      </c>
      <c r="E238" s="5" t="s">
        <v>546</v>
      </c>
      <c r="F238" s="5">
        <v>1</v>
      </c>
      <c r="G238" s="5" t="s">
        <v>566</v>
      </c>
      <c r="H238" s="5" t="s">
        <v>1024</v>
      </c>
      <c r="I238" s="5"/>
      <c r="J238" s="5"/>
      <c r="K238" s="5">
        <v>680</v>
      </c>
      <c r="L238" s="56">
        <v>46023</v>
      </c>
      <c r="M238" s="5">
        <v>0</v>
      </c>
      <c r="N238" s="5"/>
      <c r="O238" s="5" t="s">
        <v>549</v>
      </c>
      <c r="P238" s="5">
        <v>1</v>
      </c>
      <c r="Q238" s="11" t="s">
        <v>613</v>
      </c>
    </row>
    <row r="239" spans="1:17" x14ac:dyDescent="0.25">
      <c r="A239" s="10">
        <v>1563</v>
      </c>
      <c r="B239" s="5" t="s">
        <v>85</v>
      </c>
      <c r="C239" s="5" t="s">
        <v>1026</v>
      </c>
      <c r="D239" s="5" t="s">
        <v>545</v>
      </c>
      <c r="E239" s="5" t="s">
        <v>546</v>
      </c>
      <c r="F239" s="5">
        <v>2</v>
      </c>
      <c r="G239" s="5" t="s">
        <v>547</v>
      </c>
      <c r="H239" s="5" t="s">
        <v>614</v>
      </c>
      <c r="I239" s="5"/>
      <c r="J239" s="5"/>
      <c r="K239" s="5">
        <v>0</v>
      </c>
      <c r="L239" s="56">
        <v>46023</v>
      </c>
      <c r="M239" s="5">
        <v>0</v>
      </c>
      <c r="N239" s="5"/>
      <c r="O239" s="5" t="s">
        <v>549</v>
      </c>
      <c r="P239" s="5">
        <v>1</v>
      </c>
      <c r="Q239" s="11" t="s">
        <v>615</v>
      </c>
    </row>
    <row r="240" spans="1:17" x14ac:dyDescent="0.25">
      <c r="A240" s="10">
        <v>1579</v>
      </c>
      <c r="B240" s="5" t="s">
        <v>85</v>
      </c>
      <c r="C240" s="5" t="s">
        <v>1026</v>
      </c>
      <c r="D240" s="5" t="s">
        <v>545</v>
      </c>
      <c r="E240" s="5" t="s">
        <v>546</v>
      </c>
      <c r="F240" s="5">
        <v>4</v>
      </c>
      <c r="G240" s="5" t="s">
        <v>566</v>
      </c>
      <c r="H240" s="5" t="s">
        <v>616</v>
      </c>
      <c r="I240" s="5"/>
      <c r="J240" s="5"/>
      <c r="K240" s="5">
        <v>0</v>
      </c>
      <c r="L240" s="56">
        <v>46023</v>
      </c>
      <c r="M240" s="5">
        <v>0</v>
      </c>
      <c r="N240" s="5"/>
      <c r="O240" s="5" t="s">
        <v>549</v>
      </c>
      <c r="P240" s="5">
        <v>1</v>
      </c>
      <c r="Q240" s="11" t="s">
        <v>617</v>
      </c>
    </row>
    <row r="241" spans="1:17" x14ac:dyDescent="0.25">
      <c r="A241" s="10">
        <v>1580</v>
      </c>
      <c r="B241" s="5" t="s">
        <v>85</v>
      </c>
      <c r="C241" s="5" t="s">
        <v>1026</v>
      </c>
      <c r="D241" s="5" t="s">
        <v>545</v>
      </c>
      <c r="E241" s="5" t="s">
        <v>546</v>
      </c>
      <c r="F241" s="5">
        <v>5</v>
      </c>
      <c r="G241" s="5" t="s">
        <v>566</v>
      </c>
      <c r="H241" s="5" t="s">
        <v>618</v>
      </c>
      <c r="I241" s="5"/>
      <c r="J241" s="5"/>
      <c r="K241" s="5">
        <v>0</v>
      </c>
      <c r="L241" s="56">
        <v>46023</v>
      </c>
      <c r="M241" s="5">
        <v>0</v>
      </c>
      <c r="N241" s="5"/>
      <c r="O241" s="5" t="s">
        <v>549</v>
      </c>
      <c r="P241" s="5">
        <v>1</v>
      </c>
      <c r="Q241" s="11" t="s">
        <v>619</v>
      </c>
    </row>
    <row r="242" spans="1:17" x14ac:dyDescent="0.25">
      <c r="A242" s="10">
        <v>1568</v>
      </c>
      <c r="B242" s="5" t="s">
        <v>89</v>
      </c>
      <c r="C242" s="5" t="s">
        <v>1027</v>
      </c>
      <c r="D242" s="5" t="s">
        <v>545</v>
      </c>
      <c r="E242" s="5" t="s">
        <v>546</v>
      </c>
      <c r="F242" s="5">
        <v>1</v>
      </c>
      <c r="G242" s="5" t="s">
        <v>566</v>
      </c>
      <c r="H242" s="5" t="s">
        <v>1028</v>
      </c>
      <c r="I242" s="5"/>
      <c r="J242" s="5"/>
      <c r="K242" s="5">
        <v>800</v>
      </c>
      <c r="L242" s="56">
        <v>46023</v>
      </c>
      <c r="M242" s="5">
        <v>0</v>
      </c>
      <c r="N242" s="5"/>
      <c r="O242" s="5" t="s">
        <v>549</v>
      </c>
      <c r="P242" s="5">
        <v>1</v>
      </c>
      <c r="Q242" s="11" t="s">
        <v>613</v>
      </c>
    </row>
    <row r="243" spans="1:17" x14ac:dyDescent="0.25">
      <c r="A243" s="10">
        <v>1569</v>
      </c>
      <c r="B243" s="5" t="s">
        <v>89</v>
      </c>
      <c r="C243" s="5" t="s">
        <v>1027</v>
      </c>
      <c r="D243" s="5" t="s">
        <v>545</v>
      </c>
      <c r="E243" s="5" t="s">
        <v>546</v>
      </c>
      <c r="F243" s="5">
        <v>2</v>
      </c>
      <c r="G243" s="5" t="s">
        <v>547</v>
      </c>
      <c r="H243" s="5" t="s">
        <v>1029</v>
      </c>
      <c r="I243" s="5"/>
      <c r="J243" s="5"/>
      <c r="K243" s="5">
        <v>4.28</v>
      </c>
      <c r="L243" s="56">
        <v>46023</v>
      </c>
      <c r="M243" s="5">
        <v>0</v>
      </c>
      <c r="N243" s="5"/>
      <c r="O243" s="5" t="s">
        <v>549</v>
      </c>
      <c r="P243" s="5">
        <v>1</v>
      </c>
      <c r="Q243" s="11" t="s">
        <v>550</v>
      </c>
    </row>
    <row r="244" spans="1:17" x14ac:dyDescent="0.25">
      <c r="A244" s="10">
        <v>1583</v>
      </c>
      <c r="B244" s="5" t="s">
        <v>89</v>
      </c>
      <c r="C244" s="5" t="s">
        <v>1027</v>
      </c>
      <c r="D244" s="5" t="s">
        <v>545</v>
      </c>
      <c r="E244" s="5" t="s">
        <v>546</v>
      </c>
      <c r="F244" s="5">
        <v>3</v>
      </c>
      <c r="G244" s="5" t="s">
        <v>566</v>
      </c>
      <c r="H244" s="5" t="s">
        <v>616</v>
      </c>
      <c r="I244" s="5"/>
      <c r="J244" s="5"/>
      <c r="K244" s="5">
        <v>0</v>
      </c>
      <c r="L244" s="56">
        <v>46023</v>
      </c>
      <c r="M244" s="5">
        <v>0</v>
      </c>
      <c r="N244" s="5"/>
      <c r="O244" s="5" t="s">
        <v>549</v>
      </c>
      <c r="P244" s="5">
        <v>1</v>
      </c>
      <c r="Q244" s="11" t="s">
        <v>617</v>
      </c>
    </row>
    <row r="245" spans="1:17" x14ac:dyDescent="0.25">
      <c r="A245" s="10">
        <v>1584</v>
      </c>
      <c r="B245" s="5" t="s">
        <v>89</v>
      </c>
      <c r="C245" s="5" t="s">
        <v>1027</v>
      </c>
      <c r="D245" s="5" t="s">
        <v>545</v>
      </c>
      <c r="E245" s="5" t="s">
        <v>546</v>
      </c>
      <c r="F245" s="5">
        <v>4</v>
      </c>
      <c r="G245" s="5" t="s">
        <v>566</v>
      </c>
      <c r="H245" s="5" t="s">
        <v>618</v>
      </c>
      <c r="I245" s="5"/>
      <c r="J245" s="5"/>
      <c r="K245" s="5">
        <v>0</v>
      </c>
      <c r="L245" s="56">
        <v>46023</v>
      </c>
      <c r="M245" s="5">
        <v>0</v>
      </c>
      <c r="N245" s="5"/>
      <c r="O245" s="5" t="s">
        <v>549</v>
      </c>
      <c r="P245" s="5">
        <v>1</v>
      </c>
      <c r="Q245" s="11" t="s">
        <v>619</v>
      </c>
    </row>
    <row r="246" spans="1:17" x14ac:dyDescent="0.25">
      <c r="A246" s="10">
        <v>1703</v>
      </c>
      <c r="B246" s="5" t="s">
        <v>89</v>
      </c>
      <c r="C246" s="5" t="s">
        <v>1027</v>
      </c>
      <c r="D246" s="5" t="s">
        <v>545</v>
      </c>
      <c r="E246" s="5" t="s">
        <v>546</v>
      </c>
      <c r="F246" s="5">
        <v>5</v>
      </c>
      <c r="G246" s="5" t="s">
        <v>547</v>
      </c>
      <c r="H246" s="5" t="s">
        <v>1030</v>
      </c>
      <c r="I246" s="5"/>
      <c r="J246" s="5"/>
      <c r="K246" s="5">
        <v>6.4</v>
      </c>
      <c r="L246" s="56">
        <v>46023</v>
      </c>
      <c r="M246" s="5">
        <v>0</v>
      </c>
      <c r="N246" s="5"/>
      <c r="O246" s="5" t="s">
        <v>549</v>
      </c>
      <c r="P246" s="5">
        <v>1</v>
      </c>
      <c r="Q246" s="11" t="s">
        <v>552</v>
      </c>
    </row>
    <row r="247" spans="1:17" x14ac:dyDescent="0.25">
      <c r="A247" s="10">
        <v>1571</v>
      </c>
      <c r="B247" s="5" t="s">
        <v>88</v>
      </c>
      <c r="C247" s="5" t="s">
        <v>1031</v>
      </c>
      <c r="D247" s="5" t="s">
        <v>545</v>
      </c>
      <c r="E247" s="5" t="s">
        <v>546</v>
      </c>
      <c r="F247" s="5">
        <v>1</v>
      </c>
      <c r="G247" s="5" t="s">
        <v>566</v>
      </c>
      <c r="H247" s="5" t="s">
        <v>1032</v>
      </c>
      <c r="I247" s="5"/>
      <c r="J247" s="5"/>
      <c r="K247" s="5">
        <v>2000</v>
      </c>
      <c r="L247" s="56">
        <v>46023</v>
      </c>
      <c r="M247" s="5">
        <v>0</v>
      </c>
      <c r="N247" s="5"/>
      <c r="O247" s="5" t="s">
        <v>549</v>
      </c>
      <c r="P247" s="5">
        <v>1</v>
      </c>
      <c r="Q247" s="11" t="s">
        <v>613</v>
      </c>
    </row>
    <row r="248" spans="1:17" x14ac:dyDescent="0.25">
      <c r="A248" s="10">
        <v>1572</v>
      </c>
      <c r="B248" s="5" t="s">
        <v>88</v>
      </c>
      <c r="C248" s="5" t="s">
        <v>1031</v>
      </c>
      <c r="D248" s="5" t="s">
        <v>545</v>
      </c>
      <c r="E248" s="5" t="s">
        <v>546</v>
      </c>
      <c r="F248" s="5">
        <v>2</v>
      </c>
      <c r="G248" s="5" t="s">
        <v>547</v>
      </c>
      <c r="H248" s="5" t="s">
        <v>1033</v>
      </c>
      <c r="I248" s="5"/>
      <c r="J248" s="5"/>
      <c r="K248" s="5">
        <v>4.28</v>
      </c>
      <c r="L248" s="56">
        <v>46023</v>
      </c>
      <c r="M248" s="5">
        <v>0</v>
      </c>
      <c r="N248" s="5"/>
      <c r="O248" s="5" t="s">
        <v>549</v>
      </c>
      <c r="P248" s="5">
        <v>1</v>
      </c>
      <c r="Q248" s="11" t="s">
        <v>550</v>
      </c>
    </row>
    <row r="249" spans="1:17" x14ac:dyDescent="0.25">
      <c r="A249" s="10">
        <v>1585</v>
      </c>
      <c r="B249" s="5" t="s">
        <v>88</v>
      </c>
      <c r="C249" s="5" t="s">
        <v>1031</v>
      </c>
      <c r="D249" s="5" t="s">
        <v>545</v>
      </c>
      <c r="E249" s="5" t="s">
        <v>546</v>
      </c>
      <c r="F249" s="5">
        <v>3</v>
      </c>
      <c r="G249" s="5" t="s">
        <v>566</v>
      </c>
      <c r="H249" s="5" t="s">
        <v>616</v>
      </c>
      <c r="I249" s="5"/>
      <c r="J249" s="5"/>
      <c r="K249" s="5">
        <v>0</v>
      </c>
      <c r="L249" s="56">
        <v>46023</v>
      </c>
      <c r="M249" s="5">
        <v>0</v>
      </c>
      <c r="N249" s="5"/>
      <c r="O249" s="5" t="s">
        <v>549</v>
      </c>
      <c r="P249" s="5">
        <v>1</v>
      </c>
      <c r="Q249" s="11" t="s">
        <v>617</v>
      </c>
    </row>
    <row r="250" spans="1:17" x14ac:dyDescent="0.25">
      <c r="A250" s="10">
        <v>1586</v>
      </c>
      <c r="B250" s="5" t="s">
        <v>88</v>
      </c>
      <c r="C250" s="5" t="s">
        <v>1031</v>
      </c>
      <c r="D250" s="5" t="s">
        <v>545</v>
      </c>
      <c r="E250" s="5" t="s">
        <v>546</v>
      </c>
      <c r="F250" s="5">
        <v>4</v>
      </c>
      <c r="G250" s="5" t="s">
        <v>566</v>
      </c>
      <c r="H250" s="5" t="s">
        <v>618</v>
      </c>
      <c r="I250" s="5"/>
      <c r="J250" s="5"/>
      <c r="K250" s="5">
        <v>0</v>
      </c>
      <c r="L250" s="56">
        <v>46023</v>
      </c>
      <c r="M250" s="5">
        <v>0</v>
      </c>
      <c r="N250" s="5"/>
      <c r="O250" s="5" t="s">
        <v>549</v>
      </c>
      <c r="P250" s="5">
        <v>1</v>
      </c>
      <c r="Q250" s="11" t="s">
        <v>619</v>
      </c>
    </row>
    <row r="251" spans="1:17" x14ac:dyDescent="0.25">
      <c r="A251" s="10">
        <v>1704</v>
      </c>
      <c r="B251" s="5" t="s">
        <v>88</v>
      </c>
      <c r="C251" s="5" t="s">
        <v>1031</v>
      </c>
      <c r="D251" s="5" t="s">
        <v>545</v>
      </c>
      <c r="E251" s="5" t="s">
        <v>546</v>
      </c>
      <c r="F251" s="5">
        <v>5</v>
      </c>
      <c r="G251" s="5" t="s">
        <v>547</v>
      </c>
      <c r="H251" s="5" t="s">
        <v>1034</v>
      </c>
      <c r="I251" s="5"/>
      <c r="J251" s="5"/>
      <c r="K251" s="5">
        <v>6.4</v>
      </c>
      <c r="L251" s="56">
        <v>46023</v>
      </c>
      <c r="M251" s="5">
        <v>0</v>
      </c>
      <c r="N251" s="5"/>
      <c r="O251" s="5" t="s">
        <v>549</v>
      </c>
      <c r="P251" s="5">
        <v>1</v>
      </c>
      <c r="Q251" s="11" t="s">
        <v>552</v>
      </c>
    </row>
    <row r="252" spans="1:17" x14ac:dyDescent="0.25">
      <c r="A252" s="10">
        <v>1973</v>
      </c>
      <c r="B252" s="5" t="s">
        <v>1035</v>
      </c>
      <c r="C252" s="5" t="s">
        <v>1036</v>
      </c>
      <c r="D252" s="5" t="s">
        <v>545</v>
      </c>
      <c r="E252" s="5" t="s">
        <v>546</v>
      </c>
      <c r="F252" s="5">
        <v>1</v>
      </c>
      <c r="G252" s="5" t="s">
        <v>566</v>
      </c>
      <c r="H252" s="5" t="s">
        <v>1037</v>
      </c>
      <c r="I252" s="5"/>
      <c r="J252" s="5"/>
      <c r="K252" s="5">
        <v>0</v>
      </c>
      <c r="L252" s="56">
        <v>46023</v>
      </c>
      <c r="M252" s="5">
        <v>0</v>
      </c>
      <c r="N252" s="5"/>
      <c r="O252" s="5" t="s">
        <v>549</v>
      </c>
      <c r="P252" s="5">
        <v>1</v>
      </c>
      <c r="Q252" s="11" t="s">
        <v>613</v>
      </c>
    </row>
    <row r="253" spans="1:17" x14ac:dyDescent="0.25">
      <c r="A253" s="10">
        <v>1974</v>
      </c>
      <c r="B253" s="5" t="s">
        <v>1035</v>
      </c>
      <c r="C253" s="5" t="s">
        <v>1036</v>
      </c>
      <c r="D253" s="5" t="s">
        <v>545</v>
      </c>
      <c r="E253" s="5" t="s">
        <v>546</v>
      </c>
      <c r="F253" s="5">
        <v>2</v>
      </c>
      <c r="G253" s="5" t="s">
        <v>547</v>
      </c>
      <c r="H253" s="5" t="s">
        <v>614</v>
      </c>
      <c r="I253" s="5"/>
      <c r="J253" s="5"/>
      <c r="K253" s="5">
        <v>0</v>
      </c>
      <c r="L253" s="56">
        <v>46023</v>
      </c>
      <c r="M253" s="5">
        <v>0</v>
      </c>
      <c r="N253" s="5"/>
      <c r="O253" s="5" t="s">
        <v>549</v>
      </c>
      <c r="P253" s="5">
        <v>1</v>
      </c>
      <c r="Q253" s="11" t="s">
        <v>615</v>
      </c>
    </row>
    <row r="254" spans="1:17" x14ac:dyDescent="0.25">
      <c r="A254" s="10">
        <v>1575</v>
      </c>
      <c r="B254" s="5" t="s">
        <v>93</v>
      </c>
      <c r="C254" s="5" t="s">
        <v>1038</v>
      </c>
      <c r="D254" s="5" t="s">
        <v>545</v>
      </c>
      <c r="E254" s="5" t="s">
        <v>546</v>
      </c>
      <c r="F254" s="5">
        <v>1</v>
      </c>
      <c r="G254" s="5" t="s">
        <v>566</v>
      </c>
      <c r="H254" s="5" t="s">
        <v>1039</v>
      </c>
      <c r="I254" s="5"/>
      <c r="J254" s="5"/>
      <c r="K254" s="5">
        <v>1680</v>
      </c>
      <c r="L254" s="56">
        <v>46023</v>
      </c>
      <c r="M254" s="5">
        <v>0</v>
      </c>
      <c r="N254" s="5"/>
      <c r="O254" s="5" t="s">
        <v>549</v>
      </c>
      <c r="P254" s="5">
        <v>1</v>
      </c>
      <c r="Q254" s="11" t="s">
        <v>613</v>
      </c>
    </row>
    <row r="255" spans="1:17" x14ac:dyDescent="0.25">
      <c r="A255" s="10">
        <v>1576</v>
      </c>
      <c r="B255" s="5" t="s">
        <v>93</v>
      </c>
      <c r="C255" s="5" t="s">
        <v>1038</v>
      </c>
      <c r="D255" s="5" t="s">
        <v>545</v>
      </c>
      <c r="E255" s="5" t="s">
        <v>546</v>
      </c>
      <c r="F255" s="5">
        <v>2</v>
      </c>
      <c r="G255" s="5" t="s">
        <v>547</v>
      </c>
      <c r="H255" s="5" t="s">
        <v>1040</v>
      </c>
      <c r="I255" s="5"/>
      <c r="J255" s="5"/>
      <c r="K255" s="5">
        <v>4.28</v>
      </c>
      <c r="L255" s="56">
        <v>46023</v>
      </c>
      <c r="M255" s="5">
        <v>0</v>
      </c>
      <c r="N255" s="5"/>
      <c r="O255" s="5" t="s">
        <v>549</v>
      </c>
      <c r="P255" s="5">
        <v>1</v>
      </c>
      <c r="Q255" s="11" t="s">
        <v>560</v>
      </c>
    </row>
    <row r="256" spans="1:17" x14ac:dyDescent="0.25">
      <c r="A256" s="10">
        <v>1587</v>
      </c>
      <c r="B256" s="5" t="s">
        <v>93</v>
      </c>
      <c r="C256" s="5" t="s">
        <v>1038</v>
      </c>
      <c r="D256" s="5" t="s">
        <v>545</v>
      </c>
      <c r="E256" s="5" t="s">
        <v>546</v>
      </c>
      <c r="F256" s="5">
        <v>3</v>
      </c>
      <c r="G256" s="5" t="s">
        <v>566</v>
      </c>
      <c r="H256" s="5" t="s">
        <v>616</v>
      </c>
      <c r="I256" s="5"/>
      <c r="J256" s="5"/>
      <c r="K256" s="5">
        <v>0</v>
      </c>
      <c r="L256" s="56">
        <v>46023</v>
      </c>
      <c r="M256" s="5">
        <v>0</v>
      </c>
      <c r="N256" s="5"/>
      <c r="O256" s="5" t="s">
        <v>549</v>
      </c>
      <c r="P256" s="5">
        <v>1</v>
      </c>
      <c r="Q256" s="11" t="s">
        <v>617</v>
      </c>
    </row>
    <row r="257" spans="1:17" x14ac:dyDescent="0.25">
      <c r="A257" s="10">
        <v>1588</v>
      </c>
      <c r="B257" s="5" t="s">
        <v>93</v>
      </c>
      <c r="C257" s="5" t="s">
        <v>1038</v>
      </c>
      <c r="D257" s="5" t="s">
        <v>545</v>
      </c>
      <c r="E257" s="5" t="s">
        <v>546</v>
      </c>
      <c r="F257" s="5">
        <v>4</v>
      </c>
      <c r="G257" s="5" t="s">
        <v>566</v>
      </c>
      <c r="H257" s="5" t="s">
        <v>618</v>
      </c>
      <c r="I257" s="5"/>
      <c r="J257" s="5"/>
      <c r="K257" s="5">
        <v>0</v>
      </c>
      <c r="L257" s="56">
        <v>46023</v>
      </c>
      <c r="M257" s="5">
        <v>0</v>
      </c>
      <c r="N257" s="5"/>
      <c r="O257" s="5" t="s">
        <v>549</v>
      </c>
      <c r="P257" s="5">
        <v>1</v>
      </c>
      <c r="Q257" s="11" t="s">
        <v>619</v>
      </c>
    </row>
    <row r="258" spans="1:17" x14ac:dyDescent="0.25">
      <c r="A258" s="10">
        <v>1705</v>
      </c>
      <c r="B258" s="5" t="s">
        <v>93</v>
      </c>
      <c r="C258" s="5" t="s">
        <v>1038</v>
      </c>
      <c r="D258" s="5" t="s">
        <v>545</v>
      </c>
      <c r="E258" s="5" t="s">
        <v>546</v>
      </c>
      <c r="F258" s="5">
        <v>5</v>
      </c>
      <c r="G258" s="5" t="s">
        <v>547</v>
      </c>
      <c r="H258" s="5" t="s">
        <v>1041</v>
      </c>
      <c r="I258" s="5"/>
      <c r="J258" s="5"/>
      <c r="K258" s="5">
        <v>8</v>
      </c>
      <c r="L258" s="56">
        <v>46023</v>
      </c>
      <c r="M258" s="5">
        <v>0</v>
      </c>
      <c r="N258" s="5"/>
      <c r="O258" s="5" t="s">
        <v>549</v>
      </c>
      <c r="P258" s="5">
        <v>1</v>
      </c>
      <c r="Q258" s="11" t="s">
        <v>562</v>
      </c>
    </row>
    <row r="259" spans="1:17" x14ac:dyDescent="0.25">
      <c r="A259" s="10">
        <v>1573</v>
      </c>
      <c r="B259" s="5" t="s">
        <v>92</v>
      </c>
      <c r="C259" s="5" t="s">
        <v>1042</v>
      </c>
      <c r="D259" s="5" t="s">
        <v>545</v>
      </c>
      <c r="E259" s="5" t="s">
        <v>546</v>
      </c>
      <c r="F259" s="5">
        <v>1</v>
      </c>
      <c r="G259" s="5" t="s">
        <v>566</v>
      </c>
      <c r="H259" s="5" t="s">
        <v>1043</v>
      </c>
      <c r="I259" s="5"/>
      <c r="J259" s="5"/>
      <c r="K259" s="5">
        <v>3600</v>
      </c>
      <c r="L259" s="56">
        <v>46023</v>
      </c>
      <c r="M259" s="5">
        <v>0</v>
      </c>
      <c r="N259" s="5"/>
      <c r="O259" s="5" t="s">
        <v>549</v>
      </c>
      <c r="P259" s="5">
        <v>1</v>
      </c>
      <c r="Q259" s="11" t="s">
        <v>613</v>
      </c>
    </row>
    <row r="260" spans="1:17" x14ac:dyDescent="0.25">
      <c r="A260" s="10">
        <v>1574</v>
      </c>
      <c r="B260" s="5" t="s">
        <v>92</v>
      </c>
      <c r="C260" s="5" t="s">
        <v>1042</v>
      </c>
      <c r="D260" s="5" t="s">
        <v>545</v>
      </c>
      <c r="E260" s="5" t="s">
        <v>546</v>
      </c>
      <c r="F260" s="5">
        <v>2</v>
      </c>
      <c r="G260" s="5" t="s">
        <v>547</v>
      </c>
      <c r="H260" s="5" t="s">
        <v>1044</v>
      </c>
      <c r="I260" s="5"/>
      <c r="J260" s="5"/>
      <c r="K260" s="5">
        <v>4.28</v>
      </c>
      <c r="L260" s="56">
        <v>46023</v>
      </c>
      <c r="M260" s="5">
        <v>0</v>
      </c>
      <c r="N260" s="5"/>
      <c r="O260" s="5" t="s">
        <v>549</v>
      </c>
      <c r="P260" s="5">
        <v>1</v>
      </c>
      <c r="Q260" s="11" t="s">
        <v>560</v>
      </c>
    </row>
    <row r="261" spans="1:17" x14ac:dyDescent="0.25">
      <c r="A261" s="10">
        <v>1589</v>
      </c>
      <c r="B261" s="5" t="s">
        <v>92</v>
      </c>
      <c r="C261" s="5" t="s">
        <v>1042</v>
      </c>
      <c r="D261" s="5" t="s">
        <v>545</v>
      </c>
      <c r="E261" s="5" t="s">
        <v>546</v>
      </c>
      <c r="F261" s="5">
        <v>3</v>
      </c>
      <c r="G261" s="5" t="s">
        <v>566</v>
      </c>
      <c r="H261" s="5" t="s">
        <v>616</v>
      </c>
      <c r="I261" s="5"/>
      <c r="J261" s="5"/>
      <c r="K261" s="5">
        <v>0</v>
      </c>
      <c r="L261" s="56">
        <v>46023</v>
      </c>
      <c r="M261" s="5">
        <v>0</v>
      </c>
      <c r="N261" s="5"/>
      <c r="O261" s="5" t="s">
        <v>549</v>
      </c>
      <c r="P261" s="5">
        <v>1</v>
      </c>
      <c r="Q261" s="11" t="s">
        <v>617</v>
      </c>
    </row>
    <row r="262" spans="1:17" x14ac:dyDescent="0.25">
      <c r="A262" s="10">
        <v>1590</v>
      </c>
      <c r="B262" s="5" t="s">
        <v>92</v>
      </c>
      <c r="C262" s="5" t="s">
        <v>1042</v>
      </c>
      <c r="D262" s="5" t="s">
        <v>545</v>
      </c>
      <c r="E262" s="5" t="s">
        <v>546</v>
      </c>
      <c r="F262" s="5">
        <v>4</v>
      </c>
      <c r="G262" s="5" t="s">
        <v>566</v>
      </c>
      <c r="H262" s="5" t="s">
        <v>618</v>
      </c>
      <c r="I262" s="5"/>
      <c r="J262" s="5"/>
      <c r="K262" s="5">
        <v>0</v>
      </c>
      <c r="L262" s="56">
        <v>46023</v>
      </c>
      <c r="M262" s="5">
        <v>0</v>
      </c>
      <c r="N262" s="5"/>
      <c r="O262" s="5" t="s">
        <v>549</v>
      </c>
      <c r="P262" s="5">
        <v>1</v>
      </c>
      <c r="Q262" s="11" t="s">
        <v>619</v>
      </c>
    </row>
    <row r="263" spans="1:17" x14ac:dyDescent="0.25">
      <c r="A263" s="10">
        <v>1706</v>
      </c>
      <c r="B263" s="5" t="s">
        <v>92</v>
      </c>
      <c r="C263" s="5" t="s">
        <v>1042</v>
      </c>
      <c r="D263" s="5" t="s">
        <v>545</v>
      </c>
      <c r="E263" s="5" t="s">
        <v>546</v>
      </c>
      <c r="F263" s="5">
        <v>5</v>
      </c>
      <c r="G263" s="5" t="s">
        <v>547</v>
      </c>
      <c r="H263" s="5" t="s">
        <v>1045</v>
      </c>
      <c r="I263" s="5"/>
      <c r="J263" s="5"/>
      <c r="K263" s="5">
        <v>8</v>
      </c>
      <c r="L263" s="56">
        <v>46023</v>
      </c>
      <c r="M263" s="5">
        <v>0</v>
      </c>
      <c r="N263" s="5"/>
      <c r="O263" s="5" t="s">
        <v>549</v>
      </c>
      <c r="P263" s="5">
        <v>1</v>
      </c>
      <c r="Q263" s="11" t="s">
        <v>562</v>
      </c>
    </row>
    <row r="264" spans="1:17" x14ac:dyDescent="0.25">
      <c r="A264" s="10">
        <v>1771</v>
      </c>
      <c r="B264" s="5" t="s">
        <v>1046</v>
      </c>
      <c r="C264" s="5" t="s">
        <v>1047</v>
      </c>
      <c r="D264" s="5" t="s">
        <v>545</v>
      </c>
      <c r="E264" s="5" t="s">
        <v>546</v>
      </c>
      <c r="F264" s="5">
        <v>1</v>
      </c>
      <c r="G264" s="5" t="s">
        <v>547</v>
      </c>
      <c r="H264" s="5" t="s">
        <v>1047</v>
      </c>
      <c r="I264" s="5"/>
      <c r="J264" s="5"/>
      <c r="K264" s="5">
        <v>320</v>
      </c>
      <c r="L264" s="56">
        <v>46023</v>
      </c>
      <c r="M264" s="5">
        <v>0</v>
      </c>
      <c r="N264" s="5"/>
      <c r="O264" s="5" t="s">
        <v>549</v>
      </c>
      <c r="P264" s="5">
        <v>1</v>
      </c>
      <c r="Q264" s="11" t="s">
        <v>686</v>
      </c>
    </row>
    <row r="265" spans="1:17" x14ac:dyDescent="0.25">
      <c r="A265" s="10">
        <v>1788</v>
      </c>
      <c r="B265" s="5" t="s">
        <v>1048</v>
      </c>
      <c r="C265" s="5" t="s">
        <v>163</v>
      </c>
      <c r="D265" s="5" t="s">
        <v>545</v>
      </c>
      <c r="E265" s="5" t="s">
        <v>546</v>
      </c>
      <c r="F265" s="5">
        <v>1</v>
      </c>
      <c r="G265" s="5" t="s">
        <v>547</v>
      </c>
      <c r="H265" s="5" t="s">
        <v>163</v>
      </c>
      <c r="I265" s="5"/>
      <c r="J265" s="5"/>
      <c r="K265" s="5">
        <v>2.2799999999999998</v>
      </c>
      <c r="L265" s="56">
        <v>46023</v>
      </c>
      <c r="M265" s="5">
        <v>0</v>
      </c>
      <c r="N265" s="5"/>
      <c r="O265" s="5" t="s">
        <v>549</v>
      </c>
      <c r="P265" s="5">
        <v>1</v>
      </c>
      <c r="Q265" s="11" t="s">
        <v>615</v>
      </c>
    </row>
    <row r="266" spans="1:17" x14ac:dyDescent="0.25">
      <c r="A266" s="10">
        <v>1947</v>
      </c>
      <c r="B266" s="5" t="s">
        <v>1049</v>
      </c>
      <c r="C266" s="5" t="s">
        <v>1050</v>
      </c>
      <c r="D266" s="5" t="s">
        <v>545</v>
      </c>
      <c r="E266" s="5" t="s">
        <v>546</v>
      </c>
      <c r="F266" s="5">
        <v>1</v>
      </c>
      <c r="G266" s="5" t="s">
        <v>566</v>
      </c>
      <c r="H266" s="5" t="s">
        <v>1050</v>
      </c>
      <c r="I266" s="5"/>
      <c r="J266" s="5"/>
      <c r="K266" s="5">
        <v>0</v>
      </c>
      <c r="L266" s="56">
        <v>46023</v>
      </c>
      <c r="M266" s="5">
        <v>0</v>
      </c>
      <c r="N266" s="5"/>
      <c r="O266" s="5" t="s">
        <v>549</v>
      </c>
      <c r="P266" s="5">
        <v>1</v>
      </c>
      <c r="Q266" s="11" t="s">
        <v>567</v>
      </c>
    </row>
    <row r="267" spans="1:17" x14ac:dyDescent="0.25">
      <c r="A267" s="10">
        <v>1958</v>
      </c>
      <c r="B267" s="5" t="s">
        <v>1049</v>
      </c>
      <c r="C267" s="5" t="s">
        <v>1050</v>
      </c>
      <c r="D267" s="5" t="s">
        <v>545</v>
      </c>
      <c r="E267" s="5" t="s">
        <v>546</v>
      </c>
      <c r="F267" s="5">
        <v>2</v>
      </c>
      <c r="G267" s="5" t="s">
        <v>547</v>
      </c>
      <c r="H267" s="5" t="s">
        <v>163</v>
      </c>
      <c r="I267" s="5"/>
      <c r="J267" s="5"/>
      <c r="K267" s="5">
        <v>2.2799999999999998</v>
      </c>
      <c r="L267" s="56">
        <v>46023</v>
      </c>
      <c r="M267" s="5">
        <v>0</v>
      </c>
      <c r="N267" s="5"/>
      <c r="O267" s="5" t="s">
        <v>549</v>
      </c>
      <c r="P267" s="5">
        <v>1</v>
      </c>
      <c r="Q267" s="11" t="s">
        <v>615</v>
      </c>
    </row>
    <row r="268" spans="1:17" x14ac:dyDescent="0.25">
      <c r="A268" s="10">
        <v>1959</v>
      </c>
      <c r="B268" s="5" t="s">
        <v>1049</v>
      </c>
      <c r="C268" s="5" t="s">
        <v>1050</v>
      </c>
      <c r="D268" s="5" t="s">
        <v>545</v>
      </c>
      <c r="E268" s="5" t="s">
        <v>546</v>
      </c>
      <c r="F268" s="5">
        <v>3</v>
      </c>
      <c r="G268" s="5" t="s">
        <v>547</v>
      </c>
      <c r="H268" s="5" t="s">
        <v>1051</v>
      </c>
      <c r="I268" s="5"/>
      <c r="J268" s="5"/>
      <c r="K268" s="5">
        <v>550</v>
      </c>
      <c r="L268" s="56">
        <v>46023</v>
      </c>
      <c r="M268" s="5">
        <v>0</v>
      </c>
      <c r="N268" s="5"/>
      <c r="O268" s="5" t="s">
        <v>549</v>
      </c>
      <c r="P268" s="5">
        <v>1</v>
      </c>
      <c r="Q268" s="11" t="s">
        <v>613</v>
      </c>
    </row>
    <row r="269" spans="1:17" x14ac:dyDescent="0.25">
      <c r="A269" s="10">
        <v>1951</v>
      </c>
      <c r="B269" s="5" t="s">
        <v>1052</v>
      </c>
      <c r="C269" s="5" t="s">
        <v>621</v>
      </c>
      <c r="D269" s="5" t="s">
        <v>545</v>
      </c>
      <c r="E269" s="5" t="s">
        <v>546</v>
      </c>
      <c r="F269" s="5">
        <v>1</v>
      </c>
      <c r="G269" s="5" t="s">
        <v>566</v>
      </c>
      <c r="H269" s="5" t="s">
        <v>621</v>
      </c>
      <c r="I269" s="5"/>
      <c r="J269" s="5"/>
      <c r="K269" s="5">
        <v>0</v>
      </c>
      <c r="L269" s="56">
        <v>46023</v>
      </c>
      <c r="M269" s="5">
        <v>0</v>
      </c>
      <c r="N269" s="5"/>
      <c r="O269" s="5" t="s">
        <v>549</v>
      </c>
      <c r="P269" s="5">
        <v>1</v>
      </c>
      <c r="Q269" s="11" t="s">
        <v>567</v>
      </c>
    </row>
    <row r="270" spans="1:17" x14ac:dyDescent="0.25">
      <c r="A270" s="10">
        <v>1960</v>
      </c>
      <c r="B270" s="5" t="s">
        <v>1052</v>
      </c>
      <c r="C270" s="5" t="s">
        <v>621</v>
      </c>
      <c r="D270" s="5" t="s">
        <v>545</v>
      </c>
      <c r="E270" s="5" t="s">
        <v>546</v>
      </c>
      <c r="F270" s="5">
        <v>2</v>
      </c>
      <c r="G270" s="5" t="s">
        <v>547</v>
      </c>
      <c r="H270" s="5" t="s">
        <v>1021</v>
      </c>
      <c r="I270" s="5"/>
      <c r="J270" s="5"/>
      <c r="K270" s="5">
        <v>4.28</v>
      </c>
      <c r="L270" s="56">
        <v>46023</v>
      </c>
      <c r="M270" s="5">
        <v>0</v>
      </c>
      <c r="N270" s="5"/>
      <c r="O270" s="5" t="s">
        <v>549</v>
      </c>
      <c r="P270" s="5">
        <v>1</v>
      </c>
      <c r="Q270" s="11" t="s">
        <v>615</v>
      </c>
    </row>
    <row r="271" spans="1:17" x14ac:dyDescent="0.25">
      <c r="A271" s="10">
        <v>1961</v>
      </c>
      <c r="B271" s="5" t="s">
        <v>1052</v>
      </c>
      <c r="C271" s="5" t="s">
        <v>621</v>
      </c>
      <c r="D271" s="5" t="s">
        <v>545</v>
      </c>
      <c r="E271" s="5" t="s">
        <v>546</v>
      </c>
      <c r="F271" s="5">
        <v>3</v>
      </c>
      <c r="G271" s="5" t="s">
        <v>547</v>
      </c>
      <c r="H271" s="5" t="s">
        <v>1053</v>
      </c>
      <c r="I271" s="5"/>
      <c r="J271" s="5"/>
      <c r="K271" s="5">
        <v>550</v>
      </c>
      <c r="L271" s="56">
        <v>46023</v>
      </c>
      <c r="M271" s="5">
        <v>0</v>
      </c>
      <c r="N271" s="5"/>
      <c r="O271" s="5" t="s">
        <v>549</v>
      </c>
      <c r="P271" s="5">
        <v>1</v>
      </c>
      <c r="Q271" s="11" t="s">
        <v>613</v>
      </c>
    </row>
    <row r="272" spans="1:17" x14ac:dyDescent="0.25">
      <c r="A272" s="10">
        <v>1957</v>
      </c>
      <c r="B272" s="5" t="s">
        <v>1054</v>
      </c>
      <c r="C272" s="5" t="s">
        <v>1055</v>
      </c>
      <c r="D272" s="5" t="s">
        <v>545</v>
      </c>
      <c r="E272" s="5" t="s">
        <v>546</v>
      </c>
      <c r="F272" s="5">
        <v>1</v>
      </c>
      <c r="G272" s="5" t="s">
        <v>547</v>
      </c>
      <c r="H272" s="5" t="s">
        <v>1056</v>
      </c>
      <c r="I272" s="5"/>
      <c r="J272" s="5"/>
      <c r="K272" s="5">
        <v>4.28</v>
      </c>
      <c r="L272" s="56">
        <v>46023</v>
      </c>
      <c r="M272" s="5">
        <v>0</v>
      </c>
      <c r="N272" s="5"/>
      <c r="O272" s="5" t="s">
        <v>549</v>
      </c>
      <c r="P272" s="5">
        <v>1</v>
      </c>
      <c r="Q272" s="11" t="s">
        <v>615</v>
      </c>
    </row>
    <row r="273" spans="1:17" x14ac:dyDescent="0.25">
      <c r="A273" s="10">
        <v>1789</v>
      </c>
      <c r="B273" s="5" t="s">
        <v>1057</v>
      </c>
      <c r="C273" s="5" t="s">
        <v>165</v>
      </c>
      <c r="D273" s="5" t="s">
        <v>545</v>
      </c>
      <c r="E273" s="5" t="s">
        <v>546</v>
      </c>
      <c r="F273" s="5">
        <v>1</v>
      </c>
      <c r="G273" s="5" t="s">
        <v>547</v>
      </c>
      <c r="H273" s="5" t="s">
        <v>165</v>
      </c>
      <c r="I273" s="5"/>
      <c r="J273" s="5"/>
      <c r="K273" s="5">
        <v>4.28</v>
      </c>
      <c r="L273" s="56">
        <v>46023</v>
      </c>
      <c r="M273" s="5">
        <v>0</v>
      </c>
      <c r="N273" s="5"/>
      <c r="O273" s="5" t="s">
        <v>549</v>
      </c>
      <c r="P273" s="5">
        <v>1</v>
      </c>
      <c r="Q273" s="11" t="s">
        <v>615</v>
      </c>
    </row>
    <row r="274" spans="1:17" x14ac:dyDescent="0.25">
      <c r="A274" s="10">
        <v>1675</v>
      </c>
      <c r="B274" s="5" t="s">
        <v>1058</v>
      </c>
      <c r="C274" s="5" t="s">
        <v>1059</v>
      </c>
      <c r="D274" s="5" t="s">
        <v>730</v>
      </c>
      <c r="E274" s="5" t="s">
        <v>1060</v>
      </c>
      <c r="F274" s="5">
        <v>1</v>
      </c>
      <c r="G274" s="5" t="s">
        <v>731</v>
      </c>
      <c r="H274" s="5" t="s">
        <v>1061</v>
      </c>
      <c r="I274" s="5"/>
      <c r="J274" s="5"/>
      <c r="K274" s="5">
        <v>807.84</v>
      </c>
      <c r="L274" s="56">
        <v>46023</v>
      </c>
      <c r="M274" s="5">
        <v>0</v>
      </c>
      <c r="N274" s="5"/>
      <c r="O274" s="5" t="s">
        <v>549</v>
      </c>
      <c r="P274" s="5">
        <v>1</v>
      </c>
      <c r="Q274" s="11"/>
    </row>
    <row r="275" spans="1:17" x14ac:dyDescent="0.25">
      <c r="A275" s="10">
        <v>1676</v>
      </c>
      <c r="B275" s="5" t="s">
        <v>1058</v>
      </c>
      <c r="C275" s="5" t="s">
        <v>1059</v>
      </c>
      <c r="D275" s="5" t="s">
        <v>730</v>
      </c>
      <c r="E275" s="5" t="s">
        <v>1060</v>
      </c>
      <c r="F275" s="5">
        <v>2</v>
      </c>
      <c r="G275" s="5" t="s">
        <v>887</v>
      </c>
      <c r="H275" s="5" t="s">
        <v>1062</v>
      </c>
      <c r="I275" s="5"/>
      <c r="J275" s="5"/>
      <c r="K275" s="5">
        <v>19.170000000000002</v>
      </c>
      <c r="L275" s="56">
        <v>46023</v>
      </c>
      <c r="M275" s="5">
        <v>0</v>
      </c>
      <c r="N275" s="5"/>
      <c r="O275" s="5" t="s">
        <v>549</v>
      </c>
      <c r="P275" s="5">
        <v>1</v>
      </c>
      <c r="Q275" s="11"/>
    </row>
    <row r="276" spans="1:17" x14ac:dyDescent="0.25">
      <c r="A276" s="10">
        <v>1671</v>
      </c>
      <c r="B276" s="5" t="s">
        <v>1063</v>
      </c>
      <c r="C276" s="5" t="s">
        <v>1064</v>
      </c>
      <c r="D276" s="5" t="s">
        <v>730</v>
      </c>
      <c r="E276" s="5" t="s">
        <v>1060</v>
      </c>
      <c r="F276" s="5">
        <v>1</v>
      </c>
      <c r="G276" s="5" t="s">
        <v>731</v>
      </c>
      <c r="H276" s="5" t="s">
        <v>1061</v>
      </c>
      <c r="I276" s="5"/>
      <c r="J276" s="5"/>
      <c r="K276" s="5">
        <v>807.84</v>
      </c>
      <c r="L276" s="56">
        <v>46023</v>
      </c>
      <c r="M276" s="5">
        <v>0</v>
      </c>
      <c r="N276" s="5"/>
      <c r="O276" s="5" t="s">
        <v>549</v>
      </c>
      <c r="P276" s="5">
        <v>1</v>
      </c>
      <c r="Q276" s="11"/>
    </row>
    <row r="277" spans="1:17" x14ac:dyDescent="0.25">
      <c r="A277" s="10">
        <v>1672</v>
      </c>
      <c r="B277" s="5" t="s">
        <v>1063</v>
      </c>
      <c r="C277" s="5" t="s">
        <v>1064</v>
      </c>
      <c r="D277" s="5" t="s">
        <v>730</v>
      </c>
      <c r="E277" s="5" t="s">
        <v>1060</v>
      </c>
      <c r="F277" s="5">
        <v>2</v>
      </c>
      <c r="G277" s="5" t="s">
        <v>887</v>
      </c>
      <c r="H277" s="5" t="s">
        <v>1065</v>
      </c>
      <c r="I277" s="5"/>
      <c r="J277" s="5"/>
      <c r="K277" s="5">
        <v>19.170000000000002</v>
      </c>
      <c r="L277" s="56">
        <v>46023</v>
      </c>
      <c r="M277" s="5">
        <v>0</v>
      </c>
      <c r="N277" s="5"/>
      <c r="O277" s="5" t="s">
        <v>549</v>
      </c>
      <c r="P277" s="5">
        <v>1</v>
      </c>
      <c r="Q277" s="11"/>
    </row>
    <row r="278" spans="1:17" x14ac:dyDescent="0.25">
      <c r="A278" s="10">
        <v>1673</v>
      </c>
      <c r="B278" s="5" t="s">
        <v>1063</v>
      </c>
      <c r="C278" s="5" t="s">
        <v>1064</v>
      </c>
      <c r="D278" s="5" t="s">
        <v>730</v>
      </c>
      <c r="E278" s="5" t="s">
        <v>1060</v>
      </c>
      <c r="F278" s="5">
        <v>3</v>
      </c>
      <c r="G278" s="5" t="s">
        <v>566</v>
      </c>
      <c r="H278" s="5" t="s">
        <v>1066</v>
      </c>
      <c r="I278" s="5"/>
      <c r="J278" s="5"/>
      <c r="K278" s="5">
        <v>1178.3</v>
      </c>
      <c r="L278" s="56">
        <v>46023</v>
      </c>
      <c r="M278" s="5">
        <v>0</v>
      </c>
      <c r="N278" s="5"/>
      <c r="O278" s="5" t="s">
        <v>549</v>
      </c>
      <c r="P278" s="5">
        <v>1</v>
      </c>
      <c r="Q278" s="11" t="s">
        <v>1067</v>
      </c>
    </row>
    <row r="279" spans="1:17" x14ac:dyDescent="0.25">
      <c r="A279" s="10">
        <v>1674</v>
      </c>
      <c r="B279" s="5" t="s">
        <v>1063</v>
      </c>
      <c r="C279" s="5" t="s">
        <v>1064</v>
      </c>
      <c r="D279" s="5" t="s">
        <v>730</v>
      </c>
      <c r="E279" s="5" t="s">
        <v>1060</v>
      </c>
      <c r="F279" s="5">
        <v>4</v>
      </c>
      <c r="G279" s="5" t="s">
        <v>566</v>
      </c>
      <c r="H279" s="5" t="s">
        <v>1068</v>
      </c>
      <c r="I279" s="5"/>
      <c r="J279" s="5"/>
      <c r="K279" s="5">
        <v>1178.3</v>
      </c>
      <c r="L279" s="56">
        <v>46023</v>
      </c>
      <c r="M279" s="5">
        <v>0</v>
      </c>
      <c r="N279" s="5"/>
      <c r="O279" s="5" t="s">
        <v>549</v>
      </c>
      <c r="P279" s="5">
        <v>1</v>
      </c>
      <c r="Q279" s="11" t="s">
        <v>1069</v>
      </c>
    </row>
    <row r="280" spans="1:17" x14ac:dyDescent="0.25">
      <c r="A280" s="10">
        <v>1677</v>
      </c>
      <c r="B280" s="5" t="s">
        <v>1070</v>
      </c>
      <c r="C280" s="5" t="s">
        <v>1071</v>
      </c>
      <c r="D280" s="5" t="s">
        <v>730</v>
      </c>
      <c r="E280" s="5" t="s">
        <v>1060</v>
      </c>
      <c r="F280" s="5">
        <v>1</v>
      </c>
      <c r="G280" s="5" t="s">
        <v>731</v>
      </c>
      <c r="H280" s="5" t="s">
        <v>1061</v>
      </c>
      <c r="I280" s="5"/>
      <c r="J280" s="5"/>
      <c r="K280" s="5">
        <v>807.84</v>
      </c>
      <c r="L280" s="56">
        <v>46023</v>
      </c>
      <c r="M280" s="5">
        <v>0</v>
      </c>
      <c r="N280" s="5"/>
      <c r="O280" s="5" t="s">
        <v>549</v>
      </c>
      <c r="P280" s="5">
        <v>1</v>
      </c>
      <c r="Q280" s="11"/>
    </row>
    <row r="281" spans="1:17" x14ac:dyDescent="0.25">
      <c r="A281" s="10">
        <v>1678</v>
      </c>
      <c r="B281" s="5" t="s">
        <v>1070</v>
      </c>
      <c r="C281" s="5" t="s">
        <v>1071</v>
      </c>
      <c r="D281" s="5" t="s">
        <v>730</v>
      </c>
      <c r="E281" s="5" t="s">
        <v>1060</v>
      </c>
      <c r="F281" s="5">
        <v>2</v>
      </c>
      <c r="G281" s="5" t="s">
        <v>891</v>
      </c>
      <c r="H281" s="5" t="s">
        <v>1072</v>
      </c>
      <c r="I281" s="5"/>
      <c r="J281" s="5"/>
      <c r="K281" s="5">
        <v>19.170000000000002</v>
      </c>
      <c r="L281" s="56">
        <v>46023</v>
      </c>
      <c r="M281" s="5">
        <v>0</v>
      </c>
      <c r="N281" s="5"/>
      <c r="O281" s="5" t="s">
        <v>549</v>
      </c>
      <c r="P281" s="5">
        <v>1</v>
      </c>
      <c r="Q281" s="11"/>
    </row>
    <row r="282" spans="1:17" x14ac:dyDescent="0.25">
      <c r="A282" s="10">
        <v>1679</v>
      </c>
      <c r="B282" s="5" t="s">
        <v>1073</v>
      </c>
      <c r="C282" s="5" t="s">
        <v>1074</v>
      </c>
      <c r="D282" s="5" t="s">
        <v>730</v>
      </c>
      <c r="E282" s="5" t="s">
        <v>1060</v>
      </c>
      <c r="F282" s="5">
        <v>1</v>
      </c>
      <c r="G282" s="5" t="s">
        <v>731</v>
      </c>
      <c r="H282" s="5" t="s">
        <v>1061</v>
      </c>
      <c r="I282" s="5"/>
      <c r="J282" s="5"/>
      <c r="K282" s="5">
        <v>807.84</v>
      </c>
      <c r="L282" s="56">
        <v>46023</v>
      </c>
      <c r="M282" s="5">
        <v>0</v>
      </c>
      <c r="N282" s="5"/>
      <c r="O282" s="5" t="s">
        <v>549</v>
      </c>
      <c r="P282" s="5">
        <v>1</v>
      </c>
      <c r="Q282" s="11"/>
    </row>
    <row r="283" spans="1:17" x14ac:dyDescent="0.25">
      <c r="A283" s="10">
        <v>1680</v>
      </c>
      <c r="B283" s="5" t="s">
        <v>1073</v>
      </c>
      <c r="C283" s="5" t="s">
        <v>1074</v>
      </c>
      <c r="D283" s="5" t="s">
        <v>730</v>
      </c>
      <c r="E283" s="5" t="s">
        <v>1060</v>
      </c>
      <c r="F283" s="5">
        <v>2</v>
      </c>
      <c r="G283" s="5" t="s">
        <v>891</v>
      </c>
      <c r="H283" s="5" t="s">
        <v>1072</v>
      </c>
      <c r="I283" s="5"/>
      <c r="J283" s="5"/>
      <c r="K283" s="5">
        <v>19.170000000000002</v>
      </c>
      <c r="L283" s="56">
        <v>46023</v>
      </c>
      <c r="M283" s="5">
        <v>0</v>
      </c>
      <c r="N283" s="5"/>
      <c r="O283" s="5" t="s">
        <v>549</v>
      </c>
      <c r="P283" s="5">
        <v>1</v>
      </c>
      <c r="Q283" s="11"/>
    </row>
    <row r="284" spans="1:17" x14ac:dyDescent="0.25">
      <c r="A284" s="10">
        <v>1681</v>
      </c>
      <c r="B284" s="5" t="s">
        <v>1073</v>
      </c>
      <c r="C284" s="5" t="s">
        <v>1074</v>
      </c>
      <c r="D284" s="5" t="s">
        <v>730</v>
      </c>
      <c r="E284" s="5" t="s">
        <v>1060</v>
      </c>
      <c r="F284" s="5">
        <v>3</v>
      </c>
      <c r="G284" s="5" t="s">
        <v>566</v>
      </c>
      <c r="H284" s="5" t="s">
        <v>1066</v>
      </c>
      <c r="I284" s="5"/>
      <c r="J284" s="5"/>
      <c r="K284" s="5">
        <v>1178.3</v>
      </c>
      <c r="L284" s="56">
        <v>46023</v>
      </c>
      <c r="M284" s="5">
        <v>0</v>
      </c>
      <c r="N284" s="5"/>
      <c r="O284" s="5" t="s">
        <v>549</v>
      </c>
      <c r="P284" s="5">
        <v>1</v>
      </c>
      <c r="Q284" s="11" t="s">
        <v>1067</v>
      </c>
    </row>
    <row r="285" spans="1:17" x14ac:dyDescent="0.25">
      <c r="A285" s="10">
        <v>1682</v>
      </c>
      <c r="B285" s="5" t="s">
        <v>1073</v>
      </c>
      <c r="C285" s="5" t="s">
        <v>1074</v>
      </c>
      <c r="D285" s="5" t="s">
        <v>730</v>
      </c>
      <c r="E285" s="5" t="s">
        <v>1060</v>
      </c>
      <c r="F285" s="5">
        <v>4</v>
      </c>
      <c r="G285" s="5" t="s">
        <v>566</v>
      </c>
      <c r="H285" s="5" t="s">
        <v>1068</v>
      </c>
      <c r="I285" s="5"/>
      <c r="J285" s="5"/>
      <c r="K285" s="5">
        <v>1178.3</v>
      </c>
      <c r="L285" s="56">
        <v>46023</v>
      </c>
      <c r="M285" s="5">
        <v>0</v>
      </c>
      <c r="N285" s="5"/>
      <c r="O285" s="5" t="s">
        <v>549</v>
      </c>
      <c r="P285" s="5">
        <v>1</v>
      </c>
      <c r="Q285" s="11" t="s">
        <v>1075</v>
      </c>
    </row>
    <row r="286" spans="1:17" x14ac:dyDescent="0.25">
      <c r="A286" s="10">
        <v>1821</v>
      </c>
      <c r="B286" s="5" t="s">
        <v>1076</v>
      </c>
      <c r="C286" s="5" t="s">
        <v>1077</v>
      </c>
      <c r="D286" s="5" t="s">
        <v>545</v>
      </c>
      <c r="E286" s="5" t="s">
        <v>669</v>
      </c>
      <c r="F286" s="5">
        <v>1</v>
      </c>
      <c r="G286" s="5" t="s">
        <v>547</v>
      </c>
      <c r="H286" s="5" t="s">
        <v>1077</v>
      </c>
      <c r="I286" s="5"/>
      <c r="J286" s="5"/>
      <c r="K286" s="5">
        <v>3200</v>
      </c>
      <c r="L286" s="56">
        <v>46023</v>
      </c>
      <c r="M286" s="5">
        <v>0</v>
      </c>
      <c r="N286" s="5"/>
      <c r="O286" s="5" t="s">
        <v>549</v>
      </c>
      <c r="P286" s="5">
        <v>1</v>
      </c>
      <c r="Q286" s="11" t="s">
        <v>680</v>
      </c>
    </row>
    <row r="287" spans="1:17" x14ac:dyDescent="0.25">
      <c r="A287" s="10">
        <v>1644</v>
      </c>
      <c r="B287" s="5" t="s">
        <v>1078</v>
      </c>
      <c r="C287" s="5" t="s">
        <v>1079</v>
      </c>
      <c r="D287" s="5" t="s">
        <v>730</v>
      </c>
      <c r="E287" s="5" t="s">
        <v>886</v>
      </c>
      <c r="F287" s="5">
        <v>1</v>
      </c>
      <c r="G287" s="5" t="s">
        <v>731</v>
      </c>
      <c r="H287" s="5" t="s">
        <v>1080</v>
      </c>
      <c r="I287" s="5"/>
      <c r="J287" s="5"/>
      <c r="K287" s="5">
        <v>776.16</v>
      </c>
      <c r="L287" s="56">
        <v>46023</v>
      </c>
      <c r="M287" s="5">
        <v>0</v>
      </c>
      <c r="N287" s="5"/>
      <c r="O287" s="5" t="s">
        <v>549</v>
      </c>
      <c r="P287" s="5">
        <v>1</v>
      </c>
      <c r="Q287" s="11"/>
    </row>
    <row r="288" spans="1:17" x14ac:dyDescent="0.25">
      <c r="A288" s="10">
        <v>1645</v>
      </c>
      <c r="B288" s="5" t="s">
        <v>1078</v>
      </c>
      <c r="C288" s="5" t="s">
        <v>1079</v>
      </c>
      <c r="D288" s="5" t="s">
        <v>730</v>
      </c>
      <c r="E288" s="5" t="s">
        <v>886</v>
      </c>
      <c r="F288" s="5">
        <v>2</v>
      </c>
      <c r="G288" s="5" t="s">
        <v>887</v>
      </c>
      <c r="H288" s="5" t="s">
        <v>1081</v>
      </c>
      <c r="I288" s="5"/>
      <c r="J288" s="5"/>
      <c r="K288" s="5">
        <v>18.420000000000002</v>
      </c>
      <c r="L288" s="56">
        <v>46023</v>
      </c>
      <c r="M288" s="5">
        <v>0</v>
      </c>
      <c r="N288" s="5"/>
      <c r="O288" s="5" t="s">
        <v>549</v>
      </c>
      <c r="P288" s="5">
        <v>1</v>
      </c>
      <c r="Q288" s="11"/>
    </row>
    <row r="289" spans="1:17" x14ac:dyDescent="0.25">
      <c r="A289" s="10">
        <v>1687</v>
      </c>
      <c r="B289" s="5" t="s">
        <v>1078</v>
      </c>
      <c r="C289" s="5" t="s">
        <v>1079</v>
      </c>
      <c r="D289" s="5" t="s">
        <v>730</v>
      </c>
      <c r="E289" s="5" t="s">
        <v>886</v>
      </c>
      <c r="F289" s="5">
        <v>3</v>
      </c>
      <c r="G289" s="5" t="s">
        <v>566</v>
      </c>
      <c r="H289" s="5" t="s">
        <v>1082</v>
      </c>
      <c r="I289" s="5"/>
      <c r="J289" s="5"/>
      <c r="K289" s="5">
        <v>1132.0999999999999</v>
      </c>
      <c r="L289" s="56">
        <v>46023</v>
      </c>
      <c r="M289" s="5">
        <v>0</v>
      </c>
      <c r="N289" s="5"/>
      <c r="O289" s="5" t="s">
        <v>549</v>
      </c>
      <c r="P289" s="5">
        <v>1</v>
      </c>
      <c r="Q289" s="11" t="s">
        <v>1067</v>
      </c>
    </row>
    <row r="290" spans="1:17" x14ac:dyDescent="0.25">
      <c r="A290" s="10">
        <v>1688</v>
      </c>
      <c r="B290" s="5" t="s">
        <v>1078</v>
      </c>
      <c r="C290" s="5" t="s">
        <v>1079</v>
      </c>
      <c r="D290" s="5" t="s">
        <v>730</v>
      </c>
      <c r="E290" s="5" t="s">
        <v>886</v>
      </c>
      <c r="F290" s="5">
        <v>4</v>
      </c>
      <c r="G290" s="5" t="s">
        <v>566</v>
      </c>
      <c r="H290" s="5" t="s">
        <v>1068</v>
      </c>
      <c r="I290" s="5"/>
      <c r="J290" s="5"/>
      <c r="K290" s="5">
        <v>1132.0999999999999</v>
      </c>
      <c r="L290" s="56">
        <v>46023</v>
      </c>
      <c r="M290" s="5">
        <v>0</v>
      </c>
      <c r="N290" s="5"/>
      <c r="O290" s="5" t="s">
        <v>549</v>
      </c>
      <c r="P290" s="5">
        <v>1</v>
      </c>
      <c r="Q290" s="11" t="s">
        <v>1069</v>
      </c>
    </row>
    <row r="291" spans="1:17" x14ac:dyDescent="0.25">
      <c r="A291" s="10">
        <v>1628</v>
      </c>
      <c r="B291" s="5" t="s">
        <v>1083</v>
      </c>
      <c r="C291" s="5" t="s">
        <v>1084</v>
      </c>
      <c r="D291" s="5" t="s">
        <v>730</v>
      </c>
      <c r="E291" s="5" t="s">
        <v>886</v>
      </c>
      <c r="F291" s="5">
        <v>1</v>
      </c>
      <c r="G291" s="5" t="s">
        <v>731</v>
      </c>
      <c r="H291" s="5" t="s">
        <v>1080</v>
      </c>
      <c r="I291" s="5"/>
      <c r="J291" s="5"/>
      <c r="K291" s="5">
        <v>776.16</v>
      </c>
      <c r="L291" s="56">
        <v>46023</v>
      </c>
      <c r="M291" s="5">
        <v>0</v>
      </c>
      <c r="N291" s="5"/>
      <c r="O291" s="5" t="s">
        <v>549</v>
      </c>
      <c r="P291" s="5">
        <v>1</v>
      </c>
      <c r="Q291" s="11"/>
    </row>
    <row r="292" spans="1:17" x14ac:dyDescent="0.25">
      <c r="A292" s="10">
        <v>1629</v>
      </c>
      <c r="B292" s="5" t="s">
        <v>1083</v>
      </c>
      <c r="C292" s="5" t="s">
        <v>1084</v>
      </c>
      <c r="D292" s="5" t="s">
        <v>730</v>
      </c>
      <c r="E292" s="5" t="s">
        <v>886</v>
      </c>
      <c r="F292" s="5">
        <v>2</v>
      </c>
      <c r="G292" s="5" t="s">
        <v>887</v>
      </c>
      <c r="H292" s="5" t="s">
        <v>1081</v>
      </c>
      <c r="I292" s="5"/>
      <c r="J292" s="5"/>
      <c r="K292" s="5">
        <v>18.420000000000002</v>
      </c>
      <c r="L292" s="56">
        <v>46023</v>
      </c>
      <c r="M292" s="5">
        <v>0</v>
      </c>
      <c r="N292" s="5"/>
      <c r="O292" s="5" t="s">
        <v>549</v>
      </c>
      <c r="P292" s="5">
        <v>1</v>
      </c>
      <c r="Q292" s="11"/>
    </row>
    <row r="293" spans="1:17" x14ac:dyDescent="0.25">
      <c r="A293" s="10">
        <v>1630</v>
      </c>
      <c r="B293" s="5" t="s">
        <v>1083</v>
      </c>
      <c r="C293" s="5" t="s">
        <v>1084</v>
      </c>
      <c r="D293" s="5" t="s">
        <v>730</v>
      </c>
      <c r="E293" s="5" t="s">
        <v>886</v>
      </c>
      <c r="F293" s="5">
        <v>3</v>
      </c>
      <c r="G293" s="5" t="s">
        <v>566</v>
      </c>
      <c r="H293" s="5" t="s">
        <v>1082</v>
      </c>
      <c r="I293" s="5"/>
      <c r="J293" s="5"/>
      <c r="K293" s="5">
        <v>1132.0999999999999</v>
      </c>
      <c r="L293" s="56">
        <v>46023</v>
      </c>
      <c r="M293" s="5">
        <v>0</v>
      </c>
      <c r="N293" s="5"/>
      <c r="O293" s="5" t="s">
        <v>549</v>
      </c>
      <c r="P293" s="5">
        <v>1</v>
      </c>
      <c r="Q293" s="11" t="s">
        <v>1067</v>
      </c>
    </row>
    <row r="294" spans="1:17" x14ac:dyDescent="0.25">
      <c r="A294" s="10">
        <v>1631</v>
      </c>
      <c r="B294" s="5" t="s">
        <v>1083</v>
      </c>
      <c r="C294" s="5" t="s">
        <v>1084</v>
      </c>
      <c r="D294" s="5" t="s">
        <v>730</v>
      </c>
      <c r="E294" s="5" t="s">
        <v>886</v>
      </c>
      <c r="F294" s="5">
        <v>4</v>
      </c>
      <c r="G294" s="5" t="s">
        <v>566</v>
      </c>
      <c r="H294" s="5" t="s">
        <v>1085</v>
      </c>
      <c r="I294" s="5"/>
      <c r="J294" s="5"/>
      <c r="K294" s="5">
        <v>1132.0999999999999</v>
      </c>
      <c r="L294" s="56">
        <v>46023</v>
      </c>
      <c r="M294" s="5">
        <v>0</v>
      </c>
      <c r="N294" s="5"/>
      <c r="O294" s="5" t="s">
        <v>549</v>
      </c>
      <c r="P294" s="5">
        <v>1</v>
      </c>
      <c r="Q294" s="11" t="s">
        <v>1069</v>
      </c>
    </row>
    <row r="295" spans="1:17" x14ac:dyDescent="0.25">
      <c r="A295" s="10">
        <v>1654</v>
      </c>
      <c r="B295" s="5" t="s">
        <v>1086</v>
      </c>
      <c r="C295" s="5" t="s">
        <v>1087</v>
      </c>
      <c r="D295" s="5" t="s">
        <v>730</v>
      </c>
      <c r="E295" s="5" t="s">
        <v>886</v>
      </c>
      <c r="F295" s="5">
        <v>1</v>
      </c>
      <c r="G295" s="5" t="s">
        <v>887</v>
      </c>
      <c r="H295" s="5" t="s">
        <v>1081</v>
      </c>
      <c r="I295" s="5"/>
      <c r="J295" s="5"/>
      <c r="K295" s="5">
        <v>18.420000000000002</v>
      </c>
      <c r="L295" s="56">
        <v>46023</v>
      </c>
      <c r="M295" s="5">
        <v>0</v>
      </c>
      <c r="N295" s="5"/>
      <c r="O295" s="5" t="s">
        <v>549</v>
      </c>
      <c r="P295" s="5">
        <v>1</v>
      </c>
      <c r="Q295" s="11"/>
    </row>
    <row r="296" spans="1:17" x14ac:dyDescent="0.25">
      <c r="A296" s="10">
        <v>1697</v>
      </c>
      <c r="B296" s="5" t="s">
        <v>1088</v>
      </c>
      <c r="C296" s="5" t="s">
        <v>1089</v>
      </c>
      <c r="D296" s="5" t="s">
        <v>545</v>
      </c>
      <c r="E296" s="5" t="s">
        <v>546</v>
      </c>
      <c r="F296" s="5">
        <v>1</v>
      </c>
      <c r="G296" s="5" t="s">
        <v>547</v>
      </c>
      <c r="H296" s="5" t="s">
        <v>163</v>
      </c>
      <c r="I296" s="5"/>
      <c r="J296" s="5"/>
      <c r="K296" s="5">
        <v>2.2799999999999998</v>
      </c>
      <c r="L296" s="56">
        <v>46023</v>
      </c>
      <c r="M296" s="5">
        <v>0</v>
      </c>
      <c r="N296" s="5"/>
      <c r="O296" s="5" t="s">
        <v>549</v>
      </c>
      <c r="P296" s="5">
        <v>1</v>
      </c>
      <c r="Q296" s="11" t="s">
        <v>550</v>
      </c>
    </row>
    <row r="297" spans="1:17" x14ac:dyDescent="0.25">
      <c r="A297" s="10">
        <v>1698</v>
      </c>
      <c r="B297" s="5" t="s">
        <v>1088</v>
      </c>
      <c r="C297" s="5" t="s">
        <v>1089</v>
      </c>
      <c r="D297" s="5" t="s">
        <v>545</v>
      </c>
      <c r="E297" s="5" t="s">
        <v>546</v>
      </c>
      <c r="F297" s="5">
        <v>2</v>
      </c>
      <c r="G297" s="5" t="s">
        <v>547</v>
      </c>
      <c r="H297" s="5" t="s">
        <v>551</v>
      </c>
      <c r="I297" s="5"/>
      <c r="J297" s="5"/>
      <c r="K297" s="5">
        <v>5.6</v>
      </c>
      <c r="L297" s="56">
        <v>46023</v>
      </c>
      <c r="M297" s="5">
        <v>0</v>
      </c>
      <c r="N297" s="5"/>
      <c r="O297" s="5" t="s">
        <v>549</v>
      </c>
      <c r="P297" s="5">
        <v>1</v>
      </c>
      <c r="Q297" s="11" t="s">
        <v>552</v>
      </c>
    </row>
    <row r="298" spans="1:17" x14ac:dyDescent="0.25">
      <c r="A298" s="10">
        <v>1948</v>
      </c>
      <c r="B298" s="5" t="s">
        <v>1090</v>
      </c>
      <c r="C298" s="5" t="s">
        <v>1091</v>
      </c>
      <c r="D298" s="5" t="s">
        <v>545</v>
      </c>
      <c r="E298" s="5" t="s">
        <v>546</v>
      </c>
      <c r="F298" s="5">
        <v>1</v>
      </c>
      <c r="G298" s="5" t="s">
        <v>547</v>
      </c>
      <c r="H298" s="5" t="s">
        <v>163</v>
      </c>
      <c r="I298" s="5"/>
      <c r="J298" s="5"/>
      <c r="K298" s="5">
        <v>2.2799999999999998</v>
      </c>
      <c r="L298" s="56">
        <v>46023</v>
      </c>
      <c r="M298" s="5">
        <v>0</v>
      </c>
      <c r="N298" s="5"/>
      <c r="O298" s="5" t="s">
        <v>549</v>
      </c>
      <c r="P298" s="5">
        <v>1</v>
      </c>
      <c r="Q298" s="11" t="s">
        <v>615</v>
      </c>
    </row>
    <row r="299" spans="1:17" x14ac:dyDescent="0.25">
      <c r="A299" s="10">
        <v>1944</v>
      </c>
      <c r="B299" s="5" t="s">
        <v>1092</v>
      </c>
      <c r="C299" s="5" t="s">
        <v>1093</v>
      </c>
      <c r="D299" s="5" t="s">
        <v>545</v>
      </c>
      <c r="E299" s="5" t="s">
        <v>546</v>
      </c>
      <c r="F299" s="5">
        <v>1</v>
      </c>
      <c r="G299" s="5" t="s">
        <v>547</v>
      </c>
      <c r="H299" s="5" t="s">
        <v>163</v>
      </c>
      <c r="I299" s="5"/>
      <c r="J299" s="5"/>
      <c r="K299" s="5">
        <v>2.2799999999999998</v>
      </c>
      <c r="L299" s="56">
        <v>46023</v>
      </c>
      <c r="M299" s="5">
        <v>0</v>
      </c>
      <c r="N299" s="5"/>
      <c r="O299" s="5" t="s">
        <v>549</v>
      </c>
      <c r="P299" s="5">
        <v>1</v>
      </c>
      <c r="Q299" s="11" t="s">
        <v>615</v>
      </c>
    </row>
    <row r="300" spans="1:17" x14ac:dyDescent="0.25">
      <c r="A300" s="10">
        <v>1966</v>
      </c>
      <c r="B300" s="5" t="s">
        <v>1094</v>
      </c>
      <c r="C300" s="5" t="s">
        <v>1095</v>
      </c>
      <c r="D300" s="5" t="s">
        <v>545</v>
      </c>
      <c r="E300" s="5" t="s">
        <v>546</v>
      </c>
      <c r="F300" s="5">
        <v>1</v>
      </c>
      <c r="G300" s="5" t="s">
        <v>547</v>
      </c>
      <c r="H300" s="5" t="s">
        <v>1096</v>
      </c>
      <c r="I300" s="5"/>
      <c r="J300" s="5"/>
      <c r="K300" s="5">
        <v>2.2799999999999998</v>
      </c>
      <c r="L300" s="56">
        <v>46023</v>
      </c>
      <c r="M300" s="5">
        <v>0</v>
      </c>
      <c r="N300" s="5"/>
      <c r="O300" s="5" t="s">
        <v>549</v>
      </c>
      <c r="P300" s="5">
        <v>1</v>
      </c>
      <c r="Q300" s="11" t="s">
        <v>550</v>
      </c>
    </row>
    <row r="301" spans="1:17" x14ac:dyDescent="0.25">
      <c r="A301" s="10">
        <v>1967</v>
      </c>
      <c r="B301" s="5" t="s">
        <v>1094</v>
      </c>
      <c r="C301" s="5" t="s">
        <v>1095</v>
      </c>
      <c r="D301" s="5" t="s">
        <v>545</v>
      </c>
      <c r="E301" s="5" t="s">
        <v>546</v>
      </c>
      <c r="F301" s="5">
        <v>2</v>
      </c>
      <c r="G301" s="5" t="s">
        <v>547</v>
      </c>
      <c r="H301" s="5" t="s">
        <v>1097</v>
      </c>
      <c r="I301" s="5"/>
      <c r="J301" s="5"/>
      <c r="K301" s="5">
        <v>5.6</v>
      </c>
      <c r="L301" s="56">
        <v>46023</v>
      </c>
      <c r="M301" s="5">
        <v>0</v>
      </c>
      <c r="N301" s="5"/>
      <c r="O301" s="5" t="s">
        <v>549</v>
      </c>
      <c r="P301" s="5">
        <v>1</v>
      </c>
      <c r="Q301" s="11" t="s">
        <v>552</v>
      </c>
    </row>
    <row r="302" spans="1:17" x14ac:dyDescent="0.25">
      <c r="A302" s="10">
        <v>1699</v>
      </c>
      <c r="B302" s="5" t="s">
        <v>1098</v>
      </c>
      <c r="C302" s="5" t="s">
        <v>1099</v>
      </c>
      <c r="D302" s="5" t="s">
        <v>545</v>
      </c>
      <c r="E302" s="5" t="s">
        <v>546</v>
      </c>
      <c r="F302" s="5">
        <v>1</v>
      </c>
      <c r="G302" s="5" t="s">
        <v>547</v>
      </c>
      <c r="H302" s="5" t="s">
        <v>165</v>
      </c>
      <c r="I302" s="5"/>
      <c r="J302" s="5"/>
      <c r="K302" s="5">
        <v>4.28</v>
      </c>
      <c r="L302" s="56">
        <v>46023</v>
      </c>
      <c r="M302" s="5">
        <v>0</v>
      </c>
      <c r="N302" s="5"/>
      <c r="O302" s="5" t="s">
        <v>549</v>
      </c>
      <c r="P302" s="5">
        <v>1</v>
      </c>
      <c r="Q302" s="11" t="s">
        <v>550</v>
      </c>
    </row>
    <row r="303" spans="1:17" x14ac:dyDescent="0.25">
      <c r="A303" s="10">
        <v>1700</v>
      </c>
      <c r="B303" s="5" t="s">
        <v>1098</v>
      </c>
      <c r="C303" s="5" t="s">
        <v>1099</v>
      </c>
      <c r="D303" s="5" t="s">
        <v>545</v>
      </c>
      <c r="E303" s="5" t="s">
        <v>546</v>
      </c>
      <c r="F303" s="5">
        <v>2</v>
      </c>
      <c r="G303" s="5" t="s">
        <v>547</v>
      </c>
      <c r="H303" s="5" t="s">
        <v>556</v>
      </c>
      <c r="I303" s="5"/>
      <c r="J303" s="5"/>
      <c r="K303" s="5">
        <v>5.6</v>
      </c>
      <c r="L303" s="56">
        <v>46023</v>
      </c>
      <c r="M303" s="5">
        <v>0</v>
      </c>
      <c r="N303" s="5"/>
      <c r="O303" s="5" t="s">
        <v>549</v>
      </c>
      <c r="P303" s="5">
        <v>1</v>
      </c>
      <c r="Q303" s="11" t="s">
        <v>552</v>
      </c>
    </row>
    <row r="304" spans="1:17" x14ac:dyDescent="0.25">
      <c r="A304" s="10">
        <v>1949</v>
      </c>
      <c r="B304" s="5" t="s">
        <v>1100</v>
      </c>
      <c r="C304" s="5" t="s">
        <v>1101</v>
      </c>
      <c r="D304" s="5" t="s">
        <v>545</v>
      </c>
      <c r="E304" s="5" t="s">
        <v>546</v>
      </c>
      <c r="F304" s="5">
        <v>1</v>
      </c>
      <c r="G304" s="5" t="s">
        <v>547</v>
      </c>
      <c r="H304" s="5" t="s">
        <v>165</v>
      </c>
      <c r="I304" s="5"/>
      <c r="J304" s="5"/>
      <c r="K304" s="5">
        <v>4.28</v>
      </c>
      <c r="L304" s="56">
        <v>46023</v>
      </c>
      <c r="M304" s="5">
        <v>0</v>
      </c>
      <c r="N304" s="5"/>
      <c r="O304" s="5" t="s">
        <v>549</v>
      </c>
      <c r="P304" s="5">
        <v>1</v>
      </c>
      <c r="Q304" s="11" t="s">
        <v>615</v>
      </c>
    </row>
    <row r="305" spans="1:17" x14ac:dyDescent="0.25">
      <c r="A305" s="10">
        <v>1646</v>
      </c>
      <c r="B305" s="5" t="s">
        <v>1102</v>
      </c>
      <c r="C305" s="5" t="s">
        <v>1103</v>
      </c>
      <c r="D305" s="5" t="s">
        <v>730</v>
      </c>
      <c r="E305" s="5" t="s">
        <v>730</v>
      </c>
      <c r="F305" s="5">
        <v>1</v>
      </c>
      <c r="G305" s="5" t="s">
        <v>731</v>
      </c>
      <c r="H305" s="5" t="s">
        <v>1104</v>
      </c>
      <c r="I305" s="5"/>
      <c r="J305" s="5"/>
      <c r="K305" s="5">
        <v>1584</v>
      </c>
      <c r="L305" s="56">
        <v>46023</v>
      </c>
      <c r="M305" s="5">
        <v>0</v>
      </c>
      <c r="N305" s="5"/>
      <c r="O305" s="5" t="s">
        <v>549</v>
      </c>
      <c r="P305" s="5">
        <v>1</v>
      </c>
      <c r="Q305" s="11"/>
    </row>
    <row r="306" spans="1:17" x14ac:dyDescent="0.25">
      <c r="A306" s="10">
        <v>1647</v>
      </c>
      <c r="B306" s="5" t="s">
        <v>1102</v>
      </c>
      <c r="C306" s="5" t="s">
        <v>1103</v>
      </c>
      <c r="D306" s="5" t="s">
        <v>730</v>
      </c>
      <c r="E306" s="5" t="s">
        <v>730</v>
      </c>
      <c r="F306" s="5">
        <v>2</v>
      </c>
      <c r="G306" s="5" t="s">
        <v>887</v>
      </c>
      <c r="H306" s="5" t="s">
        <v>1105</v>
      </c>
      <c r="I306" s="5"/>
      <c r="J306" s="5"/>
      <c r="K306" s="5">
        <v>37.6</v>
      </c>
      <c r="L306" s="56">
        <v>46023</v>
      </c>
      <c r="M306" s="5">
        <v>0</v>
      </c>
      <c r="N306" s="5"/>
      <c r="O306" s="5" t="s">
        <v>549</v>
      </c>
      <c r="P306" s="5">
        <v>1</v>
      </c>
      <c r="Q306" s="11"/>
    </row>
    <row r="307" spans="1:17" x14ac:dyDescent="0.25">
      <c r="A307" s="10">
        <v>1685</v>
      </c>
      <c r="B307" s="5" t="s">
        <v>1102</v>
      </c>
      <c r="C307" s="5" t="s">
        <v>1103</v>
      </c>
      <c r="D307" s="5" t="s">
        <v>730</v>
      </c>
      <c r="E307" s="5" t="s">
        <v>730</v>
      </c>
      <c r="F307" s="5">
        <v>3</v>
      </c>
      <c r="G307" s="5" t="s">
        <v>566</v>
      </c>
      <c r="H307" s="5" t="s">
        <v>1106</v>
      </c>
      <c r="I307" s="5"/>
      <c r="J307" s="5"/>
      <c r="K307" s="5">
        <v>2310.4</v>
      </c>
      <c r="L307" s="56">
        <v>46023</v>
      </c>
      <c r="M307" s="5">
        <v>0</v>
      </c>
      <c r="N307" s="5"/>
      <c r="O307" s="5" t="s">
        <v>549</v>
      </c>
      <c r="P307" s="5">
        <v>1</v>
      </c>
      <c r="Q307" s="11" t="s">
        <v>1067</v>
      </c>
    </row>
    <row r="308" spans="1:17" x14ac:dyDescent="0.25">
      <c r="A308" s="10">
        <v>1686</v>
      </c>
      <c r="B308" s="5" t="s">
        <v>1102</v>
      </c>
      <c r="C308" s="5" t="s">
        <v>1103</v>
      </c>
      <c r="D308" s="5" t="s">
        <v>730</v>
      </c>
      <c r="E308" s="5" t="s">
        <v>730</v>
      </c>
      <c r="F308" s="5">
        <v>4</v>
      </c>
      <c r="G308" s="5" t="s">
        <v>566</v>
      </c>
      <c r="H308" s="5" t="s">
        <v>1068</v>
      </c>
      <c r="I308" s="5"/>
      <c r="J308" s="5"/>
      <c r="K308" s="5">
        <v>2310.4</v>
      </c>
      <c r="L308" s="56">
        <v>46023</v>
      </c>
      <c r="M308" s="5">
        <v>0</v>
      </c>
      <c r="N308" s="5"/>
      <c r="O308" s="5" t="s">
        <v>549</v>
      </c>
      <c r="P308" s="5">
        <v>1</v>
      </c>
      <c r="Q308" s="11" t="s">
        <v>1069</v>
      </c>
    </row>
    <row r="309" spans="1:17" x14ac:dyDescent="0.25">
      <c r="A309" s="10">
        <v>1971</v>
      </c>
      <c r="B309" s="5" t="s">
        <v>1107</v>
      </c>
      <c r="C309" s="5" t="s">
        <v>1108</v>
      </c>
      <c r="D309" s="5" t="s">
        <v>730</v>
      </c>
      <c r="E309" s="5" t="s">
        <v>730</v>
      </c>
      <c r="F309" s="5">
        <v>1</v>
      </c>
      <c r="G309" s="5" t="s">
        <v>731</v>
      </c>
      <c r="H309" s="5" t="s">
        <v>1109</v>
      </c>
      <c r="I309" s="5"/>
      <c r="J309" s="5"/>
      <c r="K309" s="5">
        <v>3894</v>
      </c>
      <c r="L309" s="56">
        <v>46023</v>
      </c>
      <c r="M309" s="5">
        <v>0</v>
      </c>
      <c r="N309" s="5"/>
      <c r="O309" s="5" t="s">
        <v>549</v>
      </c>
      <c r="P309" s="5">
        <v>1</v>
      </c>
      <c r="Q309" s="11"/>
    </row>
    <row r="310" spans="1:17" x14ac:dyDescent="0.25">
      <c r="A310" s="10">
        <v>1632</v>
      </c>
      <c r="B310" s="5" t="s">
        <v>1110</v>
      </c>
      <c r="C310" s="5" t="s">
        <v>1111</v>
      </c>
      <c r="D310" s="5" t="s">
        <v>730</v>
      </c>
      <c r="E310" s="5" t="s">
        <v>730</v>
      </c>
      <c r="F310" s="5">
        <v>1</v>
      </c>
      <c r="G310" s="5" t="s">
        <v>731</v>
      </c>
      <c r="H310" s="5" t="s">
        <v>1080</v>
      </c>
      <c r="I310" s="5"/>
      <c r="J310" s="5"/>
      <c r="K310" s="5">
        <v>1584</v>
      </c>
      <c r="L310" s="56">
        <v>46023</v>
      </c>
      <c r="M310" s="5">
        <v>0</v>
      </c>
      <c r="N310" s="5"/>
      <c r="O310" s="5" t="s">
        <v>549</v>
      </c>
      <c r="P310" s="5">
        <v>1</v>
      </c>
      <c r="Q310" s="11"/>
    </row>
    <row r="311" spans="1:17" x14ac:dyDescent="0.25">
      <c r="A311" s="10">
        <v>1633</v>
      </c>
      <c r="B311" s="5" t="s">
        <v>1110</v>
      </c>
      <c r="C311" s="5" t="s">
        <v>1111</v>
      </c>
      <c r="D311" s="5" t="s">
        <v>730</v>
      </c>
      <c r="E311" s="5" t="s">
        <v>730</v>
      </c>
      <c r="F311" s="5">
        <v>2</v>
      </c>
      <c r="G311" s="5" t="s">
        <v>887</v>
      </c>
      <c r="H311" s="5" t="s">
        <v>1105</v>
      </c>
      <c r="I311" s="5"/>
      <c r="J311" s="5"/>
      <c r="K311" s="5">
        <v>37.6</v>
      </c>
      <c r="L311" s="56">
        <v>46023</v>
      </c>
      <c r="M311" s="5">
        <v>0</v>
      </c>
      <c r="N311" s="5"/>
      <c r="O311" s="5" t="s">
        <v>549</v>
      </c>
      <c r="P311" s="5">
        <v>1</v>
      </c>
      <c r="Q311" s="11"/>
    </row>
    <row r="312" spans="1:17" x14ac:dyDescent="0.25">
      <c r="A312" s="10">
        <v>1634</v>
      </c>
      <c r="B312" s="5" t="s">
        <v>1110</v>
      </c>
      <c r="C312" s="5" t="s">
        <v>1111</v>
      </c>
      <c r="D312" s="5" t="s">
        <v>730</v>
      </c>
      <c r="E312" s="5" t="s">
        <v>730</v>
      </c>
      <c r="F312" s="5">
        <v>3</v>
      </c>
      <c r="G312" s="5" t="s">
        <v>566</v>
      </c>
      <c r="H312" s="5" t="s">
        <v>1106</v>
      </c>
      <c r="I312" s="5"/>
      <c r="J312" s="5"/>
      <c r="K312" s="5">
        <v>2310.4</v>
      </c>
      <c r="L312" s="56">
        <v>46023</v>
      </c>
      <c r="M312" s="5">
        <v>0</v>
      </c>
      <c r="N312" s="5"/>
      <c r="O312" s="5" t="s">
        <v>549</v>
      </c>
      <c r="P312" s="5">
        <v>1</v>
      </c>
      <c r="Q312" s="11" t="s">
        <v>1067</v>
      </c>
    </row>
    <row r="313" spans="1:17" x14ac:dyDescent="0.25">
      <c r="A313" s="10">
        <v>1635</v>
      </c>
      <c r="B313" s="5" t="s">
        <v>1110</v>
      </c>
      <c r="C313" s="5" t="s">
        <v>1111</v>
      </c>
      <c r="D313" s="5" t="s">
        <v>730</v>
      </c>
      <c r="E313" s="5" t="s">
        <v>730</v>
      </c>
      <c r="F313" s="5">
        <v>4</v>
      </c>
      <c r="G313" s="5" t="s">
        <v>566</v>
      </c>
      <c r="H313" s="5" t="s">
        <v>1085</v>
      </c>
      <c r="I313" s="5"/>
      <c r="J313" s="5"/>
      <c r="K313" s="5">
        <v>2310.4</v>
      </c>
      <c r="L313" s="56">
        <v>46023</v>
      </c>
      <c r="M313" s="5">
        <v>0</v>
      </c>
      <c r="N313" s="5"/>
      <c r="O313" s="5" t="s">
        <v>549</v>
      </c>
      <c r="P313" s="5">
        <v>1</v>
      </c>
      <c r="Q313" s="11" t="s">
        <v>1069</v>
      </c>
    </row>
    <row r="314" spans="1:17" x14ac:dyDescent="0.25">
      <c r="A314" s="10">
        <v>1653</v>
      </c>
      <c r="B314" s="5" t="s">
        <v>1112</v>
      </c>
      <c r="C314" s="5" t="s">
        <v>1113</v>
      </c>
      <c r="D314" s="5" t="s">
        <v>730</v>
      </c>
      <c r="E314" s="5" t="s">
        <v>730</v>
      </c>
      <c r="F314" s="5">
        <v>1</v>
      </c>
      <c r="G314" s="5" t="s">
        <v>887</v>
      </c>
      <c r="H314" s="5" t="s">
        <v>1113</v>
      </c>
      <c r="I314" s="5"/>
      <c r="J314" s="5"/>
      <c r="K314" s="5">
        <v>37.6</v>
      </c>
      <c r="L314" s="56">
        <v>46023</v>
      </c>
      <c r="M314" s="5">
        <v>0</v>
      </c>
      <c r="N314" s="5"/>
      <c r="O314" s="5" t="s">
        <v>549</v>
      </c>
      <c r="P314" s="5">
        <v>1</v>
      </c>
      <c r="Q314" s="11"/>
    </row>
    <row r="315" spans="1:17" x14ac:dyDescent="0.25">
      <c r="A315" s="10">
        <v>1650</v>
      </c>
      <c r="B315" s="5" t="s">
        <v>1114</v>
      </c>
      <c r="C315" s="5" t="s">
        <v>1115</v>
      </c>
      <c r="D315" s="5" t="s">
        <v>730</v>
      </c>
      <c r="E315" s="5" t="s">
        <v>730</v>
      </c>
      <c r="F315" s="5">
        <v>1</v>
      </c>
      <c r="G315" s="5" t="s">
        <v>731</v>
      </c>
      <c r="H315" s="5" t="s">
        <v>1109</v>
      </c>
      <c r="I315" s="5"/>
      <c r="J315" s="5"/>
      <c r="K315" s="5">
        <v>3894</v>
      </c>
      <c r="L315" s="56">
        <v>46023</v>
      </c>
      <c r="M315" s="5">
        <v>0</v>
      </c>
      <c r="N315" s="5"/>
      <c r="O315" s="5" t="s">
        <v>549</v>
      </c>
      <c r="P315" s="5">
        <v>1</v>
      </c>
      <c r="Q315" s="11"/>
    </row>
    <row r="316" spans="1:17" x14ac:dyDescent="0.25">
      <c r="A316" s="10">
        <v>1651</v>
      </c>
      <c r="B316" s="5" t="s">
        <v>1114</v>
      </c>
      <c r="C316" s="5" t="s">
        <v>1115</v>
      </c>
      <c r="D316" s="5" t="s">
        <v>730</v>
      </c>
      <c r="E316" s="5" t="s">
        <v>730</v>
      </c>
      <c r="F316" s="5">
        <v>2</v>
      </c>
      <c r="G316" s="5" t="s">
        <v>891</v>
      </c>
      <c r="H316" s="5" t="s">
        <v>1116</v>
      </c>
      <c r="I316" s="5"/>
      <c r="J316" s="5"/>
      <c r="K316" s="5">
        <v>37.6</v>
      </c>
      <c r="L316" s="56">
        <v>46023</v>
      </c>
      <c r="M316" s="5">
        <v>0</v>
      </c>
      <c r="N316" s="5"/>
      <c r="O316" s="5" t="s">
        <v>549</v>
      </c>
      <c r="P316" s="5">
        <v>1</v>
      </c>
      <c r="Q316" s="11"/>
    </row>
    <row r="317" spans="1:17" x14ac:dyDescent="0.25">
      <c r="A317" s="10">
        <v>1640</v>
      </c>
      <c r="B317" s="5" t="s">
        <v>1117</v>
      </c>
      <c r="C317" s="5" t="s">
        <v>1118</v>
      </c>
      <c r="D317" s="5" t="s">
        <v>730</v>
      </c>
      <c r="E317" s="5" t="s">
        <v>730</v>
      </c>
      <c r="F317" s="5">
        <v>1</v>
      </c>
      <c r="G317" s="5" t="s">
        <v>731</v>
      </c>
      <c r="H317" s="5" t="s">
        <v>1080</v>
      </c>
      <c r="I317" s="5"/>
      <c r="J317" s="5"/>
      <c r="K317" s="5">
        <v>1584</v>
      </c>
      <c r="L317" s="56">
        <v>46023</v>
      </c>
      <c r="M317" s="5">
        <v>0</v>
      </c>
      <c r="N317" s="5"/>
      <c r="O317" s="5" t="s">
        <v>549</v>
      </c>
      <c r="P317" s="5">
        <v>1</v>
      </c>
      <c r="Q317" s="11"/>
    </row>
    <row r="318" spans="1:17" x14ac:dyDescent="0.25">
      <c r="A318" s="10">
        <v>1641</v>
      </c>
      <c r="B318" s="5" t="s">
        <v>1117</v>
      </c>
      <c r="C318" s="5" t="s">
        <v>1118</v>
      </c>
      <c r="D318" s="5" t="s">
        <v>730</v>
      </c>
      <c r="E318" s="5" t="s">
        <v>730</v>
      </c>
      <c r="F318" s="5">
        <v>2</v>
      </c>
      <c r="G318" s="5" t="s">
        <v>891</v>
      </c>
      <c r="H318" s="5" t="s">
        <v>1116</v>
      </c>
      <c r="I318" s="5"/>
      <c r="J318" s="5"/>
      <c r="K318" s="5">
        <v>37.6</v>
      </c>
      <c r="L318" s="56">
        <v>46023</v>
      </c>
      <c r="M318" s="5">
        <v>0</v>
      </c>
      <c r="N318" s="5"/>
      <c r="O318" s="5" t="s">
        <v>549</v>
      </c>
      <c r="P318" s="5">
        <v>1</v>
      </c>
      <c r="Q318" s="11"/>
    </row>
    <row r="319" spans="1:17" x14ac:dyDescent="0.25">
      <c r="A319" s="10">
        <v>1642</v>
      </c>
      <c r="B319" s="5" t="s">
        <v>1117</v>
      </c>
      <c r="C319" s="5" t="s">
        <v>1118</v>
      </c>
      <c r="D319" s="5" t="s">
        <v>730</v>
      </c>
      <c r="E319" s="5" t="s">
        <v>730</v>
      </c>
      <c r="F319" s="5">
        <v>3</v>
      </c>
      <c r="G319" s="5" t="s">
        <v>566</v>
      </c>
      <c r="H319" s="5" t="s">
        <v>1106</v>
      </c>
      <c r="I319" s="5"/>
      <c r="J319" s="5"/>
      <c r="K319" s="5">
        <v>2310.4</v>
      </c>
      <c r="L319" s="56">
        <v>46023</v>
      </c>
      <c r="M319" s="5">
        <v>0</v>
      </c>
      <c r="N319" s="5"/>
      <c r="O319" s="5" t="s">
        <v>549</v>
      </c>
      <c r="P319" s="5">
        <v>1</v>
      </c>
      <c r="Q319" s="11" t="s">
        <v>1067</v>
      </c>
    </row>
    <row r="320" spans="1:17" x14ac:dyDescent="0.25">
      <c r="A320" s="10">
        <v>1643</v>
      </c>
      <c r="B320" s="5" t="s">
        <v>1117</v>
      </c>
      <c r="C320" s="5" t="s">
        <v>1118</v>
      </c>
      <c r="D320" s="5" t="s">
        <v>730</v>
      </c>
      <c r="E320" s="5" t="s">
        <v>730</v>
      </c>
      <c r="F320" s="5">
        <v>4</v>
      </c>
      <c r="G320" s="5" t="s">
        <v>566</v>
      </c>
      <c r="H320" s="5" t="s">
        <v>1119</v>
      </c>
      <c r="I320" s="5"/>
      <c r="J320" s="5"/>
      <c r="K320" s="5">
        <v>2310.4</v>
      </c>
      <c r="L320" s="56">
        <v>46023</v>
      </c>
      <c r="M320" s="5">
        <v>0</v>
      </c>
      <c r="N320" s="5"/>
      <c r="O320" s="5" t="s">
        <v>549</v>
      </c>
      <c r="P320" s="5">
        <v>1</v>
      </c>
      <c r="Q320" s="11" t="s">
        <v>1069</v>
      </c>
    </row>
    <row r="321" spans="1:17" x14ac:dyDescent="0.25">
      <c r="A321" s="10">
        <v>1916</v>
      </c>
      <c r="B321" s="5" t="s">
        <v>1120</v>
      </c>
      <c r="C321" s="5" t="s">
        <v>1121</v>
      </c>
      <c r="D321" s="5" t="s">
        <v>730</v>
      </c>
      <c r="E321" s="5" t="s">
        <v>730</v>
      </c>
      <c r="F321" s="5">
        <v>1</v>
      </c>
      <c r="G321" s="5" t="s">
        <v>731</v>
      </c>
      <c r="H321" s="5" t="s">
        <v>1080</v>
      </c>
      <c r="I321" s="5"/>
      <c r="J321" s="5"/>
      <c r="K321" s="5">
        <v>1584</v>
      </c>
      <c r="L321" s="56">
        <v>46023</v>
      </c>
      <c r="M321" s="5">
        <v>0</v>
      </c>
      <c r="N321" s="5"/>
      <c r="O321" s="5" t="s">
        <v>549</v>
      </c>
      <c r="P321" s="5">
        <v>1</v>
      </c>
      <c r="Q321" s="11"/>
    </row>
    <row r="322" spans="1:17" x14ac:dyDescent="0.25">
      <c r="A322" s="10">
        <v>1917</v>
      </c>
      <c r="B322" s="5" t="s">
        <v>1120</v>
      </c>
      <c r="C322" s="5" t="s">
        <v>1121</v>
      </c>
      <c r="D322" s="5" t="s">
        <v>730</v>
      </c>
      <c r="E322" s="5" t="s">
        <v>730</v>
      </c>
      <c r="F322" s="5">
        <v>2</v>
      </c>
      <c r="G322" s="5" t="s">
        <v>891</v>
      </c>
      <c r="H322" s="5" t="s">
        <v>1122</v>
      </c>
      <c r="I322" s="5"/>
      <c r="J322" s="5"/>
      <c r="K322" s="5">
        <v>37.6</v>
      </c>
      <c r="L322" s="56">
        <v>46023</v>
      </c>
      <c r="M322" s="5">
        <v>0</v>
      </c>
      <c r="N322" s="5"/>
      <c r="O322" s="5" t="s">
        <v>549</v>
      </c>
      <c r="P322" s="5">
        <v>1</v>
      </c>
      <c r="Q322" s="11"/>
    </row>
    <row r="323" spans="1:17" x14ac:dyDescent="0.25">
      <c r="A323" s="10">
        <v>1918</v>
      </c>
      <c r="B323" s="5" t="s">
        <v>1120</v>
      </c>
      <c r="C323" s="5" t="s">
        <v>1121</v>
      </c>
      <c r="D323" s="5" t="s">
        <v>730</v>
      </c>
      <c r="E323" s="5" t="s">
        <v>730</v>
      </c>
      <c r="F323" s="5">
        <v>3</v>
      </c>
      <c r="G323" s="5" t="s">
        <v>566</v>
      </c>
      <c r="H323" s="5" t="s">
        <v>1123</v>
      </c>
      <c r="I323" s="5"/>
      <c r="J323" s="5"/>
      <c r="K323" s="5">
        <v>2310.4</v>
      </c>
      <c r="L323" s="56">
        <v>46023</v>
      </c>
      <c r="M323" s="5">
        <v>0</v>
      </c>
      <c r="N323" s="5"/>
      <c r="O323" s="5" t="s">
        <v>549</v>
      </c>
      <c r="P323" s="5">
        <v>1</v>
      </c>
      <c r="Q323" s="11" t="s">
        <v>1067</v>
      </c>
    </row>
    <row r="324" spans="1:17" x14ac:dyDescent="0.25">
      <c r="A324" s="10">
        <v>1919</v>
      </c>
      <c r="B324" s="5" t="s">
        <v>1120</v>
      </c>
      <c r="C324" s="5" t="s">
        <v>1121</v>
      </c>
      <c r="D324" s="5" t="s">
        <v>730</v>
      </c>
      <c r="E324" s="5" t="s">
        <v>730</v>
      </c>
      <c r="F324" s="5">
        <v>4</v>
      </c>
      <c r="G324" s="5" t="s">
        <v>566</v>
      </c>
      <c r="H324" s="5" t="s">
        <v>1068</v>
      </c>
      <c r="I324" s="5"/>
      <c r="J324" s="5"/>
      <c r="K324" s="5">
        <v>2310.4</v>
      </c>
      <c r="L324" s="56">
        <v>46023</v>
      </c>
      <c r="M324" s="5">
        <v>0</v>
      </c>
      <c r="N324" s="5"/>
      <c r="O324" s="5" t="s">
        <v>549</v>
      </c>
      <c r="P324" s="5">
        <v>1</v>
      </c>
      <c r="Q324" s="11" t="s">
        <v>1069</v>
      </c>
    </row>
    <row r="325" spans="1:17" x14ac:dyDescent="0.25">
      <c r="A325" s="10">
        <v>1648</v>
      </c>
      <c r="B325" s="5" t="s">
        <v>1124</v>
      </c>
      <c r="C325" s="5" t="s">
        <v>1125</v>
      </c>
      <c r="D325" s="5" t="s">
        <v>730</v>
      </c>
      <c r="E325" s="5" t="s">
        <v>886</v>
      </c>
      <c r="F325" s="5">
        <v>1</v>
      </c>
      <c r="G325" s="5" t="s">
        <v>731</v>
      </c>
      <c r="H325" s="5" t="s">
        <v>1126</v>
      </c>
      <c r="I325" s="5"/>
      <c r="J325" s="5"/>
      <c r="K325" s="5">
        <v>1908.26</v>
      </c>
      <c r="L325" s="56">
        <v>46023</v>
      </c>
      <c r="M325" s="5">
        <v>0</v>
      </c>
      <c r="N325" s="5"/>
      <c r="O325" s="5" t="s">
        <v>549</v>
      </c>
      <c r="P325" s="5">
        <v>1</v>
      </c>
      <c r="Q325" s="11"/>
    </row>
    <row r="326" spans="1:17" x14ac:dyDescent="0.25">
      <c r="A326" s="10">
        <v>1649</v>
      </c>
      <c r="B326" s="5" t="s">
        <v>1124</v>
      </c>
      <c r="C326" s="5" t="s">
        <v>1125</v>
      </c>
      <c r="D326" s="5" t="s">
        <v>730</v>
      </c>
      <c r="E326" s="5" t="s">
        <v>886</v>
      </c>
      <c r="F326" s="5">
        <v>2</v>
      </c>
      <c r="G326" s="5" t="s">
        <v>891</v>
      </c>
      <c r="H326" s="5" t="s">
        <v>1116</v>
      </c>
      <c r="I326" s="5"/>
      <c r="J326" s="5"/>
      <c r="K326" s="5">
        <v>18.420000000000002</v>
      </c>
      <c r="L326" s="56">
        <v>46023</v>
      </c>
      <c r="M326" s="5">
        <v>0</v>
      </c>
      <c r="N326" s="5"/>
      <c r="O326" s="5" t="s">
        <v>549</v>
      </c>
      <c r="P326" s="5">
        <v>1</v>
      </c>
      <c r="Q326" s="11"/>
    </row>
    <row r="327" spans="1:17" x14ac:dyDescent="0.25">
      <c r="A327" s="10">
        <v>1636</v>
      </c>
      <c r="B327" s="5" t="s">
        <v>1127</v>
      </c>
      <c r="C327" s="5" t="s">
        <v>1128</v>
      </c>
      <c r="D327" s="5" t="s">
        <v>730</v>
      </c>
      <c r="E327" s="5" t="s">
        <v>886</v>
      </c>
      <c r="F327" s="5">
        <v>1</v>
      </c>
      <c r="G327" s="5" t="s">
        <v>731</v>
      </c>
      <c r="H327" s="5" t="s">
        <v>1080</v>
      </c>
      <c r="I327" s="5"/>
      <c r="J327" s="5"/>
      <c r="K327" s="5">
        <v>776.16</v>
      </c>
      <c r="L327" s="56">
        <v>46023</v>
      </c>
      <c r="M327" s="5">
        <v>0</v>
      </c>
      <c r="N327" s="5"/>
      <c r="O327" s="5" t="s">
        <v>549</v>
      </c>
      <c r="P327" s="5">
        <v>1</v>
      </c>
      <c r="Q327" s="11"/>
    </row>
    <row r="328" spans="1:17" x14ac:dyDescent="0.25">
      <c r="A328" s="10">
        <v>1637</v>
      </c>
      <c r="B328" s="5" t="s">
        <v>1127</v>
      </c>
      <c r="C328" s="5" t="s">
        <v>1128</v>
      </c>
      <c r="D328" s="5" t="s">
        <v>730</v>
      </c>
      <c r="E328" s="5" t="s">
        <v>886</v>
      </c>
      <c r="F328" s="5">
        <v>2</v>
      </c>
      <c r="G328" s="5" t="s">
        <v>891</v>
      </c>
      <c r="H328" s="5" t="s">
        <v>1116</v>
      </c>
      <c r="I328" s="5"/>
      <c r="J328" s="5"/>
      <c r="K328" s="5">
        <v>18.420000000000002</v>
      </c>
      <c r="L328" s="56">
        <v>46023</v>
      </c>
      <c r="M328" s="5">
        <v>0</v>
      </c>
      <c r="N328" s="5"/>
      <c r="O328" s="5" t="s">
        <v>549</v>
      </c>
      <c r="P328" s="5">
        <v>1</v>
      </c>
      <c r="Q328" s="11"/>
    </row>
    <row r="329" spans="1:17" x14ac:dyDescent="0.25">
      <c r="A329" s="10">
        <v>1638</v>
      </c>
      <c r="B329" s="5" t="s">
        <v>1127</v>
      </c>
      <c r="C329" s="5" t="s">
        <v>1128</v>
      </c>
      <c r="D329" s="5" t="s">
        <v>730</v>
      </c>
      <c r="E329" s="5" t="s">
        <v>886</v>
      </c>
      <c r="F329" s="5">
        <v>3</v>
      </c>
      <c r="G329" s="5" t="s">
        <v>566</v>
      </c>
      <c r="H329" s="5" t="s">
        <v>1082</v>
      </c>
      <c r="I329" s="5"/>
      <c r="J329" s="5"/>
      <c r="K329" s="5">
        <v>1132.0999999999999</v>
      </c>
      <c r="L329" s="56">
        <v>46023</v>
      </c>
      <c r="M329" s="5">
        <v>0</v>
      </c>
      <c r="N329" s="5"/>
      <c r="O329" s="5" t="s">
        <v>549</v>
      </c>
      <c r="P329" s="5">
        <v>1</v>
      </c>
      <c r="Q329" s="11" t="s">
        <v>1067</v>
      </c>
    </row>
    <row r="330" spans="1:17" x14ac:dyDescent="0.25">
      <c r="A330" s="10">
        <v>1924</v>
      </c>
      <c r="B330" s="5" t="s">
        <v>1127</v>
      </c>
      <c r="C330" s="5" t="s">
        <v>1128</v>
      </c>
      <c r="D330" s="5" t="s">
        <v>730</v>
      </c>
      <c r="E330" s="5" t="s">
        <v>886</v>
      </c>
      <c r="F330" s="5">
        <v>4</v>
      </c>
      <c r="G330" s="5" t="s">
        <v>566</v>
      </c>
      <c r="H330" s="5" t="s">
        <v>1129</v>
      </c>
      <c r="I330" s="5"/>
      <c r="J330" s="5"/>
      <c r="K330" s="5">
        <v>1132.0999999999999</v>
      </c>
      <c r="L330" s="56">
        <v>46023</v>
      </c>
      <c r="M330" s="5">
        <v>0</v>
      </c>
      <c r="N330" s="5"/>
      <c r="O330" s="5" t="s">
        <v>549</v>
      </c>
      <c r="P330" s="5">
        <v>1</v>
      </c>
      <c r="Q330" s="11" t="s">
        <v>1069</v>
      </c>
    </row>
    <row r="331" spans="1:17" x14ac:dyDescent="0.25">
      <c r="A331" s="10">
        <v>1920</v>
      </c>
      <c r="B331" s="5" t="s">
        <v>1130</v>
      </c>
      <c r="C331" s="5" t="s">
        <v>1131</v>
      </c>
      <c r="D331" s="5" t="s">
        <v>730</v>
      </c>
      <c r="E331" s="5" t="s">
        <v>730</v>
      </c>
      <c r="F331" s="5">
        <v>1</v>
      </c>
      <c r="G331" s="5" t="s">
        <v>731</v>
      </c>
      <c r="H331" s="5" t="s">
        <v>1109</v>
      </c>
      <c r="I331" s="5"/>
      <c r="J331" s="5"/>
      <c r="K331" s="5">
        <v>1908.26</v>
      </c>
      <c r="L331" s="56">
        <v>46023</v>
      </c>
      <c r="M331" s="5">
        <v>0</v>
      </c>
      <c r="N331" s="5"/>
      <c r="O331" s="5" t="s">
        <v>549</v>
      </c>
      <c r="P331" s="5">
        <v>1</v>
      </c>
      <c r="Q331" s="11"/>
    </row>
    <row r="332" spans="1:17" x14ac:dyDescent="0.25">
      <c r="A332" s="10">
        <v>1921</v>
      </c>
      <c r="B332" s="5" t="s">
        <v>1130</v>
      </c>
      <c r="C332" s="5" t="s">
        <v>1131</v>
      </c>
      <c r="D332" s="5" t="s">
        <v>730</v>
      </c>
      <c r="E332" s="5" t="s">
        <v>730</v>
      </c>
      <c r="F332" s="5">
        <v>2</v>
      </c>
      <c r="G332" s="5" t="s">
        <v>891</v>
      </c>
      <c r="H332" s="5" t="s">
        <v>1116</v>
      </c>
      <c r="I332" s="5"/>
      <c r="J332" s="5"/>
      <c r="K332" s="5">
        <v>18.420000000000002</v>
      </c>
      <c r="L332" s="56">
        <v>46023</v>
      </c>
      <c r="M332" s="5">
        <v>0</v>
      </c>
      <c r="N332" s="5"/>
      <c r="O332" s="5" t="s">
        <v>549</v>
      </c>
      <c r="P332" s="5">
        <v>1</v>
      </c>
      <c r="Q332" s="11"/>
    </row>
    <row r="333" spans="1:17" x14ac:dyDescent="0.25">
      <c r="A333" s="10">
        <v>1962</v>
      </c>
      <c r="B333" s="5" t="s">
        <v>1132</v>
      </c>
      <c r="C333" s="5" t="s">
        <v>1133</v>
      </c>
      <c r="D333" s="5" t="s">
        <v>545</v>
      </c>
      <c r="E333" s="5" t="s">
        <v>546</v>
      </c>
      <c r="F333" s="5">
        <v>1</v>
      </c>
      <c r="G333" s="5" t="s">
        <v>547</v>
      </c>
      <c r="H333" s="5" t="s">
        <v>1134</v>
      </c>
      <c r="I333" s="5"/>
      <c r="J333" s="5"/>
      <c r="K333" s="5"/>
      <c r="L333" s="5"/>
      <c r="M333" s="5">
        <v>0</v>
      </c>
      <c r="N333" s="5"/>
      <c r="O333" s="5" t="s">
        <v>549</v>
      </c>
      <c r="P333" s="5">
        <v>0</v>
      </c>
      <c r="Q333" s="11" t="s">
        <v>567</v>
      </c>
    </row>
    <row r="334" spans="1:17" x14ac:dyDescent="0.25">
      <c r="A334" s="10">
        <v>1953</v>
      </c>
      <c r="B334" s="5" t="s">
        <v>1135</v>
      </c>
      <c r="C334" s="5" t="s">
        <v>589</v>
      </c>
      <c r="D334" s="5" t="s">
        <v>545</v>
      </c>
      <c r="E334" s="5" t="s">
        <v>565</v>
      </c>
      <c r="F334" s="5">
        <v>1</v>
      </c>
      <c r="G334" s="5" t="s">
        <v>566</v>
      </c>
      <c r="H334" s="5" t="s">
        <v>589</v>
      </c>
      <c r="I334" s="5"/>
      <c r="J334" s="5"/>
      <c r="K334" s="5"/>
      <c r="L334" s="5"/>
      <c r="M334" s="5">
        <v>0</v>
      </c>
      <c r="N334" s="5"/>
      <c r="O334" s="5" t="s">
        <v>549</v>
      </c>
      <c r="P334" s="5">
        <v>1</v>
      </c>
      <c r="Q334" s="11" t="s">
        <v>567</v>
      </c>
    </row>
    <row r="335" spans="1:17" x14ac:dyDescent="0.25">
      <c r="A335" s="10">
        <v>1968</v>
      </c>
      <c r="B335" s="5" t="s">
        <v>1136</v>
      </c>
      <c r="C335" s="5" t="s">
        <v>1137</v>
      </c>
      <c r="D335" s="5" t="s">
        <v>545</v>
      </c>
      <c r="E335" s="5" t="s">
        <v>1138</v>
      </c>
      <c r="F335" s="5">
        <v>1</v>
      </c>
      <c r="G335" s="5" t="s">
        <v>566</v>
      </c>
      <c r="H335" s="5" t="s">
        <v>1136</v>
      </c>
      <c r="I335" s="5"/>
      <c r="J335" s="5"/>
      <c r="K335" s="5"/>
      <c r="L335" s="5"/>
      <c r="M335" s="5">
        <v>0</v>
      </c>
      <c r="N335" s="5"/>
      <c r="O335" s="5" t="s">
        <v>549</v>
      </c>
      <c r="P335" s="5">
        <v>1</v>
      </c>
      <c r="Q335" s="11" t="s">
        <v>567</v>
      </c>
    </row>
    <row r="336" spans="1:17" x14ac:dyDescent="0.25">
      <c r="A336" s="10">
        <v>1903</v>
      </c>
      <c r="B336" s="5" t="s">
        <v>1139</v>
      </c>
      <c r="C336" s="5" t="s">
        <v>1140</v>
      </c>
      <c r="D336" s="5" t="s">
        <v>730</v>
      </c>
      <c r="E336" s="5"/>
      <c r="F336" s="5">
        <v>1</v>
      </c>
      <c r="G336" s="5" t="s">
        <v>547</v>
      </c>
      <c r="H336" s="5" t="s">
        <v>1140</v>
      </c>
      <c r="I336" s="5"/>
      <c r="J336" s="5"/>
      <c r="K336" s="5"/>
      <c r="L336" s="5"/>
      <c r="M336" s="5">
        <v>0</v>
      </c>
      <c r="N336" s="5"/>
      <c r="O336" s="5" t="s">
        <v>549</v>
      </c>
      <c r="P336" s="5">
        <v>0</v>
      </c>
      <c r="Q336" s="11" t="s">
        <v>686</v>
      </c>
    </row>
    <row r="337" spans="1:17" x14ac:dyDescent="0.25">
      <c r="A337" s="10">
        <v>1972</v>
      </c>
      <c r="B337" s="5" t="s">
        <v>1141</v>
      </c>
      <c r="C337" s="5" t="s">
        <v>1142</v>
      </c>
      <c r="D337" s="5" t="s">
        <v>545</v>
      </c>
      <c r="E337" s="5"/>
      <c r="F337" s="5">
        <v>1</v>
      </c>
      <c r="G337" s="5" t="s">
        <v>566</v>
      </c>
      <c r="H337" s="5" t="s">
        <v>1143</v>
      </c>
      <c r="I337" s="5"/>
      <c r="J337" s="5"/>
      <c r="K337" s="5"/>
      <c r="L337" s="5"/>
      <c r="M337" s="5">
        <v>0</v>
      </c>
      <c r="N337" s="5"/>
      <c r="O337" s="5" t="s">
        <v>549</v>
      </c>
      <c r="P337" s="5">
        <v>1</v>
      </c>
      <c r="Q337" s="11" t="s">
        <v>686</v>
      </c>
    </row>
    <row r="338" spans="1:17" x14ac:dyDescent="0.25">
      <c r="A338" s="10">
        <v>1927</v>
      </c>
      <c r="B338" s="5" t="s">
        <v>1144</v>
      </c>
      <c r="C338" s="5" t="s">
        <v>1145</v>
      </c>
      <c r="D338" s="5" t="s">
        <v>545</v>
      </c>
      <c r="E338" s="5" t="s">
        <v>546</v>
      </c>
      <c r="F338" s="5">
        <v>1</v>
      </c>
      <c r="G338" s="5" t="s">
        <v>566</v>
      </c>
      <c r="H338" s="5" t="s">
        <v>1146</v>
      </c>
      <c r="I338" s="5"/>
      <c r="J338" s="5"/>
      <c r="K338" s="5"/>
      <c r="L338" s="5"/>
      <c r="M338" s="5">
        <v>0</v>
      </c>
      <c r="N338" s="5"/>
      <c r="O338" s="5" t="s">
        <v>576</v>
      </c>
      <c r="P338" s="5">
        <v>1</v>
      </c>
      <c r="Q338" s="11" t="s">
        <v>1147</v>
      </c>
    </row>
    <row r="339" spans="1:17" x14ac:dyDescent="0.25">
      <c r="A339" s="10">
        <v>1928</v>
      </c>
      <c r="B339" s="5" t="s">
        <v>1144</v>
      </c>
      <c r="C339" s="5" t="s">
        <v>1145</v>
      </c>
      <c r="D339" s="5" t="s">
        <v>545</v>
      </c>
      <c r="E339" s="5" t="s">
        <v>546</v>
      </c>
      <c r="F339" s="5">
        <v>2</v>
      </c>
      <c r="G339" s="5" t="s">
        <v>547</v>
      </c>
      <c r="H339" s="5" t="s">
        <v>1148</v>
      </c>
      <c r="I339" s="5"/>
      <c r="J339" s="5"/>
      <c r="K339" s="5"/>
      <c r="L339" s="5"/>
      <c r="M339" s="5">
        <v>0</v>
      </c>
      <c r="N339" s="5"/>
      <c r="O339" s="5" t="s">
        <v>576</v>
      </c>
      <c r="P339" s="5">
        <v>1</v>
      </c>
      <c r="Q339" s="11" t="s">
        <v>1149</v>
      </c>
    </row>
    <row r="340" spans="1:17" x14ac:dyDescent="0.25">
      <c r="A340" s="10">
        <v>1929</v>
      </c>
      <c r="B340" s="5" t="s">
        <v>1150</v>
      </c>
      <c r="C340" s="5" t="s">
        <v>1151</v>
      </c>
      <c r="D340" s="5" t="s">
        <v>545</v>
      </c>
      <c r="E340" s="5" t="s">
        <v>546</v>
      </c>
      <c r="F340" s="5">
        <v>1</v>
      </c>
      <c r="G340" s="5" t="s">
        <v>566</v>
      </c>
      <c r="H340" s="5" t="s">
        <v>1152</v>
      </c>
      <c r="I340" s="5"/>
      <c r="J340" s="5"/>
      <c r="K340" s="5"/>
      <c r="L340" s="5"/>
      <c r="M340" s="5">
        <v>0</v>
      </c>
      <c r="N340" s="5"/>
      <c r="O340" s="5" t="s">
        <v>576</v>
      </c>
      <c r="P340" s="5">
        <v>1</v>
      </c>
      <c r="Q340" s="11" t="s">
        <v>613</v>
      </c>
    </row>
    <row r="341" spans="1:17" x14ac:dyDescent="0.25">
      <c r="A341" s="10">
        <v>1930</v>
      </c>
      <c r="B341" s="5" t="s">
        <v>1150</v>
      </c>
      <c r="C341" s="5" t="s">
        <v>1151</v>
      </c>
      <c r="D341" s="5" t="s">
        <v>545</v>
      </c>
      <c r="E341" s="5" t="s">
        <v>546</v>
      </c>
      <c r="F341" s="5">
        <v>2</v>
      </c>
      <c r="G341" s="5" t="s">
        <v>547</v>
      </c>
      <c r="H341" s="5" t="s">
        <v>1153</v>
      </c>
      <c r="I341" s="5"/>
      <c r="J341" s="5"/>
      <c r="K341" s="5"/>
      <c r="L341" s="5"/>
      <c r="M341" s="5">
        <v>0</v>
      </c>
      <c r="N341" s="5"/>
      <c r="O341" s="5" t="s">
        <v>576</v>
      </c>
      <c r="P341" s="5">
        <v>1</v>
      </c>
      <c r="Q341" s="11" t="s">
        <v>615</v>
      </c>
    </row>
    <row r="342" spans="1:17" x14ac:dyDescent="0.25">
      <c r="A342" s="10">
        <v>1925</v>
      </c>
      <c r="B342" s="5" t="s">
        <v>1154</v>
      </c>
      <c r="C342" s="5" t="s">
        <v>1155</v>
      </c>
      <c r="D342" s="5" t="s">
        <v>545</v>
      </c>
      <c r="E342" s="5" t="s">
        <v>546</v>
      </c>
      <c r="F342" s="5">
        <v>1</v>
      </c>
      <c r="G342" s="5" t="s">
        <v>566</v>
      </c>
      <c r="H342" s="5" t="s">
        <v>1156</v>
      </c>
      <c r="I342" s="5"/>
      <c r="J342" s="5"/>
      <c r="K342" s="5"/>
      <c r="L342" s="5"/>
      <c r="M342" s="5">
        <v>0</v>
      </c>
      <c r="N342" s="5"/>
      <c r="O342" s="5" t="s">
        <v>576</v>
      </c>
      <c r="P342" s="5">
        <v>1</v>
      </c>
      <c r="Q342" s="11" t="s">
        <v>613</v>
      </c>
    </row>
    <row r="343" spans="1:17" x14ac:dyDescent="0.25">
      <c r="A343" s="10">
        <v>1926</v>
      </c>
      <c r="B343" s="5" t="s">
        <v>1154</v>
      </c>
      <c r="C343" s="5" t="s">
        <v>1155</v>
      </c>
      <c r="D343" s="5" t="s">
        <v>545</v>
      </c>
      <c r="E343" s="5" t="s">
        <v>546</v>
      </c>
      <c r="F343" s="5">
        <v>2</v>
      </c>
      <c r="G343" s="5" t="s">
        <v>547</v>
      </c>
      <c r="H343" s="5" t="s">
        <v>1157</v>
      </c>
      <c r="I343" s="5"/>
      <c r="J343" s="5"/>
      <c r="K343" s="5"/>
      <c r="L343" s="5"/>
      <c r="M343" s="5">
        <v>0</v>
      </c>
      <c r="N343" s="5"/>
      <c r="O343" s="5" t="s">
        <v>576</v>
      </c>
      <c r="P343" s="5">
        <v>1</v>
      </c>
      <c r="Q343" s="11" t="s">
        <v>615</v>
      </c>
    </row>
    <row r="344" spans="1:17" x14ac:dyDescent="0.25">
      <c r="A344" s="10">
        <v>1664</v>
      </c>
      <c r="B344" s="5" t="s">
        <v>1158</v>
      </c>
      <c r="C344" s="5" t="s">
        <v>1159</v>
      </c>
      <c r="D344" s="5" t="s">
        <v>730</v>
      </c>
      <c r="E344" s="5"/>
      <c r="F344" s="5">
        <v>1</v>
      </c>
      <c r="G344" s="5" t="s">
        <v>547</v>
      </c>
      <c r="H344" s="5" t="s">
        <v>1159</v>
      </c>
      <c r="I344" s="5"/>
      <c r="J344" s="5"/>
      <c r="K344" s="5"/>
      <c r="L344" s="5"/>
      <c r="M344" s="5">
        <v>0</v>
      </c>
      <c r="N344" s="5"/>
      <c r="O344" s="5" t="s">
        <v>549</v>
      </c>
      <c r="P344" s="5">
        <v>1</v>
      </c>
      <c r="Q344" s="11"/>
    </row>
    <row r="345" spans="1:17" x14ac:dyDescent="0.25">
      <c r="A345" s="10">
        <v>1663</v>
      </c>
      <c r="B345" s="5" t="s">
        <v>1160</v>
      </c>
      <c r="C345" s="5" t="s">
        <v>1161</v>
      </c>
      <c r="D345" s="5" t="s">
        <v>730</v>
      </c>
      <c r="E345" s="5"/>
      <c r="F345" s="5">
        <v>1</v>
      </c>
      <c r="G345" s="5" t="s">
        <v>547</v>
      </c>
      <c r="H345" s="5" t="s">
        <v>1161</v>
      </c>
      <c r="I345" s="5"/>
      <c r="J345" s="5"/>
      <c r="K345" s="5"/>
      <c r="L345" s="5"/>
      <c r="M345" s="5">
        <v>0</v>
      </c>
      <c r="N345" s="5"/>
      <c r="O345" s="5" t="s">
        <v>549</v>
      </c>
      <c r="P345" s="5">
        <v>1</v>
      </c>
      <c r="Q345" s="11"/>
    </row>
    <row r="346" spans="1:17" x14ac:dyDescent="0.25">
      <c r="A346" s="10">
        <v>1873</v>
      </c>
      <c r="B346" s="5" t="s">
        <v>1162</v>
      </c>
      <c r="C346" s="5" t="s">
        <v>1163</v>
      </c>
      <c r="D346" s="5" t="s">
        <v>545</v>
      </c>
      <c r="E346" s="5" t="s">
        <v>1138</v>
      </c>
      <c r="F346" s="5">
        <v>1</v>
      </c>
      <c r="G346" s="5" t="s">
        <v>547</v>
      </c>
      <c r="H346" s="5" t="s">
        <v>1163</v>
      </c>
      <c r="I346" s="5"/>
      <c r="J346" s="5"/>
      <c r="K346" s="5"/>
      <c r="L346" s="5"/>
      <c r="M346" s="5">
        <v>0</v>
      </c>
      <c r="N346" s="5"/>
      <c r="O346" s="5" t="s">
        <v>549</v>
      </c>
      <c r="P346" s="5">
        <v>1</v>
      </c>
      <c r="Q346" s="11" t="s">
        <v>615</v>
      </c>
    </row>
    <row r="347" spans="1:17" x14ac:dyDescent="0.25">
      <c r="A347" s="10">
        <v>1880</v>
      </c>
      <c r="B347" s="5" t="s">
        <v>1164</v>
      </c>
      <c r="C347" s="5" t="s">
        <v>1165</v>
      </c>
      <c r="D347" s="5" t="s">
        <v>545</v>
      </c>
      <c r="E347" s="5" t="s">
        <v>1138</v>
      </c>
      <c r="F347" s="5">
        <v>1</v>
      </c>
      <c r="G347" s="5" t="s">
        <v>547</v>
      </c>
      <c r="H347" s="5" t="s">
        <v>1165</v>
      </c>
      <c r="I347" s="5"/>
      <c r="J347" s="5"/>
      <c r="K347" s="5"/>
      <c r="L347" s="5"/>
      <c r="M347" s="5">
        <v>0</v>
      </c>
      <c r="N347" s="5"/>
      <c r="O347" s="5" t="s">
        <v>549</v>
      </c>
      <c r="P347" s="5">
        <v>1</v>
      </c>
      <c r="Q347" s="11" t="s">
        <v>615</v>
      </c>
    </row>
    <row r="348" spans="1:17" x14ac:dyDescent="0.25">
      <c r="A348" s="10">
        <v>1894</v>
      </c>
      <c r="B348" s="5" t="s">
        <v>1166</v>
      </c>
      <c r="C348" s="5" t="s">
        <v>1167</v>
      </c>
      <c r="D348" s="5" t="s">
        <v>545</v>
      </c>
      <c r="E348" s="5" t="s">
        <v>1138</v>
      </c>
      <c r="F348" s="5">
        <v>1</v>
      </c>
      <c r="G348" s="5" t="s">
        <v>547</v>
      </c>
      <c r="H348" s="5" t="s">
        <v>1167</v>
      </c>
      <c r="I348" s="5"/>
      <c r="J348" s="5"/>
      <c r="K348" s="5"/>
      <c r="L348" s="5"/>
      <c r="M348" s="5">
        <v>0</v>
      </c>
      <c r="N348" s="5"/>
      <c r="O348" s="5" t="s">
        <v>549</v>
      </c>
      <c r="P348" s="5">
        <v>1</v>
      </c>
      <c r="Q348" s="11" t="s">
        <v>615</v>
      </c>
    </row>
    <row r="349" spans="1:17" x14ac:dyDescent="0.25">
      <c r="A349" s="10">
        <v>1883</v>
      </c>
      <c r="B349" s="5" t="s">
        <v>1168</v>
      </c>
      <c r="C349" s="5" t="s">
        <v>1169</v>
      </c>
      <c r="D349" s="5" t="s">
        <v>545</v>
      </c>
      <c r="E349" s="5" t="s">
        <v>1138</v>
      </c>
      <c r="F349" s="5">
        <v>1</v>
      </c>
      <c r="G349" s="5" t="s">
        <v>547</v>
      </c>
      <c r="H349" s="5" t="s">
        <v>1169</v>
      </c>
      <c r="I349" s="5"/>
      <c r="J349" s="5"/>
      <c r="K349" s="5"/>
      <c r="L349" s="5"/>
      <c r="M349" s="5">
        <v>0</v>
      </c>
      <c r="N349" s="5"/>
      <c r="O349" s="5" t="s">
        <v>549</v>
      </c>
      <c r="P349" s="5">
        <v>1</v>
      </c>
      <c r="Q349" s="11" t="s">
        <v>615</v>
      </c>
    </row>
    <row r="350" spans="1:17" x14ac:dyDescent="0.25">
      <c r="A350" s="10">
        <v>1885</v>
      </c>
      <c r="B350" s="5" t="s">
        <v>1170</v>
      </c>
      <c r="C350" s="5" t="s">
        <v>1171</v>
      </c>
      <c r="D350" s="5" t="s">
        <v>545</v>
      </c>
      <c r="E350" s="5" t="s">
        <v>1138</v>
      </c>
      <c r="F350" s="5">
        <v>1</v>
      </c>
      <c r="G350" s="5" t="s">
        <v>547</v>
      </c>
      <c r="H350" s="5" t="s">
        <v>1171</v>
      </c>
      <c r="I350" s="5"/>
      <c r="J350" s="5"/>
      <c r="K350" s="5"/>
      <c r="L350" s="5"/>
      <c r="M350" s="5">
        <v>0</v>
      </c>
      <c r="N350" s="5"/>
      <c r="O350" s="5" t="s">
        <v>549</v>
      </c>
      <c r="P350" s="5">
        <v>1</v>
      </c>
      <c r="Q350" s="11" t="s">
        <v>615</v>
      </c>
    </row>
    <row r="351" spans="1:17" x14ac:dyDescent="0.25">
      <c r="A351" s="10">
        <v>1887</v>
      </c>
      <c r="B351" s="5" t="s">
        <v>1172</v>
      </c>
      <c r="C351" s="5" t="s">
        <v>1173</v>
      </c>
      <c r="D351" s="5" t="s">
        <v>545</v>
      </c>
      <c r="E351" s="5" t="s">
        <v>1138</v>
      </c>
      <c r="F351" s="5">
        <v>1</v>
      </c>
      <c r="G351" s="5" t="s">
        <v>547</v>
      </c>
      <c r="H351" s="5" t="s">
        <v>1173</v>
      </c>
      <c r="I351" s="5"/>
      <c r="J351" s="5"/>
      <c r="K351" s="5"/>
      <c r="L351" s="5"/>
      <c r="M351" s="5">
        <v>0</v>
      </c>
      <c r="N351" s="5"/>
      <c r="O351" s="5" t="s">
        <v>549</v>
      </c>
      <c r="P351" s="5">
        <v>1</v>
      </c>
      <c r="Q351" s="11" t="s">
        <v>615</v>
      </c>
    </row>
    <row r="352" spans="1:17" x14ac:dyDescent="0.25">
      <c r="A352" s="10">
        <v>1896</v>
      </c>
      <c r="B352" s="5" t="s">
        <v>1174</v>
      </c>
      <c r="C352" s="5" t="s">
        <v>1175</v>
      </c>
      <c r="D352" s="5" t="s">
        <v>545</v>
      </c>
      <c r="E352" s="5" t="s">
        <v>1138</v>
      </c>
      <c r="F352" s="5">
        <v>1</v>
      </c>
      <c r="G352" s="5" t="s">
        <v>547</v>
      </c>
      <c r="H352" s="5" t="s">
        <v>1175</v>
      </c>
      <c r="I352" s="5"/>
      <c r="J352" s="5"/>
      <c r="K352" s="5"/>
      <c r="L352" s="5"/>
      <c r="M352" s="5">
        <v>0</v>
      </c>
      <c r="N352" s="5"/>
      <c r="O352" s="5" t="s">
        <v>549</v>
      </c>
      <c r="P352" s="5">
        <v>1</v>
      </c>
      <c r="Q352" s="11" t="s">
        <v>615</v>
      </c>
    </row>
    <row r="353" spans="1:17" x14ac:dyDescent="0.25">
      <c r="A353" s="10">
        <v>1889</v>
      </c>
      <c r="B353" s="5" t="s">
        <v>1176</v>
      </c>
      <c r="C353" s="5" t="s">
        <v>1177</v>
      </c>
      <c r="D353" s="5" t="s">
        <v>545</v>
      </c>
      <c r="E353" s="5" t="s">
        <v>1138</v>
      </c>
      <c r="F353" s="5">
        <v>1</v>
      </c>
      <c r="G353" s="5" t="s">
        <v>547</v>
      </c>
      <c r="H353" s="5" t="s">
        <v>1177</v>
      </c>
      <c r="I353" s="5"/>
      <c r="J353" s="5"/>
      <c r="K353" s="5"/>
      <c r="L353" s="5"/>
      <c r="M353" s="5">
        <v>0</v>
      </c>
      <c r="N353" s="5"/>
      <c r="O353" s="5" t="s">
        <v>549</v>
      </c>
      <c r="P353" s="5">
        <v>1</v>
      </c>
      <c r="Q353" s="11" t="s">
        <v>615</v>
      </c>
    </row>
    <row r="354" spans="1:17" x14ac:dyDescent="0.25">
      <c r="A354" s="10">
        <v>1876</v>
      </c>
      <c r="B354" s="5" t="s">
        <v>1178</v>
      </c>
      <c r="C354" s="5" t="s">
        <v>1179</v>
      </c>
      <c r="D354" s="5" t="s">
        <v>545</v>
      </c>
      <c r="E354" s="5" t="s">
        <v>1138</v>
      </c>
      <c r="F354" s="5">
        <v>1</v>
      </c>
      <c r="G354" s="5" t="s">
        <v>566</v>
      </c>
      <c r="H354" s="5" t="s">
        <v>1179</v>
      </c>
      <c r="I354" s="5"/>
      <c r="J354" s="5"/>
      <c r="K354" s="5"/>
      <c r="L354" s="5"/>
      <c r="M354" s="5">
        <v>0</v>
      </c>
      <c r="N354" s="5"/>
      <c r="O354" s="5" t="s">
        <v>549</v>
      </c>
      <c r="P354" s="5">
        <v>1</v>
      </c>
      <c r="Q354" s="11" t="s">
        <v>567</v>
      </c>
    </row>
    <row r="355" spans="1:17" x14ac:dyDescent="0.25">
      <c r="A355" s="10">
        <v>1872</v>
      </c>
      <c r="B355" s="5" t="s">
        <v>1180</v>
      </c>
      <c r="C355" s="5" t="s">
        <v>1181</v>
      </c>
      <c r="D355" s="5" t="s">
        <v>545</v>
      </c>
      <c r="E355" s="5" t="s">
        <v>1138</v>
      </c>
      <c r="F355" s="5">
        <v>1</v>
      </c>
      <c r="G355" s="5" t="s">
        <v>547</v>
      </c>
      <c r="H355" s="5" t="s">
        <v>1181</v>
      </c>
      <c r="I355" s="5"/>
      <c r="J355" s="5"/>
      <c r="K355" s="5"/>
      <c r="L355" s="5"/>
      <c r="M355" s="5">
        <v>0</v>
      </c>
      <c r="N355" s="5"/>
      <c r="O355" s="5" t="s">
        <v>549</v>
      </c>
      <c r="P355" s="5">
        <v>1</v>
      </c>
      <c r="Q355" s="11" t="s">
        <v>613</v>
      </c>
    </row>
    <row r="356" spans="1:17" x14ac:dyDescent="0.25">
      <c r="A356" s="10">
        <v>1879</v>
      </c>
      <c r="B356" s="5" t="s">
        <v>1182</v>
      </c>
      <c r="C356" s="5" t="s">
        <v>1183</v>
      </c>
      <c r="D356" s="5" t="s">
        <v>545</v>
      </c>
      <c r="E356" s="5" t="s">
        <v>1138</v>
      </c>
      <c r="F356" s="5">
        <v>1</v>
      </c>
      <c r="G356" s="5" t="s">
        <v>547</v>
      </c>
      <c r="H356" s="5" t="s">
        <v>1183</v>
      </c>
      <c r="I356" s="5"/>
      <c r="J356" s="5"/>
      <c r="K356" s="5"/>
      <c r="L356" s="5"/>
      <c r="M356" s="5">
        <v>0</v>
      </c>
      <c r="N356" s="5"/>
      <c r="O356" s="5" t="s">
        <v>549</v>
      </c>
      <c r="P356" s="5">
        <v>1</v>
      </c>
      <c r="Q356" s="11" t="s">
        <v>613</v>
      </c>
    </row>
    <row r="357" spans="1:17" x14ac:dyDescent="0.25">
      <c r="A357" s="10">
        <v>1893</v>
      </c>
      <c r="B357" s="5" t="s">
        <v>1184</v>
      </c>
      <c r="C357" s="5" t="s">
        <v>1185</v>
      </c>
      <c r="D357" s="5" t="s">
        <v>545</v>
      </c>
      <c r="E357" s="5" t="s">
        <v>1138</v>
      </c>
      <c r="F357" s="5">
        <v>1</v>
      </c>
      <c r="G357" s="5" t="s">
        <v>547</v>
      </c>
      <c r="H357" s="5" t="s">
        <v>1185</v>
      </c>
      <c r="I357" s="5"/>
      <c r="J357" s="5"/>
      <c r="K357" s="5"/>
      <c r="L357" s="5"/>
      <c r="M357" s="5">
        <v>0</v>
      </c>
      <c r="N357" s="5"/>
      <c r="O357" s="5" t="s">
        <v>549</v>
      </c>
      <c r="P357" s="5">
        <v>1</v>
      </c>
      <c r="Q357" s="11" t="s">
        <v>613</v>
      </c>
    </row>
    <row r="358" spans="1:17" x14ac:dyDescent="0.25">
      <c r="A358" s="10">
        <v>1882</v>
      </c>
      <c r="B358" s="5" t="s">
        <v>1186</v>
      </c>
      <c r="C358" s="5" t="s">
        <v>1187</v>
      </c>
      <c r="D358" s="5" t="s">
        <v>545</v>
      </c>
      <c r="E358" s="5" t="s">
        <v>1138</v>
      </c>
      <c r="F358" s="5">
        <v>1</v>
      </c>
      <c r="G358" s="5" t="s">
        <v>547</v>
      </c>
      <c r="H358" s="5" t="s">
        <v>1187</v>
      </c>
      <c r="I358" s="5"/>
      <c r="J358" s="5"/>
      <c r="K358" s="5"/>
      <c r="L358" s="5"/>
      <c r="M358" s="5">
        <v>0</v>
      </c>
      <c r="N358" s="5"/>
      <c r="O358" s="5" t="s">
        <v>549</v>
      </c>
      <c r="P358" s="5">
        <v>1</v>
      </c>
      <c r="Q358" s="11" t="s">
        <v>613</v>
      </c>
    </row>
    <row r="359" spans="1:17" x14ac:dyDescent="0.25">
      <c r="A359" s="10">
        <v>1884</v>
      </c>
      <c r="B359" s="5" t="s">
        <v>1188</v>
      </c>
      <c r="C359" s="5" t="s">
        <v>1189</v>
      </c>
      <c r="D359" s="5" t="s">
        <v>545</v>
      </c>
      <c r="E359" s="5" t="s">
        <v>1138</v>
      </c>
      <c r="F359" s="5">
        <v>1</v>
      </c>
      <c r="G359" s="5" t="s">
        <v>547</v>
      </c>
      <c r="H359" s="5" t="s">
        <v>1189</v>
      </c>
      <c r="I359" s="5"/>
      <c r="J359" s="5"/>
      <c r="K359" s="5"/>
      <c r="L359" s="5"/>
      <c r="M359" s="5">
        <v>0</v>
      </c>
      <c r="N359" s="5"/>
      <c r="O359" s="5" t="s">
        <v>549</v>
      </c>
      <c r="P359" s="5">
        <v>1</v>
      </c>
      <c r="Q359" s="11" t="s">
        <v>613</v>
      </c>
    </row>
    <row r="360" spans="1:17" x14ac:dyDescent="0.25">
      <c r="A360" s="10">
        <v>1886</v>
      </c>
      <c r="B360" s="5" t="s">
        <v>1190</v>
      </c>
      <c r="C360" s="5" t="s">
        <v>1191</v>
      </c>
      <c r="D360" s="5" t="s">
        <v>545</v>
      </c>
      <c r="E360" s="5" t="s">
        <v>1138</v>
      </c>
      <c r="F360" s="5">
        <v>1</v>
      </c>
      <c r="G360" s="5" t="s">
        <v>547</v>
      </c>
      <c r="H360" s="5" t="s">
        <v>1191</v>
      </c>
      <c r="I360" s="5"/>
      <c r="J360" s="5"/>
      <c r="K360" s="5"/>
      <c r="L360" s="5"/>
      <c r="M360" s="5">
        <v>0</v>
      </c>
      <c r="N360" s="5"/>
      <c r="O360" s="5" t="s">
        <v>549</v>
      </c>
      <c r="P360" s="5">
        <v>1</v>
      </c>
      <c r="Q360" s="11" t="s">
        <v>613</v>
      </c>
    </row>
    <row r="361" spans="1:17" x14ac:dyDescent="0.25">
      <c r="A361" s="10">
        <v>1895</v>
      </c>
      <c r="B361" s="5" t="s">
        <v>1192</v>
      </c>
      <c r="C361" s="5" t="s">
        <v>1193</v>
      </c>
      <c r="D361" s="5" t="s">
        <v>545</v>
      </c>
      <c r="E361" s="5" t="s">
        <v>1138</v>
      </c>
      <c r="F361" s="5">
        <v>1</v>
      </c>
      <c r="G361" s="5" t="s">
        <v>547</v>
      </c>
      <c r="H361" s="5" t="s">
        <v>1193</v>
      </c>
      <c r="I361" s="5"/>
      <c r="J361" s="5"/>
      <c r="K361" s="5"/>
      <c r="L361" s="5"/>
      <c r="M361" s="5">
        <v>0</v>
      </c>
      <c r="N361" s="5"/>
      <c r="O361" s="5" t="s">
        <v>549</v>
      </c>
      <c r="P361" s="5">
        <v>1</v>
      </c>
      <c r="Q361" s="11" t="s">
        <v>613</v>
      </c>
    </row>
    <row r="362" spans="1:17" x14ac:dyDescent="0.25">
      <c r="A362" s="10">
        <v>1888</v>
      </c>
      <c r="B362" s="5" t="s">
        <v>1194</v>
      </c>
      <c r="C362" s="5" t="s">
        <v>1195</v>
      </c>
      <c r="D362" s="5" t="s">
        <v>545</v>
      </c>
      <c r="E362" s="5" t="s">
        <v>1138</v>
      </c>
      <c r="F362" s="5">
        <v>1</v>
      </c>
      <c r="G362" s="5" t="s">
        <v>547</v>
      </c>
      <c r="H362" s="5" t="s">
        <v>1195</v>
      </c>
      <c r="I362" s="5"/>
      <c r="J362" s="5"/>
      <c r="K362" s="5"/>
      <c r="L362" s="5"/>
      <c r="M362" s="5">
        <v>0</v>
      </c>
      <c r="N362" s="5"/>
      <c r="O362" s="5" t="s">
        <v>549</v>
      </c>
      <c r="P362" s="5">
        <v>1</v>
      </c>
      <c r="Q362" s="11" t="s">
        <v>613</v>
      </c>
    </row>
    <row r="363" spans="1:17" x14ac:dyDescent="0.25">
      <c r="A363" s="10">
        <v>1874</v>
      </c>
      <c r="B363" s="5" t="s">
        <v>1196</v>
      </c>
      <c r="C363" s="5" t="s">
        <v>1197</v>
      </c>
      <c r="D363" s="5" t="s">
        <v>545</v>
      </c>
      <c r="E363" s="5" t="s">
        <v>1138</v>
      </c>
      <c r="F363" s="5">
        <v>1</v>
      </c>
      <c r="G363" s="5" t="s">
        <v>547</v>
      </c>
      <c r="H363" s="5" t="s">
        <v>1197</v>
      </c>
      <c r="I363" s="5"/>
      <c r="J363" s="5"/>
      <c r="K363" s="5"/>
      <c r="L363" s="5"/>
      <c r="M363" s="5">
        <v>0</v>
      </c>
      <c r="N363" s="5"/>
      <c r="O363" s="5" t="s">
        <v>549</v>
      </c>
      <c r="P363" s="5">
        <v>1</v>
      </c>
      <c r="Q363" s="11" t="s">
        <v>1198</v>
      </c>
    </row>
    <row r="364" spans="1:17" x14ac:dyDescent="0.25">
      <c r="A364" s="10">
        <v>1871</v>
      </c>
      <c r="B364" s="5" t="s">
        <v>1199</v>
      </c>
      <c r="C364" s="5" t="s">
        <v>1200</v>
      </c>
      <c r="D364" s="5" t="s">
        <v>545</v>
      </c>
      <c r="E364" s="5" t="s">
        <v>1138</v>
      </c>
      <c r="F364" s="5">
        <v>1</v>
      </c>
      <c r="G364" s="5" t="s">
        <v>566</v>
      </c>
      <c r="H364" s="5" t="s">
        <v>1200</v>
      </c>
      <c r="I364" s="5"/>
      <c r="J364" s="5"/>
      <c r="K364" s="5"/>
      <c r="L364" s="5"/>
      <c r="M364" s="5">
        <v>0</v>
      </c>
      <c r="N364" s="5"/>
      <c r="O364" s="5" t="s">
        <v>549</v>
      </c>
      <c r="P364" s="5">
        <v>1</v>
      </c>
      <c r="Q364" s="11" t="s">
        <v>567</v>
      </c>
    </row>
    <row r="365" spans="1:17" x14ac:dyDescent="0.25">
      <c r="A365" s="10">
        <v>1875</v>
      </c>
      <c r="B365" s="5" t="s">
        <v>1201</v>
      </c>
      <c r="C365" s="5" t="s">
        <v>1202</v>
      </c>
      <c r="D365" s="5" t="s">
        <v>545</v>
      </c>
      <c r="E365" s="5" t="s">
        <v>1138</v>
      </c>
      <c r="F365" s="5">
        <v>1</v>
      </c>
      <c r="G365" s="5" t="s">
        <v>566</v>
      </c>
      <c r="H365" s="5" t="s">
        <v>1202</v>
      </c>
      <c r="I365" s="5"/>
      <c r="J365" s="5"/>
      <c r="K365" s="5"/>
      <c r="L365" s="5"/>
      <c r="M365" s="5">
        <v>0</v>
      </c>
      <c r="N365" s="5"/>
      <c r="O365" s="5" t="s">
        <v>549</v>
      </c>
      <c r="P365" s="5">
        <v>1</v>
      </c>
      <c r="Q365" s="11" t="s">
        <v>567</v>
      </c>
    </row>
    <row r="366" spans="1:17" x14ac:dyDescent="0.25">
      <c r="A366" s="10">
        <v>1891</v>
      </c>
      <c r="B366" s="5" t="s">
        <v>1203</v>
      </c>
      <c r="C366" s="5" t="s">
        <v>1204</v>
      </c>
      <c r="D366" s="5" t="s">
        <v>545</v>
      </c>
      <c r="E366" s="5" t="s">
        <v>1138</v>
      </c>
      <c r="F366" s="5">
        <v>1</v>
      </c>
      <c r="G366" s="5" t="s">
        <v>566</v>
      </c>
      <c r="H366" s="5" t="s">
        <v>1204</v>
      </c>
      <c r="I366" s="5"/>
      <c r="J366" s="5"/>
      <c r="K366" s="5"/>
      <c r="L366" s="5"/>
      <c r="M366" s="5">
        <v>0</v>
      </c>
      <c r="N366" s="5"/>
      <c r="O366" s="5" t="s">
        <v>549</v>
      </c>
      <c r="P366" s="5">
        <v>1</v>
      </c>
      <c r="Q366" s="11" t="s">
        <v>567</v>
      </c>
    </row>
    <row r="367" spans="1:17" x14ac:dyDescent="0.25">
      <c r="A367" s="10">
        <v>1890</v>
      </c>
      <c r="B367" s="5" t="s">
        <v>1205</v>
      </c>
      <c r="C367" s="5" t="s">
        <v>1179</v>
      </c>
      <c r="D367" s="5" t="s">
        <v>545</v>
      </c>
      <c r="E367" s="5" t="s">
        <v>1138</v>
      </c>
      <c r="F367" s="5">
        <v>1</v>
      </c>
      <c r="G367" s="5" t="s">
        <v>566</v>
      </c>
      <c r="H367" s="5" t="s">
        <v>1179</v>
      </c>
      <c r="I367" s="5"/>
      <c r="J367" s="5"/>
      <c r="K367" s="5"/>
      <c r="L367" s="5"/>
      <c r="M367" s="5">
        <v>0</v>
      </c>
      <c r="N367" s="5"/>
      <c r="O367" s="5" t="s">
        <v>549</v>
      </c>
      <c r="P367" s="5">
        <v>1</v>
      </c>
      <c r="Q367" s="11" t="s">
        <v>567</v>
      </c>
    </row>
    <row r="368" spans="1:17" x14ac:dyDescent="0.25">
      <c r="A368" s="10">
        <v>1877</v>
      </c>
      <c r="B368" s="5" t="s">
        <v>1206</v>
      </c>
      <c r="C368" s="5" t="s">
        <v>1207</v>
      </c>
      <c r="D368" s="5" t="s">
        <v>545</v>
      </c>
      <c r="E368" s="5" t="s">
        <v>1138</v>
      </c>
      <c r="F368" s="5">
        <v>1</v>
      </c>
      <c r="G368" s="5" t="s">
        <v>566</v>
      </c>
      <c r="H368" s="5" t="s">
        <v>1207</v>
      </c>
      <c r="I368" s="5"/>
      <c r="J368" s="5"/>
      <c r="K368" s="5"/>
      <c r="L368" s="5"/>
      <c r="M368" s="5">
        <v>0</v>
      </c>
      <c r="N368" s="5"/>
      <c r="O368" s="5" t="s">
        <v>549</v>
      </c>
      <c r="P368" s="5">
        <v>1</v>
      </c>
      <c r="Q368" s="11" t="s">
        <v>567</v>
      </c>
    </row>
    <row r="369" spans="1:17" x14ac:dyDescent="0.25">
      <c r="A369" s="10">
        <v>1878</v>
      </c>
      <c r="B369" s="5" t="s">
        <v>1208</v>
      </c>
      <c r="C369" s="5" t="s">
        <v>1209</v>
      </c>
      <c r="D369" s="5" t="s">
        <v>545</v>
      </c>
      <c r="E369" s="5" t="s">
        <v>1138</v>
      </c>
      <c r="F369" s="5">
        <v>1</v>
      </c>
      <c r="G369" s="5" t="s">
        <v>566</v>
      </c>
      <c r="H369" s="5" t="s">
        <v>1209</v>
      </c>
      <c r="I369" s="5"/>
      <c r="J369" s="5"/>
      <c r="K369" s="5"/>
      <c r="L369" s="5"/>
      <c r="M369" s="5">
        <v>0</v>
      </c>
      <c r="N369" s="5"/>
      <c r="O369" s="5" t="s">
        <v>549</v>
      </c>
      <c r="P369" s="5">
        <v>1</v>
      </c>
      <c r="Q369" s="11" t="s">
        <v>567</v>
      </c>
    </row>
    <row r="370" spans="1:17" x14ac:dyDescent="0.25">
      <c r="A370" s="10">
        <v>1892</v>
      </c>
      <c r="B370" s="5" t="s">
        <v>1210</v>
      </c>
      <c r="C370" s="5" t="s">
        <v>1211</v>
      </c>
      <c r="D370" s="5" t="s">
        <v>545</v>
      </c>
      <c r="E370" s="5" t="s">
        <v>1138</v>
      </c>
      <c r="F370" s="5">
        <v>1</v>
      </c>
      <c r="G370" s="5" t="s">
        <v>566</v>
      </c>
      <c r="H370" s="5" t="s">
        <v>1211</v>
      </c>
      <c r="I370" s="5"/>
      <c r="J370" s="5"/>
      <c r="K370" s="5"/>
      <c r="L370" s="5"/>
      <c r="M370" s="5">
        <v>0</v>
      </c>
      <c r="N370" s="5"/>
      <c r="O370" s="5" t="s">
        <v>549</v>
      </c>
      <c r="P370" s="5">
        <v>1</v>
      </c>
      <c r="Q370" s="11" t="s">
        <v>567</v>
      </c>
    </row>
    <row r="371" spans="1:17" x14ac:dyDescent="0.25">
      <c r="A371" s="46">
        <v>1881</v>
      </c>
      <c r="B371" s="47" t="s">
        <v>1212</v>
      </c>
      <c r="C371" s="47" t="s">
        <v>1213</v>
      </c>
      <c r="D371" s="47" t="s">
        <v>545</v>
      </c>
      <c r="E371" s="47" t="s">
        <v>1138</v>
      </c>
      <c r="F371" s="47">
        <v>1</v>
      </c>
      <c r="G371" s="47" t="s">
        <v>566</v>
      </c>
      <c r="H371" s="47" t="s">
        <v>1213</v>
      </c>
      <c r="I371" s="47"/>
      <c r="J371" s="47"/>
      <c r="K371" s="47"/>
      <c r="L371" s="47"/>
      <c r="M371" s="47">
        <v>0</v>
      </c>
      <c r="N371" s="47"/>
      <c r="O371" s="47" t="s">
        <v>549</v>
      </c>
      <c r="P371" s="47">
        <v>1</v>
      </c>
      <c r="Q371" s="48" t="s">
        <v>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"/>
  <sheetViews>
    <sheetView workbookViewId="0"/>
  </sheetViews>
  <sheetFormatPr defaultRowHeight="15" x14ac:dyDescent="0.25"/>
  <sheetData>
    <row r="1" spans="1:17" ht="45" customHeight="1" x14ac:dyDescent="0.25">
      <c r="A1" s="57" t="s">
        <v>526</v>
      </c>
      <c r="B1" s="58" t="s">
        <v>527</v>
      </c>
      <c r="C1" s="58" t="s">
        <v>528</v>
      </c>
      <c r="D1" s="58" t="s">
        <v>529</v>
      </c>
      <c r="E1" s="58" t="s">
        <v>530</v>
      </c>
      <c r="F1" s="58" t="s">
        <v>531</v>
      </c>
      <c r="G1" s="58" t="s">
        <v>532</v>
      </c>
      <c r="H1" s="58" t="s">
        <v>533</v>
      </c>
      <c r="I1" s="58" t="s">
        <v>534</v>
      </c>
      <c r="J1" s="58" t="s">
        <v>535</v>
      </c>
      <c r="K1" s="58" t="s">
        <v>536</v>
      </c>
      <c r="L1" s="58" t="s">
        <v>537</v>
      </c>
      <c r="M1" s="58" t="s">
        <v>538</v>
      </c>
      <c r="N1" s="58" t="s">
        <v>539</v>
      </c>
      <c r="O1" s="58" t="s">
        <v>540</v>
      </c>
      <c r="P1" s="58" t="s">
        <v>541</v>
      </c>
      <c r="Q1" s="59" t="s">
        <v>542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5"/>
  <sheetViews>
    <sheetView workbookViewId="0"/>
  </sheetViews>
  <sheetFormatPr defaultRowHeight="15" x14ac:dyDescent="0.25"/>
  <sheetData>
    <row r="1" spans="1:4" ht="18.75" customHeight="1" x14ac:dyDescent="0.3">
      <c r="A1" s="61"/>
      <c r="B1" s="62" t="s">
        <v>1214</v>
      </c>
      <c r="C1" s="50"/>
      <c r="D1" s="9"/>
    </row>
    <row r="2" spans="1:4" x14ac:dyDescent="0.25">
      <c r="A2" s="10"/>
      <c r="B2" s="5"/>
      <c r="C2" s="5"/>
      <c r="D2" s="11"/>
    </row>
    <row r="3" spans="1:4" ht="45" customHeight="1" x14ac:dyDescent="0.25">
      <c r="A3" s="10"/>
      <c r="B3" s="60" t="s">
        <v>9</v>
      </c>
      <c r="C3" s="60" t="s">
        <v>10</v>
      </c>
      <c r="D3" s="63" t="s">
        <v>1</v>
      </c>
    </row>
    <row r="4" spans="1:4" ht="30" customHeight="1" x14ac:dyDescent="0.25">
      <c r="A4" s="10"/>
      <c r="B4" s="53" t="s">
        <v>24</v>
      </c>
      <c r="C4" s="53" t="s">
        <v>25</v>
      </c>
      <c r="D4" s="64">
        <f>SUMIF(Taxepunkter!A:A,"§2.1",Taxepunkter!I:I)</f>
        <v>0</v>
      </c>
    </row>
    <row r="5" spans="1:4" ht="90" customHeight="1" x14ac:dyDescent="0.25">
      <c r="A5" s="10"/>
      <c r="B5" s="53" t="s">
        <v>46</v>
      </c>
      <c r="C5" s="53" t="s">
        <v>47</v>
      </c>
      <c r="D5" s="64">
        <f>SUMIF(Taxepunkter!A:A,"§2.2.1",Taxepunkter!I:I)</f>
        <v>0</v>
      </c>
    </row>
    <row r="6" spans="1:4" ht="75" customHeight="1" x14ac:dyDescent="0.25">
      <c r="A6" s="10"/>
      <c r="B6" s="53" t="s">
        <v>57</v>
      </c>
      <c r="C6" s="53" t="s">
        <v>58</v>
      </c>
      <c r="D6" s="64">
        <f>SUMIF(Taxepunkter!A:A,"§2.2.2",Taxepunkter!I:I)</f>
        <v>0</v>
      </c>
    </row>
    <row r="7" spans="1:4" ht="165" customHeight="1" x14ac:dyDescent="0.25">
      <c r="A7" s="10"/>
      <c r="B7" s="53" t="s">
        <v>66</v>
      </c>
      <c r="C7" s="53" t="s">
        <v>1215</v>
      </c>
      <c r="D7" s="64">
        <f>SUMIF(Taxepunkter!A:A,"§2.2.3",Taxepunkter!I:I)</f>
        <v>0</v>
      </c>
    </row>
    <row r="8" spans="1:4" ht="75" customHeight="1" x14ac:dyDescent="0.25">
      <c r="A8" s="10"/>
      <c r="B8" s="53" t="s">
        <v>81</v>
      </c>
      <c r="C8" s="53" t="s">
        <v>82</v>
      </c>
      <c r="D8" s="64">
        <f>SUMIF(Taxepunkter!A:A,"§2.2.4",Taxepunkter!I:I)</f>
        <v>0</v>
      </c>
    </row>
    <row r="9" spans="1:4" ht="75" customHeight="1" x14ac:dyDescent="0.25">
      <c r="A9" s="10"/>
      <c r="B9" s="53" t="s">
        <v>130</v>
      </c>
      <c r="C9" s="53" t="s">
        <v>131</v>
      </c>
      <c r="D9" s="64">
        <f>SUMIF(Taxepunkter!A:A,"§2.2.5",Taxepunkter!I:I)</f>
        <v>0</v>
      </c>
    </row>
    <row r="10" spans="1:4" ht="105" customHeight="1" x14ac:dyDescent="0.25">
      <c r="A10" s="10"/>
      <c r="B10" s="53" t="s">
        <v>161</v>
      </c>
      <c r="C10" s="53" t="s">
        <v>162</v>
      </c>
      <c r="D10" s="64">
        <f>SUMIF(Taxepunkter!A:A,"§2.3",Taxepunkter!I:I)</f>
        <v>0</v>
      </c>
    </row>
    <row r="11" spans="1:4" ht="45" customHeight="1" x14ac:dyDescent="0.25">
      <c r="A11" s="10"/>
      <c r="B11" s="53" t="s">
        <v>499</v>
      </c>
      <c r="C11" s="53" t="s">
        <v>220</v>
      </c>
      <c r="D11" s="64">
        <f>SUMIF(Taxepunkter!A:A,"§2.4",Taxepunkter!I:I)</f>
        <v>0</v>
      </c>
    </row>
    <row r="12" spans="1:4" ht="30" customHeight="1" x14ac:dyDescent="0.25">
      <c r="A12" s="10"/>
      <c r="B12" s="53" t="s">
        <v>500</v>
      </c>
      <c r="C12" s="53" t="s">
        <v>1216</v>
      </c>
      <c r="D12" s="64">
        <f>SUMIF(Taxepunkter!A:A,"§2.5",Taxepunkter!I:I)</f>
        <v>0</v>
      </c>
    </row>
    <row r="13" spans="1:4" ht="30" customHeight="1" x14ac:dyDescent="0.25">
      <c r="A13" s="10"/>
      <c r="B13" s="53" t="s">
        <v>501</v>
      </c>
      <c r="C13" s="53" t="s">
        <v>1217</v>
      </c>
      <c r="D13" s="64">
        <f>SUMIF(Taxepunkter!A:A,"§2.6.1",Taxepunkter!I:I)</f>
        <v>0</v>
      </c>
    </row>
    <row r="14" spans="1:4" ht="45" customHeight="1" x14ac:dyDescent="0.25">
      <c r="A14" s="10"/>
      <c r="B14" s="53" t="s">
        <v>492</v>
      </c>
      <c r="C14" s="53" t="s">
        <v>170</v>
      </c>
      <c r="D14" s="64">
        <f>SUMIF(Taxepunkter!A:A,"§2.6.2",Taxepunkter!I:I)</f>
        <v>0</v>
      </c>
    </row>
    <row r="15" spans="1:4" ht="90" customHeight="1" x14ac:dyDescent="0.25">
      <c r="A15" s="10"/>
      <c r="B15" s="53" t="s">
        <v>502</v>
      </c>
      <c r="C15" s="53" t="s">
        <v>1218</v>
      </c>
      <c r="D15" s="64">
        <f>SUMIF(Taxepunkter!A:A,"§2.6.3",Taxepunkter!I:I)</f>
        <v>0</v>
      </c>
    </row>
    <row r="16" spans="1:4" ht="45" customHeight="1" x14ac:dyDescent="0.25">
      <c r="A16" s="10"/>
      <c r="B16" s="53" t="s">
        <v>503</v>
      </c>
      <c r="C16" s="53" t="s">
        <v>186</v>
      </c>
      <c r="D16" s="64">
        <f>SUMIF(Taxepunkter!A:A,"§2.6.4",Taxepunkter!I:I)</f>
        <v>0</v>
      </c>
    </row>
    <row r="17" spans="1:4" ht="45" customHeight="1" x14ac:dyDescent="0.25">
      <c r="A17" s="10"/>
      <c r="B17" s="53" t="s">
        <v>493</v>
      </c>
      <c r="C17" s="53" t="s">
        <v>191</v>
      </c>
      <c r="D17" s="64">
        <f>SUMIF(Taxepunkter!A:A,"§2.6.5",Taxepunkter!I:I)</f>
        <v>0</v>
      </c>
    </row>
    <row r="18" spans="1:4" ht="45" customHeight="1" x14ac:dyDescent="0.25">
      <c r="A18" s="10"/>
      <c r="B18" s="53" t="s">
        <v>504</v>
      </c>
      <c r="C18" s="53" t="s">
        <v>198</v>
      </c>
      <c r="D18" s="64">
        <f>SUMIF(Taxepunkter!A:A,"§2.6.6",Taxepunkter!I:I)</f>
        <v>0</v>
      </c>
    </row>
    <row r="19" spans="1:4" ht="60" customHeight="1" x14ac:dyDescent="0.25">
      <c r="A19" s="10"/>
      <c r="B19" s="53" t="s">
        <v>494</v>
      </c>
      <c r="C19" s="53" t="s">
        <v>203</v>
      </c>
      <c r="D19" s="64">
        <f>SUMIF(Taxepunkter!A:A,"§2.6.7",Taxepunkter!I:I)</f>
        <v>0</v>
      </c>
    </row>
    <row r="20" spans="1:4" ht="90" customHeight="1" x14ac:dyDescent="0.25">
      <c r="A20" s="10"/>
      <c r="B20" s="53" t="s">
        <v>505</v>
      </c>
      <c r="C20" s="53" t="s">
        <v>210</v>
      </c>
      <c r="D20" s="64">
        <f>SUMIF(Taxepunkter!A:A,"§2.6.8",Taxepunkter!I:I)</f>
        <v>0</v>
      </c>
    </row>
    <row r="21" spans="1:4" ht="75" customHeight="1" x14ac:dyDescent="0.25">
      <c r="A21" s="10"/>
      <c r="B21" s="53" t="s">
        <v>506</v>
      </c>
      <c r="C21" s="53" t="s">
        <v>215</v>
      </c>
      <c r="D21" s="64">
        <f>SUMIF(Taxepunkter!A:A,"§2.6.9",Taxepunkter!I:I)</f>
        <v>0</v>
      </c>
    </row>
    <row r="22" spans="1:4" ht="135" customHeight="1" x14ac:dyDescent="0.25">
      <c r="A22" s="10"/>
      <c r="B22" s="53" t="s">
        <v>507</v>
      </c>
      <c r="C22" s="53" t="s">
        <v>318</v>
      </c>
      <c r="D22" s="64">
        <f>SUMIF(Taxepunkter!A:A,"§2.7.1",Taxepunkter!I:I)</f>
        <v>0</v>
      </c>
    </row>
    <row r="23" spans="1:4" ht="45" customHeight="1" x14ac:dyDescent="0.25">
      <c r="A23" s="10"/>
      <c r="B23" s="53" t="s">
        <v>508</v>
      </c>
      <c r="C23" s="53" t="s">
        <v>310</v>
      </c>
      <c r="D23" s="64">
        <f>SUMIF(Taxepunkter!A:A,"§2.7.2",Taxepunkter!I:I)</f>
        <v>0</v>
      </c>
    </row>
    <row r="24" spans="1:4" ht="45" customHeight="1" x14ac:dyDescent="0.25">
      <c r="A24" s="10"/>
      <c r="B24" s="53" t="s">
        <v>509</v>
      </c>
      <c r="C24" s="53" t="s">
        <v>469</v>
      </c>
      <c r="D24" s="64">
        <f>SUMIF(Taxepunkter!A:A,"§2.7.3",Taxepunkter!I:I)</f>
        <v>0</v>
      </c>
    </row>
    <row r="25" spans="1:4" ht="120" customHeight="1" x14ac:dyDescent="0.25">
      <c r="A25" s="10"/>
      <c r="B25" s="53" t="s">
        <v>510</v>
      </c>
      <c r="C25" s="53" t="s">
        <v>233</v>
      </c>
      <c r="D25" s="64">
        <f>SUMIF(Taxepunkter!A:A,"§2.7.4",Taxepunkter!I:I)</f>
        <v>0</v>
      </c>
    </row>
    <row r="26" spans="1:4" ht="60" customHeight="1" x14ac:dyDescent="0.25">
      <c r="A26" s="10"/>
      <c r="B26" s="53" t="s">
        <v>238</v>
      </c>
      <c r="C26" s="53" t="s">
        <v>239</v>
      </c>
      <c r="D26" s="64">
        <f>SUMIF(Taxepunkter!A:A,"§3.1",Taxepunkter!I:I)</f>
        <v>0</v>
      </c>
    </row>
    <row r="27" spans="1:4" ht="45" customHeight="1" x14ac:dyDescent="0.25">
      <c r="A27" s="10"/>
      <c r="B27" s="53" t="s">
        <v>247</v>
      </c>
      <c r="C27" s="53" t="s">
        <v>248</v>
      </c>
      <c r="D27" s="64">
        <f>SUMIF(Taxepunkter!A:A,"§3.2",Taxepunkter!I:I)</f>
        <v>0</v>
      </c>
    </row>
    <row r="28" spans="1:4" ht="75" customHeight="1" x14ac:dyDescent="0.25">
      <c r="A28" s="10"/>
      <c r="B28" s="53" t="s">
        <v>260</v>
      </c>
      <c r="C28" s="53" t="s">
        <v>261</v>
      </c>
      <c r="D28" s="64">
        <f>SUMIF(Taxepunkter!A:A,"§3.3",Taxepunkter!I:I)</f>
        <v>0</v>
      </c>
    </row>
    <row r="29" spans="1:4" ht="75" customHeight="1" x14ac:dyDescent="0.25">
      <c r="A29" s="10"/>
      <c r="B29" s="53" t="s">
        <v>274</v>
      </c>
      <c r="C29" s="53" t="s">
        <v>275</v>
      </c>
      <c r="D29" s="64">
        <f>SUMIF(Taxepunkter!A:A,"§4.1",Taxepunkter!I:I)</f>
        <v>0</v>
      </c>
    </row>
    <row r="30" spans="1:4" ht="60" customHeight="1" x14ac:dyDescent="0.25">
      <c r="A30" s="10"/>
      <c r="B30" s="53" t="s">
        <v>281</v>
      </c>
      <c r="C30" s="53" t="s">
        <v>282</v>
      </c>
      <c r="D30" s="64">
        <f>SUMIF(Taxepunkter!A:A,"§4.2",Taxepunkter!I:I)</f>
        <v>0</v>
      </c>
    </row>
    <row r="31" spans="1:4" ht="90" customHeight="1" x14ac:dyDescent="0.25">
      <c r="A31" s="10"/>
      <c r="B31" s="53" t="s">
        <v>496</v>
      </c>
      <c r="C31" s="53" t="s">
        <v>1219</v>
      </c>
      <c r="D31" s="64">
        <f>SUMIF(Taxepunkter!A:A,"§4.3",Taxepunkter!I:I)</f>
        <v>0</v>
      </c>
    </row>
    <row r="32" spans="1:4" ht="90" customHeight="1" x14ac:dyDescent="0.25">
      <c r="A32" s="10"/>
      <c r="B32" s="53" t="s">
        <v>288</v>
      </c>
      <c r="C32" s="53" t="s">
        <v>289</v>
      </c>
      <c r="D32" s="64">
        <f>SUMIF(Taxepunkter!A:A,"§5.1",Taxepunkter!I:I)</f>
        <v>0</v>
      </c>
    </row>
    <row r="33" spans="1:4" ht="60" customHeight="1" x14ac:dyDescent="0.25">
      <c r="A33" s="10"/>
      <c r="B33" s="53" t="s">
        <v>294</v>
      </c>
      <c r="C33" s="53" t="s">
        <v>295</v>
      </c>
      <c r="D33" s="64">
        <f>SUMIF(Taxepunkter!A:A,"§5.2",Taxepunkter!I:I)</f>
        <v>0</v>
      </c>
    </row>
    <row r="34" spans="1:4" ht="90" customHeight="1" x14ac:dyDescent="0.25">
      <c r="A34" s="10"/>
      <c r="B34" s="53" t="s">
        <v>302</v>
      </c>
      <c r="C34" s="53" t="s">
        <v>303</v>
      </c>
      <c r="D34" s="64">
        <f>SUMIF(Taxepunkter!A:A,"§5.3",Taxepunkter!I:I)</f>
        <v>0</v>
      </c>
    </row>
    <row r="35" spans="1:4" ht="120" customHeight="1" x14ac:dyDescent="0.25">
      <c r="A35" s="46"/>
      <c r="B35" s="65" t="s">
        <v>497</v>
      </c>
      <c r="C35" s="65" t="s">
        <v>1220</v>
      </c>
      <c r="D35" s="66">
        <f>SUMIF(Taxepunkter!A:A,"§6",Taxepunkter!I:I)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/>
  </sheetViews>
  <sheetFormatPr defaultRowHeight="15" x14ac:dyDescent="0.25"/>
  <sheetData>
    <row r="1" spans="1:3" ht="18.75" customHeight="1" x14ac:dyDescent="0.3">
      <c r="A1" s="61"/>
      <c r="B1" s="62" t="s">
        <v>1221</v>
      </c>
      <c r="C1" s="9"/>
    </row>
    <row r="2" spans="1:3" x14ac:dyDescent="0.25">
      <c r="A2" s="10"/>
      <c r="B2" s="5"/>
      <c r="C2" s="11"/>
    </row>
    <row r="3" spans="1:3" x14ac:dyDescent="0.25">
      <c r="A3" s="10"/>
      <c r="B3" s="6" t="s">
        <v>1</v>
      </c>
      <c r="C3" s="13">
        <f>SUM(Taxepunkter!I:I)</f>
        <v>0</v>
      </c>
    </row>
    <row r="4" spans="1:3" x14ac:dyDescent="0.25">
      <c r="A4" s="10"/>
      <c r="B4" s="6" t="s">
        <v>1222</v>
      </c>
      <c r="C4" s="67">
        <v>0</v>
      </c>
    </row>
    <row r="5" spans="1:3" x14ac:dyDescent="0.25">
      <c r="A5" s="46"/>
      <c r="B5" s="68" t="s">
        <v>1223</v>
      </c>
      <c r="C5" s="69" t="str">
        <f>IF(C4=0,"",C3/C4)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/>
  </sheetViews>
  <sheetFormatPr defaultRowHeight="15" x14ac:dyDescent="0.25"/>
  <cols>
    <col min="1" max="1" width="30" customWidth="1"/>
    <col min="2" max="2" width="95" customWidth="1"/>
  </cols>
  <sheetData>
    <row r="1" spans="1:2" x14ac:dyDescent="0.25">
      <c r="A1" s="70" t="s">
        <v>520</v>
      </c>
      <c r="B1" s="71" t="s">
        <v>522</v>
      </c>
    </row>
    <row r="2" spans="1:2" x14ac:dyDescent="0.25">
      <c r="A2" s="10" t="s">
        <v>1224</v>
      </c>
      <c r="B2" s="11" t="s">
        <v>1225</v>
      </c>
    </row>
    <row r="3" spans="1:2" x14ac:dyDescent="0.25">
      <c r="A3" s="10" t="s">
        <v>1226</v>
      </c>
      <c r="B3" s="11" t="s">
        <v>1227</v>
      </c>
    </row>
    <row r="4" spans="1:2" x14ac:dyDescent="0.25">
      <c r="A4" s="10" t="s">
        <v>1228</v>
      </c>
      <c r="B4" s="11" t="s">
        <v>1229</v>
      </c>
    </row>
    <row r="5" spans="1:2" x14ac:dyDescent="0.25">
      <c r="A5" s="10" t="s">
        <v>1230</v>
      </c>
      <c r="B5" s="11">
        <v>367</v>
      </c>
    </row>
    <row r="6" spans="1:2" x14ac:dyDescent="0.25">
      <c r="A6" s="10"/>
      <c r="B6" s="11"/>
    </row>
    <row r="7" spans="1:2" x14ac:dyDescent="0.25">
      <c r="A7" s="10" t="s">
        <v>1231</v>
      </c>
      <c r="B7" s="11" t="s">
        <v>1232</v>
      </c>
    </row>
    <row r="8" spans="1:2" x14ac:dyDescent="0.25">
      <c r="A8" s="10" t="s">
        <v>137</v>
      </c>
      <c r="B8" s="11" t="s">
        <v>1233</v>
      </c>
    </row>
    <row r="9" spans="1:2" x14ac:dyDescent="0.25">
      <c r="A9" s="10" t="s">
        <v>154</v>
      </c>
      <c r="B9" s="11" t="s">
        <v>1234</v>
      </c>
    </row>
    <row r="10" spans="1:2" x14ac:dyDescent="0.25">
      <c r="A10" s="10" t="s">
        <v>1235</v>
      </c>
      <c r="B10" s="11" t="s">
        <v>1236</v>
      </c>
    </row>
    <row r="11" spans="1:2" x14ac:dyDescent="0.25">
      <c r="A11" s="10" t="s">
        <v>1237</v>
      </c>
      <c r="B11" s="11" t="s">
        <v>1238</v>
      </c>
    </row>
    <row r="12" spans="1:2" x14ac:dyDescent="0.25">
      <c r="A12" s="10" t="s">
        <v>232</v>
      </c>
      <c r="B12" s="11" t="s">
        <v>1239</v>
      </c>
    </row>
    <row r="13" spans="1:2" x14ac:dyDescent="0.25">
      <c r="A13" s="10" t="s">
        <v>1240</v>
      </c>
      <c r="B13" s="11" t="s">
        <v>1241</v>
      </c>
    </row>
    <row r="14" spans="1:2" x14ac:dyDescent="0.25">
      <c r="A14" s="10" t="s">
        <v>1242</v>
      </c>
      <c r="B14" s="11" t="s">
        <v>1243</v>
      </c>
    </row>
    <row r="15" spans="1:2" x14ac:dyDescent="0.25">
      <c r="A15" s="10"/>
      <c r="B15" s="11"/>
    </row>
    <row r="16" spans="1:2" x14ac:dyDescent="0.25">
      <c r="A16" s="46" t="s">
        <v>1244</v>
      </c>
      <c r="B16" s="48" t="s">
        <v>1245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00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16" customWidth="1"/>
    <col min="4" max="4" width="44" customWidth="1"/>
    <col min="5" max="5" width="36" customWidth="1"/>
    <col min="6" max="6" width="44" customWidth="1"/>
    <col min="7" max="7" width="22" customWidth="1"/>
    <col min="8" max="8" width="14" customWidth="1"/>
    <col min="9" max="9" width="50" customWidth="1"/>
    <col min="10" max="10" width="22" customWidth="1"/>
    <col min="11" max="11" width="44" customWidth="1"/>
    <col min="12" max="12" width="12" customWidth="1"/>
    <col min="13" max="13" width="14" customWidth="1"/>
    <col min="14" max="14" width="12" customWidth="1"/>
    <col min="15" max="15" width="14" customWidth="1"/>
    <col min="16" max="16" width="48" customWidth="1"/>
    <col min="17" max="18" width="14" customWidth="1"/>
    <col min="19" max="20" width="16" customWidth="1"/>
    <col min="21" max="21" width="14" customWidth="1"/>
    <col min="22" max="22" width="18" customWidth="1"/>
    <col min="23" max="23" width="14" customWidth="1"/>
    <col min="24" max="24" width="12" customWidth="1"/>
    <col min="25" max="25" width="18" customWidth="1"/>
  </cols>
  <sheetData>
    <row r="1" spans="1:25" ht="30" x14ac:dyDescent="0.25">
      <c r="A1" s="114" t="s">
        <v>1246</v>
      </c>
      <c r="B1" s="115" t="s">
        <v>1247</v>
      </c>
      <c r="C1" s="115" t="s">
        <v>1248</v>
      </c>
      <c r="D1" s="115" t="s">
        <v>1249</v>
      </c>
      <c r="E1" s="115" t="s">
        <v>522</v>
      </c>
      <c r="F1" s="115" t="s">
        <v>1250</v>
      </c>
      <c r="G1" s="115" t="s">
        <v>1251</v>
      </c>
      <c r="H1" s="115" t="s">
        <v>526</v>
      </c>
      <c r="I1" s="115" t="s">
        <v>1252</v>
      </c>
      <c r="J1" s="115" t="s">
        <v>527</v>
      </c>
      <c r="K1" s="115" t="s">
        <v>528</v>
      </c>
      <c r="L1" s="115" t="s">
        <v>529</v>
      </c>
      <c r="M1" s="115" t="s">
        <v>530</v>
      </c>
      <c r="N1" s="115" t="s">
        <v>531</v>
      </c>
      <c r="O1" s="115" t="s">
        <v>532</v>
      </c>
      <c r="P1" s="115" t="s">
        <v>533</v>
      </c>
      <c r="Q1" s="115" t="s">
        <v>534</v>
      </c>
      <c r="R1" s="115" t="s">
        <v>535</v>
      </c>
      <c r="S1" s="115" t="s">
        <v>536</v>
      </c>
      <c r="T1" s="115" t="s">
        <v>537</v>
      </c>
      <c r="U1" s="115" t="s">
        <v>538</v>
      </c>
      <c r="V1" s="115" t="s">
        <v>539</v>
      </c>
      <c r="W1" s="115" t="s">
        <v>540</v>
      </c>
      <c r="X1" s="115" t="s">
        <v>541</v>
      </c>
      <c r="Y1" s="116" t="s">
        <v>542</v>
      </c>
    </row>
    <row r="2" spans="1:25" ht="30" x14ac:dyDescent="0.25">
      <c r="A2" s="76" t="s">
        <v>24</v>
      </c>
      <c r="B2" s="72">
        <v>5</v>
      </c>
      <c r="C2" s="72">
        <v>11</v>
      </c>
      <c r="D2" s="72" t="s">
        <v>35</v>
      </c>
      <c r="E2" s="72" t="s">
        <v>1253</v>
      </c>
      <c r="F2" s="72" t="s">
        <v>1254</v>
      </c>
      <c r="G2" s="73" t="s">
        <v>36</v>
      </c>
      <c r="H2" s="72">
        <v>11</v>
      </c>
      <c r="I2" s="72" t="s">
        <v>1255</v>
      </c>
      <c r="J2" s="74" t="s">
        <v>36</v>
      </c>
      <c r="K2" s="74" t="s">
        <v>35</v>
      </c>
      <c r="L2" s="74" t="s">
        <v>545</v>
      </c>
      <c r="M2" s="74" t="s">
        <v>546</v>
      </c>
      <c r="N2" s="74">
        <v>1</v>
      </c>
      <c r="O2" s="74" t="s">
        <v>566</v>
      </c>
      <c r="P2" s="74" t="s">
        <v>35</v>
      </c>
      <c r="Q2" s="74"/>
      <c r="R2" s="74"/>
      <c r="S2" s="74"/>
      <c r="T2" s="74"/>
      <c r="U2" s="74">
        <v>0</v>
      </c>
      <c r="V2" s="74"/>
      <c r="W2" s="74" t="s">
        <v>549</v>
      </c>
      <c r="X2" s="74">
        <v>1</v>
      </c>
      <c r="Y2" s="77" t="s">
        <v>613</v>
      </c>
    </row>
    <row r="3" spans="1:25" ht="30" x14ac:dyDescent="0.25">
      <c r="A3" s="76" t="s">
        <v>24</v>
      </c>
      <c r="B3" s="72">
        <v>6</v>
      </c>
      <c r="C3" s="72">
        <v>12</v>
      </c>
      <c r="D3" s="72" t="s">
        <v>37</v>
      </c>
      <c r="E3" s="72" t="s">
        <v>1253</v>
      </c>
      <c r="F3" s="72" t="s">
        <v>1254</v>
      </c>
      <c r="G3" s="73" t="s">
        <v>38</v>
      </c>
      <c r="H3" s="72">
        <v>12</v>
      </c>
      <c r="I3" s="72" t="s">
        <v>1256</v>
      </c>
      <c r="J3" s="74" t="s">
        <v>38</v>
      </c>
      <c r="K3" s="74" t="s">
        <v>37</v>
      </c>
      <c r="L3" s="74" t="s">
        <v>545</v>
      </c>
      <c r="M3" s="74" t="s">
        <v>546</v>
      </c>
      <c r="N3" s="74">
        <v>1</v>
      </c>
      <c r="O3" s="74" t="s">
        <v>566</v>
      </c>
      <c r="P3" s="74" t="s">
        <v>37</v>
      </c>
      <c r="Q3" s="74"/>
      <c r="R3" s="74"/>
      <c r="S3" s="74"/>
      <c r="T3" s="74"/>
      <c r="U3" s="74">
        <v>0</v>
      </c>
      <c r="V3" s="74"/>
      <c r="W3" s="74" t="s">
        <v>549</v>
      </c>
      <c r="X3" s="74">
        <v>1</v>
      </c>
      <c r="Y3" s="77" t="s">
        <v>613</v>
      </c>
    </row>
    <row r="4" spans="1:25" ht="30" x14ac:dyDescent="0.25">
      <c r="A4" s="76" t="s">
        <v>24</v>
      </c>
      <c r="B4" s="72">
        <v>7</v>
      </c>
      <c r="C4" s="72">
        <v>13</v>
      </c>
      <c r="D4" s="72" t="s">
        <v>39</v>
      </c>
      <c r="E4" s="72" t="s">
        <v>1253</v>
      </c>
      <c r="F4" s="72" t="s">
        <v>1254</v>
      </c>
      <c r="G4" s="73" t="s">
        <v>40</v>
      </c>
      <c r="H4" s="72">
        <v>13</v>
      </c>
      <c r="I4" s="72" t="s">
        <v>1257</v>
      </c>
      <c r="J4" s="74" t="s">
        <v>40</v>
      </c>
      <c r="K4" s="74" t="s">
        <v>39</v>
      </c>
      <c r="L4" s="74" t="s">
        <v>545</v>
      </c>
      <c r="M4" s="74" t="s">
        <v>546</v>
      </c>
      <c r="N4" s="74">
        <v>1</v>
      </c>
      <c r="O4" s="74" t="s">
        <v>566</v>
      </c>
      <c r="P4" s="74" t="s">
        <v>39</v>
      </c>
      <c r="Q4" s="74"/>
      <c r="R4" s="74"/>
      <c r="S4" s="74"/>
      <c r="T4" s="74"/>
      <c r="U4" s="74">
        <v>0</v>
      </c>
      <c r="V4" s="74"/>
      <c r="W4" s="74" t="s">
        <v>549</v>
      </c>
      <c r="X4" s="74">
        <v>1</v>
      </c>
      <c r="Y4" s="77" t="s">
        <v>613</v>
      </c>
    </row>
    <row r="5" spans="1:25" ht="30" x14ac:dyDescent="0.25">
      <c r="A5" s="76" t="s">
        <v>24</v>
      </c>
      <c r="B5" s="72">
        <v>8</v>
      </c>
      <c r="C5" s="72">
        <v>14</v>
      </c>
      <c r="D5" s="72" t="s">
        <v>41</v>
      </c>
      <c r="E5" s="72" t="s">
        <v>1253</v>
      </c>
      <c r="F5" s="72" t="s">
        <v>1254</v>
      </c>
      <c r="G5" s="73" t="s">
        <v>42</v>
      </c>
      <c r="H5" s="72">
        <v>14</v>
      </c>
      <c r="I5" s="72" t="s">
        <v>1258</v>
      </c>
      <c r="J5" s="74" t="s">
        <v>42</v>
      </c>
      <c r="K5" s="74" t="s">
        <v>41</v>
      </c>
      <c r="L5" s="74" t="s">
        <v>545</v>
      </c>
      <c r="M5" s="74" t="s">
        <v>546</v>
      </c>
      <c r="N5" s="74">
        <v>1</v>
      </c>
      <c r="O5" s="74" t="s">
        <v>566</v>
      </c>
      <c r="P5" s="74" t="s">
        <v>41</v>
      </c>
      <c r="Q5" s="74"/>
      <c r="R5" s="74"/>
      <c r="S5" s="74"/>
      <c r="T5" s="74"/>
      <c r="U5" s="74">
        <v>0</v>
      </c>
      <c r="V5" s="74"/>
      <c r="W5" s="74" t="s">
        <v>549</v>
      </c>
      <c r="X5" s="74">
        <v>1</v>
      </c>
      <c r="Y5" s="77" t="s">
        <v>613</v>
      </c>
    </row>
    <row r="6" spans="1:25" ht="60" x14ac:dyDescent="0.25">
      <c r="A6" s="76" t="s">
        <v>24</v>
      </c>
      <c r="B6" s="72">
        <v>9</v>
      </c>
      <c r="C6" s="72">
        <v>15</v>
      </c>
      <c r="D6" s="72" t="s">
        <v>43</v>
      </c>
      <c r="E6" s="72" t="s">
        <v>1253</v>
      </c>
      <c r="F6" s="72" t="s">
        <v>1254</v>
      </c>
      <c r="G6" s="73" t="s">
        <v>44</v>
      </c>
      <c r="H6" s="72">
        <v>15</v>
      </c>
      <c r="I6" s="72" t="s">
        <v>1259</v>
      </c>
      <c r="J6" s="74" t="s">
        <v>44</v>
      </c>
      <c r="K6" s="74" t="s">
        <v>43</v>
      </c>
      <c r="L6" s="74" t="s">
        <v>545</v>
      </c>
      <c r="M6" s="74" t="s">
        <v>546</v>
      </c>
      <c r="N6" s="74">
        <v>1</v>
      </c>
      <c r="O6" s="74" t="s">
        <v>566</v>
      </c>
      <c r="P6" s="74" t="s">
        <v>43</v>
      </c>
      <c r="Q6" s="74"/>
      <c r="R6" s="74"/>
      <c r="S6" s="74"/>
      <c r="T6" s="74"/>
      <c r="U6" s="74">
        <v>0</v>
      </c>
      <c r="V6" s="74"/>
      <c r="W6" s="74" t="s">
        <v>549</v>
      </c>
      <c r="X6" s="74">
        <v>1</v>
      </c>
      <c r="Y6" s="77" t="s">
        <v>613</v>
      </c>
    </row>
    <row r="7" spans="1:25" ht="30" x14ac:dyDescent="0.25">
      <c r="A7" s="76" t="s">
        <v>46</v>
      </c>
      <c r="B7" s="72">
        <v>11</v>
      </c>
      <c r="C7" s="72">
        <v>19</v>
      </c>
      <c r="D7" s="72" t="s">
        <v>1260</v>
      </c>
      <c r="E7" s="72" t="s">
        <v>1253</v>
      </c>
      <c r="F7" s="72" t="s">
        <v>1254</v>
      </c>
      <c r="G7" s="73" t="s">
        <v>52</v>
      </c>
      <c r="H7" s="72">
        <v>19</v>
      </c>
      <c r="I7" s="72" t="s">
        <v>1261</v>
      </c>
      <c r="J7" s="74" t="s">
        <v>52</v>
      </c>
      <c r="K7" s="74" t="s">
        <v>1262</v>
      </c>
      <c r="L7" s="74" t="s">
        <v>545</v>
      </c>
      <c r="M7" s="74" t="s">
        <v>546</v>
      </c>
      <c r="N7" s="74">
        <v>1</v>
      </c>
      <c r="O7" s="74" t="s">
        <v>566</v>
      </c>
      <c r="P7" s="74" t="s">
        <v>1260</v>
      </c>
      <c r="Q7" s="74"/>
      <c r="R7" s="74"/>
      <c r="S7" s="74"/>
      <c r="T7" s="74"/>
      <c r="U7" s="74">
        <v>0</v>
      </c>
      <c r="V7" s="74"/>
      <c r="W7" s="74" t="s">
        <v>549</v>
      </c>
      <c r="X7" s="74">
        <v>1</v>
      </c>
      <c r="Y7" s="77" t="s">
        <v>613</v>
      </c>
    </row>
    <row r="8" spans="1:25" ht="30" x14ac:dyDescent="0.25">
      <c r="A8" s="76" t="s">
        <v>46</v>
      </c>
      <c r="B8" s="72">
        <v>13</v>
      </c>
      <c r="C8" s="72">
        <v>21</v>
      </c>
      <c r="D8" s="72" t="s">
        <v>1263</v>
      </c>
      <c r="E8" s="72" t="s">
        <v>1253</v>
      </c>
      <c r="F8" s="72" t="s">
        <v>1254</v>
      </c>
      <c r="G8" s="73" t="s">
        <v>55</v>
      </c>
      <c r="H8" s="72">
        <v>21</v>
      </c>
      <c r="I8" s="72" t="s">
        <v>1264</v>
      </c>
      <c r="J8" s="74" t="s">
        <v>55</v>
      </c>
      <c r="K8" s="74" t="s">
        <v>1265</v>
      </c>
      <c r="L8" s="74" t="s">
        <v>545</v>
      </c>
      <c r="M8" s="74" t="s">
        <v>546</v>
      </c>
      <c r="N8" s="74">
        <v>1</v>
      </c>
      <c r="O8" s="74" t="s">
        <v>566</v>
      </c>
      <c r="P8" s="74" t="s">
        <v>1263</v>
      </c>
      <c r="Q8" s="74"/>
      <c r="R8" s="74"/>
      <c r="S8" s="74"/>
      <c r="T8" s="74"/>
      <c r="U8" s="74">
        <v>0</v>
      </c>
      <c r="V8" s="74"/>
      <c r="W8" s="74" t="s">
        <v>549</v>
      </c>
      <c r="X8" s="74">
        <v>1</v>
      </c>
      <c r="Y8" s="77" t="s">
        <v>613</v>
      </c>
    </row>
    <row r="9" spans="1:25" ht="30" x14ac:dyDescent="0.25">
      <c r="A9" s="76" t="s">
        <v>57</v>
      </c>
      <c r="B9" s="72">
        <v>15</v>
      </c>
      <c r="C9" s="72">
        <v>26</v>
      </c>
      <c r="D9" s="72" t="s">
        <v>1260</v>
      </c>
      <c r="E9" s="72" t="s">
        <v>1253</v>
      </c>
      <c r="F9" s="72" t="s">
        <v>1254</v>
      </c>
      <c r="G9" s="73" t="s">
        <v>60</v>
      </c>
      <c r="H9" s="72">
        <v>26</v>
      </c>
      <c r="I9" s="72" t="s">
        <v>1266</v>
      </c>
      <c r="J9" s="74" t="s">
        <v>60</v>
      </c>
      <c r="K9" s="74" t="s">
        <v>1262</v>
      </c>
      <c r="L9" s="74" t="s">
        <v>545</v>
      </c>
      <c r="M9" s="74" t="s">
        <v>546</v>
      </c>
      <c r="N9" s="74">
        <v>1</v>
      </c>
      <c r="O9" s="74" t="s">
        <v>566</v>
      </c>
      <c r="P9" s="74" t="s">
        <v>1260</v>
      </c>
      <c r="Q9" s="74"/>
      <c r="R9" s="74"/>
      <c r="S9" s="74"/>
      <c r="T9" s="74"/>
      <c r="U9" s="74">
        <v>0</v>
      </c>
      <c r="V9" s="74"/>
      <c r="W9" s="74" t="s">
        <v>549</v>
      </c>
      <c r="X9" s="74">
        <v>1</v>
      </c>
      <c r="Y9" s="77" t="s">
        <v>613</v>
      </c>
    </row>
    <row r="10" spans="1:25" ht="30" x14ac:dyDescent="0.25">
      <c r="A10" s="76" t="s">
        <v>57</v>
      </c>
      <c r="B10" s="72">
        <v>16</v>
      </c>
      <c r="C10" s="72">
        <v>27</v>
      </c>
      <c r="D10" s="72" t="s">
        <v>1267</v>
      </c>
      <c r="E10" s="72" t="s">
        <v>1253</v>
      </c>
      <c r="F10" s="72" t="s">
        <v>1254</v>
      </c>
      <c r="G10" s="73" t="s">
        <v>61</v>
      </c>
      <c r="H10" s="72">
        <v>27</v>
      </c>
      <c r="I10" s="72" t="s">
        <v>1268</v>
      </c>
      <c r="J10" s="74" t="s">
        <v>61</v>
      </c>
      <c r="K10" s="74" t="s">
        <v>1269</v>
      </c>
      <c r="L10" s="74" t="s">
        <v>545</v>
      </c>
      <c r="M10" s="74" t="s">
        <v>546</v>
      </c>
      <c r="N10" s="74">
        <v>1</v>
      </c>
      <c r="O10" s="74" t="s">
        <v>566</v>
      </c>
      <c r="P10" s="74" t="s">
        <v>1267</v>
      </c>
      <c r="Q10" s="74"/>
      <c r="R10" s="74"/>
      <c r="S10" s="74"/>
      <c r="T10" s="74"/>
      <c r="U10" s="74">
        <v>0</v>
      </c>
      <c r="V10" s="74"/>
      <c r="W10" s="74" t="s">
        <v>549</v>
      </c>
      <c r="X10" s="74">
        <v>1</v>
      </c>
      <c r="Y10" s="77" t="s">
        <v>613</v>
      </c>
    </row>
    <row r="11" spans="1:25" ht="30" x14ac:dyDescent="0.25">
      <c r="A11" s="76" t="s">
        <v>57</v>
      </c>
      <c r="B11" s="72">
        <v>17</v>
      </c>
      <c r="C11" s="72">
        <v>28</v>
      </c>
      <c r="D11" s="72" t="s">
        <v>1263</v>
      </c>
      <c r="E11" s="72" t="s">
        <v>1253</v>
      </c>
      <c r="F11" s="72" t="s">
        <v>1254</v>
      </c>
      <c r="G11" s="73" t="s">
        <v>477</v>
      </c>
      <c r="H11" s="72">
        <v>28</v>
      </c>
      <c r="I11" s="72" t="s">
        <v>1268</v>
      </c>
      <c r="J11" s="74" t="s">
        <v>477</v>
      </c>
      <c r="K11" s="74" t="s">
        <v>1265</v>
      </c>
      <c r="L11" s="74" t="s">
        <v>545</v>
      </c>
      <c r="M11" s="74" t="s">
        <v>546</v>
      </c>
      <c r="N11" s="74">
        <v>1</v>
      </c>
      <c r="O11" s="74" t="s">
        <v>566</v>
      </c>
      <c r="P11" s="74" t="s">
        <v>1263</v>
      </c>
      <c r="Q11" s="74"/>
      <c r="R11" s="74"/>
      <c r="S11" s="74"/>
      <c r="T11" s="74"/>
      <c r="U11" s="74">
        <v>0</v>
      </c>
      <c r="V11" s="74"/>
      <c r="W11" s="74" t="s">
        <v>549</v>
      </c>
      <c r="X11" s="74">
        <v>1</v>
      </c>
      <c r="Y11" s="77" t="s">
        <v>613</v>
      </c>
    </row>
    <row r="12" spans="1:25" ht="30" x14ac:dyDescent="0.25">
      <c r="A12" s="76" t="s">
        <v>66</v>
      </c>
      <c r="B12" s="72">
        <v>18</v>
      </c>
      <c r="C12" s="72">
        <v>32</v>
      </c>
      <c r="D12" s="72" t="s">
        <v>68</v>
      </c>
      <c r="E12" s="72" t="s">
        <v>1253</v>
      </c>
      <c r="F12" s="72" t="s">
        <v>1254</v>
      </c>
      <c r="G12" s="73" t="s">
        <v>478</v>
      </c>
      <c r="H12" s="72">
        <v>32</v>
      </c>
      <c r="I12" s="72" t="s">
        <v>1270</v>
      </c>
      <c r="J12" s="74" t="s">
        <v>478</v>
      </c>
      <c r="K12" s="74" t="s">
        <v>68</v>
      </c>
      <c r="L12" s="74" t="s">
        <v>545</v>
      </c>
      <c r="M12" s="74" t="s">
        <v>546</v>
      </c>
      <c r="N12" s="74">
        <v>1</v>
      </c>
      <c r="O12" s="74" t="s">
        <v>566</v>
      </c>
      <c r="P12" s="74" t="s">
        <v>68</v>
      </c>
      <c r="Q12" s="74"/>
      <c r="R12" s="74"/>
      <c r="S12" s="74"/>
      <c r="T12" s="74"/>
      <c r="U12" s="74">
        <v>0</v>
      </c>
      <c r="V12" s="74"/>
      <c r="W12" s="74" t="s">
        <v>549</v>
      </c>
      <c r="X12" s="74">
        <v>1</v>
      </c>
      <c r="Y12" s="77" t="s">
        <v>613</v>
      </c>
    </row>
    <row r="13" spans="1:25" ht="30" x14ac:dyDescent="0.25">
      <c r="A13" s="76" t="s">
        <v>66</v>
      </c>
      <c r="B13" s="72">
        <v>19</v>
      </c>
      <c r="C13" s="72">
        <v>34</v>
      </c>
      <c r="D13" s="72" t="s">
        <v>71</v>
      </c>
      <c r="E13" s="72" t="s">
        <v>1253</v>
      </c>
      <c r="F13" s="72" t="s">
        <v>1254</v>
      </c>
      <c r="G13" s="73" t="s">
        <v>479</v>
      </c>
      <c r="H13" s="72">
        <v>34</v>
      </c>
      <c r="I13" s="72" t="s">
        <v>1271</v>
      </c>
      <c r="J13" s="74" t="s">
        <v>479</v>
      </c>
      <c r="K13" s="74" t="s">
        <v>71</v>
      </c>
      <c r="L13" s="74" t="s">
        <v>545</v>
      </c>
      <c r="M13" s="74" t="s">
        <v>546</v>
      </c>
      <c r="N13" s="74">
        <v>1</v>
      </c>
      <c r="O13" s="74" t="s">
        <v>566</v>
      </c>
      <c r="P13" s="74" t="s">
        <v>71</v>
      </c>
      <c r="Q13" s="74"/>
      <c r="R13" s="74"/>
      <c r="S13" s="74"/>
      <c r="T13" s="74"/>
      <c r="U13" s="74">
        <v>0</v>
      </c>
      <c r="V13" s="74"/>
      <c r="W13" s="74" t="s">
        <v>549</v>
      </c>
      <c r="X13" s="74">
        <v>1</v>
      </c>
      <c r="Y13" s="77" t="s">
        <v>613</v>
      </c>
    </row>
    <row r="14" spans="1:25" ht="30" x14ac:dyDescent="0.25">
      <c r="A14" s="76" t="s">
        <v>66</v>
      </c>
      <c r="B14" s="72">
        <v>20</v>
      </c>
      <c r="C14" s="72">
        <v>35</v>
      </c>
      <c r="D14" s="72" t="s">
        <v>73</v>
      </c>
      <c r="E14" s="72" t="s">
        <v>1253</v>
      </c>
      <c r="F14" s="72" t="s">
        <v>1254</v>
      </c>
      <c r="G14" s="73" t="s">
        <v>480</v>
      </c>
      <c r="H14" s="72">
        <v>35</v>
      </c>
      <c r="I14" s="72" t="s">
        <v>1272</v>
      </c>
      <c r="J14" s="74" t="s">
        <v>480</v>
      </c>
      <c r="K14" s="74" t="s">
        <v>73</v>
      </c>
      <c r="L14" s="74" t="s">
        <v>545</v>
      </c>
      <c r="M14" s="74" t="s">
        <v>546</v>
      </c>
      <c r="N14" s="74">
        <v>1</v>
      </c>
      <c r="O14" s="74" t="s">
        <v>566</v>
      </c>
      <c r="P14" s="74" t="s">
        <v>73</v>
      </c>
      <c r="Q14" s="74"/>
      <c r="R14" s="74"/>
      <c r="S14" s="74"/>
      <c r="T14" s="74"/>
      <c r="U14" s="74">
        <v>0</v>
      </c>
      <c r="V14" s="74"/>
      <c r="W14" s="74" t="s">
        <v>549</v>
      </c>
      <c r="X14" s="74">
        <v>1</v>
      </c>
      <c r="Y14" s="77" t="s">
        <v>613</v>
      </c>
    </row>
    <row r="15" spans="1:25" ht="30" x14ac:dyDescent="0.25">
      <c r="A15" s="76" t="s">
        <v>66</v>
      </c>
      <c r="B15" s="72">
        <v>21</v>
      </c>
      <c r="C15" s="72">
        <v>36</v>
      </c>
      <c r="D15" s="72" t="s">
        <v>76</v>
      </c>
      <c r="E15" s="72" t="s">
        <v>1253</v>
      </c>
      <c r="F15" s="72" t="s">
        <v>1254</v>
      </c>
      <c r="G15" s="73" t="s">
        <v>77</v>
      </c>
      <c r="H15" s="72">
        <v>36</v>
      </c>
      <c r="I15" s="72" t="s">
        <v>1273</v>
      </c>
      <c r="J15" s="74" t="s">
        <v>77</v>
      </c>
      <c r="K15" s="74" t="s">
        <v>76</v>
      </c>
      <c r="L15" s="74" t="s">
        <v>545</v>
      </c>
      <c r="M15" s="74" t="s">
        <v>546</v>
      </c>
      <c r="N15" s="74">
        <v>1</v>
      </c>
      <c r="O15" s="74" t="s">
        <v>566</v>
      </c>
      <c r="P15" s="74" t="s">
        <v>76</v>
      </c>
      <c r="Q15" s="74"/>
      <c r="R15" s="74"/>
      <c r="S15" s="74"/>
      <c r="T15" s="74"/>
      <c r="U15" s="74">
        <v>0</v>
      </c>
      <c r="V15" s="74"/>
      <c r="W15" s="74" t="s">
        <v>549</v>
      </c>
      <c r="X15" s="74">
        <v>1</v>
      </c>
      <c r="Y15" s="77" t="s">
        <v>613</v>
      </c>
    </row>
    <row r="16" spans="1:25" ht="30" x14ac:dyDescent="0.25">
      <c r="A16" s="76" t="s">
        <v>66</v>
      </c>
      <c r="B16" s="72">
        <v>22</v>
      </c>
      <c r="C16" s="72">
        <v>37</v>
      </c>
      <c r="D16" s="72" t="s">
        <v>78</v>
      </c>
      <c r="E16" s="72" t="s">
        <v>1253</v>
      </c>
      <c r="F16" s="72" t="s">
        <v>1254</v>
      </c>
      <c r="G16" s="73" t="s">
        <v>79</v>
      </c>
      <c r="H16" s="72">
        <v>37</v>
      </c>
      <c r="I16" s="72" t="s">
        <v>1274</v>
      </c>
      <c r="J16" s="74" t="s">
        <v>79</v>
      </c>
      <c r="K16" s="74" t="s">
        <v>78</v>
      </c>
      <c r="L16" s="74" t="s">
        <v>545</v>
      </c>
      <c r="M16" s="74" t="s">
        <v>546</v>
      </c>
      <c r="N16" s="74">
        <v>1</v>
      </c>
      <c r="O16" s="74" t="s">
        <v>566</v>
      </c>
      <c r="P16" s="74" t="s">
        <v>78</v>
      </c>
      <c r="Q16" s="74"/>
      <c r="R16" s="74"/>
      <c r="S16" s="74"/>
      <c r="T16" s="74"/>
      <c r="U16" s="74">
        <v>0</v>
      </c>
      <c r="V16" s="74"/>
      <c r="W16" s="74" t="s">
        <v>549</v>
      </c>
      <c r="X16" s="74">
        <v>1</v>
      </c>
      <c r="Y16" s="77" t="s">
        <v>613</v>
      </c>
    </row>
    <row r="17" spans="1:25" ht="30" x14ac:dyDescent="0.25">
      <c r="A17" s="76" t="s">
        <v>81</v>
      </c>
      <c r="B17" s="72">
        <v>25</v>
      </c>
      <c r="C17" s="72">
        <v>42</v>
      </c>
      <c r="D17" s="72" t="s">
        <v>1260</v>
      </c>
      <c r="E17" s="72" t="s">
        <v>1253</v>
      </c>
      <c r="F17" s="72" t="s">
        <v>1254</v>
      </c>
      <c r="G17" s="73" t="s">
        <v>86</v>
      </c>
      <c r="H17" s="72">
        <v>42</v>
      </c>
      <c r="I17" s="72" t="s">
        <v>1275</v>
      </c>
      <c r="J17" s="74" t="s">
        <v>86</v>
      </c>
      <c r="K17" s="74" t="s">
        <v>1262</v>
      </c>
      <c r="L17" s="74" t="s">
        <v>545</v>
      </c>
      <c r="M17" s="74" t="s">
        <v>546</v>
      </c>
      <c r="N17" s="74">
        <v>1</v>
      </c>
      <c r="O17" s="74" t="s">
        <v>566</v>
      </c>
      <c r="P17" s="74" t="s">
        <v>1260</v>
      </c>
      <c r="Q17" s="74"/>
      <c r="R17" s="74"/>
      <c r="S17" s="74"/>
      <c r="T17" s="74"/>
      <c r="U17" s="74">
        <v>0</v>
      </c>
      <c r="V17" s="74"/>
      <c r="W17" s="74" t="s">
        <v>549</v>
      </c>
      <c r="X17" s="74">
        <v>1</v>
      </c>
      <c r="Y17" s="77" t="s">
        <v>613</v>
      </c>
    </row>
    <row r="18" spans="1:25" ht="30" x14ac:dyDescent="0.25">
      <c r="A18" s="76" t="s">
        <v>81</v>
      </c>
      <c r="B18" s="72">
        <v>28</v>
      </c>
      <c r="C18" s="72">
        <v>45</v>
      </c>
      <c r="D18" s="72" t="s">
        <v>1276</v>
      </c>
      <c r="E18" s="72" t="s">
        <v>1253</v>
      </c>
      <c r="F18" s="72" t="s">
        <v>1254</v>
      </c>
      <c r="G18" s="73" t="s">
        <v>90</v>
      </c>
      <c r="H18" s="72">
        <v>45</v>
      </c>
      <c r="I18" s="72" t="s">
        <v>1277</v>
      </c>
      <c r="J18" s="74" t="s">
        <v>90</v>
      </c>
      <c r="K18" s="74" t="s">
        <v>1278</v>
      </c>
      <c r="L18" s="74" t="s">
        <v>545</v>
      </c>
      <c r="M18" s="74" t="s">
        <v>546</v>
      </c>
      <c r="N18" s="74">
        <v>1</v>
      </c>
      <c r="O18" s="74" t="s">
        <v>566</v>
      </c>
      <c r="P18" s="74" t="s">
        <v>1276</v>
      </c>
      <c r="Q18" s="74"/>
      <c r="R18" s="74"/>
      <c r="S18" s="74"/>
      <c r="T18" s="74"/>
      <c r="U18" s="74">
        <v>0</v>
      </c>
      <c r="V18" s="74"/>
      <c r="W18" s="74" t="s">
        <v>549</v>
      </c>
      <c r="X18" s="74">
        <v>1</v>
      </c>
      <c r="Y18" s="77" t="s">
        <v>613</v>
      </c>
    </row>
    <row r="19" spans="1:25" ht="30" x14ac:dyDescent="0.25">
      <c r="A19" s="76" t="s">
        <v>81</v>
      </c>
      <c r="B19" s="72">
        <v>31</v>
      </c>
      <c r="C19" s="72">
        <v>48</v>
      </c>
      <c r="D19" s="72" t="s">
        <v>1279</v>
      </c>
      <c r="E19" s="72" t="s">
        <v>1253</v>
      </c>
      <c r="F19" s="72" t="s">
        <v>1254</v>
      </c>
      <c r="G19" s="73" t="s">
        <v>94</v>
      </c>
      <c r="H19" s="72">
        <v>48</v>
      </c>
      <c r="I19" s="72" t="s">
        <v>1280</v>
      </c>
      <c r="J19" s="74" t="s">
        <v>94</v>
      </c>
      <c r="K19" s="74" t="s">
        <v>1281</v>
      </c>
      <c r="L19" s="74" t="s">
        <v>545</v>
      </c>
      <c r="M19" s="74" t="s">
        <v>546</v>
      </c>
      <c r="N19" s="74">
        <v>1</v>
      </c>
      <c r="O19" s="74" t="s">
        <v>566</v>
      </c>
      <c r="P19" s="74" t="s">
        <v>1279</v>
      </c>
      <c r="Q19" s="74"/>
      <c r="R19" s="74"/>
      <c r="S19" s="74"/>
      <c r="T19" s="74"/>
      <c r="U19" s="74">
        <v>0</v>
      </c>
      <c r="V19" s="74"/>
      <c r="W19" s="74" t="s">
        <v>549</v>
      </c>
      <c r="X19" s="74">
        <v>1</v>
      </c>
      <c r="Y19" s="77" t="s">
        <v>613</v>
      </c>
    </row>
    <row r="20" spans="1:25" ht="30" x14ac:dyDescent="0.25">
      <c r="A20" s="76" t="s">
        <v>81</v>
      </c>
      <c r="B20" s="72">
        <v>34</v>
      </c>
      <c r="C20" s="72">
        <v>51</v>
      </c>
      <c r="D20" s="72" t="s">
        <v>1282</v>
      </c>
      <c r="E20" s="72" t="s">
        <v>1253</v>
      </c>
      <c r="F20" s="72" t="s">
        <v>1254</v>
      </c>
      <c r="G20" s="73" t="s">
        <v>98</v>
      </c>
      <c r="H20" s="72">
        <v>51</v>
      </c>
      <c r="I20" s="72" t="s">
        <v>1283</v>
      </c>
      <c r="J20" s="74" t="s">
        <v>98</v>
      </c>
      <c r="K20" s="74" t="s">
        <v>1284</v>
      </c>
      <c r="L20" s="74" t="s">
        <v>545</v>
      </c>
      <c r="M20" s="74" t="s">
        <v>546</v>
      </c>
      <c r="N20" s="74">
        <v>1</v>
      </c>
      <c r="O20" s="74" t="s">
        <v>566</v>
      </c>
      <c r="P20" s="74" t="s">
        <v>1282</v>
      </c>
      <c r="Q20" s="74"/>
      <c r="R20" s="74"/>
      <c r="S20" s="74"/>
      <c r="T20" s="74"/>
      <c r="U20" s="74">
        <v>0</v>
      </c>
      <c r="V20" s="74"/>
      <c r="W20" s="74" t="s">
        <v>549</v>
      </c>
      <c r="X20" s="74">
        <v>1</v>
      </c>
      <c r="Y20" s="77" t="s">
        <v>613</v>
      </c>
    </row>
    <row r="21" spans="1:25" ht="30" x14ac:dyDescent="0.25">
      <c r="A21" s="76" t="s">
        <v>81</v>
      </c>
      <c r="B21" s="72">
        <v>35</v>
      </c>
      <c r="C21" s="72">
        <v>52</v>
      </c>
      <c r="D21" s="72" t="s">
        <v>1285</v>
      </c>
      <c r="E21" s="72" t="s">
        <v>1253</v>
      </c>
      <c r="F21" s="72" t="s">
        <v>1254</v>
      </c>
      <c r="G21" s="73" t="s">
        <v>100</v>
      </c>
      <c r="H21" s="72">
        <v>52</v>
      </c>
      <c r="I21" s="72" t="s">
        <v>1286</v>
      </c>
      <c r="J21" s="74" t="s">
        <v>100</v>
      </c>
      <c r="K21" s="74" t="s">
        <v>1287</v>
      </c>
      <c r="L21" s="74" t="s">
        <v>545</v>
      </c>
      <c r="M21" s="74" t="s">
        <v>546</v>
      </c>
      <c r="N21" s="74">
        <v>1</v>
      </c>
      <c r="O21" s="74" t="s">
        <v>566</v>
      </c>
      <c r="P21" s="74" t="s">
        <v>1285</v>
      </c>
      <c r="Q21" s="74"/>
      <c r="R21" s="74"/>
      <c r="S21" s="74"/>
      <c r="T21" s="74"/>
      <c r="U21" s="74">
        <v>0</v>
      </c>
      <c r="V21" s="74"/>
      <c r="W21" s="74" t="s">
        <v>549</v>
      </c>
      <c r="X21" s="74">
        <v>1</v>
      </c>
      <c r="Y21" s="77" t="s">
        <v>613</v>
      </c>
    </row>
    <row r="22" spans="1:25" ht="30" x14ac:dyDescent="0.25">
      <c r="A22" s="76" t="s">
        <v>81</v>
      </c>
      <c r="B22" s="72">
        <v>36</v>
      </c>
      <c r="C22" s="72">
        <v>53</v>
      </c>
      <c r="D22" s="72" t="s">
        <v>1288</v>
      </c>
      <c r="E22" s="72" t="s">
        <v>1253</v>
      </c>
      <c r="F22" s="72" t="s">
        <v>1254</v>
      </c>
      <c r="G22" s="73" t="s">
        <v>101</v>
      </c>
      <c r="H22" s="72">
        <v>53</v>
      </c>
      <c r="I22" s="72" t="s">
        <v>1286</v>
      </c>
      <c r="J22" s="74" t="s">
        <v>101</v>
      </c>
      <c r="K22" s="74" t="s">
        <v>1289</v>
      </c>
      <c r="L22" s="74" t="s">
        <v>545</v>
      </c>
      <c r="M22" s="74" t="s">
        <v>546</v>
      </c>
      <c r="N22" s="74">
        <v>1</v>
      </c>
      <c r="O22" s="74" t="s">
        <v>566</v>
      </c>
      <c r="P22" s="74" t="s">
        <v>1288</v>
      </c>
      <c r="Q22" s="74"/>
      <c r="R22" s="74"/>
      <c r="S22" s="74"/>
      <c r="T22" s="74"/>
      <c r="U22" s="74">
        <v>0</v>
      </c>
      <c r="V22" s="74"/>
      <c r="W22" s="74" t="s">
        <v>549</v>
      </c>
      <c r="X22" s="74">
        <v>1</v>
      </c>
      <c r="Y22" s="77" t="s">
        <v>613</v>
      </c>
    </row>
    <row r="23" spans="1:25" ht="30" x14ac:dyDescent="0.25">
      <c r="A23" s="76" t="s">
        <v>81</v>
      </c>
      <c r="B23" s="72">
        <v>37</v>
      </c>
      <c r="C23" s="72">
        <v>54</v>
      </c>
      <c r="D23" s="72" t="s">
        <v>1290</v>
      </c>
      <c r="E23" s="72" t="s">
        <v>1253</v>
      </c>
      <c r="F23" s="72" t="s">
        <v>1254</v>
      </c>
      <c r="G23" s="73" t="s">
        <v>102</v>
      </c>
      <c r="H23" s="72">
        <v>54</v>
      </c>
      <c r="I23" s="72" t="s">
        <v>1286</v>
      </c>
      <c r="J23" s="74" t="s">
        <v>102</v>
      </c>
      <c r="K23" s="74" t="s">
        <v>1291</v>
      </c>
      <c r="L23" s="74" t="s">
        <v>545</v>
      </c>
      <c r="M23" s="74" t="s">
        <v>546</v>
      </c>
      <c r="N23" s="74">
        <v>1</v>
      </c>
      <c r="O23" s="74" t="s">
        <v>566</v>
      </c>
      <c r="P23" s="74" t="s">
        <v>1290</v>
      </c>
      <c r="Q23" s="74"/>
      <c r="R23" s="74"/>
      <c r="S23" s="74"/>
      <c r="T23" s="74"/>
      <c r="U23" s="74">
        <v>0</v>
      </c>
      <c r="V23" s="74"/>
      <c r="W23" s="74" t="s">
        <v>549</v>
      </c>
      <c r="X23" s="74">
        <v>1</v>
      </c>
      <c r="Y23" s="77" t="s">
        <v>613</v>
      </c>
    </row>
    <row r="24" spans="1:25" ht="30" x14ac:dyDescent="0.25">
      <c r="A24" s="76" t="s">
        <v>81</v>
      </c>
      <c r="B24" s="72">
        <v>38</v>
      </c>
      <c r="C24" s="72">
        <v>55</v>
      </c>
      <c r="D24" s="72" t="s">
        <v>1292</v>
      </c>
      <c r="E24" s="72" t="s">
        <v>1253</v>
      </c>
      <c r="F24" s="72" t="s">
        <v>1254</v>
      </c>
      <c r="G24" s="73" t="s">
        <v>104</v>
      </c>
      <c r="H24" s="72">
        <v>55</v>
      </c>
      <c r="I24" s="72" t="s">
        <v>1293</v>
      </c>
      <c r="J24" s="74" t="s">
        <v>104</v>
      </c>
      <c r="K24" s="74" t="s">
        <v>1294</v>
      </c>
      <c r="L24" s="74" t="s">
        <v>545</v>
      </c>
      <c r="M24" s="74" t="s">
        <v>546</v>
      </c>
      <c r="N24" s="74">
        <v>1</v>
      </c>
      <c r="O24" s="74" t="s">
        <v>566</v>
      </c>
      <c r="P24" s="74" t="s">
        <v>1292</v>
      </c>
      <c r="Q24" s="74"/>
      <c r="R24" s="74"/>
      <c r="S24" s="74"/>
      <c r="T24" s="74"/>
      <c r="U24" s="74">
        <v>0</v>
      </c>
      <c r="V24" s="74"/>
      <c r="W24" s="74" t="s">
        <v>549</v>
      </c>
      <c r="X24" s="74">
        <v>1</v>
      </c>
      <c r="Y24" s="77" t="s">
        <v>613</v>
      </c>
    </row>
    <row r="25" spans="1:25" ht="30" x14ac:dyDescent="0.25">
      <c r="A25" s="76" t="s">
        <v>81</v>
      </c>
      <c r="B25" s="72">
        <v>39</v>
      </c>
      <c r="C25" s="72">
        <v>56</v>
      </c>
      <c r="D25" s="72" t="s">
        <v>1295</v>
      </c>
      <c r="E25" s="72" t="s">
        <v>1253</v>
      </c>
      <c r="F25" s="72" t="s">
        <v>1254</v>
      </c>
      <c r="G25" s="73" t="s">
        <v>105</v>
      </c>
      <c r="H25" s="72">
        <v>56</v>
      </c>
      <c r="I25" s="72" t="s">
        <v>1293</v>
      </c>
      <c r="J25" s="74" t="s">
        <v>105</v>
      </c>
      <c r="K25" s="74" t="s">
        <v>1296</v>
      </c>
      <c r="L25" s="74" t="s">
        <v>545</v>
      </c>
      <c r="M25" s="74" t="s">
        <v>546</v>
      </c>
      <c r="N25" s="74">
        <v>1</v>
      </c>
      <c r="O25" s="74" t="s">
        <v>566</v>
      </c>
      <c r="P25" s="74" t="s">
        <v>1295</v>
      </c>
      <c r="Q25" s="74"/>
      <c r="R25" s="74"/>
      <c r="S25" s="74"/>
      <c r="T25" s="74"/>
      <c r="U25" s="74">
        <v>0</v>
      </c>
      <c r="V25" s="74"/>
      <c r="W25" s="74" t="s">
        <v>549</v>
      </c>
      <c r="X25" s="74">
        <v>1</v>
      </c>
      <c r="Y25" s="77" t="s">
        <v>613</v>
      </c>
    </row>
    <row r="26" spans="1:25" ht="30" x14ac:dyDescent="0.25">
      <c r="A26" s="76" t="s">
        <v>81</v>
      </c>
      <c r="B26" s="72">
        <v>40</v>
      </c>
      <c r="C26" s="72">
        <v>57</v>
      </c>
      <c r="D26" s="72" t="s">
        <v>1297</v>
      </c>
      <c r="E26" s="72" t="s">
        <v>1253</v>
      </c>
      <c r="F26" s="72" t="s">
        <v>1254</v>
      </c>
      <c r="G26" s="73" t="s">
        <v>106</v>
      </c>
      <c r="H26" s="72">
        <v>57</v>
      </c>
      <c r="I26" s="72" t="s">
        <v>1293</v>
      </c>
      <c r="J26" s="74" t="s">
        <v>106</v>
      </c>
      <c r="K26" s="74" t="s">
        <v>1298</v>
      </c>
      <c r="L26" s="74" t="s">
        <v>545</v>
      </c>
      <c r="M26" s="74" t="s">
        <v>546</v>
      </c>
      <c r="N26" s="74">
        <v>1</v>
      </c>
      <c r="O26" s="74" t="s">
        <v>566</v>
      </c>
      <c r="P26" s="74" t="s">
        <v>1297</v>
      </c>
      <c r="Q26" s="74"/>
      <c r="R26" s="74"/>
      <c r="S26" s="74"/>
      <c r="T26" s="74"/>
      <c r="U26" s="74">
        <v>0</v>
      </c>
      <c r="V26" s="74"/>
      <c r="W26" s="74" t="s">
        <v>549</v>
      </c>
      <c r="X26" s="74">
        <v>1</v>
      </c>
      <c r="Y26" s="77" t="s">
        <v>613</v>
      </c>
    </row>
    <row r="27" spans="1:25" ht="30" x14ac:dyDescent="0.25">
      <c r="A27" s="76" t="s">
        <v>81</v>
      </c>
      <c r="B27" s="72">
        <v>41</v>
      </c>
      <c r="C27" s="72">
        <v>58</v>
      </c>
      <c r="D27" s="72" t="s">
        <v>1299</v>
      </c>
      <c r="E27" s="72" t="s">
        <v>1253</v>
      </c>
      <c r="F27" s="72" t="s">
        <v>1254</v>
      </c>
      <c r="G27" s="73" t="s">
        <v>108</v>
      </c>
      <c r="H27" s="72">
        <v>58</v>
      </c>
      <c r="I27" s="72" t="s">
        <v>1300</v>
      </c>
      <c r="J27" s="74" t="s">
        <v>108</v>
      </c>
      <c r="K27" s="74" t="s">
        <v>1301</v>
      </c>
      <c r="L27" s="74" t="s">
        <v>545</v>
      </c>
      <c r="M27" s="74" t="s">
        <v>546</v>
      </c>
      <c r="N27" s="74">
        <v>1</v>
      </c>
      <c r="O27" s="74" t="s">
        <v>566</v>
      </c>
      <c r="P27" s="74" t="s">
        <v>1299</v>
      </c>
      <c r="Q27" s="74"/>
      <c r="R27" s="74"/>
      <c r="S27" s="74"/>
      <c r="T27" s="74"/>
      <c r="U27" s="74">
        <v>0</v>
      </c>
      <c r="V27" s="74"/>
      <c r="W27" s="74" t="s">
        <v>549</v>
      </c>
      <c r="X27" s="74">
        <v>1</v>
      </c>
      <c r="Y27" s="77" t="s">
        <v>613</v>
      </c>
    </row>
    <row r="28" spans="1:25" ht="30" x14ac:dyDescent="0.25">
      <c r="A28" s="76" t="s">
        <v>81</v>
      </c>
      <c r="B28" s="72">
        <v>42</v>
      </c>
      <c r="C28" s="72">
        <v>59</v>
      </c>
      <c r="D28" s="72" t="s">
        <v>1302</v>
      </c>
      <c r="E28" s="72" t="s">
        <v>1253</v>
      </c>
      <c r="F28" s="72" t="s">
        <v>1254</v>
      </c>
      <c r="G28" s="73" t="s">
        <v>109</v>
      </c>
      <c r="H28" s="72">
        <v>59</v>
      </c>
      <c r="I28" s="72" t="s">
        <v>1300</v>
      </c>
      <c r="J28" s="74" t="s">
        <v>109</v>
      </c>
      <c r="K28" s="74" t="s">
        <v>1303</v>
      </c>
      <c r="L28" s="74" t="s">
        <v>545</v>
      </c>
      <c r="M28" s="74" t="s">
        <v>546</v>
      </c>
      <c r="N28" s="74">
        <v>1</v>
      </c>
      <c r="O28" s="74" t="s">
        <v>566</v>
      </c>
      <c r="P28" s="74" t="s">
        <v>1302</v>
      </c>
      <c r="Q28" s="74"/>
      <c r="R28" s="74"/>
      <c r="S28" s="74"/>
      <c r="T28" s="74"/>
      <c r="U28" s="74">
        <v>0</v>
      </c>
      <c r="V28" s="74"/>
      <c r="W28" s="74" t="s">
        <v>549</v>
      </c>
      <c r="X28" s="74">
        <v>1</v>
      </c>
      <c r="Y28" s="77" t="s">
        <v>613</v>
      </c>
    </row>
    <row r="29" spans="1:25" ht="30" x14ac:dyDescent="0.25">
      <c r="A29" s="76" t="s">
        <v>81</v>
      </c>
      <c r="B29" s="72">
        <v>43</v>
      </c>
      <c r="C29" s="72">
        <v>60</v>
      </c>
      <c r="D29" s="72" t="s">
        <v>1304</v>
      </c>
      <c r="E29" s="72" t="s">
        <v>1253</v>
      </c>
      <c r="F29" s="72" t="s">
        <v>1254</v>
      </c>
      <c r="G29" s="73" t="s">
        <v>110</v>
      </c>
      <c r="H29" s="72">
        <v>60</v>
      </c>
      <c r="I29" s="72" t="s">
        <v>1300</v>
      </c>
      <c r="J29" s="74" t="s">
        <v>110</v>
      </c>
      <c r="K29" s="74" t="s">
        <v>1305</v>
      </c>
      <c r="L29" s="74" t="s">
        <v>545</v>
      </c>
      <c r="M29" s="74" t="s">
        <v>546</v>
      </c>
      <c r="N29" s="74">
        <v>1</v>
      </c>
      <c r="O29" s="74" t="s">
        <v>566</v>
      </c>
      <c r="P29" s="74" t="s">
        <v>1304</v>
      </c>
      <c r="Q29" s="74"/>
      <c r="R29" s="74"/>
      <c r="S29" s="74"/>
      <c r="T29" s="74"/>
      <c r="U29" s="74">
        <v>0</v>
      </c>
      <c r="V29" s="74"/>
      <c r="W29" s="74" t="s">
        <v>549</v>
      </c>
      <c r="X29" s="74">
        <v>1</v>
      </c>
      <c r="Y29" s="77" t="s">
        <v>613</v>
      </c>
    </row>
    <row r="30" spans="1:25" ht="30" x14ac:dyDescent="0.25">
      <c r="A30" s="76" t="s">
        <v>81</v>
      </c>
      <c r="B30" s="72">
        <v>44</v>
      </c>
      <c r="C30" s="72">
        <v>61</v>
      </c>
      <c r="D30" s="72" t="s">
        <v>1306</v>
      </c>
      <c r="E30" s="72" t="s">
        <v>1253</v>
      </c>
      <c r="F30" s="72" t="s">
        <v>1254</v>
      </c>
      <c r="G30" s="73" t="s">
        <v>112</v>
      </c>
      <c r="H30" s="72">
        <v>61</v>
      </c>
      <c r="I30" s="72" t="s">
        <v>1307</v>
      </c>
      <c r="J30" s="74" t="s">
        <v>112</v>
      </c>
      <c r="K30" s="74" t="s">
        <v>1308</v>
      </c>
      <c r="L30" s="74" t="s">
        <v>545</v>
      </c>
      <c r="M30" s="74" t="s">
        <v>546</v>
      </c>
      <c r="N30" s="74">
        <v>1</v>
      </c>
      <c r="O30" s="74" t="s">
        <v>566</v>
      </c>
      <c r="P30" s="74" t="s">
        <v>1306</v>
      </c>
      <c r="Q30" s="74"/>
      <c r="R30" s="74"/>
      <c r="S30" s="74"/>
      <c r="T30" s="74"/>
      <c r="U30" s="74">
        <v>0</v>
      </c>
      <c r="V30" s="74"/>
      <c r="W30" s="74" t="s">
        <v>549</v>
      </c>
      <c r="X30" s="74">
        <v>1</v>
      </c>
      <c r="Y30" s="77" t="s">
        <v>613</v>
      </c>
    </row>
    <row r="31" spans="1:25" ht="30" x14ac:dyDescent="0.25">
      <c r="A31" s="76" t="s">
        <v>81</v>
      </c>
      <c r="B31" s="72">
        <v>45</v>
      </c>
      <c r="C31" s="72">
        <v>62</v>
      </c>
      <c r="D31" s="72" t="s">
        <v>1309</v>
      </c>
      <c r="E31" s="72" t="s">
        <v>1253</v>
      </c>
      <c r="F31" s="72" t="s">
        <v>1254</v>
      </c>
      <c r="G31" s="73" t="s">
        <v>113</v>
      </c>
      <c r="H31" s="72">
        <v>62</v>
      </c>
      <c r="I31" s="72" t="s">
        <v>1307</v>
      </c>
      <c r="J31" s="74" t="s">
        <v>113</v>
      </c>
      <c r="K31" s="74" t="s">
        <v>1310</v>
      </c>
      <c r="L31" s="74" t="s">
        <v>545</v>
      </c>
      <c r="M31" s="74" t="s">
        <v>546</v>
      </c>
      <c r="N31" s="74">
        <v>1</v>
      </c>
      <c r="O31" s="74" t="s">
        <v>566</v>
      </c>
      <c r="P31" s="74" t="s">
        <v>1309</v>
      </c>
      <c r="Q31" s="74"/>
      <c r="R31" s="74"/>
      <c r="S31" s="74"/>
      <c r="T31" s="74"/>
      <c r="U31" s="74">
        <v>0</v>
      </c>
      <c r="V31" s="74"/>
      <c r="W31" s="74" t="s">
        <v>549</v>
      </c>
      <c r="X31" s="74">
        <v>1</v>
      </c>
      <c r="Y31" s="77" t="s">
        <v>613</v>
      </c>
    </row>
    <row r="32" spans="1:25" ht="30" x14ac:dyDescent="0.25">
      <c r="A32" s="76" t="s">
        <v>81</v>
      </c>
      <c r="B32" s="72">
        <v>46</v>
      </c>
      <c r="C32" s="72">
        <v>63</v>
      </c>
      <c r="D32" s="72" t="s">
        <v>1311</v>
      </c>
      <c r="E32" s="72" t="s">
        <v>1253</v>
      </c>
      <c r="F32" s="72" t="s">
        <v>1254</v>
      </c>
      <c r="G32" s="73" t="s">
        <v>114</v>
      </c>
      <c r="H32" s="72">
        <v>63</v>
      </c>
      <c r="I32" s="72" t="s">
        <v>1307</v>
      </c>
      <c r="J32" s="74" t="s">
        <v>114</v>
      </c>
      <c r="K32" s="74" t="s">
        <v>1312</v>
      </c>
      <c r="L32" s="74" t="s">
        <v>545</v>
      </c>
      <c r="M32" s="74" t="s">
        <v>546</v>
      </c>
      <c r="N32" s="74">
        <v>1</v>
      </c>
      <c r="O32" s="74" t="s">
        <v>566</v>
      </c>
      <c r="P32" s="74" t="s">
        <v>1311</v>
      </c>
      <c r="Q32" s="74"/>
      <c r="R32" s="74"/>
      <c r="S32" s="74"/>
      <c r="T32" s="74"/>
      <c r="U32" s="74">
        <v>0</v>
      </c>
      <c r="V32" s="74"/>
      <c r="W32" s="74" t="s">
        <v>549</v>
      </c>
      <c r="X32" s="74">
        <v>1</v>
      </c>
      <c r="Y32" s="77" t="s">
        <v>613</v>
      </c>
    </row>
    <row r="33" spans="1:25" ht="30" x14ac:dyDescent="0.25">
      <c r="A33" s="76" t="s">
        <v>81</v>
      </c>
      <c r="B33" s="72">
        <v>47</v>
      </c>
      <c r="C33" s="72">
        <v>64</v>
      </c>
      <c r="D33" s="72" t="s">
        <v>1313</v>
      </c>
      <c r="E33" s="72" t="s">
        <v>1253</v>
      </c>
      <c r="F33" s="72" t="s">
        <v>1254</v>
      </c>
      <c r="G33" s="73" t="s">
        <v>116</v>
      </c>
      <c r="H33" s="72">
        <v>64</v>
      </c>
      <c r="I33" s="72" t="s">
        <v>1314</v>
      </c>
      <c r="J33" s="74" t="s">
        <v>116</v>
      </c>
      <c r="K33" s="74" t="s">
        <v>1315</v>
      </c>
      <c r="L33" s="74" t="s">
        <v>545</v>
      </c>
      <c r="M33" s="74" t="s">
        <v>546</v>
      </c>
      <c r="N33" s="74">
        <v>1</v>
      </c>
      <c r="O33" s="74" t="s">
        <v>566</v>
      </c>
      <c r="P33" s="74" t="s">
        <v>1313</v>
      </c>
      <c r="Q33" s="74"/>
      <c r="R33" s="74"/>
      <c r="S33" s="74"/>
      <c r="T33" s="74"/>
      <c r="U33" s="74">
        <v>0</v>
      </c>
      <c r="V33" s="74"/>
      <c r="W33" s="74" t="s">
        <v>549</v>
      </c>
      <c r="X33" s="74">
        <v>1</v>
      </c>
      <c r="Y33" s="77" t="s">
        <v>613</v>
      </c>
    </row>
    <row r="34" spans="1:25" ht="30" x14ac:dyDescent="0.25">
      <c r="A34" s="76" t="s">
        <v>81</v>
      </c>
      <c r="B34" s="72">
        <v>48</v>
      </c>
      <c r="C34" s="72">
        <v>65</v>
      </c>
      <c r="D34" s="72" t="s">
        <v>1316</v>
      </c>
      <c r="E34" s="72" t="s">
        <v>1253</v>
      </c>
      <c r="F34" s="72" t="s">
        <v>1254</v>
      </c>
      <c r="G34" s="73" t="s">
        <v>117</v>
      </c>
      <c r="H34" s="72">
        <v>65</v>
      </c>
      <c r="I34" s="72" t="s">
        <v>1314</v>
      </c>
      <c r="J34" s="74" t="s">
        <v>117</v>
      </c>
      <c r="K34" s="74" t="s">
        <v>1317</v>
      </c>
      <c r="L34" s="74" t="s">
        <v>545</v>
      </c>
      <c r="M34" s="74" t="s">
        <v>546</v>
      </c>
      <c r="N34" s="74">
        <v>1</v>
      </c>
      <c r="O34" s="74" t="s">
        <v>566</v>
      </c>
      <c r="P34" s="74" t="s">
        <v>1316</v>
      </c>
      <c r="Q34" s="74"/>
      <c r="R34" s="74"/>
      <c r="S34" s="74"/>
      <c r="T34" s="74"/>
      <c r="U34" s="74">
        <v>0</v>
      </c>
      <c r="V34" s="74"/>
      <c r="W34" s="74" t="s">
        <v>549</v>
      </c>
      <c r="X34" s="74">
        <v>1</v>
      </c>
      <c r="Y34" s="77" t="s">
        <v>613</v>
      </c>
    </row>
    <row r="35" spans="1:25" ht="30" x14ac:dyDescent="0.25">
      <c r="A35" s="76" t="s">
        <v>81</v>
      </c>
      <c r="B35" s="72">
        <v>49</v>
      </c>
      <c r="C35" s="72">
        <v>66</v>
      </c>
      <c r="D35" s="72" t="s">
        <v>1318</v>
      </c>
      <c r="E35" s="72" t="s">
        <v>1253</v>
      </c>
      <c r="F35" s="72" t="s">
        <v>1254</v>
      </c>
      <c r="G35" s="73" t="s">
        <v>118</v>
      </c>
      <c r="H35" s="72">
        <v>66</v>
      </c>
      <c r="I35" s="72" t="s">
        <v>1314</v>
      </c>
      <c r="J35" s="74" t="s">
        <v>118</v>
      </c>
      <c r="K35" s="74" t="s">
        <v>1319</v>
      </c>
      <c r="L35" s="74" t="s">
        <v>545</v>
      </c>
      <c r="M35" s="74" t="s">
        <v>546</v>
      </c>
      <c r="N35" s="74">
        <v>1</v>
      </c>
      <c r="O35" s="74" t="s">
        <v>566</v>
      </c>
      <c r="P35" s="74" t="s">
        <v>1318</v>
      </c>
      <c r="Q35" s="74"/>
      <c r="R35" s="74"/>
      <c r="S35" s="74"/>
      <c r="T35" s="74"/>
      <c r="U35" s="74">
        <v>0</v>
      </c>
      <c r="V35" s="74"/>
      <c r="W35" s="74" t="s">
        <v>549</v>
      </c>
      <c r="X35" s="74">
        <v>1</v>
      </c>
      <c r="Y35" s="77" t="s">
        <v>613</v>
      </c>
    </row>
    <row r="36" spans="1:25" ht="60" x14ac:dyDescent="0.25">
      <c r="A36" s="76" t="s">
        <v>81</v>
      </c>
      <c r="B36" s="72">
        <v>50</v>
      </c>
      <c r="C36" s="72">
        <v>67</v>
      </c>
      <c r="D36" s="72" t="s">
        <v>1320</v>
      </c>
      <c r="E36" s="72" t="s">
        <v>1253</v>
      </c>
      <c r="F36" s="72" t="s">
        <v>1321</v>
      </c>
      <c r="G36" s="73" t="s">
        <v>122</v>
      </c>
      <c r="H36" s="72">
        <v>67</v>
      </c>
      <c r="I36" s="72" t="s">
        <v>1322</v>
      </c>
      <c r="J36" s="74" t="s">
        <v>122</v>
      </c>
      <c r="K36" s="74" t="s">
        <v>1323</v>
      </c>
      <c r="L36" s="74" t="s">
        <v>545</v>
      </c>
      <c r="M36" s="74" t="s">
        <v>546</v>
      </c>
      <c r="N36" s="74">
        <v>1</v>
      </c>
      <c r="O36" s="74" t="s">
        <v>566</v>
      </c>
      <c r="P36" s="74" t="s">
        <v>1323</v>
      </c>
      <c r="Q36" s="74"/>
      <c r="R36" s="74"/>
      <c r="S36" s="74"/>
      <c r="T36" s="74"/>
      <c r="U36" s="74">
        <v>0</v>
      </c>
      <c r="V36" s="74"/>
      <c r="W36" s="74" t="s">
        <v>549</v>
      </c>
      <c r="X36" s="74">
        <v>1</v>
      </c>
      <c r="Y36" s="77" t="s">
        <v>686</v>
      </c>
    </row>
    <row r="37" spans="1:25" ht="60" x14ac:dyDescent="0.25">
      <c r="A37" s="76" t="s">
        <v>81</v>
      </c>
      <c r="B37" s="72">
        <v>51</v>
      </c>
      <c r="C37" s="72">
        <v>68</v>
      </c>
      <c r="D37" s="72" t="s">
        <v>1324</v>
      </c>
      <c r="E37" s="72" t="s">
        <v>1253</v>
      </c>
      <c r="F37" s="72" t="s">
        <v>1321</v>
      </c>
      <c r="G37" s="73" t="s">
        <v>124</v>
      </c>
      <c r="H37" s="72">
        <v>68</v>
      </c>
      <c r="I37" s="72" t="s">
        <v>1322</v>
      </c>
      <c r="J37" s="74" t="s">
        <v>124</v>
      </c>
      <c r="K37" s="74" t="s">
        <v>1325</v>
      </c>
      <c r="L37" s="74" t="s">
        <v>545</v>
      </c>
      <c r="M37" s="74" t="s">
        <v>546</v>
      </c>
      <c r="N37" s="74">
        <v>1</v>
      </c>
      <c r="O37" s="74" t="s">
        <v>566</v>
      </c>
      <c r="P37" s="74" t="s">
        <v>1325</v>
      </c>
      <c r="Q37" s="74"/>
      <c r="R37" s="74"/>
      <c r="S37" s="74"/>
      <c r="T37" s="74"/>
      <c r="U37" s="74">
        <v>0</v>
      </c>
      <c r="V37" s="74"/>
      <c r="W37" s="74" t="s">
        <v>549</v>
      </c>
      <c r="X37" s="74">
        <v>1</v>
      </c>
      <c r="Y37" s="77" t="s">
        <v>686</v>
      </c>
    </row>
    <row r="38" spans="1:25" ht="60" x14ac:dyDescent="0.25">
      <c r="A38" s="76" t="s">
        <v>81</v>
      </c>
      <c r="B38" s="72">
        <v>52</v>
      </c>
      <c r="C38" s="72">
        <v>69</v>
      </c>
      <c r="D38" s="72" t="s">
        <v>1326</v>
      </c>
      <c r="E38" s="72" t="s">
        <v>1253</v>
      </c>
      <c r="F38" s="72" t="s">
        <v>1321</v>
      </c>
      <c r="G38" s="73" t="s">
        <v>128</v>
      </c>
      <c r="H38" s="72">
        <v>69</v>
      </c>
      <c r="I38" s="72" t="s">
        <v>1327</v>
      </c>
      <c r="J38" s="74" t="s">
        <v>128</v>
      </c>
      <c r="K38" s="74" t="s">
        <v>1328</v>
      </c>
      <c r="L38" s="74" t="s">
        <v>545</v>
      </c>
      <c r="M38" s="74" t="s">
        <v>546</v>
      </c>
      <c r="N38" s="74">
        <v>1</v>
      </c>
      <c r="O38" s="74" t="s">
        <v>566</v>
      </c>
      <c r="P38" s="74" t="s">
        <v>1328</v>
      </c>
      <c r="Q38" s="74"/>
      <c r="R38" s="74"/>
      <c r="S38" s="74"/>
      <c r="T38" s="74"/>
      <c r="U38" s="74">
        <v>0</v>
      </c>
      <c r="V38" s="74"/>
      <c r="W38" s="74" t="s">
        <v>549</v>
      </c>
      <c r="X38" s="74">
        <v>1</v>
      </c>
      <c r="Y38" s="77" t="s">
        <v>1067</v>
      </c>
    </row>
    <row r="39" spans="1:25" ht="45" x14ac:dyDescent="0.25">
      <c r="A39" s="76" t="s">
        <v>130</v>
      </c>
      <c r="B39" s="72">
        <v>53</v>
      </c>
      <c r="C39" s="72">
        <v>72</v>
      </c>
      <c r="D39" s="72" t="s">
        <v>1329</v>
      </c>
      <c r="E39" s="72" t="s">
        <v>1330</v>
      </c>
      <c r="F39" s="72" t="s">
        <v>1331</v>
      </c>
      <c r="G39" s="73" t="s">
        <v>84</v>
      </c>
      <c r="H39" s="72">
        <v>72</v>
      </c>
      <c r="I39" s="72" t="s">
        <v>1332</v>
      </c>
      <c r="J39" s="74" t="s">
        <v>84</v>
      </c>
      <c r="K39" s="74" t="s">
        <v>611</v>
      </c>
      <c r="L39" s="74" t="s">
        <v>545</v>
      </c>
      <c r="M39" s="74" t="s">
        <v>546</v>
      </c>
      <c r="N39" s="74">
        <v>5</v>
      </c>
      <c r="O39" s="74" t="s">
        <v>566</v>
      </c>
      <c r="P39" s="74" t="s">
        <v>618</v>
      </c>
      <c r="Q39" s="74"/>
      <c r="R39" s="74"/>
      <c r="S39" s="74">
        <v>0</v>
      </c>
      <c r="T39" s="75">
        <v>44927</v>
      </c>
      <c r="U39" s="74">
        <v>0</v>
      </c>
      <c r="V39" s="74"/>
      <c r="W39" s="74" t="s">
        <v>549</v>
      </c>
      <c r="X39" s="74">
        <v>1</v>
      </c>
      <c r="Y39" s="77" t="s">
        <v>619</v>
      </c>
    </row>
    <row r="40" spans="1:25" ht="45" x14ac:dyDescent="0.25">
      <c r="A40" s="76" t="s">
        <v>130</v>
      </c>
      <c r="B40" s="72">
        <v>54</v>
      </c>
      <c r="C40" s="72">
        <v>73</v>
      </c>
      <c r="D40" s="72" t="s">
        <v>1333</v>
      </c>
      <c r="E40" s="72" t="s">
        <v>1330</v>
      </c>
      <c r="F40" s="72" t="s">
        <v>1331</v>
      </c>
      <c r="G40" s="73" t="s">
        <v>85</v>
      </c>
      <c r="H40" s="72">
        <v>73</v>
      </c>
      <c r="I40" s="72" t="s">
        <v>1332</v>
      </c>
      <c r="J40" s="74" t="s">
        <v>85</v>
      </c>
      <c r="K40" s="74" t="s">
        <v>1026</v>
      </c>
      <c r="L40" s="74" t="s">
        <v>545</v>
      </c>
      <c r="M40" s="74" t="s">
        <v>546</v>
      </c>
      <c r="N40" s="74">
        <v>5</v>
      </c>
      <c r="O40" s="74" t="s">
        <v>566</v>
      </c>
      <c r="P40" s="74" t="s">
        <v>618</v>
      </c>
      <c r="Q40" s="74"/>
      <c r="R40" s="74"/>
      <c r="S40" s="74">
        <v>0</v>
      </c>
      <c r="T40" s="75">
        <v>46023</v>
      </c>
      <c r="U40" s="74">
        <v>0</v>
      </c>
      <c r="V40" s="74"/>
      <c r="W40" s="74" t="s">
        <v>549</v>
      </c>
      <c r="X40" s="74">
        <v>1</v>
      </c>
      <c r="Y40" s="77" t="s">
        <v>619</v>
      </c>
    </row>
    <row r="41" spans="1:25" ht="30" x14ac:dyDescent="0.25">
      <c r="A41" s="76" t="s">
        <v>130</v>
      </c>
      <c r="B41" s="72">
        <v>55</v>
      </c>
      <c r="C41" s="72">
        <v>74</v>
      </c>
      <c r="D41" s="72" t="s">
        <v>1260</v>
      </c>
      <c r="E41" s="72" t="s">
        <v>1253</v>
      </c>
      <c r="F41" s="72" t="s">
        <v>1254</v>
      </c>
      <c r="G41" s="73" t="s">
        <v>86</v>
      </c>
      <c r="H41" s="72">
        <v>74</v>
      </c>
      <c r="I41" s="72" t="s">
        <v>1332</v>
      </c>
      <c r="J41" s="74" t="s">
        <v>86</v>
      </c>
      <c r="K41" s="74" t="s">
        <v>1262</v>
      </c>
      <c r="L41" s="74" t="s">
        <v>545</v>
      </c>
      <c r="M41" s="74" t="s">
        <v>546</v>
      </c>
      <c r="N41" s="74">
        <v>1</v>
      </c>
      <c r="O41" s="74" t="s">
        <v>566</v>
      </c>
      <c r="P41" s="74" t="s">
        <v>1260</v>
      </c>
      <c r="Q41" s="74"/>
      <c r="R41" s="74"/>
      <c r="S41" s="74"/>
      <c r="T41" s="74"/>
      <c r="U41" s="74">
        <v>0</v>
      </c>
      <c r="V41" s="74"/>
      <c r="W41" s="74" t="s">
        <v>549</v>
      </c>
      <c r="X41" s="74">
        <v>1</v>
      </c>
      <c r="Y41" s="77" t="s">
        <v>613</v>
      </c>
    </row>
    <row r="42" spans="1:25" ht="45" x14ac:dyDescent="0.25">
      <c r="A42" s="76" t="s">
        <v>130</v>
      </c>
      <c r="B42" s="72">
        <v>56</v>
      </c>
      <c r="C42" s="72">
        <v>75</v>
      </c>
      <c r="D42" s="72" t="s">
        <v>1334</v>
      </c>
      <c r="E42" s="72" t="s">
        <v>1330</v>
      </c>
      <c r="F42" s="72" t="s">
        <v>1331</v>
      </c>
      <c r="G42" s="73" t="s">
        <v>88</v>
      </c>
      <c r="H42" s="72">
        <v>75</v>
      </c>
      <c r="I42" s="72" t="s">
        <v>1335</v>
      </c>
      <c r="J42" s="74" t="s">
        <v>88</v>
      </c>
      <c r="K42" s="74" t="s">
        <v>1031</v>
      </c>
      <c r="L42" s="74" t="s">
        <v>545</v>
      </c>
      <c r="M42" s="74" t="s">
        <v>546</v>
      </c>
      <c r="N42" s="74">
        <v>5</v>
      </c>
      <c r="O42" s="74" t="s">
        <v>547</v>
      </c>
      <c r="P42" s="74" t="s">
        <v>1034</v>
      </c>
      <c r="Q42" s="74"/>
      <c r="R42" s="74"/>
      <c r="S42" s="74">
        <v>6.4</v>
      </c>
      <c r="T42" s="75">
        <v>46023</v>
      </c>
      <c r="U42" s="74">
        <v>0</v>
      </c>
      <c r="V42" s="74"/>
      <c r="W42" s="74" t="s">
        <v>549</v>
      </c>
      <c r="X42" s="74">
        <v>1</v>
      </c>
      <c r="Y42" s="77" t="s">
        <v>552</v>
      </c>
    </row>
    <row r="43" spans="1:25" ht="45" x14ac:dyDescent="0.25">
      <c r="A43" s="76" t="s">
        <v>130</v>
      </c>
      <c r="B43" s="72">
        <v>57</v>
      </c>
      <c r="C43" s="72">
        <v>76</v>
      </c>
      <c r="D43" s="72" t="s">
        <v>1336</v>
      </c>
      <c r="E43" s="72" t="s">
        <v>1330</v>
      </c>
      <c r="F43" s="72" t="s">
        <v>1331</v>
      </c>
      <c r="G43" s="73" t="s">
        <v>89</v>
      </c>
      <c r="H43" s="72">
        <v>76</v>
      </c>
      <c r="I43" s="72" t="s">
        <v>1335</v>
      </c>
      <c r="J43" s="74" t="s">
        <v>89</v>
      </c>
      <c r="K43" s="74" t="s">
        <v>1027</v>
      </c>
      <c r="L43" s="74" t="s">
        <v>545</v>
      </c>
      <c r="M43" s="74" t="s">
        <v>546</v>
      </c>
      <c r="N43" s="74">
        <v>5</v>
      </c>
      <c r="O43" s="74" t="s">
        <v>547</v>
      </c>
      <c r="P43" s="74" t="s">
        <v>1030</v>
      </c>
      <c r="Q43" s="74"/>
      <c r="R43" s="74"/>
      <c r="S43" s="74">
        <v>6.4</v>
      </c>
      <c r="T43" s="75">
        <v>46023</v>
      </c>
      <c r="U43" s="74">
        <v>0</v>
      </c>
      <c r="V43" s="74"/>
      <c r="W43" s="74" t="s">
        <v>549</v>
      </c>
      <c r="X43" s="74">
        <v>1</v>
      </c>
      <c r="Y43" s="77" t="s">
        <v>552</v>
      </c>
    </row>
    <row r="44" spans="1:25" ht="30" x14ac:dyDescent="0.25">
      <c r="A44" s="76" t="s">
        <v>130</v>
      </c>
      <c r="B44" s="72">
        <v>58</v>
      </c>
      <c r="C44" s="72">
        <v>77</v>
      </c>
      <c r="D44" s="72" t="s">
        <v>1276</v>
      </c>
      <c r="E44" s="72" t="s">
        <v>1253</v>
      </c>
      <c r="F44" s="72" t="s">
        <v>1254</v>
      </c>
      <c r="G44" s="73" t="s">
        <v>90</v>
      </c>
      <c r="H44" s="72">
        <v>77</v>
      </c>
      <c r="I44" s="72" t="s">
        <v>1335</v>
      </c>
      <c r="J44" s="74" t="s">
        <v>90</v>
      </c>
      <c r="K44" s="74" t="s">
        <v>1278</v>
      </c>
      <c r="L44" s="74" t="s">
        <v>545</v>
      </c>
      <c r="M44" s="74" t="s">
        <v>546</v>
      </c>
      <c r="N44" s="74">
        <v>1</v>
      </c>
      <c r="O44" s="74" t="s">
        <v>566</v>
      </c>
      <c r="P44" s="74" t="s">
        <v>1276</v>
      </c>
      <c r="Q44" s="74"/>
      <c r="R44" s="74"/>
      <c r="S44" s="74"/>
      <c r="T44" s="74"/>
      <c r="U44" s="74">
        <v>0</v>
      </c>
      <c r="V44" s="74"/>
      <c r="W44" s="74" t="s">
        <v>549</v>
      </c>
      <c r="X44" s="74">
        <v>1</v>
      </c>
      <c r="Y44" s="77" t="s">
        <v>613</v>
      </c>
    </row>
    <row r="45" spans="1:25" ht="45" x14ac:dyDescent="0.25">
      <c r="A45" s="76" t="s">
        <v>130</v>
      </c>
      <c r="B45" s="72">
        <v>59</v>
      </c>
      <c r="C45" s="72">
        <v>78</v>
      </c>
      <c r="D45" s="72" t="s">
        <v>1337</v>
      </c>
      <c r="E45" s="72" t="s">
        <v>1330</v>
      </c>
      <c r="F45" s="72" t="s">
        <v>1331</v>
      </c>
      <c r="G45" s="73" t="s">
        <v>92</v>
      </c>
      <c r="H45" s="72">
        <v>78</v>
      </c>
      <c r="I45" s="72" t="s">
        <v>1338</v>
      </c>
      <c r="J45" s="74" t="s">
        <v>92</v>
      </c>
      <c r="K45" s="74" t="s">
        <v>1042</v>
      </c>
      <c r="L45" s="74" t="s">
        <v>545</v>
      </c>
      <c r="M45" s="74" t="s">
        <v>546</v>
      </c>
      <c r="N45" s="74">
        <v>5</v>
      </c>
      <c r="O45" s="74" t="s">
        <v>547</v>
      </c>
      <c r="P45" s="74" t="s">
        <v>1045</v>
      </c>
      <c r="Q45" s="74"/>
      <c r="R45" s="74"/>
      <c r="S45" s="74">
        <v>8</v>
      </c>
      <c r="T45" s="75">
        <v>46023</v>
      </c>
      <c r="U45" s="74">
        <v>0</v>
      </c>
      <c r="V45" s="74"/>
      <c r="W45" s="74" t="s">
        <v>549</v>
      </c>
      <c r="X45" s="74">
        <v>1</v>
      </c>
      <c r="Y45" s="77" t="s">
        <v>562</v>
      </c>
    </row>
    <row r="46" spans="1:25" ht="45" x14ac:dyDescent="0.25">
      <c r="A46" s="76" t="s">
        <v>130</v>
      </c>
      <c r="B46" s="72">
        <v>60</v>
      </c>
      <c r="C46" s="72">
        <v>79</v>
      </c>
      <c r="D46" s="72" t="s">
        <v>1339</v>
      </c>
      <c r="E46" s="72" t="s">
        <v>1330</v>
      </c>
      <c r="F46" s="72" t="s">
        <v>1331</v>
      </c>
      <c r="G46" s="73" t="s">
        <v>93</v>
      </c>
      <c r="H46" s="72">
        <v>79</v>
      </c>
      <c r="I46" s="72" t="s">
        <v>1338</v>
      </c>
      <c r="J46" s="74" t="s">
        <v>93</v>
      </c>
      <c r="K46" s="74" t="s">
        <v>1038</v>
      </c>
      <c r="L46" s="74" t="s">
        <v>545</v>
      </c>
      <c r="M46" s="74" t="s">
        <v>546</v>
      </c>
      <c r="N46" s="74">
        <v>5</v>
      </c>
      <c r="O46" s="74" t="s">
        <v>547</v>
      </c>
      <c r="P46" s="74" t="s">
        <v>1041</v>
      </c>
      <c r="Q46" s="74"/>
      <c r="R46" s="74"/>
      <c r="S46" s="74">
        <v>8</v>
      </c>
      <c r="T46" s="75">
        <v>46023</v>
      </c>
      <c r="U46" s="74">
        <v>0</v>
      </c>
      <c r="V46" s="74"/>
      <c r="W46" s="74" t="s">
        <v>549</v>
      </c>
      <c r="X46" s="74">
        <v>1</v>
      </c>
      <c r="Y46" s="77" t="s">
        <v>562</v>
      </c>
    </row>
    <row r="47" spans="1:25" ht="30" x14ac:dyDescent="0.25">
      <c r="A47" s="76" t="s">
        <v>130</v>
      </c>
      <c r="B47" s="72">
        <v>61</v>
      </c>
      <c r="C47" s="72">
        <v>80</v>
      </c>
      <c r="D47" s="72" t="s">
        <v>1279</v>
      </c>
      <c r="E47" s="72" t="s">
        <v>1253</v>
      </c>
      <c r="F47" s="72" t="s">
        <v>1254</v>
      </c>
      <c r="G47" s="73" t="s">
        <v>94</v>
      </c>
      <c r="H47" s="72">
        <v>80</v>
      </c>
      <c r="I47" s="72" t="s">
        <v>1338</v>
      </c>
      <c r="J47" s="74" t="s">
        <v>94</v>
      </c>
      <c r="K47" s="74" t="s">
        <v>1281</v>
      </c>
      <c r="L47" s="74" t="s">
        <v>545</v>
      </c>
      <c r="M47" s="74" t="s">
        <v>546</v>
      </c>
      <c r="N47" s="74">
        <v>1</v>
      </c>
      <c r="O47" s="74" t="s">
        <v>566</v>
      </c>
      <c r="P47" s="74" t="s">
        <v>1279</v>
      </c>
      <c r="Q47" s="74"/>
      <c r="R47" s="74"/>
      <c r="S47" s="74"/>
      <c r="T47" s="74"/>
      <c r="U47" s="74">
        <v>0</v>
      </c>
      <c r="V47" s="74"/>
      <c r="W47" s="74" t="s">
        <v>549</v>
      </c>
      <c r="X47" s="74">
        <v>1</v>
      </c>
      <c r="Y47" s="77" t="s">
        <v>613</v>
      </c>
    </row>
    <row r="48" spans="1:25" ht="45" x14ac:dyDescent="0.25">
      <c r="A48" s="76" t="s">
        <v>130</v>
      </c>
      <c r="B48" s="72">
        <v>62</v>
      </c>
      <c r="C48" s="72">
        <v>81</v>
      </c>
      <c r="D48" s="72" t="s">
        <v>1340</v>
      </c>
      <c r="E48" s="72" t="s">
        <v>1330</v>
      </c>
      <c r="F48" s="72" t="s">
        <v>1331</v>
      </c>
      <c r="G48" s="73" t="s">
        <v>96</v>
      </c>
      <c r="H48" s="72">
        <v>81</v>
      </c>
      <c r="I48" s="72" t="s">
        <v>1341</v>
      </c>
      <c r="J48" s="74" t="s">
        <v>96</v>
      </c>
      <c r="K48" s="74" t="s">
        <v>1014</v>
      </c>
      <c r="L48" s="74" t="s">
        <v>545</v>
      </c>
      <c r="M48" s="74" t="s">
        <v>546</v>
      </c>
      <c r="N48" s="74">
        <v>5</v>
      </c>
      <c r="O48" s="74" t="s">
        <v>547</v>
      </c>
      <c r="P48" s="74" t="s">
        <v>1013</v>
      </c>
      <c r="Q48" s="74"/>
      <c r="R48" s="74"/>
      <c r="S48" s="74">
        <v>4.8</v>
      </c>
      <c r="T48" s="75">
        <v>46023</v>
      </c>
      <c r="U48" s="74">
        <v>0</v>
      </c>
      <c r="V48" s="74"/>
      <c r="W48" s="74" t="s">
        <v>549</v>
      </c>
      <c r="X48" s="74">
        <v>1</v>
      </c>
      <c r="Y48" s="77" t="s">
        <v>552</v>
      </c>
    </row>
    <row r="49" spans="1:25" ht="45" x14ac:dyDescent="0.25">
      <c r="A49" s="76" t="s">
        <v>130</v>
      </c>
      <c r="B49" s="72">
        <v>63</v>
      </c>
      <c r="C49" s="72">
        <v>82</v>
      </c>
      <c r="D49" s="72" t="s">
        <v>1342</v>
      </c>
      <c r="E49" s="72" t="s">
        <v>1330</v>
      </c>
      <c r="F49" s="72" t="s">
        <v>1331</v>
      </c>
      <c r="G49" s="73" t="s">
        <v>97</v>
      </c>
      <c r="H49" s="72">
        <v>82</v>
      </c>
      <c r="I49" s="72" t="s">
        <v>1341</v>
      </c>
      <c r="J49" s="74" t="s">
        <v>97</v>
      </c>
      <c r="K49" s="74" t="s">
        <v>1010</v>
      </c>
      <c r="L49" s="74" t="s">
        <v>545</v>
      </c>
      <c r="M49" s="74" t="s">
        <v>546</v>
      </c>
      <c r="N49" s="74">
        <v>5</v>
      </c>
      <c r="O49" s="74" t="s">
        <v>547</v>
      </c>
      <c r="P49" s="74" t="s">
        <v>1013</v>
      </c>
      <c r="Q49" s="74"/>
      <c r="R49" s="74"/>
      <c r="S49" s="74">
        <v>4.8</v>
      </c>
      <c r="T49" s="75">
        <v>46023</v>
      </c>
      <c r="U49" s="74">
        <v>0</v>
      </c>
      <c r="V49" s="74"/>
      <c r="W49" s="74" t="s">
        <v>549</v>
      </c>
      <c r="X49" s="74">
        <v>1</v>
      </c>
      <c r="Y49" s="77" t="s">
        <v>552</v>
      </c>
    </row>
    <row r="50" spans="1:25" ht="30" x14ac:dyDescent="0.25">
      <c r="A50" s="76" t="s">
        <v>130</v>
      </c>
      <c r="B50" s="72">
        <v>64</v>
      </c>
      <c r="C50" s="72">
        <v>83</v>
      </c>
      <c r="D50" s="72" t="s">
        <v>1282</v>
      </c>
      <c r="E50" s="72" t="s">
        <v>1253</v>
      </c>
      <c r="F50" s="72" t="s">
        <v>1254</v>
      </c>
      <c r="G50" s="73" t="s">
        <v>98</v>
      </c>
      <c r="H50" s="72">
        <v>83</v>
      </c>
      <c r="I50" s="72" t="s">
        <v>1341</v>
      </c>
      <c r="J50" s="74" t="s">
        <v>98</v>
      </c>
      <c r="K50" s="74" t="s">
        <v>1284</v>
      </c>
      <c r="L50" s="74" t="s">
        <v>545</v>
      </c>
      <c r="M50" s="74" t="s">
        <v>546</v>
      </c>
      <c r="N50" s="74">
        <v>1</v>
      </c>
      <c r="O50" s="74" t="s">
        <v>566</v>
      </c>
      <c r="P50" s="74" t="s">
        <v>1282</v>
      </c>
      <c r="Q50" s="74"/>
      <c r="R50" s="74"/>
      <c r="S50" s="74"/>
      <c r="T50" s="74"/>
      <c r="U50" s="74">
        <v>0</v>
      </c>
      <c r="V50" s="74"/>
      <c r="W50" s="74" t="s">
        <v>549</v>
      </c>
      <c r="X50" s="74">
        <v>1</v>
      </c>
      <c r="Y50" s="77" t="s">
        <v>613</v>
      </c>
    </row>
    <row r="51" spans="1:25" ht="45" x14ac:dyDescent="0.25">
      <c r="A51" s="76" t="s">
        <v>130</v>
      </c>
      <c r="B51" s="72">
        <v>65</v>
      </c>
      <c r="C51" s="72">
        <v>84</v>
      </c>
      <c r="D51" s="72" t="s">
        <v>1343</v>
      </c>
      <c r="E51" s="72" t="s">
        <v>1253</v>
      </c>
      <c r="F51" s="72" t="s">
        <v>1344</v>
      </c>
      <c r="G51" s="73" t="s">
        <v>481</v>
      </c>
      <c r="H51" s="72">
        <v>84</v>
      </c>
      <c r="I51" s="72" t="s">
        <v>1345</v>
      </c>
      <c r="J51" s="74" t="s">
        <v>481</v>
      </c>
      <c r="K51" s="74" t="s">
        <v>1346</v>
      </c>
      <c r="L51" s="74" t="s">
        <v>545</v>
      </c>
      <c r="M51" s="74" t="s">
        <v>546</v>
      </c>
      <c r="N51" s="74">
        <v>1</v>
      </c>
      <c r="O51" s="74" t="s">
        <v>566</v>
      </c>
      <c r="P51" s="74" t="s">
        <v>1346</v>
      </c>
      <c r="Q51" s="74"/>
      <c r="R51" s="74"/>
      <c r="S51" s="74"/>
      <c r="T51" s="74"/>
      <c r="U51" s="74">
        <v>0</v>
      </c>
      <c r="V51" s="74"/>
      <c r="W51" s="74" t="s">
        <v>549</v>
      </c>
      <c r="X51" s="74">
        <v>1</v>
      </c>
      <c r="Y51" s="77" t="s">
        <v>686</v>
      </c>
    </row>
    <row r="52" spans="1:25" ht="45" x14ac:dyDescent="0.25">
      <c r="A52" s="76" t="s">
        <v>130</v>
      </c>
      <c r="B52" s="72">
        <v>66</v>
      </c>
      <c r="C52" s="72">
        <v>85</v>
      </c>
      <c r="D52" s="72" t="s">
        <v>1347</v>
      </c>
      <c r="E52" s="72" t="s">
        <v>1253</v>
      </c>
      <c r="F52" s="72" t="s">
        <v>1344</v>
      </c>
      <c r="G52" s="73" t="s">
        <v>133</v>
      </c>
      <c r="H52" s="72">
        <v>85</v>
      </c>
      <c r="I52" s="72" t="s">
        <v>1348</v>
      </c>
      <c r="J52" s="74" t="s">
        <v>133</v>
      </c>
      <c r="K52" s="74" t="s">
        <v>1349</v>
      </c>
      <c r="L52" s="74" t="s">
        <v>545</v>
      </c>
      <c r="M52" s="74" t="s">
        <v>546</v>
      </c>
      <c r="N52" s="74">
        <v>1</v>
      </c>
      <c r="O52" s="74" t="s">
        <v>566</v>
      </c>
      <c r="P52" s="74" t="s">
        <v>1349</v>
      </c>
      <c r="Q52" s="74"/>
      <c r="R52" s="74"/>
      <c r="S52" s="74"/>
      <c r="T52" s="74"/>
      <c r="U52" s="74">
        <v>0</v>
      </c>
      <c r="V52" s="74"/>
      <c r="W52" s="74" t="s">
        <v>549</v>
      </c>
      <c r="X52" s="74">
        <v>1</v>
      </c>
      <c r="Y52" s="77" t="s">
        <v>686</v>
      </c>
    </row>
    <row r="53" spans="1:25" ht="45" x14ac:dyDescent="0.25">
      <c r="A53" s="76" t="s">
        <v>130</v>
      </c>
      <c r="B53" s="72">
        <v>67</v>
      </c>
      <c r="C53" s="72">
        <v>86</v>
      </c>
      <c r="D53" s="72" t="s">
        <v>1350</v>
      </c>
      <c r="E53" s="72" t="s">
        <v>1253</v>
      </c>
      <c r="F53" s="72" t="s">
        <v>1344</v>
      </c>
      <c r="G53" s="73" t="s">
        <v>135</v>
      </c>
      <c r="H53" s="72">
        <v>86</v>
      </c>
      <c r="I53" s="72" t="s">
        <v>1345</v>
      </c>
      <c r="J53" s="74" t="s">
        <v>135</v>
      </c>
      <c r="K53" s="74" t="s">
        <v>1351</v>
      </c>
      <c r="L53" s="74" t="s">
        <v>545</v>
      </c>
      <c r="M53" s="74" t="s">
        <v>546</v>
      </c>
      <c r="N53" s="74">
        <v>1</v>
      </c>
      <c r="O53" s="74" t="s">
        <v>566</v>
      </c>
      <c r="P53" s="74" t="s">
        <v>1351</v>
      </c>
      <c r="Q53" s="74"/>
      <c r="R53" s="74"/>
      <c r="S53" s="74"/>
      <c r="T53" s="74"/>
      <c r="U53" s="74">
        <v>0</v>
      </c>
      <c r="V53" s="74"/>
      <c r="W53" s="74" t="s">
        <v>549</v>
      </c>
      <c r="X53" s="74">
        <v>1</v>
      </c>
      <c r="Y53" s="77" t="s">
        <v>686</v>
      </c>
    </row>
    <row r="54" spans="1:25" ht="45" x14ac:dyDescent="0.25">
      <c r="A54" s="76" t="s">
        <v>137</v>
      </c>
      <c r="B54" s="72">
        <v>68</v>
      </c>
      <c r="C54" s="72">
        <v>89</v>
      </c>
      <c r="D54" s="72" t="s">
        <v>1329</v>
      </c>
      <c r="E54" s="72" t="s">
        <v>1253</v>
      </c>
      <c r="F54" s="72" t="s">
        <v>1352</v>
      </c>
      <c r="G54" s="73" t="s">
        <v>139</v>
      </c>
      <c r="H54" s="72">
        <v>89</v>
      </c>
      <c r="I54" s="72" t="s">
        <v>1353</v>
      </c>
      <c r="J54" s="74" t="s">
        <v>139</v>
      </c>
      <c r="K54" s="74" t="s">
        <v>1354</v>
      </c>
      <c r="L54" s="74" t="s">
        <v>545</v>
      </c>
      <c r="M54" s="74" t="s">
        <v>546</v>
      </c>
      <c r="N54" s="74">
        <v>1</v>
      </c>
      <c r="O54" s="74" t="s">
        <v>566</v>
      </c>
      <c r="P54" s="74" t="s">
        <v>612</v>
      </c>
      <c r="Q54" s="74"/>
      <c r="R54" s="74"/>
      <c r="S54" s="74">
        <v>0</v>
      </c>
      <c r="T54" s="75">
        <v>44927</v>
      </c>
      <c r="U54" s="74">
        <v>0</v>
      </c>
      <c r="V54" s="74"/>
      <c r="W54" s="74" t="s">
        <v>549</v>
      </c>
      <c r="X54" s="74">
        <v>1</v>
      </c>
      <c r="Y54" s="77" t="s">
        <v>613</v>
      </c>
    </row>
    <row r="55" spans="1:25" ht="45" x14ac:dyDescent="0.25">
      <c r="A55" s="76" t="s">
        <v>137</v>
      </c>
      <c r="B55" s="72">
        <v>69</v>
      </c>
      <c r="C55" s="72">
        <v>90</v>
      </c>
      <c r="D55" s="72" t="s">
        <v>1333</v>
      </c>
      <c r="E55" s="72" t="s">
        <v>1253</v>
      </c>
      <c r="F55" s="72" t="s">
        <v>1352</v>
      </c>
      <c r="G55" s="73" t="s">
        <v>140</v>
      </c>
      <c r="H55" s="72">
        <v>90</v>
      </c>
      <c r="I55" s="72" t="s">
        <v>1353</v>
      </c>
      <c r="J55" s="74" t="s">
        <v>140</v>
      </c>
      <c r="K55" s="74" t="s">
        <v>1355</v>
      </c>
      <c r="L55" s="74" t="s">
        <v>545</v>
      </c>
      <c r="M55" s="74" t="s">
        <v>546</v>
      </c>
      <c r="N55" s="74">
        <v>1</v>
      </c>
      <c r="O55" s="74" t="s">
        <v>566</v>
      </c>
      <c r="P55" s="74" t="s">
        <v>1024</v>
      </c>
      <c r="Q55" s="74"/>
      <c r="R55" s="74"/>
      <c r="S55" s="74">
        <v>0</v>
      </c>
      <c r="T55" s="75">
        <v>46023</v>
      </c>
      <c r="U55" s="74">
        <v>0</v>
      </c>
      <c r="V55" s="74"/>
      <c r="W55" s="74" t="s">
        <v>549</v>
      </c>
      <c r="X55" s="74">
        <v>1</v>
      </c>
      <c r="Y55" s="77" t="s">
        <v>613</v>
      </c>
    </row>
    <row r="56" spans="1:25" ht="45" x14ac:dyDescent="0.25">
      <c r="A56" s="76" t="s">
        <v>137</v>
      </c>
      <c r="B56" s="72">
        <v>70</v>
      </c>
      <c r="C56" s="72">
        <v>91</v>
      </c>
      <c r="D56" s="72" t="s">
        <v>1260</v>
      </c>
      <c r="E56" s="72" t="s">
        <v>1253</v>
      </c>
      <c r="F56" s="72" t="s">
        <v>1352</v>
      </c>
      <c r="G56" s="73" t="s">
        <v>141</v>
      </c>
      <c r="H56" s="72">
        <v>91</v>
      </c>
      <c r="I56" s="72" t="s">
        <v>1353</v>
      </c>
      <c r="J56" s="74" t="s">
        <v>141</v>
      </c>
      <c r="K56" s="74" t="s">
        <v>1356</v>
      </c>
      <c r="L56" s="74" t="s">
        <v>545</v>
      </c>
      <c r="M56" s="74" t="s">
        <v>546</v>
      </c>
      <c r="N56" s="74">
        <v>1</v>
      </c>
      <c r="O56" s="74" t="s">
        <v>566</v>
      </c>
      <c r="P56" s="74" t="s">
        <v>1260</v>
      </c>
      <c r="Q56" s="74"/>
      <c r="R56" s="74"/>
      <c r="S56" s="74"/>
      <c r="T56" s="74"/>
      <c r="U56" s="74">
        <v>0</v>
      </c>
      <c r="V56" s="74"/>
      <c r="W56" s="74" t="s">
        <v>549</v>
      </c>
      <c r="X56" s="74">
        <v>1</v>
      </c>
      <c r="Y56" s="77" t="s">
        <v>613</v>
      </c>
    </row>
    <row r="57" spans="1:25" ht="45" x14ac:dyDescent="0.25">
      <c r="A57" s="76" t="s">
        <v>137</v>
      </c>
      <c r="B57" s="72">
        <v>71</v>
      </c>
      <c r="C57" s="72">
        <v>92</v>
      </c>
      <c r="D57" s="72" t="s">
        <v>1334</v>
      </c>
      <c r="E57" s="72" t="s">
        <v>1253</v>
      </c>
      <c r="F57" s="72" t="s">
        <v>1352</v>
      </c>
      <c r="G57" s="73" t="s">
        <v>142</v>
      </c>
      <c r="H57" s="72">
        <v>92</v>
      </c>
      <c r="I57" s="72" t="s">
        <v>1357</v>
      </c>
      <c r="J57" s="74" t="s">
        <v>142</v>
      </c>
      <c r="K57" s="74" t="s">
        <v>1358</v>
      </c>
      <c r="L57" s="74" t="s">
        <v>545</v>
      </c>
      <c r="M57" s="74" t="s">
        <v>546</v>
      </c>
      <c r="N57" s="74">
        <v>1</v>
      </c>
      <c r="O57" s="74" t="s">
        <v>547</v>
      </c>
      <c r="P57" s="74" t="s">
        <v>1032</v>
      </c>
      <c r="Q57" s="74"/>
      <c r="R57" s="74"/>
      <c r="S57" s="74">
        <v>6.4</v>
      </c>
      <c r="T57" s="75">
        <v>46023</v>
      </c>
      <c r="U57" s="74">
        <v>0</v>
      </c>
      <c r="V57" s="74"/>
      <c r="W57" s="74" t="s">
        <v>549</v>
      </c>
      <c r="X57" s="74">
        <v>1</v>
      </c>
      <c r="Y57" s="77" t="s">
        <v>613</v>
      </c>
    </row>
    <row r="58" spans="1:25" ht="45" x14ac:dyDescent="0.25">
      <c r="A58" s="76" t="s">
        <v>137</v>
      </c>
      <c r="B58" s="72">
        <v>72</v>
      </c>
      <c r="C58" s="72">
        <v>93</v>
      </c>
      <c r="D58" s="72" t="s">
        <v>1336</v>
      </c>
      <c r="E58" s="72" t="s">
        <v>1253</v>
      </c>
      <c r="F58" s="72" t="s">
        <v>1352</v>
      </c>
      <c r="G58" s="73" t="s">
        <v>143</v>
      </c>
      <c r="H58" s="72">
        <v>93</v>
      </c>
      <c r="I58" s="72" t="s">
        <v>1357</v>
      </c>
      <c r="J58" s="74" t="s">
        <v>143</v>
      </c>
      <c r="K58" s="74" t="s">
        <v>1359</v>
      </c>
      <c r="L58" s="74" t="s">
        <v>545</v>
      </c>
      <c r="M58" s="74" t="s">
        <v>546</v>
      </c>
      <c r="N58" s="74">
        <v>1</v>
      </c>
      <c r="O58" s="74" t="s">
        <v>547</v>
      </c>
      <c r="P58" s="74" t="s">
        <v>1028</v>
      </c>
      <c r="Q58" s="74"/>
      <c r="R58" s="74"/>
      <c r="S58" s="74">
        <v>6.4</v>
      </c>
      <c r="T58" s="75">
        <v>46023</v>
      </c>
      <c r="U58" s="74">
        <v>0</v>
      </c>
      <c r="V58" s="74"/>
      <c r="W58" s="74" t="s">
        <v>549</v>
      </c>
      <c r="X58" s="74">
        <v>1</v>
      </c>
      <c r="Y58" s="77" t="s">
        <v>613</v>
      </c>
    </row>
    <row r="59" spans="1:25" ht="45" x14ac:dyDescent="0.25">
      <c r="A59" s="76" t="s">
        <v>137</v>
      </c>
      <c r="B59" s="72">
        <v>73</v>
      </c>
      <c r="C59" s="72">
        <v>94</v>
      </c>
      <c r="D59" s="72" t="s">
        <v>1276</v>
      </c>
      <c r="E59" s="72" t="s">
        <v>1253</v>
      </c>
      <c r="F59" s="72" t="s">
        <v>1352</v>
      </c>
      <c r="G59" s="73" t="s">
        <v>144</v>
      </c>
      <c r="H59" s="72">
        <v>94</v>
      </c>
      <c r="I59" s="72" t="s">
        <v>1357</v>
      </c>
      <c r="J59" s="74" t="s">
        <v>144</v>
      </c>
      <c r="K59" s="74" t="s">
        <v>1360</v>
      </c>
      <c r="L59" s="74" t="s">
        <v>545</v>
      </c>
      <c r="M59" s="74" t="s">
        <v>546</v>
      </c>
      <c r="N59" s="74">
        <v>1</v>
      </c>
      <c r="O59" s="74" t="s">
        <v>566</v>
      </c>
      <c r="P59" s="74" t="s">
        <v>1276</v>
      </c>
      <c r="Q59" s="74"/>
      <c r="R59" s="74"/>
      <c r="S59" s="74"/>
      <c r="T59" s="74"/>
      <c r="U59" s="74">
        <v>0</v>
      </c>
      <c r="V59" s="74"/>
      <c r="W59" s="74" t="s">
        <v>549</v>
      </c>
      <c r="X59" s="74">
        <v>1</v>
      </c>
      <c r="Y59" s="77" t="s">
        <v>613</v>
      </c>
    </row>
    <row r="60" spans="1:25" ht="45" x14ac:dyDescent="0.25">
      <c r="A60" s="76" t="s">
        <v>137</v>
      </c>
      <c r="B60" s="72">
        <v>74</v>
      </c>
      <c r="C60" s="72">
        <v>95</v>
      </c>
      <c r="D60" s="72" t="s">
        <v>1337</v>
      </c>
      <c r="E60" s="72" t="s">
        <v>1253</v>
      </c>
      <c r="F60" s="72" t="s">
        <v>1352</v>
      </c>
      <c r="G60" s="73" t="s">
        <v>145</v>
      </c>
      <c r="H60" s="72">
        <v>95</v>
      </c>
      <c r="I60" s="72" t="s">
        <v>1361</v>
      </c>
      <c r="J60" s="74" t="s">
        <v>145</v>
      </c>
      <c r="K60" s="74" t="s">
        <v>1362</v>
      </c>
      <c r="L60" s="74" t="s">
        <v>545</v>
      </c>
      <c r="M60" s="74" t="s">
        <v>546</v>
      </c>
      <c r="N60" s="74">
        <v>1</v>
      </c>
      <c r="O60" s="74" t="s">
        <v>547</v>
      </c>
      <c r="P60" s="74" t="s">
        <v>1043</v>
      </c>
      <c r="Q60" s="74"/>
      <c r="R60" s="74"/>
      <c r="S60" s="74">
        <v>8</v>
      </c>
      <c r="T60" s="75">
        <v>46023</v>
      </c>
      <c r="U60" s="74">
        <v>0</v>
      </c>
      <c r="V60" s="74"/>
      <c r="W60" s="74" t="s">
        <v>549</v>
      </c>
      <c r="X60" s="74">
        <v>1</v>
      </c>
      <c r="Y60" s="77" t="s">
        <v>613</v>
      </c>
    </row>
    <row r="61" spans="1:25" ht="45" x14ac:dyDescent="0.25">
      <c r="A61" s="76" t="s">
        <v>137</v>
      </c>
      <c r="B61" s="72">
        <v>75</v>
      </c>
      <c r="C61" s="72">
        <v>96</v>
      </c>
      <c r="D61" s="72" t="s">
        <v>1339</v>
      </c>
      <c r="E61" s="72" t="s">
        <v>1253</v>
      </c>
      <c r="F61" s="72" t="s">
        <v>1352</v>
      </c>
      <c r="G61" s="73" t="s">
        <v>146</v>
      </c>
      <c r="H61" s="72">
        <v>96</v>
      </c>
      <c r="I61" s="72" t="s">
        <v>1361</v>
      </c>
      <c r="J61" s="74" t="s">
        <v>146</v>
      </c>
      <c r="K61" s="74" t="s">
        <v>1363</v>
      </c>
      <c r="L61" s="74" t="s">
        <v>545</v>
      </c>
      <c r="M61" s="74" t="s">
        <v>546</v>
      </c>
      <c r="N61" s="74">
        <v>1</v>
      </c>
      <c r="O61" s="74" t="s">
        <v>547</v>
      </c>
      <c r="P61" s="74" t="s">
        <v>1039</v>
      </c>
      <c r="Q61" s="74"/>
      <c r="R61" s="74"/>
      <c r="S61" s="74">
        <v>8</v>
      </c>
      <c r="T61" s="75">
        <v>46023</v>
      </c>
      <c r="U61" s="74">
        <v>0</v>
      </c>
      <c r="V61" s="74"/>
      <c r="W61" s="74" t="s">
        <v>549</v>
      </c>
      <c r="X61" s="74">
        <v>1</v>
      </c>
      <c r="Y61" s="77" t="s">
        <v>613</v>
      </c>
    </row>
    <row r="62" spans="1:25" ht="45" x14ac:dyDescent="0.25">
      <c r="A62" s="76" t="s">
        <v>137</v>
      </c>
      <c r="B62" s="72">
        <v>76</v>
      </c>
      <c r="C62" s="72">
        <v>97</v>
      </c>
      <c r="D62" s="72" t="s">
        <v>1279</v>
      </c>
      <c r="E62" s="72" t="s">
        <v>1253</v>
      </c>
      <c r="F62" s="72" t="s">
        <v>1352</v>
      </c>
      <c r="G62" s="73" t="s">
        <v>147</v>
      </c>
      <c r="H62" s="72">
        <v>97</v>
      </c>
      <c r="I62" s="72" t="s">
        <v>1361</v>
      </c>
      <c r="J62" s="74" t="s">
        <v>147</v>
      </c>
      <c r="K62" s="74" t="s">
        <v>1364</v>
      </c>
      <c r="L62" s="74" t="s">
        <v>545</v>
      </c>
      <c r="M62" s="74" t="s">
        <v>546</v>
      </c>
      <c r="N62" s="74">
        <v>1</v>
      </c>
      <c r="O62" s="74" t="s">
        <v>566</v>
      </c>
      <c r="P62" s="74" t="s">
        <v>1279</v>
      </c>
      <c r="Q62" s="74"/>
      <c r="R62" s="74"/>
      <c r="S62" s="74"/>
      <c r="T62" s="74"/>
      <c r="U62" s="74">
        <v>0</v>
      </c>
      <c r="V62" s="74"/>
      <c r="W62" s="74" t="s">
        <v>549</v>
      </c>
      <c r="X62" s="74">
        <v>1</v>
      </c>
      <c r="Y62" s="77" t="s">
        <v>613</v>
      </c>
    </row>
    <row r="63" spans="1:25" ht="45" x14ac:dyDescent="0.25">
      <c r="A63" s="76" t="s">
        <v>137</v>
      </c>
      <c r="B63" s="72">
        <v>77</v>
      </c>
      <c r="C63" s="72">
        <v>98</v>
      </c>
      <c r="D63" s="72" t="s">
        <v>1340</v>
      </c>
      <c r="E63" s="72" t="s">
        <v>1253</v>
      </c>
      <c r="F63" s="72" t="s">
        <v>1352</v>
      </c>
      <c r="G63" s="73" t="s">
        <v>148</v>
      </c>
      <c r="H63" s="72">
        <v>98</v>
      </c>
      <c r="I63" s="72" t="s">
        <v>1365</v>
      </c>
      <c r="J63" s="74" t="s">
        <v>148</v>
      </c>
      <c r="K63" s="74" t="s">
        <v>1366</v>
      </c>
      <c r="L63" s="74" t="s">
        <v>545</v>
      </c>
      <c r="M63" s="74" t="s">
        <v>546</v>
      </c>
      <c r="N63" s="74">
        <v>1</v>
      </c>
      <c r="O63" s="74" t="s">
        <v>547</v>
      </c>
      <c r="P63" s="74" t="s">
        <v>1015</v>
      </c>
      <c r="Q63" s="74"/>
      <c r="R63" s="74"/>
      <c r="S63" s="74">
        <v>4.8</v>
      </c>
      <c r="T63" s="75">
        <v>46023</v>
      </c>
      <c r="U63" s="74">
        <v>0</v>
      </c>
      <c r="V63" s="74"/>
      <c r="W63" s="74" t="s">
        <v>549</v>
      </c>
      <c r="X63" s="74">
        <v>1</v>
      </c>
      <c r="Y63" s="77" t="s">
        <v>613</v>
      </c>
    </row>
    <row r="64" spans="1:25" ht="45" x14ac:dyDescent="0.25">
      <c r="A64" s="76" t="s">
        <v>137</v>
      </c>
      <c r="B64" s="72">
        <v>78</v>
      </c>
      <c r="C64" s="72">
        <v>99</v>
      </c>
      <c r="D64" s="72" t="s">
        <v>1342</v>
      </c>
      <c r="E64" s="72" t="s">
        <v>1253</v>
      </c>
      <c r="F64" s="72" t="s">
        <v>1352</v>
      </c>
      <c r="G64" s="73" t="s">
        <v>149</v>
      </c>
      <c r="H64" s="72">
        <v>99</v>
      </c>
      <c r="I64" s="72" t="s">
        <v>1365</v>
      </c>
      <c r="J64" s="74" t="s">
        <v>149</v>
      </c>
      <c r="K64" s="74" t="s">
        <v>1367</v>
      </c>
      <c r="L64" s="74" t="s">
        <v>545</v>
      </c>
      <c r="M64" s="74" t="s">
        <v>546</v>
      </c>
      <c r="N64" s="74">
        <v>1</v>
      </c>
      <c r="O64" s="74" t="s">
        <v>547</v>
      </c>
      <c r="P64" s="74" t="s">
        <v>1011</v>
      </c>
      <c r="Q64" s="74"/>
      <c r="R64" s="74"/>
      <c r="S64" s="74">
        <v>4.8</v>
      </c>
      <c r="T64" s="75">
        <v>46023</v>
      </c>
      <c r="U64" s="74">
        <v>0</v>
      </c>
      <c r="V64" s="74"/>
      <c r="W64" s="74" t="s">
        <v>549</v>
      </c>
      <c r="X64" s="74">
        <v>1</v>
      </c>
      <c r="Y64" s="77" t="s">
        <v>613</v>
      </c>
    </row>
    <row r="65" spans="1:25" ht="45" x14ac:dyDescent="0.25">
      <c r="A65" s="76" t="s">
        <v>137</v>
      </c>
      <c r="B65" s="72">
        <v>79</v>
      </c>
      <c r="C65" s="72">
        <v>100</v>
      </c>
      <c r="D65" s="72" t="s">
        <v>1282</v>
      </c>
      <c r="E65" s="72" t="s">
        <v>1253</v>
      </c>
      <c r="F65" s="72" t="s">
        <v>1352</v>
      </c>
      <c r="G65" s="73" t="s">
        <v>150</v>
      </c>
      <c r="H65" s="72">
        <v>100</v>
      </c>
      <c r="I65" s="72" t="s">
        <v>1365</v>
      </c>
      <c r="J65" s="74" t="s">
        <v>150</v>
      </c>
      <c r="K65" s="74" t="s">
        <v>1368</v>
      </c>
      <c r="L65" s="74" t="s">
        <v>545</v>
      </c>
      <c r="M65" s="74" t="s">
        <v>546</v>
      </c>
      <c r="N65" s="74">
        <v>1</v>
      </c>
      <c r="O65" s="74" t="s">
        <v>566</v>
      </c>
      <c r="P65" s="74" t="s">
        <v>1282</v>
      </c>
      <c r="Q65" s="74"/>
      <c r="R65" s="74"/>
      <c r="S65" s="74"/>
      <c r="T65" s="74"/>
      <c r="U65" s="74">
        <v>0</v>
      </c>
      <c r="V65" s="74"/>
      <c r="W65" s="74" t="s">
        <v>549</v>
      </c>
      <c r="X65" s="74">
        <v>1</v>
      </c>
      <c r="Y65" s="77" t="s">
        <v>613</v>
      </c>
    </row>
    <row r="66" spans="1:25" ht="45" x14ac:dyDescent="0.25">
      <c r="A66" s="76" t="s">
        <v>137</v>
      </c>
      <c r="B66" s="72">
        <v>80</v>
      </c>
      <c r="C66" s="72">
        <v>101</v>
      </c>
      <c r="D66" s="72" t="s">
        <v>1343</v>
      </c>
      <c r="E66" s="72" t="s">
        <v>1253</v>
      </c>
      <c r="F66" s="72" t="s">
        <v>1369</v>
      </c>
      <c r="G66" s="73" t="s">
        <v>482</v>
      </c>
      <c r="H66" s="72">
        <v>101</v>
      </c>
      <c r="I66" s="72" t="s">
        <v>1370</v>
      </c>
      <c r="J66" s="74" t="s">
        <v>482</v>
      </c>
      <c r="K66" s="74" t="s">
        <v>1371</v>
      </c>
      <c r="L66" s="74" t="s">
        <v>545</v>
      </c>
      <c r="M66" s="74" t="s">
        <v>546</v>
      </c>
      <c r="N66" s="74">
        <v>1</v>
      </c>
      <c r="O66" s="74" t="s">
        <v>566</v>
      </c>
      <c r="P66" s="74" t="s">
        <v>1371</v>
      </c>
      <c r="Q66" s="74"/>
      <c r="R66" s="74"/>
      <c r="S66" s="74"/>
      <c r="T66" s="74"/>
      <c r="U66" s="74">
        <v>0</v>
      </c>
      <c r="V66" s="74"/>
      <c r="W66" s="74" t="s">
        <v>549</v>
      </c>
      <c r="X66" s="74">
        <v>1</v>
      </c>
      <c r="Y66" s="77" t="s">
        <v>686</v>
      </c>
    </row>
    <row r="67" spans="1:25" ht="45" x14ac:dyDescent="0.25">
      <c r="A67" s="76" t="s">
        <v>137</v>
      </c>
      <c r="B67" s="72">
        <v>81</v>
      </c>
      <c r="C67" s="72">
        <v>102</v>
      </c>
      <c r="D67" s="72" t="s">
        <v>1347</v>
      </c>
      <c r="E67" s="72" t="s">
        <v>1253</v>
      </c>
      <c r="F67" s="72" t="s">
        <v>1369</v>
      </c>
      <c r="G67" s="73" t="s">
        <v>151</v>
      </c>
      <c r="H67" s="72">
        <v>102</v>
      </c>
      <c r="I67" s="72" t="s">
        <v>1372</v>
      </c>
      <c r="J67" s="74" t="s">
        <v>151</v>
      </c>
      <c r="K67" s="74" t="s">
        <v>1373</v>
      </c>
      <c r="L67" s="74" t="s">
        <v>545</v>
      </c>
      <c r="M67" s="74" t="s">
        <v>546</v>
      </c>
      <c r="N67" s="74">
        <v>1</v>
      </c>
      <c r="O67" s="74" t="s">
        <v>566</v>
      </c>
      <c r="P67" s="74" t="s">
        <v>1373</v>
      </c>
      <c r="Q67" s="74"/>
      <c r="R67" s="74"/>
      <c r="S67" s="74"/>
      <c r="T67" s="74"/>
      <c r="U67" s="74">
        <v>0</v>
      </c>
      <c r="V67" s="74"/>
      <c r="W67" s="74" t="s">
        <v>549</v>
      </c>
      <c r="X67" s="74">
        <v>1</v>
      </c>
      <c r="Y67" s="77" t="s">
        <v>686</v>
      </c>
    </row>
    <row r="68" spans="1:25" ht="45" x14ac:dyDescent="0.25">
      <c r="A68" s="76" t="s">
        <v>137</v>
      </c>
      <c r="B68" s="72">
        <v>82</v>
      </c>
      <c r="C68" s="72">
        <v>103</v>
      </c>
      <c r="D68" s="72" t="s">
        <v>1350</v>
      </c>
      <c r="E68" s="72" t="s">
        <v>1253</v>
      </c>
      <c r="F68" s="72" t="s">
        <v>1369</v>
      </c>
      <c r="G68" s="73" t="s">
        <v>152</v>
      </c>
      <c r="H68" s="72">
        <v>103</v>
      </c>
      <c r="I68" s="72" t="s">
        <v>1370</v>
      </c>
      <c r="J68" s="74" t="s">
        <v>152</v>
      </c>
      <c r="K68" s="74" t="s">
        <v>1374</v>
      </c>
      <c r="L68" s="74" t="s">
        <v>545</v>
      </c>
      <c r="M68" s="74" t="s">
        <v>546</v>
      </c>
      <c r="N68" s="74">
        <v>1</v>
      </c>
      <c r="O68" s="74" t="s">
        <v>566</v>
      </c>
      <c r="P68" s="74" t="s">
        <v>1374</v>
      </c>
      <c r="Q68" s="74"/>
      <c r="R68" s="74"/>
      <c r="S68" s="74"/>
      <c r="T68" s="74"/>
      <c r="U68" s="74">
        <v>0</v>
      </c>
      <c r="V68" s="74"/>
      <c r="W68" s="74" t="s">
        <v>549</v>
      </c>
      <c r="X68" s="74">
        <v>1</v>
      </c>
      <c r="Y68" s="77" t="s">
        <v>686</v>
      </c>
    </row>
    <row r="69" spans="1:25" x14ac:dyDescent="0.25">
      <c r="A69" s="78" t="s">
        <v>46</v>
      </c>
      <c r="B69" s="29"/>
      <c r="C69" s="29">
        <v>22</v>
      </c>
      <c r="D69" s="29" t="s">
        <v>1375</v>
      </c>
      <c r="E69" s="29" t="s">
        <v>1376</v>
      </c>
      <c r="F69" s="29" t="s">
        <v>1377</v>
      </c>
      <c r="G69" s="30" t="s">
        <v>64</v>
      </c>
      <c r="H69" s="29">
        <v>22</v>
      </c>
      <c r="I69" s="29" t="s">
        <v>1378</v>
      </c>
      <c r="J69" s="31" t="s">
        <v>64</v>
      </c>
      <c r="K69" s="31" t="s">
        <v>1379</v>
      </c>
      <c r="L69" s="31" t="s">
        <v>545</v>
      </c>
      <c r="M69" s="31" t="s">
        <v>546</v>
      </c>
      <c r="N69" s="31">
        <v>1</v>
      </c>
      <c r="O69" s="31" t="s">
        <v>566</v>
      </c>
      <c r="P69" s="31" t="s">
        <v>1375</v>
      </c>
      <c r="Q69" s="31"/>
      <c r="R69" s="31"/>
      <c r="S69" s="31"/>
      <c r="T69" s="31"/>
      <c r="U69" s="31">
        <v>0</v>
      </c>
      <c r="V69" s="31"/>
      <c r="W69" s="31" t="s">
        <v>549</v>
      </c>
      <c r="X69" s="31">
        <v>1</v>
      </c>
      <c r="Y69" s="79" t="s">
        <v>613</v>
      </c>
    </row>
    <row r="70" spans="1:25" x14ac:dyDescent="0.25">
      <c r="A70" s="78" t="s">
        <v>57</v>
      </c>
      <c r="B70" s="29"/>
      <c r="C70" s="29">
        <v>29</v>
      </c>
      <c r="D70" s="29" t="s">
        <v>1375</v>
      </c>
      <c r="E70" s="29" t="s">
        <v>1376</v>
      </c>
      <c r="F70" s="29" t="s">
        <v>1380</v>
      </c>
      <c r="G70" s="30" t="s">
        <v>483</v>
      </c>
      <c r="H70" s="29">
        <v>29</v>
      </c>
      <c r="I70" s="29" t="s">
        <v>1381</v>
      </c>
      <c r="J70" s="31" t="s">
        <v>483</v>
      </c>
      <c r="K70" s="31" t="s">
        <v>1382</v>
      </c>
      <c r="L70" s="31" t="s">
        <v>545</v>
      </c>
      <c r="M70" s="31" t="s">
        <v>546</v>
      </c>
      <c r="N70" s="31">
        <v>1</v>
      </c>
      <c r="O70" s="31" t="s">
        <v>566</v>
      </c>
      <c r="P70" s="31" t="s">
        <v>1375</v>
      </c>
      <c r="Q70" s="31"/>
      <c r="R70" s="31"/>
      <c r="S70" s="31"/>
      <c r="T70" s="31"/>
      <c r="U70" s="31">
        <v>0</v>
      </c>
      <c r="V70" s="31"/>
      <c r="W70" s="31" t="s">
        <v>549</v>
      </c>
      <c r="X70" s="31">
        <v>1</v>
      </c>
      <c r="Y70" s="79" t="s">
        <v>613</v>
      </c>
    </row>
    <row r="71" spans="1:25" x14ac:dyDescent="0.25">
      <c r="A71" s="78" t="s">
        <v>66</v>
      </c>
      <c r="B71" s="29"/>
      <c r="C71" s="29">
        <v>33</v>
      </c>
      <c r="D71" s="29" t="s">
        <v>1383</v>
      </c>
      <c r="E71" s="29" t="s">
        <v>1376</v>
      </c>
      <c r="F71" s="29" t="s">
        <v>1384</v>
      </c>
      <c r="G71" s="30" t="s">
        <v>484</v>
      </c>
      <c r="H71" s="29">
        <v>33</v>
      </c>
      <c r="I71" s="29" t="s">
        <v>1385</v>
      </c>
      <c r="J71" s="31" t="s">
        <v>484</v>
      </c>
      <c r="K71" s="31" t="s">
        <v>1386</v>
      </c>
      <c r="L71" s="31" t="s">
        <v>545</v>
      </c>
      <c r="M71" s="31" t="s">
        <v>546</v>
      </c>
      <c r="N71" s="31">
        <v>1</v>
      </c>
      <c r="O71" s="31" t="s">
        <v>566</v>
      </c>
      <c r="P71" s="31" t="s">
        <v>1383</v>
      </c>
      <c r="Q71" s="31"/>
      <c r="R71" s="31"/>
      <c r="S71" s="31"/>
      <c r="T71" s="31"/>
      <c r="U71" s="31">
        <v>0</v>
      </c>
      <c r="V71" s="31"/>
      <c r="W71" s="31" t="s">
        <v>549</v>
      </c>
      <c r="X71" s="31">
        <v>1</v>
      </c>
      <c r="Y71" s="79" t="s">
        <v>769</v>
      </c>
    </row>
    <row r="72" spans="1:25" x14ac:dyDescent="0.25">
      <c r="A72" s="173" t="s">
        <v>154</v>
      </c>
      <c r="B72" s="174">
        <v>83</v>
      </c>
      <c r="C72" s="174">
        <v>106</v>
      </c>
      <c r="D72" s="174" t="s">
        <v>156</v>
      </c>
      <c r="E72" s="174" t="s">
        <v>1253</v>
      </c>
      <c r="F72" s="174" t="s">
        <v>1387</v>
      </c>
      <c r="G72" s="175" t="s">
        <v>157</v>
      </c>
      <c r="H72" s="176">
        <v>106</v>
      </c>
      <c r="I72" s="176" t="s">
        <v>1388</v>
      </c>
      <c r="J72" s="176" t="s">
        <v>157</v>
      </c>
      <c r="K72" s="176" t="s">
        <v>156</v>
      </c>
      <c r="L72" s="176" t="s">
        <v>545</v>
      </c>
      <c r="M72" s="176" t="s">
        <v>546</v>
      </c>
      <c r="N72" s="176">
        <v>1</v>
      </c>
      <c r="O72" s="176" t="s">
        <v>566</v>
      </c>
      <c r="P72" s="176" t="s">
        <v>156</v>
      </c>
      <c r="Q72" s="176"/>
      <c r="R72" s="176"/>
      <c r="S72" s="176"/>
      <c r="T72" s="176"/>
      <c r="U72" s="176">
        <v>0</v>
      </c>
      <c r="V72" s="176"/>
      <c r="W72" s="176" t="s">
        <v>549</v>
      </c>
      <c r="X72" s="176">
        <v>1</v>
      </c>
      <c r="Y72" s="177" t="s">
        <v>613</v>
      </c>
    </row>
    <row r="73" spans="1:25" x14ac:dyDescent="0.25">
      <c r="A73" s="78" t="s">
        <v>154</v>
      </c>
      <c r="B73" s="29">
        <v>84</v>
      </c>
      <c r="C73" s="29">
        <v>107</v>
      </c>
      <c r="D73" s="29" t="s">
        <v>485</v>
      </c>
      <c r="E73" s="29" t="s">
        <v>1253</v>
      </c>
      <c r="F73" s="29" t="s">
        <v>1389</v>
      </c>
      <c r="G73" s="30" t="s">
        <v>486</v>
      </c>
      <c r="H73" s="31">
        <v>107</v>
      </c>
      <c r="I73" s="31" t="s">
        <v>1390</v>
      </c>
      <c r="J73" s="31" t="s">
        <v>486</v>
      </c>
      <c r="K73" s="31" t="s">
        <v>485</v>
      </c>
      <c r="L73" s="31" t="s">
        <v>545</v>
      </c>
      <c r="M73" s="31" t="s">
        <v>546</v>
      </c>
      <c r="N73" s="31">
        <v>1</v>
      </c>
      <c r="O73" s="31" t="s">
        <v>566</v>
      </c>
      <c r="P73" s="31" t="s">
        <v>485</v>
      </c>
      <c r="Q73" s="31"/>
      <c r="R73" s="31"/>
      <c r="S73" s="31"/>
      <c r="T73" s="31"/>
      <c r="U73" s="31">
        <v>0</v>
      </c>
      <c r="V73" s="31"/>
      <c r="W73" s="31" t="s">
        <v>549</v>
      </c>
      <c r="X73" s="31">
        <v>1</v>
      </c>
      <c r="Y73" s="79" t="s">
        <v>686</v>
      </c>
    </row>
    <row r="74" spans="1:25" x14ac:dyDescent="0.25">
      <c r="A74" s="80" t="s">
        <v>154</v>
      </c>
      <c r="B74" s="81">
        <v>85</v>
      </c>
      <c r="C74" s="81">
        <v>108</v>
      </c>
      <c r="D74" s="81" t="s">
        <v>158</v>
      </c>
      <c r="E74" s="81" t="s">
        <v>1253</v>
      </c>
      <c r="F74" s="81" t="s">
        <v>1391</v>
      </c>
      <c r="G74" s="82" t="s">
        <v>159</v>
      </c>
      <c r="H74" s="83">
        <v>108</v>
      </c>
      <c r="I74" s="83" t="s">
        <v>1392</v>
      </c>
      <c r="J74" s="83" t="s">
        <v>159</v>
      </c>
      <c r="K74" s="83" t="s">
        <v>158</v>
      </c>
      <c r="L74" s="83" t="s">
        <v>545</v>
      </c>
      <c r="M74" s="83" t="s">
        <v>546</v>
      </c>
      <c r="N74" s="83">
        <v>1</v>
      </c>
      <c r="O74" s="83" t="s">
        <v>566</v>
      </c>
      <c r="P74" s="83" t="s">
        <v>158</v>
      </c>
      <c r="Q74" s="83"/>
      <c r="R74" s="83"/>
      <c r="S74" s="83"/>
      <c r="T74" s="83"/>
      <c r="U74" s="83">
        <v>0</v>
      </c>
      <c r="V74" s="83"/>
      <c r="W74" s="83" t="s">
        <v>549</v>
      </c>
      <c r="X74" s="83">
        <v>1</v>
      </c>
      <c r="Y74" s="84" t="s">
        <v>686</v>
      </c>
    </row>
    <row r="75" spans="1:25" x14ac:dyDescent="0.25">
      <c r="A75" s="78" t="str">
        <f>IF($C75="","",INDEX(Taxepunkter!$A:$A,$C75))</f>
        <v/>
      </c>
      <c r="B75" s="29"/>
      <c r="C75" s="29"/>
      <c r="D75" s="29" t="str">
        <f>IF($C75="","",_xludf.TEXTJOIN(" ",TRUE,INDEX(Taxepunkter!$C:$C,$C75),INDEX(Taxepunkter!$D:$D,$C75)))</f>
        <v/>
      </c>
      <c r="E75" s="29" t="str">
        <f t="shared" ref="E75:E106" si="0">IF($C75="","","Saknas i EDP – föreslagen ny taxa")</f>
        <v/>
      </c>
      <c r="F75" s="29" t="str">
        <f t="shared" ref="F75:F106" si="1">IF($C75="","","Automatiserad mall: fyll Rad i Taxepunkter och FöreslagenTaxekod")</f>
        <v/>
      </c>
      <c r="G75" s="30"/>
      <c r="H75" s="31" t="str">
        <f t="shared" ref="H75:H106" si="2">IF($C75="","",$C75)</f>
        <v/>
      </c>
      <c r="I75" s="31" t="str">
        <f>IF($C75="","",INDEX(Taxepunkter!$B:$B,$C75)&amp;" / "&amp;INDEX(Taxepunkter!$C:$C,$C75))</f>
        <v/>
      </c>
      <c r="J75" s="31" t="str">
        <f t="shared" ref="J75:J106" si="3">IF($G75="","",$G75)</f>
        <v/>
      </c>
      <c r="K75" s="31" t="str">
        <f>IF($C75="","",INDEX(Taxepunkter!$C:$C,$C75)&amp;IF(INDEX(Taxepunkter!$D:$D,$C75)="","",". "&amp;INDEX(Taxepunkter!$D:$D,$C75)))</f>
        <v/>
      </c>
      <c r="L75" s="31" t="str">
        <f t="shared" ref="L75:L106" si="4">IF($C75="","","RENH")</f>
        <v/>
      </c>
      <c r="M75" s="31" t="str">
        <f t="shared" ref="M75:M106" si="5">IF($C75="","","HUSH")</f>
        <v/>
      </c>
      <c r="N75" s="31" t="str">
        <f t="shared" ref="N75:N106" si="6">IF($C75="","",1)</f>
        <v/>
      </c>
      <c r="O75" s="31" t="str">
        <f t="shared" ref="O75:O106" si="7">IF($C75="","","ÅRKV")</f>
        <v/>
      </c>
      <c r="P75" s="31" t="str">
        <f>IF($C75="","",_xludf.TEXTJOIN(" ",TRUE,INDEX(Taxepunkter!$C:$C,$C75),INDEX(Taxepunkter!$D:$D,$C75)))</f>
        <v/>
      </c>
      <c r="Q75" s="31"/>
      <c r="R75" s="31"/>
      <c r="S75" s="31"/>
      <c r="T75" s="31"/>
      <c r="U75" s="31" t="str">
        <f t="shared" ref="U75:U106" si="8">IF($C75="","",0)</f>
        <v/>
      </c>
      <c r="V75" s="31"/>
      <c r="W75" s="31" t="str">
        <f t="shared" ref="W75:W106" si="9">IF($C75="","","-")</f>
        <v/>
      </c>
      <c r="X75" s="31" t="str">
        <f t="shared" ref="X75:X106" si="10">IF($C75="","",1)</f>
        <v/>
      </c>
      <c r="Y75" s="79" t="str">
        <f t="shared" ref="Y75:Y106" si="11">IF($C75="","","ANTB")</f>
        <v/>
      </c>
    </row>
    <row r="76" spans="1:25" x14ac:dyDescent="0.25">
      <c r="A76" s="78" t="str">
        <f>IF($C76="","",INDEX(Taxepunkter!$A:$A,$C76))</f>
        <v/>
      </c>
      <c r="B76" s="29"/>
      <c r="C76" s="29"/>
      <c r="D76" s="29" t="str">
        <f>IF($C76="","",_xludf.TEXTJOIN(" ",TRUE,INDEX(Taxepunkter!$C:$C,$C76),INDEX(Taxepunkter!$D:$D,$C76)))</f>
        <v/>
      </c>
      <c r="E76" s="29" t="str">
        <f t="shared" si="0"/>
        <v/>
      </c>
      <c r="F76" s="29" t="str">
        <f t="shared" si="1"/>
        <v/>
      </c>
      <c r="G76" s="30"/>
      <c r="H76" s="31" t="str">
        <f t="shared" si="2"/>
        <v/>
      </c>
      <c r="I76" s="31" t="str">
        <f>IF($C76="","",INDEX(Taxepunkter!$B:$B,$C76)&amp;" / "&amp;INDEX(Taxepunkter!$C:$C,$C76))</f>
        <v/>
      </c>
      <c r="J76" s="31" t="str">
        <f t="shared" si="3"/>
        <v/>
      </c>
      <c r="K76" s="31" t="str">
        <f>IF($C76="","",INDEX(Taxepunkter!$C:$C,$C76)&amp;IF(INDEX(Taxepunkter!$D:$D,$C76)="","",". "&amp;INDEX(Taxepunkter!$D:$D,$C76)))</f>
        <v/>
      </c>
      <c r="L76" s="31" t="str">
        <f t="shared" si="4"/>
        <v/>
      </c>
      <c r="M76" s="31" t="str">
        <f t="shared" si="5"/>
        <v/>
      </c>
      <c r="N76" s="31" t="str">
        <f t="shared" si="6"/>
        <v/>
      </c>
      <c r="O76" s="31" t="str">
        <f t="shared" si="7"/>
        <v/>
      </c>
      <c r="P76" s="31" t="str">
        <f>IF($C76="","",_xludf.TEXTJOIN(" ",TRUE,INDEX(Taxepunkter!$C:$C,$C76),INDEX(Taxepunkter!$D:$D,$C76)))</f>
        <v/>
      </c>
      <c r="Q76" s="31"/>
      <c r="R76" s="31"/>
      <c r="S76" s="31"/>
      <c r="T76" s="31"/>
      <c r="U76" s="31" t="str">
        <f t="shared" si="8"/>
        <v/>
      </c>
      <c r="V76" s="31"/>
      <c r="W76" s="31" t="str">
        <f t="shared" si="9"/>
        <v/>
      </c>
      <c r="X76" s="31" t="str">
        <f t="shared" si="10"/>
        <v/>
      </c>
      <c r="Y76" s="79" t="str">
        <f t="shared" si="11"/>
        <v/>
      </c>
    </row>
    <row r="77" spans="1:25" x14ac:dyDescent="0.25">
      <c r="A77" s="78" t="str">
        <f>IF($C77="","",INDEX(Taxepunkter!$A:$A,$C77))</f>
        <v/>
      </c>
      <c r="B77" s="29"/>
      <c r="C77" s="29"/>
      <c r="D77" s="29" t="str">
        <f>IF($C77="","",_xludf.TEXTJOIN(" ",TRUE,INDEX(Taxepunkter!$C:$C,$C77),INDEX(Taxepunkter!$D:$D,$C77)))</f>
        <v/>
      </c>
      <c r="E77" s="29" t="str">
        <f t="shared" si="0"/>
        <v/>
      </c>
      <c r="F77" s="29" t="str">
        <f t="shared" si="1"/>
        <v/>
      </c>
      <c r="G77" s="30"/>
      <c r="H77" s="31" t="str">
        <f t="shared" si="2"/>
        <v/>
      </c>
      <c r="I77" s="31" t="str">
        <f>IF($C77="","",INDEX(Taxepunkter!$B:$B,$C77)&amp;" / "&amp;INDEX(Taxepunkter!$C:$C,$C77))</f>
        <v/>
      </c>
      <c r="J77" s="31" t="str">
        <f t="shared" si="3"/>
        <v/>
      </c>
      <c r="K77" s="31" t="str">
        <f>IF($C77="","",INDEX(Taxepunkter!$C:$C,$C77)&amp;IF(INDEX(Taxepunkter!$D:$D,$C77)="","",". "&amp;INDEX(Taxepunkter!$D:$D,$C77)))</f>
        <v/>
      </c>
      <c r="L77" s="31" t="str">
        <f t="shared" si="4"/>
        <v/>
      </c>
      <c r="M77" s="31" t="str">
        <f t="shared" si="5"/>
        <v/>
      </c>
      <c r="N77" s="31" t="str">
        <f t="shared" si="6"/>
        <v/>
      </c>
      <c r="O77" s="31" t="str">
        <f t="shared" si="7"/>
        <v/>
      </c>
      <c r="P77" s="31" t="str">
        <f>IF($C77="","",_xludf.TEXTJOIN(" ",TRUE,INDEX(Taxepunkter!$C:$C,$C77),INDEX(Taxepunkter!$D:$D,$C77)))</f>
        <v/>
      </c>
      <c r="Q77" s="31"/>
      <c r="R77" s="31"/>
      <c r="S77" s="31"/>
      <c r="T77" s="31"/>
      <c r="U77" s="31" t="str">
        <f t="shared" si="8"/>
        <v/>
      </c>
      <c r="V77" s="31"/>
      <c r="W77" s="31" t="str">
        <f t="shared" si="9"/>
        <v/>
      </c>
      <c r="X77" s="31" t="str">
        <f t="shared" si="10"/>
        <v/>
      </c>
      <c r="Y77" s="79" t="str">
        <f t="shared" si="11"/>
        <v/>
      </c>
    </row>
    <row r="78" spans="1:25" x14ac:dyDescent="0.25">
      <c r="A78" s="78" t="str">
        <f>IF($C78="","",INDEX(Taxepunkter!$A:$A,$C78))</f>
        <v/>
      </c>
      <c r="B78" s="29"/>
      <c r="C78" s="29"/>
      <c r="D78" s="29" t="str">
        <f>IF($C78="","",_xludf.TEXTJOIN(" ",TRUE,INDEX(Taxepunkter!$C:$C,$C78),INDEX(Taxepunkter!$D:$D,$C78)))</f>
        <v/>
      </c>
      <c r="E78" s="29" t="str">
        <f t="shared" si="0"/>
        <v/>
      </c>
      <c r="F78" s="29" t="str">
        <f t="shared" si="1"/>
        <v/>
      </c>
      <c r="G78" s="30"/>
      <c r="H78" s="31" t="str">
        <f t="shared" si="2"/>
        <v/>
      </c>
      <c r="I78" s="31" t="str">
        <f>IF($C78="","",INDEX(Taxepunkter!$B:$B,$C78)&amp;" / "&amp;INDEX(Taxepunkter!$C:$C,$C78))</f>
        <v/>
      </c>
      <c r="J78" s="31" t="str">
        <f t="shared" si="3"/>
        <v/>
      </c>
      <c r="K78" s="31" t="str">
        <f>IF($C78="","",INDEX(Taxepunkter!$C:$C,$C78)&amp;IF(INDEX(Taxepunkter!$D:$D,$C78)="","",". "&amp;INDEX(Taxepunkter!$D:$D,$C78)))</f>
        <v/>
      </c>
      <c r="L78" s="31" t="str">
        <f t="shared" si="4"/>
        <v/>
      </c>
      <c r="M78" s="31" t="str">
        <f t="shared" si="5"/>
        <v/>
      </c>
      <c r="N78" s="31" t="str">
        <f t="shared" si="6"/>
        <v/>
      </c>
      <c r="O78" s="31" t="str">
        <f t="shared" si="7"/>
        <v/>
      </c>
      <c r="P78" s="31" t="str">
        <f>IF($C78="","",_xludf.TEXTJOIN(" ",TRUE,INDEX(Taxepunkter!$C:$C,$C78),INDEX(Taxepunkter!$D:$D,$C78)))</f>
        <v/>
      </c>
      <c r="Q78" s="31"/>
      <c r="R78" s="31"/>
      <c r="S78" s="31"/>
      <c r="T78" s="31"/>
      <c r="U78" s="31" t="str">
        <f t="shared" si="8"/>
        <v/>
      </c>
      <c r="V78" s="31"/>
      <c r="W78" s="31" t="str">
        <f t="shared" si="9"/>
        <v/>
      </c>
      <c r="X78" s="31" t="str">
        <f t="shared" si="10"/>
        <v/>
      </c>
      <c r="Y78" s="79" t="str">
        <f t="shared" si="11"/>
        <v/>
      </c>
    </row>
    <row r="79" spans="1:25" x14ac:dyDescent="0.25">
      <c r="A79" s="78" t="str">
        <f>IF($C79="","",INDEX(Taxepunkter!$A:$A,$C79))</f>
        <v/>
      </c>
      <c r="B79" s="29"/>
      <c r="C79" s="29"/>
      <c r="D79" s="29" t="str">
        <f>IF($C79="","",_xludf.TEXTJOIN(" ",TRUE,INDEX(Taxepunkter!$C:$C,$C79),INDEX(Taxepunkter!$D:$D,$C79)))</f>
        <v/>
      </c>
      <c r="E79" s="29" t="str">
        <f t="shared" si="0"/>
        <v/>
      </c>
      <c r="F79" s="29" t="str">
        <f t="shared" si="1"/>
        <v/>
      </c>
      <c r="G79" s="30"/>
      <c r="H79" s="31" t="str">
        <f t="shared" si="2"/>
        <v/>
      </c>
      <c r="I79" s="31" t="str">
        <f>IF($C79="","",INDEX(Taxepunkter!$B:$B,$C79)&amp;" / "&amp;INDEX(Taxepunkter!$C:$C,$C79))</f>
        <v/>
      </c>
      <c r="J79" s="31" t="str">
        <f t="shared" si="3"/>
        <v/>
      </c>
      <c r="K79" s="31" t="str">
        <f>IF($C79="","",INDEX(Taxepunkter!$C:$C,$C79)&amp;IF(INDEX(Taxepunkter!$D:$D,$C79)="","",". "&amp;INDEX(Taxepunkter!$D:$D,$C79)))</f>
        <v/>
      </c>
      <c r="L79" s="31" t="str">
        <f t="shared" si="4"/>
        <v/>
      </c>
      <c r="M79" s="31" t="str">
        <f t="shared" si="5"/>
        <v/>
      </c>
      <c r="N79" s="31" t="str">
        <f t="shared" si="6"/>
        <v/>
      </c>
      <c r="O79" s="31" t="str">
        <f t="shared" si="7"/>
        <v/>
      </c>
      <c r="P79" s="31" t="str">
        <f>IF($C79="","",_xludf.TEXTJOIN(" ",TRUE,INDEX(Taxepunkter!$C:$C,$C79),INDEX(Taxepunkter!$D:$D,$C79)))</f>
        <v/>
      </c>
      <c r="Q79" s="31"/>
      <c r="R79" s="31"/>
      <c r="S79" s="31"/>
      <c r="T79" s="31"/>
      <c r="U79" s="31" t="str">
        <f t="shared" si="8"/>
        <v/>
      </c>
      <c r="V79" s="31"/>
      <c r="W79" s="31" t="str">
        <f t="shared" si="9"/>
        <v/>
      </c>
      <c r="X79" s="31" t="str">
        <f t="shared" si="10"/>
        <v/>
      </c>
      <c r="Y79" s="79" t="str">
        <f t="shared" si="11"/>
        <v/>
      </c>
    </row>
    <row r="80" spans="1:25" x14ac:dyDescent="0.25">
      <c r="A80" s="78" t="str">
        <f>IF($C80="","",INDEX(Taxepunkter!$A:$A,$C80))</f>
        <v/>
      </c>
      <c r="B80" s="29"/>
      <c r="C80" s="29"/>
      <c r="D80" s="29" t="str">
        <f>IF($C80="","",_xludf.TEXTJOIN(" ",TRUE,INDEX(Taxepunkter!$C:$C,$C80),INDEX(Taxepunkter!$D:$D,$C80)))</f>
        <v/>
      </c>
      <c r="E80" s="29" t="str">
        <f t="shared" si="0"/>
        <v/>
      </c>
      <c r="F80" s="29" t="str">
        <f t="shared" si="1"/>
        <v/>
      </c>
      <c r="G80" s="30"/>
      <c r="H80" s="31" t="str">
        <f t="shared" si="2"/>
        <v/>
      </c>
      <c r="I80" s="31" t="str">
        <f>IF($C80="","",INDEX(Taxepunkter!$B:$B,$C80)&amp;" / "&amp;INDEX(Taxepunkter!$C:$C,$C80))</f>
        <v/>
      </c>
      <c r="J80" s="31" t="str">
        <f t="shared" si="3"/>
        <v/>
      </c>
      <c r="K80" s="31" t="str">
        <f>IF($C80="","",INDEX(Taxepunkter!$C:$C,$C80)&amp;IF(INDEX(Taxepunkter!$D:$D,$C80)="","",". "&amp;INDEX(Taxepunkter!$D:$D,$C80)))</f>
        <v/>
      </c>
      <c r="L80" s="31" t="str">
        <f t="shared" si="4"/>
        <v/>
      </c>
      <c r="M80" s="31" t="str">
        <f t="shared" si="5"/>
        <v/>
      </c>
      <c r="N80" s="31" t="str">
        <f t="shared" si="6"/>
        <v/>
      </c>
      <c r="O80" s="31" t="str">
        <f t="shared" si="7"/>
        <v/>
      </c>
      <c r="P80" s="31" t="str">
        <f>IF($C80="","",_xludf.TEXTJOIN(" ",TRUE,INDEX(Taxepunkter!$C:$C,$C80),INDEX(Taxepunkter!$D:$D,$C80)))</f>
        <v/>
      </c>
      <c r="Q80" s="31"/>
      <c r="R80" s="31"/>
      <c r="S80" s="31"/>
      <c r="T80" s="31"/>
      <c r="U80" s="31" t="str">
        <f t="shared" si="8"/>
        <v/>
      </c>
      <c r="V80" s="31"/>
      <c r="W80" s="31" t="str">
        <f t="shared" si="9"/>
        <v/>
      </c>
      <c r="X80" s="31" t="str">
        <f t="shared" si="10"/>
        <v/>
      </c>
      <c r="Y80" s="79" t="str">
        <f t="shared" si="11"/>
        <v/>
      </c>
    </row>
    <row r="81" spans="1:25" x14ac:dyDescent="0.25">
      <c r="A81" s="78" t="str">
        <f>IF($C81="","",INDEX(Taxepunkter!$A:$A,$C81))</f>
        <v/>
      </c>
      <c r="B81" s="29"/>
      <c r="C81" s="29"/>
      <c r="D81" s="29" t="str">
        <f>IF($C81="","",_xludf.TEXTJOIN(" ",TRUE,INDEX(Taxepunkter!$C:$C,$C81),INDEX(Taxepunkter!$D:$D,$C81)))</f>
        <v/>
      </c>
      <c r="E81" s="29" t="str">
        <f t="shared" si="0"/>
        <v/>
      </c>
      <c r="F81" s="29" t="str">
        <f t="shared" si="1"/>
        <v/>
      </c>
      <c r="G81" s="30"/>
      <c r="H81" s="31" t="str">
        <f t="shared" si="2"/>
        <v/>
      </c>
      <c r="I81" s="31" t="str">
        <f>IF($C81="","",INDEX(Taxepunkter!$B:$B,$C81)&amp;" / "&amp;INDEX(Taxepunkter!$C:$C,$C81))</f>
        <v/>
      </c>
      <c r="J81" s="31" t="str">
        <f t="shared" si="3"/>
        <v/>
      </c>
      <c r="K81" s="31" t="str">
        <f>IF($C81="","",INDEX(Taxepunkter!$C:$C,$C81)&amp;IF(INDEX(Taxepunkter!$D:$D,$C81)="","",". "&amp;INDEX(Taxepunkter!$D:$D,$C81)))</f>
        <v/>
      </c>
      <c r="L81" s="31" t="str">
        <f t="shared" si="4"/>
        <v/>
      </c>
      <c r="M81" s="31" t="str">
        <f t="shared" si="5"/>
        <v/>
      </c>
      <c r="N81" s="31" t="str">
        <f t="shared" si="6"/>
        <v/>
      </c>
      <c r="O81" s="31" t="str">
        <f t="shared" si="7"/>
        <v/>
      </c>
      <c r="P81" s="31" t="str">
        <f>IF($C81="","",_xludf.TEXTJOIN(" ",TRUE,INDEX(Taxepunkter!$C:$C,$C81),INDEX(Taxepunkter!$D:$D,$C81)))</f>
        <v/>
      </c>
      <c r="Q81" s="31"/>
      <c r="R81" s="31"/>
      <c r="S81" s="31"/>
      <c r="T81" s="31"/>
      <c r="U81" s="31" t="str">
        <f t="shared" si="8"/>
        <v/>
      </c>
      <c r="V81" s="31"/>
      <c r="W81" s="31" t="str">
        <f t="shared" si="9"/>
        <v/>
      </c>
      <c r="X81" s="31" t="str">
        <f t="shared" si="10"/>
        <v/>
      </c>
      <c r="Y81" s="79" t="str">
        <f t="shared" si="11"/>
        <v/>
      </c>
    </row>
    <row r="82" spans="1:25" x14ac:dyDescent="0.25">
      <c r="A82" s="78" t="str">
        <f>IF($C82="","",INDEX(Taxepunkter!$A:$A,$C82))</f>
        <v/>
      </c>
      <c r="B82" s="29"/>
      <c r="C82" s="29"/>
      <c r="D82" s="29" t="str">
        <f>IF($C82="","",_xludf.TEXTJOIN(" ",TRUE,INDEX(Taxepunkter!$C:$C,$C82),INDEX(Taxepunkter!$D:$D,$C82)))</f>
        <v/>
      </c>
      <c r="E82" s="29" t="str">
        <f t="shared" si="0"/>
        <v/>
      </c>
      <c r="F82" s="29" t="str">
        <f t="shared" si="1"/>
        <v/>
      </c>
      <c r="G82" s="30"/>
      <c r="H82" s="31" t="str">
        <f t="shared" si="2"/>
        <v/>
      </c>
      <c r="I82" s="31" t="str">
        <f>IF($C82="","",INDEX(Taxepunkter!$B:$B,$C82)&amp;" / "&amp;INDEX(Taxepunkter!$C:$C,$C82))</f>
        <v/>
      </c>
      <c r="J82" s="31" t="str">
        <f t="shared" si="3"/>
        <v/>
      </c>
      <c r="K82" s="31" t="str">
        <f>IF($C82="","",INDEX(Taxepunkter!$C:$C,$C82)&amp;IF(INDEX(Taxepunkter!$D:$D,$C82)="","",". "&amp;INDEX(Taxepunkter!$D:$D,$C82)))</f>
        <v/>
      </c>
      <c r="L82" s="31" t="str">
        <f t="shared" si="4"/>
        <v/>
      </c>
      <c r="M82" s="31" t="str">
        <f t="shared" si="5"/>
        <v/>
      </c>
      <c r="N82" s="31" t="str">
        <f t="shared" si="6"/>
        <v/>
      </c>
      <c r="O82" s="31" t="str">
        <f t="shared" si="7"/>
        <v/>
      </c>
      <c r="P82" s="31" t="str">
        <f>IF($C82="","",_xludf.TEXTJOIN(" ",TRUE,INDEX(Taxepunkter!$C:$C,$C82),INDEX(Taxepunkter!$D:$D,$C82)))</f>
        <v/>
      </c>
      <c r="Q82" s="31"/>
      <c r="R82" s="31"/>
      <c r="S82" s="31"/>
      <c r="T82" s="31"/>
      <c r="U82" s="31" t="str">
        <f t="shared" si="8"/>
        <v/>
      </c>
      <c r="V82" s="31"/>
      <c r="W82" s="31" t="str">
        <f t="shared" si="9"/>
        <v/>
      </c>
      <c r="X82" s="31" t="str">
        <f t="shared" si="10"/>
        <v/>
      </c>
      <c r="Y82" s="79" t="str">
        <f t="shared" si="11"/>
        <v/>
      </c>
    </row>
    <row r="83" spans="1:25" x14ac:dyDescent="0.25">
      <c r="A83" s="78" t="str">
        <f>IF($C83="","",INDEX(Taxepunkter!$A:$A,$C83))</f>
        <v/>
      </c>
      <c r="B83" s="29"/>
      <c r="C83" s="29"/>
      <c r="D83" s="29" t="str">
        <f>IF($C83="","",_xludf.TEXTJOIN(" ",TRUE,INDEX(Taxepunkter!$C:$C,$C83),INDEX(Taxepunkter!$D:$D,$C83)))</f>
        <v/>
      </c>
      <c r="E83" s="29" t="str">
        <f t="shared" si="0"/>
        <v/>
      </c>
      <c r="F83" s="29" t="str">
        <f t="shared" si="1"/>
        <v/>
      </c>
      <c r="G83" s="30"/>
      <c r="H83" s="31" t="str">
        <f t="shared" si="2"/>
        <v/>
      </c>
      <c r="I83" s="31" t="str">
        <f>IF($C83="","",INDEX(Taxepunkter!$B:$B,$C83)&amp;" / "&amp;INDEX(Taxepunkter!$C:$C,$C83))</f>
        <v/>
      </c>
      <c r="J83" s="31" t="str">
        <f t="shared" si="3"/>
        <v/>
      </c>
      <c r="K83" s="31" t="str">
        <f>IF($C83="","",INDEX(Taxepunkter!$C:$C,$C83)&amp;IF(INDEX(Taxepunkter!$D:$D,$C83)="","",". "&amp;INDEX(Taxepunkter!$D:$D,$C83)))</f>
        <v/>
      </c>
      <c r="L83" s="31" t="str">
        <f t="shared" si="4"/>
        <v/>
      </c>
      <c r="M83" s="31" t="str">
        <f t="shared" si="5"/>
        <v/>
      </c>
      <c r="N83" s="31" t="str">
        <f t="shared" si="6"/>
        <v/>
      </c>
      <c r="O83" s="31" t="str">
        <f t="shared" si="7"/>
        <v/>
      </c>
      <c r="P83" s="31" t="str">
        <f>IF($C83="","",_xludf.TEXTJOIN(" ",TRUE,INDEX(Taxepunkter!$C:$C,$C83),INDEX(Taxepunkter!$D:$D,$C83)))</f>
        <v/>
      </c>
      <c r="Q83" s="31"/>
      <c r="R83" s="31"/>
      <c r="S83" s="31"/>
      <c r="T83" s="31"/>
      <c r="U83" s="31" t="str">
        <f t="shared" si="8"/>
        <v/>
      </c>
      <c r="V83" s="31"/>
      <c r="W83" s="31" t="str">
        <f t="shared" si="9"/>
        <v/>
      </c>
      <c r="X83" s="31" t="str">
        <f t="shared" si="10"/>
        <v/>
      </c>
      <c r="Y83" s="79" t="str">
        <f t="shared" si="11"/>
        <v/>
      </c>
    </row>
    <row r="84" spans="1:25" x14ac:dyDescent="0.25">
      <c r="A84" s="78" t="str">
        <f>IF($C84="","",INDEX(Taxepunkter!$A:$A,$C84))</f>
        <v/>
      </c>
      <c r="B84" s="29"/>
      <c r="C84" s="29"/>
      <c r="D84" s="29" t="str">
        <f>IF($C84="","",_xludf.TEXTJOIN(" ",TRUE,INDEX(Taxepunkter!$C:$C,$C84),INDEX(Taxepunkter!$D:$D,$C84)))</f>
        <v/>
      </c>
      <c r="E84" s="29" t="str">
        <f t="shared" si="0"/>
        <v/>
      </c>
      <c r="F84" s="29" t="str">
        <f t="shared" si="1"/>
        <v/>
      </c>
      <c r="G84" s="30"/>
      <c r="H84" s="31" t="str">
        <f t="shared" si="2"/>
        <v/>
      </c>
      <c r="I84" s="31" t="str">
        <f>IF($C84="","",INDEX(Taxepunkter!$B:$B,$C84)&amp;" / "&amp;INDEX(Taxepunkter!$C:$C,$C84))</f>
        <v/>
      </c>
      <c r="J84" s="31" t="str">
        <f t="shared" si="3"/>
        <v/>
      </c>
      <c r="K84" s="31" t="str">
        <f>IF($C84="","",INDEX(Taxepunkter!$C:$C,$C84)&amp;IF(INDEX(Taxepunkter!$D:$D,$C84)="","",". "&amp;INDEX(Taxepunkter!$D:$D,$C84)))</f>
        <v/>
      </c>
      <c r="L84" s="31" t="str">
        <f t="shared" si="4"/>
        <v/>
      </c>
      <c r="M84" s="31" t="str">
        <f t="shared" si="5"/>
        <v/>
      </c>
      <c r="N84" s="31" t="str">
        <f t="shared" si="6"/>
        <v/>
      </c>
      <c r="O84" s="31" t="str">
        <f t="shared" si="7"/>
        <v/>
      </c>
      <c r="P84" s="31" t="str">
        <f>IF($C84="","",_xludf.TEXTJOIN(" ",TRUE,INDEX(Taxepunkter!$C:$C,$C84),INDEX(Taxepunkter!$D:$D,$C84)))</f>
        <v/>
      </c>
      <c r="Q84" s="31"/>
      <c r="R84" s="31"/>
      <c r="S84" s="31"/>
      <c r="T84" s="31"/>
      <c r="U84" s="31" t="str">
        <f t="shared" si="8"/>
        <v/>
      </c>
      <c r="V84" s="31"/>
      <c r="W84" s="31" t="str">
        <f t="shared" si="9"/>
        <v/>
      </c>
      <c r="X84" s="31" t="str">
        <f t="shared" si="10"/>
        <v/>
      </c>
      <c r="Y84" s="79" t="str">
        <f t="shared" si="11"/>
        <v/>
      </c>
    </row>
    <row r="85" spans="1:25" x14ac:dyDescent="0.25">
      <c r="A85" s="78" t="str">
        <f>IF($C85="","",INDEX(Taxepunkter!$A:$A,$C85))</f>
        <v/>
      </c>
      <c r="B85" s="29"/>
      <c r="C85" s="29"/>
      <c r="D85" s="29" t="str">
        <f>IF($C85="","",_xludf.TEXTJOIN(" ",TRUE,INDEX(Taxepunkter!$C:$C,$C85),INDEX(Taxepunkter!$D:$D,$C85)))</f>
        <v/>
      </c>
      <c r="E85" s="29" t="str">
        <f t="shared" si="0"/>
        <v/>
      </c>
      <c r="F85" s="29" t="str">
        <f t="shared" si="1"/>
        <v/>
      </c>
      <c r="G85" s="30"/>
      <c r="H85" s="31" t="str">
        <f t="shared" si="2"/>
        <v/>
      </c>
      <c r="I85" s="31" t="str">
        <f>IF($C85="","",INDEX(Taxepunkter!$B:$B,$C85)&amp;" / "&amp;INDEX(Taxepunkter!$C:$C,$C85))</f>
        <v/>
      </c>
      <c r="J85" s="31" t="str">
        <f t="shared" si="3"/>
        <v/>
      </c>
      <c r="K85" s="31" t="str">
        <f>IF($C85="","",INDEX(Taxepunkter!$C:$C,$C85)&amp;IF(INDEX(Taxepunkter!$D:$D,$C85)="","",". "&amp;INDEX(Taxepunkter!$D:$D,$C85)))</f>
        <v/>
      </c>
      <c r="L85" s="31" t="str">
        <f t="shared" si="4"/>
        <v/>
      </c>
      <c r="M85" s="31" t="str">
        <f t="shared" si="5"/>
        <v/>
      </c>
      <c r="N85" s="31" t="str">
        <f t="shared" si="6"/>
        <v/>
      </c>
      <c r="O85" s="31" t="str">
        <f t="shared" si="7"/>
        <v/>
      </c>
      <c r="P85" s="31" t="str">
        <f>IF($C85="","",_xludf.TEXTJOIN(" ",TRUE,INDEX(Taxepunkter!$C:$C,$C85),INDEX(Taxepunkter!$D:$D,$C85)))</f>
        <v/>
      </c>
      <c r="Q85" s="31"/>
      <c r="R85" s="31"/>
      <c r="S85" s="31"/>
      <c r="T85" s="31"/>
      <c r="U85" s="31" t="str">
        <f t="shared" si="8"/>
        <v/>
      </c>
      <c r="V85" s="31"/>
      <c r="W85" s="31" t="str">
        <f t="shared" si="9"/>
        <v/>
      </c>
      <c r="X85" s="31" t="str">
        <f t="shared" si="10"/>
        <v/>
      </c>
      <c r="Y85" s="79" t="str">
        <f t="shared" si="11"/>
        <v/>
      </c>
    </row>
    <row r="86" spans="1:25" x14ac:dyDescent="0.25">
      <c r="A86" s="78" t="str">
        <f>IF($C86="","",INDEX(Taxepunkter!$A:$A,$C86))</f>
        <v/>
      </c>
      <c r="B86" s="29"/>
      <c r="C86" s="29"/>
      <c r="D86" s="29" t="str">
        <f>IF($C86="","",_xludf.TEXTJOIN(" ",TRUE,INDEX(Taxepunkter!$C:$C,$C86),INDEX(Taxepunkter!$D:$D,$C86)))</f>
        <v/>
      </c>
      <c r="E86" s="29" t="str">
        <f t="shared" si="0"/>
        <v/>
      </c>
      <c r="F86" s="29" t="str">
        <f t="shared" si="1"/>
        <v/>
      </c>
      <c r="G86" s="30"/>
      <c r="H86" s="31" t="str">
        <f t="shared" si="2"/>
        <v/>
      </c>
      <c r="I86" s="31" t="str">
        <f>IF($C86="","",INDEX(Taxepunkter!$B:$B,$C86)&amp;" / "&amp;INDEX(Taxepunkter!$C:$C,$C86))</f>
        <v/>
      </c>
      <c r="J86" s="31" t="str">
        <f t="shared" si="3"/>
        <v/>
      </c>
      <c r="K86" s="31" t="str">
        <f>IF($C86="","",INDEX(Taxepunkter!$C:$C,$C86)&amp;IF(INDEX(Taxepunkter!$D:$D,$C86)="","",". "&amp;INDEX(Taxepunkter!$D:$D,$C86)))</f>
        <v/>
      </c>
      <c r="L86" s="31" t="str">
        <f t="shared" si="4"/>
        <v/>
      </c>
      <c r="M86" s="31" t="str">
        <f t="shared" si="5"/>
        <v/>
      </c>
      <c r="N86" s="31" t="str">
        <f t="shared" si="6"/>
        <v/>
      </c>
      <c r="O86" s="31" t="str">
        <f t="shared" si="7"/>
        <v/>
      </c>
      <c r="P86" s="31" t="str">
        <f>IF($C86="","",_xludf.TEXTJOIN(" ",TRUE,INDEX(Taxepunkter!$C:$C,$C86),INDEX(Taxepunkter!$D:$D,$C86)))</f>
        <v/>
      </c>
      <c r="Q86" s="31"/>
      <c r="R86" s="31"/>
      <c r="S86" s="31"/>
      <c r="T86" s="31"/>
      <c r="U86" s="31" t="str">
        <f t="shared" si="8"/>
        <v/>
      </c>
      <c r="V86" s="31"/>
      <c r="W86" s="31" t="str">
        <f t="shared" si="9"/>
        <v/>
      </c>
      <c r="X86" s="31" t="str">
        <f t="shared" si="10"/>
        <v/>
      </c>
      <c r="Y86" s="79" t="str">
        <f t="shared" si="11"/>
        <v/>
      </c>
    </row>
    <row r="87" spans="1:25" x14ac:dyDescent="0.25">
      <c r="A87" s="78" t="str">
        <f>IF($C87="","",INDEX(Taxepunkter!$A:$A,$C87))</f>
        <v/>
      </c>
      <c r="B87" s="29"/>
      <c r="C87" s="29"/>
      <c r="D87" s="29" t="str">
        <f>IF($C87="","",_xludf.TEXTJOIN(" ",TRUE,INDEX(Taxepunkter!$C:$C,$C87),INDEX(Taxepunkter!$D:$D,$C87)))</f>
        <v/>
      </c>
      <c r="E87" s="29" t="str">
        <f t="shared" si="0"/>
        <v/>
      </c>
      <c r="F87" s="29" t="str">
        <f t="shared" si="1"/>
        <v/>
      </c>
      <c r="G87" s="30"/>
      <c r="H87" s="31" t="str">
        <f t="shared" si="2"/>
        <v/>
      </c>
      <c r="I87" s="31" t="str">
        <f>IF($C87="","",INDEX(Taxepunkter!$B:$B,$C87)&amp;" / "&amp;INDEX(Taxepunkter!$C:$C,$C87))</f>
        <v/>
      </c>
      <c r="J87" s="31" t="str">
        <f t="shared" si="3"/>
        <v/>
      </c>
      <c r="K87" s="31" t="str">
        <f>IF($C87="","",INDEX(Taxepunkter!$C:$C,$C87)&amp;IF(INDEX(Taxepunkter!$D:$D,$C87)="","",". "&amp;INDEX(Taxepunkter!$D:$D,$C87)))</f>
        <v/>
      </c>
      <c r="L87" s="31" t="str">
        <f t="shared" si="4"/>
        <v/>
      </c>
      <c r="M87" s="31" t="str">
        <f t="shared" si="5"/>
        <v/>
      </c>
      <c r="N87" s="31" t="str">
        <f t="shared" si="6"/>
        <v/>
      </c>
      <c r="O87" s="31" t="str">
        <f t="shared" si="7"/>
        <v/>
      </c>
      <c r="P87" s="31" t="str">
        <f>IF($C87="","",_xludf.TEXTJOIN(" ",TRUE,INDEX(Taxepunkter!$C:$C,$C87),INDEX(Taxepunkter!$D:$D,$C87)))</f>
        <v/>
      </c>
      <c r="Q87" s="31"/>
      <c r="R87" s="31"/>
      <c r="S87" s="31"/>
      <c r="T87" s="31"/>
      <c r="U87" s="31" t="str">
        <f t="shared" si="8"/>
        <v/>
      </c>
      <c r="V87" s="31"/>
      <c r="W87" s="31" t="str">
        <f t="shared" si="9"/>
        <v/>
      </c>
      <c r="X87" s="31" t="str">
        <f t="shared" si="10"/>
        <v/>
      </c>
      <c r="Y87" s="79" t="str">
        <f t="shared" si="11"/>
        <v/>
      </c>
    </row>
    <row r="88" spans="1:25" x14ac:dyDescent="0.25">
      <c r="A88" s="78" t="str">
        <f>IF($C88="","",INDEX(Taxepunkter!$A:$A,$C88))</f>
        <v/>
      </c>
      <c r="B88" s="29"/>
      <c r="C88" s="29"/>
      <c r="D88" s="29" t="str">
        <f>IF($C88="","",_xludf.TEXTJOIN(" ",TRUE,INDEX(Taxepunkter!$C:$C,$C88),INDEX(Taxepunkter!$D:$D,$C88)))</f>
        <v/>
      </c>
      <c r="E88" s="29" t="str">
        <f t="shared" si="0"/>
        <v/>
      </c>
      <c r="F88" s="29" t="str">
        <f t="shared" si="1"/>
        <v/>
      </c>
      <c r="G88" s="30"/>
      <c r="H88" s="31" t="str">
        <f t="shared" si="2"/>
        <v/>
      </c>
      <c r="I88" s="31" t="str">
        <f>IF($C88="","",INDEX(Taxepunkter!$B:$B,$C88)&amp;" / "&amp;INDEX(Taxepunkter!$C:$C,$C88))</f>
        <v/>
      </c>
      <c r="J88" s="31" t="str">
        <f t="shared" si="3"/>
        <v/>
      </c>
      <c r="K88" s="31" t="str">
        <f>IF($C88="","",INDEX(Taxepunkter!$C:$C,$C88)&amp;IF(INDEX(Taxepunkter!$D:$D,$C88)="","",". "&amp;INDEX(Taxepunkter!$D:$D,$C88)))</f>
        <v/>
      </c>
      <c r="L88" s="31" t="str">
        <f t="shared" si="4"/>
        <v/>
      </c>
      <c r="M88" s="31" t="str">
        <f t="shared" si="5"/>
        <v/>
      </c>
      <c r="N88" s="31" t="str">
        <f t="shared" si="6"/>
        <v/>
      </c>
      <c r="O88" s="31" t="str">
        <f t="shared" si="7"/>
        <v/>
      </c>
      <c r="P88" s="31" t="str">
        <f>IF($C88="","",_xludf.TEXTJOIN(" ",TRUE,INDEX(Taxepunkter!$C:$C,$C88),INDEX(Taxepunkter!$D:$D,$C88)))</f>
        <v/>
      </c>
      <c r="Q88" s="31"/>
      <c r="R88" s="31"/>
      <c r="S88" s="31"/>
      <c r="T88" s="31"/>
      <c r="U88" s="31" t="str">
        <f t="shared" si="8"/>
        <v/>
      </c>
      <c r="V88" s="31"/>
      <c r="W88" s="31" t="str">
        <f t="shared" si="9"/>
        <v/>
      </c>
      <c r="X88" s="31" t="str">
        <f t="shared" si="10"/>
        <v/>
      </c>
      <c r="Y88" s="79" t="str">
        <f t="shared" si="11"/>
        <v/>
      </c>
    </row>
    <row r="89" spans="1:25" x14ac:dyDescent="0.25">
      <c r="A89" s="78" t="str">
        <f>IF($C89="","",INDEX(Taxepunkter!$A:$A,$C89))</f>
        <v/>
      </c>
      <c r="B89" s="29"/>
      <c r="C89" s="29"/>
      <c r="D89" s="29" t="str">
        <f>IF($C89="","",_xludf.TEXTJOIN(" ",TRUE,INDEX(Taxepunkter!$C:$C,$C89),INDEX(Taxepunkter!$D:$D,$C89)))</f>
        <v/>
      </c>
      <c r="E89" s="29" t="str">
        <f t="shared" si="0"/>
        <v/>
      </c>
      <c r="F89" s="29" t="str">
        <f t="shared" si="1"/>
        <v/>
      </c>
      <c r="G89" s="30"/>
      <c r="H89" s="31" t="str">
        <f t="shared" si="2"/>
        <v/>
      </c>
      <c r="I89" s="31" t="str">
        <f>IF($C89="","",INDEX(Taxepunkter!$B:$B,$C89)&amp;" / "&amp;INDEX(Taxepunkter!$C:$C,$C89))</f>
        <v/>
      </c>
      <c r="J89" s="31" t="str">
        <f t="shared" si="3"/>
        <v/>
      </c>
      <c r="K89" s="31" t="str">
        <f>IF($C89="","",INDEX(Taxepunkter!$C:$C,$C89)&amp;IF(INDEX(Taxepunkter!$D:$D,$C89)="","",". "&amp;INDEX(Taxepunkter!$D:$D,$C89)))</f>
        <v/>
      </c>
      <c r="L89" s="31" t="str">
        <f t="shared" si="4"/>
        <v/>
      </c>
      <c r="M89" s="31" t="str">
        <f t="shared" si="5"/>
        <v/>
      </c>
      <c r="N89" s="31" t="str">
        <f t="shared" si="6"/>
        <v/>
      </c>
      <c r="O89" s="31" t="str">
        <f t="shared" si="7"/>
        <v/>
      </c>
      <c r="P89" s="31" t="str">
        <f>IF($C89="","",_xludf.TEXTJOIN(" ",TRUE,INDEX(Taxepunkter!$C:$C,$C89),INDEX(Taxepunkter!$D:$D,$C89)))</f>
        <v/>
      </c>
      <c r="Q89" s="31"/>
      <c r="R89" s="31"/>
      <c r="S89" s="31"/>
      <c r="T89" s="31"/>
      <c r="U89" s="31" t="str">
        <f t="shared" si="8"/>
        <v/>
      </c>
      <c r="V89" s="31"/>
      <c r="W89" s="31" t="str">
        <f t="shared" si="9"/>
        <v/>
      </c>
      <c r="X89" s="31" t="str">
        <f t="shared" si="10"/>
        <v/>
      </c>
      <c r="Y89" s="79" t="str">
        <f t="shared" si="11"/>
        <v/>
      </c>
    </row>
    <row r="90" spans="1:25" x14ac:dyDescent="0.25">
      <c r="A90" s="78" t="str">
        <f>IF($C90="","",INDEX(Taxepunkter!$A:$A,$C90))</f>
        <v/>
      </c>
      <c r="B90" s="29"/>
      <c r="C90" s="29"/>
      <c r="D90" s="29" t="str">
        <f>IF($C90="","",_xludf.TEXTJOIN(" ",TRUE,INDEX(Taxepunkter!$C:$C,$C90),INDEX(Taxepunkter!$D:$D,$C90)))</f>
        <v/>
      </c>
      <c r="E90" s="29" t="str">
        <f t="shared" si="0"/>
        <v/>
      </c>
      <c r="F90" s="29" t="str">
        <f t="shared" si="1"/>
        <v/>
      </c>
      <c r="G90" s="30"/>
      <c r="H90" s="31" t="str">
        <f t="shared" si="2"/>
        <v/>
      </c>
      <c r="I90" s="31" t="str">
        <f>IF($C90="","",INDEX(Taxepunkter!$B:$B,$C90)&amp;" / "&amp;INDEX(Taxepunkter!$C:$C,$C90))</f>
        <v/>
      </c>
      <c r="J90" s="31" t="str">
        <f t="shared" si="3"/>
        <v/>
      </c>
      <c r="K90" s="31" t="str">
        <f>IF($C90="","",INDEX(Taxepunkter!$C:$C,$C90)&amp;IF(INDEX(Taxepunkter!$D:$D,$C90)="","",". "&amp;INDEX(Taxepunkter!$D:$D,$C90)))</f>
        <v/>
      </c>
      <c r="L90" s="31" t="str">
        <f t="shared" si="4"/>
        <v/>
      </c>
      <c r="M90" s="31" t="str">
        <f t="shared" si="5"/>
        <v/>
      </c>
      <c r="N90" s="31" t="str">
        <f t="shared" si="6"/>
        <v/>
      </c>
      <c r="O90" s="31" t="str">
        <f t="shared" si="7"/>
        <v/>
      </c>
      <c r="P90" s="31" t="str">
        <f>IF($C90="","",_xludf.TEXTJOIN(" ",TRUE,INDEX(Taxepunkter!$C:$C,$C90),INDEX(Taxepunkter!$D:$D,$C90)))</f>
        <v/>
      </c>
      <c r="Q90" s="31"/>
      <c r="R90" s="31"/>
      <c r="S90" s="31"/>
      <c r="T90" s="31"/>
      <c r="U90" s="31" t="str">
        <f t="shared" si="8"/>
        <v/>
      </c>
      <c r="V90" s="31"/>
      <c r="W90" s="31" t="str">
        <f t="shared" si="9"/>
        <v/>
      </c>
      <c r="X90" s="31" t="str">
        <f t="shared" si="10"/>
        <v/>
      </c>
      <c r="Y90" s="79" t="str">
        <f t="shared" si="11"/>
        <v/>
      </c>
    </row>
    <row r="91" spans="1:25" x14ac:dyDescent="0.25">
      <c r="A91" s="78" t="str">
        <f>IF($C91="","",INDEX(Taxepunkter!$A:$A,$C91))</f>
        <v/>
      </c>
      <c r="B91" s="29"/>
      <c r="C91" s="29"/>
      <c r="D91" s="29" t="str">
        <f>IF($C91="","",_xludf.TEXTJOIN(" ",TRUE,INDEX(Taxepunkter!$C:$C,$C91),INDEX(Taxepunkter!$D:$D,$C91)))</f>
        <v/>
      </c>
      <c r="E91" s="29" t="str">
        <f t="shared" si="0"/>
        <v/>
      </c>
      <c r="F91" s="29" t="str">
        <f t="shared" si="1"/>
        <v/>
      </c>
      <c r="G91" s="30"/>
      <c r="H91" s="31" t="str">
        <f t="shared" si="2"/>
        <v/>
      </c>
      <c r="I91" s="31" t="str">
        <f>IF($C91="","",INDEX(Taxepunkter!$B:$B,$C91)&amp;" / "&amp;INDEX(Taxepunkter!$C:$C,$C91))</f>
        <v/>
      </c>
      <c r="J91" s="31" t="str">
        <f t="shared" si="3"/>
        <v/>
      </c>
      <c r="K91" s="31" t="str">
        <f>IF($C91="","",INDEX(Taxepunkter!$C:$C,$C91)&amp;IF(INDEX(Taxepunkter!$D:$D,$C91)="","",". "&amp;INDEX(Taxepunkter!$D:$D,$C91)))</f>
        <v/>
      </c>
      <c r="L91" s="31" t="str">
        <f t="shared" si="4"/>
        <v/>
      </c>
      <c r="M91" s="31" t="str">
        <f t="shared" si="5"/>
        <v/>
      </c>
      <c r="N91" s="31" t="str">
        <f t="shared" si="6"/>
        <v/>
      </c>
      <c r="O91" s="31" t="str">
        <f t="shared" si="7"/>
        <v/>
      </c>
      <c r="P91" s="31" t="str">
        <f>IF($C91="","",_xludf.TEXTJOIN(" ",TRUE,INDEX(Taxepunkter!$C:$C,$C91),INDEX(Taxepunkter!$D:$D,$C91)))</f>
        <v/>
      </c>
      <c r="Q91" s="31"/>
      <c r="R91" s="31"/>
      <c r="S91" s="31"/>
      <c r="T91" s="31"/>
      <c r="U91" s="31" t="str">
        <f t="shared" si="8"/>
        <v/>
      </c>
      <c r="V91" s="31"/>
      <c r="W91" s="31" t="str">
        <f t="shared" si="9"/>
        <v/>
      </c>
      <c r="X91" s="31" t="str">
        <f t="shared" si="10"/>
        <v/>
      </c>
      <c r="Y91" s="79" t="str">
        <f t="shared" si="11"/>
        <v/>
      </c>
    </row>
    <row r="92" spans="1:25" x14ac:dyDescent="0.25">
      <c r="A92" s="78" t="str">
        <f>IF($C92="","",INDEX(Taxepunkter!$A:$A,$C92))</f>
        <v/>
      </c>
      <c r="B92" s="29"/>
      <c r="C92" s="29"/>
      <c r="D92" s="29" t="str">
        <f>IF($C92="","",_xludf.TEXTJOIN(" ",TRUE,INDEX(Taxepunkter!$C:$C,$C92),INDEX(Taxepunkter!$D:$D,$C92)))</f>
        <v/>
      </c>
      <c r="E92" s="29" t="str">
        <f t="shared" si="0"/>
        <v/>
      </c>
      <c r="F92" s="29" t="str">
        <f t="shared" si="1"/>
        <v/>
      </c>
      <c r="G92" s="30"/>
      <c r="H92" s="31" t="str">
        <f t="shared" si="2"/>
        <v/>
      </c>
      <c r="I92" s="31" t="str">
        <f>IF($C92="","",INDEX(Taxepunkter!$B:$B,$C92)&amp;" / "&amp;INDEX(Taxepunkter!$C:$C,$C92))</f>
        <v/>
      </c>
      <c r="J92" s="31" t="str">
        <f t="shared" si="3"/>
        <v/>
      </c>
      <c r="K92" s="31" t="str">
        <f>IF($C92="","",INDEX(Taxepunkter!$C:$C,$C92)&amp;IF(INDEX(Taxepunkter!$D:$D,$C92)="","",". "&amp;INDEX(Taxepunkter!$D:$D,$C92)))</f>
        <v/>
      </c>
      <c r="L92" s="31" t="str">
        <f t="shared" si="4"/>
        <v/>
      </c>
      <c r="M92" s="31" t="str">
        <f t="shared" si="5"/>
        <v/>
      </c>
      <c r="N92" s="31" t="str">
        <f t="shared" si="6"/>
        <v/>
      </c>
      <c r="O92" s="31" t="str">
        <f t="shared" si="7"/>
        <v/>
      </c>
      <c r="P92" s="31" t="str">
        <f>IF($C92="","",_xludf.TEXTJOIN(" ",TRUE,INDEX(Taxepunkter!$C:$C,$C92),INDEX(Taxepunkter!$D:$D,$C92)))</f>
        <v/>
      </c>
      <c r="Q92" s="31"/>
      <c r="R92" s="31"/>
      <c r="S92" s="31"/>
      <c r="T92" s="31"/>
      <c r="U92" s="31" t="str">
        <f t="shared" si="8"/>
        <v/>
      </c>
      <c r="V92" s="31"/>
      <c r="W92" s="31" t="str">
        <f t="shared" si="9"/>
        <v/>
      </c>
      <c r="X92" s="31" t="str">
        <f t="shared" si="10"/>
        <v/>
      </c>
      <c r="Y92" s="79" t="str">
        <f t="shared" si="11"/>
        <v/>
      </c>
    </row>
    <row r="93" spans="1:25" x14ac:dyDescent="0.25">
      <c r="A93" s="78" t="str">
        <f>IF($C93="","",INDEX(Taxepunkter!$A:$A,$C93))</f>
        <v/>
      </c>
      <c r="B93" s="29"/>
      <c r="C93" s="29"/>
      <c r="D93" s="29" t="str">
        <f>IF($C93="","",_xludf.TEXTJOIN(" ",TRUE,INDEX(Taxepunkter!$C:$C,$C93),INDEX(Taxepunkter!$D:$D,$C93)))</f>
        <v/>
      </c>
      <c r="E93" s="29" t="str">
        <f t="shared" si="0"/>
        <v/>
      </c>
      <c r="F93" s="29" t="str">
        <f t="shared" si="1"/>
        <v/>
      </c>
      <c r="G93" s="30"/>
      <c r="H93" s="31" t="str">
        <f t="shared" si="2"/>
        <v/>
      </c>
      <c r="I93" s="31" t="str">
        <f>IF($C93="","",INDEX(Taxepunkter!$B:$B,$C93)&amp;" / "&amp;INDEX(Taxepunkter!$C:$C,$C93))</f>
        <v/>
      </c>
      <c r="J93" s="31" t="str">
        <f t="shared" si="3"/>
        <v/>
      </c>
      <c r="K93" s="31" t="str">
        <f>IF($C93="","",INDEX(Taxepunkter!$C:$C,$C93)&amp;IF(INDEX(Taxepunkter!$D:$D,$C93)="","",". "&amp;INDEX(Taxepunkter!$D:$D,$C93)))</f>
        <v/>
      </c>
      <c r="L93" s="31" t="str">
        <f t="shared" si="4"/>
        <v/>
      </c>
      <c r="M93" s="31" t="str">
        <f t="shared" si="5"/>
        <v/>
      </c>
      <c r="N93" s="31" t="str">
        <f t="shared" si="6"/>
        <v/>
      </c>
      <c r="O93" s="31" t="str">
        <f t="shared" si="7"/>
        <v/>
      </c>
      <c r="P93" s="31" t="str">
        <f>IF($C93="","",_xludf.TEXTJOIN(" ",TRUE,INDEX(Taxepunkter!$C:$C,$C93),INDEX(Taxepunkter!$D:$D,$C93)))</f>
        <v/>
      </c>
      <c r="Q93" s="31"/>
      <c r="R93" s="31"/>
      <c r="S93" s="31"/>
      <c r="T93" s="31"/>
      <c r="U93" s="31" t="str">
        <f t="shared" si="8"/>
        <v/>
      </c>
      <c r="V93" s="31"/>
      <c r="W93" s="31" t="str">
        <f t="shared" si="9"/>
        <v/>
      </c>
      <c r="X93" s="31" t="str">
        <f t="shared" si="10"/>
        <v/>
      </c>
      <c r="Y93" s="79" t="str">
        <f t="shared" si="11"/>
        <v/>
      </c>
    </row>
    <row r="94" spans="1:25" x14ac:dyDescent="0.25">
      <c r="A94" s="78" t="str">
        <f>IF($C94="","",INDEX(Taxepunkter!$A:$A,$C94))</f>
        <v/>
      </c>
      <c r="B94" s="29"/>
      <c r="C94" s="29"/>
      <c r="D94" s="29" t="str">
        <f>IF($C94="","",_xludf.TEXTJOIN(" ",TRUE,INDEX(Taxepunkter!$C:$C,$C94),INDEX(Taxepunkter!$D:$D,$C94)))</f>
        <v/>
      </c>
      <c r="E94" s="29" t="str">
        <f t="shared" si="0"/>
        <v/>
      </c>
      <c r="F94" s="29" t="str">
        <f t="shared" si="1"/>
        <v/>
      </c>
      <c r="G94" s="30"/>
      <c r="H94" s="31" t="str">
        <f t="shared" si="2"/>
        <v/>
      </c>
      <c r="I94" s="31" t="str">
        <f>IF($C94="","",INDEX(Taxepunkter!$B:$B,$C94)&amp;" / "&amp;INDEX(Taxepunkter!$C:$C,$C94))</f>
        <v/>
      </c>
      <c r="J94" s="31" t="str">
        <f t="shared" si="3"/>
        <v/>
      </c>
      <c r="K94" s="31" t="str">
        <f>IF($C94="","",INDEX(Taxepunkter!$C:$C,$C94)&amp;IF(INDEX(Taxepunkter!$D:$D,$C94)="","",". "&amp;INDEX(Taxepunkter!$D:$D,$C94)))</f>
        <v/>
      </c>
      <c r="L94" s="31" t="str">
        <f t="shared" si="4"/>
        <v/>
      </c>
      <c r="M94" s="31" t="str">
        <f t="shared" si="5"/>
        <v/>
      </c>
      <c r="N94" s="31" t="str">
        <f t="shared" si="6"/>
        <v/>
      </c>
      <c r="O94" s="31" t="str">
        <f t="shared" si="7"/>
        <v/>
      </c>
      <c r="P94" s="31" t="str">
        <f>IF($C94="","",_xludf.TEXTJOIN(" ",TRUE,INDEX(Taxepunkter!$C:$C,$C94),INDEX(Taxepunkter!$D:$D,$C94)))</f>
        <v/>
      </c>
      <c r="Q94" s="31"/>
      <c r="R94" s="31"/>
      <c r="S94" s="31"/>
      <c r="T94" s="31"/>
      <c r="U94" s="31" t="str">
        <f t="shared" si="8"/>
        <v/>
      </c>
      <c r="V94" s="31"/>
      <c r="W94" s="31" t="str">
        <f t="shared" si="9"/>
        <v/>
      </c>
      <c r="X94" s="31" t="str">
        <f t="shared" si="10"/>
        <v/>
      </c>
      <c r="Y94" s="79" t="str">
        <f t="shared" si="11"/>
        <v/>
      </c>
    </row>
    <row r="95" spans="1:25" x14ac:dyDescent="0.25">
      <c r="A95" s="78" t="str">
        <f>IF($C95="","",INDEX(Taxepunkter!$A:$A,$C95))</f>
        <v/>
      </c>
      <c r="B95" s="29"/>
      <c r="C95" s="29"/>
      <c r="D95" s="29" t="str">
        <f>IF($C95="","",_xludf.TEXTJOIN(" ",TRUE,INDEX(Taxepunkter!$C:$C,$C95),INDEX(Taxepunkter!$D:$D,$C95)))</f>
        <v/>
      </c>
      <c r="E95" s="29" t="str">
        <f t="shared" si="0"/>
        <v/>
      </c>
      <c r="F95" s="29" t="str">
        <f t="shared" si="1"/>
        <v/>
      </c>
      <c r="G95" s="30"/>
      <c r="H95" s="31" t="str">
        <f t="shared" si="2"/>
        <v/>
      </c>
      <c r="I95" s="31" t="str">
        <f>IF($C95="","",INDEX(Taxepunkter!$B:$B,$C95)&amp;" / "&amp;INDEX(Taxepunkter!$C:$C,$C95))</f>
        <v/>
      </c>
      <c r="J95" s="31" t="str">
        <f t="shared" si="3"/>
        <v/>
      </c>
      <c r="K95" s="31" t="str">
        <f>IF($C95="","",INDEX(Taxepunkter!$C:$C,$C95)&amp;IF(INDEX(Taxepunkter!$D:$D,$C95)="","",". "&amp;INDEX(Taxepunkter!$D:$D,$C95)))</f>
        <v/>
      </c>
      <c r="L95" s="31" t="str">
        <f t="shared" si="4"/>
        <v/>
      </c>
      <c r="M95" s="31" t="str">
        <f t="shared" si="5"/>
        <v/>
      </c>
      <c r="N95" s="31" t="str">
        <f t="shared" si="6"/>
        <v/>
      </c>
      <c r="O95" s="31" t="str">
        <f t="shared" si="7"/>
        <v/>
      </c>
      <c r="P95" s="31" t="str">
        <f>IF($C95="","",_xludf.TEXTJOIN(" ",TRUE,INDEX(Taxepunkter!$C:$C,$C95),INDEX(Taxepunkter!$D:$D,$C95)))</f>
        <v/>
      </c>
      <c r="Q95" s="31"/>
      <c r="R95" s="31"/>
      <c r="S95" s="31"/>
      <c r="T95" s="31"/>
      <c r="U95" s="31" t="str">
        <f t="shared" si="8"/>
        <v/>
      </c>
      <c r="V95" s="31"/>
      <c r="W95" s="31" t="str">
        <f t="shared" si="9"/>
        <v/>
      </c>
      <c r="X95" s="31" t="str">
        <f t="shared" si="10"/>
        <v/>
      </c>
      <c r="Y95" s="79" t="str">
        <f t="shared" si="11"/>
        <v/>
      </c>
    </row>
    <row r="96" spans="1:25" x14ac:dyDescent="0.25">
      <c r="A96" s="78" t="str">
        <f>IF($C96="","",INDEX(Taxepunkter!$A:$A,$C96))</f>
        <v/>
      </c>
      <c r="B96" s="29"/>
      <c r="C96" s="29"/>
      <c r="D96" s="29" t="str">
        <f>IF($C96="","",_xludf.TEXTJOIN(" ",TRUE,INDEX(Taxepunkter!$C:$C,$C96),INDEX(Taxepunkter!$D:$D,$C96)))</f>
        <v/>
      </c>
      <c r="E96" s="29" t="str">
        <f t="shared" si="0"/>
        <v/>
      </c>
      <c r="F96" s="29" t="str">
        <f t="shared" si="1"/>
        <v/>
      </c>
      <c r="G96" s="30"/>
      <c r="H96" s="31" t="str">
        <f t="shared" si="2"/>
        <v/>
      </c>
      <c r="I96" s="31" t="str">
        <f>IF($C96="","",INDEX(Taxepunkter!$B:$B,$C96)&amp;" / "&amp;INDEX(Taxepunkter!$C:$C,$C96))</f>
        <v/>
      </c>
      <c r="J96" s="31" t="str">
        <f t="shared" si="3"/>
        <v/>
      </c>
      <c r="K96" s="31" t="str">
        <f>IF($C96="","",INDEX(Taxepunkter!$C:$C,$C96)&amp;IF(INDEX(Taxepunkter!$D:$D,$C96)="","",". "&amp;INDEX(Taxepunkter!$D:$D,$C96)))</f>
        <v/>
      </c>
      <c r="L96" s="31" t="str">
        <f t="shared" si="4"/>
        <v/>
      </c>
      <c r="M96" s="31" t="str">
        <f t="shared" si="5"/>
        <v/>
      </c>
      <c r="N96" s="31" t="str">
        <f t="shared" si="6"/>
        <v/>
      </c>
      <c r="O96" s="31" t="str">
        <f t="shared" si="7"/>
        <v/>
      </c>
      <c r="P96" s="31" t="str">
        <f>IF($C96="","",_xludf.TEXTJOIN(" ",TRUE,INDEX(Taxepunkter!$C:$C,$C96),INDEX(Taxepunkter!$D:$D,$C96)))</f>
        <v/>
      </c>
      <c r="Q96" s="31"/>
      <c r="R96" s="31"/>
      <c r="S96" s="31"/>
      <c r="T96" s="31"/>
      <c r="U96" s="31" t="str">
        <f t="shared" si="8"/>
        <v/>
      </c>
      <c r="V96" s="31"/>
      <c r="W96" s="31" t="str">
        <f t="shared" si="9"/>
        <v/>
      </c>
      <c r="X96" s="31" t="str">
        <f t="shared" si="10"/>
        <v/>
      </c>
      <c r="Y96" s="79" t="str">
        <f t="shared" si="11"/>
        <v/>
      </c>
    </row>
    <row r="97" spans="1:25" x14ac:dyDescent="0.25">
      <c r="A97" s="78" t="str">
        <f>IF($C97="","",INDEX(Taxepunkter!$A:$A,$C97))</f>
        <v/>
      </c>
      <c r="B97" s="29"/>
      <c r="C97" s="29"/>
      <c r="D97" s="29" t="str">
        <f>IF($C97="","",_xludf.TEXTJOIN(" ",TRUE,INDEX(Taxepunkter!$C:$C,$C97),INDEX(Taxepunkter!$D:$D,$C97)))</f>
        <v/>
      </c>
      <c r="E97" s="29" t="str">
        <f t="shared" si="0"/>
        <v/>
      </c>
      <c r="F97" s="29" t="str">
        <f t="shared" si="1"/>
        <v/>
      </c>
      <c r="G97" s="30"/>
      <c r="H97" s="31" t="str">
        <f t="shared" si="2"/>
        <v/>
      </c>
      <c r="I97" s="31" t="str">
        <f>IF($C97="","",INDEX(Taxepunkter!$B:$B,$C97)&amp;" / "&amp;INDEX(Taxepunkter!$C:$C,$C97))</f>
        <v/>
      </c>
      <c r="J97" s="31" t="str">
        <f t="shared" si="3"/>
        <v/>
      </c>
      <c r="K97" s="31" t="str">
        <f>IF($C97="","",INDEX(Taxepunkter!$C:$C,$C97)&amp;IF(INDEX(Taxepunkter!$D:$D,$C97)="","",". "&amp;INDEX(Taxepunkter!$D:$D,$C97)))</f>
        <v/>
      </c>
      <c r="L97" s="31" t="str">
        <f t="shared" si="4"/>
        <v/>
      </c>
      <c r="M97" s="31" t="str">
        <f t="shared" si="5"/>
        <v/>
      </c>
      <c r="N97" s="31" t="str">
        <f t="shared" si="6"/>
        <v/>
      </c>
      <c r="O97" s="31" t="str">
        <f t="shared" si="7"/>
        <v/>
      </c>
      <c r="P97" s="31" t="str">
        <f>IF($C97="","",_xludf.TEXTJOIN(" ",TRUE,INDEX(Taxepunkter!$C:$C,$C97),INDEX(Taxepunkter!$D:$D,$C97)))</f>
        <v/>
      </c>
      <c r="Q97" s="31"/>
      <c r="R97" s="31"/>
      <c r="S97" s="31"/>
      <c r="T97" s="31"/>
      <c r="U97" s="31" t="str">
        <f t="shared" si="8"/>
        <v/>
      </c>
      <c r="V97" s="31"/>
      <c r="W97" s="31" t="str">
        <f t="shared" si="9"/>
        <v/>
      </c>
      <c r="X97" s="31" t="str">
        <f t="shared" si="10"/>
        <v/>
      </c>
      <c r="Y97" s="79" t="str">
        <f t="shared" si="11"/>
        <v/>
      </c>
    </row>
    <row r="98" spans="1:25" x14ac:dyDescent="0.25">
      <c r="A98" s="78" t="str">
        <f>IF($C98="","",INDEX(Taxepunkter!$A:$A,$C98))</f>
        <v/>
      </c>
      <c r="B98" s="29"/>
      <c r="C98" s="29"/>
      <c r="D98" s="29" t="str">
        <f>IF($C98="","",_xludf.TEXTJOIN(" ",TRUE,INDEX(Taxepunkter!$C:$C,$C98),INDEX(Taxepunkter!$D:$D,$C98)))</f>
        <v/>
      </c>
      <c r="E98" s="29" t="str">
        <f t="shared" si="0"/>
        <v/>
      </c>
      <c r="F98" s="29" t="str">
        <f t="shared" si="1"/>
        <v/>
      </c>
      <c r="G98" s="30"/>
      <c r="H98" s="31" t="str">
        <f t="shared" si="2"/>
        <v/>
      </c>
      <c r="I98" s="31" t="str">
        <f>IF($C98="","",INDEX(Taxepunkter!$B:$B,$C98)&amp;" / "&amp;INDEX(Taxepunkter!$C:$C,$C98))</f>
        <v/>
      </c>
      <c r="J98" s="31" t="str">
        <f t="shared" si="3"/>
        <v/>
      </c>
      <c r="K98" s="31" t="str">
        <f>IF($C98="","",INDEX(Taxepunkter!$C:$C,$C98)&amp;IF(INDEX(Taxepunkter!$D:$D,$C98)="","",". "&amp;INDEX(Taxepunkter!$D:$D,$C98)))</f>
        <v/>
      </c>
      <c r="L98" s="31" t="str">
        <f t="shared" si="4"/>
        <v/>
      </c>
      <c r="M98" s="31" t="str">
        <f t="shared" si="5"/>
        <v/>
      </c>
      <c r="N98" s="31" t="str">
        <f t="shared" si="6"/>
        <v/>
      </c>
      <c r="O98" s="31" t="str">
        <f t="shared" si="7"/>
        <v/>
      </c>
      <c r="P98" s="31" t="str">
        <f>IF($C98="","",_xludf.TEXTJOIN(" ",TRUE,INDEX(Taxepunkter!$C:$C,$C98),INDEX(Taxepunkter!$D:$D,$C98)))</f>
        <v/>
      </c>
      <c r="Q98" s="31"/>
      <c r="R98" s="31"/>
      <c r="S98" s="31"/>
      <c r="T98" s="31"/>
      <c r="U98" s="31" t="str">
        <f t="shared" si="8"/>
        <v/>
      </c>
      <c r="V98" s="31"/>
      <c r="W98" s="31" t="str">
        <f t="shared" si="9"/>
        <v/>
      </c>
      <c r="X98" s="31" t="str">
        <f t="shared" si="10"/>
        <v/>
      </c>
      <c r="Y98" s="79" t="str">
        <f t="shared" si="11"/>
        <v/>
      </c>
    </row>
    <row r="99" spans="1:25" x14ac:dyDescent="0.25">
      <c r="A99" s="78" t="str">
        <f>IF($C99="","",INDEX(Taxepunkter!$A:$A,$C99))</f>
        <v/>
      </c>
      <c r="B99" s="29"/>
      <c r="C99" s="29"/>
      <c r="D99" s="29" t="str">
        <f>IF($C99="","",_xludf.TEXTJOIN(" ",TRUE,INDEX(Taxepunkter!$C:$C,$C99),INDEX(Taxepunkter!$D:$D,$C99)))</f>
        <v/>
      </c>
      <c r="E99" s="29" t="str">
        <f t="shared" si="0"/>
        <v/>
      </c>
      <c r="F99" s="29" t="str">
        <f t="shared" si="1"/>
        <v/>
      </c>
      <c r="G99" s="30"/>
      <c r="H99" s="31" t="str">
        <f t="shared" si="2"/>
        <v/>
      </c>
      <c r="I99" s="31" t="str">
        <f>IF($C99="","",INDEX(Taxepunkter!$B:$B,$C99)&amp;" / "&amp;INDEX(Taxepunkter!$C:$C,$C99))</f>
        <v/>
      </c>
      <c r="J99" s="31" t="str">
        <f t="shared" si="3"/>
        <v/>
      </c>
      <c r="K99" s="31" t="str">
        <f>IF($C99="","",INDEX(Taxepunkter!$C:$C,$C99)&amp;IF(INDEX(Taxepunkter!$D:$D,$C99)="","",". "&amp;INDEX(Taxepunkter!$D:$D,$C99)))</f>
        <v/>
      </c>
      <c r="L99" s="31" t="str">
        <f t="shared" si="4"/>
        <v/>
      </c>
      <c r="M99" s="31" t="str">
        <f t="shared" si="5"/>
        <v/>
      </c>
      <c r="N99" s="31" t="str">
        <f t="shared" si="6"/>
        <v/>
      </c>
      <c r="O99" s="31" t="str">
        <f t="shared" si="7"/>
        <v/>
      </c>
      <c r="P99" s="31" t="str">
        <f>IF($C99="","",_xludf.TEXTJOIN(" ",TRUE,INDEX(Taxepunkter!$C:$C,$C99),INDEX(Taxepunkter!$D:$D,$C99)))</f>
        <v/>
      </c>
      <c r="Q99" s="31"/>
      <c r="R99" s="31"/>
      <c r="S99" s="31"/>
      <c r="T99" s="31"/>
      <c r="U99" s="31" t="str">
        <f t="shared" si="8"/>
        <v/>
      </c>
      <c r="V99" s="31"/>
      <c r="W99" s="31" t="str">
        <f t="shared" si="9"/>
        <v/>
      </c>
      <c r="X99" s="31" t="str">
        <f t="shared" si="10"/>
        <v/>
      </c>
      <c r="Y99" s="79" t="str">
        <f t="shared" si="11"/>
        <v/>
      </c>
    </row>
    <row r="100" spans="1:25" x14ac:dyDescent="0.25">
      <c r="A100" s="78" t="str">
        <f>IF($C100="","",INDEX(Taxepunkter!$A:$A,$C100))</f>
        <v/>
      </c>
      <c r="B100" s="29"/>
      <c r="C100" s="29"/>
      <c r="D100" s="29" t="str">
        <f>IF($C100="","",_xludf.TEXTJOIN(" ",TRUE,INDEX(Taxepunkter!$C:$C,$C100),INDEX(Taxepunkter!$D:$D,$C100)))</f>
        <v/>
      </c>
      <c r="E100" s="29" t="str">
        <f t="shared" si="0"/>
        <v/>
      </c>
      <c r="F100" s="29" t="str">
        <f t="shared" si="1"/>
        <v/>
      </c>
      <c r="G100" s="30"/>
      <c r="H100" s="31" t="str">
        <f t="shared" si="2"/>
        <v/>
      </c>
      <c r="I100" s="31" t="str">
        <f>IF($C100="","",INDEX(Taxepunkter!$B:$B,$C100)&amp;" / "&amp;INDEX(Taxepunkter!$C:$C,$C100))</f>
        <v/>
      </c>
      <c r="J100" s="31" t="str">
        <f t="shared" si="3"/>
        <v/>
      </c>
      <c r="K100" s="31" t="str">
        <f>IF($C100="","",INDEX(Taxepunkter!$C:$C,$C100)&amp;IF(INDEX(Taxepunkter!$D:$D,$C100)="","",". "&amp;INDEX(Taxepunkter!$D:$D,$C100)))</f>
        <v/>
      </c>
      <c r="L100" s="31" t="str">
        <f t="shared" si="4"/>
        <v/>
      </c>
      <c r="M100" s="31" t="str">
        <f t="shared" si="5"/>
        <v/>
      </c>
      <c r="N100" s="31" t="str">
        <f t="shared" si="6"/>
        <v/>
      </c>
      <c r="O100" s="31" t="str">
        <f t="shared" si="7"/>
        <v/>
      </c>
      <c r="P100" s="31" t="str">
        <f>IF($C100="","",_xludf.TEXTJOIN(" ",TRUE,INDEX(Taxepunkter!$C:$C,$C100),INDEX(Taxepunkter!$D:$D,$C100)))</f>
        <v/>
      </c>
      <c r="Q100" s="31"/>
      <c r="R100" s="31"/>
      <c r="S100" s="31"/>
      <c r="T100" s="31"/>
      <c r="U100" s="31" t="str">
        <f t="shared" si="8"/>
        <v/>
      </c>
      <c r="V100" s="31"/>
      <c r="W100" s="31" t="str">
        <f t="shared" si="9"/>
        <v/>
      </c>
      <c r="X100" s="31" t="str">
        <f t="shared" si="10"/>
        <v/>
      </c>
      <c r="Y100" s="79" t="str">
        <f t="shared" si="11"/>
        <v/>
      </c>
    </row>
    <row r="101" spans="1:25" x14ac:dyDescent="0.25">
      <c r="A101" s="78" t="str">
        <f>IF($C101="","",INDEX(Taxepunkter!$A:$A,$C101))</f>
        <v/>
      </c>
      <c r="B101" s="29"/>
      <c r="C101" s="29"/>
      <c r="D101" s="29" t="str">
        <f>IF($C101="","",_xludf.TEXTJOIN(" ",TRUE,INDEX(Taxepunkter!$C:$C,$C101),INDEX(Taxepunkter!$D:$D,$C101)))</f>
        <v/>
      </c>
      <c r="E101" s="29" t="str">
        <f t="shared" si="0"/>
        <v/>
      </c>
      <c r="F101" s="29" t="str">
        <f t="shared" si="1"/>
        <v/>
      </c>
      <c r="G101" s="30"/>
      <c r="H101" s="31" t="str">
        <f t="shared" si="2"/>
        <v/>
      </c>
      <c r="I101" s="31" t="str">
        <f>IF($C101="","",INDEX(Taxepunkter!$B:$B,$C101)&amp;" / "&amp;INDEX(Taxepunkter!$C:$C,$C101))</f>
        <v/>
      </c>
      <c r="J101" s="31" t="str">
        <f t="shared" si="3"/>
        <v/>
      </c>
      <c r="K101" s="31" t="str">
        <f>IF($C101="","",INDEX(Taxepunkter!$C:$C,$C101)&amp;IF(INDEX(Taxepunkter!$D:$D,$C101)="","",". "&amp;INDEX(Taxepunkter!$D:$D,$C101)))</f>
        <v/>
      </c>
      <c r="L101" s="31" t="str">
        <f t="shared" si="4"/>
        <v/>
      </c>
      <c r="M101" s="31" t="str">
        <f t="shared" si="5"/>
        <v/>
      </c>
      <c r="N101" s="31" t="str">
        <f t="shared" si="6"/>
        <v/>
      </c>
      <c r="O101" s="31" t="str">
        <f t="shared" si="7"/>
        <v/>
      </c>
      <c r="P101" s="31" t="str">
        <f>IF($C101="","",_xludf.TEXTJOIN(" ",TRUE,INDEX(Taxepunkter!$C:$C,$C101),INDEX(Taxepunkter!$D:$D,$C101)))</f>
        <v/>
      </c>
      <c r="Q101" s="31"/>
      <c r="R101" s="31"/>
      <c r="S101" s="31"/>
      <c r="T101" s="31"/>
      <c r="U101" s="31" t="str">
        <f t="shared" si="8"/>
        <v/>
      </c>
      <c r="V101" s="31"/>
      <c r="W101" s="31" t="str">
        <f t="shared" si="9"/>
        <v/>
      </c>
      <c r="X101" s="31" t="str">
        <f t="shared" si="10"/>
        <v/>
      </c>
      <c r="Y101" s="79" t="str">
        <f t="shared" si="11"/>
        <v/>
      </c>
    </row>
    <row r="102" spans="1:25" x14ac:dyDescent="0.25">
      <c r="A102" s="78" t="str">
        <f>IF($C102="","",INDEX(Taxepunkter!$A:$A,$C102))</f>
        <v/>
      </c>
      <c r="B102" s="29"/>
      <c r="C102" s="29"/>
      <c r="D102" s="29" t="str">
        <f>IF($C102="","",_xludf.TEXTJOIN(" ",TRUE,INDEX(Taxepunkter!$C:$C,$C102),INDEX(Taxepunkter!$D:$D,$C102)))</f>
        <v/>
      </c>
      <c r="E102" s="29" t="str">
        <f t="shared" si="0"/>
        <v/>
      </c>
      <c r="F102" s="29" t="str">
        <f t="shared" si="1"/>
        <v/>
      </c>
      <c r="G102" s="30"/>
      <c r="H102" s="31" t="str">
        <f t="shared" si="2"/>
        <v/>
      </c>
      <c r="I102" s="31" t="str">
        <f>IF($C102="","",INDEX(Taxepunkter!$B:$B,$C102)&amp;" / "&amp;INDEX(Taxepunkter!$C:$C,$C102))</f>
        <v/>
      </c>
      <c r="J102" s="31" t="str">
        <f t="shared" si="3"/>
        <v/>
      </c>
      <c r="K102" s="31" t="str">
        <f>IF($C102="","",INDEX(Taxepunkter!$C:$C,$C102)&amp;IF(INDEX(Taxepunkter!$D:$D,$C102)="","",". "&amp;INDEX(Taxepunkter!$D:$D,$C102)))</f>
        <v/>
      </c>
      <c r="L102" s="31" t="str">
        <f t="shared" si="4"/>
        <v/>
      </c>
      <c r="M102" s="31" t="str">
        <f t="shared" si="5"/>
        <v/>
      </c>
      <c r="N102" s="31" t="str">
        <f t="shared" si="6"/>
        <v/>
      </c>
      <c r="O102" s="31" t="str">
        <f t="shared" si="7"/>
        <v/>
      </c>
      <c r="P102" s="31" t="str">
        <f>IF($C102="","",_xludf.TEXTJOIN(" ",TRUE,INDEX(Taxepunkter!$C:$C,$C102),INDEX(Taxepunkter!$D:$D,$C102)))</f>
        <v/>
      </c>
      <c r="Q102" s="31"/>
      <c r="R102" s="31"/>
      <c r="S102" s="31"/>
      <c r="T102" s="31"/>
      <c r="U102" s="31" t="str">
        <f t="shared" si="8"/>
        <v/>
      </c>
      <c r="V102" s="31"/>
      <c r="W102" s="31" t="str">
        <f t="shared" si="9"/>
        <v/>
      </c>
      <c r="X102" s="31" t="str">
        <f t="shared" si="10"/>
        <v/>
      </c>
      <c r="Y102" s="79" t="str">
        <f t="shared" si="11"/>
        <v/>
      </c>
    </row>
    <row r="103" spans="1:25" x14ac:dyDescent="0.25">
      <c r="A103" s="78" t="str">
        <f>IF($C103="","",INDEX(Taxepunkter!$A:$A,$C103))</f>
        <v/>
      </c>
      <c r="B103" s="29"/>
      <c r="C103" s="29"/>
      <c r="D103" s="29" t="str">
        <f>IF($C103="","",_xludf.TEXTJOIN(" ",TRUE,INDEX(Taxepunkter!$C:$C,$C103),INDEX(Taxepunkter!$D:$D,$C103)))</f>
        <v/>
      </c>
      <c r="E103" s="29" t="str">
        <f t="shared" si="0"/>
        <v/>
      </c>
      <c r="F103" s="29" t="str">
        <f t="shared" si="1"/>
        <v/>
      </c>
      <c r="G103" s="30"/>
      <c r="H103" s="31" t="str">
        <f t="shared" si="2"/>
        <v/>
      </c>
      <c r="I103" s="31" t="str">
        <f>IF($C103="","",INDEX(Taxepunkter!$B:$B,$C103)&amp;" / "&amp;INDEX(Taxepunkter!$C:$C,$C103))</f>
        <v/>
      </c>
      <c r="J103" s="31" t="str">
        <f t="shared" si="3"/>
        <v/>
      </c>
      <c r="K103" s="31" t="str">
        <f>IF($C103="","",INDEX(Taxepunkter!$C:$C,$C103)&amp;IF(INDEX(Taxepunkter!$D:$D,$C103)="","",". "&amp;INDEX(Taxepunkter!$D:$D,$C103)))</f>
        <v/>
      </c>
      <c r="L103" s="31" t="str">
        <f t="shared" si="4"/>
        <v/>
      </c>
      <c r="M103" s="31" t="str">
        <f t="shared" si="5"/>
        <v/>
      </c>
      <c r="N103" s="31" t="str">
        <f t="shared" si="6"/>
        <v/>
      </c>
      <c r="O103" s="31" t="str">
        <f t="shared" si="7"/>
        <v/>
      </c>
      <c r="P103" s="31" t="str">
        <f>IF($C103="","",_xludf.TEXTJOIN(" ",TRUE,INDEX(Taxepunkter!$C:$C,$C103),INDEX(Taxepunkter!$D:$D,$C103)))</f>
        <v/>
      </c>
      <c r="Q103" s="31"/>
      <c r="R103" s="31"/>
      <c r="S103" s="31"/>
      <c r="T103" s="31"/>
      <c r="U103" s="31" t="str">
        <f t="shared" si="8"/>
        <v/>
      </c>
      <c r="V103" s="31"/>
      <c r="W103" s="31" t="str">
        <f t="shared" si="9"/>
        <v/>
      </c>
      <c r="X103" s="31" t="str">
        <f t="shared" si="10"/>
        <v/>
      </c>
      <c r="Y103" s="79" t="str">
        <f t="shared" si="11"/>
        <v/>
      </c>
    </row>
    <row r="104" spans="1:25" x14ac:dyDescent="0.25">
      <c r="A104" s="78" t="str">
        <f>IF($C104="","",INDEX(Taxepunkter!$A:$A,$C104))</f>
        <v/>
      </c>
      <c r="B104" s="29"/>
      <c r="C104" s="29"/>
      <c r="D104" s="29" t="str">
        <f>IF($C104="","",_xludf.TEXTJOIN(" ",TRUE,INDEX(Taxepunkter!$C:$C,$C104),INDEX(Taxepunkter!$D:$D,$C104)))</f>
        <v/>
      </c>
      <c r="E104" s="29" t="str">
        <f t="shared" si="0"/>
        <v/>
      </c>
      <c r="F104" s="29" t="str">
        <f t="shared" si="1"/>
        <v/>
      </c>
      <c r="G104" s="30"/>
      <c r="H104" s="31" t="str">
        <f t="shared" si="2"/>
        <v/>
      </c>
      <c r="I104" s="31" t="str">
        <f>IF($C104="","",INDEX(Taxepunkter!$B:$B,$C104)&amp;" / "&amp;INDEX(Taxepunkter!$C:$C,$C104))</f>
        <v/>
      </c>
      <c r="J104" s="31" t="str">
        <f t="shared" si="3"/>
        <v/>
      </c>
      <c r="K104" s="31" t="str">
        <f>IF($C104="","",INDEX(Taxepunkter!$C:$C,$C104)&amp;IF(INDEX(Taxepunkter!$D:$D,$C104)="","",". "&amp;INDEX(Taxepunkter!$D:$D,$C104)))</f>
        <v/>
      </c>
      <c r="L104" s="31" t="str">
        <f t="shared" si="4"/>
        <v/>
      </c>
      <c r="M104" s="31" t="str">
        <f t="shared" si="5"/>
        <v/>
      </c>
      <c r="N104" s="31" t="str">
        <f t="shared" si="6"/>
        <v/>
      </c>
      <c r="O104" s="31" t="str">
        <f t="shared" si="7"/>
        <v/>
      </c>
      <c r="P104" s="31" t="str">
        <f>IF($C104="","",_xludf.TEXTJOIN(" ",TRUE,INDEX(Taxepunkter!$C:$C,$C104),INDEX(Taxepunkter!$D:$D,$C104)))</f>
        <v/>
      </c>
      <c r="Q104" s="31"/>
      <c r="R104" s="31"/>
      <c r="S104" s="31"/>
      <c r="T104" s="31"/>
      <c r="U104" s="31" t="str">
        <f t="shared" si="8"/>
        <v/>
      </c>
      <c r="V104" s="31"/>
      <c r="W104" s="31" t="str">
        <f t="shared" si="9"/>
        <v/>
      </c>
      <c r="X104" s="31" t="str">
        <f t="shared" si="10"/>
        <v/>
      </c>
      <c r="Y104" s="79" t="str">
        <f t="shared" si="11"/>
        <v/>
      </c>
    </row>
    <row r="105" spans="1:25" x14ac:dyDescent="0.25">
      <c r="A105" s="78" t="str">
        <f>IF($C105="","",INDEX(Taxepunkter!$A:$A,$C105))</f>
        <v/>
      </c>
      <c r="B105" s="29"/>
      <c r="C105" s="29"/>
      <c r="D105" s="29" t="str">
        <f>IF($C105="","",_xludf.TEXTJOIN(" ",TRUE,INDEX(Taxepunkter!$C:$C,$C105),INDEX(Taxepunkter!$D:$D,$C105)))</f>
        <v/>
      </c>
      <c r="E105" s="29" t="str">
        <f t="shared" si="0"/>
        <v/>
      </c>
      <c r="F105" s="29" t="str">
        <f t="shared" si="1"/>
        <v/>
      </c>
      <c r="G105" s="30"/>
      <c r="H105" s="31" t="str">
        <f t="shared" si="2"/>
        <v/>
      </c>
      <c r="I105" s="31" t="str">
        <f>IF($C105="","",INDEX(Taxepunkter!$B:$B,$C105)&amp;" / "&amp;INDEX(Taxepunkter!$C:$C,$C105))</f>
        <v/>
      </c>
      <c r="J105" s="31" t="str">
        <f t="shared" si="3"/>
        <v/>
      </c>
      <c r="K105" s="31" t="str">
        <f>IF($C105="","",INDEX(Taxepunkter!$C:$C,$C105)&amp;IF(INDEX(Taxepunkter!$D:$D,$C105)="","",". "&amp;INDEX(Taxepunkter!$D:$D,$C105)))</f>
        <v/>
      </c>
      <c r="L105" s="31" t="str">
        <f t="shared" si="4"/>
        <v/>
      </c>
      <c r="M105" s="31" t="str">
        <f t="shared" si="5"/>
        <v/>
      </c>
      <c r="N105" s="31" t="str">
        <f t="shared" si="6"/>
        <v/>
      </c>
      <c r="O105" s="31" t="str">
        <f t="shared" si="7"/>
        <v/>
      </c>
      <c r="P105" s="31" t="str">
        <f>IF($C105="","",_xludf.TEXTJOIN(" ",TRUE,INDEX(Taxepunkter!$C:$C,$C105),INDEX(Taxepunkter!$D:$D,$C105)))</f>
        <v/>
      </c>
      <c r="Q105" s="31"/>
      <c r="R105" s="31"/>
      <c r="S105" s="31"/>
      <c r="T105" s="31"/>
      <c r="U105" s="31" t="str">
        <f t="shared" si="8"/>
        <v/>
      </c>
      <c r="V105" s="31"/>
      <c r="W105" s="31" t="str">
        <f t="shared" si="9"/>
        <v/>
      </c>
      <c r="X105" s="31" t="str">
        <f t="shared" si="10"/>
        <v/>
      </c>
      <c r="Y105" s="79" t="str">
        <f t="shared" si="11"/>
        <v/>
      </c>
    </row>
    <row r="106" spans="1:25" x14ac:dyDescent="0.25">
      <c r="A106" s="78" t="str">
        <f>IF($C106="","",INDEX(Taxepunkter!$A:$A,$C106))</f>
        <v/>
      </c>
      <c r="B106" s="29"/>
      <c r="C106" s="29"/>
      <c r="D106" s="29" t="str">
        <f>IF($C106="","",_xludf.TEXTJOIN(" ",TRUE,INDEX(Taxepunkter!$C:$C,$C106),INDEX(Taxepunkter!$D:$D,$C106)))</f>
        <v/>
      </c>
      <c r="E106" s="29" t="str">
        <f t="shared" si="0"/>
        <v/>
      </c>
      <c r="F106" s="29" t="str">
        <f t="shared" si="1"/>
        <v/>
      </c>
      <c r="G106" s="30"/>
      <c r="H106" s="31" t="str">
        <f t="shared" si="2"/>
        <v/>
      </c>
      <c r="I106" s="31" t="str">
        <f>IF($C106="","",INDEX(Taxepunkter!$B:$B,$C106)&amp;" / "&amp;INDEX(Taxepunkter!$C:$C,$C106))</f>
        <v/>
      </c>
      <c r="J106" s="31" t="str">
        <f t="shared" si="3"/>
        <v/>
      </c>
      <c r="K106" s="31" t="str">
        <f>IF($C106="","",INDEX(Taxepunkter!$C:$C,$C106)&amp;IF(INDEX(Taxepunkter!$D:$D,$C106)="","",". "&amp;INDEX(Taxepunkter!$D:$D,$C106)))</f>
        <v/>
      </c>
      <c r="L106" s="31" t="str">
        <f t="shared" si="4"/>
        <v/>
      </c>
      <c r="M106" s="31" t="str">
        <f t="shared" si="5"/>
        <v/>
      </c>
      <c r="N106" s="31" t="str">
        <f t="shared" si="6"/>
        <v/>
      </c>
      <c r="O106" s="31" t="str">
        <f t="shared" si="7"/>
        <v/>
      </c>
      <c r="P106" s="31" t="str">
        <f>IF($C106="","",_xludf.TEXTJOIN(" ",TRUE,INDEX(Taxepunkter!$C:$C,$C106),INDEX(Taxepunkter!$D:$D,$C106)))</f>
        <v/>
      </c>
      <c r="Q106" s="31"/>
      <c r="R106" s="31"/>
      <c r="S106" s="31"/>
      <c r="T106" s="31"/>
      <c r="U106" s="31" t="str">
        <f t="shared" si="8"/>
        <v/>
      </c>
      <c r="V106" s="31"/>
      <c r="W106" s="31" t="str">
        <f t="shared" si="9"/>
        <v/>
      </c>
      <c r="X106" s="31" t="str">
        <f t="shared" si="10"/>
        <v/>
      </c>
      <c r="Y106" s="79" t="str">
        <f t="shared" si="11"/>
        <v/>
      </c>
    </row>
    <row r="107" spans="1:25" x14ac:dyDescent="0.25">
      <c r="A107" s="78" t="str">
        <f>IF($C107="","",INDEX(Taxepunkter!$A:$A,$C107))</f>
        <v/>
      </c>
      <c r="B107" s="29"/>
      <c r="C107" s="29"/>
      <c r="D107" s="29" t="str">
        <f>IF($C107="","",_xludf.TEXTJOIN(" ",TRUE,INDEX(Taxepunkter!$C:$C,$C107),INDEX(Taxepunkter!$D:$D,$C107)))</f>
        <v/>
      </c>
      <c r="E107" s="29" t="str">
        <f t="shared" ref="E107:E138" si="12">IF($C107="","","Saknas i EDP – föreslagen ny taxa")</f>
        <v/>
      </c>
      <c r="F107" s="29" t="str">
        <f t="shared" ref="F107:F138" si="13">IF($C107="","","Automatiserad mall: fyll Rad i Taxepunkter och FöreslagenTaxekod")</f>
        <v/>
      </c>
      <c r="G107" s="30"/>
      <c r="H107" s="31" t="str">
        <f t="shared" ref="H107:H138" si="14">IF($C107="","",$C107)</f>
        <v/>
      </c>
      <c r="I107" s="31" t="str">
        <f>IF($C107="","",INDEX(Taxepunkter!$B:$B,$C107)&amp;" / "&amp;INDEX(Taxepunkter!$C:$C,$C107))</f>
        <v/>
      </c>
      <c r="J107" s="31" t="str">
        <f t="shared" ref="J107:J138" si="15">IF($G107="","",$G107)</f>
        <v/>
      </c>
      <c r="K107" s="31" t="str">
        <f>IF($C107="","",INDEX(Taxepunkter!$C:$C,$C107)&amp;IF(INDEX(Taxepunkter!$D:$D,$C107)="","",". "&amp;INDEX(Taxepunkter!$D:$D,$C107)))</f>
        <v/>
      </c>
      <c r="L107" s="31" t="str">
        <f t="shared" ref="L107:L138" si="16">IF($C107="","","RENH")</f>
        <v/>
      </c>
      <c r="M107" s="31" t="str">
        <f t="shared" ref="M107:M138" si="17">IF($C107="","","HUSH")</f>
        <v/>
      </c>
      <c r="N107" s="31" t="str">
        <f t="shared" ref="N107:N138" si="18">IF($C107="","",1)</f>
        <v/>
      </c>
      <c r="O107" s="31" t="str">
        <f t="shared" ref="O107:O138" si="19">IF($C107="","","ÅRKV")</f>
        <v/>
      </c>
      <c r="P107" s="31" t="str">
        <f>IF($C107="","",_xludf.TEXTJOIN(" ",TRUE,INDEX(Taxepunkter!$C:$C,$C107),INDEX(Taxepunkter!$D:$D,$C107)))</f>
        <v/>
      </c>
      <c r="Q107" s="31"/>
      <c r="R107" s="31"/>
      <c r="S107" s="31"/>
      <c r="T107" s="31"/>
      <c r="U107" s="31" t="str">
        <f t="shared" ref="U107:U138" si="20">IF($C107="","",0)</f>
        <v/>
      </c>
      <c r="V107" s="31"/>
      <c r="W107" s="31" t="str">
        <f t="shared" ref="W107:W138" si="21">IF($C107="","","-")</f>
        <v/>
      </c>
      <c r="X107" s="31" t="str">
        <f t="shared" ref="X107:X138" si="22">IF($C107="","",1)</f>
        <v/>
      </c>
      <c r="Y107" s="79" t="str">
        <f t="shared" ref="Y107:Y138" si="23">IF($C107="","","ANTB")</f>
        <v/>
      </c>
    </row>
    <row r="108" spans="1:25" x14ac:dyDescent="0.25">
      <c r="A108" s="78" t="str">
        <f>IF($C108="","",INDEX(Taxepunkter!$A:$A,$C108))</f>
        <v/>
      </c>
      <c r="B108" s="29"/>
      <c r="C108" s="29"/>
      <c r="D108" s="29" t="str">
        <f>IF($C108="","",_xludf.TEXTJOIN(" ",TRUE,INDEX(Taxepunkter!$C:$C,$C108),INDEX(Taxepunkter!$D:$D,$C108)))</f>
        <v/>
      </c>
      <c r="E108" s="29" t="str">
        <f t="shared" si="12"/>
        <v/>
      </c>
      <c r="F108" s="29" t="str">
        <f t="shared" si="13"/>
        <v/>
      </c>
      <c r="G108" s="30"/>
      <c r="H108" s="31" t="str">
        <f t="shared" si="14"/>
        <v/>
      </c>
      <c r="I108" s="31" t="str">
        <f>IF($C108="","",INDEX(Taxepunkter!$B:$B,$C108)&amp;" / "&amp;INDEX(Taxepunkter!$C:$C,$C108))</f>
        <v/>
      </c>
      <c r="J108" s="31" t="str">
        <f t="shared" si="15"/>
        <v/>
      </c>
      <c r="K108" s="31" t="str">
        <f>IF($C108="","",INDEX(Taxepunkter!$C:$C,$C108)&amp;IF(INDEX(Taxepunkter!$D:$D,$C108)="","",". "&amp;INDEX(Taxepunkter!$D:$D,$C108)))</f>
        <v/>
      </c>
      <c r="L108" s="31" t="str">
        <f t="shared" si="16"/>
        <v/>
      </c>
      <c r="M108" s="31" t="str">
        <f t="shared" si="17"/>
        <v/>
      </c>
      <c r="N108" s="31" t="str">
        <f t="shared" si="18"/>
        <v/>
      </c>
      <c r="O108" s="31" t="str">
        <f t="shared" si="19"/>
        <v/>
      </c>
      <c r="P108" s="31" t="str">
        <f>IF($C108="","",_xludf.TEXTJOIN(" ",TRUE,INDEX(Taxepunkter!$C:$C,$C108),INDEX(Taxepunkter!$D:$D,$C108)))</f>
        <v/>
      </c>
      <c r="Q108" s="31"/>
      <c r="R108" s="31"/>
      <c r="S108" s="31"/>
      <c r="T108" s="31"/>
      <c r="U108" s="31" t="str">
        <f t="shared" si="20"/>
        <v/>
      </c>
      <c r="V108" s="31"/>
      <c r="W108" s="31" t="str">
        <f t="shared" si="21"/>
        <v/>
      </c>
      <c r="X108" s="31" t="str">
        <f t="shared" si="22"/>
        <v/>
      </c>
      <c r="Y108" s="79" t="str">
        <f t="shared" si="23"/>
        <v/>
      </c>
    </row>
    <row r="109" spans="1:25" x14ac:dyDescent="0.25">
      <c r="A109" s="78" t="str">
        <f>IF($C109="","",INDEX(Taxepunkter!$A:$A,$C109))</f>
        <v/>
      </c>
      <c r="B109" s="29"/>
      <c r="C109" s="29"/>
      <c r="D109" s="29" t="str">
        <f>IF($C109="","",_xludf.TEXTJOIN(" ",TRUE,INDEX(Taxepunkter!$C:$C,$C109),INDEX(Taxepunkter!$D:$D,$C109)))</f>
        <v/>
      </c>
      <c r="E109" s="29" t="str">
        <f t="shared" si="12"/>
        <v/>
      </c>
      <c r="F109" s="29" t="str">
        <f t="shared" si="13"/>
        <v/>
      </c>
      <c r="G109" s="30"/>
      <c r="H109" s="31" t="str">
        <f t="shared" si="14"/>
        <v/>
      </c>
      <c r="I109" s="31" t="str">
        <f>IF($C109="","",INDEX(Taxepunkter!$B:$B,$C109)&amp;" / "&amp;INDEX(Taxepunkter!$C:$C,$C109))</f>
        <v/>
      </c>
      <c r="J109" s="31" t="str">
        <f t="shared" si="15"/>
        <v/>
      </c>
      <c r="K109" s="31" t="str">
        <f>IF($C109="","",INDEX(Taxepunkter!$C:$C,$C109)&amp;IF(INDEX(Taxepunkter!$D:$D,$C109)="","",". "&amp;INDEX(Taxepunkter!$D:$D,$C109)))</f>
        <v/>
      </c>
      <c r="L109" s="31" t="str">
        <f t="shared" si="16"/>
        <v/>
      </c>
      <c r="M109" s="31" t="str">
        <f t="shared" si="17"/>
        <v/>
      </c>
      <c r="N109" s="31" t="str">
        <f t="shared" si="18"/>
        <v/>
      </c>
      <c r="O109" s="31" t="str">
        <f t="shared" si="19"/>
        <v/>
      </c>
      <c r="P109" s="31" t="str">
        <f>IF($C109="","",_xludf.TEXTJOIN(" ",TRUE,INDEX(Taxepunkter!$C:$C,$C109),INDEX(Taxepunkter!$D:$D,$C109)))</f>
        <v/>
      </c>
      <c r="Q109" s="31"/>
      <c r="R109" s="31"/>
      <c r="S109" s="31"/>
      <c r="T109" s="31"/>
      <c r="U109" s="31" t="str">
        <f t="shared" si="20"/>
        <v/>
      </c>
      <c r="V109" s="31"/>
      <c r="W109" s="31" t="str">
        <f t="shared" si="21"/>
        <v/>
      </c>
      <c r="X109" s="31" t="str">
        <f t="shared" si="22"/>
        <v/>
      </c>
      <c r="Y109" s="79" t="str">
        <f t="shared" si="23"/>
        <v/>
      </c>
    </row>
    <row r="110" spans="1:25" x14ac:dyDescent="0.25">
      <c r="A110" s="78" t="str">
        <f>IF($C110="","",INDEX(Taxepunkter!$A:$A,$C110))</f>
        <v/>
      </c>
      <c r="B110" s="29"/>
      <c r="C110" s="29"/>
      <c r="D110" s="29" t="str">
        <f>IF($C110="","",_xludf.TEXTJOIN(" ",TRUE,INDEX(Taxepunkter!$C:$C,$C110),INDEX(Taxepunkter!$D:$D,$C110)))</f>
        <v/>
      </c>
      <c r="E110" s="29" t="str">
        <f t="shared" si="12"/>
        <v/>
      </c>
      <c r="F110" s="29" t="str">
        <f t="shared" si="13"/>
        <v/>
      </c>
      <c r="G110" s="30"/>
      <c r="H110" s="31" t="str">
        <f t="shared" si="14"/>
        <v/>
      </c>
      <c r="I110" s="31" t="str">
        <f>IF($C110="","",INDEX(Taxepunkter!$B:$B,$C110)&amp;" / "&amp;INDEX(Taxepunkter!$C:$C,$C110))</f>
        <v/>
      </c>
      <c r="J110" s="31" t="str">
        <f t="shared" si="15"/>
        <v/>
      </c>
      <c r="K110" s="31" t="str">
        <f>IF($C110="","",INDEX(Taxepunkter!$C:$C,$C110)&amp;IF(INDEX(Taxepunkter!$D:$D,$C110)="","",". "&amp;INDEX(Taxepunkter!$D:$D,$C110)))</f>
        <v/>
      </c>
      <c r="L110" s="31" t="str">
        <f t="shared" si="16"/>
        <v/>
      </c>
      <c r="M110" s="31" t="str">
        <f t="shared" si="17"/>
        <v/>
      </c>
      <c r="N110" s="31" t="str">
        <f t="shared" si="18"/>
        <v/>
      </c>
      <c r="O110" s="31" t="str">
        <f t="shared" si="19"/>
        <v/>
      </c>
      <c r="P110" s="31" t="str">
        <f>IF($C110="","",_xludf.TEXTJOIN(" ",TRUE,INDEX(Taxepunkter!$C:$C,$C110),INDEX(Taxepunkter!$D:$D,$C110)))</f>
        <v/>
      </c>
      <c r="Q110" s="31"/>
      <c r="R110" s="31"/>
      <c r="S110" s="31"/>
      <c r="T110" s="31"/>
      <c r="U110" s="31" t="str">
        <f t="shared" si="20"/>
        <v/>
      </c>
      <c r="V110" s="31"/>
      <c r="W110" s="31" t="str">
        <f t="shared" si="21"/>
        <v/>
      </c>
      <c r="X110" s="31" t="str">
        <f t="shared" si="22"/>
        <v/>
      </c>
      <c r="Y110" s="79" t="str">
        <f t="shared" si="23"/>
        <v/>
      </c>
    </row>
    <row r="111" spans="1:25" x14ac:dyDescent="0.25">
      <c r="A111" s="78" t="str">
        <f>IF($C111="","",INDEX(Taxepunkter!$A:$A,$C111))</f>
        <v/>
      </c>
      <c r="B111" s="29"/>
      <c r="C111" s="29"/>
      <c r="D111" s="29" t="str">
        <f>IF($C111="","",_xludf.TEXTJOIN(" ",TRUE,INDEX(Taxepunkter!$C:$C,$C111),INDEX(Taxepunkter!$D:$D,$C111)))</f>
        <v/>
      </c>
      <c r="E111" s="29" t="str">
        <f t="shared" si="12"/>
        <v/>
      </c>
      <c r="F111" s="29" t="str">
        <f t="shared" si="13"/>
        <v/>
      </c>
      <c r="G111" s="30"/>
      <c r="H111" s="31" t="str">
        <f t="shared" si="14"/>
        <v/>
      </c>
      <c r="I111" s="31" t="str">
        <f>IF($C111="","",INDEX(Taxepunkter!$B:$B,$C111)&amp;" / "&amp;INDEX(Taxepunkter!$C:$C,$C111))</f>
        <v/>
      </c>
      <c r="J111" s="31" t="str">
        <f t="shared" si="15"/>
        <v/>
      </c>
      <c r="K111" s="31" t="str">
        <f>IF($C111="","",INDEX(Taxepunkter!$C:$C,$C111)&amp;IF(INDEX(Taxepunkter!$D:$D,$C111)="","",". "&amp;INDEX(Taxepunkter!$D:$D,$C111)))</f>
        <v/>
      </c>
      <c r="L111" s="31" t="str">
        <f t="shared" si="16"/>
        <v/>
      </c>
      <c r="M111" s="31" t="str">
        <f t="shared" si="17"/>
        <v/>
      </c>
      <c r="N111" s="31" t="str">
        <f t="shared" si="18"/>
        <v/>
      </c>
      <c r="O111" s="31" t="str">
        <f t="shared" si="19"/>
        <v/>
      </c>
      <c r="P111" s="31" t="str">
        <f>IF($C111="","",_xludf.TEXTJOIN(" ",TRUE,INDEX(Taxepunkter!$C:$C,$C111),INDEX(Taxepunkter!$D:$D,$C111)))</f>
        <v/>
      </c>
      <c r="Q111" s="31"/>
      <c r="R111" s="31"/>
      <c r="S111" s="31"/>
      <c r="T111" s="31"/>
      <c r="U111" s="31" t="str">
        <f t="shared" si="20"/>
        <v/>
      </c>
      <c r="V111" s="31"/>
      <c r="W111" s="31" t="str">
        <f t="shared" si="21"/>
        <v/>
      </c>
      <c r="X111" s="31" t="str">
        <f t="shared" si="22"/>
        <v/>
      </c>
      <c r="Y111" s="79" t="str">
        <f t="shared" si="23"/>
        <v/>
      </c>
    </row>
    <row r="112" spans="1:25" x14ac:dyDescent="0.25">
      <c r="A112" s="78" t="str">
        <f>IF($C112="","",INDEX(Taxepunkter!$A:$A,$C112))</f>
        <v/>
      </c>
      <c r="B112" s="29"/>
      <c r="C112" s="29"/>
      <c r="D112" s="29" t="str">
        <f>IF($C112="","",_xludf.TEXTJOIN(" ",TRUE,INDEX(Taxepunkter!$C:$C,$C112),INDEX(Taxepunkter!$D:$D,$C112)))</f>
        <v/>
      </c>
      <c r="E112" s="29" t="str">
        <f t="shared" si="12"/>
        <v/>
      </c>
      <c r="F112" s="29" t="str">
        <f t="shared" si="13"/>
        <v/>
      </c>
      <c r="G112" s="30"/>
      <c r="H112" s="31" t="str">
        <f t="shared" si="14"/>
        <v/>
      </c>
      <c r="I112" s="31" t="str">
        <f>IF($C112="","",INDEX(Taxepunkter!$B:$B,$C112)&amp;" / "&amp;INDEX(Taxepunkter!$C:$C,$C112))</f>
        <v/>
      </c>
      <c r="J112" s="31" t="str">
        <f t="shared" si="15"/>
        <v/>
      </c>
      <c r="K112" s="31" t="str">
        <f>IF($C112="","",INDEX(Taxepunkter!$C:$C,$C112)&amp;IF(INDEX(Taxepunkter!$D:$D,$C112)="","",". "&amp;INDEX(Taxepunkter!$D:$D,$C112)))</f>
        <v/>
      </c>
      <c r="L112" s="31" t="str">
        <f t="shared" si="16"/>
        <v/>
      </c>
      <c r="M112" s="31" t="str">
        <f t="shared" si="17"/>
        <v/>
      </c>
      <c r="N112" s="31" t="str">
        <f t="shared" si="18"/>
        <v/>
      </c>
      <c r="O112" s="31" t="str">
        <f t="shared" si="19"/>
        <v/>
      </c>
      <c r="P112" s="31" t="str">
        <f>IF($C112="","",_xludf.TEXTJOIN(" ",TRUE,INDEX(Taxepunkter!$C:$C,$C112),INDEX(Taxepunkter!$D:$D,$C112)))</f>
        <v/>
      </c>
      <c r="Q112" s="31"/>
      <c r="R112" s="31"/>
      <c r="S112" s="31"/>
      <c r="T112" s="31"/>
      <c r="U112" s="31" t="str">
        <f t="shared" si="20"/>
        <v/>
      </c>
      <c r="V112" s="31"/>
      <c r="W112" s="31" t="str">
        <f t="shared" si="21"/>
        <v/>
      </c>
      <c r="X112" s="31" t="str">
        <f t="shared" si="22"/>
        <v/>
      </c>
      <c r="Y112" s="79" t="str">
        <f t="shared" si="23"/>
        <v/>
      </c>
    </row>
    <row r="113" spans="1:25" x14ac:dyDescent="0.25">
      <c r="A113" s="78" t="str">
        <f>IF($C113="","",INDEX(Taxepunkter!$A:$A,$C113))</f>
        <v/>
      </c>
      <c r="B113" s="29"/>
      <c r="C113" s="29"/>
      <c r="D113" s="29" t="str">
        <f>IF($C113="","",_xludf.TEXTJOIN(" ",TRUE,INDEX(Taxepunkter!$C:$C,$C113),INDEX(Taxepunkter!$D:$D,$C113)))</f>
        <v/>
      </c>
      <c r="E113" s="29" t="str">
        <f t="shared" si="12"/>
        <v/>
      </c>
      <c r="F113" s="29" t="str">
        <f t="shared" si="13"/>
        <v/>
      </c>
      <c r="G113" s="30"/>
      <c r="H113" s="31" t="str">
        <f t="shared" si="14"/>
        <v/>
      </c>
      <c r="I113" s="31" t="str">
        <f>IF($C113="","",INDEX(Taxepunkter!$B:$B,$C113)&amp;" / "&amp;INDEX(Taxepunkter!$C:$C,$C113))</f>
        <v/>
      </c>
      <c r="J113" s="31" t="str">
        <f t="shared" si="15"/>
        <v/>
      </c>
      <c r="K113" s="31" t="str">
        <f>IF($C113="","",INDEX(Taxepunkter!$C:$C,$C113)&amp;IF(INDEX(Taxepunkter!$D:$D,$C113)="","",". "&amp;INDEX(Taxepunkter!$D:$D,$C113)))</f>
        <v/>
      </c>
      <c r="L113" s="31" t="str">
        <f t="shared" si="16"/>
        <v/>
      </c>
      <c r="M113" s="31" t="str">
        <f t="shared" si="17"/>
        <v/>
      </c>
      <c r="N113" s="31" t="str">
        <f t="shared" si="18"/>
        <v/>
      </c>
      <c r="O113" s="31" t="str">
        <f t="shared" si="19"/>
        <v/>
      </c>
      <c r="P113" s="31" t="str">
        <f>IF($C113="","",_xludf.TEXTJOIN(" ",TRUE,INDEX(Taxepunkter!$C:$C,$C113),INDEX(Taxepunkter!$D:$D,$C113)))</f>
        <v/>
      </c>
      <c r="Q113" s="31"/>
      <c r="R113" s="31"/>
      <c r="S113" s="31"/>
      <c r="T113" s="31"/>
      <c r="U113" s="31" t="str">
        <f t="shared" si="20"/>
        <v/>
      </c>
      <c r="V113" s="31"/>
      <c r="W113" s="31" t="str">
        <f t="shared" si="21"/>
        <v/>
      </c>
      <c r="X113" s="31" t="str">
        <f t="shared" si="22"/>
        <v/>
      </c>
      <c r="Y113" s="79" t="str">
        <f t="shared" si="23"/>
        <v/>
      </c>
    </row>
    <row r="114" spans="1:25" x14ac:dyDescent="0.25">
      <c r="A114" s="78" t="str">
        <f>IF($C114="","",INDEX(Taxepunkter!$A:$A,$C114))</f>
        <v/>
      </c>
      <c r="B114" s="29"/>
      <c r="C114" s="29"/>
      <c r="D114" s="29" t="str">
        <f>IF($C114="","",_xludf.TEXTJOIN(" ",TRUE,INDEX(Taxepunkter!$C:$C,$C114),INDEX(Taxepunkter!$D:$D,$C114)))</f>
        <v/>
      </c>
      <c r="E114" s="29" t="str">
        <f t="shared" si="12"/>
        <v/>
      </c>
      <c r="F114" s="29" t="str">
        <f t="shared" si="13"/>
        <v/>
      </c>
      <c r="G114" s="30"/>
      <c r="H114" s="31" t="str">
        <f t="shared" si="14"/>
        <v/>
      </c>
      <c r="I114" s="31" t="str">
        <f>IF($C114="","",INDEX(Taxepunkter!$B:$B,$C114)&amp;" / "&amp;INDEX(Taxepunkter!$C:$C,$C114))</f>
        <v/>
      </c>
      <c r="J114" s="31" t="str">
        <f t="shared" si="15"/>
        <v/>
      </c>
      <c r="K114" s="31" t="str">
        <f>IF($C114="","",INDEX(Taxepunkter!$C:$C,$C114)&amp;IF(INDEX(Taxepunkter!$D:$D,$C114)="","",". "&amp;INDEX(Taxepunkter!$D:$D,$C114)))</f>
        <v/>
      </c>
      <c r="L114" s="31" t="str">
        <f t="shared" si="16"/>
        <v/>
      </c>
      <c r="M114" s="31" t="str">
        <f t="shared" si="17"/>
        <v/>
      </c>
      <c r="N114" s="31" t="str">
        <f t="shared" si="18"/>
        <v/>
      </c>
      <c r="O114" s="31" t="str">
        <f t="shared" si="19"/>
        <v/>
      </c>
      <c r="P114" s="31" t="str">
        <f>IF($C114="","",_xludf.TEXTJOIN(" ",TRUE,INDEX(Taxepunkter!$C:$C,$C114),INDEX(Taxepunkter!$D:$D,$C114)))</f>
        <v/>
      </c>
      <c r="Q114" s="31"/>
      <c r="R114" s="31"/>
      <c r="S114" s="31"/>
      <c r="T114" s="31"/>
      <c r="U114" s="31" t="str">
        <f t="shared" si="20"/>
        <v/>
      </c>
      <c r="V114" s="31"/>
      <c r="W114" s="31" t="str">
        <f t="shared" si="21"/>
        <v/>
      </c>
      <c r="X114" s="31" t="str">
        <f t="shared" si="22"/>
        <v/>
      </c>
      <c r="Y114" s="79" t="str">
        <f t="shared" si="23"/>
        <v/>
      </c>
    </row>
    <row r="115" spans="1:25" x14ac:dyDescent="0.25">
      <c r="A115" s="78" t="str">
        <f>IF($C115="","",INDEX(Taxepunkter!$A:$A,$C115))</f>
        <v/>
      </c>
      <c r="B115" s="29"/>
      <c r="C115" s="29"/>
      <c r="D115" s="29" t="str">
        <f>IF($C115="","",_xludf.TEXTJOIN(" ",TRUE,INDEX(Taxepunkter!$C:$C,$C115),INDEX(Taxepunkter!$D:$D,$C115)))</f>
        <v/>
      </c>
      <c r="E115" s="29" t="str">
        <f t="shared" si="12"/>
        <v/>
      </c>
      <c r="F115" s="29" t="str">
        <f t="shared" si="13"/>
        <v/>
      </c>
      <c r="G115" s="30"/>
      <c r="H115" s="31" t="str">
        <f t="shared" si="14"/>
        <v/>
      </c>
      <c r="I115" s="31" t="str">
        <f>IF($C115="","",INDEX(Taxepunkter!$B:$B,$C115)&amp;" / "&amp;INDEX(Taxepunkter!$C:$C,$C115))</f>
        <v/>
      </c>
      <c r="J115" s="31" t="str">
        <f t="shared" si="15"/>
        <v/>
      </c>
      <c r="K115" s="31" t="str">
        <f>IF($C115="","",INDEX(Taxepunkter!$C:$C,$C115)&amp;IF(INDEX(Taxepunkter!$D:$D,$C115)="","",". "&amp;INDEX(Taxepunkter!$D:$D,$C115)))</f>
        <v/>
      </c>
      <c r="L115" s="31" t="str">
        <f t="shared" si="16"/>
        <v/>
      </c>
      <c r="M115" s="31" t="str">
        <f t="shared" si="17"/>
        <v/>
      </c>
      <c r="N115" s="31" t="str">
        <f t="shared" si="18"/>
        <v/>
      </c>
      <c r="O115" s="31" t="str">
        <f t="shared" si="19"/>
        <v/>
      </c>
      <c r="P115" s="31" t="str">
        <f>IF($C115="","",_xludf.TEXTJOIN(" ",TRUE,INDEX(Taxepunkter!$C:$C,$C115),INDEX(Taxepunkter!$D:$D,$C115)))</f>
        <v/>
      </c>
      <c r="Q115" s="31"/>
      <c r="R115" s="31"/>
      <c r="S115" s="31"/>
      <c r="T115" s="31"/>
      <c r="U115" s="31" t="str">
        <f t="shared" si="20"/>
        <v/>
      </c>
      <c r="V115" s="31"/>
      <c r="W115" s="31" t="str">
        <f t="shared" si="21"/>
        <v/>
      </c>
      <c r="X115" s="31" t="str">
        <f t="shared" si="22"/>
        <v/>
      </c>
      <c r="Y115" s="79" t="str">
        <f t="shared" si="23"/>
        <v/>
      </c>
    </row>
    <row r="116" spans="1:25" x14ac:dyDescent="0.25">
      <c r="A116" s="78" t="str">
        <f>IF($C116="","",INDEX(Taxepunkter!$A:$A,$C116))</f>
        <v/>
      </c>
      <c r="B116" s="29"/>
      <c r="C116" s="29"/>
      <c r="D116" s="29" t="str">
        <f>IF($C116="","",_xludf.TEXTJOIN(" ",TRUE,INDEX(Taxepunkter!$C:$C,$C116),INDEX(Taxepunkter!$D:$D,$C116)))</f>
        <v/>
      </c>
      <c r="E116" s="29" t="str">
        <f t="shared" si="12"/>
        <v/>
      </c>
      <c r="F116" s="29" t="str">
        <f t="shared" si="13"/>
        <v/>
      </c>
      <c r="G116" s="30"/>
      <c r="H116" s="31" t="str">
        <f t="shared" si="14"/>
        <v/>
      </c>
      <c r="I116" s="31" t="str">
        <f>IF($C116="","",INDEX(Taxepunkter!$B:$B,$C116)&amp;" / "&amp;INDEX(Taxepunkter!$C:$C,$C116))</f>
        <v/>
      </c>
      <c r="J116" s="31" t="str">
        <f t="shared" si="15"/>
        <v/>
      </c>
      <c r="K116" s="31" t="str">
        <f>IF($C116="","",INDEX(Taxepunkter!$C:$C,$C116)&amp;IF(INDEX(Taxepunkter!$D:$D,$C116)="","",". "&amp;INDEX(Taxepunkter!$D:$D,$C116)))</f>
        <v/>
      </c>
      <c r="L116" s="31" t="str">
        <f t="shared" si="16"/>
        <v/>
      </c>
      <c r="M116" s="31" t="str">
        <f t="shared" si="17"/>
        <v/>
      </c>
      <c r="N116" s="31" t="str">
        <f t="shared" si="18"/>
        <v/>
      </c>
      <c r="O116" s="31" t="str">
        <f t="shared" si="19"/>
        <v/>
      </c>
      <c r="P116" s="31" t="str">
        <f>IF($C116="","",_xludf.TEXTJOIN(" ",TRUE,INDEX(Taxepunkter!$C:$C,$C116),INDEX(Taxepunkter!$D:$D,$C116)))</f>
        <v/>
      </c>
      <c r="Q116" s="31"/>
      <c r="R116" s="31"/>
      <c r="S116" s="31"/>
      <c r="T116" s="31"/>
      <c r="U116" s="31" t="str">
        <f t="shared" si="20"/>
        <v/>
      </c>
      <c r="V116" s="31"/>
      <c r="W116" s="31" t="str">
        <f t="shared" si="21"/>
        <v/>
      </c>
      <c r="X116" s="31" t="str">
        <f t="shared" si="22"/>
        <v/>
      </c>
      <c r="Y116" s="79" t="str">
        <f t="shared" si="23"/>
        <v/>
      </c>
    </row>
    <row r="117" spans="1:25" x14ac:dyDescent="0.25">
      <c r="A117" s="78" t="str">
        <f>IF($C117="","",INDEX(Taxepunkter!$A:$A,$C117))</f>
        <v/>
      </c>
      <c r="B117" s="29"/>
      <c r="C117" s="29"/>
      <c r="D117" s="29" t="str">
        <f>IF($C117="","",_xludf.TEXTJOIN(" ",TRUE,INDEX(Taxepunkter!$C:$C,$C117),INDEX(Taxepunkter!$D:$D,$C117)))</f>
        <v/>
      </c>
      <c r="E117" s="29" t="str">
        <f t="shared" si="12"/>
        <v/>
      </c>
      <c r="F117" s="29" t="str">
        <f t="shared" si="13"/>
        <v/>
      </c>
      <c r="G117" s="30"/>
      <c r="H117" s="31" t="str">
        <f t="shared" si="14"/>
        <v/>
      </c>
      <c r="I117" s="31" t="str">
        <f>IF($C117="","",INDEX(Taxepunkter!$B:$B,$C117)&amp;" / "&amp;INDEX(Taxepunkter!$C:$C,$C117))</f>
        <v/>
      </c>
      <c r="J117" s="31" t="str">
        <f t="shared" si="15"/>
        <v/>
      </c>
      <c r="K117" s="31" t="str">
        <f>IF($C117="","",INDEX(Taxepunkter!$C:$C,$C117)&amp;IF(INDEX(Taxepunkter!$D:$D,$C117)="","",". "&amp;INDEX(Taxepunkter!$D:$D,$C117)))</f>
        <v/>
      </c>
      <c r="L117" s="31" t="str">
        <f t="shared" si="16"/>
        <v/>
      </c>
      <c r="M117" s="31" t="str">
        <f t="shared" si="17"/>
        <v/>
      </c>
      <c r="N117" s="31" t="str">
        <f t="shared" si="18"/>
        <v/>
      </c>
      <c r="O117" s="31" t="str">
        <f t="shared" si="19"/>
        <v/>
      </c>
      <c r="P117" s="31" t="str">
        <f>IF($C117="","",_xludf.TEXTJOIN(" ",TRUE,INDEX(Taxepunkter!$C:$C,$C117),INDEX(Taxepunkter!$D:$D,$C117)))</f>
        <v/>
      </c>
      <c r="Q117" s="31"/>
      <c r="R117" s="31"/>
      <c r="S117" s="31"/>
      <c r="T117" s="31"/>
      <c r="U117" s="31" t="str">
        <f t="shared" si="20"/>
        <v/>
      </c>
      <c r="V117" s="31"/>
      <c r="W117" s="31" t="str">
        <f t="shared" si="21"/>
        <v/>
      </c>
      <c r="X117" s="31" t="str">
        <f t="shared" si="22"/>
        <v/>
      </c>
      <c r="Y117" s="79" t="str">
        <f t="shared" si="23"/>
        <v/>
      </c>
    </row>
    <row r="118" spans="1:25" x14ac:dyDescent="0.25">
      <c r="A118" s="78" t="str">
        <f>IF($C118="","",INDEX(Taxepunkter!$A:$A,$C118))</f>
        <v/>
      </c>
      <c r="B118" s="29"/>
      <c r="C118" s="29"/>
      <c r="D118" s="29" t="str">
        <f>IF($C118="","",_xludf.TEXTJOIN(" ",TRUE,INDEX(Taxepunkter!$C:$C,$C118),INDEX(Taxepunkter!$D:$D,$C118)))</f>
        <v/>
      </c>
      <c r="E118" s="29" t="str">
        <f t="shared" si="12"/>
        <v/>
      </c>
      <c r="F118" s="29" t="str">
        <f t="shared" si="13"/>
        <v/>
      </c>
      <c r="G118" s="30"/>
      <c r="H118" s="31" t="str">
        <f t="shared" si="14"/>
        <v/>
      </c>
      <c r="I118" s="31" t="str">
        <f>IF($C118="","",INDEX(Taxepunkter!$B:$B,$C118)&amp;" / "&amp;INDEX(Taxepunkter!$C:$C,$C118))</f>
        <v/>
      </c>
      <c r="J118" s="31" t="str">
        <f t="shared" si="15"/>
        <v/>
      </c>
      <c r="K118" s="31" t="str">
        <f>IF($C118="","",INDEX(Taxepunkter!$C:$C,$C118)&amp;IF(INDEX(Taxepunkter!$D:$D,$C118)="","",". "&amp;INDEX(Taxepunkter!$D:$D,$C118)))</f>
        <v/>
      </c>
      <c r="L118" s="31" t="str">
        <f t="shared" si="16"/>
        <v/>
      </c>
      <c r="M118" s="31" t="str">
        <f t="shared" si="17"/>
        <v/>
      </c>
      <c r="N118" s="31" t="str">
        <f t="shared" si="18"/>
        <v/>
      </c>
      <c r="O118" s="31" t="str">
        <f t="shared" si="19"/>
        <v/>
      </c>
      <c r="P118" s="31" t="str">
        <f>IF($C118="","",_xludf.TEXTJOIN(" ",TRUE,INDEX(Taxepunkter!$C:$C,$C118),INDEX(Taxepunkter!$D:$D,$C118)))</f>
        <v/>
      </c>
      <c r="Q118" s="31"/>
      <c r="R118" s="31"/>
      <c r="S118" s="31"/>
      <c r="T118" s="31"/>
      <c r="U118" s="31" t="str">
        <f t="shared" si="20"/>
        <v/>
      </c>
      <c r="V118" s="31"/>
      <c r="W118" s="31" t="str">
        <f t="shared" si="21"/>
        <v/>
      </c>
      <c r="X118" s="31" t="str">
        <f t="shared" si="22"/>
        <v/>
      </c>
      <c r="Y118" s="79" t="str">
        <f t="shared" si="23"/>
        <v/>
      </c>
    </row>
    <row r="119" spans="1:25" x14ac:dyDescent="0.25">
      <c r="A119" s="78" t="str">
        <f>IF($C119="","",INDEX(Taxepunkter!$A:$A,$C119))</f>
        <v/>
      </c>
      <c r="B119" s="29"/>
      <c r="C119" s="29"/>
      <c r="D119" s="29" t="str">
        <f>IF($C119="","",_xludf.TEXTJOIN(" ",TRUE,INDEX(Taxepunkter!$C:$C,$C119),INDEX(Taxepunkter!$D:$D,$C119)))</f>
        <v/>
      </c>
      <c r="E119" s="29" t="str">
        <f t="shared" si="12"/>
        <v/>
      </c>
      <c r="F119" s="29" t="str">
        <f t="shared" si="13"/>
        <v/>
      </c>
      <c r="G119" s="30"/>
      <c r="H119" s="31" t="str">
        <f t="shared" si="14"/>
        <v/>
      </c>
      <c r="I119" s="31" t="str">
        <f>IF($C119="","",INDEX(Taxepunkter!$B:$B,$C119)&amp;" / "&amp;INDEX(Taxepunkter!$C:$C,$C119))</f>
        <v/>
      </c>
      <c r="J119" s="31" t="str">
        <f t="shared" si="15"/>
        <v/>
      </c>
      <c r="K119" s="31" t="str">
        <f>IF($C119="","",INDEX(Taxepunkter!$C:$C,$C119)&amp;IF(INDEX(Taxepunkter!$D:$D,$C119)="","",". "&amp;INDEX(Taxepunkter!$D:$D,$C119)))</f>
        <v/>
      </c>
      <c r="L119" s="31" t="str">
        <f t="shared" si="16"/>
        <v/>
      </c>
      <c r="M119" s="31" t="str">
        <f t="shared" si="17"/>
        <v/>
      </c>
      <c r="N119" s="31" t="str">
        <f t="shared" si="18"/>
        <v/>
      </c>
      <c r="O119" s="31" t="str">
        <f t="shared" si="19"/>
        <v/>
      </c>
      <c r="P119" s="31" t="str">
        <f>IF($C119="","",_xludf.TEXTJOIN(" ",TRUE,INDEX(Taxepunkter!$C:$C,$C119),INDEX(Taxepunkter!$D:$D,$C119)))</f>
        <v/>
      </c>
      <c r="Q119" s="31"/>
      <c r="R119" s="31"/>
      <c r="S119" s="31"/>
      <c r="T119" s="31"/>
      <c r="U119" s="31" t="str">
        <f t="shared" si="20"/>
        <v/>
      </c>
      <c r="V119" s="31"/>
      <c r="W119" s="31" t="str">
        <f t="shared" si="21"/>
        <v/>
      </c>
      <c r="X119" s="31" t="str">
        <f t="shared" si="22"/>
        <v/>
      </c>
      <c r="Y119" s="79" t="str">
        <f t="shared" si="23"/>
        <v/>
      </c>
    </row>
    <row r="120" spans="1:25" x14ac:dyDescent="0.25">
      <c r="A120" s="78" t="str">
        <f>IF($C120="","",INDEX(Taxepunkter!$A:$A,$C120))</f>
        <v/>
      </c>
      <c r="B120" s="29"/>
      <c r="C120" s="29"/>
      <c r="D120" s="29" t="str">
        <f>IF($C120="","",_xludf.TEXTJOIN(" ",TRUE,INDEX(Taxepunkter!$C:$C,$C120),INDEX(Taxepunkter!$D:$D,$C120)))</f>
        <v/>
      </c>
      <c r="E120" s="29" t="str">
        <f t="shared" si="12"/>
        <v/>
      </c>
      <c r="F120" s="29" t="str">
        <f t="shared" si="13"/>
        <v/>
      </c>
      <c r="G120" s="30"/>
      <c r="H120" s="31" t="str">
        <f t="shared" si="14"/>
        <v/>
      </c>
      <c r="I120" s="31" t="str">
        <f>IF($C120="","",INDEX(Taxepunkter!$B:$B,$C120)&amp;" / "&amp;INDEX(Taxepunkter!$C:$C,$C120))</f>
        <v/>
      </c>
      <c r="J120" s="31" t="str">
        <f t="shared" si="15"/>
        <v/>
      </c>
      <c r="K120" s="31" t="str">
        <f>IF($C120="","",INDEX(Taxepunkter!$C:$C,$C120)&amp;IF(INDEX(Taxepunkter!$D:$D,$C120)="","",". "&amp;INDEX(Taxepunkter!$D:$D,$C120)))</f>
        <v/>
      </c>
      <c r="L120" s="31" t="str">
        <f t="shared" si="16"/>
        <v/>
      </c>
      <c r="M120" s="31" t="str">
        <f t="shared" si="17"/>
        <v/>
      </c>
      <c r="N120" s="31" t="str">
        <f t="shared" si="18"/>
        <v/>
      </c>
      <c r="O120" s="31" t="str">
        <f t="shared" si="19"/>
        <v/>
      </c>
      <c r="P120" s="31" t="str">
        <f>IF($C120="","",_xludf.TEXTJOIN(" ",TRUE,INDEX(Taxepunkter!$C:$C,$C120),INDEX(Taxepunkter!$D:$D,$C120)))</f>
        <v/>
      </c>
      <c r="Q120" s="31"/>
      <c r="R120" s="31"/>
      <c r="S120" s="31"/>
      <c r="T120" s="31"/>
      <c r="U120" s="31" t="str">
        <f t="shared" si="20"/>
        <v/>
      </c>
      <c r="V120" s="31"/>
      <c r="W120" s="31" t="str">
        <f t="shared" si="21"/>
        <v/>
      </c>
      <c r="X120" s="31" t="str">
        <f t="shared" si="22"/>
        <v/>
      </c>
      <c r="Y120" s="79" t="str">
        <f t="shared" si="23"/>
        <v/>
      </c>
    </row>
    <row r="121" spans="1:25" x14ac:dyDescent="0.25">
      <c r="A121" s="78" t="str">
        <f>IF($C121="","",INDEX(Taxepunkter!$A:$A,$C121))</f>
        <v/>
      </c>
      <c r="B121" s="29"/>
      <c r="C121" s="29"/>
      <c r="D121" s="29" t="str">
        <f>IF($C121="","",_xludf.TEXTJOIN(" ",TRUE,INDEX(Taxepunkter!$C:$C,$C121),INDEX(Taxepunkter!$D:$D,$C121)))</f>
        <v/>
      </c>
      <c r="E121" s="29" t="str">
        <f t="shared" si="12"/>
        <v/>
      </c>
      <c r="F121" s="29" t="str">
        <f t="shared" si="13"/>
        <v/>
      </c>
      <c r="G121" s="30"/>
      <c r="H121" s="31" t="str">
        <f t="shared" si="14"/>
        <v/>
      </c>
      <c r="I121" s="31" t="str">
        <f>IF($C121="","",INDEX(Taxepunkter!$B:$B,$C121)&amp;" / "&amp;INDEX(Taxepunkter!$C:$C,$C121))</f>
        <v/>
      </c>
      <c r="J121" s="31" t="str">
        <f t="shared" si="15"/>
        <v/>
      </c>
      <c r="K121" s="31" t="str">
        <f>IF($C121="","",INDEX(Taxepunkter!$C:$C,$C121)&amp;IF(INDEX(Taxepunkter!$D:$D,$C121)="","",". "&amp;INDEX(Taxepunkter!$D:$D,$C121)))</f>
        <v/>
      </c>
      <c r="L121" s="31" t="str">
        <f t="shared" si="16"/>
        <v/>
      </c>
      <c r="M121" s="31" t="str">
        <f t="shared" si="17"/>
        <v/>
      </c>
      <c r="N121" s="31" t="str">
        <f t="shared" si="18"/>
        <v/>
      </c>
      <c r="O121" s="31" t="str">
        <f t="shared" si="19"/>
        <v/>
      </c>
      <c r="P121" s="31" t="str">
        <f>IF($C121="","",_xludf.TEXTJOIN(" ",TRUE,INDEX(Taxepunkter!$C:$C,$C121),INDEX(Taxepunkter!$D:$D,$C121)))</f>
        <v/>
      </c>
      <c r="Q121" s="31"/>
      <c r="R121" s="31"/>
      <c r="S121" s="31"/>
      <c r="T121" s="31"/>
      <c r="U121" s="31" t="str">
        <f t="shared" si="20"/>
        <v/>
      </c>
      <c r="V121" s="31"/>
      <c r="W121" s="31" t="str">
        <f t="shared" si="21"/>
        <v/>
      </c>
      <c r="X121" s="31" t="str">
        <f t="shared" si="22"/>
        <v/>
      </c>
      <c r="Y121" s="79" t="str">
        <f t="shared" si="23"/>
        <v/>
      </c>
    </row>
    <row r="122" spans="1:25" x14ac:dyDescent="0.25">
      <c r="A122" s="78" t="str">
        <f>IF($C122="","",INDEX(Taxepunkter!$A:$A,$C122))</f>
        <v/>
      </c>
      <c r="B122" s="29"/>
      <c r="C122" s="29"/>
      <c r="D122" s="29" t="str">
        <f>IF($C122="","",_xludf.TEXTJOIN(" ",TRUE,INDEX(Taxepunkter!$C:$C,$C122),INDEX(Taxepunkter!$D:$D,$C122)))</f>
        <v/>
      </c>
      <c r="E122" s="29" t="str">
        <f t="shared" si="12"/>
        <v/>
      </c>
      <c r="F122" s="29" t="str">
        <f t="shared" si="13"/>
        <v/>
      </c>
      <c r="G122" s="30"/>
      <c r="H122" s="31" t="str">
        <f t="shared" si="14"/>
        <v/>
      </c>
      <c r="I122" s="31" t="str">
        <f>IF($C122="","",INDEX(Taxepunkter!$B:$B,$C122)&amp;" / "&amp;INDEX(Taxepunkter!$C:$C,$C122))</f>
        <v/>
      </c>
      <c r="J122" s="31" t="str">
        <f t="shared" si="15"/>
        <v/>
      </c>
      <c r="K122" s="31" t="str">
        <f>IF($C122="","",INDEX(Taxepunkter!$C:$C,$C122)&amp;IF(INDEX(Taxepunkter!$D:$D,$C122)="","",". "&amp;INDEX(Taxepunkter!$D:$D,$C122)))</f>
        <v/>
      </c>
      <c r="L122" s="31" t="str">
        <f t="shared" si="16"/>
        <v/>
      </c>
      <c r="M122" s="31" t="str">
        <f t="shared" si="17"/>
        <v/>
      </c>
      <c r="N122" s="31" t="str">
        <f t="shared" si="18"/>
        <v/>
      </c>
      <c r="O122" s="31" t="str">
        <f t="shared" si="19"/>
        <v/>
      </c>
      <c r="P122" s="31" t="str">
        <f>IF($C122="","",_xludf.TEXTJOIN(" ",TRUE,INDEX(Taxepunkter!$C:$C,$C122),INDEX(Taxepunkter!$D:$D,$C122)))</f>
        <v/>
      </c>
      <c r="Q122" s="31"/>
      <c r="R122" s="31"/>
      <c r="S122" s="31"/>
      <c r="T122" s="31"/>
      <c r="U122" s="31" t="str">
        <f t="shared" si="20"/>
        <v/>
      </c>
      <c r="V122" s="31"/>
      <c r="W122" s="31" t="str">
        <f t="shared" si="21"/>
        <v/>
      </c>
      <c r="X122" s="31" t="str">
        <f t="shared" si="22"/>
        <v/>
      </c>
      <c r="Y122" s="79" t="str">
        <f t="shared" si="23"/>
        <v/>
      </c>
    </row>
    <row r="123" spans="1:25" x14ac:dyDescent="0.25">
      <c r="A123" s="78" t="str">
        <f>IF($C123="","",INDEX(Taxepunkter!$A:$A,$C123))</f>
        <v/>
      </c>
      <c r="B123" s="29"/>
      <c r="C123" s="29"/>
      <c r="D123" s="29" t="str">
        <f>IF($C123="","",_xludf.TEXTJOIN(" ",TRUE,INDEX(Taxepunkter!$C:$C,$C123),INDEX(Taxepunkter!$D:$D,$C123)))</f>
        <v/>
      </c>
      <c r="E123" s="29" t="str">
        <f t="shared" si="12"/>
        <v/>
      </c>
      <c r="F123" s="29" t="str">
        <f t="shared" si="13"/>
        <v/>
      </c>
      <c r="G123" s="30"/>
      <c r="H123" s="31" t="str">
        <f t="shared" si="14"/>
        <v/>
      </c>
      <c r="I123" s="31" t="str">
        <f>IF($C123="","",INDEX(Taxepunkter!$B:$B,$C123)&amp;" / "&amp;INDEX(Taxepunkter!$C:$C,$C123))</f>
        <v/>
      </c>
      <c r="J123" s="31" t="str">
        <f t="shared" si="15"/>
        <v/>
      </c>
      <c r="K123" s="31" t="str">
        <f>IF($C123="","",INDEX(Taxepunkter!$C:$C,$C123)&amp;IF(INDEX(Taxepunkter!$D:$D,$C123)="","",". "&amp;INDEX(Taxepunkter!$D:$D,$C123)))</f>
        <v/>
      </c>
      <c r="L123" s="31" t="str">
        <f t="shared" si="16"/>
        <v/>
      </c>
      <c r="M123" s="31" t="str">
        <f t="shared" si="17"/>
        <v/>
      </c>
      <c r="N123" s="31" t="str">
        <f t="shared" si="18"/>
        <v/>
      </c>
      <c r="O123" s="31" t="str">
        <f t="shared" si="19"/>
        <v/>
      </c>
      <c r="P123" s="31" t="str">
        <f>IF($C123="","",_xludf.TEXTJOIN(" ",TRUE,INDEX(Taxepunkter!$C:$C,$C123),INDEX(Taxepunkter!$D:$D,$C123)))</f>
        <v/>
      </c>
      <c r="Q123" s="31"/>
      <c r="R123" s="31"/>
      <c r="S123" s="31"/>
      <c r="T123" s="31"/>
      <c r="U123" s="31" t="str">
        <f t="shared" si="20"/>
        <v/>
      </c>
      <c r="V123" s="31"/>
      <c r="W123" s="31" t="str">
        <f t="shared" si="21"/>
        <v/>
      </c>
      <c r="X123" s="31" t="str">
        <f t="shared" si="22"/>
        <v/>
      </c>
      <c r="Y123" s="79" t="str">
        <f t="shared" si="23"/>
        <v/>
      </c>
    </row>
    <row r="124" spans="1:25" x14ac:dyDescent="0.25">
      <c r="A124" s="78" t="str">
        <f>IF($C124="","",INDEX(Taxepunkter!$A:$A,$C124))</f>
        <v/>
      </c>
      <c r="B124" s="29"/>
      <c r="C124" s="29"/>
      <c r="D124" s="29" t="str">
        <f>IF($C124="","",_xludf.TEXTJOIN(" ",TRUE,INDEX(Taxepunkter!$C:$C,$C124),INDEX(Taxepunkter!$D:$D,$C124)))</f>
        <v/>
      </c>
      <c r="E124" s="29" t="str">
        <f t="shared" si="12"/>
        <v/>
      </c>
      <c r="F124" s="29" t="str">
        <f t="shared" si="13"/>
        <v/>
      </c>
      <c r="G124" s="30"/>
      <c r="H124" s="31" t="str">
        <f t="shared" si="14"/>
        <v/>
      </c>
      <c r="I124" s="31" t="str">
        <f>IF($C124="","",INDEX(Taxepunkter!$B:$B,$C124)&amp;" / "&amp;INDEX(Taxepunkter!$C:$C,$C124))</f>
        <v/>
      </c>
      <c r="J124" s="31" t="str">
        <f t="shared" si="15"/>
        <v/>
      </c>
      <c r="K124" s="31" t="str">
        <f>IF($C124="","",INDEX(Taxepunkter!$C:$C,$C124)&amp;IF(INDEX(Taxepunkter!$D:$D,$C124)="","",". "&amp;INDEX(Taxepunkter!$D:$D,$C124)))</f>
        <v/>
      </c>
      <c r="L124" s="31" t="str">
        <f t="shared" si="16"/>
        <v/>
      </c>
      <c r="M124" s="31" t="str">
        <f t="shared" si="17"/>
        <v/>
      </c>
      <c r="N124" s="31" t="str">
        <f t="shared" si="18"/>
        <v/>
      </c>
      <c r="O124" s="31" t="str">
        <f t="shared" si="19"/>
        <v/>
      </c>
      <c r="P124" s="31" t="str">
        <f>IF($C124="","",_xludf.TEXTJOIN(" ",TRUE,INDEX(Taxepunkter!$C:$C,$C124),INDEX(Taxepunkter!$D:$D,$C124)))</f>
        <v/>
      </c>
      <c r="Q124" s="31"/>
      <c r="R124" s="31"/>
      <c r="S124" s="31"/>
      <c r="T124" s="31"/>
      <c r="U124" s="31" t="str">
        <f t="shared" si="20"/>
        <v/>
      </c>
      <c r="V124" s="31"/>
      <c r="W124" s="31" t="str">
        <f t="shared" si="21"/>
        <v/>
      </c>
      <c r="X124" s="31" t="str">
        <f t="shared" si="22"/>
        <v/>
      </c>
      <c r="Y124" s="79" t="str">
        <f t="shared" si="23"/>
        <v/>
      </c>
    </row>
    <row r="125" spans="1:25" x14ac:dyDescent="0.25">
      <c r="A125" s="78" t="str">
        <f>IF($C125="","",INDEX(Taxepunkter!$A:$A,$C125))</f>
        <v/>
      </c>
      <c r="B125" s="29"/>
      <c r="C125" s="29"/>
      <c r="D125" s="29" t="str">
        <f>IF($C125="","",_xludf.TEXTJOIN(" ",TRUE,INDEX(Taxepunkter!$C:$C,$C125),INDEX(Taxepunkter!$D:$D,$C125)))</f>
        <v/>
      </c>
      <c r="E125" s="29" t="str">
        <f t="shared" si="12"/>
        <v/>
      </c>
      <c r="F125" s="29" t="str">
        <f t="shared" si="13"/>
        <v/>
      </c>
      <c r="G125" s="30"/>
      <c r="H125" s="31" t="str">
        <f t="shared" si="14"/>
        <v/>
      </c>
      <c r="I125" s="31" t="str">
        <f>IF($C125="","",INDEX(Taxepunkter!$B:$B,$C125)&amp;" / "&amp;INDEX(Taxepunkter!$C:$C,$C125))</f>
        <v/>
      </c>
      <c r="J125" s="31" t="str">
        <f t="shared" si="15"/>
        <v/>
      </c>
      <c r="K125" s="31" t="str">
        <f>IF($C125="","",INDEX(Taxepunkter!$C:$C,$C125)&amp;IF(INDEX(Taxepunkter!$D:$D,$C125)="","",". "&amp;INDEX(Taxepunkter!$D:$D,$C125)))</f>
        <v/>
      </c>
      <c r="L125" s="31" t="str">
        <f t="shared" si="16"/>
        <v/>
      </c>
      <c r="M125" s="31" t="str">
        <f t="shared" si="17"/>
        <v/>
      </c>
      <c r="N125" s="31" t="str">
        <f t="shared" si="18"/>
        <v/>
      </c>
      <c r="O125" s="31" t="str">
        <f t="shared" si="19"/>
        <v/>
      </c>
      <c r="P125" s="31" t="str">
        <f>IF($C125="","",_xludf.TEXTJOIN(" ",TRUE,INDEX(Taxepunkter!$C:$C,$C125),INDEX(Taxepunkter!$D:$D,$C125)))</f>
        <v/>
      </c>
      <c r="Q125" s="31"/>
      <c r="R125" s="31"/>
      <c r="S125" s="31"/>
      <c r="T125" s="31"/>
      <c r="U125" s="31" t="str">
        <f t="shared" si="20"/>
        <v/>
      </c>
      <c r="V125" s="31"/>
      <c r="W125" s="31" t="str">
        <f t="shared" si="21"/>
        <v/>
      </c>
      <c r="X125" s="31" t="str">
        <f t="shared" si="22"/>
        <v/>
      </c>
      <c r="Y125" s="79" t="str">
        <f t="shared" si="23"/>
        <v/>
      </c>
    </row>
    <row r="126" spans="1:25" x14ac:dyDescent="0.25">
      <c r="A126" s="78" t="str">
        <f>IF($C126="","",INDEX(Taxepunkter!$A:$A,$C126))</f>
        <v/>
      </c>
      <c r="B126" s="29"/>
      <c r="C126" s="29"/>
      <c r="D126" s="29" t="str">
        <f>IF($C126="","",_xludf.TEXTJOIN(" ",TRUE,INDEX(Taxepunkter!$C:$C,$C126),INDEX(Taxepunkter!$D:$D,$C126)))</f>
        <v/>
      </c>
      <c r="E126" s="29" t="str">
        <f t="shared" si="12"/>
        <v/>
      </c>
      <c r="F126" s="29" t="str">
        <f t="shared" si="13"/>
        <v/>
      </c>
      <c r="G126" s="30"/>
      <c r="H126" s="31" t="str">
        <f t="shared" si="14"/>
        <v/>
      </c>
      <c r="I126" s="31" t="str">
        <f>IF($C126="","",INDEX(Taxepunkter!$B:$B,$C126)&amp;" / "&amp;INDEX(Taxepunkter!$C:$C,$C126))</f>
        <v/>
      </c>
      <c r="J126" s="31" t="str">
        <f t="shared" si="15"/>
        <v/>
      </c>
      <c r="K126" s="31" t="str">
        <f>IF($C126="","",INDEX(Taxepunkter!$C:$C,$C126)&amp;IF(INDEX(Taxepunkter!$D:$D,$C126)="","",". "&amp;INDEX(Taxepunkter!$D:$D,$C126)))</f>
        <v/>
      </c>
      <c r="L126" s="31" t="str">
        <f t="shared" si="16"/>
        <v/>
      </c>
      <c r="M126" s="31" t="str">
        <f t="shared" si="17"/>
        <v/>
      </c>
      <c r="N126" s="31" t="str">
        <f t="shared" si="18"/>
        <v/>
      </c>
      <c r="O126" s="31" t="str">
        <f t="shared" si="19"/>
        <v/>
      </c>
      <c r="P126" s="31" t="str">
        <f>IF($C126="","",_xludf.TEXTJOIN(" ",TRUE,INDEX(Taxepunkter!$C:$C,$C126),INDEX(Taxepunkter!$D:$D,$C126)))</f>
        <v/>
      </c>
      <c r="Q126" s="31"/>
      <c r="R126" s="31"/>
      <c r="S126" s="31"/>
      <c r="T126" s="31"/>
      <c r="U126" s="31" t="str">
        <f t="shared" si="20"/>
        <v/>
      </c>
      <c r="V126" s="31"/>
      <c r="W126" s="31" t="str">
        <f t="shared" si="21"/>
        <v/>
      </c>
      <c r="X126" s="31" t="str">
        <f t="shared" si="22"/>
        <v/>
      </c>
      <c r="Y126" s="79" t="str">
        <f t="shared" si="23"/>
        <v/>
      </c>
    </row>
    <row r="127" spans="1:25" x14ac:dyDescent="0.25">
      <c r="A127" s="78" t="str">
        <f>IF($C127="","",INDEX(Taxepunkter!$A:$A,$C127))</f>
        <v/>
      </c>
      <c r="B127" s="29"/>
      <c r="C127" s="29"/>
      <c r="D127" s="29" t="str">
        <f>IF($C127="","",_xludf.TEXTJOIN(" ",TRUE,INDEX(Taxepunkter!$C:$C,$C127),INDEX(Taxepunkter!$D:$D,$C127)))</f>
        <v/>
      </c>
      <c r="E127" s="29" t="str">
        <f t="shared" si="12"/>
        <v/>
      </c>
      <c r="F127" s="29" t="str">
        <f t="shared" si="13"/>
        <v/>
      </c>
      <c r="G127" s="30"/>
      <c r="H127" s="31" t="str">
        <f t="shared" si="14"/>
        <v/>
      </c>
      <c r="I127" s="31" t="str">
        <f>IF($C127="","",INDEX(Taxepunkter!$B:$B,$C127)&amp;" / "&amp;INDEX(Taxepunkter!$C:$C,$C127))</f>
        <v/>
      </c>
      <c r="J127" s="31" t="str">
        <f t="shared" si="15"/>
        <v/>
      </c>
      <c r="K127" s="31" t="str">
        <f>IF($C127="","",INDEX(Taxepunkter!$C:$C,$C127)&amp;IF(INDEX(Taxepunkter!$D:$D,$C127)="","",". "&amp;INDEX(Taxepunkter!$D:$D,$C127)))</f>
        <v/>
      </c>
      <c r="L127" s="31" t="str">
        <f t="shared" si="16"/>
        <v/>
      </c>
      <c r="M127" s="31" t="str">
        <f t="shared" si="17"/>
        <v/>
      </c>
      <c r="N127" s="31" t="str">
        <f t="shared" si="18"/>
        <v/>
      </c>
      <c r="O127" s="31" t="str">
        <f t="shared" si="19"/>
        <v/>
      </c>
      <c r="P127" s="31" t="str">
        <f>IF($C127="","",_xludf.TEXTJOIN(" ",TRUE,INDEX(Taxepunkter!$C:$C,$C127),INDEX(Taxepunkter!$D:$D,$C127)))</f>
        <v/>
      </c>
      <c r="Q127" s="31"/>
      <c r="R127" s="31"/>
      <c r="S127" s="31"/>
      <c r="T127" s="31"/>
      <c r="U127" s="31" t="str">
        <f t="shared" si="20"/>
        <v/>
      </c>
      <c r="V127" s="31"/>
      <c r="W127" s="31" t="str">
        <f t="shared" si="21"/>
        <v/>
      </c>
      <c r="X127" s="31" t="str">
        <f t="shared" si="22"/>
        <v/>
      </c>
      <c r="Y127" s="79" t="str">
        <f t="shared" si="23"/>
        <v/>
      </c>
    </row>
    <row r="128" spans="1:25" x14ac:dyDescent="0.25">
      <c r="A128" s="78" t="str">
        <f>IF($C128="","",INDEX(Taxepunkter!$A:$A,$C128))</f>
        <v/>
      </c>
      <c r="B128" s="29"/>
      <c r="C128" s="29"/>
      <c r="D128" s="29" t="str">
        <f>IF($C128="","",_xludf.TEXTJOIN(" ",TRUE,INDEX(Taxepunkter!$C:$C,$C128),INDEX(Taxepunkter!$D:$D,$C128)))</f>
        <v/>
      </c>
      <c r="E128" s="29" t="str">
        <f t="shared" si="12"/>
        <v/>
      </c>
      <c r="F128" s="29" t="str">
        <f t="shared" si="13"/>
        <v/>
      </c>
      <c r="G128" s="30"/>
      <c r="H128" s="31" t="str">
        <f t="shared" si="14"/>
        <v/>
      </c>
      <c r="I128" s="31" t="str">
        <f>IF($C128="","",INDEX(Taxepunkter!$B:$B,$C128)&amp;" / "&amp;INDEX(Taxepunkter!$C:$C,$C128))</f>
        <v/>
      </c>
      <c r="J128" s="31" t="str">
        <f t="shared" si="15"/>
        <v/>
      </c>
      <c r="K128" s="31" t="str">
        <f>IF($C128="","",INDEX(Taxepunkter!$C:$C,$C128)&amp;IF(INDEX(Taxepunkter!$D:$D,$C128)="","",". "&amp;INDEX(Taxepunkter!$D:$D,$C128)))</f>
        <v/>
      </c>
      <c r="L128" s="31" t="str">
        <f t="shared" si="16"/>
        <v/>
      </c>
      <c r="M128" s="31" t="str">
        <f t="shared" si="17"/>
        <v/>
      </c>
      <c r="N128" s="31" t="str">
        <f t="shared" si="18"/>
        <v/>
      </c>
      <c r="O128" s="31" t="str">
        <f t="shared" si="19"/>
        <v/>
      </c>
      <c r="P128" s="31" t="str">
        <f>IF($C128="","",_xludf.TEXTJOIN(" ",TRUE,INDEX(Taxepunkter!$C:$C,$C128),INDEX(Taxepunkter!$D:$D,$C128)))</f>
        <v/>
      </c>
      <c r="Q128" s="31"/>
      <c r="R128" s="31"/>
      <c r="S128" s="31"/>
      <c r="T128" s="31"/>
      <c r="U128" s="31" t="str">
        <f t="shared" si="20"/>
        <v/>
      </c>
      <c r="V128" s="31"/>
      <c r="W128" s="31" t="str">
        <f t="shared" si="21"/>
        <v/>
      </c>
      <c r="X128" s="31" t="str">
        <f t="shared" si="22"/>
        <v/>
      </c>
      <c r="Y128" s="79" t="str">
        <f t="shared" si="23"/>
        <v/>
      </c>
    </row>
    <row r="129" spans="1:25" x14ac:dyDescent="0.25">
      <c r="A129" s="78" t="str">
        <f>IF($C129="","",INDEX(Taxepunkter!$A:$A,$C129))</f>
        <v/>
      </c>
      <c r="B129" s="29"/>
      <c r="C129" s="29"/>
      <c r="D129" s="29" t="str">
        <f>IF($C129="","",_xludf.TEXTJOIN(" ",TRUE,INDEX(Taxepunkter!$C:$C,$C129),INDEX(Taxepunkter!$D:$D,$C129)))</f>
        <v/>
      </c>
      <c r="E129" s="29" t="str">
        <f t="shared" si="12"/>
        <v/>
      </c>
      <c r="F129" s="29" t="str">
        <f t="shared" si="13"/>
        <v/>
      </c>
      <c r="G129" s="30"/>
      <c r="H129" s="31" t="str">
        <f t="shared" si="14"/>
        <v/>
      </c>
      <c r="I129" s="31" t="str">
        <f>IF($C129="","",INDEX(Taxepunkter!$B:$B,$C129)&amp;" / "&amp;INDEX(Taxepunkter!$C:$C,$C129))</f>
        <v/>
      </c>
      <c r="J129" s="31" t="str">
        <f t="shared" si="15"/>
        <v/>
      </c>
      <c r="K129" s="31" t="str">
        <f>IF($C129="","",INDEX(Taxepunkter!$C:$C,$C129)&amp;IF(INDEX(Taxepunkter!$D:$D,$C129)="","",". "&amp;INDEX(Taxepunkter!$D:$D,$C129)))</f>
        <v/>
      </c>
      <c r="L129" s="31" t="str">
        <f t="shared" si="16"/>
        <v/>
      </c>
      <c r="M129" s="31" t="str">
        <f t="shared" si="17"/>
        <v/>
      </c>
      <c r="N129" s="31" t="str">
        <f t="shared" si="18"/>
        <v/>
      </c>
      <c r="O129" s="31" t="str">
        <f t="shared" si="19"/>
        <v/>
      </c>
      <c r="P129" s="31" t="str">
        <f>IF($C129="","",_xludf.TEXTJOIN(" ",TRUE,INDEX(Taxepunkter!$C:$C,$C129),INDEX(Taxepunkter!$D:$D,$C129)))</f>
        <v/>
      </c>
      <c r="Q129" s="31"/>
      <c r="R129" s="31"/>
      <c r="S129" s="31"/>
      <c r="T129" s="31"/>
      <c r="U129" s="31" t="str">
        <f t="shared" si="20"/>
        <v/>
      </c>
      <c r="V129" s="31"/>
      <c r="W129" s="31" t="str">
        <f t="shared" si="21"/>
        <v/>
      </c>
      <c r="X129" s="31" t="str">
        <f t="shared" si="22"/>
        <v/>
      </c>
      <c r="Y129" s="79" t="str">
        <f t="shared" si="23"/>
        <v/>
      </c>
    </row>
    <row r="130" spans="1:25" x14ac:dyDescent="0.25">
      <c r="A130" s="78" t="str">
        <f>IF($C130="","",INDEX(Taxepunkter!$A:$A,$C130))</f>
        <v/>
      </c>
      <c r="B130" s="29"/>
      <c r="C130" s="29"/>
      <c r="D130" s="29" t="str">
        <f>IF($C130="","",_xludf.TEXTJOIN(" ",TRUE,INDEX(Taxepunkter!$C:$C,$C130),INDEX(Taxepunkter!$D:$D,$C130)))</f>
        <v/>
      </c>
      <c r="E130" s="29" t="str">
        <f t="shared" si="12"/>
        <v/>
      </c>
      <c r="F130" s="29" t="str">
        <f t="shared" si="13"/>
        <v/>
      </c>
      <c r="G130" s="30"/>
      <c r="H130" s="31" t="str">
        <f t="shared" si="14"/>
        <v/>
      </c>
      <c r="I130" s="31" t="str">
        <f>IF($C130="","",INDEX(Taxepunkter!$B:$B,$C130)&amp;" / "&amp;INDEX(Taxepunkter!$C:$C,$C130))</f>
        <v/>
      </c>
      <c r="J130" s="31" t="str">
        <f t="shared" si="15"/>
        <v/>
      </c>
      <c r="K130" s="31" t="str">
        <f>IF($C130="","",INDEX(Taxepunkter!$C:$C,$C130)&amp;IF(INDEX(Taxepunkter!$D:$D,$C130)="","",". "&amp;INDEX(Taxepunkter!$D:$D,$C130)))</f>
        <v/>
      </c>
      <c r="L130" s="31" t="str">
        <f t="shared" si="16"/>
        <v/>
      </c>
      <c r="M130" s="31" t="str">
        <f t="shared" si="17"/>
        <v/>
      </c>
      <c r="N130" s="31" t="str">
        <f t="shared" si="18"/>
        <v/>
      </c>
      <c r="O130" s="31" t="str">
        <f t="shared" si="19"/>
        <v/>
      </c>
      <c r="P130" s="31" t="str">
        <f>IF($C130="","",_xludf.TEXTJOIN(" ",TRUE,INDEX(Taxepunkter!$C:$C,$C130),INDEX(Taxepunkter!$D:$D,$C130)))</f>
        <v/>
      </c>
      <c r="Q130" s="31"/>
      <c r="R130" s="31"/>
      <c r="S130" s="31"/>
      <c r="T130" s="31"/>
      <c r="U130" s="31" t="str">
        <f t="shared" si="20"/>
        <v/>
      </c>
      <c r="V130" s="31"/>
      <c r="W130" s="31" t="str">
        <f t="shared" si="21"/>
        <v/>
      </c>
      <c r="X130" s="31" t="str">
        <f t="shared" si="22"/>
        <v/>
      </c>
      <c r="Y130" s="79" t="str">
        <f t="shared" si="23"/>
        <v/>
      </c>
    </row>
    <row r="131" spans="1:25" x14ac:dyDescent="0.25">
      <c r="A131" s="78" t="str">
        <f>IF($C131="","",INDEX(Taxepunkter!$A:$A,$C131))</f>
        <v/>
      </c>
      <c r="B131" s="29"/>
      <c r="C131" s="29"/>
      <c r="D131" s="29" t="str">
        <f>IF($C131="","",_xludf.TEXTJOIN(" ",TRUE,INDEX(Taxepunkter!$C:$C,$C131),INDEX(Taxepunkter!$D:$D,$C131)))</f>
        <v/>
      </c>
      <c r="E131" s="29" t="str">
        <f t="shared" si="12"/>
        <v/>
      </c>
      <c r="F131" s="29" t="str">
        <f t="shared" si="13"/>
        <v/>
      </c>
      <c r="G131" s="30"/>
      <c r="H131" s="31" t="str">
        <f t="shared" si="14"/>
        <v/>
      </c>
      <c r="I131" s="31" t="str">
        <f>IF($C131="","",INDEX(Taxepunkter!$B:$B,$C131)&amp;" / "&amp;INDEX(Taxepunkter!$C:$C,$C131))</f>
        <v/>
      </c>
      <c r="J131" s="31" t="str">
        <f t="shared" si="15"/>
        <v/>
      </c>
      <c r="K131" s="31" t="str">
        <f>IF($C131="","",INDEX(Taxepunkter!$C:$C,$C131)&amp;IF(INDEX(Taxepunkter!$D:$D,$C131)="","",". "&amp;INDEX(Taxepunkter!$D:$D,$C131)))</f>
        <v/>
      </c>
      <c r="L131" s="31" t="str">
        <f t="shared" si="16"/>
        <v/>
      </c>
      <c r="M131" s="31" t="str">
        <f t="shared" si="17"/>
        <v/>
      </c>
      <c r="N131" s="31" t="str">
        <f t="shared" si="18"/>
        <v/>
      </c>
      <c r="O131" s="31" t="str">
        <f t="shared" si="19"/>
        <v/>
      </c>
      <c r="P131" s="31" t="str">
        <f>IF($C131="","",_xludf.TEXTJOIN(" ",TRUE,INDEX(Taxepunkter!$C:$C,$C131),INDEX(Taxepunkter!$D:$D,$C131)))</f>
        <v/>
      </c>
      <c r="Q131" s="31"/>
      <c r="R131" s="31"/>
      <c r="S131" s="31"/>
      <c r="T131" s="31"/>
      <c r="U131" s="31" t="str">
        <f t="shared" si="20"/>
        <v/>
      </c>
      <c r="V131" s="31"/>
      <c r="W131" s="31" t="str">
        <f t="shared" si="21"/>
        <v/>
      </c>
      <c r="X131" s="31" t="str">
        <f t="shared" si="22"/>
        <v/>
      </c>
      <c r="Y131" s="79" t="str">
        <f t="shared" si="23"/>
        <v/>
      </c>
    </row>
    <row r="132" spans="1:25" x14ac:dyDescent="0.25">
      <c r="A132" s="78" t="str">
        <f>IF($C132="","",INDEX(Taxepunkter!$A:$A,$C132))</f>
        <v/>
      </c>
      <c r="B132" s="29"/>
      <c r="C132" s="29"/>
      <c r="D132" s="29" t="str">
        <f>IF($C132="","",_xludf.TEXTJOIN(" ",TRUE,INDEX(Taxepunkter!$C:$C,$C132),INDEX(Taxepunkter!$D:$D,$C132)))</f>
        <v/>
      </c>
      <c r="E132" s="29" t="str">
        <f t="shared" si="12"/>
        <v/>
      </c>
      <c r="F132" s="29" t="str">
        <f t="shared" si="13"/>
        <v/>
      </c>
      <c r="G132" s="30"/>
      <c r="H132" s="31" t="str">
        <f t="shared" si="14"/>
        <v/>
      </c>
      <c r="I132" s="31" t="str">
        <f>IF($C132="","",INDEX(Taxepunkter!$B:$B,$C132)&amp;" / "&amp;INDEX(Taxepunkter!$C:$C,$C132))</f>
        <v/>
      </c>
      <c r="J132" s="31" t="str">
        <f t="shared" si="15"/>
        <v/>
      </c>
      <c r="K132" s="31" t="str">
        <f>IF($C132="","",INDEX(Taxepunkter!$C:$C,$C132)&amp;IF(INDEX(Taxepunkter!$D:$D,$C132)="","",". "&amp;INDEX(Taxepunkter!$D:$D,$C132)))</f>
        <v/>
      </c>
      <c r="L132" s="31" t="str">
        <f t="shared" si="16"/>
        <v/>
      </c>
      <c r="M132" s="31" t="str">
        <f t="shared" si="17"/>
        <v/>
      </c>
      <c r="N132" s="31" t="str">
        <f t="shared" si="18"/>
        <v/>
      </c>
      <c r="O132" s="31" t="str">
        <f t="shared" si="19"/>
        <v/>
      </c>
      <c r="P132" s="31" t="str">
        <f>IF($C132="","",_xludf.TEXTJOIN(" ",TRUE,INDEX(Taxepunkter!$C:$C,$C132),INDEX(Taxepunkter!$D:$D,$C132)))</f>
        <v/>
      </c>
      <c r="Q132" s="31"/>
      <c r="R132" s="31"/>
      <c r="S132" s="31"/>
      <c r="T132" s="31"/>
      <c r="U132" s="31" t="str">
        <f t="shared" si="20"/>
        <v/>
      </c>
      <c r="V132" s="31"/>
      <c r="W132" s="31" t="str">
        <f t="shared" si="21"/>
        <v/>
      </c>
      <c r="X132" s="31" t="str">
        <f t="shared" si="22"/>
        <v/>
      </c>
      <c r="Y132" s="79" t="str">
        <f t="shared" si="23"/>
        <v/>
      </c>
    </row>
    <row r="133" spans="1:25" x14ac:dyDescent="0.25">
      <c r="A133" s="78" t="str">
        <f>IF($C133="","",INDEX(Taxepunkter!$A:$A,$C133))</f>
        <v/>
      </c>
      <c r="B133" s="29"/>
      <c r="C133" s="29"/>
      <c r="D133" s="29" t="str">
        <f>IF($C133="","",_xludf.TEXTJOIN(" ",TRUE,INDEX(Taxepunkter!$C:$C,$C133),INDEX(Taxepunkter!$D:$D,$C133)))</f>
        <v/>
      </c>
      <c r="E133" s="29" t="str">
        <f t="shared" si="12"/>
        <v/>
      </c>
      <c r="F133" s="29" t="str">
        <f t="shared" si="13"/>
        <v/>
      </c>
      <c r="G133" s="30"/>
      <c r="H133" s="31" t="str">
        <f t="shared" si="14"/>
        <v/>
      </c>
      <c r="I133" s="31" t="str">
        <f>IF($C133="","",INDEX(Taxepunkter!$B:$B,$C133)&amp;" / "&amp;INDEX(Taxepunkter!$C:$C,$C133))</f>
        <v/>
      </c>
      <c r="J133" s="31" t="str">
        <f t="shared" si="15"/>
        <v/>
      </c>
      <c r="K133" s="31" t="str">
        <f>IF($C133="","",INDEX(Taxepunkter!$C:$C,$C133)&amp;IF(INDEX(Taxepunkter!$D:$D,$C133)="","",". "&amp;INDEX(Taxepunkter!$D:$D,$C133)))</f>
        <v/>
      </c>
      <c r="L133" s="31" t="str">
        <f t="shared" si="16"/>
        <v/>
      </c>
      <c r="M133" s="31" t="str">
        <f t="shared" si="17"/>
        <v/>
      </c>
      <c r="N133" s="31" t="str">
        <f t="shared" si="18"/>
        <v/>
      </c>
      <c r="O133" s="31" t="str">
        <f t="shared" si="19"/>
        <v/>
      </c>
      <c r="P133" s="31" t="str">
        <f>IF($C133="","",_xludf.TEXTJOIN(" ",TRUE,INDEX(Taxepunkter!$C:$C,$C133),INDEX(Taxepunkter!$D:$D,$C133)))</f>
        <v/>
      </c>
      <c r="Q133" s="31"/>
      <c r="R133" s="31"/>
      <c r="S133" s="31"/>
      <c r="T133" s="31"/>
      <c r="U133" s="31" t="str">
        <f t="shared" si="20"/>
        <v/>
      </c>
      <c r="V133" s="31"/>
      <c r="W133" s="31" t="str">
        <f t="shared" si="21"/>
        <v/>
      </c>
      <c r="X133" s="31" t="str">
        <f t="shared" si="22"/>
        <v/>
      </c>
      <c r="Y133" s="79" t="str">
        <f t="shared" si="23"/>
        <v/>
      </c>
    </row>
    <row r="134" spans="1:25" x14ac:dyDescent="0.25">
      <c r="A134" s="78" t="str">
        <f>IF($C134="","",INDEX(Taxepunkter!$A:$A,$C134))</f>
        <v/>
      </c>
      <c r="B134" s="29"/>
      <c r="C134" s="29"/>
      <c r="D134" s="29" t="str">
        <f>IF($C134="","",_xludf.TEXTJOIN(" ",TRUE,INDEX(Taxepunkter!$C:$C,$C134),INDEX(Taxepunkter!$D:$D,$C134)))</f>
        <v/>
      </c>
      <c r="E134" s="29" t="str">
        <f t="shared" si="12"/>
        <v/>
      </c>
      <c r="F134" s="29" t="str">
        <f t="shared" si="13"/>
        <v/>
      </c>
      <c r="G134" s="30"/>
      <c r="H134" s="31" t="str">
        <f t="shared" si="14"/>
        <v/>
      </c>
      <c r="I134" s="31" t="str">
        <f>IF($C134="","",INDEX(Taxepunkter!$B:$B,$C134)&amp;" / "&amp;INDEX(Taxepunkter!$C:$C,$C134))</f>
        <v/>
      </c>
      <c r="J134" s="31" t="str">
        <f t="shared" si="15"/>
        <v/>
      </c>
      <c r="K134" s="31" t="str">
        <f>IF($C134="","",INDEX(Taxepunkter!$C:$C,$C134)&amp;IF(INDEX(Taxepunkter!$D:$D,$C134)="","",". "&amp;INDEX(Taxepunkter!$D:$D,$C134)))</f>
        <v/>
      </c>
      <c r="L134" s="31" t="str">
        <f t="shared" si="16"/>
        <v/>
      </c>
      <c r="M134" s="31" t="str">
        <f t="shared" si="17"/>
        <v/>
      </c>
      <c r="N134" s="31" t="str">
        <f t="shared" si="18"/>
        <v/>
      </c>
      <c r="O134" s="31" t="str">
        <f t="shared" si="19"/>
        <v/>
      </c>
      <c r="P134" s="31" t="str">
        <f>IF($C134="","",_xludf.TEXTJOIN(" ",TRUE,INDEX(Taxepunkter!$C:$C,$C134),INDEX(Taxepunkter!$D:$D,$C134)))</f>
        <v/>
      </c>
      <c r="Q134" s="31"/>
      <c r="R134" s="31"/>
      <c r="S134" s="31"/>
      <c r="T134" s="31"/>
      <c r="U134" s="31" t="str">
        <f t="shared" si="20"/>
        <v/>
      </c>
      <c r="V134" s="31"/>
      <c r="W134" s="31" t="str">
        <f t="shared" si="21"/>
        <v/>
      </c>
      <c r="X134" s="31" t="str">
        <f t="shared" si="22"/>
        <v/>
      </c>
      <c r="Y134" s="79" t="str">
        <f t="shared" si="23"/>
        <v/>
      </c>
    </row>
    <row r="135" spans="1:25" x14ac:dyDescent="0.25">
      <c r="A135" s="78" t="str">
        <f>IF($C135="","",INDEX(Taxepunkter!$A:$A,$C135))</f>
        <v/>
      </c>
      <c r="B135" s="29"/>
      <c r="C135" s="29"/>
      <c r="D135" s="29" t="str">
        <f>IF($C135="","",_xludf.TEXTJOIN(" ",TRUE,INDEX(Taxepunkter!$C:$C,$C135),INDEX(Taxepunkter!$D:$D,$C135)))</f>
        <v/>
      </c>
      <c r="E135" s="29" t="str">
        <f t="shared" si="12"/>
        <v/>
      </c>
      <c r="F135" s="29" t="str">
        <f t="shared" si="13"/>
        <v/>
      </c>
      <c r="G135" s="30"/>
      <c r="H135" s="31" t="str">
        <f t="shared" si="14"/>
        <v/>
      </c>
      <c r="I135" s="31" t="str">
        <f>IF($C135="","",INDEX(Taxepunkter!$B:$B,$C135)&amp;" / "&amp;INDEX(Taxepunkter!$C:$C,$C135))</f>
        <v/>
      </c>
      <c r="J135" s="31" t="str">
        <f t="shared" si="15"/>
        <v/>
      </c>
      <c r="K135" s="31" t="str">
        <f>IF($C135="","",INDEX(Taxepunkter!$C:$C,$C135)&amp;IF(INDEX(Taxepunkter!$D:$D,$C135)="","",". "&amp;INDEX(Taxepunkter!$D:$D,$C135)))</f>
        <v/>
      </c>
      <c r="L135" s="31" t="str">
        <f t="shared" si="16"/>
        <v/>
      </c>
      <c r="M135" s="31" t="str">
        <f t="shared" si="17"/>
        <v/>
      </c>
      <c r="N135" s="31" t="str">
        <f t="shared" si="18"/>
        <v/>
      </c>
      <c r="O135" s="31" t="str">
        <f t="shared" si="19"/>
        <v/>
      </c>
      <c r="P135" s="31" t="str">
        <f>IF($C135="","",_xludf.TEXTJOIN(" ",TRUE,INDEX(Taxepunkter!$C:$C,$C135),INDEX(Taxepunkter!$D:$D,$C135)))</f>
        <v/>
      </c>
      <c r="Q135" s="31"/>
      <c r="R135" s="31"/>
      <c r="S135" s="31"/>
      <c r="T135" s="31"/>
      <c r="U135" s="31" t="str">
        <f t="shared" si="20"/>
        <v/>
      </c>
      <c r="V135" s="31"/>
      <c r="W135" s="31" t="str">
        <f t="shared" si="21"/>
        <v/>
      </c>
      <c r="X135" s="31" t="str">
        <f t="shared" si="22"/>
        <v/>
      </c>
      <c r="Y135" s="79" t="str">
        <f t="shared" si="23"/>
        <v/>
      </c>
    </row>
    <row r="136" spans="1:25" x14ac:dyDescent="0.25">
      <c r="A136" s="78" t="str">
        <f>IF($C136="","",INDEX(Taxepunkter!$A:$A,$C136))</f>
        <v/>
      </c>
      <c r="B136" s="29"/>
      <c r="C136" s="29"/>
      <c r="D136" s="29" t="str">
        <f>IF($C136="","",_xludf.TEXTJOIN(" ",TRUE,INDEX(Taxepunkter!$C:$C,$C136),INDEX(Taxepunkter!$D:$D,$C136)))</f>
        <v/>
      </c>
      <c r="E136" s="29" t="str">
        <f t="shared" si="12"/>
        <v/>
      </c>
      <c r="F136" s="29" t="str">
        <f t="shared" si="13"/>
        <v/>
      </c>
      <c r="G136" s="30"/>
      <c r="H136" s="31" t="str">
        <f t="shared" si="14"/>
        <v/>
      </c>
      <c r="I136" s="31" t="str">
        <f>IF($C136="","",INDEX(Taxepunkter!$B:$B,$C136)&amp;" / "&amp;INDEX(Taxepunkter!$C:$C,$C136))</f>
        <v/>
      </c>
      <c r="J136" s="31" t="str">
        <f t="shared" si="15"/>
        <v/>
      </c>
      <c r="K136" s="31" t="str">
        <f>IF($C136="","",INDEX(Taxepunkter!$C:$C,$C136)&amp;IF(INDEX(Taxepunkter!$D:$D,$C136)="","",". "&amp;INDEX(Taxepunkter!$D:$D,$C136)))</f>
        <v/>
      </c>
      <c r="L136" s="31" t="str">
        <f t="shared" si="16"/>
        <v/>
      </c>
      <c r="M136" s="31" t="str">
        <f t="shared" si="17"/>
        <v/>
      </c>
      <c r="N136" s="31" t="str">
        <f t="shared" si="18"/>
        <v/>
      </c>
      <c r="O136" s="31" t="str">
        <f t="shared" si="19"/>
        <v/>
      </c>
      <c r="P136" s="31" t="str">
        <f>IF($C136="","",_xludf.TEXTJOIN(" ",TRUE,INDEX(Taxepunkter!$C:$C,$C136),INDEX(Taxepunkter!$D:$D,$C136)))</f>
        <v/>
      </c>
      <c r="Q136" s="31"/>
      <c r="R136" s="31"/>
      <c r="S136" s="31"/>
      <c r="T136" s="31"/>
      <c r="U136" s="31" t="str">
        <f t="shared" si="20"/>
        <v/>
      </c>
      <c r="V136" s="31"/>
      <c r="W136" s="31" t="str">
        <f t="shared" si="21"/>
        <v/>
      </c>
      <c r="X136" s="31" t="str">
        <f t="shared" si="22"/>
        <v/>
      </c>
      <c r="Y136" s="79" t="str">
        <f t="shared" si="23"/>
        <v/>
      </c>
    </row>
    <row r="137" spans="1:25" x14ac:dyDescent="0.25">
      <c r="A137" s="78" t="str">
        <f>IF($C137="","",INDEX(Taxepunkter!$A:$A,$C137))</f>
        <v/>
      </c>
      <c r="B137" s="29"/>
      <c r="C137" s="29"/>
      <c r="D137" s="29" t="str">
        <f>IF($C137="","",_xludf.TEXTJOIN(" ",TRUE,INDEX(Taxepunkter!$C:$C,$C137),INDEX(Taxepunkter!$D:$D,$C137)))</f>
        <v/>
      </c>
      <c r="E137" s="29" t="str">
        <f t="shared" si="12"/>
        <v/>
      </c>
      <c r="F137" s="29" t="str">
        <f t="shared" si="13"/>
        <v/>
      </c>
      <c r="G137" s="30"/>
      <c r="H137" s="31" t="str">
        <f t="shared" si="14"/>
        <v/>
      </c>
      <c r="I137" s="31" t="str">
        <f>IF($C137="","",INDEX(Taxepunkter!$B:$B,$C137)&amp;" / "&amp;INDEX(Taxepunkter!$C:$C,$C137))</f>
        <v/>
      </c>
      <c r="J137" s="31" t="str">
        <f t="shared" si="15"/>
        <v/>
      </c>
      <c r="K137" s="31" t="str">
        <f>IF($C137="","",INDEX(Taxepunkter!$C:$C,$C137)&amp;IF(INDEX(Taxepunkter!$D:$D,$C137)="","",". "&amp;INDEX(Taxepunkter!$D:$D,$C137)))</f>
        <v/>
      </c>
      <c r="L137" s="31" t="str">
        <f t="shared" si="16"/>
        <v/>
      </c>
      <c r="M137" s="31" t="str">
        <f t="shared" si="17"/>
        <v/>
      </c>
      <c r="N137" s="31" t="str">
        <f t="shared" si="18"/>
        <v/>
      </c>
      <c r="O137" s="31" t="str">
        <f t="shared" si="19"/>
        <v/>
      </c>
      <c r="P137" s="31" t="str">
        <f>IF($C137="","",_xludf.TEXTJOIN(" ",TRUE,INDEX(Taxepunkter!$C:$C,$C137),INDEX(Taxepunkter!$D:$D,$C137)))</f>
        <v/>
      </c>
      <c r="Q137" s="31"/>
      <c r="R137" s="31"/>
      <c r="S137" s="31"/>
      <c r="T137" s="31"/>
      <c r="U137" s="31" t="str">
        <f t="shared" si="20"/>
        <v/>
      </c>
      <c r="V137" s="31"/>
      <c r="W137" s="31" t="str">
        <f t="shared" si="21"/>
        <v/>
      </c>
      <c r="X137" s="31" t="str">
        <f t="shared" si="22"/>
        <v/>
      </c>
      <c r="Y137" s="79" t="str">
        <f t="shared" si="23"/>
        <v/>
      </c>
    </row>
    <row r="138" spans="1:25" x14ac:dyDescent="0.25">
      <c r="A138" s="78" t="str">
        <f>IF($C138="","",INDEX(Taxepunkter!$A:$A,$C138))</f>
        <v/>
      </c>
      <c r="B138" s="29"/>
      <c r="C138" s="29"/>
      <c r="D138" s="29" t="str">
        <f>IF($C138="","",_xludf.TEXTJOIN(" ",TRUE,INDEX(Taxepunkter!$C:$C,$C138),INDEX(Taxepunkter!$D:$D,$C138)))</f>
        <v/>
      </c>
      <c r="E138" s="29" t="str">
        <f t="shared" si="12"/>
        <v/>
      </c>
      <c r="F138" s="29" t="str">
        <f t="shared" si="13"/>
        <v/>
      </c>
      <c r="G138" s="30"/>
      <c r="H138" s="31" t="str">
        <f t="shared" si="14"/>
        <v/>
      </c>
      <c r="I138" s="31" t="str">
        <f>IF($C138="","",INDEX(Taxepunkter!$B:$B,$C138)&amp;" / "&amp;INDEX(Taxepunkter!$C:$C,$C138))</f>
        <v/>
      </c>
      <c r="J138" s="31" t="str">
        <f t="shared" si="15"/>
        <v/>
      </c>
      <c r="K138" s="31" t="str">
        <f>IF($C138="","",INDEX(Taxepunkter!$C:$C,$C138)&amp;IF(INDEX(Taxepunkter!$D:$D,$C138)="","",". "&amp;INDEX(Taxepunkter!$D:$D,$C138)))</f>
        <v/>
      </c>
      <c r="L138" s="31" t="str">
        <f t="shared" si="16"/>
        <v/>
      </c>
      <c r="M138" s="31" t="str">
        <f t="shared" si="17"/>
        <v/>
      </c>
      <c r="N138" s="31" t="str">
        <f t="shared" si="18"/>
        <v/>
      </c>
      <c r="O138" s="31" t="str">
        <f t="shared" si="19"/>
        <v/>
      </c>
      <c r="P138" s="31" t="str">
        <f>IF($C138="","",_xludf.TEXTJOIN(" ",TRUE,INDEX(Taxepunkter!$C:$C,$C138),INDEX(Taxepunkter!$D:$D,$C138)))</f>
        <v/>
      </c>
      <c r="Q138" s="31"/>
      <c r="R138" s="31"/>
      <c r="S138" s="31"/>
      <c r="T138" s="31"/>
      <c r="U138" s="31" t="str">
        <f t="shared" si="20"/>
        <v/>
      </c>
      <c r="V138" s="31"/>
      <c r="W138" s="31" t="str">
        <f t="shared" si="21"/>
        <v/>
      </c>
      <c r="X138" s="31" t="str">
        <f t="shared" si="22"/>
        <v/>
      </c>
      <c r="Y138" s="79" t="str">
        <f t="shared" si="23"/>
        <v/>
      </c>
    </row>
    <row r="139" spans="1:25" x14ac:dyDescent="0.25">
      <c r="A139" s="78" t="str">
        <f>IF($C139="","",INDEX(Taxepunkter!$A:$A,$C139))</f>
        <v/>
      </c>
      <c r="B139" s="29"/>
      <c r="C139" s="29"/>
      <c r="D139" s="29" t="str">
        <f>IF($C139="","",_xludf.TEXTJOIN(" ",TRUE,INDEX(Taxepunkter!$C:$C,$C139),INDEX(Taxepunkter!$D:$D,$C139)))</f>
        <v/>
      </c>
      <c r="E139" s="29" t="str">
        <f t="shared" ref="E139:E170" si="24">IF($C139="","","Saknas i EDP – föreslagen ny taxa")</f>
        <v/>
      </c>
      <c r="F139" s="29" t="str">
        <f t="shared" ref="F139:F170" si="25">IF($C139="","","Automatiserad mall: fyll Rad i Taxepunkter och FöreslagenTaxekod")</f>
        <v/>
      </c>
      <c r="G139" s="30"/>
      <c r="H139" s="31" t="str">
        <f t="shared" ref="H139:H170" si="26">IF($C139="","",$C139)</f>
        <v/>
      </c>
      <c r="I139" s="31" t="str">
        <f>IF($C139="","",INDEX(Taxepunkter!$B:$B,$C139)&amp;" / "&amp;INDEX(Taxepunkter!$C:$C,$C139))</f>
        <v/>
      </c>
      <c r="J139" s="31" t="str">
        <f t="shared" ref="J139:J170" si="27">IF($G139="","",$G139)</f>
        <v/>
      </c>
      <c r="K139" s="31" t="str">
        <f>IF($C139="","",INDEX(Taxepunkter!$C:$C,$C139)&amp;IF(INDEX(Taxepunkter!$D:$D,$C139)="","",". "&amp;INDEX(Taxepunkter!$D:$D,$C139)))</f>
        <v/>
      </c>
      <c r="L139" s="31" t="str">
        <f t="shared" ref="L139:L170" si="28">IF($C139="","","RENH")</f>
        <v/>
      </c>
      <c r="M139" s="31" t="str">
        <f t="shared" ref="M139:M170" si="29">IF($C139="","","HUSH")</f>
        <v/>
      </c>
      <c r="N139" s="31" t="str">
        <f t="shared" ref="N139:N170" si="30">IF($C139="","",1)</f>
        <v/>
      </c>
      <c r="O139" s="31" t="str">
        <f t="shared" ref="O139:O170" si="31">IF($C139="","","ÅRKV")</f>
        <v/>
      </c>
      <c r="P139" s="31" t="str">
        <f>IF($C139="","",_xludf.TEXTJOIN(" ",TRUE,INDEX(Taxepunkter!$C:$C,$C139),INDEX(Taxepunkter!$D:$D,$C139)))</f>
        <v/>
      </c>
      <c r="Q139" s="31"/>
      <c r="R139" s="31"/>
      <c r="S139" s="31"/>
      <c r="T139" s="31"/>
      <c r="U139" s="31" t="str">
        <f t="shared" ref="U139:U170" si="32">IF($C139="","",0)</f>
        <v/>
      </c>
      <c r="V139" s="31"/>
      <c r="W139" s="31" t="str">
        <f t="shared" ref="W139:W170" si="33">IF($C139="","","-")</f>
        <v/>
      </c>
      <c r="X139" s="31" t="str">
        <f t="shared" ref="X139:X170" si="34">IF($C139="","",1)</f>
        <v/>
      </c>
      <c r="Y139" s="79" t="str">
        <f t="shared" ref="Y139:Y170" si="35">IF($C139="","","ANTB")</f>
        <v/>
      </c>
    </row>
    <row r="140" spans="1:25" x14ac:dyDescent="0.25">
      <c r="A140" s="78" t="str">
        <f>IF($C140="","",INDEX(Taxepunkter!$A:$A,$C140))</f>
        <v/>
      </c>
      <c r="B140" s="29"/>
      <c r="C140" s="29"/>
      <c r="D140" s="29" t="str">
        <f>IF($C140="","",_xludf.TEXTJOIN(" ",TRUE,INDEX(Taxepunkter!$C:$C,$C140),INDEX(Taxepunkter!$D:$D,$C140)))</f>
        <v/>
      </c>
      <c r="E140" s="29" t="str">
        <f t="shared" si="24"/>
        <v/>
      </c>
      <c r="F140" s="29" t="str">
        <f t="shared" si="25"/>
        <v/>
      </c>
      <c r="G140" s="30"/>
      <c r="H140" s="31" t="str">
        <f t="shared" si="26"/>
        <v/>
      </c>
      <c r="I140" s="31" t="str">
        <f>IF($C140="","",INDEX(Taxepunkter!$B:$B,$C140)&amp;" / "&amp;INDEX(Taxepunkter!$C:$C,$C140))</f>
        <v/>
      </c>
      <c r="J140" s="31" t="str">
        <f t="shared" si="27"/>
        <v/>
      </c>
      <c r="K140" s="31" t="str">
        <f>IF($C140="","",INDEX(Taxepunkter!$C:$C,$C140)&amp;IF(INDEX(Taxepunkter!$D:$D,$C140)="","",". "&amp;INDEX(Taxepunkter!$D:$D,$C140)))</f>
        <v/>
      </c>
      <c r="L140" s="31" t="str">
        <f t="shared" si="28"/>
        <v/>
      </c>
      <c r="M140" s="31" t="str">
        <f t="shared" si="29"/>
        <v/>
      </c>
      <c r="N140" s="31" t="str">
        <f t="shared" si="30"/>
        <v/>
      </c>
      <c r="O140" s="31" t="str">
        <f t="shared" si="31"/>
        <v/>
      </c>
      <c r="P140" s="31" t="str">
        <f>IF($C140="","",_xludf.TEXTJOIN(" ",TRUE,INDEX(Taxepunkter!$C:$C,$C140),INDEX(Taxepunkter!$D:$D,$C140)))</f>
        <v/>
      </c>
      <c r="Q140" s="31"/>
      <c r="R140" s="31"/>
      <c r="S140" s="31"/>
      <c r="T140" s="31"/>
      <c r="U140" s="31" t="str">
        <f t="shared" si="32"/>
        <v/>
      </c>
      <c r="V140" s="31"/>
      <c r="W140" s="31" t="str">
        <f t="shared" si="33"/>
        <v/>
      </c>
      <c r="X140" s="31" t="str">
        <f t="shared" si="34"/>
        <v/>
      </c>
      <c r="Y140" s="79" t="str">
        <f t="shared" si="35"/>
        <v/>
      </c>
    </row>
    <row r="141" spans="1:25" x14ac:dyDescent="0.25">
      <c r="A141" s="78" t="str">
        <f>IF($C141="","",INDEX(Taxepunkter!$A:$A,$C141))</f>
        <v/>
      </c>
      <c r="B141" s="29"/>
      <c r="C141" s="29"/>
      <c r="D141" s="29" t="str">
        <f>IF($C141="","",_xludf.TEXTJOIN(" ",TRUE,INDEX(Taxepunkter!$C:$C,$C141),INDEX(Taxepunkter!$D:$D,$C141)))</f>
        <v/>
      </c>
      <c r="E141" s="29" t="str">
        <f t="shared" si="24"/>
        <v/>
      </c>
      <c r="F141" s="29" t="str">
        <f t="shared" si="25"/>
        <v/>
      </c>
      <c r="G141" s="30"/>
      <c r="H141" s="31" t="str">
        <f t="shared" si="26"/>
        <v/>
      </c>
      <c r="I141" s="31" t="str">
        <f>IF($C141="","",INDEX(Taxepunkter!$B:$B,$C141)&amp;" / "&amp;INDEX(Taxepunkter!$C:$C,$C141))</f>
        <v/>
      </c>
      <c r="J141" s="31" t="str">
        <f t="shared" si="27"/>
        <v/>
      </c>
      <c r="K141" s="31" t="str">
        <f>IF($C141="","",INDEX(Taxepunkter!$C:$C,$C141)&amp;IF(INDEX(Taxepunkter!$D:$D,$C141)="","",". "&amp;INDEX(Taxepunkter!$D:$D,$C141)))</f>
        <v/>
      </c>
      <c r="L141" s="31" t="str">
        <f t="shared" si="28"/>
        <v/>
      </c>
      <c r="M141" s="31" t="str">
        <f t="shared" si="29"/>
        <v/>
      </c>
      <c r="N141" s="31" t="str">
        <f t="shared" si="30"/>
        <v/>
      </c>
      <c r="O141" s="31" t="str">
        <f t="shared" si="31"/>
        <v/>
      </c>
      <c r="P141" s="31" t="str">
        <f>IF($C141="","",_xludf.TEXTJOIN(" ",TRUE,INDEX(Taxepunkter!$C:$C,$C141),INDEX(Taxepunkter!$D:$D,$C141)))</f>
        <v/>
      </c>
      <c r="Q141" s="31"/>
      <c r="R141" s="31"/>
      <c r="S141" s="31"/>
      <c r="T141" s="31"/>
      <c r="U141" s="31" t="str">
        <f t="shared" si="32"/>
        <v/>
      </c>
      <c r="V141" s="31"/>
      <c r="W141" s="31" t="str">
        <f t="shared" si="33"/>
        <v/>
      </c>
      <c r="X141" s="31" t="str">
        <f t="shared" si="34"/>
        <v/>
      </c>
      <c r="Y141" s="79" t="str">
        <f t="shared" si="35"/>
        <v/>
      </c>
    </row>
    <row r="142" spans="1:25" x14ac:dyDescent="0.25">
      <c r="A142" s="78" t="str">
        <f>IF($C142="","",INDEX(Taxepunkter!$A:$A,$C142))</f>
        <v/>
      </c>
      <c r="B142" s="29"/>
      <c r="C142" s="29"/>
      <c r="D142" s="29" t="str">
        <f>IF($C142="","",_xludf.TEXTJOIN(" ",TRUE,INDEX(Taxepunkter!$C:$C,$C142),INDEX(Taxepunkter!$D:$D,$C142)))</f>
        <v/>
      </c>
      <c r="E142" s="29" t="str">
        <f t="shared" si="24"/>
        <v/>
      </c>
      <c r="F142" s="29" t="str">
        <f t="shared" si="25"/>
        <v/>
      </c>
      <c r="G142" s="30"/>
      <c r="H142" s="31" t="str">
        <f t="shared" si="26"/>
        <v/>
      </c>
      <c r="I142" s="31" t="str">
        <f>IF($C142="","",INDEX(Taxepunkter!$B:$B,$C142)&amp;" / "&amp;INDEX(Taxepunkter!$C:$C,$C142))</f>
        <v/>
      </c>
      <c r="J142" s="31" t="str">
        <f t="shared" si="27"/>
        <v/>
      </c>
      <c r="K142" s="31" t="str">
        <f>IF($C142="","",INDEX(Taxepunkter!$C:$C,$C142)&amp;IF(INDEX(Taxepunkter!$D:$D,$C142)="","",". "&amp;INDEX(Taxepunkter!$D:$D,$C142)))</f>
        <v/>
      </c>
      <c r="L142" s="31" t="str">
        <f t="shared" si="28"/>
        <v/>
      </c>
      <c r="M142" s="31" t="str">
        <f t="shared" si="29"/>
        <v/>
      </c>
      <c r="N142" s="31" t="str">
        <f t="shared" si="30"/>
        <v/>
      </c>
      <c r="O142" s="31" t="str">
        <f t="shared" si="31"/>
        <v/>
      </c>
      <c r="P142" s="31" t="str">
        <f>IF($C142="","",_xludf.TEXTJOIN(" ",TRUE,INDEX(Taxepunkter!$C:$C,$C142),INDEX(Taxepunkter!$D:$D,$C142)))</f>
        <v/>
      </c>
      <c r="Q142" s="31"/>
      <c r="R142" s="31"/>
      <c r="S142" s="31"/>
      <c r="T142" s="31"/>
      <c r="U142" s="31" t="str">
        <f t="shared" si="32"/>
        <v/>
      </c>
      <c r="V142" s="31"/>
      <c r="W142" s="31" t="str">
        <f t="shared" si="33"/>
        <v/>
      </c>
      <c r="X142" s="31" t="str">
        <f t="shared" si="34"/>
        <v/>
      </c>
      <c r="Y142" s="79" t="str">
        <f t="shared" si="35"/>
        <v/>
      </c>
    </row>
    <row r="143" spans="1:25" x14ac:dyDescent="0.25">
      <c r="A143" s="78" t="str">
        <f>IF($C143="","",INDEX(Taxepunkter!$A:$A,$C143))</f>
        <v/>
      </c>
      <c r="B143" s="29"/>
      <c r="C143" s="29"/>
      <c r="D143" s="29" t="str">
        <f>IF($C143="","",_xludf.TEXTJOIN(" ",TRUE,INDEX(Taxepunkter!$C:$C,$C143),INDEX(Taxepunkter!$D:$D,$C143)))</f>
        <v/>
      </c>
      <c r="E143" s="29" t="str">
        <f t="shared" si="24"/>
        <v/>
      </c>
      <c r="F143" s="29" t="str">
        <f t="shared" si="25"/>
        <v/>
      </c>
      <c r="G143" s="30"/>
      <c r="H143" s="31" t="str">
        <f t="shared" si="26"/>
        <v/>
      </c>
      <c r="I143" s="31" t="str">
        <f>IF($C143="","",INDEX(Taxepunkter!$B:$B,$C143)&amp;" / "&amp;INDEX(Taxepunkter!$C:$C,$C143))</f>
        <v/>
      </c>
      <c r="J143" s="31" t="str">
        <f t="shared" si="27"/>
        <v/>
      </c>
      <c r="K143" s="31" t="str">
        <f>IF($C143="","",INDEX(Taxepunkter!$C:$C,$C143)&amp;IF(INDEX(Taxepunkter!$D:$D,$C143)="","",". "&amp;INDEX(Taxepunkter!$D:$D,$C143)))</f>
        <v/>
      </c>
      <c r="L143" s="31" t="str">
        <f t="shared" si="28"/>
        <v/>
      </c>
      <c r="M143" s="31" t="str">
        <f t="shared" si="29"/>
        <v/>
      </c>
      <c r="N143" s="31" t="str">
        <f t="shared" si="30"/>
        <v/>
      </c>
      <c r="O143" s="31" t="str">
        <f t="shared" si="31"/>
        <v/>
      </c>
      <c r="P143" s="31" t="str">
        <f>IF($C143="","",_xludf.TEXTJOIN(" ",TRUE,INDEX(Taxepunkter!$C:$C,$C143),INDEX(Taxepunkter!$D:$D,$C143)))</f>
        <v/>
      </c>
      <c r="Q143" s="31"/>
      <c r="R143" s="31"/>
      <c r="S143" s="31"/>
      <c r="T143" s="31"/>
      <c r="U143" s="31" t="str">
        <f t="shared" si="32"/>
        <v/>
      </c>
      <c r="V143" s="31"/>
      <c r="W143" s="31" t="str">
        <f t="shared" si="33"/>
        <v/>
      </c>
      <c r="X143" s="31" t="str">
        <f t="shared" si="34"/>
        <v/>
      </c>
      <c r="Y143" s="79" t="str">
        <f t="shared" si="35"/>
        <v/>
      </c>
    </row>
    <row r="144" spans="1:25" x14ac:dyDescent="0.25">
      <c r="A144" s="78" t="str">
        <f>IF($C144="","",INDEX(Taxepunkter!$A:$A,$C144))</f>
        <v/>
      </c>
      <c r="B144" s="29"/>
      <c r="C144" s="29"/>
      <c r="D144" s="29" t="str">
        <f>IF($C144="","",_xludf.TEXTJOIN(" ",TRUE,INDEX(Taxepunkter!$C:$C,$C144),INDEX(Taxepunkter!$D:$D,$C144)))</f>
        <v/>
      </c>
      <c r="E144" s="29" t="str">
        <f t="shared" si="24"/>
        <v/>
      </c>
      <c r="F144" s="29" t="str">
        <f t="shared" si="25"/>
        <v/>
      </c>
      <c r="G144" s="30"/>
      <c r="H144" s="31" t="str">
        <f t="shared" si="26"/>
        <v/>
      </c>
      <c r="I144" s="31" t="str">
        <f>IF($C144="","",INDEX(Taxepunkter!$B:$B,$C144)&amp;" / "&amp;INDEX(Taxepunkter!$C:$C,$C144))</f>
        <v/>
      </c>
      <c r="J144" s="31" t="str">
        <f t="shared" si="27"/>
        <v/>
      </c>
      <c r="K144" s="31" t="str">
        <f>IF($C144="","",INDEX(Taxepunkter!$C:$C,$C144)&amp;IF(INDEX(Taxepunkter!$D:$D,$C144)="","",". "&amp;INDEX(Taxepunkter!$D:$D,$C144)))</f>
        <v/>
      </c>
      <c r="L144" s="31" t="str">
        <f t="shared" si="28"/>
        <v/>
      </c>
      <c r="M144" s="31" t="str">
        <f t="shared" si="29"/>
        <v/>
      </c>
      <c r="N144" s="31" t="str">
        <f t="shared" si="30"/>
        <v/>
      </c>
      <c r="O144" s="31" t="str">
        <f t="shared" si="31"/>
        <v/>
      </c>
      <c r="P144" s="31" t="str">
        <f>IF($C144="","",_xludf.TEXTJOIN(" ",TRUE,INDEX(Taxepunkter!$C:$C,$C144),INDEX(Taxepunkter!$D:$D,$C144)))</f>
        <v/>
      </c>
      <c r="Q144" s="31"/>
      <c r="R144" s="31"/>
      <c r="S144" s="31"/>
      <c r="T144" s="31"/>
      <c r="U144" s="31" t="str">
        <f t="shared" si="32"/>
        <v/>
      </c>
      <c r="V144" s="31"/>
      <c r="W144" s="31" t="str">
        <f t="shared" si="33"/>
        <v/>
      </c>
      <c r="X144" s="31" t="str">
        <f t="shared" si="34"/>
        <v/>
      </c>
      <c r="Y144" s="79" t="str">
        <f t="shared" si="35"/>
        <v/>
      </c>
    </row>
    <row r="145" spans="1:25" x14ac:dyDescent="0.25">
      <c r="A145" s="78" t="str">
        <f>IF($C145="","",INDEX(Taxepunkter!$A:$A,$C145))</f>
        <v/>
      </c>
      <c r="B145" s="29"/>
      <c r="C145" s="29"/>
      <c r="D145" s="29" t="str">
        <f>IF($C145="","",_xludf.TEXTJOIN(" ",TRUE,INDEX(Taxepunkter!$C:$C,$C145),INDEX(Taxepunkter!$D:$D,$C145)))</f>
        <v/>
      </c>
      <c r="E145" s="29" t="str">
        <f t="shared" si="24"/>
        <v/>
      </c>
      <c r="F145" s="29" t="str">
        <f t="shared" si="25"/>
        <v/>
      </c>
      <c r="G145" s="30"/>
      <c r="H145" s="31" t="str">
        <f t="shared" si="26"/>
        <v/>
      </c>
      <c r="I145" s="31" t="str">
        <f>IF($C145="","",INDEX(Taxepunkter!$B:$B,$C145)&amp;" / "&amp;INDEX(Taxepunkter!$C:$C,$C145))</f>
        <v/>
      </c>
      <c r="J145" s="31" t="str">
        <f t="shared" si="27"/>
        <v/>
      </c>
      <c r="K145" s="31" t="str">
        <f>IF($C145="","",INDEX(Taxepunkter!$C:$C,$C145)&amp;IF(INDEX(Taxepunkter!$D:$D,$C145)="","",". "&amp;INDEX(Taxepunkter!$D:$D,$C145)))</f>
        <v/>
      </c>
      <c r="L145" s="31" t="str">
        <f t="shared" si="28"/>
        <v/>
      </c>
      <c r="M145" s="31" t="str">
        <f t="shared" si="29"/>
        <v/>
      </c>
      <c r="N145" s="31" t="str">
        <f t="shared" si="30"/>
        <v/>
      </c>
      <c r="O145" s="31" t="str">
        <f t="shared" si="31"/>
        <v/>
      </c>
      <c r="P145" s="31" t="str">
        <f>IF($C145="","",_xludf.TEXTJOIN(" ",TRUE,INDEX(Taxepunkter!$C:$C,$C145),INDEX(Taxepunkter!$D:$D,$C145)))</f>
        <v/>
      </c>
      <c r="Q145" s="31"/>
      <c r="R145" s="31"/>
      <c r="S145" s="31"/>
      <c r="T145" s="31"/>
      <c r="U145" s="31" t="str">
        <f t="shared" si="32"/>
        <v/>
      </c>
      <c r="V145" s="31"/>
      <c r="W145" s="31" t="str">
        <f t="shared" si="33"/>
        <v/>
      </c>
      <c r="X145" s="31" t="str">
        <f t="shared" si="34"/>
        <v/>
      </c>
      <c r="Y145" s="79" t="str">
        <f t="shared" si="35"/>
        <v/>
      </c>
    </row>
    <row r="146" spans="1:25" x14ac:dyDescent="0.25">
      <c r="A146" s="78" t="str">
        <f>IF($C146="","",INDEX(Taxepunkter!$A:$A,$C146))</f>
        <v/>
      </c>
      <c r="B146" s="29"/>
      <c r="C146" s="29"/>
      <c r="D146" s="29" t="str">
        <f>IF($C146="","",_xludf.TEXTJOIN(" ",TRUE,INDEX(Taxepunkter!$C:$C,$C146),INDEX(Taxepunkter!$D:$D,$C146)))</f>
        <v/>
      </c>
      <c r="E146" s="29" t="str">
        <f t="shared" si="24"/>
        <v/>
      </c>
      <c r="F146" s="29" t="str">
        <f t="shared" si="25"/>
        <v/>
      </c>
      <c r="G146" s="30"/>
      <c r="H146" s="31" t="str">
        <f t="shared" si="26"/>
        <v/>
      </c>
      <c r="I146" s="31" t="str">
        <f>IF($C146="","",INDEX(Taxepunkter!$B:$B,$C146)&amp;" / "&amp;INDEX(Taxepunkter!$C:$C,$C146))</f>
        <v/>
      </c>
      <c r="J146" s="31" t="str">
        <f t="shared" si="27"/>
        <v/>
      </c>
      <c r="K146" s="31" t="str">
        <f>IF($C146="","",INDEX(Taxepunkter!$C:$C,$C146)&amp;IF(INDEX(Taxepunkter!$D:$D,$C146)="","",". "&amp;INDEX(Taxepunkter!$D:$D,$C146)))</f>
        <v/>
      </c>
      <c r="L146" s="31" t="str">
        <f t="shared" si="28"/>
        <v/>
      </c>
      <c r="M146" s="31" t="str">
        <f t="shared" si="29"/>
        <v/>
      </c>
      <c r="N146" s="31" t="str">
        <f t="shared" si="30"/>
        <v/>
      </c>
      <c r="O146" s="31" t="str">
        <f t="shared" si="31"/>
        <v/>
      </c>
      <c r="P146" s="31" t="str">
        <f>IF($C146="","",_xludf.TEXTJOIN(" ",TRUE,INDEX(Taxepunkter!$C:$C,$C146),INDEX(Taxepunkter!$D:$D,$C146)))</f>
        <v/>
      </c>
      <c r="Q146" s="31"/>
      <c r="R146" s="31"/>
      <c r="S146" s="31"/>
      <c r="T146" s="31"/>
      <c r="U146" s="31" t="str">
        <f t="shared" si="32"/>
        <v/>
      </c>
      <c r="V146" s="31"/>
      <c r="W146" s="31" t="str">
        <f t="shared" si="33"/>
        <v/>
      </c>
      <c r="X146" s="31" t="str">
        <f t="shared" si="34"/>
        <v/>
      </c>
      <c r="Y146" s="79" t="str">
        <f t="shared" si="35"/>
        <v/>
      </c>
    </row>
    <row r="147" spans="1:25" x14ac:dyDescent="0.25">
      <c r="A147" s="78" t="str">
        <f>IF($C147="","",INDEX(Taxepunkter!$A:$A,$C147))</f>
        <v/>
      </c>
      <c r="B147" s="29"/>
      <c r="C147" s="29"/>
      <c r="D147" s="29" t="str">
        <f>IF($C147="","",_xludf.TEXTJOIN(" ",TRUE,INDEX(Taxepunkter!$C:$C,$C147),INDEX(Taxepunkter!$D:$D,$C147)))</f>
        <v/>
      </c>
      <c r="E147" s="29" t="str">
        <f t="shared" si="24"/>
        <v/>
      </c>
      <c r="F147" s="29" t="str">
        <f t="shared" si="25"/>
        <v/>
      </c>
      <c r="G147" s="30"/>
      <c r="H147" s="31" t="str">
        <f t="shared" si="26"/>
        <v/>
      </c>
      <c r="I147" s="31" t="str">
        <f>IF($C147="","",INDEX(Taxepunkter!$B:$B,$C147)&amp;" / "&amp;INDEX(Taxepunkter!$C:$C,$C147))</f>
        <v/>
      </c>
      <c r="J147" s="31" t="str">
        <f t="shared" si="27"/>
        <v/>
      </c>
      <c r="K147" s="31" t="str">
        <f>IF($C147="","",INDEX(Taxepunkter!$C:$C,$C147)&amp;IF(INDEX(Taxepunkter!$D:$D,$C147)="","",". "&amp;INDEX(Taxepunkter!$D:$D,$C147)))</f>
        <v/>
      </c>
      <c r="L147" s="31" t="str">
        <f t="shared" si="28"/>
        <v/>
      </c>
      <c r="M147" s="31" t="str">
        <f t="shared" si="29"/>
        <v/>
      </c>
      <c r="N147" s="31" t="str">
        <f t="shared" si="30"/>
        <v/>
      </c>
      <c r="O147" s="31" t="str">
        <f t="shared" si="31"/>
        <v/>
      </c>
      <c r="P147" s="31" t="str">
        <f>IF($C147="","",_xludf.TEXTJOIN(" ",TRUE,INDEX(Taxepunkter!$C:$C,$C147),INDEX(Taxepunkter!$D:$D,$C147)))</f>
        <v/>
      </c>
      <c r="Q147" s="31"/>
      <c r="R147" s="31"/>
      <c r="S147" s="31"/>
      <c r="T147" s="31"/>
      <c r="U147" s="31" t="str">
        <f t="shared" si="32"/>
        <v/>
      </c>
      <c r="V147" s="31"/>
      <c r="W147" s="31" t="str">
        <f t="shared" si="33"/>
        <v/>
      </c>
      <c r="X147" s="31" t="str">
        <f t="shared" si="34"/>
        <v/>
      </c>
      <c r="Y147" s="79" t="str">
        <f t="shared" si="35"/>
        <v/>
      </c>
    </row>
    <row r="148" spans="1:25" x14ac:dyDescent="0.25">
      <c r="A148" s="78" t="str">
        <f>IF($C148="","",INDEX(Taxepunkter!$A:$A,$C148))</f>
        <v/>
      </c>
      <c r="B148" s="29"/>
      <c r="C148" s="29"/>
      <c r="D148" s="29" t="str">
        <f>IF($C148="","",_xludf.TEXTJOIN(" ",TRUE,INDEX(Taxepunkter!$C:$C,$C148),INDEX(Taxepunkter!$D:$D,$C148)))</f>
        <v/>
      </c>
      <c r="E148" s="29" t="str">
        <f t="shared" si="24"/>
        <v/>
      </c>
      <c r="F148" s="29" t="str">
        <f t="shared" si="25"/>
        <v/>
      </c>
      <c r="G148" s="30"/>
      <c r="H148" s="31" t="str">
        <f t="shared" si="26"/>
        <v/>
      </c>
      <c r="I148" s="31" t="str">
        <f>IF($C148="","",INDEX(Taxepunkter!$B:$B,$C148)&amp;" / "&amp;INDEX(Taxepunkter!$C:$C,$C148))</f>
        <v/>
      </c>
      <c r="J148" s="31" t="str">
        <f t="shared" si="27"/>
        <v/>
      </c>
      <c r="K148" s="31" t="str">
        <f>IF($C148="","",INDEX(Taxepunkter!$C:$C,$C148)&amp;IF(INDEX(Taxepunkter!$D:$D,$C148)="","",". "&amp;INDEX(Taxepunkter!$D:$D,$C148)))</f>
        <v/>
      </c>
      <c r="L148" s="31" t="str">
        <f t="shared" si="28"/>
        <v/>
      </c>
      <c r="M148" s="31" t="str">
        <f t="shared" si="29"/>
        <v/>
      </c>
      <c r="N148" s="31" t="str">
        <f t="shared" si="30"/>
        <v/>
      </c>
      <c r="O148" s="31" t="str">
        <f t="shared" si="31"/>
        <v/>
      </c>
      <c r="P148" s="31" t="str">
        <f>IF($C148="","",_xludf.TEXTJOIN(" ",TRUE,INDEX(Taxepunkter!$C:$C,$C148),INDEX(Taxepunkter!$D:$D,$C148)))</f>
        <v/>
      </c>
      <c r="Q148" s="31"/>
      <c r="R148" s="31"/>
      <c r="S148" s="31"/>
      <c r="T148" s="31"/>
      <c r="U148" s="31" t="str">
        <f t="shared" si="32"/>
        <v/>
      </c>
      <c r="V148" s="31"/>
      <c r="W148" s="31" t="str">
        <f t="shared" si="33"/>
        <v/>
      </c>
      <c r="X148" s="31" t="str">
        <f t="shared" si="34"/>
        <v/>
      </c>
      <c r="Y148" s="79" t="str">
        <f t="shared" si="35"/>
        <v/>
      </c>
    </row>
    <row r="149" spans="1:25" x14ac:dyDescent="0.25">
      <c r="A149" s="78" t="str">
        <f>IF($C149="","",INDEX(Taxepunkter!$A:$A,$C149))</f>
        <v/>
      </c>
      <c r="B149" s="29"/>
      <c r="C149" s="29"/>
      <c r="D149" s="29" t="str">
        <f>IF($C149="","",_xludf.TEXTJOIN(" ",TRUE,INDEX(Taxepunkter!$C:$C,$C149),INDEX(Taxepunkter!$D:$D,$C149)))</f>
        <v/>
      </c>
      <c r="E149" s="29" t="str">
        <f t="shared" si="24"/>
        <v/>
      </c>
      <c r="F149" s="29" t="str">
        <f t="shared" si="25"/>
        <v/>
      </c>
      <c r="G149" s="30"/>
      <c r="H149" s="31" t="str">
        <f t="shared" si="26"/>
        <v/>
      </c>
      <c r="I149" s="31" t="str">
        <f>IF($C149="","",INDEX(Taxepunkter!$B:$B,$C149)&amp;" / "&amp;INDEX(Taxepunkter!$C:$C,$C149))</f>
        <v/>
      </c>
      <c r="J149" s="31" t="str">
        <f t="shared" si="27"/>
        <v/>
      </c>
      <c r="K149" s="31" t="str">
        <f>IF($C149="","",INDEX(Taxepunkter!$C:$C,$C149)&amp;IF(INDEX(Taxepunkter!$D:$D,$C149)="","",". "&amp;INDEX(Taxepunkter!$D:$D,$C149)))</f>
        <v/>
      </c>
      <c r="L149" s="31" t="str">
        <f t="shared" si="28"/>
        <v/>
      </c>
      <c r="M149" s="31" t="str">
        <f t="shared" si="29"/>
        <v/>
      </c>
      <c r="N149" s="31" t="str">
        <f t="shared" si="30"/>
        <v/>
      </c>
      <c r="O149" s="31" t="str">
        <f t="shared" si="31"/>
        <v/>
      </c>
      <c r="P149" s="31" t="str">
        <f>IF($C149="","",_xludf.TEXTJOIN(" ",TRUE,INDEX(Taxepunkter!$C:$C,$C149),INDEX(Taxepunkter!$D:$D,$C149)))</f>
        <v/>
      </c>
      <c r="Q149" s="31"/>
      <c r="R149" s="31"/>
      <c r="S149" s="31"/>
      <c r="T149" s="31"/>
      <c r="U149" s="31" t="str">
        <f t="shared" si="32"/>
        <v/>
      </c>
      <c r="V149" s="31"/>
      <c r="W149" s="31" t="str">
        <f t="shared" si="33"/>
        <v/>
      </c>
      <c r="X149" s="31" t="str">
        <f t="shared" si="34"/>
        <v/>
      </c>
      <c r="Y149" s="79" t="str">
        <f t="shared" si="35"/>
        <v/>
      </c>
    </row>
    <row r="150" spans="1:25" x14ac:dyDescent="0.25">
      <c r="A150" s="78" t="str">
        <f>IF($C150="","",INDEX(Taxepunkter!$A:$A,$C150))</f>
        <v/>
      </c>
      <c r="B150" s="29"/>
      <c r="C150" s="29"/>
      <c r="D150" s="29" t="str">
        <f>IF($C150="","",_xludf.TEXTJOIN(" ",TRUE,INDEX(Taxepunkter!$C:$C,$C150),INDEX(Taxepunkter!$D:$D,$C150)))</f>
        <v/>
      </c>
      <c r="E150" s="29" t="str">
        <f t="shared" si="24"/>
        <v/>
      </c>
      <c r="F150" s="29" t="str">
        <f t="shared" si="25"/>
        <v/>
      </c>
      <c r="G150" s="30"/>
      <c r="H150" s="31" t="str">
        <f t="shared" si="26"/>
        <v/>
      </c>
      <c r="I150" s="31" t="str">
        <f>IF($C150="","",INDEX(Taxepunkter!$B:$B,$C150)&amp;" / "&amp;INDEX(Taxepunkter!$C:$C,$C150))</f>
        <v/>
      </c>
      <c r="J150" s="31" t="str">
        <f t="shared" si="27"/>
        <v/>
      </c>
      <c r="K150" s="31" t="str">
        <f>IF($C150="","",INDEX(Taxepunkter!$C:$C,$C150)&amp;IF(INDEX(Taxepunkter!$D:$D,$C150)="","",". "&amp;INDEX(Taxepunkter!$D:$D,$C150)))</f>
        <v/>
      </c>
      <c r="L150" s="31" t="str">
        <f t="shared" si="28"/>
        <v/>
      </c>
      <c r="M150" s="31" t="str">
        <f t="shared" si="29"/>
        <v/>
      </c>
      <c r="N150" s="31" t="str">
        <f t="shared" si="30"/>
        <v/>
      </c>
      <c r="O150" s="31" t="str">
        <f t="shared" si="31"/>
        <v/>
      </c>
      <c r="P150" s="31" t="str">
        <f>IF($C150="","",_xludf.TEXTJOIN(" ",TRUE,INDEX(Taxepunkter!$C:$C,$C150),INDEX(Taxepunkter!$D:$D,$C150)))</f>
        <v/>
      </c>
      <c r="Q150" s="31"/>
      <c r="R150" s="31"/>
      <c r="S150" s="31"/>
      <c r="T150" s="31"/>
      <c r="U150" s="31" t="str">
        <f t="shared" si="32"/>
        <v/>
      </c>
      <c r="V150" s="31"/>
      <c r="W150" s="31" t="str">
        <f t="shared" si="33"/>
        <v/>
      </c>
      <c r="X150" s="31" t="str">
        <f t="shared" si="34"/>
        <v/>
      </c>
      <c r="Y150" s="79" t="str">
        <f t="shared" si="35"/>
        <v/>
      </c>
    </row>
    <row r="151" spans="1:25" x14ac:dyDescent="0.25">
      <c r="A151" s="78" t="str">
        <f>IF($C151="","",INDEX(Taxepunkter!$A:$A,$C151))</f>
        <v/>
      </c>
      <c r="B151" s="29"/>
      <c r="C151" s="29"/>
      <c r="D151" s="29" t="str">
        <f>IF($C151="","",_xludf.TEXTJOIN(" ",TRUE,INDEX(Taxepunkter!$C:$C,$C151),INDEX(Taxepunkter!$D:$D,$C151)))</f>
        <v/>
      </c>
      <c r="E151" s="29" t="str">
        <f t="shared" si="24"/>
        <v/>
      </c>
      <c r="F151" s="29" t="str">
        <f t="shared" si="25"/>
        <v/>
      </c>
      <c r="G151" s="30"/>
      <c r="H151" s="31" t="str">
        <f t="shared" si="26"/>
        <v/>
      </c>
      <c r="I151" s="31" t="str">
        <f>IF($C151="","",INDEX(Taxepunkter!$B:$B,$C151)&amp;" / "&amp;INDEX(Taxepunkter!$C:$C,$C151))</f>
        <v/>
      </c>
      <c r="J151" s="31" t="str">
        <f t="shared" si="27"/>
        <v/>
      </c>
      <c r="K151" s="31" t="str">
        <f>IF($C151="","",INDEX(Taxepunkter!$C:$C,$C151)&amp;IF(INDEX(Taxepunkter!$D:$D,$C151)="","",". "&amp;INDEX(Taxepunkter!$D:$D,$C151)))</f>
        <v/>
      </c>
      <c r="L151" s="31" t="str">
        <f t="shared" si="28"/>
        <v/>
      </c>
      <c r="M151" s="31" t="str">
        <f t="shared" si="29"/>
        <v/>
      </c>
      <c r="N151" s="31" t="str">
        <f t="shared" si="30"/>
        <v/>
      </c>
      <c r="O151" s="31" t="str">
        <f t="shared" si="31"/>
        <v/>
      </c>
      <c r="P151" s="31" t="str">
        <f>IF($C151="","",_xludf.TEXTJOIN(" ",TRUE,INDEX(Taxepunkter!$C:$C,$C151),INDEX(Taxepunkter!$D:$D,$C151)))</f>
        <v/>
      </c>
      <c r="Q151" s="31"/>
      <c r="R151" s="31"/>
      <c r="S151" s="31"/>
      <c r="T151" s="31"/>
      <c r="U151" s="31" t="str">
        <f t="shared" si="32"/>
        <v/>
      </c>
      <c r="V151" s="31"/>
      <c r="W151" s="31" t="str">
        <f t="shared" si="33"/>
        <v/>
      </c>
      <c r="X151" s="31" t="str">
        <f t="shared" si="34"/>
        <v/>
      </c>
      <c r="Y151" s="79" t="str">
        <f t="shared" si="35"/>
        <v/>
      </c>
    </row>
    <row r="152" spans="1:25" x14ac:dyDescent="0.25">
      <c r="A152" s="78" t="str">
        <f>IF($C152="","",INDEX(Taxepunkter!$A:$A,$C152))</f>
        <v/>
      </c>
      <c r="B152" s="29"/>
      <c r="C152" s="29"/>
      <c r="D152" s="29" t="str">
        <f>IF($C152="","",_xludf.TEXTJOIN(" ",TRUE,INDEX(Taxepunkter!$C:$C,$C152),INDEX(Taxepunkter!$D:$D,$C152)))</f>
        <v/>
      </c>
      <c r="E152" s="29" t="str">
        <f t="shared" si="24"/>
        <v/>
      </c>
      <c r="F152" s="29" t="str">
        <f t="shared" si="25"/>
        <v/>
      </c>
      <c r="G152" s="30"/>
      <c r="H152" s="31" t="str">
        <f t="shared" si="26"/>
        <v/>
      </c>
      <c r="I152" s="31" t="str">
        <f>IF($C152="","",INDEX(Taxepunkter!$B:$B,$C152)&amp;" / "&amp;INDEX(Taxepunkter!$C:$C,$C152))</f>
        <v/>
      </c>
      <c r="J152" s="31" t="str">
        <f t="shared" si="27"/>
        <v/>
      </c>
      <c r="K152" s="31" t="str">
        <f>IF($C152="","",INDEX(Taxepunkter!$C:$C,$C152)&amp;IF(INDEX(Taxepunkter!$D:$D,$C152)="","",". "&amp;INDEX(Taxepunkter!$D:$D,$C152)))</f>
        <v/>
      </c>
      <c r="L152" s="31" t="str">
        <f t="shared" si="28"/>
        <v/>
      </c>
      <c r="M152" s="31" t="str">
        <f t="shared" si="29"/>
        <v/>
      </c>
      <c r="N152" s="31" t="str">
        <f t="shared" si="30"/>
        <v/>
      </c>
      <c r="O152" s="31" t="str">
        <f t="shared" si="31"/>
        <v/>
      </c>
      <c r="P152" s="31" t="str">
        <f>IF($C152="","",_xludf.TEXTJOIN(" ",TRUE,INDEX(Taxepunkter!$C:$C,$C152),INDEX(Taxepunkter!$D:$D,$C152)))</f>
        <v/>
      </c>
      <c r="Q152" s="31"/>
      <c r="R152" s="31"/>
      <c r="S152" s="31"/>
      <c r="T152" s="31"/>
      <c r="U152" s="31" t="str">
        <f t="shared" si="32"/>
        <v/>
      </c>
      <c r="V152" s="31"/>
      <c r="W152" s="31" t="str">
        <f t="shared" si="33"/>
        <v/>
      </c>
      <c r="X152" s="31" t="str">
        <f t="shared" si="34"/>
        <v/>
      </c>
      <c r="Y152" s="79" t="str">
        <f t="shared" si="35"/>
        <v/>
      </c>
    </row>
    <row r="153" spans="1:25" x14ac:dyDescent="0.25">
      <c r="A153" s="78" t="str">
        <f>IF($C153="","",INDEX(Taxepunkter!$A:$A,$C153))</f>
        <v/>
      </c>
      <c r="B153" s="29"/>
      <c r="C153" s="29"/>
      <c r="D153" s="29" t="str">
        <f>IF($C153="","",_xludf.TEXTJOIN(" ",TRUE,INDEX(Taxepunkter!$C:$C,$C153),INDEX(Taxepunkter!$D:$D,$C153)))</f>
        <v/>
      </c>
      <c r="E153" s="29" t="str">
        <f t="shared" si="24"/>
        <v/>
      </c>
      <c r="F153" s="29" t="str">
        <f t="shared" si="25"/>
        <v/>
      </c>
      <c r="G153" s="30"/>
      <c r="H153" s="31" t="str">
        <f t="shared" si="26"/>
        <v/>
      </c>
      <c r="I153" s="31" t="str">
        <f>IF($C153="","",INDEX(Taxepunkter!$B:$B,$C153)&amp;" / "&amp;INDEX(Taxepunkter!$C:$C,$C153))</f>
        <v/>
      </c>
      <c r="J153" s="31" t="str">
        <f t="shared" si="27"/>
        <v/>
      </c>
      <c r="K153" s="31" t="str">
        <f>IF($C153="","",INDEX(Taxepunkter!$C:$C,$C153)&amp;IF(INDEX(Taxepunkter!$D:$D,$C153)="","",". "&amp;INDEX(Taxepunkter!$D:$D,$C153)))</f>
        <v/>
      </c>
      <c r="L153" s="31" t="str">
        <f t="shared" si="28"/>
        <v/>
      </c>
      <c r="M153" s="31" t="str">
        <f t="shared" si="29"/>
        <v/>
      </c>
      <c r="N153" s="31" t="str">
        <f t="shared" si="30"/>
        <v/>
      </c>
      <c r="O153" s="31" t="str">
        <f t="shared" si="31"/>
        <v/>
      </c>
      <c r="P153" s="31" t="str">
        <f>IF($C153="","",_xludf.TEXTJOIN(" ",TRUE,INDEX(Taxepunkter!$C:$C,$C153),INDEX(Taxepunkter!$D:$D,$C153)))</f>
        <v/>
      </c>
      <c r="Q153" s="31"/>
      <c r="R153" s="31"/>
      <c r="S153" s="31"/>
      <c r="T153" s="31"/>
      <c r="U153" s="31" t="str">
        <f t="shared" si="32"/>
        <v/>
      </c>
      <c r="V153" s="31"/>
      <c r="W153" s="31" t="str">
        <f t="shared" si="33"/>
        <v/>
      </c>
      <c r="X153" s="31" t="str">
        <f t="shared" si="34"/>
        <v/>
      </c>
      <c r="Y153" s="79" t="str">
        <f t="shared" si="35"/>
        <v/>
      </c>
    </row>
    <row r="154" spans="1:25" x14ac:dyDescent="0.25">
      <c r="A154" s="78" t="str">
        <f>IF($C154="","",INDEX(Taxepunkter!$A:$A,$C154))</f>
        <v/>
      </c>
      <c r="B154" s="29"/>
      <c r="C154" s="29"/>
      <c r="D154" s="29" t="str">
        <f>IF($C154="","",_xludf.TEXTJOIN(" ",TRUE,INDEX(Taxepunkter!$C:$C,$C154),INDEX(Taxepunkter!$D:$D,$C154)))</f>
        <v/>
      </c>
      <c r="E154" s="29" t="str">
        <f t="shared" si="24"/>
        <v/>
      </c>
      <c r="F154" s="29" t="str">
        <f t="shared" si="25"/>
        <v/>
      </c>
      <c r="G154" s="30"/>
      <c r="H154" s="31" t="str">
        <f t="shared" si="26"/>
        <v/>
      </c>
      <c r="I154" s="31" t="str">
        <f>IF($C154="","",INDEX(Taxepunkter!$B:$B,$C154)&amp;" / "&amp;INDEX(Taxepunkter!$C:$C,$C154))</f>
        <v/>
      </c>
      <c r="J154" s="31" t="str">
        <f t="shared" si="27"/>
        <v/>
      </c>
      <c r="K154" s="31" t="str">
        <f>IF($C154="","",INDEX(Taxepunkter!$C:$C,$C154)&amp;IF(INDEX(Taxepunkter!$D:$D,$C154)="","",". "&amp;INDEX(Taxepunkter!$D:$D,$C154)))</f>
        <v/>
      </c>
      <c r="L154" s="31" t="str">
        <f t="shared" si="28"/>
        <v/>
      </c>
      <c r="M154" s="31" t="str">
        <f t="shared" si="29"/>
        <v/>
      </c>
      <c r="N154" s="31" t="str">
        <f t="shared" si="30"/>
        <v/>
      </c>
      <c r="O154" s="31" t="str">
        <f t="shared" si="31"/>
        <v/>
      </c>
      <c r="P154" s="31" t="str">
        <f>IF($C154="","",_xludf.TEXTJOIN(" ",TRUE,INDEX(Taxepunkter!$C:$C,$C154),INDEX(Taxepunkter!$D:$D,$C154)))</f>
        <v/>
      </c>
      <c r="Q154" s="31"/>
      <c r="R154" s="31"/>
      <c r="S154" s="31"/>
      <c r="T154" s="31"/>
      <c r="U154" s="31" t="str">
        <f t="shared" si="32"/>
        <v/>
      </c>
      <c r="V154" s="31"/>
      <c r="W154" s="31" t="str">
        <f t="shared" si="33"/>
        <v/>
      </c>
      <c r="X154" s="31" t="str">
        <f t="shared" si="34"/>
        <v/>
      </c>
      <c r="Y154" s="79" t="str">
        <f t="shared" si="35"/>
        <v/>
      </c>
    </row>
    <row r="155" spans="1:25" x14ac:dyDescent="0.25">
      <c r="A155" s="78" t="str">
        <f>IF($C155="","",INDEX(Taxepunkter!$A:$A,$C155))</f>
        <v/>
      </c>
      <c r="B155" s="29"/>
      <c r="C155" s="29"/>
      <c r="D155" s="29" t="str">
        <f>IF($C155="","",_xludf.TEXTJOIN(" ",TRUE,INDEX(Taxepunkter!$C:$C,$C155),INDEX(Taxepunkter!$D:$D,$C155)))</f>
        <v/>
      </c>
      <c r="E155" s="29" t="str">
        <f t="shared" si="24"/>
        <v/>
      </c>
      <c r="F155" s="29" t="str">
        <f t="shared" si="25"/>
        <v/>
      </c>
      <c r="G155" s="30"/>
      <c r="H155" s="31" t="str">
        <f t="shared" si="26"/>
        <v/>
      </c>
      <c r="I155" s="31" t="str">
        <f>IF($C155="","",INDEX(Taxepunkter!$B:$B,$C155)&amp;" / "&amp;INDEX(Taxepunkter!$C:$C,$C155))</f>
        <v/>
      </c>
      <c r="J155" s="31" t="str">
        <f t="shared" si="27"/>
        <v/>
      </c>
      <c r="K155" s="31" t="str">
        <f>IF($C155="","",INDEX(Taxepunkter!$C:$C,$C155)&amp;IF(INDEX(Taxepunkter!$D:$D,$C155)="","",". "&amp;INDEX(Taxepunkter!$D:$D,$C155)))</f>
        <v/>
      </c>
      <c r="L155" s="31" t="str">
        <f t="shared" si="28"/>
        <v/>
      </c>
      <c r="M155" s="31" t="str">
        <f t="shared" si="29"/>
        <v/>
      </c>
      <c r="N155" s="31" t="str">
        <f t="shared" si="30"/>
        <v/>
      </c>
      <c r="O155" s="31" t="str">
        <f t="shared" si="31"/>
        <v/>
      </c>
      <c r="P155" s="31" t="str">
        <f>IF($C155="","",_xludf.TEXTJOIN(" ",TRUE,INDEX(Taxepunkter!$C:$C,$C155),INDEX(Taxepunkter!$D:$D,$C155)))</f>
        <v/>
      </c>
      <c r="Q155" s="31"/>
      <c r="R155" s="31"/>
      <c r="S155" s="31"/>
      <c r="T155" s="31"/>
      <c r="U155" s="31" t="str">
        <f t="shared" si="32"/>
        <v/>
      </c>
      <c r="V155" s="31"/>
      <c r="W155" s="31" t="str">
        <f t="shared" si="33"/>
        <v/>
      </c>
      <c r="X155" s="31" t="str">
        <f t="shared" si="34"/>
        <v/>
      </c>
      <c r="Y155" s="79" t="str">
        <f t="shared" si="35"/>
        <v/>
      </c>
    </row>
    <row r="156" spans="1:25" x14ac:dyDescent="0.25">
      <c r="A156" s="78" t="str">
        <f>IF($C156="","",INDEX(Taxepunkter!$A:$A,$C156))</f>
        <v/>
      </c>
      <c r="B156" s="29"/>
      <c r="C156" s="29"/>
      <c r="D156" s="29" t="str">
        <f>IF($C156="","",_xludf.TEXTJOIN(" ",TRUE,INDEX(Taxepunkter!$C:$C,$C156),INDEX(Taxepunkter!$D:$D,$C156)))</f>
        <v/>
      </c>
      <c r="E156" s="29" t="str">
        <f t="shared" si="24"/>
        <v/>
      </c>
      <c r="F156" s="29" t="str">
        <f t="shared" si="25"/>
        <v/>
      </c>
      <c r="G156" s="30"/>
      <c r="H156" s="31" t="str">
        <f t="shared" si="26"/>
        <v/>
      </c>
      <c r="I156" s="31" t="str">
        <f>IF($C156="","",INDEX(Taxepunkter!$B:$B,$C156)&amp;" / "&amp;INDEX(Taxepunkter!$C:$C,$C156))</f>
        <v/>
      </c>
      <c r="J156" s="31" t="str">
        <f t="shared" si="27"/>
        <v/>
      </c>
      <c r="K156" s="31" t="str">
        <f>IF($C156="","",INDEX(Taxepunkter!$C:$C,$C156)&amp;IF(INDEX(Taxepunkter!$D:$D,$C156)="","",". "&amp;INDEX(Taxepunkter!$D:$D,$C156)))</f>
        <v/>
      </c>
      <c r="L156" s="31" t="str">
        <f t="shared" si="28"/>
        <v/>
      </c>
      <c r="M156" s="31" t="str">
        <f t="shared" si="29"/>
        <v/>
      </c>
      <c r="N156" s="31" t="str">
        <f t="shared" si="30"/>
        <v/>
      </c>
      <c r="O156" s="31" t="str">
        <f t="shared" si="31"/>
        <v/>
      </c>
      <c r="P156" s="31" t="str">
        <f>IF($C156="","",_xludf.TEXTJOIN(" ",TRUE,INDEX(Taxepunkter!$C:$C,$C156),INDEX(Taxepunkter!$D:$D,$C156)))</f>
        <v/>
      </c>
      <c r="Q156" s="31"/>
      <c r="R156" s="31"/>
      <c r="S156" s="31"/>
      <c r="T156" s="31"/>
      <c r="U156" s="31" t="str">
        <f t="shared" si="32"/>
        <v/>
      </c>
      <c r="V156" s="31"/>
      <c r="W156" s="31" t="str">
        <f t="shared" si="33"/>
        <v/>
      </c>
      <c r="X156" s="31" t="str">
        <f t="shared" si="34"/>
        <v/>
      </c>
      <c r="Y156" s="79" t="str">
        <f t="shared" si="35"/>
        <v/>
      </c>
    </row>
    <row r="157" spans="1:25" x14ac:dyDescent="0.25">
      <c r="A157" s="78" t="str">
        <f>IF($C157="","",INDEX(Taxepunkter!$A:$A,$C157))</f>
        <v/>
      </c>
      <c r="B157" s="29"/>
      <c r="C157" s="29"/>
      <c r="D157" s="29" t="str">
        <f>IF($C157="","",_xludf.TEXTJOIN(" ",TRUE,INDEX(Taxepunkter!$C:$C,$C157),INDEX(Taxepunkter!$D:$D,$C157)))</f>
        <v/>
      </c>
      <c r="E157" s="29" t="str">
        <f t="shared" si="24"/>
        <v/>
      </c>
      <c r="F157" s="29" t="str">
        <f t="shared" si="25"/>
        <v/>
      </c>
      <c r="G157" s="30"/>
      <c r="H157" s="31" t="str">
        <f t="shared" si="26"/>
        <v/>
      </c>
      <c r="I157" s="31" t="str">
        <f>IF($C157="","",INDEX(Taxepunkter!$B:$B,$C157)&amp;" / "&amp;INDEX(Taxepunkter!$C:$C,$C157))</f>
        <v/>
      </c>
      <c r="J157" s="31" t="str">
        <f t="shared" si="27"/>
        <v/>
      </c>
      <c r="K157" s="31" t="str">
        <f>IF($C157="","",INDEX(Taxepunkter!$C:$C,$C157)&amp;IF(INDEX(Taxepunkter!$D:$D,$C157)="","",". "&amp;INDEX(Taxepunkter!$D:$D,$C157)))</f>
        <v/>
      </c>
      <c r="L157" s="31" t="str">
        <f t="shared" si="28"/>
        <v/>
      </c>
      <c r="M157" s="31" t="str">
        <f t="shared" si="29"/>
        <v/>
      </c>
      <c r="N157" s="31" t="str">
        <f t="shared" si="30"/>
        <v/>
      </c>
      <c r="O157" s="31" t="str">
        <f t="shared" si="31"/>
        <v/>
      </c>
      <c r="P157" s="31" t="str">
        <f>IF($C157="","",_xludf.TEXTJOIN(" ",TRUE,INDEX(Taxepunkter!$C:$C,$C157),INDEX(Taxepunkter!$D:$D,$C157)))</f>
        <v/>
      </c>
      <c r="Q157" s="31"/>
      <c r="R157" s="31"/>
      <c r="S157" s="31"/>
      <c r="T157" s="31"/>
      <c r="U157" s="31" t="str">
        <f t="shared" si="32"/>
        <v/>
      </c>
      <c r="V157" s="31"/>
      <c r="W157" s="31" t="str">
        <f t="shared" si="33"/>
        <v/>
      </c>
      <c r="X157" s="31" t="str">
        <f t="shared" si="34"/>
        <v/>
      </c>
      <c r="Y157" s="79" t="str">
        <f t="shared" si="35"/>
        <v/>
      </c>
    </row>
    <row r="158" spans="1:25" x14ac:dyDescent="0.25">
      <c r="A158" s="78" t="str">
        <f>IF($C158="","",INDEX(Taxepunkter!$A:$A,$C158))</f>
        <v/>
      </c>
      <c r="B158" s="29"/>
      <c r="C158" s="29"/>
      <c r="D158" s="29" t="str">
        <f>IF($C158="","",_xludf.TEXTJOIN(" ",TRUE,INDEX(Taxepunkter!$C:$C,$C158),INDEX(Taxepunkter!$D:$D,$C158)))</f>
        <v/>
      </c>
      <c r="E158" s="29" t="str">
        <f t="shared" si="24"/>
        <v/>
      </c>
      <c r="F158" s="29" t="str">
        <f t="shared" si="25"/>
        <v/>
      </c>
      <c r="G158" s="30"/>
      <c r="H158" s="31" t="str">
        <f t="shared" si="26"/>
        <v/>
      </c>
      <c r="I158" s="31" t="str">
        <f>IF($C158="","",INDEX(Taxepunkter!$B:$B,$C158)&amp;" / "&amp;INDEX(Taxepunkter!$C:$C,$C158))</f>
        <v/>
      </c>
      <c r="J158" s="31" t="str">
        <f t="shared" si="27"/>
        <v/>
      </c>
      <c r="K158" s="31" t="str">
        <f>IF($C158="","",INDEX(Taxepunkter!$C:$C,$C158)&amp;IF(INDEX(Taxepunkter!$D:$D,$C158)="","",". "&amp;INDEX(Taxepunkter!$D:$D,$C158)))</f>
        <v/>
      </c>
      <c r="L158" s="31" t="str">
        <f t="shared" si="28"/>
        <v/>
      </c>
      <c r="M158" s="31" t="str">
        <f t="shared" si="29"/>
        <v/>
      </c>
      <c r="N158" s="31" t="str">
        <f t="shared" si="30"/>
        <v/>
      </c>
      <c r="O158" s="31" t="str">
        <f t="shared" si="31"/>
        <v/>
      </c>
      <c r="P158" s="31" t="str">
        <f>IF($C158="","",_xludf.TEXTJOIN(" ",TRUE,INDEX(Taxepunkter!$C:$C,$C158),INDEX(Taxepunkter!$D:$D,$C158)))</f>
        <v/>
      </c>
      <c r="Q158" s="31"/>
      <c r="R158" s="31"/>
      <c r="S158" s="31"/>
      <c r="T158" s="31"/>
      <c r="U158" s="31" t="str">
        <f t="shared" si="32"/>
        <v/>
      </c>
      <c r="V158" s="31"/>
      <c r="W158" s="31" t="str">
        <f t="shared" si="33"/>
        <v/>
      </c>
      <c r="X158" s="31" t="str">
        <f t="shared" si="34"/>
        <v/>
      </c>
      <c r="Y158" s="79" t="str">
        <f t="shared" si="35"/>
        <v/>
      </c>
    </row>
    <row r="159" spans="1:25" x14ac:dyDescent="0.25">
      <c r="A159" s="78" t="str">
        <f>IF($C159="","",INDEX(Taxepunkter!$A:$A,$C159))</f>
        <v/>
      </c>
      <c r="B159" s="29"/>
      <c r="C159" s="29"/>
      <c r="D159" s="29" t="str">
        <f>IF($C159="","",_xludf.TEXTJOIN(" ",TRUE,INDEX(Taxepunkter!$C:$C,$C159),INDEX(Taxepunkter!$D:$D,$C159)))</f>
        <v/>
      </c>
      <c r="E159" s="29" t="str">
        <f t="shared" si="24"/>
        <v/>
      </c>
      <c r="F159" s="29" t="str">
        <f t="shared" si="25"/>
        <v/>
      </c>
      <c r="G159" s="30"/>
      <c r="H159" s="31" t="str">
        <f t="shared" si="26"/>
        <v/>
      </c>
      <c r="I159" s="31" t="str">
        <f>IF($C159="","",INDEX(Taxepunkter!$B:$B,$C159)&amp;" / "&amp;INDEX(Taxepunkter!$C:$C,$C159))</f>
        <v/>
      </c>
      <c r="J159" s="31" t="str">
        <f t="shared" si="27"/>
        <v/>
      </c>
      <c r="K159" s="31" t="str">
        <f>IF($C159="","",INDEX(Taxepunkter!$C:$C,$C159)&amp;IF(INDEX(Taxepunkter!$D:$D,$C159)="","",". "&amp;INDEX(Taxepunkter!$D:$D,$C159)))</f>
        <v/>
      </c>
      <c r="L159" s="31" t="str">
        <f t="shared" si="28"/>
        <v/>
      </c>
      <c r="M159" s="31" t="str">
        <f t="shared" si="29"/>
        <v/>
      </c>
      <c r="N159" s="31" t="str">
        <f t="shared" si="30"/>
        <v/>
      </c>
      <c r="O159" s="31" t="str">
        <f t="shared" si="31"/>
        <v/>
      </c>
      <c r="P159" s="31" t="str">
        <f>IF($C159="","",_xludf.TEXTJOIN(" ",TRUE,INDEX(Taxepunkter!$C:$C,$C159),INDEX(Taxepunkter!$D:$D,$C159)))</f>
        <v/>
      </c>
      <c r="Q159" s="31"/>
      <c r="R159" s="31"/>
      <c r="S159" s="31"/>
      <c r="T159" s="31"/>
      <c r="U159" s="31" t="str">
        <f t="shared" si="32"/>
        <v/>
      </c>
      <c r="V159" s="31"/>
      <c r="W159" s="31" t="str">
        <f t="shared" si="33"/>
        <v/>
      </c>
      <c r="X159" s="31" t="str">
        <f t="shared" si="34"/>
        <v/>
      </c>
      <c r="Y159" s="79" t="str">
        <f t="shared" si="35"/>
        <v/>
      </c>
    </row>
    <row r="160" spans="1:25" x14ac:dyDescent="0.25">
      <c r="A160" s="78" t="str">
        <f>IF($C160="","",INDEX(Taxepunkter!$A:$A,$C160))</f>
        <v/>
      </c>
      <c r="B160" s="29"/>
      <c r="C160" s="29"/>
      <c r="D160" s="29" t="str">
        <f>IF($C160="","",_xludf.TEXTJOIN(" ",TRUE,INDEX(Taxepunkter!$C:$C,$C160),INDEX(Taxepunkter!$D:$D,$C160)))</f>
        <v/>
      </c>
      <c r="E160" s="29" t="str">
        <f t="shared" si="24"/>
        <v/>
      </c>
      <c r="F160" s="29" t="str">
        <f t="shared" si="25"/>
        <v/>
      </c>
      <c r="G160" s="30"/>
      <c r="H160" s="31" t="str">
        <f t="shared" si="26"/>
        <v/>
      </c>
      <c r="I160" s="31" t="str">
        <f>IF($C160="","",INDEX(Taxepunkter!$B:$B,$C160)&amp;" / "&amp;INDEX(Taxepunkter!$C:$C,$C160))</f>
        <v/>
      </c>
      <c r="J160" s="31" t="str">
        <f t="shared" si="27"/>
        <v/>
      </c>
      <c r="K160" s="31" t="str">
        <f>IF($C160="","",INDEX(Taxepunkter!$C:$C,$C160)&amp;IF(INDEX(Taxepunkter!$D:$D,$C160)="","",". "&amp;INDEX(Taxepunkter!$D:$D,$C160)))</f>
        <v/>
      </c>
      <c r="L160" s="31" t="str">
        <f t="shared" si="28"/>
        <v/>
      </c>
      <c r="M160" s="31" t="str">
        <f t="shared" si="29"/>
        <v/>
      </c>
      <c r="N160" s="31" t="str">
        <f t="shared" si="30"/>
        <v/>
      </c>
      <c r="O160" s="31" t="str">
        <f t="shared" si="31"/>
        <v/>
      </c>
      <c r="P160" s="31" t="str">
        <f>IF($C160="","",_xludf.TEXTJOIN(" ",TRUE,INDEX(Taxepunkter!$C:$C,$C160),INDEX(Taxepunkter!$D:$D,$C160)))</f>
        <v/>
      </c>
      <c r="Q160" s="31"/>
      <c r="R160" s="31"/>
      <c r="S160" s="31"/>
      <c r="T160" s="31"/>
      <c r="U160" s="31" t="str">
        <f t="shared" si="32"/>
        <v/>
      </c>
      <c r="V160" s="31"/>
      <c r="W160" s="31" t="str">
        <f t="shared" si="33"/>
        <v/>
      </c>
      <c r="X160" s="31" t="str">
        <f t="shared" si="34"/>
        <v/>
      </c>
      <c r="Y160" s="79" t="str">
        <f t="shared" si="35"/>
        <v/>
      </c>
    </row>
    <row r="161" spans="1:25" x14ac:dyDescent="0.25">
      <c r="A161" s="78" t="str">
        <f>IF($C161="","",INDEX(Taxepunkter!$A:$A,$C161))</f>
        <v/>
      </c>
      <c r="B161" s="29"/>
      <c r="C161" s="29"/>
      <c r="D161" s="29" t="str">
        <f>IF($C161="","",_xludf.TEXTJOIN(" ",TRUE,INDEX(Taxepunkter!$C:$C,$C161),INDEX(Taxepunkter!$D:$D,$C161)))</f>
        <v/>
      </c>
      <c r="E161" s="29" t="str">
        <f t="shared" si="24"/>
        <v/>
      </c>
      <c r="F161" s="29" t="str">
        <f t="shared" si="25"/>
        <v/>
      </c>
      <c r="G161" s="30"/>
      <c r="H161" s="31" t="str">
        <f t="shared" si="26"/>
        <v/>
      </c>
      <c r="I161" s="31" t="str">
        <f>IF($C161="","",INDEX(Taxepunkter!$B:$B,$C161)&amp;" / "&amp;INDEX(Taxepunkter!$C:$C,$C161))</f>
        <v/>
      </c>
      <c r="J161" s="31" t="str">
        <f t="shared" si="27"/>
        <v/>
      </c>
      <c r="K161" s="31" t="str">
        <f>IF($C161="","",INDEX(Taxepunkter!$C:$C,$C161)&amp;IF(INDEX(Taxepunkter!$D:$D,$C161)="","",". "&amp;INDEX(Taxepunkter!$D:$D,$C161)))</f>
        <v/>
      </c>
      <c r="L161" s="31" t="str">
        <f t="shared" si="28"/>
        <v/>
      </c>
      <c r="M161" s="31" t="str">
        <f t="shared" si="29"/>
        <v/>
      </c>
      <c r="N161" s="31" t="str">
        <f t="shared" si="30"/>
        <v/>
      </c>
      <c r="O161" s="31" t="str">
        <f t="shared" si="31"/>
        <v/>
      </c>
      <c r="P161" s="31" t="str">
        <f>IF($C161="","",_xludf.TEXTJOIN(" ",TRUE,INDEX(Taxepunkter!$C:$C,$C161),INDEX(Taxepunkter!$D:$D,$C161)))</f>
        <v/>
      </c>
      <c r="Q161" s="31"/>
      <c r="R161" s="31"/>
      <c r="S161" s="31"/>
      <c r="T161" s="31"/>
      <c r="U161" s="31" t="str">
        <f t="shared" si="32"/>
        <v/>
      </c>
      <c r="V161" s="31"/>
      <c r="W161" s="31" t="str">
        <f t="shared" si="33"/>
        <v/>
      </c>
      <c r="X161" s="31" t="str">
        <f t="shared" si="34"/>
        <v/>
      </c>
      <c r="Y161" s="79" t="str">
        <f t="shared" si="35"/>
        <v/>
      </c>
    </row>
    <row r="162" spans="1:25" x14ac:dyDescent="0.25">
      <c r="A162" s="78" t="str">
        <f>IF($C162="","",INDEX(Taxepunkter!$A:$A,$C162))</f>
        <v/>
      </c>
      <c r="B162" s="29"/>
      <c r="C162" s="29"/>
      <c r="D162" s="29" t="str">
        <f>IF($C162="","",_xludf.TEXTJOIN(" ",TRUE,INDEX(Taxepunkter!$C:$C,$C162),INDEX(Taxepunkter!$D:$D,$C162)))</f>
        <v/>
      </c>
      <c r="E162" s="29" t="str">
        <f t="shared" si="24"/>
        <v/>
      </c>
      <c r="F162" s="29" t="str">
        <f t="shared" si="25"/>
        <v/>
      </c>
      <c r="G162" s="30"/>
      <c r="H162" s="31" t="str">
        <f t="shared" si="26"/>
        <v/>
      </c>
      <c r="I162" s="31" t="str">
        <f>IF($C162="","",INDEX(Taxepunkter!$B:$B,$C162)&amp;" / "&amp;INDEX(Taxepunkter!$C:$C,$C162))</f>
        <v/>
      </c>
      <c r="J162" s="31" t="str">
        <f t="shared" si="27"/>
        <v/>
      </c>
      <c r="K162" s="31" t="str">
        <f>IF($C162="","",INDEX(Taxepunkter!$C:$C,$C162)&amp;IF(INDEX(Taxepunkter!$D:$D,$C162)="","",". "&amp;INDEX(Taxepunkter!$D:$D,$C162)))</f>
        <v/>
      </c>
      <c r="L162" s="31" t="str">
        <f t="shared" si="28"/>
        <v/>
      </c>
      <c r="M162" s="31" t="str">
        <f t="shared" si="29"/>
        <v/>
      </c>
      <c r="N162" s="31" t="str">
        <f t="shared" si="30"/>
        <v/>
      </c>
      <c r="O162" s="31" t="str">
        <f t="shared" si="31"/>
        <v/>
      </c>
      <c r="P162" s="31" t="str">
        <f>IF($C162="","",_xludf.TEXTJOIN(" ",TRUE,INDEX(Taxepunkter!$C:$C,$C162),INDEX(Taxepunkter!$D:$D,$C162)))</f>
        <v/>
      </c>
      <c r="Q162" s="31"/>
      <c r="R162" s="31"/>
      <c r="S162" s="31"/>
      <c r="T162" s="31"/>
      <c r="U162" s="31" t="str">
        <f t="shared" si="32"/>
        <v/>
      </c>
      <c r="V162" s="31"/>
      <c r="W162" s="31" t="str">
        <f t="shared" si="33"/>
        <v/>
      </c>
      <c r="X162" s="31" t="str">
        <f t="shared" si="34"/>
        <v/>
      </c>
      <c r="Y162" s="79" t="str">
        <f t="shared" si="35"/>
        <v/>
      </c>
    </row>
    <row r="163" spans="1:25" x14ac:dyDescent="0.25">
      <c r="A163" s="78" t="str">
        <f>IF($C163="","",INDEX(Taxepunkter!$A:$A,$C163))</f>
        <v/>
      </c>
      <c r="B163" s="29"/>
      <c r="C163" s="29"/>
      <c r="D163" s="29" t="str">
        <f>IF($C163="","",_xludf.TEXTJOIN(" ",TRUE,INDEX(Taxepunkter!$C:$C,$C163),INDEX(Taxepunkter!$D:$D,$C163)))</f>
        <v/>
      </c>
      <c r="E163" s="29" t="str">
        <f t="shared" si="24"/>
        <v/>
      </c>
      <c r="F163" s="29" t="str">
        <f t="shared" si="25"/>
        <v/>
      </c>
      <c r="G163" s="30"/>
      <c r="H163" s="31" t="str">
        <f t="shared" si="26"/>
        <v/>
      </c>
      <c r="I163" s="31" t="str">
        <f>IF($C163="","",INDEX(Taxepunkter!$B:$B,$C163)&amp;" / "&amp;INDEX(Taxepunkter!$C:$C,$C163))</f>
        <v/>
      </c>
      <c r="J163" s="31" t="str">
        <f t="shared" si="27"/>
        <v/>
      </c>
      <c r="K163" s="31" t="str">
        <f>IF($C163="","",INDEX(Taxepunkter!$C:$C,$C163)&amp;IF(INDEX(Taxepunkter!$D:$D,$C163)="","",". "&amp;INDEX(Taxepunkter!$D:$D,$C163)))</f>
        <v/>
      </c>
      <c r="L163" s="31" t="str">
        <f t="shared" si="28"/>
        <v/>
      </c>
      <c r="M163" s="31" t="str">
        <f t="shared" si="29"/>
        <v/>
      </c>
      <c r="N163" s="31" t="str">
        <f t="shared" si="30"/>
        <v/>
      </c>
      <c r="O163" s="31" t="str">
        <f t="shared" si="31"/>
        <v/>
      </c>
      <c r="P163" s="31" t="str">
        <f>IF($C163="","",_xludf.TEXTJOIN(" ",TRUE,INDEX(Taxepunkter!$C:$C,$C163),INDEX(Taxepunkter!$D:$D,$C163)))</f>
        <v/>
      </c>
      <c r="Q163" s="31"/>
      <c r="R163" s="31"/>
      <c r="S163" s="31"/>
      <c r="T163" s="31"/>
      <c r="U163" s="31" t="str">
        <f t="shared" si="32"/>
        <v/>
      </c>
      <c r="V163" s="31"/>
      <c r="W163" s="31" t="str">
        <f t="shared" si="33"/>
        <v/>
      </c>
      <c r="X163" s="31" t="str">
        <f t="shared" si="34"/>
        <v/>
      </c>
      <c r="Y163" s="79" t="str">
        <f t="shared" si="35"/>
        <v/>
      </c>
    </row>
    <row r="164" spans="1:25" x14ac:dyDescent="0.25">
      <c r="A164" s="78" t="str">
        <f>IF($C164="","",INDEX(Taxepunkter!$A:$A,$C164))</f>
        <v/>
      </c>
      <c r="B164" s="29"/>
      <c r="C164" s="29"/>
      <c r="D164" s="29" t="str">
        <f>IF($C164="","",_xludf.TEXTJOIN(" ",TRUE,INDEX(Taxepunkter!$C:$C,$C164),INDEX(Taxepunkter!$D:$D,$C164)))</f>
        <v/>
      </c>
      <c r="E164" s="29" t="str">
        <f t="shared" si="24"/>
        <v/>
      </c>
      <c r="F164" s="29" t="str">
        <f t="shared" si="25"/>
        <v/>
      </c>
      <c r="G164" s="30"/>
      <c r="H164" s="31" t="str">
        <f t="shared" si="26"/>
        <v/>
      </c>
      <c r="I164" s="31" t="str">
        <f>IF($C164="","",INDEX(Taxepunkter!$B:$B,$C164)&amp;" / "&amp;INDEX(Taxepunkter!$C:$C,$C164))</f>
        <v/>
      </c>
      <c r="J164" s="31" t="str">
        <f t="shared" si="27"/>
        <v/>
      </c>
      <c r="K164" s="31" t="str">
        <f>IF($C164="","",INDEX(Taxepunkter!$C:$C,$C164)&amp;IF(INDEX(Taxepunkter!$D:$D,$C164)="","",". "&amp;INDEX(Taxepunkter!$D:$D,$C164)))</f>
        <v/>
      </c>
      <c r="L164" s="31" t="str">
        <f t="shared" si="28"/>
        <v/>
      </c>
      <c r="M164" s="31" t="str">
        <f t="shared" si="29"/>
        <v/>
      </c>
      <c r="N164" s="31" t="str">
        <f t="shared" si="30"/>
        <v/>
      </c>
      <c r="O164" s="31" t="str">
        <f t="shared" si="31"/>
        <v/>
      </c>
      <c r="P164" s="31" t="str">
        <f>IF($C164="","",_xludf.TEXTJOIN(" ",TRUE,INDEX(Taxepunkter!$C:$C,$C164),INDEX(Taxepunkter!$D:$D,$C164)))</f>
        <v/>
      </c>
      <c r="Q164" s="31"/>
      <c r="R164" s="31"/>
      <c r="S164" s="31"/>
      <c r="T164" s="31"/>
      <c r="U164" s="31" t="str">
        <f t="shared" si="32"/>
        <v/>
      </c>
      <c r="V164" s="31"/>
      <c r="W164" s="31" t="str">
        <f t="shared" si="33"/>
        <v/>
      </c>
      <c r="X164" s="31" t="str">
        <f t="shared" si="34"/>
        <v/>
      </c>
      <c r="Y164" s="79" t="str">
        <f t="shared" si="35"/>
        <v/>
      </c>
    </row>
    <row r="165" spans="1:25" x14ac:dyDescent="0.25">
      <c r="A165" s="78" t="str">
        <f>IF($C165="","",INDEX(Taxepunkter!$A:$A,$C165))</f>
        <v/>
      </c>
      <c r="B165" s="29"/>
      <c r="C165" s="29"/>
      <c r="D165" s="29" t="str">
        <f>IF($C165="","",_xludf.TEXTJOIN(" ",TRUE,INDEX(Taxepunkter!$C:$C,$C165),INDEX(Taxepunkter!$D:$D,$C165)))</f>
        <v/>
      </c>
      <c r="E165" s="29" t="str">
        <f t="shared" si="24"/>
        <v/>
      </c>
      <c r="F165" s="29" t="str">
        <f t="shared" si="25"/>
        <v/>
      </c>
      <c r="G165" s="30"/>
      <c r="H165" s="31" t="str">
        <f t="shared" si="26"/>
        <v/>
      </c>
      <c r="I165" s="31" t="str">
        <f>IF($C165="","",INDEX(Taxepunkter!$B:$B,$C165)&amp;" / "&amp;INDEX(Taxepunkter!$C:$C,$C165))</f>
        <v/>
      </c>
      <c r="J165" s="31" t="str">
        <f t="shared" si="27"/>
        <v/>
      </c>
      <c r="K165" s="31" t="str">
        <f>IF($C165="","",INDEX(Taxepunkter!$C:$C,$C165)&amp;IF(INDEX(Taxepunkter!$D:$D,$C165)="","",". "&amp;INDEX(Taxepunkter!$D:$D,$C165)))</f>
        <v/>
      </c>
      <c r="L165" s="31" t="str">
        <f t="shared" si="28"/>
        <v/>
      </c>
      <c r="M165" s="31" t="str">
        <f t="shared" si="29"/>
        <v/>
      </c>
      <c r="N165" s="31" t="str">
        <f t="shared" si="30"/>
        <v/>
      </c>
      <c r="O165" s="31" t="str">
        <f t="shared" si="31"/>
        <v/>
      </c>
      <c r="P165" s="31" t="str">
        <f>IF($C165="","",_xludf.TEXTJOIN(" ",TRUE,INDEX(Taxepunkter!$C:$C,$C165),INDEX(Taxepunkter!$D:$D,$C165)))</f>
        <v/>
      </c>
      <c r="Q165" s="31"/>
      <c r="R165" s="31"/>
      <c r="S165" s="31"/>
      <c r="T165" s="31"/>
      <c r="U165" s="31" t="str">
        <f t="shared" si="32"/>
        <v/>
      </c>
      <c r="V165" s="31"/>
      <c r="W165" s="31" t="str">
        <f t="shared" si="33"/>
        <v/>
      </c>
      <c r="X165" s="31" t="str">
        <f t="shared" si="34"/>
        <v/>
      </c>
      <c r="Y165" s="79" t="str">
        <f t="shared" si="35"/>
        <v/>
      </c>
    </row>
    <row r="166" spans="1:25" x14ac:dyDescent="0.25">
      <c r="A166" s="78" t="str">
        <f>IF($C166="","",INDEX(Taxepunkter!$A:$A,$C166))</f>
        <v/>
      </c>
      <c r="B166" s="29"/>
      <c r="C166" s="29"/>
      <c r="D166" s="29" t="str">
        <f>IF($C166="","",_xludf.TEXTJOIN(" ",TRUE,INDEX(Taxepunkter!$C:$C,$C166),INDEX(Taxepunkter!$D:$D,$C166)))</f>
        <v/>
      </c>
      <c r="E166" s="29" t="str">
        <f t="shared" si="24"/>
        <v/>
      </c>
      <c r="F166" s="29" t="str">
        <f t="shared" si="25"/>
        <v/>
      </c>
      <c r="G166" s="30"/>
      <c r="H166" s="31" t="str">
        <f t="shared" si="26"/>
        <v/>
      </c>
      <c r="I166" s="31" t="str">
        <f>IF($C166="","",INDEX(Taxepunkter!$B:$B,$C166)&amp;" / "&amp;INDEX(Taxepunkter!$C:$C,$C166))</f>
        <v/>
      </c>
      <c r="J166" s="31" t="str">
        <f t="shared" si="27"/>
        <v/>
      </c>
      <c r="K166" s="31" t="str">
        <f>IF($C166="","",INDEX(Taxepunkter!$C:$C,$C166)&amp;IF(INDEX(Taxepunkter!$D:$D,$C166)="","",". "&amp;INDEX(Taxepunkter!$D:$D,$C166)))</f>
        <v/>
      </c>
      <c r="L166" s="31" t="str">
        <f t="shared" si="28"/>
        <v/>
      </c>
      <c r="M166" s="31" t="str">
        <f t="shared" si="29"/>
        <v/>
      </c>
      <c r="N166" s="31" t="str">
        <f t="shared" si="30"/>
        <v/>
      </c>
      <c r="O166" s="31" t="str">
        <f t="shared" si="31"/>
        <v/>
      </c>
      <c r="P166" s="31" t="str">
        <f>IF($C166="","",_xludf.TEXTJOIN(" ",TRUE,INDEX(Taxepunkter!$C:$C,$C166),INDEX(Taxepunkter!$D:$D,$C166)))</f>
        <v/>
      </c>
      <c r="Q166" s="31"/>
      <c r="R166" s="31"/>
      <c r="S166" s="31"/>
      <c r="T166" s="31"/>
      <c r="U166" s="31" t="str">
        <f t="shared" si="32"/>
        <v/>
      </c>
      <c r="V166" s="31"/>
      <c r="W166" s="31" t="str">
        <f t="shared" si="33"/>
        <v/>
      </c>
      <c r="X166" s="31" t="str">
        <f t="shared" si="34"/>
        <v/>
      </c>
      <c r="Y166" s="79" t="str">
        <f t="shared" si="35"/>
        <v/>
      </c>
    </row>
    <row r="167" spans="1:25" x14ac:dyDescent="0.25">
      <c r="A167" s="78" t="str">
        <f>IF($C167="","",INDEX(Taxepunkter!$A:$A,$C167))</f>
        <v/>
      </c>
      <c r="B167" s="29"/>
      <c r="C167" s="29"/>
      <c r="D167" s="29" t="str">
        <f>IF($C167="","",_xludf.TEXTJOIN(" ",TRUE,INDEX(Taxepunkter!$C:$C,$C167),INDEX(Taxepunkter!$D:$D,$C167)))</f>
        <v/>
      </c>
      <c r="E167" s="29" t="str">
        <f t="shared" si="24"/>
        <v/>
      </c>
      <c r="F167" s="29" t="str">
        <f t="shared" si="25"/>
        <v/>
      </c>
      <c r="G167" s="30"/>
      <c r="H167" s="31" t="str">
        <f t="shared" si="26"/>
        <v/>
      </c>
      <c r="I167" s="31" t="str">
        <f>IF($C167="","",INDEX(Taxepunkter!$B:$B,$C167)&amp;" / "&amp;INDEX(Taxepunkter!$C:$C,$C167))</f>
        <v/>
      </c>
      <c r="J167" s="31" t="str">
        <f t="shared" si="27"/>
        <v/>
      </c>
      <c r="K167" s="31" t="str">
        <f>IF($C167="","",INDEX(Taxepunkter!$C:$C,$C167)&amp;IF(INDEX(Taxepunkter!$D:$D,$C167)="","",". "&amp;INDEX(Taxepunkter!$D:$D,$C167)))</f>
        <v/>
      </c>
      <c r="L167" s="31" t="str">
        <f t="shared" si="28"/>
        <v/>
      </c>
      <c r="M167" s="31" t="str">
        <f t="shared" si="29"/>
        <v/>
      </c>
      <c r="N167" s="31" t="str">
        <f t="shared" si="30"/>
        <v/>
      </c>
      <c r="O167" s="31" t="str">
        <f t="shared" si="31"/>
        <v/>
      </c>
      <c r="P167" s="31" t="str">
        <f>IF($C167="","",_xludf.TEXTJOIN(" ",TRUE,INDEX(Taxepunkter!$C:$C,$C167),INDEX(Taxepunkter!$D:$D,$C167)))</f>
        <v/>
      </c>
      <c r="Q167" s="31"/>
      <c r="R167" s="31"/>
      <c r="S167" s="31"/>
      <c r="T167" s="31"/>
      <c r="U167" s="31" t="str">
        <f t="shared" si="32"/>
        <v/>
      </c>
      <c r="V167" s="31"/>
      <c r="W167" s="31" t="str">
        <f t="shared" si="33"/>
        <v/>
      </c>
      <c r="X167" s="31" t="str">
        <f t="shared" si="34"/>
        <v/>
      </c>
      <c r="Y167" s="79" t="str">
        <f t="shared" si="35"/>
        <v/>
      </c>
    </row>
    <row r="168" spans="1:25" x14ac:dyDescent="0.25">
      <c r="A168" s="78" t="str">
        <f>IF($C168="","",INDEX(Taxepunkter!$A:$A,$C168))</f>
        <v/>
      </c>
      <c r="B168" s="29"/>
      <c r="C168" s="29"/>
      <c r="D168" s="29" t="str">
        <f>IF($C168="","",_xludf.TEXTJOIN(" ",TRUE,INDEX(Taxepunkter!$C:$C,$C168),INDEX(Taxepunkter!$D:$D,$C168)))</f>
        <v/>
      </c>
      <c r="E168" s="29" t="str">
        <f t="shared" si="24"/>
        <v/>
      </c>
      <c r="F168" s="29" t="str">
        <f t="shared" si="25"/>
        <v/>
      </c>
      <c r="G168" s="30"/>
      <c r="H168" s="31" t="str">
        <f t="shared" si="26"/>
        <v/>
      </c>
      <c r="I168" s="31" t="str">
        <f>IF($C168="","",INDEX(Taxepunkter!$B:$B,$C168)&amp;" / "&amp;INDEX(Taxepunkter!$C:$C,$C168))</f>
        <v/>
      </c>
      <c r="J168" s="31" t="str">
        <f t="shared" si="27"/>
        <v/>
      </c>
      <c r="K168" s="31" t="str">
        <f>IF($C168="","",INDEX(Taxepunkter!$C:$C,$C168)&amp;IF(INDEX(Taxepunkter!$D:$D,$C168)="","",". "&amp;INDEX(Taxepunkter!$D:$D,$C168)))</f>
        <v/>
      </c>
      <c r="L168" s="31" t="str">
        <f t="shared" si="28"/>
        <v/>
      </c>
      <c r="M168" s="31" t="str">
        <f t="shared" si="29"/>
        <v/>
      </c>
      <c r="N168" s="31" t="str">
        <f t="shared" si="30"/>
        <v/>
      </c>
      <c r="O168" s="31" t="str">
        <f t="shared" si="31"/>
        <v/>
      </c>
      <c r="P168" s="31" t="str">
        <f>IF($C168="","",_xludf.TEXTJOIN(" ",TRUE,INDEX(Taxepunkter!$C:$C,$C168),INDEX(Taxepunkter!$D:$D,$C168)))</f>
        <v/>
      </c>
      <c r="Q168" s="31"/>
      <c r="R168" s="31"/>
      <c r="S168" s="31"/>
      <c r="T168" s="31"/>
      <c r="U168" s="31" t="str">
        <f t="shared" si="32"/>
        <v/>
      </c>
      <c r="V168" s="31"/>
      <c r="W168" s="31" t="str">
        <f t="shared" si="33"/>
        <v/>
      </c>
      <c r="X168" s="31" t="str">
        <f t="shared" si="34"/>
        <v/>
      </c>
      <c r="Y168" s="79" t="str">
        <f t="shared" si="35"/>
        <v/>
      </c>
    </row>
    <row r="169" spans="1:25" x14ac:dyDescent="0.25">
      <c r="A169" s="78" t="str">
        <f>IF($C169="","",INDEX(Taxepunkter!$A:$A,$C169))</f>
        <v/>
      </c>
      <c r="B169" s="29"/>
      <c r="C169" s="29"/>
      <c r="D169" s="29" t="str">
        <f>IF($C169="","",_xludf.TEXTJOIN(" ",TRUE,INDEX(Taxepunkter!$C:$C,$C169),INDEX(Taxepunkter!$D:$D,$C169)))</f>
        <v/>
      </c>
      <c r="E169" s="29" t="str">
        <f t="shared" si="24"/>
        <v/>
      </c>
      <c r="F169" s="29" t="str">
        <f t="shared" si="25"/>
        <v/>
      </c>
      <c r="G169" s="30"/>
      <c r="H169" s="31" t="str">
        <f t="shared" si="26"/>
        <v/>
      </c>
      <c r="I169" s="31" t="str">
        <f>IF($C169="","",INDEX(Taxepunkter!$B:$B,$C169)&amp;" / "&amp;INDEX(Taxepunkter!$C:$C,$C169))</f>
        <v/>
      </c>
      <c r="J169" s="31" t="str">
        <f t="shared" si="27"/>
        <v/>
      </c>
      <c r="K169" s="31" t="str">
        <f>IF($C169="","",INDEX(Taxepunkter!$C:$C,$C169)&amp;IF(INDEX(Taxepunkter!$D:$D,$C169)="","",". "&amp;INDEX(Taxepunkter!$D:$D,$C169)))</f>
        <v/>
      </c>
      <c r="L169" s="31" t="str">
        <f t="shared" si="28"/>
        <v/>
      </c>
      <c r="M169" s="31" t="str">
        <f t="shared" si="29"/>
        <v/>
      </c>
      <c r="N169" s="31" t="str">
        <f t="shared" si="30"/>
        <v/>
      </c>
      <c r="O169" s="31" t="str">
        <f t="shared" si="31"/>
        <v/>
      </c>
      <c r="P169" s="31" t="str">
        <f>IF($C169="","",_xludf.TEXTJOIN(" ",TRUE,INDEX(Taxepunkter!$C:$C,$C169),INDEX(Taxepunkter!$D:$D,$C169)))</f>
        <v/>
      </c>
      <c r="Q169" s="31"/>
      <c r="R169" s="31"/>
      <c r="S169" s="31"/>
      <c r="T169" s="31"/>
      <c r="U169" s="31" t="str">
        <f t="shared" si="32"/>
        <v/>
      </c>
      <c r="V169" s="31"/>
      <c r="W169" s="31" t="str">
        <f t="shared" si="33"/>
        <v/>
      </c>
      <c r="X169" s="31" t="str">
        <f t="shared" si="34"/>
        <v/>
      </c>
      <c r="Y169" s="79" t="str">
        <f t="shared" si="35"/>
        <v/>
      </c>
    </row>
    <row r="170" spans="1:25" x14ac:dyDescent="0.25">
      <c r="A170" s="78" t="str">
        <f>IF($C170="","",INDEX(Taxepunkter!$A:$A,$C170))</f>
        <v/>
      </c>
      <c r="B170" s="29"/>
      <c r="C170" s="29"/>
      <c r="D170" s="29" t="str">
        <f>IF($C170="","",_xludf.TEXTJOIN(" ",TRUE,INDEX(Taxepunkter!$C:$C,$C170),INDEX(Taxepunkter!$D:$D,$C170)))</f>
        <v/>
      </c>
      <c r="E170" s="29" t="str">
        <f t="shared" si="24"/>
        <v/>
      </c>
      <c r="F170" s="29" t="str">
        <f t="shared" si="25"/>
        <v/>
      </c>
      <c r="G170" s="30"/>
      <c r="H170" s="31" t="str">
        <f t="shared" si="26"/>
        <v/>
      </c>
      <c r="I170" s="31" t="str">
        <f>IF($C170="","",INDEX(Taxepunkter!$B:$B,$C170)&amp;" / "&amp;INDEX(Taxepunkter!$C:$C,$C170))</f>
        <v/>
      </c>
      <c r="J170" s="31" t="str">
        <f t="shared" si="27"/>
        <v/>
      </c>
      <c r="K170" s="31" t="str">
        <f>IF($C170="","",INDEX(Taxepunkter!$C:$C,$C170)&amp;IF(INDEX(Taxepunkter!$D:$D,$C170)="","",". "&amp;INDEX(Taxepunkter!$D:$D,$C170)))</f>
        <v/>
      </c>
      <c r="L170" s="31" t="str">
        <f t="shared" si="28"/>
        <v/>
      </c>
      <c r="M170" s="31" t="str">
        <f t="shared" si="29"/>
        <v/>
      </c>
      <c r="N170" s="31" t="str">
        <f t="shared" si="30"/>
        <v/>
      </c>
      <c r="O170" s="31" t="str">
        <f t="shared" si="31"/>
        <v/>
      </c>
      <c r="P170" s="31" t="str">
        <f>IF($C170="","",_xludf.TEXTJOIN(" ",TRUE,INDEX(Taxepunkter!$C:$C,$C170),INDEX(Taxepunkter!$D:$D,$C170)))</f>
        <v/>
      </c>
      <c r="Q170" s="31"/>
      <c r="R170" s="31"/>
      <c r="S170" s="31"/>
      <c r="T170" s="31"/>
      <c r="U170" s="31" t="str">
        <f t="shared" si="32"/>
        <v/>
      </c>
      <c r="V170" s="31"/>
      <c r="W170" s="31" t="str">
        <f t="shared" si="33"/>
        <v/>
      </c>
      <c r="X170" s="31" t="str">
        <f t="shared" si="34"/>
        <v/>
      </c>
      <c r="Y170" s="79" t="str">
        <f t="shared" si="35"/>
        <v/>
      </c>
    </row>
    <row r="171" spans="1:25" x14ac:dyDescent="0.25">
      <c r="A171" s="78" t="str">
        <f>IF($C171="","",INDEX(Taxepunkter!$A:$A,$C171))</f>
        <v/>
      </c>
      <c r="B171" s="29"/>
      <c r="C171" s="29"/>
      <c r="D171" s="29" t="str">
        <f>IF($C171="","",_xludf.TEXTJOIN(" ",TRUE,INDEX(Taxepunkter!$C:$C,$C171),INDEX(Taxepunkter!$D:$D,$C171)))</f>
        <v/>
      </c>
      <c r="E171" s="29" t="str">
        <f t="shared" ref="E171:E200" si="36">IF($C171="","","Saknas i EDP – föreslagen ny taxa")</f>
        <v/>
      </c>
      <c r="F171" s="29" t="str">
        <f t="shared" ref="F171:F200" si="37">IF($C171="","","Automatiserad mall: fyll Rad i Taxepunkter och FöreslagenTaxekod")</f>
        <v/>
      </c>
      <c r="G171" s="30"/>
      <c r="H171" s="31" t="str">
        <f t="shared" ref="H171:H200" si="38">IF($C171="","",$C171)</f>
        <v/>
      </c>
      <c r="I171" s="31" t="str">
        <f>IF($C171="","",INDEX(Taxepunkter!$B:$B,$C171)&amp;" / "&amp;INDEX(Taxepunkter!$C:$C,$C171))</f>
        <v/>
      </c>
      <c r="J171" s="31" t="str">
        <f t="shared" ref="J171:J200" si="39">IF($G171="","",$G171)</f>
        <v/>
      </c>
      <c r="K171" s="31" t="str">
        <f>IF($C171="","",INDEX(Taxepunkter!$C:$C,$C171)&amp;IF(INDEX(Taxepunkter!$D:$D,$C171)="","",". "&amp;INDEX(Taxepunkter!$D:$D,$C171)))</f>
        <v/>
      </c>
      <c r="L171" s="31" t="str">
        <f t="shared" ref="L171:L200" si="40">IF($C171="","","RENH")</f>
        <v/>
      </c>
      <c r="M171" s="31" t="str">
        <f t="shared" ref="M171:M200" si="41">IF($C171="","","HUSH")</f>
        <v/>
      </c>
      <c r="N171" s="31" t="str">
        <f t="shared" ref="N171:N200" si="42">IF($C171="","",1)</f>
        <v/>
      </c>
      <c r="O171" s="31" t="str">
        <f t="shared" ref="O171:O200" si="43">IF($C171="","","ÅRKV")</f>
        <v/>
      </c>
      <c r="P171" s="31" t="str">
        <f>IF($C171="","",_xludf.TEXTJOIN(" ",TRUE,INDEX(Taxepunkter!$C:$C,$C171),INDEX(Taxepunkter!$D:$D,$C171)))</f>
        <v/>
      </c>
      <c r="Q171" s="31"/>
      <c r="R171" s="31"/>
      <c r="S171" s="31"/>
      <c r="T171" s="31"/>
      <c r="U171" s="31" t="str">
        <f t="shared" ref="U171:U200" si="44">IF($C171="","",0)</f>
        <v/>
      </c>
      <c r="V171" s="31"/>
      <c r="W171" s="31" t="str">
        <f t="shared" ref="W171:W200" si="45">IF($C171="","","-")</f>
        <v/>
      </c>
      <c r="X171" s="31" t="str">
        <f t="shared" ref="X171:X200" si="46">IF($C171="","",1)</f>
        <v/>
      </c>
      <c r="Y171" s="79" t="str">
        <f t="shared" ref="Y171:Y200" si="47">IF($C171="","","ANTB")</f>
        <v/>
      </c>
    </row>
    <row r="172" spans="1:25" x14ac:dyDescent="0.25">
      <c r="A172" s="78" t="str">
        <f>IF($C172="","",INDEX(Taxepunkter!$A:$A,$C172))</f>
        <v/>
      </c>
      <c r="B172" s="29"/>
      <c r="C172" s="29"/>
      <c r="D172" s="29" t="str">
        <f>IF($C172="","",_xludf.TEXTJOIN(" ",TRUE,INDEX(Taxepunkter!$C:$C,$C172),INDEX(Taxepunkter!$D:$D,$C172)))</f>
        <v/>
      </c>
      <c r="E172" s="29" t="str">
        <f t="shared" si="36"/>
        <v/>
      </c>
      <c r="F172" s="29" t="str">
        <f t="shared" si="37"/>
        <v/>
      </c>
      <c r="G172" s="30"/>
      <c r="H172" s="31" t="str">
        <f t="shared" si="38"/>
        <v/>
      </c>
      <c r="I172" s="31" t="str">
        <f>IF($C172="","",INDEX(Taxepunkter!$B:$B,$C172)&amp;" / "&amp;INDEX(Taxepunkter!$C:$C,$C172))</f>
        <v/>
      </c>
      <c r="J172" s="31" t="str">
        <f t="shared" si="39"/>
        <v/>
      </c>
      <c r="K172" s="31" t="str">
        <f>IF($C172="","",INDEX(Taxepunkter!$C:$C,$C172)&amp;IF(INDEX(Taxepunkter!$D:$D,$C172)="","",". "&amp;INDEX(Taxepunkter!$D:$D,$C172)))</f>
        <v/>
      </c>
      <c r="L172" s="31" t="str">
        <f t="shared" si="40"/>
        <v/>
      </c>
      <c r="M172" s="31" t="str">
        <f t="shared" si="41"/>
        <v/>
      </c>
      <c r="N172" s="31" t="str">
        <f t="shared" si="42"/>
        <v/>
      </c>
      <c r="O172" s="31" t="str">
        <f t="shared" si="43"/>
        <v/>
      </c>
      <c r="P172" s="31" t="str">
        <f>IF($C172="","",_xludf.TEXTJOIN(" ",TRUE,INDEX(Taxepunkter!$C:$C,$C172),INDEX(Taxepunkter!$D:$D,$C172)))</f>
        <v/>
      </c>
      <c r="Q172" s="31"/>
      <c r="R172" s="31"/>
      <c r="S172" s="31"/>
      <c r="T172" s="31"/>
      <c r="U172" s="31" t="str">
        <f t="shared" si="44"/>
        <v/>
      </c>
      <c r="V172" s="31"/>
      <c r="W172" s="31" t="str">
        <f t="shared" si="45"/>
        <v/>
      </c>
      <c r="X172" s="31" t="str">
        <f t="shared" si="46"/>
        <v/>
      </c>
      <c r="Y172" s="79" t="str">
        <f t="shared" si="47"/>
        <v/>
      </c>
    </row>
    <row r="173" spans="1:25" x14ac:dyDescent="0.25">
      <c r="A173" s="78" t="str">
        <f>IF($C173="","",INDEX(Taxepunkter!$A:$A,$C173))</f>
        <v/>
      </c>
      <c r="B173" s="29"/>
      <c r="C173" s="29"/>
      <c r="D173" s="29" t="str">
        <f>IF($C173="","",_xludf.TEXTJOIN(" ",TRUE,INDEX(Taxepunkter!$C:$C,$C173),INDEX(Taxepunkter!$D:$D,$C173)))</f>
        <v/>
      </c>
      <c r="E173" s="29" t="str">
        <f t="shared" si="36"/>
        <v/>
      </c>
      <c r="F173" s="29" t="str">
        <f t="shared" si="37"/>
        <v/>
      </c>
      <c r="G173" s="30"/>
      <c r="H173" s="31" t="str">
        <f t="shared" si="38"/>
        <v/>
      </c>
      <c r="I173" s="31" t="str">
        <f>IF($C173="","",INDEX(Taxepunkter!$B:$B,$C173)&amp;" / "&amp;INDEX(Taxepunkter!$C:$C,$C173))</f>
        <v/>
      </c>
      <c r="J173" s="31" t="str">
        <f t="shared" si="39"/>
        <v/>
      </c>
      <c r="K173" s="31" t="str">
        <f>IF($C173="","",INDEX(Taxepunkter!$C:$C,$C173)&amp;IF(INDEX(Taxepunkter!$D:$D,$C173)="","",". "&amp;INDEX(Taxepunkter!$D:$D,$C173)))</f>
        <v/>
      </c>
      <c r="L173" s="31" t="str">
        <f t="shared" si="40"/>
        <v/>
      </c>
      <c r="M173" s="31" t="str">
        <f t="shared" si="41"/>
        <v/>
      </c>
      <c r="N173" s="31" t="str">
        <f t="shared" si="42"/>
        <v/>
      </c>
      <c r="O173" s="31" t="str">
        <f t="shared" si="43"/>
        <v/>
      </c>
      <c r="P173" s="31" t="str">
        <f>IF($C173="","",_xludf.TEXTJOIN(" ",TRUE,INDEX(Taxepunkter!$C:$C,$C173),INDEX(Taxepunkter!$D:$D,$C173)))</f>
        <v/>
      </c>
      <c r="Q173" s="31"/>
      <c r="R173" s="31"/>
      <c r="S173" s="31"/>
      <c r="T173" s="31"/>
      <c r="U173" s="31" t="str">
        <f t="shared" si="44"/>
        <v/>
      </c>
      <c r="V173" s="31"/>
      <c r="W173" s="31" t="str">
        <f t="shared" si="45"/>
        <v/>
      </c>
      <c r="X173" s="31" t="str">
        <f t="shared" si="46"/>
        <v/>
      </c>
      <c r="Y173" s="79" t="str">
        <f t="shared" si="47"/>
        <v/>
      </c>
    </row>
    <row r="174" spans="1:25" x14ac:dyDescent="0.25">
      <c r="A174" s="78" t="str">
        <f>IF($C174="","",INDEX(Taxepunkter!$A:$A,$C174))</f>
        <v/>
      </c>
      <c r="B174" s="29"/>
      <c r="C174" s="29"/>
      <c r="D174" s="29" t="str">
        <f>IF($C174="","",_xludf.TEXTJOIN(" ",TRUE,INDEX(Taxepunkter!$C:$C,$C174),INDEX(Taxepunkter!$D:$D,$C174)))</f>
        <v/>
      </c>
      <c r="E174" s="29" t="str">
        <f t="shared" si="36"/>
        <v/>
      </c>
      <c r="F174" s="29" t="str">
        <f t="shared" si="37"/>
        <v/>
      </c>
      <c r="G174" s="30"/>
      <c r="H174" s="31" t="str">
        <f t="shared" si="38"/>
        <v/>
      </c>
      <c r="I174" s="31" t="str">
        <f>IF($C174="","",INDEX(Taxepunkter!$B:$B,$C174)&amp;" / "&amp;INDEX(Taxepunkter!$C:$C,$C174))</f>
        <v/>
      </c>
      <c r="J174" s="31" t="str">
        <f t="shared" si="39"/>
        <v/>
      </c>
      <c r="K174" s="31" t="str">
        <f>IF($C174="","",INDEX(Taxepunkter!$C:$C,$C174)&amp;IF(INDEX(Taxepunkter!$D:$D,$C174)="","",". "&amp;INDEX(Taxepunkter!$D:$D,$C174)))</f>
        <v/>
      </c>
      <c r="L174" s="31" t="str">
        <f t="shared" si="40"/>
        <v/>
      </c>
      <c r="M174" s="31" t="str">
        <f t="shared" si="41"/>
        <v/>
      </c>
      <c r="N174" s="31" t="str">
        <f t="shared" si="42"/>
        <v/>
      </c>
      <c r="O174" s="31" t="str">
        <f t="shared" si="43"/>
        <v/>
      </c>
      <c r="P174" s="31" t="str">
        <f>IF($C174="","",_xludf.TEXTJOIN(" ",TRUE,INDEX(Taxepunkter!$C:$C,$C174),INDEX(Taxepunkter!$D:$D,$C174)))</f>
        <v/>
      </c>
      <c r="Q174" s="31"/>
      <c r="R174" s="31"/>
      <c r="S174" s="31"/>
      <c r="T174" s="31"/>
      <c r="U174" s="31" t="str">
        <f t="shared" si="44"/>
        <v/>
      </c>
      <c r="V174" s="31"/>
      <c r="W174" s="31" t="str">
        <f t="shared" si="45"/>
        <v/>
      </c>
      <c r="X174" s="31" t="str">
        <f t="shared" si="46"/>
        <v/>
      </c>
      <c r="Y174" s="79" t="str">
        <f t="shared" si="47"/>
        <v/>
      </c>
    </row>
    <row r="175" spans="1:25" x14ac:dyDescent="0.25">
      <c r="A175" s="78" t="str">
        <f>IF($C175="","",INDEX(Taxepunkter!$A:$A,$C175))</f>
        <v/>
      </c>
      <c r="B175" s="29"/>
      <c r="C175" s="29"/>
      <c r="D175" s="29" t="str">
        <f>IF($C175="","",_xludf.TEXTJOIN(" ",TRUE,INDEX(Taxepunkter!$C:$C,$C175),INDEX(Taxepunkter!$D:$D,$C175)))</f>
        <v/>
      </c>
      <c r="E175" s="29" t="str">
        <f t="shared" si="36"/>
        <v/>
      </c>
      <c r="F175" s="29" t="str">
        <f t="shared" si="37"/>
        <v/>
      </c>
      <c r="G175" s="30"/>
      <c r="H175" s="31" t="str">
        <f t="shared" si="38"/>
        <v/>
      </c>
      <c r="I175" s="31" t="str">
        <f>IF($C175="","",INDEX(Taxepunkter!$B:$B,$C175)&amp;" / "&amp;INDEX(Taxepunkter!$C:$C,$C175))</f>
        <v/>
      </c>
      <c r="J175" s="31" t="str">
        <f t="shared" si="39"/>
        <v/>
      </c>
      <c r="K175" s="31" t="str">
        <f>IF($C175="","",INDEX(Taxepunkter!$C:$C,$C175)&amp;IF(INDEX(Taxepunkter!$D:$D,$C175)="","",". "&amp;INDEX(Taxepunkter!$D:$D,$C175)))</f>
        <v/>
      </c>
      <c r="L175" s="31" t="str">
        <f t="shared" si="40"/>
        <v/>
      </c>
      <c r="M175" s="31" t="str">
        <f t="shared" si="41"/>
        <v/>
      </c>
      <c r="N175" s="31" t="str">
        <f t="shared" si="42"/>
        <v/>
      </c>
      <c r="O175" s="31" t="str">
        <f t="shared" si="43"/>
        <v/>
      </c>
      <c r="P175" s="31" t="str">
        <f>IF($C175="","",_xludf.TEXTJOIN(" ",TRUE,INDEX(Taxepunkter!$C:$C,$C175),INDEX(Taxepunkter!$D:$D,$C175)))</f>
        <v/>
      </c>
      <c r="Q175" s="31"/>
      <c r="R175" s="31"/>
      <c r="S175" s="31"/>
      <c r="T175" s="31"/>
      <c r="U175" s="31" t="str">
        <f t="shared" si="44"/>
        <v/>
      </c>
      <c r="V175" s="31"/>
      <c r="W175" s="31" t="str">
        <f t="shared" si="45"/>
        <v/>
      </c>
      <c r="X175" s="31" t="str">
        <f t="shared" si="46"/>
        <v/>
      </c>
      <c r="Y175" s="79" t="str">
        <f t="shared" si="47"/>
        <v/>
      </c>
    </row>
    <row r="176" spans="1:25" x14ac:dyDescent="0.25">
      <c r="A176" s="78" t="str">
        <f>IF($C176="","",INDEX(Taxepunkter!$A:$A,$C176))</f>
        <v/>
      </c>
      <c r="B176" s="29"/>
      <c r="C176" s="29"/>
      <c r="D176" s="29" t="str">
        <f>IF($C176="","",_xludf.TEXTJOIN(" ",TRUE,INDEX(Taxepunkter!$C:$C,$C176),INDEX(Taxepunkter!$D:$D,$C176)))</f>
        <v/>
      </c>
      <c r="E176" s="29" t="str">
        <f t="shared" si="36"/>
        <v/>
      </c>
      <c r="F176" s="29" t="str">
        <f t="shared" si="37"/>
        <v/>
      </c>
      <c r="G176" s="30"/>
      <c r="H176" s="31" t="str">
        <f t="shared" si="38"/>
        <v/>
      </c>
      <c r="I176" s="31" t="str">
        <f>IF($C176="","",INDEX(Taxepunkter!$B:$B,$C176)&amp;" / "&amp;INDEX(Taxepunkter!$C:$C,$C176))</f>
        <v/>
      </c>
      <c r="J176" s="31" t="str">
        <f t="shared" si="39"/>
        <v/>
      </c>
      <c r="K176" s="31" t="str">
        <f>IF($C176="","",INDEX(Taxepunkter!$C:$C,$C176)&amp;IF(INDEX(Taxepunkter!$D:$D,$C176)="","",". "&amp;INDEX(Taxepunkter!$D:$D,$C176)))</f>
        <v/>
      </c>
      <c r="L176" s="31" t="str">
        <f t="shared" si="40"/>
        <v/>
      </c>
      <c r="M176" s="31" t="str">
        <f t="shared" si="41"/>
        <v/>
      </c>
      <c r="N176" s="31" t="str">
        <f t="shared" si="42"/>
        <v/>
      </c>
      <c r="O176" s="31" t="str">
        <f t="shared" si="43"/>
        <v/>
      </c>
      <c r="P176" s="31" t="str">
        <f>IF($C176="","",_xludf.TEXTJOIN(" ",TRUE,INDEX(Taxepunkter!$C:$C,$C176),INDEX(Taxepunkter!$D:$D,$C176)))</f>
        <v/>
      </c>
      <c r="Q176" s="31"/>
      <c r="R176" s="31"/>
      <c r="S176" s="31"/>
      <c r="T176" s="31"/>
      <c r="U176" s="31" t="str">
        <f t="shared" si="44"/>
        <v/>
      </c>
      <c r="V176" s="31"/>
      <c r="W176" s="31" t="str">
        <f t="shared" si="45"/>
        <v/>
      </c>
      <c r="X176" s="31" t="str">
        <f t="shared" si="46"/>
        <v/>
      </c>
      <c r="Y176" s="79" t="str">
        <f t="shared" si="47"/>
        <v/>
      </c>
    </row>
    <row r="177" spans="1:25" x14ac:dyDescent="0.25">
      <c r="A177" s="78" t="str">
        <f>IF($C177="","",INDEX(Taxepunkter!$A:$A,$C177))</f>
        <v/>
      </c>
      <c r="B177" s="29"/>
      <c r="C177" s="29"/>
      <c r="D177" s="29" t="str">
        <f>IF($C177="","",_xludf.TEXTJOIN(" ",TRUE,INDEX(Taxepunkter!$C:$C,$C177),INDEX(Taxepunkter!$D:$D,$C177)))</f>
        <v/>
      </c>
      <c r="E177" s="29" t="str">
        <f t="shared" si="36"/>
        <v/>
      </c>
      <c r="F177" s="29" t="str">
        <f t="shared" si="37"/>
        <v/>
      </c>
      <c r="G177" s="30"/>
      <c r="H177" s="31" t="str">
        <f t="shared" si="38"/>
        <v/>
      </c>
      <c r="I177" s="31" t="str">
        <f>IF($C177="","",INDEX(Taxepunkter!$B:$B,$C177)&amp;" / "&amp;INDEX(Taxepunkter!$C:$C,$C177))</f>
        <v/>
      </c>
      <c r="J177" s="31" t="str">
        <f t="shared" si="39"/>
        <v/>
      </c>
      <c r="K177" s="31" t="str">
        <f>IF($C177="","",INDEX(Taxepunkter!$C:$C,$C177)&amp;IF(INDEX(Taxepunkter!$D:$D,$C177)="","",". "&amp;INDEX(Taxepunkter!$D:$D,$C177)))</f>
        <v/>
      </c>
      <c r="L177" s="31" t="str">
        <f t="shared" si="40"/>
        <v/>
      </c>
      <c r="M177" s="31" t="str">
        <f t="shared" si="41"/>
        <v/>
      </c>
      <c r="N177" s="31" t="str">
        <f t="shared" si="42"/>
        <v/>
      </c>
      <c r="O177" s="31" t="str">
        <f t="shared" si="43"/>
        <v/>
      </c>
      <c r="P177" s="31" t="str">
        <f>IF($C177="","",_xludf.TEXTJOIN(" ",TRUE,INDEX(Taxepunkter!$C:$C,$C177),INDEX(Taxepunkter!$D:$D,$C177)))</f>
        <v/>
      </c>
      <c r="Q177" s="31"/>
      <c r="R177" s="31"/>
      <c r="S177" s="31"/>
      <c r="T177" s="31"/>
      <c r="U177" s="31" t="str">
        <f t="shared" si="44"/>
        <v/>
      </c>
      <c r="V177" s="31"/>
      <c r="W177" s="31" t="str">
        <f t="shared" si="45"/>
        <v/>
      </c>
      <c r="X177" s="31" t="str">
        <f t="shared" si="46"/>
        <v/>
      </c>
      <c r="Y177" s="79" t="str">
        <f t="shared" si="47"/>
        <v/>
      </c>
    </row>
    <row r="178" spans="1:25" x14ac:dyDescent="0.25">
      <c r="A178" s="78" t="str">
        <f>IF($C178="","",INDEX(Taxepunkter!$A:$A,$C178))</f>
        <v/>
      </c>
      <c r="B178" s="29"/>
      <c r="C178" s="29"/>
      <c r="D178" s="29" t="str">
        <f>IF($C178="","",_xludf.TEXTJOIN(" ",TRUE,INDEX(Taxepunkter!$C:$C,$C178),INDEX(Taxepunkter!$D:$D,$C178)))</f>
        <v/>
      </c>
      <c r="E178" s="29" t="str">
        <f t="shared" si="36"/>
        <v/>
      </c>
      <c r="F178" s="29" t="str">
        <f t="shared" si="37"/>
        <v/>
      </c>
      <c r="G178" s="30"/>
      <c r="H178" s="31" t="str">
        <f t="shared" si="38"/>
        <v/>
      </c>
      <c r="I178" s="31" t="str">
        <f>IF($C178="","",INDEX(Taxepunkter!$B:$B,$C178)&amp;" / "&amp;INDEX(Taxepunkter!$C:$C,$C178))</f>
        <v/>
      </c>
      <c r="J178" s="31" t="str">
        <f t="shared" si="39"/>
        <v/>
      </c>
      <c r="K178" s="31" t="str">
        <f>IF($C178="","",INDEX(Taxepunkter!$C:$C,$C178)&amp;IF(INDEX(Taxepunkter!$D:$D,$C178)="","",". "&amp;INDEX(Taxepunkter!$D:$D,$C178)))</f>
        <v/>
      </c>
      <c r="L178" s="31" t="str">
        <f t="shared" si="40"/>
        <v/>
      </c>
      <c r="M178" s="31" t="str">
        <f t="shared" si="41"/>
        <v/>
      </c>
      <c r="N178" s="31" t="str">
        <f t="shared" si="42"/>
        <v/>
      </c>
      <c r="O178" s="31" t="str">
        <f t="shared" si="43"/>
        <v/>
      </c>
      <c r="P178" s="31" t="str">
        <f>IF($C178="","",_xludf.TEXTJOIN(" ",TRUE,INDEX(Taxepunkter!$C:$C,$C178),INDEX(Taxepunkter!$D:$D,$C178)))</f>
        <v/>
      </c>
      <c r="Q178" s="31"/>
      <c r="R178" s="31"/>
      <c r="S178" s="31"/>
      <c r="T178" s="31"/>
      <c r="U178" s="31" t="str">
        <f t="shared" si="44"/>
        <v/>
      </c>
      <c r="V178" s="31"/>
      <c r="W178" s="31" t="str">
        <f t="shared" si="45"/>
        <v/>
      </c>
      <c r="X178" s="31" t="str">
        <f t="shared" si="46"/>
        <v/>
      </c>
      <c r="Y178" s="79" t="str">
        <f t="shared" si="47"/>
        <v/>
      </c>
    </row>
    <row r="179" spans="1:25" x14ac:dyDescent="0.25">
      <c r="A179" s="78" t="str">
        <f>IF($C179="","",INDEX(Taxepunkter!$A:$A,$C179))</f>
        <v/>
      </c>
      <c r="B179" s="29"/>
      <c r="C179" s="29"/>
      <c r="D179" s="29" t="str">
        <f>IF($C179="","",_xludf.TEXTJOIN(" ",TRUE,INDEX(Taxepunkter!$C:$C,$C179),INDEX(Taxepunkter!$D:$D,$C179)))</f>
        <v/>
      </c>
      <c r="E179" s="29" t="str">
        <f t="shared" si="36"/>
        <v/>
      </c>
      <c r="F179" s="29" t="str">
        <f t="shared" si="37"/>
        <v/>
      </c>
      <c r="G179" s="30"/>
      <c r="H179" s="31" t="str">
        <f t="shared" si="38"/>
        <v/>
      </c>
      <c r="I179" s="31" t="str">
        <f>IF($C179="","",INDEX(Taxepunkter!$B:$B,$C179)&amp;" / "&amp;INDEX(Taxepunkter!$C:$C,$C179))</f>
        <v/>
      </c>
      <c r="J179" s="31" t="str">
        <f t="shared" si="39"/>
        <v/>
      </c>
      <c r="K179" s="31" t="str">
        <f>IF($C179="","",INDEX(Taxepunkter!$C:$C,$C179)&amp;IF(INDEX(Taxepunkter!$D:$D,$C179)="","",". "&amp;INDEX(Taxepunkter!$D:$D,$C179)))</f>
        <v/>
      </c>
      <c r="L179" s="31" t="str">
        <f t="shared" si="40"/>
        <v/>
      </c>
      <c r="M179" s="31" t="str">
        <f t="shared" si="41"/>
        <v/>
      </c>
      <c r="N179" s="31" t="str">
        <f t="shared" si="42"/>
        <v/>
      </c>
      <c r="O179" s="31" t="str">
        <f t="shared" si="43"/>
        <v/>
      </c>
      <c r="P179" s="31" t="str">
        <f>IF($C179="","",_xludf.TEXTJOIN(" ",TRUE,INDEX(Taxepunkter!$C:$C,$C179),INDEX(Taxepunkter!$D:$D,$C179)))</f>
        <v/>
      </c>
      <c r="Q179" s="31"/>
      <c r="R179" s="31"/>
      <c r="S179" s="31"/>
      <c r="T179" s="31"/>
      <c r="U179" s="31" t="str">
        <f t="shared" si="44"/>
        <v/>
      </c>
      <c r="V179" s="31"/>
      <c r="W179" s="31" t="str">
        <f t="shared" si="45"/>
        <v/>
      </c>
      <c r="X179" s="31" t="str">
        <f t="shared" si="46"/>
        <v/>
      </c>
      <c r="Y179" s="79" t="str">
        <f t="shared" si="47"/>
        <v/>
      </c>
    </row>
    <row r="180" spans="1:25" x14ac:dyDescent="0.25">
      <c r="A180" s="78" t="str">
        <f>IF($C180="","",INDEX(Taxepunkter!$A:$A,$C180))</f>
        <v/>
      </c>
      <c r="B180" s="29"/>
      <c r="C180" s="29"/>
      <c r="D180" s="29" t="str">
        <f>IF($C180="","",_xludf.TEXTJOIN(" ",TRUE,INDEX(Taxepunkter!$C:$C,$C180),INDEX(Taxepunkter!$D:$D,$C180)))</f>
        <v/>
      </c>
      <c r="E180" s="29" t="str">
        <f t="shared" si="36"/>
        <v/>
      </c>
      <c r="F180" s="29" t="str">
        <f t="shared" si="37"/>
        <v/>
      </c>
      <c r="G180" s="30"/>
      <c r="H180" s="31" t="str">
        <f t="shared" si="38"/>
        <v/>
      </c>
      <c r="I180" s="31" t="str">
        <f>IF($C180="","",INDEX(Taxepunkter!$B:$B,$C180)&amp;" / "&amp;INDEX(Taxepunkter!$C:$C,$C180))</f>
        <v/>
      </c>
      <c r="J180" s="31" t="str">
        <f t="shared" si="39"/>
        <v/>
      </c>
      <c r="K180" s="31" t="str">
        <f>IF($C180="","",INDEX(Taxepunkter!$C:$C,$C180)&amp;IF(INDEX(Taxepunkter!$D:$D,$C180)="","",". "&amp;INDEX(Taxepunkter!$D:$D,$C180)))</f>
        <v/>
      </c>
      <c r="L180" s="31" t="str">
        <f t="shared" si="40"/>
        <v/>
      </c>
      <c r="M180" s="31" t="str">
        <f t="shared" si="41"/>
        <v/>
      </c>
      <c r="N180" s="31" t="str">
        <f t="shared" si="42"/>
        <v/>
      </c>
      <c r="O180" s="31" t="str">
        <f t="shared" si="43"/>
        <v/>
      </c>
      <c r="P180" s="31" t="str">
        <f>IF($C180="","",_xludf.TEXTJOIN(" ",TRUE,INDEX(Taxepunkter!$C:$C,$C180),INDEX(Taxepunkter!$D:$D,$C180)))</f>
        <v/>
      </c>
      <c r="Q180" s="31"/>
      <c r="R180" s="31"/>
      <c r="S180" s="31"/>
      <c r="T180" s="31"/>
      <c r="U180" s="31" t="str">
        <f t="shared" si="44"/>
        <v/>
      </c>
      <c r="V180" s="31"/>
      <c r="W180" s="31" t="str">
        <f t="shared" si="45"/>
        <v/>
      </c>
      <c r="X180" s="31" t="str">
        <f t="shared" si="46"/>
        <v/>
      </c>
      <c r="Y180" s="79" t="str">
        <f t="shared" si="47"/>
        <v/>
      </c>
    </row>
    <row r="181" spans="1:25" x14ac:dyDescent="0.25">
      <c r="A181" s="78" t="str">
        <f>IF($C181="","",INDEX(Taxepunkter!$A:$A,$C181))</f>
        <v/>
      </c>
      <c r="B181" s="29"/>
      <c r="C181" s="29"/>
      <c r="D181" s="29" t="str">
        <f>IF($C181="","",_xludf.TEXTJOIN(" ",TRUE,INDEX(Taxepunkter!$C:$C,$C181),INDEX(Taxepunkter!$D:$D,$C181)))</f>
        <v/>
      </c>
      <c r="E181" s="29" t="str">
        <f t="shared" si="36"/>
        <v/>
      </c>
      <c r="F181" s="29" t="str">
        <f t="shared" si="37"/>
        <v/>
      </c>
      <c r="G181" s="30"/>
      <c r="H181" s="31" t="str">
        <f t="shared" si="38"/>
        <v/>
      </c>
      <c r="I181" s="31" t="str">
        <f>IF($C181="","",INDEX(Taxepunkter!$B:$B,$C181)&amp;" / "&amp;INDEX(Taxepunkter!$C:$C,$C181))</f>
        <v/>
      </c>
      <c r="J181" s="31" t="str">
        <f t="shared" si="39"/>
        <v/>
      </c>
      <c r="K181" s="31" t="str">
        <f>IF($C181="","",INDEX(Taxepunkter!$C:$C,$C181)&amp;IF(INDEX(Taxepunkter!$D:$D,$C181)="","",". "&amp;INDEX(Taxepunkter!$D:$D,$C181)))</f>
        <v/>
      </c>
      <c r="L181" s="31" t="str">
        <f t="shared" si="40"/>
        <v/>
      </c>
      <c r="M181" s="31" t="str">
        <f t="shared" si="41"/>
        <v/>
      </c>
      <c r="N181" s="31" t="str">
        <f t="shared" si="42"/>
        <v/>
      </c>
      <c r="O181" s="31" t="str">
        <f t="shared" si="43"/>
        <v/>
      </c>
      <c r="P181" s="31" t="str">
        <f>IF($C181="","",_xludf.TEXTJOIN(" ",TRUE,INDEX(Taxepunkter!$C:$C,$C181),INDEX(Taxepunkter!$D:$D,$C181)))</f>
        <v/>
      </c>
      <c r="Q181" s="31"/>
      <c r="R181" s="31"/>
      <c r="S181" s="31"/>
      <c r="T181" s="31"/>
      <c r="U181" s="31" t="str">
        <f t="shared" si="44"/>
        <v/>
      </c>
      <c r="V181" s="31"/>
      <c r="W181" s="31" t="str">
        <f t="shared" si="45"/>
        <v/>
      </c>
      <c r="X181" s="31" t="str">
        <f t="shared" si="46"/>
        <v/>
      </c>
      <c r="Y181" s="79" t="str">
        <f t="shared" si="47"/>
        <v/>
      </c>
    </row>
    <row r="182" spans="1:25" x14ac:dyDescent="0.25">
      <c r="A182" s="78" t="str">
        <f>IF($C182="","",INDEX(Taxepunkter!$A:$A,$C182))</f>
        <v/>
      </c>
      <c r="B182" s="29"/>
      <c r="C182" s="29"/>
      <c r="D182" s="29" t="str">
        <f>IF($C182="","",_xludf.TEXTJOIN(" ",TRUE,INDEX(Taxepunkter!$C:$C,$C182),INDEX(Taxepunkter!$D:$D,$C182)))</f>
        <v/>
      </c>
      <c r="E182" s="29" t="str">
        <f t="shared" si="36"/>
        <v/>
      </c>
      <c r="F182" s="29" t="str">
        <f t="shared" si="37"/>
        <v/>
      </c>
      <c r="G182" s="30"/>
      <c r="H182" s="31" t="str">
        <f t="shared" si="38"/>
        <v/>
      </c>
      <c r="I182" s="31" t="str">
        <f>IF($C182="","",INDEX(Taxepunkter!$B:$B,$C182)&amp;" / "&amp;INDEX(Taxepunkter!$C:$C,$C182))</f>
        <v/>
      </c>
      <c r="J182" s="31" t="str">
        <f t="shared" si="39"/>
        <v/>
      </c>
      <c r="K182" s="31" t="str">
        <f>IF($C182="","",INDEX(Taxepunkter!$C:$C,$C182)&amp;IF(INDEX(Taxepunkter!$D:$D,$C182)="","",". "&amp;INDEX(Taxepunkter!$D:$D,$C182)))</f>
        <v/>
      </c>
      <c r="L182" s="31" t="str">
        <f t="shared" si="40"/>
        <v/>
      </c>
      <c r="M182" s="31" t="str">
        <f t="shared" si="41"/>
        <v/>
      </c>
      <c r="N182" s="31" t="str">
        <f t="shared" si="42"/>
        <v/>
      </c>
      <c r="O182" s="31" t="str">
        <f t="shared" si="43"/>
        <v/>
      </c>
      <c r="P182" s="31" t="str">
        <f>IF($C182="","",_xludf.TEXTJOIN(" ",TRUE,INDEX(Taxepunkter!$C:$C,$C182),INDEX(Taxepunkter!$D:$D,$C182)))</f>
        <v/>
      </c>
      <c r="Q182" s="31"/>
      <c r="R182" s="31"/>
      <c r="S182" s="31"/>
      <c r="T182" s="31"/>
      <c r="U182" s="31" t="str">
        <f t="shared" si="44"/>
        <v/>
      </c>
      <c r="V182" s="31"/>
      <c r="W182" s="31" t="str">
        <f t="shared" si="45"/>
        <v/>
      </c>
      <c r="X182" s="31" t="str">
        <f t="shared" si="46"/>
        <v/>
      </c>
      <c r="Y182" s="79" t="str">
        <f t="shared" si="47"/>
        <v/>
      </c>
    </row>
    <row r="183" spans="1:25" x14ac:dyDescent="0.25">
      <c r="A183" s="78" t="str">
        <f>IF($C183="","",INDEX(Taxepunkter!$A:$A,$C183))</f>
        <v/>
      </c>
      <c r="B183" s="29"/>
      <c r="C183" s="29"/>
      <c r="D183" s="29" t="str">
        <f>IF($C183="","",_xludf.TEXTJOIN(" ",TRUE,INDEX(Taxepunkter!$C:$C,$C183),INDEX(Taxepunkter!$D:$D,$C183)))</f>
        <v/>
      </c>
      <c r="E183" s="29" t="str">
        <f t="shared" si="36"/>
        <v/>
      </c>
      <c r="F183" s="29" t="str">
        <f t="shared" si="37"/>
        <v/>
      </c>
      <c r="G183" s="30"/>
      <c r="H183" s="31" t="str">
        <f t="shared" si="38"/>
        <v/>
      </c>
      <c r="I183" s="31" t="str">
        <f>IF($C183="","",INDEX(Taxepunkter!$B:$B,$C183)&amp;" / "&amp;INDEX(Taxepunkter!$C:$C,$C183))</f>
        <v/>
      </c>
      <c r="J183" s="31" t="str">
        <f t="shared" si="39"/>
        <v/>
      </c>
      <c r="K183" s="31" t="str">
        <f>IF($C183="","",INDEX(Taxepunkter!$C:$C,$C183)&amp;IF(INDEX(Taxepunkter!$D:$D,$C183)="","",". "&amp;INDEX(Taxepunkter!$D:$D,$C183)))</f>
        <v/>
      </c>
      <c r="L183" s="31" t="str">
        <f t="shared" si="40"/>
        <v/>
      </c>
      <c r="M183" s="31" t="str">
        <f t="shared" si="41"/>
        <v/>
      </c>
      <c r="N183" s="31" t="str">
        <f t="shared" si="42"/>
        <v/>
      </c>
      <c r="O183" s="31" t="str">
        <f t="shared" si="43"/>
        <v/>
      </c>
      <c r="P183" s="31" t="str">
        <f>IF($C183="","",_xludf.TEXTJOIN(" ",TRUE,INDEX(Taxepunkter!$C:$C,$C183),INDEX(Taxepunkter!$D:$D,$C183)))</f>
        <v/>
      </c>
      <c r="Q183" s="31"/>
      <c r="R183" s="31"/>
      <c r="S183" s="31"/>
      <c r="T183" s="31"/>
      <c r="U183" s="31" t="str">
        <f t="shared" si="44"/>
        <v/>
      </c>
      <c r="V183" s="31"/>
      <c r="W183" s="31" t="str">
        <f t="shared" si="45"/>
        <v/>
      </c>
      <c r="X183" s="31" t="str">
        <f t="shared" si="46"/>
        <v/>
      </c>
      <c r="Y183" s="79" t="str">
        <f t="shared" si="47"/>
        <v/>
      </c>
    </row>
    <row r="184" spans="1:25" x14ac:dyDescent="0.25">
      <c r="A184" s="78" t="str">
        <f>IF($C184="","",INDEX(Taxepunkter!$A:$A,$C184))</f>
        <v/>
      </c>
      <c r="B184" s="29"/>
      <c r="C184" s="29"/>
      <c r="D184" s="29" t="str">
        <f>IF($C184="","",_xludf.TEXTJOIN(" ",TRUE,INDEX(Taxepunkter!$C:$C,$C184),INDEX(Taxepunkter!$D:$D,$C184)))</f>
        <v/>
      </c>
      <c r="E184" s="29" t="str">
        <f t="shared" si="36"/>
        <v/>
      </c>
      <c r="F184" s="29" t="str">
        <f t="shared" si="37"/>
        <v/>
      </c>
      <c r="G184" s="30"/>
      <c r="H184" s="31" t="str">
        <f t="shared" si="38"/>
        <v/>
      </c>
      <c r="I184" s="31" t="str">
        <f>IF($C184="","",INDEX(Taxepunkter!$B:$B,$C184)&amp;" / "&amp;INDEX(Taxepunkter!$C:$C,$C184))</f>
        <v/>
      </c>
      <c r="J184" s="31" t="str">
        <f t="shared" si="39"/>
        <v/>
      </c>
      <c r="K184" s="31" t="str">
        <f>IF($C184="","",INDEX(Taxepunkter!$C:$C,$C184)&amp;IF(INDEX(Taxepunkter!$D:$D,$C184)="","",". "&amp;INDEX(Taxepunkter!$D:$D,$C184)))</f>
        <v/>
      </c>
      <c r="L184" s="31" t="str">
        <f t="shared" si="40"/>
        <v/>
      </c>
      <c r="M184" s="31" t="str">
        <f t="shared" si="41"/>
        <v/>
      </c>
      <c r="N184" s="31" t="str">
        <f t="shared" si="42"/>
        <v/>
      </c>
      <c r="O184" s="31" t="str">
        <f t="shared" si="43"/>
        <v/>
      </c>
      <c r="P184" s="31" t="str">
        <f>IF($C184="","",_xludf.TEXTJOIN(" ",TRUE,INDEX(Taxepunkter!$C:$C,$C184),INDEX(Taxepunkter!$D:$D,$C184)))</f>
        <v/>
      </c>
      <c r="Q184" s="31"/>
      <c r="R184" s="31"/>
      <c r="S184" s="31"/>
      <c r="T184" s="31"/>
      <c r="U184" s="31" t="str">
        <f t="shared" si="44"/>
        <v/>
      </c>
      <c r="V184" s="31"/>
      <c r="W184" s="31" t="str">
        <f t="shared" si="45"/>
        <v/>
      </c>
      <c r="X184" s="31" t="str">
        <f t="shared" si="46"/>
        <v/>
      </c>
      <c r="Y184" s="79" t="str">
        <f t="shared" si="47"/>
        <v/>
      </c>
    </row>
    <row r="185" spans="1:25" x14ac:dyDescent="0.25">
      <c r="A185" s="78" t="str">
        <f>IF($C185="","",INDEX(Taxepunkter!$A:$A,$C185))</f>
        <v/>
      </c>
      <c r="B185" s="29"/>
      <c r="C185" s="29"/>
      <c r="D185" s="29" t="str">
        <f>IF($C185="","",_xludf.TEXTJOIN(" ",TRUE,INDEX(Taxepunkter!$C:$C,$C185),INDEX(Taxepunkter!$D:$D,$C185)))</f>
        <v/>
      </c>
      <c r="E185" s="29" t="str">
        <f t="shared" si="36"/>
        <v/>
      </c>
      <c r="F185" s="29" t="str">
        <f t="shared" si="37"/>
        <v/>
      </c>
      <c r="G185" s="30"/>
      <c r="H185" s="31" t="str">
        <f t="shared" si="38"/>
        <v/>
      </c>
      <c r="I185" s="31" t="str">
        <f>IF($C185="","",INDEX(Taxepunkter!$B:$B,$C185)&amp;" / "&amp;INDEX(Taxepunkter!$C:$C,$C185))</f>
        <v/>
      </c>
      <c r="J185" s="31" t="str">
        <f t="shared" si="39"/>
        <v/>
      </c>
      <c r="K185" s="31" t="str">
        <f>IF($C185="","",INDEX(Taxepunkter!$C:$C,$C185)&amp;IF(INDEX(Taxepunkter!$D:$D,$C185)="","",". "&amp;INDEX(Taxepunkter!$D:$D,$C185)))</f>
        <v/>
      </c>
      <c r="L185" s="31" t="str">
        <f t="shared" si="40"/>
        <v/>
      </c>
      <c r="M185" s="31" t="str">
        <f t="shared" si="41"/>
        <v/>
      </c>
      <c r="N185" s="31" t="str">
        <f t="shared" si="42"/>
        <v/>
      </c>
      <c r="O185" s="31" t="str">
        <f t="shared" si="43"/>
        <v/>
      </c>
      <c r="P185" s="31" t="str">
        <f>IF($C185="","",_xludf.TEXTJOIN(" ",TRUE,INDEX(Taxepunkter!$C:$C,$C185),INDEX(Taxepunkter!$D:$D,$C185)))</f>
        <v/>
      </c>
      <c r="Q185" s="31"/>
      <c r="R185" s="31"/>
      <c r="S185" s="31"/>
      <c r="T185" s="31"/>
      <c r="U185" s="31" t="str">
        <f t="shared" si="44"/>
        <v/>
      </c>
      <c r="V185" s="31"/>
      <c r="W185" s="31" t="str">
        <f t="shared" si="45"/>
        <v/>
      </c>
      <c r="X185" s="31" t="str">
        <f t="shared" si="46"/>
        <v/>
      </c>
      <c r="Y185" s="79" t="str">
        <f t="shared" si="47"/>
        <v/>
      </c>
    </row>
    <row r="186" spans="1:25" x14ac:dyDescent="0.25">
      <c r="A186" s="78" t="str">
        <f>IF($C186="","",INDEX(Taxepunkter!$A:$A,$C186))</f>
        <v/>
      </c>
      <c r="B186" s="29"/>
      <c r="C186" s="29"/>
      <c r="D186" s="29" t="str">
        <f>IF($C186="","",_xludf.TEXTJOIN(" ",TRUE,INDEX(Taxepunkter!$C:$C,$C186),INDEX(Taxepunkter!$D:$D,$C186)))</f>
        <v/>
      </c>
      <c r="E186" s="29" t="str">
        <f t="shared" si="36"/>
        <v/>
      </c>
      <c r="F186" s="29" t="str">
        <f t="shared" si="37"/>
        <v/>
      </c>
      <c r="G186" s="30"/>
      <c r="H186" s="31" t="str">
        <f t="shared" si="38"/>
        <v/>
      </c>
      <c r="I186" s="31" t="str">
        <f>IF($C186="","",INDEX(Taxepunkter!$B:$B,$C186)&amp;" / "&amp;INDEX(Taxepunkter!$C:$C,$C186))</f>
        <v/>
      </c>
      <c r="J186" s="31" t="str">
        <f t="shared" si="39"/>
        <v/>
      </c>
      <c r="K186" s="31" t="str">
        <f>IF($C186="","",INDEX(Taxepunkter!$C:$C,$C186)&amp;IF(INDEX(Taxepunkter!$D:$D,$C186)="","",". "&amp;INDEX(Taxepunkter!$D:$D,$C186)))</f>
        <v/>
      </c>
      <c r="L186" s="31" t="str">
        <f t="shared" si="40"/>
        <v/>
      </c>
      <c r="M186" s="31" t="str">
        <f t="shared" si="41"/>
        <v/>
      </c>
      <c r="N186" s="31" t="str">
        <f t="shared" si="42"/>
        <v/>
      </c>
      <c r="O186" s="31" t="str">
        <f t="shared" si="43"/>
        <v/>
      </c>
      <c r="P186" s="31" t="str">
        <f>IF($C186="","",_xludf.TEXTJOIN(" ",TRUE,INDEX(Taxepunkter!$C:$C,$C186),INDEX(Taxepunkter!$D:$D,$C186)))</f>
        <v/>
      </c>
      <c r="Q186" s="31"/>
      <c r="R186" s="31"/>
      <c r="S186" s="31"/>
      <c r="T186" s="31"/>
      <c r="U186" s="31" t="str">
        <f t="shared" si="44"/>
        <v/>
      </c>
      <c r="V186" s="31"/>
      <c r="W186" s="31" t="str">
        <f t="shared" si="45"/>
        <v/>
      </c>
      <c r="X186" s="31" t="str">
        <f t="shared" si="46"/>
        <v/>
      </c>
      <c r="Y186" s="79" t="str">
        <f t="shared" si="47"/>
        <v/>
      </c>
    </row>
    <row r="187" spans="1:25" x14ac:dyDescent="0.25">
      <c r="A187" s="78" t="str">
        <f>IF($C187="","",INDEX(Taxepunkter!$A:$A,$C187))</f>
        <v/>
      </c>
      <c r="B187" s="29"/>
      <c r="C187" s="29"/>
      <c r="D187" s="29" t="str">
        <f>IF($C187="","",_xludf.TEXTJOIN(" ",TRUE,INDEX(Taxepunkter!$C:$C,$C187),INDEX(Taxepunkter!$D:$D,$C187)))</f>
        <v/>
      </c>
      <c r="E187" s="29" t="str">
        <f t="shared" si="36"/>
        <v/>
      </c>
      <c r="F187" s="29" t="str">
        <f t="shared" si="37"/>
        <v/>
      </c>
      <c r="G187" s="30"/>
      <c r="H187" s="31" t="str">
        <f t="shared" si="38"/>
        <v/>
      </c>
      <c r="I187" s="31" t="str">
        <f>IF($C187="","",INDEX(Taxepunkter!$B:$B,$C187)&amp;" / "&amp;INDEX(Taxepunkter!$C:$C,$C187))</f>
        <v/>
      </c>
      <c r="J187" s="31" t="str">
        <f t="shared" si="39"/>
        <v/>
      </c>
      <c r="K187" s="31" t="str">
        <f>IF($C187="","",INDEX(Taxepunkter!$C:$C,$C187)&amp;IF(INDEX(Taxepunkter!$D:$D,$C187)="","",". "&amp;INDEX(Taxepunkter!$D:$D,$C187)))</f>
        <v/>
      </c>
      <c r="L187" s="31" t="str">
        <f t="shared" si="40"/>
        <v/>
      </c>
      <c r="M187" s="31" t="str">
        <f t="shared" si="41"/>
        <v/>
      </c>
      <c r="N187" s="31" t="str">
        <f t="shared" si="42"/>
        <v/>
      </c>
      <c r="O187" s="31" t="str">
        <f t="shared" si="43"/>
        <v/>
      </c>
      <c r="P187" s="31" t="str">
        <f>IF($C187="","",_xludf.TEXTJOIN(" ",TRUE,INDEX(Taxepunkter!$C:$C,$C187),INDEX(Taxepunkter!$D:$D,$C187)))</f>
        <v/>
      </c>
      <c r="Q187" s="31"/>
      <c r="R187" s="31"/>
      <c r="S187" s="31"/>
      <c r="T187" s="31"/>
      <c r="U187" s="31" t="str">
        <f t="shared" si="44"/>
        <v/>
      </c>
      <c r="V187" s="31"/>
      <c r="W187" s="31" t="str">
        <f t="shared" si="45"/>
        <v/>
      </c>
      <c r="X187" s="31" t="str">
        <f t="shared" si="46"/>
        <v/>
      </c>
      <c r="Y187" s="79" t="str">
        <f t="shared" si="47"/>
        <v/>
      </c>
    </row>
    <row r="188" spans="1:25" x14ac:dyDescent="0.25">
      <c r="A188" s="78" t="str">
        <f>IF($C188="","",INDEX(Taxepunkter!$A:$A,$C188))</f>
        <v/>
      </c>
      <c r="B188" s="29"/>
      <c r="C188" s="29"/>
      <c r="D188" s="29" t="str">
        <f>IF($C188="","",_xludf.TEXTJOIN(" ",TRUE,INDEX(Taxepunkter!$C:$C,$C188),INDEX(Taxepunkter!$D:$D,$C188)))</f>
        <v/>
      </c>
      <c r="E188" s="29" t="str">
        <f t="shared" si="36"/>
        <v/>
      </c>
      <c r="F188" s="29" t="str">
        <f t="shared" si="37"/>
        <v/>
      </c>
      <c r="G188" s="30"/>
      <c r="H188" s="31" t="str">
        <f t="shared" si="38"/>
        <v/>
      </c>
      <c r="I188" s="31" t="str">
        <f>IF($C188="","",INDEX(Taxepunkter!$B:$B,$C188)&amp;" / "&amp;INDEX(Taxepunkter!$C:$C,$C188))</f>
        <v/>
      </c>
      <c r="J188" s="31" t="str">
        <f t="shared" si="39"/>
        <v/>
      </c>
      <c r="K188" s="31" t="str">
        <f>IF($C188="","",INDEX(Taxepunkter!$C:$C,$C188)&amp;IF(INDEX(Taxepunkter!$D:$D,$C188)="","",". "&amp;INDEX(Taxepunkter!$D:$D,$C188)))</f>
        <v/>
      </c>
      <c r="L188" s="31" t="str">
        <f t="shared" si="40"/>
        <v/>
      </c>
      <c r="M188" s="31" t="str">
        <f t="shared" si="41"/>
        <v/>
      </c>
      <c r="N188" s="31" t="str">
        <f t="shared" si="42"/>
        <v/>
      </c>
      <c r="O188" s="31" t="str">
        <f t="shared" si="43"/>
        <v/>
      </c>
      <c r="P188" s="31" t="str">
        <f>IF($C188="","",_xludf.TEXTJOIN(" ",TRUE,INDEX(Taxepunkter!$C:$C,$C188),INDEX(Taxepunkter!$D:$D,$C188)))</f>
        <v/>
      </c>
      <c r="Q188" s="31"/>
      <c r="R188" s="31"/>
      <c r="S188" s="31"/>
      <c r="T188" s="31"/>
      <c r="U188" s="31" t="str">
        <f t="shared" si="44"/>
        <v/>
      </c>
      <c r="V188" s="31"/>
      <c r="W188" s="31" t="str">
        <f t="shared" si="45"/>
        <v/>
      </c>
      <c r="X188" s="31" t="str">
        <f t="shared" si="46"/>
        <v/>
      </c>
      <c r="Y188" s="79" t="str">
        <f t="shared" si="47"/>
        <v/>
      </c>
    </row>
    <row r="189" spans="1:25" x14ac:dyDescent="0.25">
      <c r="A189" s="78" t="str">
        <f>IF($C189="","",INDEX(Taxepunkter!$A:$A,$C189))</f>
        <v/>
      </c>
      <c r="B189" s="29"/>
      <c r="C189" s="29"/>
      <c r="D189" s="29" t="str">
        <f>IF($C189="","",_xludf.TEXTJOIN(" ",TRUE,INDEX(Taxepunkter!$C:$C,$C189),INDEX(Taxepunkter!$D:$D,$C189)))</f>
        <v/>
      </c>
      <c r="E189" s="29" t="str">
        <f t="shared" si="36"/>
        <v/>
      </c>
      <c r="F189" s="29" t="str">
        <f t="shared" si="37"/>
        <v/>
      </c>
      <c r="G189" s="30"/>
      <c r="H189" s="31" t="str">
        <f t="shared" si="38"/>
        <v/>
      </c>
      <c r="I189" s="31" t="str">
        <f>IF($C189="","",INDEX(Taxepunkter!$B:$B,$C189)&amp;" / "&amp;INDEX(Taxepunkter!$C:$C,$C189))</f>
        <v/>
      </c>
      <c r="J189" s="31" t="str">
        <f t="shared" si="39"/>
        <v/>
      </c>
      <c r="K189" s="31" t="str">
        <f>IF($C189="","",INDEX(Taxepunkter!$C:$C,$C189)&amp;IF(INDEX(Taxepunkter!$D:$D,$C189)="","",". "&amp;INDEX(Taxepunkter!$D:$D,$C189)))</f>
        <v/>
      </c>
      <c r="L189" s="31" t="str">
        <f t="shared" si="40"/>
        <v/>
      </c>
      <c r="M189" s="31" t="str">
        <f t="shared" si="41"/>
        <v/>
      </c>
      <c r="N189" s="31" t="str">
        <f t="shared" si="42"/>
        <v/>
      </c>
      <c r="O189" s="31" t="str">
        <f t="shared" si="43"/>
        <v/>
      </c>
      <c r="P189" s="31" t="str">
        <f>IF($C189="","",_xludf.TEXTJOIN(" ",TRUE,INDEX(Taxepunkter!$C:$C,$C189),INDEX(Taxepunkter!$D:$D,$C189)))</f>
        <v/>
      </c>
      <c r="Q189" s="31"/>
      <c r="R189" s="31"/>
      <c r="S189" s="31"/>
      <c r="T189" s="31"/>
      <c r="U189" s="31" t="str">
        <f t="shared" si="44"/>
        <v/>
      </c>
      <c r="V189" s="31"/>
      <c r="W189" s="31" t="str">
        <f t="shared" si="45"/>
        <v/>
      </c>
      <c r="X189" s="31" t="str">
        <f t="shared" si="46"/>
        <v/>
      </c>
      <c r="Y189" s="79" t="str">
        <f t="shared" si="47"/>
        <v/>
      </c>
    </row>
    <row r="190" spans="1:25" x14ac:dyDescent="0.25">
      <c r="A190" s="78" t="str">
        <f>IF($C190="","",INDEX(Taxepunkter!$A:$A,$C190))</f>
        <v/>
      </c>
      <c r="B190" s="29"/>
      <c r="C190" s="29"/>
      <c r="D190" s="29" t="str">
        <f>IF($C190="","",_xludf.TEXTJOIN(" ",TRUE,INDEX(Taxepunkter!$C:$C,$C190),INDEX(Taxepunkter!$D:$D,$C190)))</f>
        <v/>
      </c>
      <c r="E190" s="29" t="str">
        <f t="shared" si="36"/>
        <v/>
      </c>
      <c r="F190" s="29" t="str">
        <f t="shared" si="37"/>
        <v/>
      </c>
      <c r="G190" s="30"/>
      <c r="H190" s="31" t="str">
        <f t="shared" si="38"/>
        <v/>
      </c>
      <c r="I190" s="31" t="str">
        <f>IF($C190="","",INDEX(Taxepunkter!$B:$B,$C190)&amp;" / "&amp;INDEX(Taxepunkter!$C:$C,$C190))</f>
        <v/>
      </c>
      <c r="J190" s="31" t="str">
        <f t="shared" si="39"/>
        <v/>
      </c>
      <c r="K190" s="31" t="str">
        <f>IF($C190="","",INDEX(Taxepunkter!$C:$C,$C190)&amp;IF(INDEX(Taxepunkter!$D:$D,$C190)="","",". "&amp;INDEX(Taxepunkter!$D:$D,$C190)))</f>
        <v/>
      </c>
      <c r="L190" s="31" t="str">
        <f t="shared" si="40"/>
        <v/>
      </c>
      <c r="M190" s="31" t="str">
        <f t="shared" si="41"/>
        <v/>
      </c>
      <c r="N190" s="31" t="str">
        <f t="shared" si="42"/>
        <v/>
      </c>
      <c r="O190" s="31" t="str">
        <f t="shared" si="43"/>
        <v/>
      </c>
      <c r="P190" s="31" t="str">
        <f>IF($C190="","",_xludf.TEXTJOIN(" ",TRUE,INDEX(Taxepunkter!$C:$C,$C190),INDEX(Taxepunkter!$D:$D,$C190)))</f>
        <v/>
      </c>
      <c r="Q190" s="31"/>
      <c r="R190" s="31"/>
      <c r="S190" s="31"/>
      <c r="T190" s="31"/>
      <c r="U190" s="31" t="str">
        <f t="shared" si="44"/>
        <v/>
      </c>
      <c r="V190" s="31"/>
      <c r="W190" s="31" t="str">
        <f t="shared" si="45"/>
        <v/>
      </c>
      <c r="X190" s="31" t="str">
        <f t="shared" si="46"/>
        <v/>
      </c>
      <c r="Y190" s="79" t="str">
        <f t="shared" si="47"/>
        <v/>
      </c>
    </row>
    <row r="191" spans="1:25" x14ac:dyDescent="0.25">
      <c r="A191" s="78" t="str">
        <f>IF($C191="","",INDEX(Taxepunkter!$A:$A,$C191))</f>
        <v/>
      </c>
      <c r="B191" s="29"/>
      <c r="C191" s="29"/>
      <c r="D191" s="29" t="str">
        <f>IF($C191="","",_xludf.TEXTJOIN(" ",TRUE,INDEX(Taxepunkter!$C:$C,$C191),INDEX(Taxepunkter!$D:$D,$C191)))</f>
        <v/>
      </c>
      <c r="E191" s="29" t="str">
        <f t="shared" si="36"/>
        <v/>
      </c>
      <c r="F191" s="29" t="str">
        <f t="shared" si="37"/>
        <v/>
      </c>
      <c r="G191" s="30"/>
      <c r="H191" s="31" t="str">
        <f t="shared" si="38"/>
        <v/>
      </c>
      <c r="I191" s="31" t="str">
        <f>IF($C191="","",INDEX(Taxepunkter!$B:$B,$C191)&amp;" / "&amp;INDEX(Taxepunkter!$C:$C,$C191))</f>
        <v/>
      </c>
      <c r="J191" s="31" t="str">
        <f t="shared" si="39"/>
        <v/>
      </c>
      <c r="K191" s="31" t="str">
        <f>IF($C191="","",INDEX(Taxepunkter!$C:$C,$C191)&amp;IF(INDEX(Taxepunkter!$D:$D,$C191)="","",". "&amp;INDEX(Taxepunkter!$D:$D,$C191)))</f>
        <v/>
      </c>
      <c r="L191" s="31" t="str">
        <f t="shared" si="40"/>
        <v/>
      </c>
      <c r="M191" s="31" t="str">
        <f t="shared" si="41"/>
        <v/>
      </c>
      <c r="N191" s="31" t="str">
        <f t="shared" si="42"/>
        <v/>
      </c>
      <c r="O191" s="31" t="str">
        <f t="shared" si="43"/>
        <v/>
      </c>
      <c r="P191" s="31" t="str">
        <f>IF($C191="","",_xludf.TEXTJOIN(" ",TRUE,INDEX(Taxepunkter!$C:$C,$C191),INDEX(Taxepunkter!$D:$D,$C191)))</f>
        <v/>
      </c>
      <c r="Q191" s="31"/>
      <c r="R191" s="31"/>
      <c r="S191" s="31"/>
      <c r="T191" s="31"/>
      <c r="U191" s="31" t="str">
        <f t="shared" si="44"/>
        <v/>
      </c>
      <c r="V191" s="31"/>
      <c r="W191" s="31" t="str">
        <f t="shared" si="45"/>
        <v/>
      </c>
      <c r="X191" s="31" t="str">
        <f t="shared" si="46"/>
        <v/>
      </c>
      <c r="Y191" s="79" t="str">
        <f t="shared" si="47"/>
        <v/>
      </c>
    </row>
    <row r="192" spans="1:25" x14ac:dyDescent="0.25">
      <c r="A192" s="78" t="str">
        <f>IF($C192="","",INDEX(Taxepunkter!$A:$A,$C192))</f>
        <v/>
      </c>
      <c r="B192" s="29"/>
      <c r="C192" s="29"/>
      <c r="D192" s="29" t="str">
        <f>IF($C192="","",_xludf.TEXTJOIN(" ",TRUE,INDEX(Taxepunkter!$C:$C,$C192),INDEX(Taxepunkter!$D:$D,$C192)))</f>
        <v/>
      </c>
      <c r="E192" s="29" t="str">
        <f t="shared" si="36"/>
        <v/>
      </c>
      <c r="F192" s="29" t="str">
        <f t="shared" si="37"/>
        <v/>
      </c>
      <c r="G192" s="30"/>
      <c r="H192" s="31" t="str">
        <f t="shared" si="38"/>
        <v/>
      </c>
      <c r="I192" s="31" t="str">
        <f>IF($C192="","",INDEX(Taxepunkter!$B:$B,$C192)&amp;" / "&amp;INDEX(Taxepunkter!$C:$C,$C192))</f>
        <v/>
      </c>
      <c r="J192" s="31" t="str">
        <f t="shared" si="39"/>
        <v/>
      </c>
      <c r="K192" s="31" t="str">
        <f>IF($C192="","",INDEX(Taxepunkter!$C:$C,$C192)&amp;IF(INDEX(Taxepunkter!$D:$D,$C192)="","",". "&amp;INDEX(Taxepunkter!$D:$D,$C192)))</f>
        <v/>
      </c>
      <c r="L192" s="31" t="str">
        <f t="shared" si="40"/>
        <v/>
      </c>
      <c r="M192" s="31" t="str">
        <f t="shared" si="41"/>
        <v/>
      </c>
      <c r="N192" s="31" t="str">
        <f t="shared" si="42"/>
        <v/>
      </c>
      <c r="O192" s="31" t="str">
        <f t="shared" si="43"/>
        <v/>
      </c>
      <c r="P192" s="31" t="str">
        <f>IF($C192="","",_xludf.TEXTJOIN(" ",TRUE,INDEX(Taxepunkter!$C:$C,$C192),INDEX(Taxepunkter!$D:$D,$C192)))</f>
        <v/>
      </c>
      <c r="Q192" s="31"/>
      <c r="R192" s="31"/>
      <c r="S192" s="31"/>
      <c r="T192" s="31"/>
      <c r="U192" s="31" t="str">
        <f t="shared" si="44"/>
        <v/>
      </c>
      <c r="V192" s="31"/>
      <c r="W192" s="31" t="str">
        <f t="shared" si="45"/>
        <v/>
      </c>
      <c r="X192" s="31" t="str">
        <f t="shared" si="46"/>
        <v/>
      </c>
      <c r="Y192" s="79" t="str">
        <f t="shared" si="47"/>
        <v/>
      </c>
    </row>
    <row r="193" spans="1:25" x14ac:dyDescent="0.25">
      <c r="A193" s="78" t="str">
        <f>IF($C193="","",INDEX(Taxepunkter!$A:$A,$C193))</f>
        <v/>
      </c>
      <c r="B193" s="29"/>
      <c r="C193" s="29"/>
      <c r="D193" s="29" t="str">
        <f>IF($C193="","",_xludf.TEXTJOIN(" ",TRUE,INDEX(Taxepunkter!$C:$C,$C193),INDEX(Taxepunkter!$D:$D,$C193)))</f>
        <v/>
      </c>
      <c r="E193" s="29" t="str">
        <f t="shared" si="36"/>
        <v/>
      </c>
      <c r="F193" s="29" t="str">
        <f t="shared" si="37"/>
        <v/>
      </c>
      <c r="G193" s="30"/>
      <c r="H193" s="31" t="str">
        <f t="shared" si="38"/>
        <v/>
      </c>
      <c r="I193" s="31" t="str">
        <f>IF($C193="","",INDEX(Taxepunkter!$B:$B,$C193)&amp;" / "&amp;INDEX(Taxepunkter!$C:$C,$C193))</f>
        <v/>
      </c>
      <c r="J193" s="31" t="str">
        <f t="shared" si="39"/>
        <v/>
      </c>
      <c r="K193" s="31" t="str">
        <f>IF($C193="","",INDEX(Taxepunkter!$C:$C,$C193)&amp;IF(INDEX(Taxepunkter!$D:$D,$C193)="","",". "&amp;INDEX(Taxepunkter!$D:$D,$C193)))</f>
        <v/>
      </c>
      <c r="L193" s="31" t="str">
        <f t="shared" si="40"/>
        <v/>
      </c>
      <c r="M193" s="31" t="str">
        <f t="shared" si="41"/>
        <v/>
      </c>
      <c r="N193" s="31" t="str">
        <f t="shared" si="42"/>
        <v/>
      </c>
      <c r="O193" s="31" t="str">
        <f t="shared" si="43"/>
        <v/>
      </c>
      <c r="P193" s="31" t="str">
        <f>IF($C193="","",_xludf.TEXTJOIN(" ",TRUE,INDEX(Taxepunkter!$C:$C,$C193),INDEX(Taxepunkter!$D:$D,$C193)))</f>
        <v/>
      </c>
      <c r="Q193" s="31"/>
      <c r="R193" s="31"/>
      <c r="S193" s="31"/>
      <c r="T193" s="31"/>
      <c r="U193" s="31" t="str">
        <f t="shared" si="44"/>
        <v/>
      </c>
      <c r="V193" s="31"/>
      <c r="W193" s="31" t="str">
        <f t="shared" si="45"/>
        <v/>
      </c>
      <c r="X193" s="31" t="str">
        <f t="shared" si="46"/>
        <v/>
      </c>
      <c r="Y193" s="79" t="str">
        <f t="shared" si="47"/>
        <v/>
      </c>
    </row>
    <row r="194" spans="1:25" x14ac:dyDescent="0.25">
      <c r="A194" s="78" t="str">
        <f>IF($C194="","",INDEX(Taxepunkter!$A:$A,$C194))</f>
        <v/>
      </c>
      <c r="B194" s="29"/>
      <c r="C194" s="29"/>
      <c r="D194" s="29" t="str">
        <f>IF($C194="","",_xludf.TEXTJOIN(" ",TRUE,INDEX(Taxepunkter!$C:$C,$C194),INDEX(Taxepunkter!$D:$D,$C194)))</f>
        <v/>
      </c>
      <c r="E194" s="29" t="str">
        <f t="shared" si="36"/>
        <v/>
      </c>
      <c r="F194" s="29" t="str">
        <f t="shared" si="37"/>
        <v/>
      </c>
      <c r="G194" s="30"/>
      <c r="H194" s="31" t="str">
        <f t="shared" si="38"/>
        <v/>
      </c>
      <c r="I194" s="31" t="str">
        <f>IF($C194="","",INDEX(Taxepunkter!$B:$B,$C194)&amp;" / "&amp;INDEX(Taxepunkter!$C:$C,$C194))</f>
        <v/>
      </c>
      <c r="J194" s="31" t="str">
        <f t="shared" si="39"/>
        <v/>
      </c>
      <c r="K194" s="31" t="str">
        <f>IF($C194="","",INDEX(Taxepunkter!$C:$C,$C194)&amp;IF(INDEX(Taxepunkter!$D:$D,$C194)="","",". "&amp;INDEX(Taxepunkter!$D:$D,$C194)))</f>
        <v/>
      </c>
      <c r="L194" s="31" t="str">
        <f t="shared" si="40"/>
        <v/>
      </c>
      <c r="M194" s="31" t="str">
        <f t="shared" si="41"/>
        <v/>
      </c>
      <c r="N194" s="31" t="str">
        <f t="shared" si="42"/>
        <v/>
      </c>
      <c r="O194" s="31" t="str">
        <f t="shared" si="43"/>
        <v/>
      </c>
      <c r="P194" s="31" t="str">
        <f>IF($C194="","",_xludf.TEXTJOIN(" ",TRUE,INDEX(Taxepunkter!$C:$C,$C194),INDEX(Taxepunkter!$D:$D,$C194)))</f>
        <v/>
      </c>
      <c r="Q194" s="31"/>
      <c r="R194" s="31"/>
      <c r="S194" s="31"/>
      <c r="T194" s="31"/>
      <c r="U194" s="31" t="str">
        <f t="shared" si="44"/>
        <v/>
      </c>
      <c r="V194" s="31"/>
      <c r="W194" s="31" t="str">
        <f t="shared" si="45"/>
        <v/>
      </c>
      <c r="X194" s="31" t="str">
        <f t="shared" si="46"/>
        <v/>
      </c>
      <c r="Y194" s="79" t="str">
        <f t="shared" si="47"/>
        <v/>
      </c>
    </row>
    <row r="195" spans="1:25" x14ac:dyDescent="0.25">
      <c r="A195" s="78" t="str">
        <f>IF($C195="","",INDEX(Taxepunkter!$A:$A,$C195))</f>
        <v/>
      </c>
      <c r="B195" s="29"/>
      <c r="C195" s="29"/>
      <c r="D195" s="29" t="str">
        <f>IF($C195="","",_xludf.TEXTJOIN(" ",TRUE,INDEX(Taxepunkter!$C:$C,$C195),INDEX(Taxepunkter!$D:$D,$C195)))</f>
        <v/>
      </c>
      <c r="E195" s="29" t="str">
        <f t="shared" si="36"/>
        <v/>
      </c>
      <c r="F195" s="29" t="str">
        <f t="shared" si="37"/>
        <v/>
      </c>
      <c r="G195" s="30"/>
      <c r="H195" s="31" t="str">
        <f t="shared" si="38"/>
        <v/>
      </c>
      <c r="I195" s="31" t="str">
        <f>IF($C195="","",INDEX(Taxepunkter!$B:$B,$C195)&amp;" / "&amp;INDEX(Taxepunkter!$C:$C,$C195))</f>
        <v/>
      </c>
      <c r="J195" s="31" t="str">
        <f t="shared" si="39"/>
        <v/>
      </c>
      <c r="K195" s="31" t="str">
        <f>IF($C195="","",INDEX(Taxepunkter!$C:$C,$C195)&amp;IF(INDEX(Taxepunkter!$D:$D,$C195)="","",". "&amp;INDEX(Taxepunkter!$D:$D,$C195)))</f>
        <v/>
      </c>
      <c r="L195" s="31" t="str">
        <f t="shared" si="40"/>
        <v/>
      </c>
      <c r="M195" s="31" t="str">
        <f t="shared" si="41"/>
        <v/>
      </c>
      <c r="N195" s="31" t="str">
        <f t="shared" si="42"/>
        <v/>
      </c>
      <c r="O195" s="31" t="str">
        <f t="shared" si="43"/>
        <v/>
      </c>
      <c r="P195" s="31" t="str">
        <f>IF($C195="","",_xludf.TEXTJOIN(" ",TRUE,INDEX(Taxepunkter!$C:$C,$C195),INDEX(Taxepunkter!$D:$D,$C195)))</f>
        <v/>
      </c>
      <c r="Q195" s="31"/>
      <c r="R195" s="31"/>
      <c r="S195" s="31"/>
      <c r="T195" s="31"/>
      <c r="U195" s="31" t="str">
        <f t="shared" si="44"/>
        <v/>
      </c>
      <c r="V195" s="31"/>
      <c r="W195" s="31" t="str">
        <f t="shared" si="45"/>
        <v/>
      </c>
      <c r="X195" s="31" t="str">
        <f t="shared" si="46"/>
        <v/>
      </c>
      <c r="Y195" s="79" t="str">
        <f t="shared" si="47"/>
        <v/>
      </c>
    </row>
    <row r="196" spans="1:25" x14ac:dyDescent="0.25">
      <c r="A196" s="78" t="str">
        <f>IF($C196="","",INDEX(Taxepunkter!$A:$A,$C196))</f>
        <v/>
      </c>
      <c r="B196" s="29"/>
      <c r="C196" s="29"/>
      <c r="D196" s="29" t="str">
        <f>IF($C196="","",_xludf.TEXTJOIN(" ",TRUE,INDEX(Taxepunkter!$C:$C,$C196),INDEX(Taxepunkter!$D:$D,$C196)))</f>
        <v/>
      </c>
      <c r="E196" s="29" t="str">
        <f t="shared" si="36"/>
        <v/>
      </c>
      <c r="F196" s="29" t="str">
        <f t="shared" si="37"/>
        <v/>
      </c>
      <c r="G196" s="30"/>
      <c r="H196" s="31" t="str">
        <f t="shared" si="38"/>
        <v/>
      </c>
      <c r="I196" s="31" t="str">
        <f>IF($C196="","",INDEX(Taxepunkter!$B:$B,$C196)&amp;" / "&amp;INDEX(Taxepunkter!$C:$C,$C196))</f>
        <v/>
      </c>
      <c r="J196" s="31" t="str">
        <f t="shared" si="39"/>
        <v/>
      </c>
      <c r="K196" s="31" t="str">
        <f>IF($C196="","",INDEX(Taxepunkter!$C:$C,$C196)&amp;IF(INDEX(Taxepunkter!$D:$D,$C196)="","",". "&amp;INDEX(Taxepunkter!$D:$D,$C196)))</f>
        <v/>
      </c>
      <c r="L196" s="31" t="str">
        <f t="shared" si="40"/>
        <v/>
      </c>
      <c r="M196" s="31" t="str">
        <f t="shared" si="41"/>
        <v/>
      </c>
      <c r="N196" s="31" t="str">
        <f t="shared" si="42"/>
        <v/>
      </c>
      <c r="O196" s="31" t="str">
        <f t="shared" si="43"/>
        <v/>
      </c>
      <c r="P196" s="31" t="str">
        <f>IF($C196="","",_xludf.TEXTJOIN(" ",TRUE,INDEX(Taxepunkter!$C:$C,$C196),INDEX(Taxepunkter!$D:$D,$C196)))</f>
        <v/>
      </c>
      <c r="Q196" s="31"/>
      <c r="R196" s="31"/>
      <c r="S196" s="31"/>
      <c r="T196" s="31"/>
      <c r="U196" s="31" t="str">
        <f t="shared" si="44"/>
        <v/>
      </c>
      <c r="V196" s="31"/>
      <c r="W196" s="31" t="str">
        <f t="shared" si="45"/>
        <v/>
      </c>
      <c r="X196" s="31" t="str">
        <f t="shared" si="46"/>
        <v/>
      </c>
      <c r="Y196" s="79" t="str">
        <f t="shared" si="47"/>
        <v/>
      </c>
    </row>
    <row r="197" spans="1:25" x14ac:dyDescent="0.25">
      <c r="A197" s="78" t="str">
        <f>IF($C197="","",INDEX(Taxepunkter!$A:$A,$C197))</f>
        <v/>
      </c>
      <c r="B197" s="29"/>
      <c r="C197" s="29"/>
      <c r="D197" s="29" t="str">
        <f>IF($C197="","",_xludf.TEXTJOIN(" ",TRUE,INDEX(Taxepunkter!$C:$C,$C197),INDEX(Taxepunkter!$D:$D,$C197)))</f>
        <v/>
      </c>
      <c r="E197" s="29" t="str">
        <f t="shared" si="36"/>
        <v/>
      </c>
      <c r="F197" s="29" t="str">
        <f t="shared" si="37"/>
        <v/>
      </c>
      <c r="G197" s="30"/>
      <c r="H197" s="31" t="str">
        <f t="shared" si="38"/>
        <v/>
      </c>
      <c r="I197" s="31" t="str">
        <f>IF($C197="","",INDEX(Taxepunkter!$B:$B,$C197)&amp;" / "&amp;INDEX(Taxepunkter!$C:$C,$C197))</f>
        <v/>
      </c>
      <c r="J197" s="31" t="str">
        <f t="shared" si="39"/>
        <v/>
      </c>
      <c r="K197" s="31" t="str">
        <f>IF($C197="","",INDEX(Taxepunkter!$C:$C,$C197)&amp;IF(INDEX(Taxepunkter!$D:$D,$C197)="","",". "&amp;INDEX(Taxepunkter!$D:$D,$C197)))</f>
        <v/>
      </c>
      <c r="L197" s="31" t="str">
        <f t="shared" si="40"/>
        <v/>
      </c>
      <c r="M197" s="31" t="str">
        <f t="shared" si="41"/>
        <v/>
      </c>
      <c r="N197" s="31" t="str">
        <f t="shared" si="42"/>
        <v/>
      </c>
      <c r="O197" s="31" t="str">
        <f t="shared" si="43"/>
        <v/>
      </c>
      <c r="P197" s="31" t="str">
        <f>IF($C197="","",_xludf.TEXTJOIN(" ",TRUE,INDEX(Taxepunkter!$C:$C,$C197),INDEX(Taxepunkter!$D:$D,$C197)))</f>
        <v/>
      </c>
      <c r="Q197" s="31"/>
      <c r="R197" s="31"/>
      <c r="S197" s="31"/>
      <c r="T197" s="31"/>
      <c r="U197" s="31" t="str">
        <f t="shared" si="44"/>
        <v/>
      </c>
      <c r="V197" s="31"/>
      <c r="W197" s="31" t="str">
        <f t="shared" si="45"/>
        <v/>
      </c>
      <c r="X197" s="31" t="str">
        <f t="shared" si="46"/>
        <v/>
      </c>
      <c r="Y197" s="79" t="str">
        <f t="shared" si="47"/>
        <v/>
      </c>
    </row>
    <row r="198" spans="1:25" x14ac:dyDescent="0.25">
      <c r="A198" s="78" t="str">
        <f>IF($C198="","",INDEX(Taxepunkter!$A:$A,$C198))</f>
        <v/>
      </c>
      <c r="B198" s="29"/>
      <c r="C198" s="29"/>
      <c r="D198" s="29" t="str">
        <f>IF($C198="","",_xludf.TEXTJOIN(" ",TRUE,INDEX(Taxepunkter!$C:$C,$C198),INDEX(Taxepunkter!$D:$D,$C198)))</f>
        <v/>
      </c>
      <c r="E198" s="29" t="str">
        <f t="shared" si="36"/>
        <v/>
      </c>
      <c r="F198" s="29" t="str">
        <f t="shared" si="37"/>
        <v/>
      </c>
      <c r="G198" s="30"/>
      <c r="H198" s="31" t="str">
        <f t="shared" si="38"/>
        <v/>
      </c>
      <c r="I198" s="31" t="str">
        <f>IF($C198="","",INDEX(Taxepunkter!$B:$B,$C198)&amp;" / "&amp;INDEX(Taxepunkter!$C:$C,$C198))</f>
        <v/>
      </c>
      <c r="J198" s="31" t="str">
        <f t="shared" si="39"/>
        <v/>
      </c>
      <c r="K198" s="31" t="str">
        <f>IF($C198="","",INDEX(Taxepunkter!$C:$C,$C198)&amp;IF(INDEX(Taxepunkter!$D:$D,$C198)="","",". "&amp;INDEX(Taxepunkter!$D:$D,$C198)))</f>
        <v/>
      </c>
      <c r="L198" s="31" t="str">
        <f t="shared" si="40"/>
        <v/>
      </c>
      <c r="M198" s="31" t="str">
        <f t="shared" si="41"/>
        <v/>
      </c>
      <c r="N198" s="31" t="str">
        <f t="shared" si="42"/>
        <v/>
      </c>
      <c r="O198" s="31" t="str">
        <f t="shared" si="43"/>
        <v/>
      </c>
      <c r="P198" s="31" t="str">
        <f>IF($C198="","",_xludf.TEXTJOIN(" ",TRUE,INDEX(Taxepunkter!$C:$C,$C198),INDEX(Taxepunkter!$D:$D,$C198)))</f>
        <v/>
      </c>
      <c r="Q198" s="31"/>
      <c r="R198" s="31"/>
      <c r="S198" s="31"/>
      <c r="T198" s="31"/>
      <c r="U198" s="31" t="str">
        <f t="shared" si="44"/>
        <v/>
      </c>
      <c r="V198" s="31"/>
      <c r="W198" s="31" t="str">
        <f t="shared" si="45"/>
        <v/>
      </c>
      <c r="X198" s="31" t="str">
        <f t="shared" si="46"/>
        <v/>
      </c>
      <c r="Y198" s="79" t="str">
        <f t="shared" si="47"/>
        <v/>
      </c>
    </row>
    <row r="199" spans="1:25" x14ac:dyDescent="0.25">
      <c r="A199" s="78" t="str">
        <f>IF($C199="","",INDEX(Taxepunkter!$A:$A,$C199))</f>
        <v/>
      </c>
      <c r="B199" s="29"/>
      <c r="C199" s="29"/>
      <c r="D199" s="29" t="str">
        <f>IF($C199="","",_xludf.TEXTJOIN(" ",TRUE,INDEX(Taxepunkter!$C:$C,$C199),INDEX(Taxepunkter!$D:$D,$C199)))</f>
        <v/>
      </c>
      <c r="E199" s="29" t="str">
        <f t="shared" si="36"/>
        <v/>
      </c>
      <c r="F199" s="29" t="str">
        <f t="shared" si="37"/>
        <v/>
      </c>
      <c r="G199" s="30"/>
      <c r="H199" s="31" t="str">
        <f t="shared" si="38"/>
        <v/>
      </c>
      <c r="I199" s="31" t="str">
        <f>IF($C199="","",INDEX(Taxepunkter!$B:$B,$C199)&amp;" / "&amp;INDEX(Taxepunkter!$C:$C,$C199))</f>
        <v/>
      </c>
      <c r="J199" s="31" t="str">
        <f t="shared" si="39"/>
        <v/>
      </c>
      <c r="K199" s="31" t="str">
        <f>IF($C199="","",INDEX(Taxepunkter!$C:$C,$C199)&amp;IF(INDEX(Taxepunkter!$D:$D,$C199)="","",". "&amp;INDEX(Taxepunkter!$D:$D,$C199)))</f>
        <v/>
      </c>
      <c r="L199" s="31" t="str">
        <f t="shared" si="40"/>
        <v/>
      </c>
      <c r="M199" s="31" t="str">
        <f t="shared" si="41"/>
        <v/>
      </c>
      <c r="N199" s="31" t="str">
        <f t="shared" si="42"/>
        <v/>
      </c>
      <c r="O199" s="31" t="str">
        <f t="shared" si="43"/>
        <v/>
      </c>
      <c r="P199" s="31" t="str">
        <f>IF($C199="","",_xludf.TEXTJOIN(" ",TRUE,INDEX(Taxepunkter!$C:$C,$C199),INDEX(Taxepunkter!$D:$D,$C199)))</f>
        <v/>
      </c>
      <c r="Q199" s="31"/>
      <c r="R199" s="31"/>
      <c r="S199" s="31"/>
      <c r="T199" s="31"/>
      <c r="U199" s="31" t="str">
        <f t="shared" si="44"/>
        <v/>
      </c>
      <c r="V199" s="31"/>
      <c r="W199" s="31" t="str">
        <f t="shared" si="45"/>
        <v/>
      </c>
      <c r="X199" s="31" t="str">
        <f t="shared" si="46"/>
        <v/>
      </c>
      <c r="Y199" s="79" t="str">
        <f t="shared" si="47"/>
        <v/>
      </c>
    </row>
    <row r="200" spans="1:25" x14ac:dyDescent="0.25">
      <c r="A200" s="80" t="str">
        <f>IF($C200="","",INDEX(Taxepunkter!$A:$A,$C200))</f>
        <v/>
      </c>
      <c r="B200" s="81"/>
      <c r="C200" s="81"/>
      <c r="D200" s="81" t="str">
        <f>IF($C200="","",_xludf.TEXTJOIN(" ",TRUE,INDEX(Taxepunkter!$C:$C,$C200),INDEX(Taxepunkter!$D:$D,$C200)))</f>
        <v/>
      </c>
      <c r="E200" s="81" t="str">
        <f t="shared" si="36"/>
        <v/>
      </c>
      <c r="F200" s="81" t="str">
        <f t="shared" si="37"/>
        <v/>
      </c>
      <c r="G200" s="82"/>
      <c r="H200" s="83" t="str">
        <f t="shared" si="38"/>
        <v/>
      </c>
      <c r="I200" s="83" t="str">
        <f>IF($C200="","",INDEX(Taxepunkter!$B:$B,$C200)&amp;" / "&amp;INDEX(Taxepunkter!$C:$C,$C200))</f>
        <v/>
      </c>
      <c r="J200" s="83" t="str">
        <f t="shared" si="39"/>
        <v/>
      </c>
      <c r="K200" s="83" t="str">
        <f>IF($C200="","",INDEX(Taxepunkter!$C:$C,$C200)&amp;IF(INDEX(Taxepunkter!$D:$D,$C200)="","",". "&amp;INDEX(Taxepunkter!$D:$D,$C200)))</f>
        <v/>
      </c>
      <c r="L200" s="83" t="str">
        <f t="shared" si="40"/>
        <v/>
      </c>
      <c r="M200" s="83" t="str">
        <f t="shared" si="41"/>
        <v/>
      </c>
      <c r="N200" s="83" t="str">
        <f t="shared" si="42"/>
        <v/>
      </c>
      <c r="O200" s="83" t="str">
        <f t="shared" si="43"/>
        <v/>
      </c>
      <c r="P200" s="83" t="str">
        <f>IF($C200="","",_xludf.TEXTJOIN(" ",TRUE,INDEX(Taxepunkter!$C:$C,$C200),INDEX(Taxepunkter!$D:$D,$C200)))</f>
        <v/>
      </c>
      <c r="Q200" s="83"/>
      <c r="R200" s="83"/>
      <c r="S200" s="83"/>
      <c r="T200" s="83"/>
      <c r="U200" s="83" t="str">
        <f t="shared" si="44"/>
        <v/>
      </c>
      <c r="V200" s="83"/>
      <c r="W200" s="83" t="str">
        <f t="shared" si="45"/>
        <v/>
      </c>
      <c r="X200" s="83" t="str">
        <f t="shared" si="46"/>
        <v/>
      </c>
      <c r="Y200" s="84" t="str">
        <f t="shared" si="47"/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6"/>
  <sheetViews>
    <sheetView workbookViewId="0"/>
  </sheetViews>
  <sheetFormatPr defaultRowHeight="15" x14ac:dyDescent="0.25"/>
  <cols>
    <col min="1" max="8" width="24" customWidth="1"/>
  </cols>
  <sheetData>
    <row r="1" spans="1:8" x14ac:dyDescent="0.25">
      <c r="A1" s="114" t="s">
        <v>1393</v>
      </c>
      <c r="B1" s="115" t="s">
        <v>9</v>
      </c>
      <c r="C1" s="115" t="s">
        <v>1248</v>
      </c>
      <c r="D1" s="115" t="s">
        <v>1247</v>
      </c>
      <c r="E1" s="115" t="s">
        <v>11</v>
      </c>
      <c r="F1" s="115" t="s">
        <v>12</v>
      </c>
      <c r="G1" s="115" t="s">
        <v>1394</v>
      </c>
      <c r="H1" s="116" t="s">
        <v>1395</v>
      </c>
    </row>
    <row r="2" spans="1:8" ht="30" x14ac:dyDescent="0.25">
      <c r="A2" s="54" t="s">
        <v>1396</v>
      </c>
      <c r="B2" s="53" t="s">
        <v>46</v>
      </c>
      <c r="C2" s="53">
        <v>19</v>
      </c>
      <c r="D2" s="53">
        <v>11</v>
      </c>
      <c r="E2" s="53" t="s">
        <v>48</v>
      </c>
      <c r="F2" s="53" t="s">
        <v>51</v>
      </c>
      <c r="G2" s="53"/>
      <c r="H2" s="86" t="s">
        <v>1397</v>
      </c>
    </row>
    <row r="3" spans="1:8" ht="30" x14ac:dyDescent="0.25">
      <c r="A3" s="54" t="s">
        <v>1396</v>
      </c>
      <c r="B3" s="53" t="s">
        <v>81</v>
      </c>
      <c r="C3" s="53">
        <v>58</v>
      </c>
      <c r="D3" s="53">
        <v>44</v>
      </c>
      <c r="E3" s="53" t="s">
        <v>111</v>
      </c>
      <c r="F3" s="53" t="s">
        <v>83</v>
      </c>
      <c r="G3" s="53"/>
      <c r="H3" s="86" t="s">
        <v>1398</v>
      </c>
    </row>
    <row r="4" spans="1:8" ht="30" x14ac:dyDescent="0.25">
      <c r="A4" s="54" t="s">
        <v>1396</v>
      </c>
      <c r="B4" s="53" t="s">
        <v>130</v>
      </c>
      <c r="C4" s="53">
        <v>72</v>
      </c>
      <c r="D4" s="53">
        <v>56</v>
      </c>
      <c r="E4" s="53" t="s">
        <v>87</v>
      </c>
      <c r="F4" s="53" t="s">
        <v>83</v>
      </c>
      <c r="G4" s="53"/>
      <c r="H4" s="86" t="s">
        <v>1397</v>
      </c>
    </row>
    <row r="5" spans="1:8" ht="30" x14ac:dyDescent="0.25">
      <c r="A5" s="54" t="s">
        <v>1396</v>
      </c>
      <c r="B5" s="53" t="s">
        <v>130</v>
      </c>
      <c r="C5" s="53">
        <v>76</v>
      </c>
      <c r="D5" s="53">
        <v>60</v>
      </c>
      <c r="E5" s="53" t="s">
        <v>91</v>
      </c>
      <c r="F5" s="53" t="s">
        <v>49</v>
      </c>
      <c r="G5" s="53"/>
      <c r="H5" s="86" t="s">
        <v>1397</v>
      </c>
    </row>
    <row r="6" spans="1:8" ht="30" x14ac:dyDescent="0.25">
      <c r="A6" s="54" t="s">
        <v>1396</v>
      </c>
      <c r="B6" s="53" t="s">
        <v>130</v>
      </c>
      <c r="C6" s="53">
        <v>79</v>
      </c>
      <c r="D6" s="53">
        <v>63</v>
      </c>
      <c r="E6" s="53" t="s">
        <v>95</v>
      </c>
      <c r="F6" s="53" t="s">
        <v>49</v>
      </c>
      <c r="G6" s="53"/>
      <c r="H6" s="86" t="s">
        <v>1397</v>
      </c>
    </row>
    <row r="7" spans="1:8" ht="30" x14ac:dyDescent="0.25">
      <c r="A7" s="54" t="s">
        <v>1396</v>
      </c>
      <c r="B7" s="53" t="s">
        <v>130</v>
      </c>
      <c r="C7" s="53">
        <v>82</v>
      </c>
      <c r="D7" s="53">
        <v>66</v>
      </c>
      <c r="E7" s="53" t="s">
        <v>132</v>
      </c>
      <c r="F7" s="53" t="s">
        <v>120</v>
      </c>
      <c r="G7" s="53"/>
      <c r="H7" s="86" t="s">
        <v>1399</v>
      </c>
    </row>
    <row r="8" spans="1:8" ht="45" x14ac:dyDescent="0.25">
      <c r="A8" s="54" t="s">
        <v>1396</v>
      </c>
      <c r="B8" s="53" t="s">
        <v>130</v>
      </c>
      <c r="C8" s="53">
        <v>83</v>
      </c>
      <c r="D8" s="53">
        <v>67</v>
      </c>
      <c r="E8" s="53" t="s">
        <v>134</v>
      </c>
      <c r="F8" s="53" t="s">
        <v>123</v>
      </c>
      <c r="G8" s="53"/>
      <c r="H8" s="86" t="s">
        <v>1400</v>
      </c>
    </row>
    <row r="9" spans="1:8" ht="30" x14ac:dyDescent="0.25">
      <c r="A9" s="54" t="s">
        <v>1396</v>
      </c>
      <c r="B9" s="53" t="s">
        <v>137</v>
      </c>
      <c r="C9" s="53">
        <v>91</v>
      </c>
      <c r="D9" s="53">
        <v>73</v>
      </c>
      <c r="E9" s="53" t="s">
        <v>87</v>
      </c>
      <c r="F9" s="53" t="s">
        <v>51</v>
      </c>
      <c r="G9" s="53"/>
      <c r="H9" s="86" t="s">
        <v>1397</v>
      </c>
    </row>
    <row r="10" spans="1:8" ht="30" x14ac:dyDescent="0.25">
      <c r="A10" s="54" t="s">
        <v>1396</v>
      </c>
      <c r="B10" s="53" t="s">
        <v>137</v>
      </c>
      <c r="C10" s="53">
        <v>94</v>
      </c>
      <c r="D10" s="53">
        <v>76</v>
      </c>
      <c r="E10" s="53" t="s">
        <v>91</v>
      </c>
      <c r="F10" s="53" t="s">
        <v>51</v>
      </c>
      <c r="G10" s="53"/>
      <c r="H10" s="86" t="s">
        <v>1397</v>
      </c>
    </row>
    <row r="11" spans="1:8" ht="30" x14ac:dyDescent="0.25">
      <c r="A11" s="54" t="s">
        <v>1396</v>
      </c>
      <c r="B11" s="53" t="s">
        <v>137</v>
      </c>
      <c r="C11" s="53">
        <v>97</v>
      </c>
      <c r="D11" s="53">
        <v>79</v>
      </c>
      <c r="E11" s="53" t="s">
        <v>95</v>
      </c>
      <c r="F11" s="53" t="s">
        <v>51</v>
      </c>
      <c r="G11" s="53"/>
      <c r="H11" s="86" t="s">
        <v>1397</v>
      </c>
    </row>
    <row r="12" spans="1:8" ht="30" x14ac:dyDescent="0.25">
      <c r="A12" s="54" t="s">
        <v>1401</v>
      </c>
      <c r="B12" s="53" t="s">
        <v>24</v>
      </c>
      <c r="C12" s="53">
        <v>11</v>
      </c>
      <c r="D12" s="53">
        <v>5</v>
      </c>
      <c r="E12" s="53" t="s">
        <v>35</v>
      </c>
      <c r="F12" s="53"/>
      <c r="G12" s="53" t="s">
        <v>36</v>
      </c>
      <c r="H12" s="86" t="s">
        <v>1253</v>
      </c>
    </row>
    <row r="13" spans="1:8" ht="30" x14ac:dyDescent="0.25">
      <c r="A13" s="54" t="s">
        <v>1401</v>
      </c>
      <c r="B13" s="53" t="s">
        <v>24</v>
      </c>
      <c r="C13" s="53">
        <v>12</v>
      </c>
      <c r="D13" s="53">
        <v>6</v>
      </c>
      <c r="E13" s="53" t="s">
        <v>37</v>
      </c>
      <c r="F13" s="53"/>
      <c r="G13" s="53" t="s">
        <v>38</v>
      </c>
      <c r="H13" s="86" t="s">
        <v>1253</v>
      </c>
    </row>
    <row r="14" spans="1:8" ht="30" x14ac:dyDescent="0.25">
      <c r="A14" s="54" t="s">
        <v>1401</v>
      </c>
      <c r="B14" s="53" t="s">
        <v>24</v>
      </c>
      <c r="C14" s="53">
        <v>13</v>
      </c>
      <c r="D14" s="53">
        <v>7</v>
      </c>
      <c r="E14" s="53" t="s">
        <v>39</v>
      </c>
      <c r="F14" s="53"/>
      <c r="G14" s="53" t="s">
        <v>40</v>
      </c>
      <c r="H14" s="86" t="s">
        <v>1253</v>
      </c>
    </row>
    <row r="15" spans="1:8" ht="30" x14ac:dyDescent="0.25">
      <c r="A15" s="54" t="s">
        <v>1401</v>
      </c>
      <c r="B15" s="53" t="s">
        <v>24</v>
      </c>
      <c r="C15" s="53">
        <v>14</v>
      </c>
      <c r="D15" s="53">
        <v>8</v>
      </c>
      <c r="E15" s="53" t="s">
        <v>41</v>
      </c>
      <c r="F15" s="53"/>
      <c r="G15" s="53" t="s">
        <v>42</v>
      </c>
      <c r="H15" s="86" t="s">
        <v>1253</v>
      </c>
    </row>
    <row r="16" spans="1:8" ht="90" x14ac:dyDescent="0.25">
      <c r="A16" s="54" t="s">
        <v>1401</v>
      </c>
      <c r="B16" s="53" t="s">
        <v>24</v>
      </c>
      <c r="C16" s="53">
        <v>15</v>
      </c>
      <c r="D16" s="53">
        <v>9</v>
      </c>
      <c r="E16" s="53" t="s">
        <v>43</v>
      </c>
      <c r="F16" s="53"/>
      <c r="G16" s="53" t="s">
        <v>44</v>
      </c>
      <c r="H16" s="86" t="s">
        <v>1253</v>
      </c>
    </row>
    <row r="17" spans="1:8" ht="30" x14ac:dyDescent="0.25">
      <c r="A17" s="54" t="s">
        <v>1401</v>
      </c>
      <c r="B17" s="53" t="s">
        <v>46</v>
      </c>
      <c r="C17" s="53">
        <v>19</v>
      </c>
      <c r="D17" s="53">
        <v>11</v>
      </c>
      <c r="E17" s="53" t="s">
        <v>48</v>
      </c>
      <c r="F17" s="53" t="s">
        <v>51</v>
      </c>
      <c r="G17" s="53" t="s">
        <v>52</v>
      </c>
      <c r="H17" s="86" t="s">
        <v>1253</v>
      </c>
    </row>
    <row r="18" spans="1:8" ht="30" x14ac:dyDescent="0.25">
      <c r="A18" s="54" t="s">
        <v>1401</v>
      </c>
      <c r="B18" s="53" t="s">
        <v>46</v>
      </c>
      <c r="C18" s="53">
        <v>21</v>
      </c>
      <c r="D18" s="53">
        <v>13</v>
      </c>
      <c r="E18" s="53" t="s">
        <v>53</v>
      </c>
      <c r="F18" s="53" t="s">
        <v>51</v>
      </c>
      <c r="G18" s="53" t="s">
        <v>55</v>
      </c>
      <c r="H18" s="86" t="s">
        <v>1253</v>
      </c>
    </row>
    <row r="19" spans="1:8" ht="30" x14ac:dyDescent="0.25">
      <c r="A19" s="54" t="s">
        <v>1401</v>
      </c>
      <c r="B19" s="53" t="s">
        <v>57</v>
      </c>
      <c r="C19" s="53">
        <v>25</v>
      </c>
      <c r="D19" s="53">
        <v>15</v>
      </c>
      <c r="E19" s="53" t="s">
        <v>48</v>
      </c>
      <c r="F19" s="53" t="s">
        <v>51</v>
      </c>
      <c r="G19" s="53" t="s">
        <v>60</v>
      </c>
      <c r="H19" s="86" t="s">
        <v>1253</v>
      </c>
    </row>
    <row r="20" spans="1:8" ht="30" x14ac:dyDescent="0.25">
      <c r="A20" s="54" t="s">
        <v>1401</v>
      </c>
      <c r="B20" s="53" t="s">
        <v>57</v>
      </c>
      <c r="C20" s="53">
        <v>26</v>
      </c>
      <c r="D20" s="53">
        <v>16</v>
      </c>
      <c r="E20" s="53" t="s">
        <v>53</v>
      </c>
      <c r="F20" s="53" t="s">
        <v>49</v>
      </c>
      <c r="G20" s="53" t="s">
        <v>61</v>
      </c>
      <c r="H20" s="86" t="s">
        <v>1253</v>
      </c>
    </row>
    <row r="21" spans="1:8" ht="30" x14ac:dyDescent="0.25">
      <c r="A21" s="54" t="s">
        <v>1401</v>
      </c>
      <c r="B21" s="53" t="s">
        <v>57</v>
      </c>
      <c r="C21" s="53">
        <v>27</v>
      </c>
      <c r="D21" s="53">
        <v>17</v>
      </c>
      <c r="E21" s="53" t="s">
        <v>53</v>
      </c>
      <c r="F21" s="53" t="s">
        <v>51</v>
      </c>
      <c r="G21" s="53" t="s">
        <v>477</v>
      </c>
      <c r="H21" s="86" t="s">
        <v>1253</v>
      </c>
    </row>
    <row r="22" spans="1:8" ht="45" x14ac:dyDescent="0.25">
      <c r="A22" s="54" t="s">
        <v>1401</v>
      </c>
      <c r="B22" s="53" t="s">
        <v>66</v>
      </c>
      <c r="C22" s="53">
        <v>30</v>
      </c>
      <c r="D22" s="53">
        <v>18</v>
      </c>
      <c r="E22" s="53" t="s">
        <v>68</v>
      </c>
      <c r="F22" s="53"/>
      <c r="G22" s="53" t="s">
        <v>478</v>
      </c>
      <c r="H22" s="86" t="s">
        <v>1253</v>
      </c>
    </row>
    <row r="23" spans="1:8" ht="30" x14ac:dyDescent="0.25">
      <c r="A23" s="54" t="s">
        <v>1401</v>
      </c>
      <c r="B23" s="53" t="s">
        <v>66</v>
      </c>
      <c r="C23" s="53">
        <v>31</v>
      </c>
      <c r="D23" s="53">
        <v>19</v>
      </c>
      <c r="E23" s="53" t="s">
        <v>71</v>
      </c>
      <c r="F23" s="53"/>
      <c r="G23" s="53" t="s">
        <v>479</v>
      </c>
      <c r="H23" s="86" t="s">
        <v>1253</v>
      </c>
    </row>
    <row r="24" spans="1:8" ht="30" x14ac:dyDescent="0.25">
      <c r="A24" s="54" t="s">
        <v>1401</v>
      </c>
      <c r="B24" s="53" t="s">
        <v>66</v>
      </c>
      <c r="C24" s="53">
        <v>32</v>
      </c>
      <c r="D24" s="53">
        <v>20</v>
      </c>
      <c r="E24" s="53" t="s">
        <v>73</v>
      </c>
      <c r="F24" s="53"/>
      <c r="G24" s="53" t="s">
        <v>480</v>
      </c>
      <c r="H24" s="86" t="s">
        <v>1253</v>
      </c>
    </row>
    <row r="25" spans="1:8" ht="30" x14ac:dyDescent="0.25">
      <c r="A25" s="54" t="s">
        <v>1401</v>
      </c>
      <c r="B25" s="53" t="s">
        <v>66</v>
      </c>
      <c r="C25" s="53">
        <v>33</v>
      </c>
      <c r="D25" s="53">
        <v>21</v>
      </c>
      <c r="E25" s="53" t="s">
        <v>76</v>
      </c>
      <c r="F25" s="53"/>
      <c r="G25" s="53" t="s">
        <v>77</v>
      </c>
      <c r="H25" s="86" t="s">
        <v>1253</v>
      </c>
    </row>
    <row r="26" spans="1:8" ht="30" x14ac:dyDescent="0.25">
      <c r="A26" s="54" t="s">
        <v>1401</v>
      </c>
      <c r="B26" s="53" t="s">
        <v>66</v>
      </c>
      <c r="C26" s="53">
        <v>34</v>
      </c>
      <c r="D26" s="53">
        <v>22</v>
      </c>
      <c r="E26" s="53" t="s">
        <v>78</v>
      </c>
      <c r="F26" s="53"/>
      <c r="G26" s="53" t="s">
        <v>79</v>
      </c>
      <c r="H26" s="86" t="s">
        <v>1253</v>
      </c>
    </row>
    <row r="27" spans="1:8" ht="30" x14ac:dyDescent="0.25">
      <c r="A27" s="54" t="s">
        <v>1401</v>
      </c>
      <c r="B27" s="53" t="s">
        <v>81</v>
      </c>
      <c r="C27" s="53">
        <v>39</v>
      </c>
      <c r="D27" s="53">
        <v>25</v>
      </c>
      <c r="E27" s="53" t="s">
        <v>48</v>
      </c>
      <c r="F27" s="53" t="s">
        <v>51</v>
      </c>
      <c r="G27" s="53" t="s">
        <v>86</v>
      </c>
      <c r="H27" s="86" t="s">
        <v>1253</v>
      </c>
    </row>
    <row r="28" spans="1:8" ht="30" x14ac:dyDescent="0.25">
      <c r="A28" s="54" t="s">
        <v>1401</v>
      </c>
      <c r="B28" s="53" t="s">
        <v>81</v>
      </c>
      <c r="C28" s="53">
        <v>42</v>
      </c>
      <c r="D28" s="53">
        <v>28</v>
      </c>
      <c r="E28" s="53" t="s">
        <v>87</v>
      </c>
      <c r="F28" s="53" t="s">
        <v>51</v>
      </c>
      <c r="G28" s="53" t="s">
        <v>90</v>
      </c>
      <c r="H28" s="86" t="s">
        <v>1253</v>
      </c>
    </row>
    <row r="29" spans="1:8" ht="30" x14ac:dyDescent="0.25">
      <c r="A29" s="54" t="s">
        <v>1401</v>
      </c>
      <c r="B29" s="53" t="s">
        <v>81</v>
      </c>
      <c r="C29" s="53">
        <v>45</v>
      </c>
      <c r="D29" s="53">
        <v>31</v>
      </c>
      <c r="E29" s="53" t="s">
        <v>91</v>
      </c>
      <c r="F29" s="53" t="s">
        <v>51</v>
      </c>
      <c r="G29" s="53" t="s">
        <v>94</v>
      </c>
      <c r="H29" s="86" t="s">
        <v>1253</v>
      </c>
    </row>
    <row r="30" spans="1:8" ht="30" x14ac:dyDescent="0.25">
      <c r="A30" s="54" t="s">
        <v>1401</v>
      </c>
      <c r="B30" s="53" t="s">
        <v>81</v>
      </c>
      <c r="C30" s="53">
        <v>48</v>
      </c>
      <c r="D30" s="53">
        <v>34</v>
      </c>
      <c r="E30" s="53" t="s">
        <v>95</v>
      </c>
      <c r="F30" s="53" t="s">
        <v>51</v>
      </c>
      <c r="G30" s="53" t="s">
        <v>98</v>
      </c>
      <c r="H30" s="86" t="s">
        <v>1253</v>
      </c>
    </row>
    <row r="31" spans="1:8" ht="30" x14ac:dyDescent="0.25">
      <c r="A31" s="54" t="s">
        <v>1401</v>
      </c>
      <c r="B31" s="53" t="s">
        <v>81</v>
      </c>
      <c r="C31" s="53">
        <v>49</v>
      </c>
      <c r="D31" s="53">
        <v>35</v>
      </c>
      <c r="E31" s="53" t="s">
        <v>99</v>
      </c>
      <c r="F31" s="53" t="s">
        <v>83</v>
      </c>
      <c r="G31" s="53" t="s">
        <v>100</v>
      </c>
      <c r="H31" s="86" t="s">
        <v>1253</v>
      </c>
    </row>
    <row r="32" spans="1:8" ht="30" x14ac:dyDescent="0.25">
      <c r="A32" s="54" t="s">
        <v>1401</v>
      </c>
      <c r="B32" s="53" t="s">
        <v>81</v>
      </c>
      <c r="C32" s="53">
        <v>50</v>
      </c>
      <c r="D32" s="53">
        <v>36</v>
      </c>
      <c r="E32" s="53" t="s">
        <v>99</v>
      </c>
      <c r="F32" s="53" t="s">
        <v>49</v>
      </c>
      <c r="G32" s="53" t="s">
        <v>101</v>
      </c>
      <c r="H32" s="86" t="s">
        <v>1253</v>
      </c>
    </row>
    <row r="33" spans="1:8" ht="30" x14ac:dyDescent="0.25">
      <c r="A33" s="54" t="s">
        <v>1401</v>
      </c>
      <c r="B33" s="53" t="s">
        <v>81</v>
      </c>
      <c r="C33" s="53">
        <v>51</v>
      </c>
      <c r="D33" s="53">
        <v>37</v>
      </c>
      <c r="E33" s="53" t="s">
        <v>99</v>
      </c>
      <c r="F33" s="53" t="s">
        <v>51</v>
      </c>
      <c r="G33" s="53" t="s">
        <v>102</v>
      </c>
      <c r="H33" s="86" t="s">
        <v>1253</v>
      </c>
    </row>
    <row r="34" spans="1:8" ht="30" x14ac:dyDescent="0.25">
      <c r="A34" s="54" t="s">
        <v>1401</v>
      </c>
      <c r="B34" s="53" t="s">
        <v>81</v>
      </c>
      <c r="C34" s="53">
        <v>52</v>
      </c>
      <c r="D34" s="53">
        <v>38</v>
      </c>
      <c r="E34" s="53" t="s">
        <v>103</v>
      </c>
      <c r="F34" s="53" t="s">
        <v>83</v>
      </c>
      <c r="G34" s="53" t="s">
        <v>104</v>
      </c>
      <c r="H34" s="86" t="s">
        <v>1253</v>
      </c>
    </row>
    <row r="35" spans="1:8" ht="30" x14ac:dyDescent="0.25">
      <c r="A35" s="54" t="s">
        <v>1401</v>
      </c>
      <c r="B35" s="53" t="s">
        <v>81</v>
      </c>
      <c r="C35" s="53">
        <v>53</v>
      </c>
      <c r="D35" s="53">
        <v>39</v>
      </c>
      <c r="E35" s="53" t="s">
        <v>103</v>
      </c>
      <c r="F35" s="53" t="s">
        <v>49</v>
      </c>
      <c r="G35" s="53" t="s">
        <v>105</v>
      </c>
      <c r="H35" s="86" t="s">
        <v>1253</v>
      </c>
    </row>
    <row r="36" spans="1:8" ht="30" x14ac:dyDescent="0.25">
      <c r="A36" s="54" t="s">
        <v>1401</v>
      </c>
      <c r="B36" s="53" t="s">
        <v>81</v>
      </c>
      <c r="C36" s="53">
        <v>54</v>
      </c>
      <c r="D36" s="53">
        <v>40</v>
      </c>
      <c r="E36" s="53" t="s">
        <v>103</v>
      </c>
      <c r="F36" s="53" t="s">
        <v>51</v>
      </c>
      <c r="G36" s="53" t="s">
        <v>106</v>
      </c>
      <c r="H36" s="86" t="s">
        <v>1253</v>
      </c>
    </row>
    <row r="37" spans="1:8" ht="30" x14ac:dyDescent="0.25">
      <c r="A37" s="54" t="s">
        <v>1401</v>
      </c>
      <c r="B37" s="53" t="s">
        <v>81</v>
      </c>
      <c r="C37" s="53">
        <v>55</v>
      </c>
      <c r="D37" s="53">
        <v>41</v>
      </c>
      <c r="E37" s="53" t="s">
        <v>107</v>
      </c>
      <c r="F37" s="53" t="s">
        <v>83</v>
      </c>
      <c r="G37" s="53" t="s">
        <v>108</v>
      </c>
      <c r="H37" s="86" t="s">
        <v>1253</v>
      </c>
    </row>
    <row r="38" spans="1:8" ht="30" x14ac:dyDescent="0.25">
      <c r="A38" s="54" t="s">
        <v>1401</v>
      </c>
      <c r="B38" s="53" t="s">
        <v>81</v>
      </c>
      <c r="C38" s="53">
        <v>56</v>
      </c>
      <c r="D38" s="53">
        <v>42</v>
      </c>
      <c r="E38" s="53" t="s">
        <v>107</v>
      </c>
      <c r="F38" s="53" t="s">
        <v>49</v>
      </c>
      <c r="G38" s="53" t="s">
        <v>109</v>
      </c>
      <c r="H38" s="86" t="s">
        <v>1253</v>
      </c>
    </row>
    <row r="39" spans="1:8" ht="30" x14ac:dyDescent="0.25">
      <c r="A39" s="54" t="s">
        <v>1401</v>
      </c>
      <c r="B39" s="53" t="s">
        <v>81</v>
      </c>
      <c r="C39" s="53">
        <v>57</v>
      </c>
      <c r="D39" s="53">
        <v>43</v>
      </c>
      <c r="E39" s="53" t="s">
        <v>107</v>
      </c>
      <c r="F39" s="53" t="s">
        <v>51</v>
      </c>
      <c r="G39" s="53" t="s">
        <v>110</v>
      </c>
      <c r="H39" s="86" t="s">
        <v>1253</v>
      </c>
    </row>
    <row r="40" spans="1:8" ht="30" x14ac:dyDescent="0.25">
      <c r="A40" s="54" t="s">
        <v>1401</v>
      </c>
      <c r="B40" s="53" t="s">
        <v>81</v>
      </c>
      <c r="C40" s="53">
        <v>58</v>
      </c>
      <c r="D40" s="53">
        <v>44</v>
      </c>
      <c r="E40" s="53" t="s">
        <v>111</v>
      </c>
      <c r="F40" s="53" t="s">
        <v>83</v>
      </c>
      <c r="G40" s="53" t="s">
        <v>112</v>
      </c>
      <c r="H40" s="86" t="s">
        <v>1253</v>
      </c>
    </row>
    <row r="41" spans="1:8" ht="30" x14ac:dyDescent="0.25">
      <c r="A41" s="54" t="s">
        <v>1401</v>
      </c>
      <c r="B41" s="53" t="s">
        <v>81</v>
      </c>
      <c r="C41" s="53">
        <v>59</v>
      </c>
      <c r="D41" s="53">
        <v>45</v>
      </c>
      <c r="E41" s="53" t="s">
        <v>111</v>
      </c>
      <c r="F41" s="53" t="s">
        <v>49</v>
      </c>
      <c r="G41" s="53" t="s">
        <v>113</v>
      </c>
      <c r="H41" s="86" t="s">
        <v>1253</v>
      </c>
    </row>
    <row r="42" spans="1:8" ht="30" x14ac:dyDescent="0.25">
      <c r="A42" s="54" t="s">
        <v>1401</v>
      </c>
      <c r="B42" s="53" t="s">
        <v>81</v>
      </c>
      <c r="C42" s="53">
        <v>60</v>
      </c>
      <c r="D42" s="53">
        <v>46</v>
      </c>
      <c r="E42" s="53" t="s">
        <v>111</v>
      </c>
      <c r="F42" s="53" t="s">
        <v>51</v>
      </c>
      <c r="G42" s="53" t="s">
        <v>114</v>
      </c>
      <c r="H42" s="86" t="s">
        <v>1253</v>
      </c>
    </row>
    <row r="43" spans="1:8" ht="30" x14ac:dyDescent="0.25">
      <c r="A43" s="54" t="s">
        <v>1401</v>
      </c>
      <c r="B43" s="53" t="s">
        <v>81</v>
      </c>
      <c r="C43" s="53">
        <v>61</v>
      </c>
      <c r="D43" s="53">
        <v>47</v>
      </c>
      <c r="E43" s="53" t="s">
        <v>115</v>
      </c>
      <c r="F43" s="53" t="s">
        <v>83</v>
      </c>
      <c r="G43" s="53" t="s">
        <v>116</v>
      </c>
      <c r="H43" s="86" t="s">
        <v>1253</v>
      </c>
    </row>
    <row r="44" spans="1:8" ht="30" x14ac:dyDescent="0.25">
      <c r="A44" s="54" t="s">
        <v>1401</v>
      </c>
      <c r="B44" s="53" t="s">
        <v>81</v>
      </c>
      <c r="C44" s="53">
        <v>62</v>
      </c>
      <c r="D44" s="53">
        <v>48</v>
      </c>
      <c r="E44" s="53" t="s">
        <v>115</v>
      </c>
      <c r="F44" s="53" t="s">
        <v>49</v>
      </c>
      <c r="G44" s="53" t="s">
        <v>117</v>
      </c>
      <c r="H44" s="86" t="s">
        <v>1253</v>
      </c>
    </row>
    <row r="45" spans="1:8" ht="30" x14ac:dyDescent="0.25">
      <c r="A45" s="54" t="s">
        <v>1401</v>
      </c>
      <c r="B45" s="53" t="s">
        <v>81</v>
      </c>
      <c r="C45" s="53">
        <v>63</v>
      </c>
      <c r="D45" s="53">
        <v>49</v>
      </c>
      <c r="E45" s="53" t="s">
        <v>115</v>
      </c>
      <c r="F45" s="53" t="s">
        <v>51</v>
      </c>
      <c r="G45" s="53" t="s">
        <v>118</v>
      </c>
      <c r="H45" s="86" t="s">
        <v>1253</v>
      </c>
    </row>
    <row r="46" spans="1:8" ht="60" x14ac:dyDescent="0.25">
      <c r="A46" s="54" t="s">
        <v>1401</v>
      </c>
      <c r="B46" s="53" t="s">
        <v>81</v>
      </c>
      <c r="C46" s="53">
        <v>64</v>
      </c>
      <c r="D46" s="53">
        <v>50</v>
      </c>
      <c r="E46" s="53" t="s">
        <v>119</v>
      </c>
      <c r="F46" s="53" t="s">
        <v>120</v>
      </c>
      <c r="G46" s="53" t="s">
        <v>1402</v>
      </c>
      <c r="H46" s="86" t="s">
        <v>1253</v>
      </c>
    </row>
    <row r="47" spans="1:8" ht="60" x14ac:dyDescent="0.25">
      <c r="A47" s="54" t="s">
        <v>1401</v>
      </c>
      <c r="B47" s="53" t="s">
        <v>81</v>
      </c>
      <c r="C47" s="53">
        <v>65</v>
      </c>
      <c r="D47" s="53">
        <v>51</v>
      </c>
      <c r="E47" s="53" t="s">
        <v>119</v>
      </c>
      <c r="F47" s="53" t="s">
        <v>123</v>
      </c>
      <c r="G47" s="53" t="s">
        <v>1403</v>
      </c>
      <c r="H47" s="86" t="s">
        <v>1253</v>
      </c>
    </row>
    <row r="48" spans="1:8" ht="45" x14ac:dyDescent="0.25">
      <c r="A48" s="54" t="s">
        <v>1401</v>
      </c>
      <c r="B48" s="53" t="s">
        <v>81</v>
      </c>
      <c r="C48" s="53">
        <v>66</v>
      </c>
      <c r="D48" s="53">
        <v>52</v>
      </c>
      <c r="E48" s="53" t="s">
        <v>125</v>
      </c>
      <c r="F48" s="53" t="s">
        <v>126</v>
      </c>
      <c r="G48" s="53" t="s">
        <v>1404</v>
      </c>
      <c r="H48" s="86" t="s">
        <v>1253</v>
      </c>
    </row>
    <row r="49" spans="1:8" ht="60" x14ac:dyDescent="0.25">
      <c r="A49" s="54" t="s">
        <v>1401</v>
      </c>
      <c r="B49" s="53" t="s">
        <v>130</v>
      </c>
      <c r="C49" s="53">
        <v>69</v>
      </c>
      <c r="D49" s="53">
        <v>53</v>
      </c>
      <c r="E49" s="53" t="s">
        <v>48</v>
      </c>
      <c r="F49" s="53" t="s">
        <v>83</v>
      </c>
      <c r="G49" s="53" t="s">
        <v>84</v>
      </c>
      <c r="H49" s="86" t="s">
        <v>1405</v>
      </c>
    </row>
    <row r="50" spans="1:8" ht="60" x14ac:dyDescent="0.25">
      <c r="A50" s="54" t="s">
        <v>1401</v>
      </c>
      <c r="B50" s="53" t="s">
        <v>130</v>
      </c>
      <c r="C50" s="53">
        <v>70</v>
      </c>
      <c r="D50" s="53">
        <v>54</v>
      </c>
      <c r="E50" s="53" t="s">
        <v>48</v>
      </c>
      <c r="F50" s="53" t="s">
        <v>49</v>
      </c>
      <c r="G50" s="53" t="s">
        <v>85</v>
      </c>
      <c r="H50" s="86" t="s">
        <v>1405</v>
      </c>
    </row>
    <row r="51" spans="1:8" ht="30" x14ac:dyDescent="0.25">
      <c r="A51" s="54" t="s">
        <v>1401</v>
      </c>
      <c r="B51" s="53" t="s">
        <v>130</v>
      </c>
      <c r="C51" s="53">
        <v>71</v>
      </c>
      <c r="D51" s="53">
        <v>55</v>
      </c>
      <c r="E51" s="53" t="s">
        <v>48</v>
      </c>
      <c r="F51" s="53" t="s">
        <v>51</v>
      </c>
      <c r="G51" s="53" t="s">
        <v>86</v>
      </c>
      <c r="H51" s="86" t="s">
        <v>1253</v>
      </c>
    </row>
    <row r="52" spans="1:8" ht="60" x14ac:dyDescent="0.25">
      <c r="A52" s="54" t="s">
        <v>1401</v>
      </c>
      <c r="B52" s="53" t="s">
        <v>130</v>
      </c>
      <c r="C52" s="53">
        <v>72</v>
      </c>
      <c r="D52" s="53">
        <v>56</v>
      </c>
      <c r="E52" s="53" t="s">
        <v>87</v>
      </c>
      <c r="F52" s="53" t="s">
        <v>83</v>
      </c>
      <c r="G52" s="53" t="s">
        <v>88</v>
      </c>
      <c r="H52" s="86" t="s">
        <v>1405</v>
      </c>
    </row>
    <row r="53" spans="1:8" ht="60" x14ac:dyDescent="0.25">
      <c r="A53" s="54" t="s">
        <v>1401</v>
      </c>
      <c r="B53" s="53" t="s">
        <v>130</v>
      </c>
      <c r="C53" s="53">
        <v>73</v>
      </c>
      <c r="D53" s="53">
        <v>57</v>
      </c>
      <c r="E53" s="53" t="s">
        <v>87</v>
      </c>
      <c r="F53" s="53" t="s">
        <v>49</v>
      </c>
      <c r="G53" s="53" t="s">
        <v>89</v>
      </c>
      <c r="H53" s="86" t="s">
        <v>1405</v>
      </c>
    </row>
    <row r="54" spans="1:8" ht="30" x14ac:dyDescent="0.25">
      <c r="A54" s="54" t="s">
        <v>1401</v>
      </c>
      <c r="B54" s="53" t="s">
        <v>130</v>
      </c>
      <c r="C54" s="53">
        <v>74</v>
      </c>
      <c r="D54" s="53">
        <v>58</v>
      </c>
      <c r="E54" s="53" t="s">
        <v>87</v>
      </c>
      <c r="F54" s="53" t="s">
        <v>51</v>
      </c>
      <c r="G54" s="53" t="s">
        <v>90</v>
      </c>
      <c r="H54" s="86" t="s">
        <v>1253</v>
      </c>
    </row>
    <row r="55" spans="1:8" ht="60" x14ac:dyDescent="0.25">
      <c r="A55" s="54" t="s">
        <v>1401</v>
      </c>
      <c r="B55" s="53" t="s">
        <v>130</v>
      </c>
      <c r="C55" s="53">
        <v>75</v>
      </c>
      <c r="D55" s="53">
        <v>59</v>
      </c>
      <c r="E55" s="53" t="s">
        <v>91</v>
      </c>
      <c r="F55" s="53" t="s">
        <v>83</v>
      </c>
      <c r="G55" s="53" t="s">
        <v>92</v>
      </c>
      <c r="H55" s="86" t="s">
        <v>1405</v>
      </c>
    </row>
    <row r="56" spans="1:8" ht="60" x14ac:dyDescent="0.25">
      <c r="A56" s="54" t="s">
        <v>1401</v>
      </c>
      <c r="B56" s="53" t="s">
        <v>130</v>
      </c>
      <c r="C56" s="53">
        <v>76</v>
      </c>
      <c r="D56" s="53">
        <v>60</v>
      </c>
      <c r="E56" s="53" t="s">
        <v>91</v>
      </c>
      <c r="F56" s="53" t="s">
        <v>49</v>
      </c>
      <c r="G56" s="53" t="s">
        <v>93</v>
      </c>
      <c r="H56" s="86" t="s">
        <v>1405</v>
      </c>
    </row>
    <row r="57" spans="1:8" ht="30" x14ac:dyDescent="0.25">
      <c r="A57" s="54" t="s">
        <v>1401</v>
      </c>
      <c r="B57" s="53" t="s">
        <v>130</v>
      </c>
      <c r="C57" s="53">
        <v>77</v>
      </c>
      <c r="D57" s="53">
        <v>61</v>
      </c>
      <c r="E57" s="53" t="s">
        <v>91</v>
      </c>
      <c r="F57" s="53" t="s">
        <v>51</v>
      </c>
      <c r="G57" s="53" t="s">
        <v>94</v>
      </c>
      <c r="H57" s="86" t="s">
        <v>1253</v>
      </c>
    </row>
    <row r="58" spans="1:8" ht="60" x14ac:dyDescent="0.25">
      <c r="A58" s="54" t="s">
        <v>1401</v>
      </c>
      <c r="B58" s="53" t="s">
        <v>130</v>
      </c>
      <c r="C58" s="53">
        <v>78</v>
      </c>
      <c r="D58" s="53">
        <v>62</v>
      </c>
      <c r="E58" s="53" t="s">
        <v>95</v>
      </c>
      <c r="F58" s="53" t="s">
        <v>83</v>
      </c>
      <c r="G58" s="53" t="s">
        <v>96</v>
      </c>
      <c r="H58" s="86" t="s">
        <v>1405</v>
      </c>
    </row>
    <row r="59" spans="1:8" ht="60" x14ac:dyDescent="0.25">
      <c r="A59" s="54" t="s">
        <v>1401</v>
      </c>
      <c r="B59" s="53" t="s">
        <v>130</v>
      </c>
      <c r="C59" s="53">
        <v>79</v>
      </c>
      <c r="D59" s="53">
        <v>63</v>
      </c>
      <c r="E59" s="53" t="s">
        <v>95</v>
      </c>
      <c r="F59" s="53" t="s">
        <v>49</v>
      </c>
      <c r="G59" s="53" t="s">
        <v>97</v>
      </c>
      <c r="H59" s="86" t="s">
        <v>1405</v>
      </c>
    </row>
    <row r="60" spans="1:8" ht="30" x14ac:dyDescent="0.25">
      <c r="A60" s="54" t="s">
        <v>1401</v>
      </c>
      <c r="B60" s="53" t="s">
        <v>130</v>
      </c>
      <c r="C60" s="53">
        <v>80</v>
      </c>
      <c r="D60" s="53">
        <v>64</v>
      </c>
      <c r="E60" s="53" t="s">
        <v>95</v>
      </c>
      <c r="F60" s="53" t="s">
        <v>51</v>
      </c>
      <c r="G60" s="53" t="s">
        <v>98</v>
      </c>
      <c r="H60" s="86" t="s">
        <v>1253</v>
      </c>
    </row>
    <row r="61" spans="1:8" ht="45" x14ac:dyDescent="0.25">
      <c r="A61" s="54" t="s">
        <v>1401</v>
      </c>
      <c r="B61" s="53" t="s">
        <v>130</v>
      </c>
      <c r="C61" s="53">
        <v>81</v>
      </c>
      <c r="D61" s="53">
        <v>65</v>
      </c>
      <c r="E61" s="53" t="s">
        <v>134</v>
      </c>
      <c r="F61" s="53" t="s">
        <v>120</v>
      </c>
      <c r="G61" s="53" t="s">
        <v>1402</v>
      </c>
      <c r="H61" s="86" t="s">
        <v>1253</v>
      </c>
    </row>
    <row r="62" spans="1:8" ht="30" x14ac:dyDescent="0.25">
      <c r="A62" s="54" t="s">
        <v>1401</v>
      </c>
      <c r="B62" s="53" t="s">
        <v>130</v>
      </c>
      <c r="C62" s="53">
        <v>82</v>
      </c>
      <c r="D62" s="53">
        <v>66</v>
      </c>
      <c r="E62" s="53" t="s">
        <v>132</v>
      </c>
      <c r="F62" s="53" t="s">
        <v>120</v>
      </c>
      <c r="G62" s="53" t="s">
        <v>133</v>
      </c>
      <c r="H62" s="86" t="s">
        <v>1253</v>
      </c>
    </row>
    <row r="63" spans="1:8" ht="45" x14ac:dyDescent="0.25">
      <c r="A63" s="54" t="s">
        <v>1401</v>
      </c>
      <c r="B63" s="53" t="s">
        <v>130</v>
      </c>
      <c r="C63" s="53">
        <v>83</v>
      </c>
      <c r="D63" s="53">
        <v>67</v>
      </c>
      <c r="E63" s="53" t="s">
        <v>134</v>
      </c>
      <c r="F63" s="53" t="s">
        <v>123</v>
      </c>
      <c r="G63" s="53" t="s">
        <v>1403</v>
      </c>
      <c r="H63" s="86" t="s">
        <v>1253</v>
      </c>
    </row>
    <row r="64" spans="1:8" ht="60" x14ac:dyDescent="0.25">
      <c r="A64" s="54" t="s">
        <v>1401</v>
      </c>
      <c r="B64" s="53" t="s">
        <v>137</v>
      </c>
      <c r="C64" s="53">
        <v>86</v>
      </c>
      <c r="D64" s="53">
        <v>68</v>
      </c>
      <c r="E64" s="53" t="s">
        <v>48</v>
      </c>
      <c r="F64" s="53" t="s">
        <v>83</v>
      </c>
      <c r="G64" s="53" t="s">
        <v>84</v>
      </c>
      <c r="H64" s="86" t="s">
        <v>1405</v>
      </c>
    </row>
    <row r="65" spans="1:8" ht="60" x14ac:dyDescent="0.25">
      <c r="A65" s="54" t="s">
        <v>1401</v>
      </c>
      <c r="B65" s="53" t="s">
        <v>137</v>
      </c>
      <c r="C65" s="53">
        <v>87</v>
      </c>
      <c r="D65" s="53">
        <v>69</v>
      </c>
      <c r="E65" s="53" t="s">
        <v>48</v>
      </c>
      <c r="F65" s="53" t="s">
        <v>49</v>
      </c>
      <c r="G65" s="53" t="s">
        <v>85</v>
      </c>
      <c r="H65" s="86" t="s">
        <v>1405</v>
      </c>
    </row>
    <row r="66" spans="1:8" ht="30" x14ac:dyDescent="0.25">
      <c r="A66" s="54" t="s">
        <v>1401</v>
      </c>
      <c r="B66" s="53" t="s">
        <v>137</v>
      </c>
      <c r="C66" s="53">
        <v>88</v>
      </c>
      <c r="D66" s="53">
        <v>70</v>
      </c>
      <c r="E66" s="53" t="s">
        <v>48</v>
      </c>
      <c r="F66" s="53" t="s">
        <v>51</v>
      </c>
      <c r="G66" s="53" t="s">
        <v>86</v>
      </c>
      <c r="H66" s="86" t="s">
        <v>1253</v>
      </c>
    </row>
    <row r="67" spans="1:8" ht="60" x14ac:dyDescent="0.25">
      <c r="A67" s="54" t="s">
        <v>1401</v>
      </c>
      <c r="B67" s="53" t="s">
        <v>137</v>
      </c>
      <c r="C67" s="53">
        <v>89</v>
      </c>
      <c r="D67" s="53">
        <v>71</v>
      </c>
      <c r="E67" s="53" t="s">
        <v>87</v>
      </c>
      <c r="F67" s="53" t="s">
        <v>83</v>
      </c>
      <c r="G67" s="53" t="s">
        <v>88</v>
      </c>
      <c r="H67" s="86" t="s">
        <v>1405</v>
      </c>
    </row>
    <row r="68" spans="1:8" ht="60" x14ac:dyDescent="0.25">
      <c r="A68" s="54" t="s">
        <v>1401</v>
      </c>
      <c r="B68" s="53" t="s">
        <v>137</v>
      </c>
      <c r="C68" s="53">
        <v>90</v>
      </c>
      <c r="D68" s="53">
        <v>72</v>
      </c>
      <c r="E68" s="53" t="s">
        <v>87</v>
      </c>
      <c r="F68" s="53" t="s">
        <v>49</v>
      </c>
      <c r="G68" s="53" t="s">
        <v>89</v>
      </c>
      <c r="H68" s="86" t="s">
        <v>1405</v>
      </c>
    </row>
    <row r="69" spans="1:8" ht="30" x14ac:dyDescent="0.25">
      <c r="A69" s="54" t="s">
        <v>1401</v>
      </c>
      <c r="B69" s="53" t="s">
        <v>137</v>
      </c>
      <c r="C69" s="53">
        <v>91</v>
      </c>
      <c r="D69" s="53">
        <v>73</v>
      </c>
      <c r="E69" s="53" t="s">
        <v>87</v>
      </c>
      <c r="F69" s="53" t="s">
        <v>51</v>
      </c>
      <c r="G69" s="53" t="s">
        <v>90</v>
      </c>
      <c r="H69" s="86" t="s">
        <v>1253</v>
      </c>
    </row>
    <row r="70" spans="1:8" ht="60" x14ac:dyDescent="0.25">
      <c r="A70" s="54" t="s">
        <v>1401</v>
      </c>
      <c r="B70" s="53" t="s">
        <v>137</v>
      </c>
      <c r="C70" s="53">
        <v>92</v>
      </c>
      <c r="D70" s="53">
        <v>74</v>
      </c>
      <c r="E70" s="53" t="s">
        <v>91</v>
      </c>
      <c r="F70" s="53" t="s">
        <v>83</v>
      </c>
      <c r="G70" s="53" t="s">
        <v>92</v>
      </c>
      <c r="H70" s="86" t="s">
        <v>1405</v>
      </c>
    </row>
    <row r="71" spans="1:8" ht="60" x14ac:dyDescent="0.25">
      <c r="A71" s="54" t="s">
        <v>1401</v>
      </c>
      <c r="B71" s="53" t="s">
        <v>137</v>
      </c>
      <c r="C71" s="53">
        <v>93</v>
      </c>
      <c r="D71" s="53">
        <v>75</v>
      </c>
      <c r="E71" s="53" t="s">
        <v>91</v>
      </c>
      <c r="F71" s="53" t="s">
        <v>49</v>
      </c>
      <c r="G71" s="53" t="s">
        <v>93</v>
      </c>
      <c r="H71" s="86" t="s">
        <v>1405</v>
      </c>
    </row>
    <row r="72" spans="1:8" ht="30" x14ac:dyDescent="0.25">
      <c r="A72" s="54" t="s">
        <v>1401</v>
      </c>
      <c r="B72" s="53" t="s">
        <v>137</v>
      </c>
      <c r="C72" s="53">
        <v>94</v>
      </c>
      <c r="D72" s="53">
        <v>76</v>
      </c>
      <c r="E72" s="53" t="s">
        <v>91</v>
      </c>
      <c r="F72" s="53" t="s">
        <v>51</v>
      </c>
      <c r="G72" s="53" t="s">
        <v>94</v>
      </c>
      <c r="H72" s="86" t="s">
        <v>1253</v>
      </c>
    </row>
    <row r="73" spans="1:8" ht="60" x14ac:dyDescent="0.25">
      <c r="A73" s="54" t="s">
        <v>1401</v>
      </c>
      <c r="B73" s="53" t="s">
        <v>137</v>
      </c>
      <c r="C73" s="53">
        <v>95</v>
      </c>
      <c r="D73" s="53">
        <v>77</v>
      </c>
      <c r="E73" s="53" t="s">
        <v>95</v>
      </c>
      <c r="F73" s="53" t="s">
        <v>83</v>
      </c>
      <c r="G73" s="53" t="s">
        <v>96</v>
      </c>
      <c r="H73" s="86" t="s">
        <v>1405</v>
      </c>
    </row>
    <row r="74" spans="1:8" ht="60" x14ac:dyDescent="0.25">
      <c r="A74" s="54" t="s">
        <v>1401</v>
      </c>
      <c r="B74" s="53" t="s">
        <v>137</v>
      </c>
      <c r="C74" s="53">
        <v>96</v>
      </c>
      <c r="D74" s="53">
        <v>78</v>
      </c>
      <c r="E74" s="53" t="s">
        <v>95</v>
      </c>
      <c r="F74" s="53" t="s">
        <v>49</v>
      </c>
      <c r="G74" s="53" t="s">
        <v>97</v>
      </c>
      <c r="H74" s="86" t="s">
        <v>1405</v>
      </c>
    </row>
    <row r="75" spans="1:8" ht="30" x14ac:dyDescent="0.25">
      <c r="A75" s="54" t="s">
        <v>1401</v>
      </c>
      <c r="B75" s="53" t="s">
        <v>137</v>
      </c>
      <c r="C75" s="53">
        <v>97</v>
      </c>
      <c r="D75" s="53">
        <v>79</v>
      </c>
      <c r="E75" s="53" t="s">
        <v>95</v>
      </c>
      <c r="F75" s="53" t="s">
        <v>51</v>
      </c>
      <c r="G75" s="53" t="s">
        <v>98</v>
      </c>
      <c r="H75" s="86" t="s">
        <v>1253</v>
      </c>
    </row>
    <row r="76" spans="1:8" ht="45" x14ac:dyDescent="0.25">
      <c r="A76" s="54" t="s">
        <v>1401</v>
      </c>
      <c r="B76" s="53" t="s">
        <v>137</v>
      </c>
      <c r="C76" s="53">
        <v>98</v>
      </c>
      <c r="D76" s="53">
        <v>80</v>
      </c>
      <c r="E76" s="53" t="s">
        <v>134</v>
      </c>
      <c r="F76" s="53" t="s">
        <v>120</v>
      </c>
      <c r="G76" s="53" t="s">
        <v>1402</v>
      </c>
      <c r="H76" s="86" t="s">
        <v>1253</v>
      </c>
    </row>
    <row r="77" spans="1:8" ht="30" x14ac:dyDescent="0.25">
      <c r="A77" s="54" t="s">
        <v>1401</v>
      </c>
      <c r="B77" s="53" t="s">
        <v>137</v>
      </c>
      <c r="C77" s="53">
        <v>99</v>
      </c>
      <c r="D77" s="53">
        <v>81</v>
      </c>
      <c r="E77" s="53" t="s">
        <v>132</v>
      </c>
      <c r="F77" s="53" t="s">
        <v>120</v>
      </c>
      <c r="G77" s="53" t="s">
        <v>133</v>
      </c>
      <c r="H77" s="86" t="s">
        <v>1253</v>
      </c>
    </row>
    <row r="78" spans="1:8" ht="45" x14ac:dyDescent="0.25">
      <c r="A78" s="54" t="s">
        <v>1401</v>
      </c>
      <c r="B78" s="53" t="s">
        <v>137</v>
      </c>
      <c r="C78" s="53">
        <v>100</v>
      </c>
      <c r="D78" s="53">
        <v>82</v>
      </c>
      <c r="E78" s="53" t="s">
        <v>134</v>
      </c>
      <c r="F78" s="53" t="s">
        <v>123</v>
      </c>
      <c r="G78" s="53" t="s">
        <v>1403</v>
      </c>
      <c r="H78" s="86" t="s">
        <v>1253</v>
      </c>
    </row>
    <row r="79" spans="1:8" x14ac:dyDescent="0.25">
      <c r="A79" s="10"/>
      <c r="B79" s="5"/>
      <c r="C79" s="5"/>
      <c r="D79" s="5"/>
      <c r="E79" s="5"/>
      <c r="F79" s="5"/>
      <c r="G79" s="5"/>
      <c r="H79" s="11"/>
    </row>
    <row r="80" spans="1:8" x14ac:dyDescent="0.25">
      <c r="A80" s="10"/>
      <c r="B80" s="5"/>
      <c r="C80" s="5"/>
      <c r="D80" s="5"/>
      <c r="E80" s="5"/>
      <c r="F80" s="5"/>
      <c r="G80" s="5"/>
      <c r="H80" s="11"/>
    </row>
    <row r="81" spans="1:8" x14ac:dyDescent="0.25">
      <c r="A81" s="10"/>
      <c r="B81" s="5"/>
      <c r="C81" s="5"/>
      <c r="D81" s="5"/>
      <c r="E81" s="5"/>
      <c r="F81" s="5"/>
      <c r="G81" s="5"/>
      <c r="H81" s="11"/>
    </row>
    <row r="82" spans="1:8" x14ac:dyDescent="0.25">
      <c r="A82" s="87" t="s">
        <v>1406</v>
      </c>
      <c r="B82" s="85" t="s">
        <v>9</v>
      </c>
      <c r="C82" s="85" t="s">
        <v>1248</v>
      </c>
      <c r="D82" s="85" t="s">
        <v>1252</v>
      </c>
      <c r="E82" s="85" t="s">
        <v>1228</v>
      </c>
      <c r="F82" s="85" t="s">
        <v>1407</v>
      </c>
      <c r="G82" s="85" t="s">
        <v>1232</v>
      </c>
      <c r="H82" s="88" t="s">
        <v>522</v>
      </c>
    </row>
    <row r="83" spans="1:8" x14ac:dyDescent="0.25">
      <c r="A83" s="10" t="s">
        <v>1408</v>
      </c>
      <c r="B83" s="5" t="s">
        <v>130</v>
      </c>
      <c r="C83" s="5">
        <v>69</v>
      </c>
      <c r="D83" s="5" t="s">
        <v>1409</v>
      </c>
      <c r="E83" s="5" t="s">
        <v>1410</v>
      </c>
      <c r="F83" s="5" t="s">
        <v>84</v>
      </c>
      <c r="G83" s="5" t="s">
        <v>1411</v>
      </c>
      <c r="H83" s="11" t="s">
        <v>1412</v>
      </c>
    </row>
    <row r="84" spans="1:8" x14ac:dyDescent="0.25">
      <c r="A84" s="10" t="s">
        <v>1408</v>
      </c>
      <c r="B84" s="5" t="s">
        <v>130</v>
      </c>
      <c r="C84" s="5">
        <v>70</v>
      </c>
      <c r="D84" s="5" t="s">
        <v>1413</v>
      </c>
      <c r="E84" s="5" t="s">
        <v>1410</v>
      </c>
      <c r="F84" s="5" t="s">
        <v>85</v>
      </c>
      <c r="G84" s="5" t="s">
        <v>1411</v>
      </c>
      <c r="H84" s="11" t="s">
        <v>1412</v>
      </c>
    </row>
    <row r="85" spans="1:8" x14ac:dyDescent="0.25">
      <c r="A85" s="10" t="s">
        <v>1408</v>
      </c>
      <c r="B85" s="5" t="s">
        <v>130</v>
      </c>
      <c r="C85" s="5">
        <v>72</v>
      </c>
      <c r="D85" s="5" t="s">
        <v>1414</v>
      </c>
      <c r="E85" s="5" t="s">
        <v>1410</v>
      </c>
      <c r="F85" s="5" t="s">
        <v>88</v>
      </c>
      <c r="G85" s="5" t="s">
        <v>1411</v>
      </c>
      <c r="H85" s="11" t="s">
        <v>1412</v>
      </c>
    </row>
    <row r="86" spans="1:8" x14ac:dyDescent="0.25">
      <c r="A86" s="10" t="s">
        <v>1408</v>
      </c>
      <c r="B86" s="5" t="s">
        <v>130</v>
      </c>
      <c r="C86" s="5">
        <v>73</v>
      </c>
      <c r="D86" s="5" t="s">
        <v>1415</v>
      </c>
      <c r="E86" s="5" t="s">
        <v>1410</v>
      </c>
      <c r="F86" s="5" t="s">
        <v>89</v>
      </c>
      <c r="G86" s="5" t="s">
        <v>1411</v>
      </c>
      <c r="H86" s="11" t="s">
        <v>1412</v>
      </c>
    </row>
    <row r="87" spans="1:8" x14ac:dyDescent="0.25">
      <c r="A87" s="10" t="s">
        <v>1408</v>
      </c>
      <c r="B87" s="5" t="s">
        <v>130</v>
      </c>
      <c r="C87" s="5">
        <v>75</v>
      </c>
      <c r="D87" s="5" t="s">
        <v>1416</v>
      </c>
      <c r="E87" s="5" t="s">
        <v>1410</v>
      </c>
      <c r="F87" s="5" t="s">
        <v>92</v>
      </c>
      <c r="G87" s="5" t="s">
        <v>1411</v>
      </c>
      <c r="H87" s="11" t="s">
        <v>1412</v>
      </c>
    </row>
    <row r="88" spans="1:8" x14ac:dyDescent="0.25">
      <c r="A88" s="10" t="s">
        <v>1408</v>
      </c>
      <c r="B88" s="5" t="s">
        <v>130</v>
      </c>
      <c r="C88" s="5">
        <v>76</v>
      </c>
      <c r="D88" s="5" t="s">
        <v>1417</v>
      </c>
      <c r="E88" s="5" t="s">
        <v>1410</v>
      </c>
      <c r="F88" s="5" t="s">
        <v>93</v>
      </c>
      <c r="G88" s="5" t="s">
        <v>1411</v>
      </c>
      <c r="H88" s="11" t="s">
        <v>1412</v>
      </c>
    </row>
    <row r="89" spans="1:8" x14ac:dyDescent="0.25">
      <c r="A89" s="10" t="s">
        <v>1408</v>
      </c>
      <c r="B89" s="5" t="s">
        <v>130</v>
      </c>
      <c r="C89" s="5">
        <v>78</v>
      </c>
      <c r="D89" s="5" t="s">
        <v>1418</v>
      </c>
      <c r="E89" s="5" t="s">
        <v>1410</v>
      </c>
      <c r="F89" s="5" t="s">
        <v>96</v>
      </c>
      <c r="G89" s="5" t="s">
        <v>1411</v>
      </c>
      <c r="H89" s="11" t="s">
        <v>1412</v>
      </c>
    </row>
    <row r="90" spans="1:8" x14ac:dyDescent="0.25">
      <c r="A90" s="10" t="s">
        <v>1408</v>
      </c>
      <c r="B90" s="5" t="s">
        <v>130</v>
      </c>
      <c r="C90" s="5">
        <v>79</v>
      </c>
      <c r="D90" s="5" t="s">
        <v>1419</v>
      </c>
      <c r="E90" s="5" t="s">
        <v>1410</v>
      </c>
      <c r="F90" s="5" t="s">
        <v>97</v>
      </c>
      <c r="G90" s="5" t="s">
        <v>1411</v>
      </c>
      <c r="H90" s="11" t="s">
        <v>1412</v>
      </c>
    </row>
    <row r="91" spans="1:8" x14ac:dyDescent="0.25">
      <c r="A91" s="10" t="s">
        <v>1420</v>
      </c>
      <c r="B91" s="5" t="s">
        <v>1421</v>
      </c>
      <c r="C91" s="5"/>
      <c r="D91" s="5" t="s">
        <v>1422</v>
      </c>
      <c r="E91" s="5" t="s">
        <v>1423</v>
      </c>
      <c r="F91" s="5" t="s">
        <v>1424</v>
      </c>
      <c r="G91" s="5" t="s">
        <v>1425</v>
      </c>
      <c r="H91" s="11" t="s">
        <v>1412</v>
      </c>
    </row>
    <row r="92" spans="1:8" x14ac:dyDescent="0.25">
      <c r="A92" s="10"/>
      <c r="B92" s="5"/>
      <c r="C92" s="5"/>
      <c r="D92" s="5"/>
      <c r="E92" s="5"/>
      <c r="F92" s="5"/>
      <c r="G92" s="5"/>
      <c r="H92" s="11"/>
    </row>
    <row r="93" spans="1:8" x14ac:dyDescent="0.25">
      <c r="A93" s="10" t="s">
        <v>1426</v>
      </c>
      <c r="B93" s="5" t="s">
        <v>1427</v>
      </c>
      <c r="C93" s="5"/>
      <c r="D93" s="5" t="s">
        <v>620</v>
      </c>
      <c r="E93" s="5" t="s">
        <v>1428</v>
      </c>
      <c r="F93" s="5"/>
      <c r="G93" s="5" t="s">
        <v>1429</v>
      </c>
      <c r="H93" s="11" t="s">
        <v>1412</v>
      </c>
    </row>
    <row r="94" spans="1:8" x14ac:dyDescent="0.25">
      <c r="A94" s="10"/>
      <c r="B94" s="5"/>
      <c r="C94" s="5"/>
      <c r="D94" s="5"/>
      <c r="E94" s="5"/>
      <c r="F94" s="5"/>
      <c r="G94" s="5"/>
      <c r="H94" s="11"/>
    </row>
    <row r="95" spans="1:8" x14ac:dyDescent="0.25">
      <c r="A95" s="87" t="s">
        <v>1406</v>
      </c>
      <c r="B95" s="85" t="s">
        <v>9</v>
      </c>
      <c r="C95" s="85" t="s">
        <v>1430</v>
      </c>
      <c r="D95" s="85" t="s">
        <v>1252</v>
      </c>
      <c r="E95" s="85" t="s">
        <v>1228</v>
      </c>
      <c r="F95" s="85" t="s">
        <v>1431</v>
      </c>
      <c r="G95" s="85" t="s">
        <v>1232</v>
      </c>
      <c r="H95" s="88" t="s">
        <v>522</v>
      </c>
    </row>
    <row r="96" spans="1:8" x14ac:dyDescent="0.25">
      <c r="A96" s="10" t="s">
        <v>1432</v>
      </c>
      <c r="B96" s="5" t="s">
        <v>1433</v>
      </c>
      <c r="C96" s="5" t="s">
        <v>1434</v>
      </c>
      <c r="D96" s="5" t="s">
        <v>15</v>
      </c>
      <c r="E96" s="5" t="s">
        <v>1435</v>
      </c>
      <c r="F96" s="5" t="s">
        <v>1436</v>
      </c>
      <c r="G96" s="5" t="s">
        <v>1437</v>
      </c>
      <c r="H96" s="11" t="s">
        <v>1412</v>
      </c>
    </row>
    <row r="97" spans="1:8" x14ac:dyDescent="0.25">
      <c r="A97" s="10"/>
      <c r="B97" s="5"/>
      <c r="C97" s="5"/>
      <c r="D97" s="5"/>
      <c r="E97" s="5"/>
      <c r="F97" s="5"/>
      <c r="G97" s="5"/>
      <c r="H97" s="11"/>
    </row>
    <row r="98" spans="1:8" x14ac:dyDescent="0.25">
      <c r="A98" s="87" t="s">
        <v>1406</v>
      </c>
      <c r="B98" s="85" t="s">
        <v>9</v>
      </c>
      <c r="C98" s="85" t="s">
        <v>1430</v>
      </c>
      <c r="D98" s="85" t="s">
        <v>1252</v>
      </c>
      <c r="E98" s="85" t="s">
        <v>1228</v>
      </c>
      <c r="F98" s="85" t="s">
        <v>1431</v>
      </c>
      <c r="G98" s="85" t="s">
        <v>1232</v>
      </c>
      <c r="H98" s="88" t="s">
        <v>522</v>
      </c>
    </row>
    <row r="99" spans="1:8" x14ac:dyDescent="0.25">
      <c r="A99" s="10" t="s">
        <v>1438</v>
      </c>
      <c r="B99" s="5" t="s">
        <v>137</v>
      </c>
      <c r="C99" s="5" t="s">
        <v>1439</v>
      </c>
      <c r="D99" s="5" t="s">
        <v>1440</v>
      </c>
      <c r="E99" s="5" t="s">
        <v>1441</v>
      </c>
      <c r="F99" s="5" t="s">
        <v>1442</v>
      </c>
      <c r="G99" s="5" t="s">
        <v>1443</v>
      </c>
      <c r="H99" s="11" t="s">
        <v>1412</v>
      </c>
    </row>
    <row r="100" spans="1:8" x14ac:dyDescent="0.25">
      <c r="A100" s="10"/>
      <c r="B100" s="5"/>
      <c r="C100" s="5"/>
      <c r="D100" s="5"/>
      <c r="E100" s="5"/>
      <c r="F100" s="5"/>
      <c r="G100" s="5"/>
      <c r="H100" s="11"/>
    </row>
    <row r="101" spans="1:8" x14ac:dyDescent="0.25">
      <c r="A101" s="10"/>
      <c r="B101" s="5"/>
      <c r="C101" s="5"/>
      <c r="D101" s="5"/>
      <c r="E101" s="5"/>
      <c r="F101" s="5"/>
      <c r="G101" s="5"/>
      <c r="H101" s="11"/>
    </row>
    <row r="102" spans="1:8" x14ac:dyDescent="0.25">
      <c r="A102" s="10"/>
      <c r="B102" s="5"/>
      <c r="C102" s="5"/>
      <c r="D102" s="5"/>
      <c r="E102" s="5"/>
      <c r="F102" s="5"/>
      <c r="G102" s="5"/>
      <c r="H102" s="11"/>
    </row>
    <row r="103" spans="1:8" x14ac:dyDescent="0.25">
      <c r="A103" s="10"/>
      <c r="B103" s="5"/>
      <c r="C103" s="5"/>
      <c r="D103" s="5"/>
      <c r="E103" s="5"/>
      <c r="F103" s="5"/>
      <c r="G103" s="5"/>
      <c r="H103" s="11"/>
    </row>
    <row r="104" spans="1:8" x14ac:dyDescent="0.25">
      <c r="A104" s="10"/>
      <c r="B104" s="5"/>
      <c r="C104" s="5"/>
      <c r="D104" s="5"/>
      <c r="E104" s="5"/>
      <c r="F104" s="5"/>
      <c r="G104" s="5"/>
      <c r="H104" s="11"/>
    </row>
    <row r="105" spans="1:8" x14ac:dyDescent="0.25">
      <c r="A105" s="87" t="s">
        <v>1406</v>
      </c>
      <c r="B105" s="85" t="s">
        <v>1444</v>
      </c>
      <c r="C105" s="85" t="s">
        <v>1430</v>
      </c>
      <c r="D105" s="85" t="s">
        <v>1252</v>
      </c>
      <c r="E105" s="85" t="s">
        <v>1228</v>
      </c>
      <c r="F105" s="85" t="s">
        <v>1431</v>
      </c>
      <c r="G105" s="85" t="s">
        <v>1232</v>
      </c>
      <c r="H105" s="88" t="s">
        <v>522</v>
      </c>
    </row>
    <row r="106" spans="1:8" x14ac:dyDescent="0.25">
      <c r="A106" s="10" t="s">
        <v>1445</v>
      </c>
      <c r="B106" s="5" t="s">
        <v>1446</v>
      </c>
      <c r="C106" s="5" t="s">
        <v>1447</v>
      </c>
      <c r="D106" s="5" t="s">
        <v>1448</v>
      </c>
      <c r="E106" s="5" t="s">
        <v>1449</v>
      </c>
      <c r="F106" s="5"/>
      <c r="G106" s="5" t="s">
        <v>1450</v>
      </c>
      <c r="H106" s="11" t="s">
        <v>1412</v>
      </c>
    </row>
    <row r="107" spans="1:8" x14ac:dyDescent="0.25">
      <c r="A107" s="10" t="s">
        <v>1432</v>
      </c>
      <c r="B107" s="5" t="s">
        <v>1433</v>
      </c>
      <c r="C107" s="5" t="s">
        <v>1451</v>
      </c>
      <c r="D107" s="5" t="s">
        <v>19</v>
      </c>
      <c r="E107" s="5" t="s">
        <v>1452</v>
      </c>
      <c r="F107" s="5"/>
      <c r="G107" s="5" t="s">
        <v>1453</v>
      </c>
      <c r="H107" s="11" t="s">
        <v>1412</v>
      </c>
    </row>
    <row r="108" spans="1:8" x14ac:dyDescent="0.25">
      <c r="A108" s="87" t="s">
        <v>1406</v>
      </c>
      <c r="B108" s="85" t="s">
        <v>9</v>
      </c>
      <c r="C108" s="85" t="s">
        <v>1430</v>
      </c>
      <c r="D108" s="85" t="s">
        <v>1252</v>
      </c>
      <c r="E108" s="85" t="s">
        <v>1228</v>
      </c>
      <c r="F108" s="85" t="s">
        <v>1431</v>
      </c>
      <c r="G108" s="85" t="s">
        <v>1232</v>
      </c>
      <c r="H108" s="88" t="s">
        <v>522</v>
      </c>
    </row>
    <row r="109" spans="1:8" x14ac:dyDescent="0.25">
      <c r="A109" s="10" t="s">
        <v>1454</v>
      </c>
      <c r="B109" s="5" t="s">
        <v>46</v>
      </c>
      <c r="C109" s="5">
        <v>22</v>
      </c>
      <c r="D109" s="5" t="s">
        <v>62</v>
      </c>
      <c r="E109" s="5" t="s">
        <v>1455</v>
      </c>
      <c r="F109" s="5" t="s">
        <v>64</v>
      </c>
      <c r="G109" s="5" t="s">
        <v>1456</v>
      </c>
      <c r="H109" s="11" t="s">
        <v>1412</v>
      </c>
    </row>
    <row r="110" spans="1:8" x14ac:dyDescent="0.25">
      <c r="A110" s="10" t="s">
        <v>1454</v>
      </c>
      <c r="B110" s="5" t="s">
        <v>57</v>
      </c>
      <c r="C110" s="5">
        <v>29</v>
      </c>
      <c r="D110" s="5" t="s">
        <v>62</v>
      </c>
      <c r="E110" s="5" t="s">
        <v>1455</v>
      </c>
      <c r="F110" s="5" t="s">
        <v>483</v>
      </c>
      <c r="G110" s="5" t="s">
        <v>1456</v>
      </c>
      <c r="H110" s="11" t="s">
        <v>1412</v>
      </c>
    </row>
    <row r="111" spans="1:8" x14ac:dyDescent="0.25">
      <c r="A111" s="10" t="s">
        <v>1454</v>
      </c>
      <c r="B111" s="5" t="s">
        <v>66</v>
      </c>
      <c r="C111" s="5">
        <v>33</v>
      </c>
      <c r="D111" s="5" t="s">
        <v>70</v>
      </c>
      <c r="E111" s="5" t="s">
        <v>1455</v>
      </c>
      <c r="F111" s="5" t="s">
        <v>484</v>
      </c>
      <c r="G111" s="5" t="s">
        <v>1456</v>
      </c>
      <c r="H111" s="11" t="s">
        <v>1412</v>
      </c>
    </row>
    <row r="112" spans="1:8" x14ac:dyDescent="0.25">
      <c r="A112" s="87" t="s">
        <v>1406</v>
      </c>
      <c r="B112" s="85" t="s">
        <v>1444</v>
      </c>
      <c r="C112" s="85" t="s">
        <v>1430</v>
      </c>
      <c r="D112" s="85" t="s">
        <v>1252</v>
      </c>
      <c r="E112" s="85" t="s">
        <v>1228</v>
      </c>
      <c r="F112" s="85" t="s">
        <v>1431</v>
      </c>
      <c r="G112" s="85" t="s">
        <v>1232</v>
      </c>
      <c r="H112" s="88" t="s">
        <v>522</v>
      </c>
    </row>
    <row r="113" spans="1:8" x14ac:dyDescent="0.25">
      <c r="A113" s="10" t="s">
        <v>1457</v>
      </c>
      <c r="B113" s="5" t="s">
        <v>1446</v>
      </c>
      <c r="C113" s="5" t="s">
        <v>1458</v>
      </c>
      <c r="D113" s="5" t="s">
        <v>1459</v>
      </c>
      <c r="E113" s="5" t="s">
        <v>1460</v>
      </c>
      <c r="F113" s="5"/>
      <c r="G113" s="5" t="s">
        <v>1461</v>
      </c>
      <c r="H113" s="11" t="s">
        <v>1412</v>
      </c>
    </row>
    <row r="114" spans="1:8" x14ac:dyDescent="0.25">
      <c r="A114" s="10" t="s">
        <v>1457</v>
      </c>
      <c r="B114" s="5" t="s">
        <v>1445</v>
      </c>
      <c r="C114" s="5" t="s">
        <v>1447</v>
      </c>
      <c r="D114" s="5" t="s">
        <v>1462</v>
      </c>
      <c r="E114" s="5" t="s">
        <v>1463</v>
      </c>
      <c r="F114" s="5"/>
      <c r="G114" s="5" t="s">
        <v>1464</v>
      </c>
      <c r="H114" s="11" t="s">
        <v>1412</v>
      </c>
    </row>
    <row r="115" spans="1:8" x14ac:dyDescent="0.25">
      <c r="A115" s="87" t="s">
        <v>1406</v>
      </c>
      <c r="B115" s="85" t="s">
        <v>1444</v>
      </c>
      <c r="C115" s="85" t="s">
        <v>1430</v>
      </c>
      <c r="D115" s="85" t="s">
        <v>1252</v>
      </c>
      <c r="E115" s="85" t="s">
        <v>1228</v>
      </c>
      <c r="F115" s="85" t="s">
        <v>1431</v>
      </c>
      <c r="G115" s="85" t="s">
        <v>1232</v>
      </c>
      <c r="H115" s="88" t="s">
        <v>522</v>
      </c>
    </row>
    <row r="116" spans="1:8" x14ac:dyDescent="0.25">
      <c r="A116" s="10" t="s">
        <v>1465</v>
      </c>
      <c r="B116" s="5" t="s">
        <v>1433</v>
      </c>
      <c r="C116" s="5" t="s">
        <v>1466</v>
      </c>
      <c r="D116" s="5" t="s">
        <v>1467</v>
      </c>
      <c r="E116" s="5" t="s">
        <v>1468</v>
      </c>
      <c r="F116" s="5"/>
      <c r="G116" s="5" t="s">
        <v>1469</v>
      </c>
      <c r="H116" s="11" t="s">
        <v>1412</v>
      </c>
    </row>
    <row r="117" spans="1:8" x14ac:dyDescent="0.25">
      <c r="A117" s="10" t="s">
        <v>1470</v>
      </c>
      <c r="B117" s="5" t="s">
        <v>1433</v>
      </c>
      <c r="C117" s="5" t="s">
        <v>1471</v>
      </c>
      <c r="D117" s="5" t="s">
        <v>14</v>
      </c>
      <c r="E117" s="5" t="s">
        <v>1472</v>
      </c>
      <c r="F117" s="5"/>
      <c r="G117" s="5" t="s">
        <v>1473</v>
      </c>
      <c r="H117" s="11" t="s">
        <v>1412</v>
      </c>
    </row>
    <row r="118" spans="1:8" x14ac:dyDescent="0.25">
      <c r="A118" s="10" t="s">
        <v>1474</v>
      </c>
      <c r="B118" s="5" t="s">
        <v>1401</v>
      </c>
      <c r="C118" s="5" t="s">
        <v>1475</v>
      </c>
      <c r="D118" s="5" t="s">
        <v>1476</v>
      </c>
      <c r="E118" s="5" t="s">
        <v>1477</v>
      </c>
      <c r="F118" s="5"/>
      <c r="G118" s="5" t="s">
        <v>1478</v>
      </c>
      <c r="H118" s="11" t="s">
        <v>1412</v>
      </c>
    </row>
    <row r="119" spans="1:8" x14ac:dyDescent="0.25">
      <c r="A119" s="87" t="s">
        <v>1406</v>
      </c>
      <c r="B119" s="85" t="s">
        <v>1444</v>
      </c>
      <c r="C119" s="85" t="s">
        <v>1430</v>
      </c>
      <c r="D119" s="85" t="s">
        <v>1252</v>
      </c>
      <c r="E119" s="85" t="s">
        <v>1228</v>
      </c>
      <c r="F119" s="85" t="s">
        <v>1431</v>
      </c>
      <c r="G119" s="85" t="s">
        <v>1232</v>
      </c>
      <c r="H119" s="88" t="s">
        <v>522</v>
      </c>
    </row>
    <row r="120" spans="1:8" x14ac:dyDescent="0.25">
      <c r="A120" s="10" t="s">
        <v>1479</v>
      </c>
      <c r="B120" s="5" t="s">
        <v>1480</v>
      </c>
      <c r="C120" s="5" t="s">
        <v>1481</v>
      </c>
      <c r="D120" s="5" t="s">
        <v>1482</v>
      </c>
      <c r="E120" s="5" t="s">
        <v>1483</v>
      </c>
      <c r="F120" s="5"/>
      <c r="G120" s="5" t="s">
        <v>1484</v>
      </c>
      <c r="H120" s="11" t="s">
        <v>1412</v>
      </c>
    </row>
    <row r="121" spans="1:8" x14ac:dyDescent="0.25">
      <c r="A121" s="161" t="s">
        <v>1406</v>
      </c>
      <c r="B121" s="162" t="s">
        <v>1444</v>
      </c>
      <c r="C121" s="162" t="s">
        <v>1430</v>
      </c>
      <c r="D121" s="162" t="s">
        <v>1252</v>
      </c>
      <c r="E121" s="162" t="s">
        <v>1228</v>
      </c>
      <c r="F121" s="162" t="s">
        <v>1431</v>
      </c>
      <c r="G121" s="162" t="s">
        <v>1232</v>
      </c>
      <c r="H121" s="163" t="s">
        <v>522</v>
      </c>
    </row>
    <row r="122" spans="1:8" x14ac:dyDescent="0.25">
      <c r="A122" s="46" t="s">
        <v>1485</v>
      </c>
      <c r="B122" s="47" t="s">
        <v>1480</v>
      </c>
      <c r="C122" s="47" t="s">
        <v>1486</v>
      </c>
      <c r="D122" s="47" t="s">
        <v>1487</v>
      </c>
      <c r="E122" s="47" t="s">
        <v>1483</v>
      </c>
      <c r="F122" s="47"/>
      <c r="G122" s="47" t="s">
        <v>1488</v>
      </c>
      <c r="H122" s="48" t="s">
        <v>1412</v>
      </c>
    </row>
    <row r="123" spans="1:8" x14ac:dyDescent="0.25">
      <c r="A123" s="10"/>
      <c r="B123" s="5"/>
      <c r="C123" s="5"/>
      <c r="D123" s="5"/>
      <c r="E123" s="5"/>
      <c r="F123" s="5"/>
      <c r="G123" s="5"/>
      <c r="H123" s="11"/>
    </row>
    <row r="124" spans="1:8" x14ac:dyDescent="0.25">
      <c r="A124" s="10"/>
      <c r="B124" s="5"/>
      <c r="C124" s="5"/>
      <c r="D124" s="5"/>
      <c r="E124" s="5"/>
      <c r="F124" s="5"/>
      <c r="G124" s="5"/>
      <c r="H124" s="11"/>
    </row>
    <row r="125" spans="1:8" x14ac:dyDescent="0.25">
      <c r="A125" s="10"/>
      <c r="B125" s="5"/>
      <c r="C125" s="5"/>
      <c r="D125" s="5"/>
      <c r="E125" s="5"/>
      <c r="F125" s="5"/>
      <c r="G125" s="5"/>
      <c r="H125" s="11"/>
    </row>
    <row r="126" spans="1:8" x14ac:dyDescent="0.25">
      <c r="A126" s="10"/>
      <c r="B126" s="5"/>
      <c r="C126" s="5"/>
      <c r="D126" s="5"/>
      <c r="E126" s="5"/>
      <c r="F126" s="5"/>
      <c r="G126" s="5"/>
      <c r="H126" s="11"/>
    </row>
    <row r="127" spans="1:8" x14ac:dyDescent="0.25">
      <c r="A127" s="10"/>
      <c r="B127" s="5"/>
      <c r="C127" s="5"/>
      <c r="D127" s="5"/>
      <c r="E127" s="5"/>
      <c r="F127" s="5"/>
      <c r="G127" s="5"/>
      <c r="H127" s="11"/>
    </row>
    <row r="128" spans="1:8" x14ac:dyDescent="0.25">
      <c r="A128" s="10"/>
      <c r="B128" s="5"/>
      <c r="C128" s="5"/>
      <c r="D128" s="5"/>
      <c r="E128" s="5"/>
      <c r="F128" s="5"/>
      <c r="G128" s="5"/>
      <c r="H128" s="11"/>
    </row>
    <row r="129" spans="1:8" x14ac:dyDescent="0.25">
      <c r="A129" s="10"/>
      <c r="B129" s="5"/>
      <c r="C129" s="5"/>
      <c r="D129" s="5"/>
      <c r="E129" s="5"/>
      <c r="F129" s="5"/>
      <c r="G129" s="5"/>
      <c r="H129" s="11"/>
    </row>
    <row r="130" spans="1:8" x14ac:dyDescent="0.25">
      <c r="A130" s="164" t="s">
        <v>1406</v>
      </c>
      <c r="B130" s="165" t="s">
        <v>9</v>
      </c>
      <c r="C130" s="165" t="s">
        <v>1430</v>
      </c>
      <c r="D130" s="165" t="s">
        <v>1252</v>
      </c>
      <c r="E130" s="165" t="s">
        <v>1228</v>
      </c>
      <c r="F130" s="165" t="s">
        <v>1431</v>
      </c>
      <c r="G130" s="165" t="s">
        <v>1232</v>
      </c>
      <c r="H130" s="166" t="s">
        <v>522</v>
      </c>
    </row>
    <row r="131" spans="1:8" x14ac:dyDescent="0.25">
      <c r="A131" s="10" t="s">
        <v>1489</v>
      </c>
      <c r="B131" s="5" t="s">
        <v>81</v>
      </c>
      <c r="C131" s="5" t="s">
        <v>1490</v>
      </c>
      <c r="D131" s="5" t="s">
        <v>1491</v>
      </c>
      <c r="E131" s="5" t="s">
        <v>1492</v>
      </c>
      <c r="F131" s="5"/>
      <c r="G131" s="5" t="s">
        <v>1493</v>
      </c>
      <c r="H131" s="11" t="s">
        <v>1412</v>
      </c>
    </row>
    <row r="132" spans="1:8" x14ac:dyDescent="0.25">
      <c r="A132" s="10" t="s">
        <v>1494</v>
      </c>
      <c r="B132" s="5" t="s">
        <v>81</v>
      </c>
      <c r="C132" s="5" t="s">
        <v>1495</v>
      </c>
      <c r="D132" s="5" t="s">
        <v>1496</v>
      </c>
      <c r="E132" s="5" t="s">
        <v>1497</v>
      </c>
      <c r="F132" s="5" t="s">
        <v>1498</v>
      </c>
      <c r="G132" s="5" t="s">
        <v>1499</v>
      </c>
      <c r="H132" s="11" t="s">
        <v>1412</v>
      </c>
    </row>
    <row r="133" spans="1:8" x14ac:dyDescent="0.25">
      <c r="A133" s="10" t="s">
        <v>1500</v>
      </c>
      <c r="B133" s="5" t="s">
        <v>81</v>
      </c>
      <c r="C133" s="5" t="s">
        <v>1501</v>
      </c>
      <c r="D133" s="5" t="s">
        <v>1502</v>
      </c>
      <c r="E133" s="5" t="s">
        <v>1503</v>
      </c>
      <c r="F133" s="5"/>
      <c r="G133" s="5" t="s">
        <v>1504</v>
      </c>
      <c r="H133" s="11" t="s">
        <v>1412</v>
      </c>
    </row>
    <row r="134" spans="1:8" x14ac:dyDescent="0.25">
      <c r="A134" s="10" t="s">
        <v>1505</v>
      </c>
      <c r="B134" s="5" t="s">
        <v>81</v>
      </c>
      <c r="C134" s="5" t="s">
        <v>1506</v>
      </c>
      <c r="D134" s="5" t="s">
        <v>200</v>
      </c>
      <c r="E134" s="5" t="s">
        <v>1507</v>
      </c>
      <c r="F134" s="5" t="s">
        <v>1508</v>
      </c>
      <c r="G134" s="5" t="s">
        <v>1509</v>
      </c>
      <c r="H134" s="11" t="s">
        <v>1412</v>
      </c>
    </row>
    <row r="135" spans="1:8" x14ac:dyDescent="0.25">
      <c r="A135" s="46" t="s">
        <v>1500</v>
      </c>
      <c r="B135" s="47" t="s">
        <v>81</v>
      </c>
      <c r="C135" s="47" t="s">
        <v>1510</v>
      </c>
      <c r="D135" s="47" t="s">
        <v>1511</v>
      </c>
      <c r="E135" s="47" t="s">
        <v>1507</v>
      </c>
      <c r="F135" s="47" t="s">
        <v>128</v>
      </c>
      <c r="G135" s="47" t="s">
        <v>1512</v>
      </c>
      <c r="H135" s="48" t="s">
        <v>1412</v>
      </c>
    </row>
    <row r="137" spans="1:8" x14ac:dyDescent="0.25">
      <c r="A137" s="167" t="s">
        <v>1406</v>
      </c>
      <c r="B137" s="168" t="s">
        <v>9</v>
      </c>
      <c r="C137" s="168" t="s">
        <v>1430</v>
      </c>
      <c r="D137" s="168" t="s">
        <v>1252</v>
      </c>
      <c r="E137" s="168" t="s">
        <v>1228</v>
      </c>
      <c r="F137" s="168" t="s">
        <v>1431</v>
      </c>
      <c r="G137" s="168" t="s">
        <v>1232</v>
      </c>
      <c r="H137" s="169" t="s">
        <v>522</v>
      </c>
    </row>
    <row r="138" spans="1:8" x14ac:dyDescent="0.25">
      <c r="A138" s="10" t="s">
        <v>1489</v>
      </c>
      <c r="B138" s="5" t="s">
        <v>130</v>
      </c>
      <c r="C138" s="5" t="s">
        <v>1513</v>
      </c>
      <c r="D138" s="5" t="s">
        <v>311</v>
      </c>
      <c r="E138" s="5" t="s">
        <v>1492</v>
      </c>
      <c r="F138" s="5"/>
      <c r="G138" s="5" t="s">
        <v>1514</v>
      </c>
      <c r="H138" s="11" t="s">
        <v>1412</v>
      </c>
    </row>
    <row r="139" spans="1:8" x14ac:dyDescent="0.25">
      <c r="A139" s="10" t="s">
        <v>1494</v>
      </c>
      <c r="B139" s="5" t="s">
        <v>130</v>
      </c>
      <c r="C139" s="5" t="s">
        <v>1515</v>
      </c>
      <c r="D139" s="5" t="s">
        <v>1496</v>
      </c>
      <c r="E139" s="5" t="s">
        <v>1497</v>
      </c>
      <c r="F139" s="5" t="s">
        <v>1498</v>
      </c>
      <c r="G139" s="5" t="s">
        <v>1516</v>
      </c>
      <c r="H139" s="11" t="s">
        <v>1412</v>
      </c>
    </row>
    <row r="140" spans="1:8" x14ac:dyDescent="0.25">
      <c r="A140" s="10" t="s">
        <v>1500</v>
      </c>
      <c r="B140" s="5" t="s">
        <v>130</v>
      </c>
      <c r="C140" s="5" t="s">
        <v>1517</v>
      </c>
      <c r="D140" s="5" t="s">
        <v>1518</v>
      </c>
      <c r="E140" s="5" t="s">
        <v>1503</v>
      </c>
      <c r="F140" s="5" t="s">
        <v>1519</v>
      </c>
      <c r="G140" s="5" t="s">
        <v>1520</v>
      </c>
      <c r="H140" s="11" t="s">
        <v>1412</v>
      </c>
    </row>
    <row r="141" spans="1:8" x14ac:dyDescent="0.25">
      <c r="A141" s="10" t="s">
        <v>1505</v>
      </c>
      <c r="B141" s="5" t="s">
        <v>130</v>
      </c>
      <c r="C141" s="5" t="s">
        <v>1521</v>
      </c>
      <c r="D141" s="5" t="s">
        <v>200</v>
      </c>
      <c r="E141" s="5" t="s">
        <v>1507</v>
      </c>
      <c r="F141" s="5" t="s">
        <v>1522</v>
      </c>
      <c r="G141" s="5" t="s">
        <v>1523</v>
      </c>
      <c r="H141" s="11" t="s">
        <v>1412</v>
      </c>
    </row>
    <row r="142" spans="1:8" x14ac:dyDescent="0.25">
      <c r="A142" s="46" t="s">
        <v>1505</v>
      </c>
      <c r="B142" s="47" t="s">
        <v>130</v>
      </c>
      <c r="C142" s="47" t="s">
        <v>1524</v>
      </c>
      <c r="D142" s="47" t="s">
        <v>1525</v>
      </c>
      <c r="E142" s="47" t="s">
        <v>1526</v>
      </c>
      <c r="F142" s="47" t="s">
        <v>133</v>
      </c>
      <c r="G142" s="47" t="s">
        <v>1527</v>
      </c>
      <c r="H142" s="48" t="s">
        <v>1412</v>
      </c>
    </row>
    <row r="144" spans="1:8" x14ac:dyDescent="0.25">
      <c r="A144" s="170" t="s">
        <v>1406</v>
      </c>
      <c r="B144" s="171" t="s">
        <v>9</v>
      </c>
      <c r="C144" s="171" t="s">
        <v>1430</v>
      </c>
      <c r="D144" s="171" t="s">
        <v>1252</v>
      </c>
      <c r="E144" s="171" t="s">
        <v>1228</v>
      </c>
      <c r="F144" s="171" t="s">
        <v>1431</v>
      </c>
      <c r="G144" s="171" t="s">
        <v>1232</v>
      </c>
      <c r="H144" s="172" t="s">
        <v>522</v>
      </c>
    </row>
    <row r="145" spans="1:8" x14ac:dyDescent="0.25">
      <c r="A145" s="10" t="s">
        <v>1489</v>
      </c>
      <c r="B145" s="5" t="s">
        <v>137</v>
      </c>
      <c r="C145" s="5" t="s">
        <v>1528</v>
      </c>
      <c r="D145" s="5" t="s">
        <v>1440</v>
      </c>
      <c r="E145" s="5" t="s">
        <v>1492</v>
      </c>
      <c r="F145" s="5"/>
      <c r="G145" s="5" t="s">
        <v>1514</v>
      </c>
      <c r="H145" s="11" t="s">
        <v>1412</v>
      </c>
    </row>
    <row r="146" spans="1:8" x14ac:dyDescent="0.25">
      <c r="A146" s="10" t="s">
        <v>1529</v>
      </c>
      <c r="B146" s="5" t="s">
        <v>137</v>
      </c>
      <c r="C146" s="5" t="s">
        <v>1528</v>
      </c>
      <c r="D146" s="5" t="s">
        <v>1440</v>
      </c>
      <c r="E146" s="5" t="s">
        <v>1530</v>
      </c>
      <c r="F146" s="5"/>
      <c r="G146" s="5" t="s">
        <v>1531</v>
      </c>
      <c r="H146" s="11" t="s">
        <v>1412</v>
      </c>
    </row>
    <row r="147" spans="1:8" x14ac:dyDescent="0.25">
      <c r="A147" s="10" t="s">
        <v>1505</v>
      </c>
      <c r="B147" s="5" t="s">
        <v>137</v>
      </c>
      <c r="C147" s="5" t="s">
        <v>1532</v>
      </c>
      <c r="D147" s="5" t="s">
        <v>199</v>
      </c>
      <c r="E147" s="5" t="s">
        <v>1533</v>
      </c>
      <c r="F147" s="5" t="s">
        <v>1534</v>
      </c>
      <c r="G147" s="5" t="s">
        <v>1535</v>
      </c>
      <c r="H147" s="11" t="s">
        <v>1412</v>
      </c>
    </row>
    <row r="148" spans="1:8" x14ac:dyDescent="0.25">
      <c r="A148" s="10" t="s">
        <v>1505</v>
      </c>
      <c r="B148" s="5" t="s">
        <v>137</v>
      </c>
      <c r="C148" s="5" t="s">
        <v>1536</v>
      </c>
      <c r="D148" s="5" t="s">
        <v>200</v>
      </c>
      <c r="E148" s="5" t="s">
        <v>1507</v>
      </c>
      <c r="F148" s="5" t="s">
        <v>1537</v>
      </c>
      <c r="G148" s="5" t="s">
        <v>1523</v>
      </c>
      <c r="H148" s="11" t="s">
        <v>1412</v>
      </c>
    </row>
    <row r="149" spans="1:8" x14ac:dyDescent="0.25">
      <c r="A149" s="46" t="s">
        <v>1505</v>
      </c>
      <c r="B149" s="47" t="s">
        <v>137</v>
      </c>
      <c r="C149" s="47" t="s">
        <v>1538</v>
      </c>
      <c r="D149" s="47" t="s">
        <v>1525</v>
      </c>
      <c r="E149" s="47" t="s">
        <v>1526</v>
      </c>
      <c r="F149" s="47" t="s">
        <v>151</v>
      </c>
      <c r="G149" s="47" t="s">
        <v>1539</v>
      </c>
      <c r="H149" s="48" t="s">
        <v>1412</v>
      </c>
    </row>
    <row r="151" spans="1:8" x14ac:dyDescent="0.25">
      <c r="A151" s="178" t="s">
        <v>1406</v>
      </c>
      <c r="B151" s="179" t="s">
        <v>9</v>
      </c>
      <c r="C151" s="179" t="s">
        <v>1430</v>
      </c>
      <c r="D151" s="179" t="s">
        <v>1252</v>
      </c>
      <c r="E151" s="179" t="s">
        <v>1228</v>
      </c>
      <c r="F151" s="179" t="s">
        <v>1431</v>
      </c>
      <c r="G151" s="179" t="s">
        <v>1232</v>
      </c>
      <c r="H151" s="180" t="s">
        <v>522</v>
      </c>
    </row>
    <row r="152" spans="1:8" x14ac:dyDescent="0.25">
      <c r="A152" s="10" t="s">
        <v>1489</v>
      </c>
      <c r="B152" s="5" t="s">
        <v>154</v>
      </c>
      <c r="C152" s="5" t="s">
        <v>1540</v>
      </c>
      <c r="D152" s="5" t="s">
        <v>1541</v>
      </c>
      <c r="E152" s="5" t="s">
        <v>1492</v>
      </c>
      <c r="F152" s="5"/>
      <c r="G152" s="5" t="s">
        <v>1542</v>
      </c>
      <c r="H152" s="11" t="s">
        <v>1412</v>
      </c>
    </row>
    <row r="153" spans="1:8" x14ac:dyDescent="0.25">
      <c r="A153" s="10" t="s">
        <v>1543</v>
      </c>
      <c r="B153" s="5" t="s">
        <v>154</v>
      </c>
      <c r="C153" s="5" t="s">
        <v>1544</v>
      </c>
      <c r="D153" s="5" t="s">
        <v>1545</v>
      </c>
      <c r="E153" s="5" t="s">
        <v>1546</v>
      </c>
      <c r="F153" s="5" t="s">
        <v>486</v>
      </c>
      <c r="G153" s="5" t="s">
        <v>1547</v>
      </c>
      <c r="H153" s="11" t="s">
        <v>1412</v>
      </c>
    </row>
    <row r="154" spans="1:8" x14ac:dyDescent="0.25">
      <c r="A154" s="10" t="s">
        <v>1529</v>
      </c>
      <c r="B154" s="5" t="s">
        <v>154</v>
      </c>
      <c r="C154" s="5" t="s">
        <v>1540</v>
      </c>
      <c r="D154" s="5" t="s">
        <v>1548</v>
      </c>
      <c r="E154" s="5" t="s">
        <v>1549</v>
      </c>
      <c r="F154" s="5"/>
      <c r="G154" s="5" t="s">
        <v>1531</v>
      </c>
      <c r="H154" s="11" t="s">
        <v>1412</v>
      </c>
    </row>
    <row r="155" spans="1:8" x14ac:dyDescent="0.25">
      <c r="A155" s="10" t="s">
        <v>1505</v>
      </c>
      <c r="B155" s="5" t="s">
        <v>154</v>
      </c>
      <c r="C155" s="5" t="s">
        <v>1550</v>
      </c>
      <c r="D155" s="5" t="s">
        <v>1551</v>
      </c>
      <c r="E155" s="5" t="s">
        <v>1552</v>
      </c>
      <c r="F155" s="5" t="s">
        <v>157</v>
      </c>
      <c r="G155" s="5" t="s">
        <v>1553</v>
      </c>
      <c r="H155" s="11" t="s">
        <v>1412</v>
      </c>
    </row>
    <row r="156" spans="1:8" x14ac:dyDescent="0.25">
      <c r="A156" s="46" t="s">
        <v>1505</v>
      </c>
      <c r="B156" s="47" t="s">
        <v>154</v>
      </c>
      <c r="C156" s="47" t="s">
        <v>1554</v>
      </c>
      <c r="D156" s="47" t="s">
        <v>1555</v>
      </c>
      <c r="E156" s="47" t="s">
        <v>1552</v>
      </c>
      <c r="F156" s="47" t="s">
        <v>1556</v>
      </c>
      <c r="G156" s="47" t="s">
        <v>1557</v>
      </c>
      <c r="H156" s="48" t="s">
        <v>1412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0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38" customWidth="1"/>
    <col min="4" max="4" width="22" customWidth="1"/>
    <col min="5" max="5" width="42" customWidth="1"/>
    <col min="6" max="6" width="35" customWidth="1"/>
    <col min="7" max="7" width="18" customWidth="1"/>
    <col min="8" max="8" width="65" customWidth="1"/>
  </cols>
  <sheetData>
    <row r="1" spans="1:8" x14ac:dyDescent="0.25">
      <c r="A1" s="110" t="s">
        <v>1558</v>
      </c>
      <c r="B1" s="111" t="s">
        <v>1393</v>
      </c>
      <c r="C1" s="111" t="s">
        <v>1559</v>
      </c>
      <c r="D1" s="111" t="s">
        <v>1560</v>
      </c>
      <c r="E1" s="111" t="s">
        <v>1561</v>
      </c>
      <c r="F1" s="111" t="s">
        <v>1562</v>
      </c>
      <c r="G1" s="111" t="s">
        <v>522</v>
      </c>
      <c r="H1" s="117" t="s">
        <v>1232</v>
      </c>
    </row>
    <row r="2" spans="1:8" x14ac:dyDescent="0.25">
      <c r="A2" s="91" t="s">
        <v>1563</v>
      </c>
      <c r="B2" s="31" t="s">
        <v>1564</v>
      </c>
      <c r="C2" s="31" t="s">
        <v>199</v>
      </c>
      <c r="D2" s="31" t="s">
        <v>50</v>
      </c>
      <c r="E2" s="31" t="s">
        <v>1565</v>
      </c>
      <c r="F2" s="31" t="s">
        <v>1566</v>
      </c>
      <c r="G2" s="31" t="s">
        <v>1567</v>
      </c>
      <c r="H2" s="79"/>
    </row>
    <row r="3" spans="1:8" x14ac:dyDescent="0.25">
      <c r="A3" s="91" t="s">
        <v>1568</v>
      </c>
      <c r="B3" s="31" t="s">
        <v>1564</v>
      </c>
      <c r="C3" s="31" t="s">
        <v>1569</v>
      </c>
      <c r="D3" s="31" t="s">
        <v>1052</v>
      </c>
      <c r="E3" s="31" t="s">
        <v>1570</v>
      </c>
      <c r="F3" s="31" t="s">
        <v>1571</v>
      </c>
      <c r="G3" s="31" t="s">
        <v>1567</v>
      </c>
      <c r="H3" s="79" t="s">
        <v>1572</v>
      </c>
    </row>
    <row r="4" spans="1:8" x14ac:dyDescent="0.25">
      <c r="A4" s="91" t="s">
        <v>1573</v>
      </c>
      <c r="B4" s="31" t="s">
        <v>1574</v>
      </c>
      <c r="C4" s="31" t="s">
        <v>1575</v>
      </c>
      <c r="D4" s="31" t="s">
        <v>1402</v>
      </c>
      <c r="E4" s="31" t="s">
        <v>1576</v>
      </c>
      <c r="F4" s="31" t="s">
        <v>1577</v>
      </c>
      <c r="G4" s="31" t="s">
        <v>1567</v>
      </c>
      <c r="H4" s="79" t="s">
        <v>1578</v>
      </c>
    </row>
    <row r="5" spans="1:8" x14ac:dyDescent="0.25">
      <c r="A5" s="91" t="s">
        <v>1579</v>
      </c>
      <c r="B5" s="31" t="s">
        <v>1574</v>
      </c>
      <c r="C5" s="31" t="s">
        <v>1580</v>
      </c>
      <c r="D5" s="31" t="s">
        <v>133</v>
      </c>
      <c r="E5" s="31" t="s">
        <v>1576</v>
      </c>
      <c r="F5" s="31" t="s">
        <v>1577</v>
      </c>
      <c r="G5" s="31" t="s">
        <v>1567</v>
      </c>
      <c r="H5" s="79" t="s">
        <v>1578</v>
      </c>
    </row>
    <row r="6" spans="1:8" x14ac:dyDescent="0.25">
      <c r="A6" s="91" t="s">
        <v>1581</v>
      </c>
      <c r="B6" s="31" t="s">
        <v>1582</v>
      </c>
      <c r="C6" s="31" t="s">
        <v>1583</v>
      </c>
      <c r="D6" s="31" t="s">
        <v>50</v>
      </c>
      <c r="E6" s="31" t="s">
        <v>1565</v>
      </c>
      <c r="F6" s="31" t="s">
        <v>1584</v>
      </c>
      <c r="G6" s="31" t="s">
        <v>1567</v>
      </c>
      <c r="H6" s="79"/>
    </row>
    <row r="7" spans="1:8" x14ac:dyDescent="0.25">
      <c r="A7" s="91" t="s">
        <v>1585</v>
      </c>
      <c r="B7" s="31" t="s">
        <v>1582</v>
      </c>
      <c r="C7" s="31" t="s">
        <v>1586</v>
      </c>
      <c r="D7" s="31" t="s">
        <v>1019</v>
      </c>
      <c r="E7" s="31" t="s">
        <v>1587</v>
      </c>
      <c r="F7" s="31" t="s">
        <v>1588</v>
      </c>
      <c r="G7" s="31" t="s">
        <v>1567</v>
      </c>
      <c r="H7" s="79"/>
    </row>
    <row r="8" spans="1:8" x14ac:dyDescent="0.25">
      <c r="A8" s="91" t="s">
        <v>1589</v>
      </c>
      <c r="B8" s="31" t="s">
        <v>1582</v>
      </c>
      <c r="C8" s="31" t="s">
        <v>1590</v>
      </c>
      <c r="D8" s="31" t="s">
        <v>89</v>
      </c>
      <c r="E8" s="31" t="s">
        <v>1591</v>
      </c>
      <c r="F8" s="31" t="s">
        <v>1592</v>
      </c>
      <c r="G8" s="31" t="s">
        <v>1567</v>
      </c>
      <c r="H8" s="79"/>
    </row>
    <row r="9" spans="1:8" x14ac:dyDescent="0.25">
      <c r="A9" s="91" t="s">
        <v>1593</v>
      </c>
      <c r="B9" s="31" t="s">
        <v>1582</v>
      </c>
      <c r="C9" s="31" t="s">
        <v>1594</v>
      </c>
      <c r="D9" s="31" t="s">
        <v>96</v>
      </c>
      <c r="E9" s="31" t="s">
        <v>1595</v>
      </c>
      <c r="F9" s="31" t="s">
        <v>1592</v>
      </c>
      <c r="G9" s="31" t="s">
        <v>1567</v>
      </c>
      <c r="H9" s="79"/>
    </row>
    <row r="10" spans="1:8" x14ac:dyDescent="0.25">
      <c r="A10" s="91" t="s">
        <v>1596</v>
      </c>
      <c r="B10" s="31" t="s">
        <v>1582</v>
      </c>
      <c r="C10" s="31" t="s">
        <v>1597</v>
      </c>
      <c r="D10" s="31" t="s">
        <v>113</v>
      </c>
      <c r="E10" s="31" t="s">
        <v>1576</v>
      </c>
      <c r="F10" s="31" t="s">
        <v>1577</v>
      </c>
      <c r="G10" s="31" t="s">
        <v>1567</v>
      </c>
      <c r="H10" s="79" t="s">
        <v>1598</v>
      </c>
    </row>
    <row r="11" spans="1:8" x14ac:dyDescent="0.25">
      <c r="A11" s="91" t="s">
        <v>1599</v>
      </c>
      <c r="B11" s="31" t="s">
        <v>1582</v>
      </c>
      <c r="C11" s="31" t="s">
        <v>1600</v>
      </c>
      <c r="D11" s="31" t="s">
        <v>105</v>
      </c>
      <c r="E11" s="31" t="s">
        <v>1576</v>
      </c>
      <c r="F11" s="31" t="s">
        <v>1577</v>
      </c>
      <c r="G11" s="31" t="s">
        <v>1567</v>
      </c>
      <c r="H11" s="79" t="s">
        <v>1601</v>
      </c>
    </row>
    <row r="12" spans="1:8" x14ac:dyDescent="0.25">
      <c r="A12" s="91" t="s">
        <v>1602</v>
      </c>
      <c r="B12" s="31" t="s">
        <v>1603</v>
      </c>
      <c r="C12" s="31" t="s">
        <v>1604</v>
      </c>
      <c r="D12" s="31" t="s">
        <v>54</v>
      </c>
      <c r="E12" s="31" t="s">
        <v>1605</v>
      </c>
      <c r="F12" s="31" t="s">
        <v>1606</v>
      </c>
      <c r="G12" s="31" t="s">
        <v>1567</v>
      </c>
      <c r="H12" s="79"/>
    </row>
    <row r="13" spans="1:8" x14ac:dyDescent="0.25">
      <c r="A13" s="91" t="s">
        <v>1607</v>
      </c>
      <c r="B13" s="31" t="s">
        <v>1608</v>
      </c>
      <c r="C13" s="31" t="s">
        <v>1609</v>
      </c>
      <c r="D13" s="31" t="s">
        <v>97</v>
      </c>
      <c r="E13" s="31" t="s">
        <v>1610</v>
      </c>
      <c r="F13" s="31" t="s">
        <v>528</v>
      </c>
      <c r="G13" s="31" t="s">
        <v>1567</v>
      </c>
      <c r="H13" s="79"/>
    </row>
    <row r="14" spans="1:8" x14ac:dyDescent="0.25">
      <c r="A14" s="91" t="s">
        <v>1611</v>
      </c>
      <c r="B14" s="31" t="s">
        <v>1608</v>
      </c>
      <c r="C14" s="31" t="s">
        <v>1612</v>
      </c>
      <c r="D14" s="31" t="s">
        <v>54</v>
      </c>
      <c r="E14" s="31" t="s">
        <v>1605</v>
      </c>
      <c r="F14" s="31" t="s">
        <v>528</v>
      </c>
      <c r="G14" s="31" t="s">
        <v>1567</v>
      </c>
      <c r="H14" s="79"/>
    </row>
    <row r="15" spans="1:8" x14ac:dyDescent="0.25">
      <c r="A15" s="91" t="s">
        <v>1613</v>
      </c>
      <c r="B15" s="31" t="s">
        <v>1608</v>
      </c>
      <c r="C15" s="31" t="s">
        <v>1614</v>
      </c>
      <c r="D15" s="31" t="s">
        <v>50</v>
      </c>
      <c r="E15" s="31" t="s">
        <v>1565</v>
      </c>
      <c r="F15" s="31" t="s">
        <v>528</v>
      </c>
      <c r="G15" s="31" t="s">
        <v>1567</v>
      </c>
      <c r="H15" s="79"/>
    </row>
    <row r="16" spans="1:8" x14ac:dyDescent="0.25">
      <c r="A16" s="91" t="s">
        <v>1615</v>
      </c>
      <c r="B16" s="31" t="s">
        <v>1608</v>
      </c>
      <c r="C16" s="31" t="s">
        <v>1616</v>
      </c>
      <c r="D16" s="31" t="s">
        <v>89</v>
      </c>
      <c r="E16" s="31" t="s">
        <v>1591</v>
      </c>
      <c r="F16" s="31" t="s">
        <v>528</v>
      </c>
      <c r="G16" s="31" t="s">
        <v>1567</v>
      </c>
      <c r="H16" s="79"/>
    </row>
    <row r="17" spans="1:8" x14ac:dyDescent="0.25">
      <c r="A17" s="91" t="s">
        <v>1617</v>
      </c>
      <c r="B17" s="31" t="s">
        <v>1608</v>
      </c>
      <c r="C17" s="31" t="s">
        <v>1618</v>
      </c>
      <c r="D17" s="31" t="s">
        <v>93</v>
      </c>
      <c r="E17" s="31" t="s">
        <v>1619</v>
      </c>
      <c r="F17" s="31" t="s">
        <v>528</v>
      </c>
      <c r="G17" s="31" t="s">
        <v>1567</v>
      </c>
      <c r="H17" s="79"/>
    </row>
    <row r="18" spans="1:8" x14ac:dyDescent="0.25">
      <c r="A18" s="91" t="s">
        <v>1620</v>
      </c>
      <c r="B18" s="31" t="s">
        <v>1621</v>
      </c>
      <c r="C18" s="31" t="s">
        <v>1622</v>
      </c>
      <c r="D18" s="31" t="s">
        <v>50</v>
      </c>
      <c r="E18" s="31" t="s">
        <v>1565</v>
      </c>
      <c r="F18" s="31" t="s">
        <v>528</v>
      </c>
      <c r="G18" s="31" t="s">
        <v>1567</v>
      </c>
      <c r="H18" s="79"/>
    </row>
    <row r="19" spans="1:8" x14ac:dyDescent="0.25">
      <c r="A19" s="91" t="s">
        <v>1623</v>
      </c>
      <c r="B19" s="31" t="s">
        <v>1621</v>
      </c>
      <c r="C19" s="31" t="s">
        <v>1624</v>
      </c>
      <c r="D19" s="31" t="s">
        <v>84</v>
      </c>
      <c r="E19" s="31" t="s">
        <v>1625</v>
      </c>
      <c r="F19" s="31" t="s">
        <v>528</v>
      </c>
      <c r="G19" s="31" t="s">
        <v>1567</v>
      </c>
      <c r="H19" s="79"/>
    </row>
    <row r="20" spans="1:8" x14ac:dyDescent="0.25">
      <c r="A20" s="91" t="s">
        <v>443</v>
      </c>
      <c r="B20" s="31" t="s">
        <v>1621</v>
      </c>
      <c r="C20" s="31" t="s">
        <v>1626</v>
      </c>
      <c r="D20" s="31" t="s">
        <v>86</v>
      </c>
      <c r="E20" s="31" t="s">
        <v>1576</v>
      </c>
      <c r="F20" s="31" t="s">
        <v>1627</v>
      </c>
      <c r="G20" s="31" t="s">
        <v>1628</v>
      </c>
      <c r="H20" s="79" t="s">
        <v>1629</v>
      </c>
    </row>
    <row r="21" spans="1:8" x14ac:dyDescent="0.25">
      <c r="A21" s="91" t="s">
        <v>1630</v>
      </c>
      <c r="B21" s="31" t="s">
        <v>1631</v>
      </c>
      <c r="C21" s="31" t="s">
        <v>29</v>
      </c>
      <c r="D21" s="31" t="s">
        <v>59</v>
      </c>
      <c r="E21" s="31" t="s">
        <v>1632</v>
      </c>
      <c r="F21" s="31" t="s">
        <v>528</v>
      </c>
      <c r="G21" s="31" t="s">
        <v>1567</v>
      </c>
      <c r="H21" s="79"/>
    </row>
    <row r="22" spans="1:8" x14ac:dyDescent="0.25">
      <c r="A22" s="91" t="s">
        <v>1633</v>
      </c>
      <c r="B22" s="31" t="s">
        <v>1631</v>
      </c>
      <c r="C22" s="31" t="s">
        <v>1634</v>
      </c>
      <c r="D22" s="31" t="s">
        <v>92</v>
      </c>
      <c r="E22" s="31" t="s">
        <v>1635</v>
      </c>
      <c r="F22" s="31" t="s">
        <v>1636</v>
      </c>
      <c r="G22" s="31" t="s">
        <v>1567</v>
      </c>
      <c r="H22" s="79" t="s">
        <v>1637</v>
      </c>
    </row>
    <row r="23" spans="1:8" x14ac:dyDescent="0.25">
      <c r="A23" s="91" t="s">
        <v>1638</v>
      </c>
      <c r="B23" s="31" t="s">
        <v>1639</v>
      </c>
      <c r="C23" s="31" t="s">
        <v>1491</v>
      </c>
      <c r="D23" s="31" t="s">
        <v>1640</v>
      </c>
      <c r="E23" s="31" t="s">
        <v>1641</v>
      </c>
      <c r="F23" s="31" t="s">
        <v>528</v>
      </c>
      <c r="G23" s="31" t="s">
        <v>1567</v>
      </c>
      <c r="H23" s="79" t="s">
        <v>1642</v>
      </c>
    </row>
    <row r="24" spans="1:8" x14ac:dyDescent="0.25">
      <c r="A24" s="91" t="s">
        <v>1643</v>
      </c>
      <c r="B24" s="31" t="s">
        <v>1639</v>
      </c>
      <c r="C24" s="31" t="s">
        <v>31</v>
      </c>
      <c r="D24" s="31" t="s">
        <v>1640</v>
      </c>
      <c r="E24" s="31" t="s">
        <v>1641</v>
      </c>
      <c r="F24" s="31" t="s">
        <v>528</v>
      </c>
      <c r="G24" s="31" t="s">
        <v>1567</v>
      </c>
      <c r="H24" s="79" t="s">
        <v>1642</v>
      </c>
    </row>
    <row r="25" spans="1:8" x14ac:dyDescent="0.25">
      <c r="A25" s="91" t="s">
        <v>1644</v>
      </c>
      <c r="B25" s="31" t="s">
        <v>1645</v>
      </c>
      <c r="C25" s="31" t="s">
        <v>1646</v>
      </c>
      <c r="D25" s="31" t="s">
        <v>828</v>
      </c>
      <c r="E25" s="31" t="s">
        <v>1647</v>
      </c>
      <c r="F25" s="31" t="s">
        <v>1648</v>
      </c>
      <c r="G25" s="31" t="s">
        <v>1567</v>
      </c>
      <c r="H25" s="79"/>
    </row>
    <row r="26" spans="1:8" x14ac:dyDescent="0.25">
      <c r="A26" s="91" t="s">
        <v>669</v>
      </c>
      <c r="B26" s="31" t="s">
        <v>1649</v>
      </c>
      <c r="C26" s="31" t="s">
        <v>1650</v>
      </c>
      <c r="D26" s="31" t="s">
        <v>678</v>
      </c>
      <c r="E26" s="31" t="s">
        <v>1651</v>
      </c>
      <c r="F26" s="31" t="s">
        <v>530</v>
      </c>
      <c r="G26" s="31" t="s">
        <v>1567</v>
      </c>
      <c r="H26" s="79"/>
    </row>
    <row r="27" spans="1:8" x14ac:dyDescent="0.25">
      <c r="A27" s="91" t="s">
        <v>1652</v>
      </c>
      <c r="B27" s="31" t="s">
        <v>1558</v>
      </c>
      <c r="C27" s="31" t="s">
        <v>1653</v>
      </c>
      <c r="D27" s="31" t="s">
        <v>1001</v>
      </c>
      <c r="E27" s="31" t="s">
        <v>1654</v>
      </c>
      <c r="F27" s="31" t="s">
        <v>1592</v>
      </c>
      <c r="G27" s="31" t="s">
        <v>1567</v>
      </c>
      <c r="H27" s="79"/>
    </row>
    <row r="28" spans="1:8" x14ac:dyDescent="0.25">
      <c r="A28" s="91" t="s">
        <v>547</v>
      </c>
      <c r="B28" s="31" t="s">
        <v>532</v>
      </c>
      <c r="C28" s="31" t="s">
        <v>1655</v>
      </c>
      <c r="D28" s="31" t="s">
        <v>547</v>
      </c>
      <c r="E28" s="31" t="s">
        <v>1656</v>
      </c>
      <c r="F28" s="31" t="s">
        <v>1657</v>
      </c>
      <c r="G28" s="31" t="s">
        <v>1567</v>
      </c>
      <c r="H28" s="79"/>
    </row>
    <row r="29" spans="1:8" x14ac:dyDescent="0.25">
      <c r="A29" s="91" t="s">
        <v>566</v>
      </c>
      <c r="B29" s="31" t="s">
        <v>532</v>
      </c>
      <c r="C29" s="31" t="s">
        <v>1658</v>
      </c>
      <c r="D29" s="31" t="s">
        <v>566</v>
      </c>
      <c r="E29" s="31" t="s">
        <v>1659</v>
      </c>
      <c r="F29" s="31" t="s">
        <v>1657</v>
      </c>
      <c r="G29" s="31" t="s">
        <v>1567</v>
      </c>
      <c r="H29" s="79"/>
    </row>
    <row r="30" spans="1:8" x14ac:dyDescent="0.25">
      <c r="A30" s="91" t="s">
        <v>731</v>
      </c>
      <c r="B30" s="31" t="s">
        <v>532</v>
      </c>
      <c r="C30" s="31" t="s">
        <v>1660</v>
      </c>
      <c r="D30" s="31" t="s">
        <v>731</v>
      </c>
      <c r="E30" s="31" t="s">
        <v>1661</v>
      </c>
      <c r="F30" s="31" t="s">
        <v>1657</v>
      </c>
      <c r="G30" s="31" t="s">
        <v>1567</v>
      </c>
      <c r="H30" s="79"/>
    </row>
    <row r="31" spans="1:8" x14ac:dyDescent="0.25">
      <c r="A31" s="91" t="s">
        <v>887</v>
      </c>
      <c r="B31" s="31" t="s">
        <v>532</v>
      </c>
      <c r="C31" s="31" t="s">
        <v>1662</v>
      </c>
      <c r="D31" s="31" t="s">
        <v>887</v>
      </c>
      <c r="E31" s="31" t="s">
        <v>1661</v>
      </c>
      <c r="F31" s="31" t="s">
        <v>1657</v>
      </c>
      <c r="G31" s="31" t="s">
        <v>1567</v>
      </c>
      <c r="H31" s="79"/>
    </row>
    <row r="32" spans="1:8" x14ac:dyDescent="0.25">
      <c r="A32" s="91" t="s">
        <v>891</v>
      </c>
      <c r="B32" s="31" t="s">
        <v>532</v>
      </c>
      <c r="C32" s="31" t="s">
        <v>1663</v>
      </c>
      <c r="D32" s="31" t="s">
        <v>891</v>
      </c>
      <c r="E32" s="31" t="s">
        <v>1661</v>
      </c>
      <c r="F32" s="31" t="s">
        <v>1657</v>
      </c>
      <c r="G32" s="31" t="s">
        <v>1567</v>
      </c>
      <c r="H32" s="79"/>
    </row>
    <row r="33" spans="1:8" x14ac:dyDescent="0.25">
      <c r="A33" s="91" t="s">
        <v>613</v>
      </c>
      <c r="B33" s="31" t="s">
        <v>542</v>
      </c>
      <c r="C33" s="31" t="s">
        <v>1664</v>
      </c>
      <c r="D33" s="31" t="s">
        <v>613</v>
      </c>
      <c r="E33" s="31" t="s">
        <v>1665</v>
      </c>
      <c r="F33" s="31" t="s">
        <v>1666</v>
      </c>
      <c r="G33" s="31" t="s">
        <v>1567</v>
      </c>
      <c r="H33" s="79"/>
    </row>
    <row r="34" spans="1:8" x14ac:dyDescent="0.25">
      <c r="A34" s="91" t="s">
        <v>686</v>
      </c>
      <c r="B34" s="31" t="s">
        <v>542</v>
      </c>
      <c r="C34" s="31" t="s">
        <v>1667</v>
      </c>
      <c r="D34" s="31" t="s">
        <v>686</v>
      </c>
      <c r="E34" s="31" t="s">
        <v>1668</v>
      </c>
      <c r="F34" s="31" t="s">
        <v>1666</v>
      </c>
      <c r="G34" s="31" t="s">
        <v>1567</v>
      </c>
      <c r="H34" s="79"/>
    </row>
    <row r="35" spans="1:8" x14ac:dyDescent="0.25">
      <c r="A35" s="91" t="s">
        <v>769</v>
      </c>
      <c r="B35" s="31" t="s">
        <v>542</v>
      </c>
      <c r="C35" s="31" t="s">
        <v>1669</v>
      </c>
      <c r="D35" s="31" t="s">
        <v>769</v>
      </c>
      <c r="E35" s="31" t="s">
        <v>1670</v>
      </c>
      <c r="F35" s="31" t="s">
        <v>1666</v>
      </c>
      <c r="G35" s="31" t="s">
        <v>1567</v>
      </c>
      <c r="H35" s="79"/>
    </row>
    <row r="36" spans="1:8" x14ac:dyDescent="0.25">
      <c r="A36" s="91" t="s">
        <v>1067</v>
      </c>
      <c r="B36" s="31" t="s">
        <v>542</v>
      </c>
      <c r="C36" s="31" t="s">
        <v>1671</v>
      </c>
      <c r="D36" s="31" t="s">
        <v>1067</v>
      </c>
      <c r="E36" s="31" t="s">
        <v>1661</v>
      </c>
      <c r="F36" s="31" t="s">
        <v>1666</v>
      </c>
      <c r="G36" s="31" t="s">
        <v>1567</v>
      </c>
      <c r="H36" s="79"/>
    </row>
    <row r="37" spans="1:8" x14ac:dyDescent="0.25">
      <c r="A37" s="91" t="s">
        <v>615</v>
      </c>
      <c r="B37" s="31" t="s">
        <v>542</v>
      </c>
      <c r="C37" s="31" t="s">
        <v>1672</v>
      </c>
      <c r="D37" s="31" t="s">
        <v>615</v>
      </c>
      <c r="E37" s="31" t="s">
        <v>1673</v>
      </c>
      <c r="F37" s="31" t="s">
        <v>1666</v>
      </c>
      <c r="G37" s="31" t="s">
        <v>1567</v>
      </c>
      <c r="H37" s="79"/>
    </row>
    <row r="38" spans="1:8" x14ac:dyDescent="0.25">
      <c r="A38" s="91" t="s">
        <v>617</v>
      </c>
      <c r="B38" s="31" t="s">
        <v>542</v>
      </c>
      <c r="C38" s="31" t="s">
        <v>1674</v>
      </c>
      <c r="D38" s="31" t="s">
        <v>617</v>
      </c>
      <c r="E38" s="31" t="s">
        <v>1675</v>
      </c>
      <c r="F38" s="31" t="s">
        <v>1676</v>
      </c>
      <c r="G38" s="31" t="s">
        <v>1567</v>
      </c>
      <c r="H38" s="79"/>
    </row>
    <row r="39" spans="1:8" x14ac:dyDescent="0.25">
      <c r="A39" s="91" t="s">
        <v>619</v>
      </c>
      <c r="B39" s="31" t="s">
        <v>542</v>
      </c>
      <c r="C39" s="31" t="s">
        <v>1677</v>
      </c>
      <c r="D39" s="31" t="s">
        <v>619</v>
      </c>
      <c r="E39" s="31" t="s">
        <v>1675</v>
      </c>
      <c r="F39" s="31" t="s">
        <v>1676</v>
      </c>
      <c r="G39" s="31" t="s">
        <v>1567</v>
      </c>
      <c r="H39" s="79"/>
    </row>
    <row r="40" spans="1:8" x14ac:dyDescent="0.25">
      <c r="A40" s="91" t="s">
        <v>680</v>
      </c>
      <c r="B40" s="31" t="s">
        <v>542</v>
      </c>
      <c r="C40" s="31" t="s">
        <v>1678</v>
      </c>
      <c r="D40" s="31" t="s">
        <v>680</v>
      </c>
      <c r="E40" s="31" t="s">
        <v>1679</v>
      </c>
      <c r="F40" s="31" t="s">
        <v>1666</v>
      </c>
      <c r="G40" s="31" t="s">
        <v>1567</v>
      </c>
      <c r="H40" s="79"/>
    </row>
    <row r="41" spans="1:8" x14ac:dyDescent="0.25">
      <c r="A41" s="91" t="s">
        <v>834</v>
      </c>
      <c r="B41" s="31" t="s">
        <v>542</v>
      </c>
      <c r="C41" s="31" t="s">
        <v>1680</v>
      </c>
      <c r="D41" s="31" t="s">
        <v>834</v>
      </c>
      <c r="E41" s="31" t="s">
        <v>1681</v>
      </c>
      <c r="F41" s="31" t="s">
        <v>1666</v>
      </c>
      <c r="G41" s="31" t="s">
        <v>1567</v>
      </c>
      <c r="H41" s="79"/>
    </row>
    <row r="42" spans="1:8" x14ac:dyDescent="0.25">
      <c r="A42" s="91"/>
      <c r="B42" s="31"/>
      <c r="C42" s="31"/>
      <c r="D42" s="31"/>
      <c r="E42" s="31"/>
      <c r="F42" s="31"/>
      <c r="G42" s="31"/>
      <c r="H42" s="79"/>
    </row>
    <row r="43" spans="1:8" x14ac:dyDescent="0.25">
      <c r="A43" s="91"/>
      <c r="B43" s="31"/>
      <c r="C43" s="31"/>
      <c r="D43" s="31"/>
      <c r="E43" s="31"/>
      <c r="F43" s="31"/>
      <c r="G43" s="31"/>
      <c r="H43" s="79"/>
    </row>
    <row r="44" spans="1:8" x14ac:dyDescent="0.25">
      <c r="A44" s="91"/>
      <c r="B44" s="31"/>
      <c r="C44" s="31"/>
      <c r="D44" s="31"/>
      <c r="E44" s="31"/>
      <c r="F44" s="31"/>
      <c r="G44" s="31"/>
      <c r="H44" s="79"/>
    </row>
    <row r="45" spans="1:8" x14ac:dyDescent="0.25">
      <c r="A45" s="91" t="s">
        <v>1442</v>
      </c>
      <c r="B45" s="31" t="s">
        <v>1631</v>
      </c>
      <c r="C45" s="31" t="s">
        <v>1682</v>
      </c>
      <c r="D45" s="31" t="s">
        <v>140</v>
      </c>
      <c r="E45" s="31" t="s">
        <v>1576</v>
      </c>
      <c r="F45" s="31" t="s">
        <v>1577</v>
      </c>
      <c r="G45" s="31" t="s">
        <v>1567</v>
      </c>
      <c r="H45" s="79" t="s">
        <v>1683</v>
      </c>
    </row>
    <row r="46" spans="1:8" x14ac:dyDescent="0.25">
      <c r="A46" s="91"/>
      <c r="B46" s="31"/>
      <c r="C46" s="31"/>
      <c r="D46" s="31"/>
      <c r="E46" s="31"/>
      <c r="F46" s="31"/>
      <c r="G46" s="31"/>
      <c r="H46" s="79"/>
    </row>
    <row r="47" spans="1:8" x14ac:dyDescent="0.25">
      <c r="A47" s="91"/>
      <c r="B47" s="31"/>
      <c r="C47" s="31"/>
      <c r="D47" s="31"/>
      <c r="E47" s="31"/>
      <c r="F47" s="31"/>
      <c r="G47" s="31"/>
      <c r="H47" s="79"/>
    </row>
    <row r="48" spans="1:8" x14ac:dyDescent="0.25">
      <c r="A48" s="91"/>
      <c r="B48" s="31"/>
      <c r="C48" s="31"/>
      <c r="D48" s="31"/>
      <c r="E48" s="31"/>
      <c r="F48" s="31"/>
      <c r="G48" s="31"/>
      <c r="H48" s="79"/>
    </row>
    <row r="49" spans="1:8" x14ac:dyDescent="0.25">
      <c r="A49" s="91" t="s">
        <v>122</v>
      </c>
      <c r="B49" s="31" t="s">
        <v>1684</v>
      </c>
      <c r="C49" s="31" t="s">
        <v>1685</v>
      </c>
      <c r="D49" s="31" t="s">
        <v>122</v>
      </c>
      <c r="E49" s="31" t="s">
        <v>1686</v>
      </c>
      <c r="F49" s="31" t="s">
        <v>1687</v>
      </c>
      <c r="G49" s="31" t="s">
        <v>1688</v>
      </c>
      <c r="H49" s="79" t="s">
        <v>1689</v>
      </c>
    </row>
    <row r="50" spans="1:8" x14ac:dyDescent="0.25">
      <c r="A50" s="91" t="s">
        <v>124</v>
      </c>
      <c r="B50" s="31" t="s">
        <v>1684</v>
      </c>
      <c r="C50" s="31" t="s">
        <v>1690</v>
      </c>
      <c r="D50" s="31" t="s">
        <v>124</v>
      </c>
      <c r="E50" s="31" t="s">
        <v>1686</v>
      </c>
      <c r="F50" s="31" t="s">
        <v>1687</v>
      </c>
      <c r="G50" s="31" t="s">
        <v>1688</v>
      </c>
      <c r="H50" s="79"/>
    </row>
    <row r="51" spans="1:8" x14ac:dyDescent="0.25">
      <c r="A51" s="91" t="s">
        <v>128</v>
      </c>
      <c r="B51" s="31" t="s">
        <v>1691</v>
      </c>
      <c r="C51" s="31" t="s">
        <v>1692</v>
      </c>
      <c r="D51" s="31" t="s">
        <v>128</v>
      </c>
      <c r="E51" s="31" t="s">
        <v>1686</v>
      </c>
      <c r="F51" s="31" t="s">
        <v>1693</v>
      </c>
      <c r="G51" s="31" t="s">
        <v>1688</v>
      </c>
      <c r="H51" s="79" t="s">
        <v>1694</v>
      </c>
    </row>
    <row r="52" spans="1:8" x14ac:dyDescent="0.25">
      <c r="A52" s="91" t="s">
        <v>481</v>
      </c>
      <c r="B52" s="31" t="s">
        <v>1684</v>
      </c>
      <c r="C52" s="31" t="s">
        <v>1695</v>
      </c>
      <c r="D52" s="31" t="s">
        <v>481</v>
      </c>
      <c r="E52" s="31" t="s">
        <v>1696</v>
      </c>
      <c r="F52" s="31" t="s">
        <v>1687</v>
      </c>
      <c r="G52" s="31" t="s">
        <v>1688</v>
      </c>
      <c r="H52" s="79" t="s">
        <v>1689</v>
      </c>
    </row>
    <row r="53" spans="1:8" x14ac:dyDescent="0.25">
      <c r="A53" s="91" t="s">
        <v>135</v>
      </c>
      <c r="B53" s="31" t="s">
        <v>1684</v>
      </c>
      <c r="C53" s="31" t="s">
        <v>1690</v>
      </c>
      <c r="D53" s="31" t="s">
        <v>135</v>
      </c>
      <c r="E53" s="31" t="s">
        <v>1696</v>
      </c>
      <c r="F53" s="31" t="s">
        <v>1687</v>
      </c>
      <c r="G53" s="31" t="s">
        <v>1688</v>
      </c>
      <c r="H53" s="79"/>
    </row>
    <row r="54" spans="1:8" x14ac:dyDescent="0.25">
      <c r="A54" s="91" t="s">
        <v>133</v>
      </c>
      <c r="B54" s="31" t="s">
        <v>1684</v>
      </c>
      <c r="C54" s="31" t="s">
        <v>1697</v>
      </c>
      <c r="D54" s="31" t="s">
        <v>133</v>
      </c>
      <c r="E54" s="31" t="s">
        <v>1696</v>
      </c>
      <c r="F54" s="31" t="s">
        <v>1698</v>
      </c>
      <c r="G54" s="31" t="s">
        <v>1688</v>
      </c>
      <c r="H54" s="79"/>
    </row>
    <row r="55" spans="1:8" x14ac:dyDescent="0.25">
      <c r="A55" s="91" t="s">
        <v>1442</v>
      </c>
      <c r="B55" s="31" t="s">
        <v>1631</v>
      </c>
      <c r="C55" s="31" t="s">
        <v>1682</v>
      </c>
      <c r="D55" s="31" t="s">
        <v>140</v>
      </c>
      <c r="E55" s="31" t="s">
        <v>1699</v>
      </c>
      <c r="F55" s="31" t="s">
        <v>1577</v>
      </c>
      <c r="G55" s="31" t="s">
        <v>1567</v>
      </c>
      <c r="H55" s="79" t="s">
        <v>1700</v>
      </c>
    </row>
    <row r="56" spans="1:8" x14ac:dyDescent="0.25">
      <c r="A56" s="91" t="s">
        <v>482</v>
      </c>
      <c r="B56" s="31" t="s">
        <v>1684</v>
      </c>
      <c r="C56" s="31" t="s">
        <v>1701</v>
      </c>
      <c r="D56" s="31" t="s">
        <v>482</v>
      </c>
      <c r="E56" s="31" t="s">
        <v>1702</v>
      </c>
      <c r="F56" s="31" t="s">
        <v>1703</v>
      </c>
      <c r="G56" s="31" t="s">
        <v>1688</v>
      </c>
      <c r="H56" s="79" t="s">
        <v>1704</v>
      </c>
    </row>
    <row r="57" spans="1:8" x14ac:dyDescent="0.25">
      <c r="A57" s="91" t="s">
        <v>152</v>
      </c>
      <c r="B57" s="31" t="s">
        <v>1684</v>
      </c>
      <c r="C57" s="31" t="s">
        <v>1705</v>
      </c>
      <c r="D57" s="31" t="s">
        <v>152</v>
      </c>
      <c r="E57" s="31" t="s">
        <v>1702</v>
      </c>
      <c r="F57" s="31" t="s">
        <v>1703</v>
      </c>
      <c r="G57" s="31" t="s">
        <v>1688</v>
      </c>
      <c r="H57" s="79" t="s">
        <v>1706</v>
      </c>
    </row>
    <row r="58" spans="1:8" x14ac:dyDescent="0.25">
      <c r="A58" s="91"/>
      <c r="B58" s="31"/>
      <c r="C58" s="31"/>
      <c r="D58" s="31"/>
      <c r="E58" s="31"/>
      <c r="F58" s="31"/>
      <c r="G58" s="31"/>
      <c r="H58" s="79"/>
    </row>
    <row r="59" spans="1:8" x14ac:dyDescent="0.25">
      <c r="A59" s="91" t="s">
        <v>157</v>
      </c>
      <c r="B59" s="31" t="s">
        <v>1684</v>
      </c>
      <c r="C59" s="31" t="s">
        <v>1707</v>
      </c>
      <c r="D59" s="31" t="s">
        <v>157</v>
      </c>
      <c r="E59" s="31" t="s">
        <v>1708</v>
      </c>
      <c r="F59" s="31" t="s">
        <v>1709</v>
      </c>
      <c r="G59" s="31" t="s">
        <v>1688</v>
      </c>
      <c r="H59" s="79" t="s">
        <v>1710</v>
      </c>
    </row>
    <row r="60" spans="1:8" x14ac:dyDescent="0.25">
      <c r="A60" s="91" t="s">
        <v>486</v>
      </c>
      <c r="B60" s="31" t="s">
        <v>1691</v>
      </c>
      <c r="C60" s="31" t="s">
        <v>485</v>
      </c>
      <c r="D60" s="31" t="s">
        <v>486</v>
      </c>
      <c r="E60" s="31" t="s">
        <v>1708</v>
      </c>
      <c r="F60" s="31" t="s">
        <v>1711</v>
      </c>
      <c r="G60" s="31" t="s">
        <v>1688</v>
      </c>
      <c r="H60" s="79"/>
    </row>
    <row r="61" spans="1:8" x14ac:dyDescent="0.25">
      <c r="A61" s="91" t="s">
        <v>159</v>
      </c>
      <c r="B61" s="31" t="s">
        <v>1691</v>
      </c>
      <c r="C61" s="31" t="s">
        <v>158</v>
      </c>
      <c r="D61" s="31" t="s">
        <v>159</v>
      </c>
      <c r="E61" s="31" t="s">
        <v>1708</v>
      </c>
      <c r="F61" s="31" t="s">
        <v>1711</v>
      </c>
      <c r="G61" s="31" t="s">
        <v>1688</v>
      </c>
      <c r="H61" s="79"/>
    </row>
    <row r="62" spans="1:8" x14ac:dyDescent="0.25">
      <c r="A62" s="91" t="s">
        <v>1712</v>
      </c>
      <c r="B62" s="31" t="s">
        <v>1713</v>
      </c>
      <c r="C62" s="31" t="s">
        <v>1714</v>
      </c>
      <c r="D62" s="31" t="s">
        <v>486</v>
      </c>
      <c r="E62" s="31" t="s">
        <v>1708</v>
      </c>
      <c r="F62" s="31" t="s">
        <v>1711</v>
      </c>
      <c r="G62" s="31" t="s">
        <v>1688</v>
      </c>
      <c r="H62" s="79"/>
    </row>
    <row r="63" spans="1:8" x14ac:dyDescent="0.25">
      <c r="A63" s="91"/>
      <c r="B63" s="31"/>
      <c r="C63" s="31"/>
      <c r="D63" s="31"/>
      <c r="E63" s="31"/>
      <c r="F63" s="31"/>
      <c r="G63" s="31"/>
      <c r="H63" s="79"/>
    </row>
    <row r="64" spans="1:8" x14ac:dyDescent="0.25">
      <c r="A64" s="91"/>
      <c r="B64" s="31"/>
      <c r="C64" s="31"/>
      <c r="D64" s="31"/>
      <c r="E64" s="31"/>
      <c r="F64" s="31"/>
      <c r="G64" s="31"/>
      <c r="H64" s="79"/>
    </row>
    <row r="65" spans="1:8" x14ac:dyDescent="0.25">
      <c r="A65" s="91"/>
      <c r="B65" s="31"/>
      <c r="C65" s="31"/>
      <c r="D65" s="31"/>
      <c r="E65" s="31"/>
      <c r="F65" s="31"/>
      <c r="G65" s="31"/>
      <c r="H65" s="79"/>
    </row>
    <row r="66" spans="1:8" x14ac:dyDescent="0.25">
      <c r="A66" s="91"/>
      <c r="B66" s="31"/>
      <c r="C66" s="31"/>
      <c r="D66" s="31"/>
      <c r="E66" s="31"/>
      <c r="F66" s="31"/>
      <c r="G66" s="31"/>
      <c r="H66" s="79"/>
    </row>
    <row r="67" spans="1:8" x14ac:dyDescent="0.25">
      <c r="A67" s="91"/>
      <c r="B67" s="31"/>
      <c r="C67" s="31"/>
      <c r="D67" s="31"/>
      <c r="E67" s="31"/>
      <c r="F67" s="31"/>
      <c r="G67" s="31"/>
      <c r="H67" s="79"/>
    </row>
    <row r="68" spans="1:8" x14ac:dyDescent="0.25">
      <c r="A68" s="91"/>
      <c r="B68" s="31"/>
      <c r="C68" s="31"/>
      <c r="D68" s="31"/>
      <c r="E68" s="31"/>
      <c r="F68" s="31"/>
      <c r="G68" s="31"/>
      <c r="H68" s="79"/>
    </row>
    <row r="69" spans="1:8" x14ac:dyDescent="0.25">
      <c r="A69" s="91"/>
      <c r="B69" s="31"/>
      <c r="C69" s="31"/>
      <c r="D69" s="31"/>
      <c r="E69" s="31"/>
      <c r="F69" s="31"/>
      <c r="G69" s="31"/>
      <c r="H69" s="79"/>
    </row>
    <row r="70" spans="1:8" x14ac:dyDescent="0.25">
      <c r="A70" s="91"/>
      <c r="B70" s="31"/>
      <c r="C70" s="31"/>
      <c r="D70" s="31"/>
      <c r="E70" s="31"/>
      <c r="F70" s="31"/>
      <c r="G70" s="31"/>
      <c r="H70" s="79"/>
    </row>
    <row r="71" spans="1:8" x14ac:dyDescent="0.25">
      <c r="A71" s="91"/>
      <c r="B71" s="31"/>
      <c r="C71" s="31"/>
      <c r="D71" s="31"/>
      <c r="E71" s="31"/>
      <c r="F71" s="31"/>
      <c r="G71" s="31"/>
      <c r="H71" s="79"/>
    </row>
    <row r="72" spans="1:8" x14ac:dyDescent="0.25">
      <c r="A72" s="91"/>
      <c r="B72" s="31"/>
      <c r="C72" s="31"/>
      <c r="D72" s="31"/>
      <c r="E72" s="31"/>
      <c r="F72" s="31"/>
      <c r="G72" s="31"/>
      <c r="H72" s="79"/>
    </row>
    <row r="73" spans="1:8" x14ac:dyDescent="0.25">
      <c r="A73" s="91"/>
      <c r="B73" s="31"/>
      <c r="C73" s="31"/>
      <c r="D73" s="31"/>
      <c r="E73" s="31"/>
      <c r="F73" s="31"/>
      <c r="G73" s="31"/>
      <c r="H73" s="79"/>
    </row>
    <row r="74" spans="1:8" x14ac:dyDescent="0.25">
      <c r="A74" s="91"/>
      <c r="B74" s="31"/>
      <c r="C74" s="31"/>
      <c r="D74" s="31"/>
      <c r="E74" s="31"/>
      <c r="F74" s="31"/>
      <c r="G74" s="31"/>
      <c r="H74" s="79"/>
    </row>
    <row r="75" spans="1:8" x14ac:dyDescent="0.25">
      <c r="A75" s="91"/>
      <c r="B75" s="31"/>
      <c r="C75" s="31"/>
      <c r="D75" s="31"/>
      <c r="E75" s="31"/>
      <c r="F75" s="31"/>
      <c r="G75" s="31"/>
      <c r="H75" s="79"/>
    </row>
    <row r="76" spans="1:8" x14ac:dyDescent="0.25">
      <c r="A76" s="91"/>
      <c r="B76" s="31"/>
      <c r="C76" s="31"/>
      <c r="D76" s="31"/>
      <c r="E76" s="31"/>
      <c r="F76" s="31"/>
      <c r="G76" s="31"/>
      <c r="H76" s="79"/>
    </row>
    <row r="77" spans="1:8" x14ac:dyDescent="0.25">
      <c r="A77" s="91"/>
      <c r="B77" s="31"/>
      <c r="C77" s="31"/>
      <c r="D77" s="31"/>
      <c r="E77" s="31"/>
      <c r="F77" s="31"/>
      <c r="G77" s="31"/>
      <c r="H77" s="79"/>
    </row>
    <row r="78" spans="1:8" x14ac:dyDescent="0.25">
      <c r="A78" s="91"/>
      <c r="B78" s="31"/>
      <c r="C78" s="31"/>
      <c r="D78" s="31"/>
      <c r="E78" s="31"/>
      <c r="F78" s="31"/>
      <c r="G78" s="31"/>
      <c r="H78" s="79"/>
    </row>
    <row r="79" spans="1:8" x14ac:dyDescent="0.25">
      <c r="A79" s="91"/>
      <c r="B79" s="31"/>
      <c r="C79" s="31"/>
      <c r="D79" s="31"/>
      <c r="E79" s="31"/>
      <c r="F79" s="31"/>
      <c r="G79" s="31"/>
      <c r="H79" s="79"/>
    </row>
    <row r="80" spans="1:8" x14ac:dyDescent="0.25">
      <c r="A80" s="92"/>
      <c r="B80" s="83"/>
      <c r="C80" s="83"/>
      <c r="D80" s="83"/>
      <c r="E80" s="83"/>
      <c r="F80" s="83"/>
      <c r="G80" s="83"/>
      <c r="H80" s="8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8"/>
  <sheetViews>
    <sheetView workbookViewId="0"/>
  </sheetViews>
  <sheetFormatPr defaultRowHeight="15" x14ac:dyDescent="0.25"/>
  <cols>
    <col min="1" max="1" width="52" customWidth="1"/>
    <col min="2" max="3" width="18" customWidth="1"/>
  </cols>
  <sheetData>
    <row r="1" spans="1:26" x14ac:dyDescent="0.25">
      <c r="A1" s="110" t="s">
        <v>1715</v>
      </c>
      <c r="B1" s="111"/>
      <c r="C1" s="11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0" t="s">
        <v>1716</v>
      </c>
      <c r="B2" s="5"/>
      <c r="C2" s="11"/>
    </row>
    <row r="3" spans="1:26" x14ac:dyDescent="0.25">
      <c r="A3" s="10"/>
      <c r="B3" s="5"/>
      <c r="C3" s="11"/>
    </row>
    <row r="4" spans="1:26" x14ac:dyDescent="0.25">
      <c r="A4" s="10" t="s">
        <v>1717</v>
      </c>
      <c r="B4" s="5" t="s">
        <v>1718</v>
      </c>
      <c r="C4" s="11"/>
    </row>
    <row r="5" spans="1:26" x14ac:dyDescent="0.25">
      <c r="A5" s="10" t="s">
        <v>1719</v>
      </c>
      <c r="B5" s="93">
        <v>0.25</v>
      </c>
      <c r="C5" s="95" t="s">
        <v>1720</v>
      </c>
    </row>
    <row r="6" spans="1:26" x14ac:dyDescent="0.25">
      <c r="A6" s="10"/>
      <c r="B6" s="93"/>
      <c r="C6" s="95"/>
    </row>
    <row r="7" spans="1:26" x14ac:dyDescent="0.25">
      <c r="A7" s="96" t="s">
        <v>1721</v>
      </c>
      <c r="B7" s="94" t="s">
        <v>1722</v>
      </c>
      <c r="C7" s="97" t="s">
        <v>1723</v>
      </c>
    </row>
    <row r="8" spans="1:26" x14ac:dyDescent="0.25">
      <c r="A8" s="10" t="s">
        <v>1724</v>
      </c>
      <c r="B8" s="93">
        <v>1500</v>
      </c>
      <c r="C8" s="95">
        <v>1875</v>
      </c>
    </row>
    <row r="9" spans="1:26" x14ac:dyDescent="0.25">
      <c r="A9" s="10" t="s">
        <v>1725</v>
      </c>
      <c r="B9" s="93">
        <v>125</v>
      </c>
      <c r="C9" s="95">
        <v>156.25</v>
      </c>
    </row>
    <row r="10" spans="1:26" x14ac:dyDescent="0.25">
      <c r="A10" s="10" t="s">
        <v>1726</v>
      </c>
      <c r="B10" s="93">
        <v>145</v>
      </c>
      <c r="C10" s="95">
        <v>181.25</v>
      </c>
    </row>
    <row r="11" spans="1:26" x14ac:dyDescent="0.25">
      <c r="A11" s="10" t="s">
        <v>1727</v>
      </c>
      <c r="B11" s="93">
        <v>165</v>
      </c>
      <c r="C11" s="95">
        <v>206.25</v>
      </c>
    </row>
    <row r="12" spans="1:26" x14ac:dyDescent="0.25">
      <c r="A12" s="10" t="s">
        <v>1728</v>
      </c>
      <c r="B12" s="93">
        <v>1500</v>
      </c>
      <c r="C12" s="95">
        <v>1875</v>
      </c>
    </row>
    <row r="13" spans="1:26" x14ac:dyDescent="0.25">
      <c r="A13" s="10" t="s">
        <v>1729</v>
      </c>
      <c r="B13" s="93">
        <v>25</v>
      </c>
      <c r="C13" s="95">
        <v>31.25</v>
      </c>
    </row>
    <row r="14" spans="1:26" x14ac:dyDescent="0.25">
      <c r="A14" s="10" t="s">
        <v>1730</v>
      </c>
      <c r="B14" s="93">
        <v>30</v>
      </c>
      <c r="C14" s="95">
        <v>37.5</v>
      </c>
    </row>
    <row r="15" spans="1:26" x14ac:dyDescent="0.25">
      <c r="A15" s="10" t="s">
        <v>1731</v>
      </c>
      <c r="B15" s="93">
        <v>35</v>
      </c>
      <c r="C15" s="95">
        <v>43.75</v>
      </c>
    </row>
    <row r="16" spans="1:26" x14ac:dyDescent="0.25">
      <c r="A16" s="10" t="s">
        <v>1732</v>
      </c>
      <c r="B16" s="93">
        <v>50</v>
      </c>
      <c r="C16" s="95">
        <v>62.5</v>
      </c>
    </row>
    <row r="17" spans="1:3" x14ac:dyDescent="0.25">
      <c r="A17" s="10" t="s">
        <v>1733</v>
      </c>
      <c r="B17" s="93">
        <v>85</v>
      </c>
      <c r="C17" s="95">
        <v>106.25</v>
      </c>
    </row>
    <row r="18" spans="1:3" x14ac:dyDescent="0.25">
      <c r="A18" s="10" t="s">
        <v>1734</v>
      </c>
      <c r="B18" s="93">
        <v>300</v>
      </c>
      <c r="C18" s="95">
        <v>375</v>
      </c>
    </row>
    <row r="19" spans="1:3" x14ac:dyDescent="0.25">
      <c r="A19" s="10" t="s">
        <v>1735</v>
      </c>
      <c r="B19" s="93">
        <v>450</v>
      </c>
      <c r="C19" s="95">
        <v>562.5</v>
      </c>
    </row>
    <row r="20" spans="1:3" x14ac:dyDescent="0.25">
      <c r="A20" s="10" t="s">
        <v>1736</v>
      </c>
      <c r="B20" s="93">
        <v>450</v>
      </c>
      <c r="C20" s="95">
        <v>562.5</v>
      </c>
    </row>
    <row r="21" spans="1:3" x14ac:dyDescent="0.25">
      <c r="A21" s="10" t="s">
        <v>1737</v>
      </c>
      <c r="B21" s="93">
        <v>300</v>
      </c>
      <c r="C21" s="95">
        <v>375</v>
      </c>
    </row>
    <row r="22" spans="1:3" x14ac:dyDescent="0.25">
      <c r="A22" s="10" t="s">
        <v>1594</v>
      </c>
      <c r="B22" s="93">
        <v>3600</v>
      </c>
      <c r="C22" s="95">
        <v>4500</v>
      </c>
    </row>
    <row r="23" spans="1:3" x14ac:dyDescent="0.25">
      <c r="A23" s="10" t="s">
        <v>1590</v>
      </c>
      <c r="B23" s="93">
        <v>4200</v>
      </c>
      <c r="C23" s="95">
        <v>5250</v>
      </c>
    </row>
    <row r="24" spans="1:3" x14ac:dyDescent="0.25">
      <c r="A24" s="10" t="s">
        <v>1738</v>
      </c>
      <c r="B24" s="93" t="s">
        <v>1739</v>
      </c>
      <c r="C24" s="95" t="s">
        <v>1739</v>
      </c>
    </row>
    <row r="25" spans="1:3" x14ac:dyDescent="0.25">
      <c r="A25" s="10"/>
      <c r="B25" s="5"/>
      <c r="C25" s="11"/>
    </row>
    <row r="26" spans="1:3" x14ac:dyDescent="0.25">
      <c r="A26" s="10"/>
      <c r="B26" s="5"/>
      <c r="C26" s="11"/>
    </row>
    <row r="27" spans="1:3" x14ac:dyDescent="0.25">
      <c r="A27" s="10" t="s">
        <v>1740</v>
      </c>
      <c r="B27" s="5" t="s">
        <v>1741</v>
      </c>
      <c r="C27" s="11"/>
    </row>
    <row r="28" spans="1:3" x14ac:dyDescent="0.25">
      <c r="A28" s="46" t="s">
        <v>1562</v>
      </c>
      <c r="B28" s="47" t="s">
        <v>1742</v>
      </c>
      <c r="C28" s="4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5"/>
  <sheetViews>
    <sheetView workbookViewId="0"/>
  </sheetViews>
  <sheetFormatPr defaultRowHeight="15" x14ac:dyDescent="0.25"/>
  <cols>
    <col min="1" max="1" width="18" customWidth="1"/>
    <col min="2" max="2" width="38" customWidth="1"/>
    <col min="3" max="3" width="58" customWidth="1"/>
  </cols>
  <sheetData>
    <row r="1" spans="1:26" x14ac:dyDescent="0.25">
      <c r="A1" s="110" t="s">
        <v>1743</v>
      </c>
      <c r="B1" s="111" t="s">
        <v>1420</v>
      </c>
      <c r="C1" s="117" t="s">
        <v>1744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0" t="s">
        <v>547</v>
      </c>
      <c r="B2" s="5" t="s">
        <v>1655</v>
      </c>
      <c r="C2" s="11" t="s">
        <v>1745</v>
      </c>
    </row>
    <row r="3" spans="1:26" x14ac:dyDescent="0.25">
      <c r="A3" s="10" t="s">
        <v>566</v>
      </c>
      <c r="B3" s="5" t="s">
        <v>1658</v>
      </c>
      <c r="C3" s="11" t="s">
        <v>1745</v>
      </c>
    </row>
    <row r="4" spans="1:26" x14ac:dyDescent="0.25">
      <c r="A4" s="10" t="s">
        <v>731</v>
      </c>
      <c r="B4" s="5" t="s">
        <v>1660</v>
      </c>
      <c r="C4" s="11" t="s">
        <v>1746</v>
      </c>
    </row>
    <row r="5" spans="1:26" x14ac:dyDescent="0.25">
      <c r="A5" s="10" t="s">
        <v>887</v>
      </c>
      <c r="B5" s="5" t="s">
        <v>1662</v>
      </c>
      <c r="C5" s="11" t="s">
        <v>1747</v>
      </c>
    </row>
    <row r="6" spans="1:26" x14ac:dyDescent="0.25">
      <c r="A6" s="10" t="s">
        <v>891</v>
      </c>
      <c r="B6" s="5" t="s">
        <v>1663</v>
      </c>
      <c r="C6" s="11" t="s">
        <v>1746</v>
      </c>
    </row>
    <row r="7" spans="1:26" x14ac:dyDescent="0.25">
      <c r="A7" s="10" t="s">
        <v>613</v>
      </c>
      <c r="B7" s="5" t="s">
        <v>1664</v>
      </c>
      <c r="C7" s="11" t="s">
        <v>1748</v>
      </c>
    </row>
    <row r="8" spans="1:26" x14ac:dyDescent="0.25">
      <c r="A8" s="10" t="s">
        <v>686</v>
      </c>
      <c r="B8" s="5" t="s">
        <v>1667</v>
      </c>
      <c r="C8" s="11" t="s">
        <v>1748</v>
      </c>
    </row>
    <row r="9" spans="1:26" x14ac:dyDescent="0.25">
      <c r="A9" s="10" t="s">
        <v>615</v>
      </c>
      <c r="B9" s="5" t="s">
        <v>1672</v>
      </c>
      <c r="C9" s="11" t="s">
        <v>1748</v>
      </c>
    </row>
    <row r="10" spans="1:26" x14ac:dyDescent="0.25">
      <c r="A10" s="10" t="s">
        <v>617</v>
      </c>
      <c r="B10" s="5" t="s">
        <v>1674</v>
      </c>
      <c r="C10" s="11" t="s">
        <v>1749</v>
      </c>
    </row>
    <row r="11" spans="1:26" x14ac:dyDescent="0.25">
      <c r="A11" s="10" t="s">
        <v>619</v>
      </c>
      <c r="B11" s="5" t="s">
        <v>1677</v>
      </c>
      <c r="C11" s="11" t="s">
        <v>1749</v>
      </c>
    </row>
    <row r="12" spans="1:26" x14ac:dyDescent="0.25">
      <c r="A12" s="10" t="s">
        <v>1067</v>
      </c>
      <c r="B12" s="5" t="s">
        <v>1671</v>
      </c>
      <c r="C12" s="11" t="s">
        <v>1748</v>
      </c>
    </row>
    <row r="13" spans="1:26" x14ac:dyDescent="0.25">
      <c r="A13" s="10" t="s">
        <v>769</v>
      </c>
      <c r="B13" s="5" t="s">
        <v>1669</v>
      </c>
      <c r="C13" s="11" t="s">
        <v>1748</v>
      </c>
    </row>
    <row r="14" spans="1:26" x14ac:dyDescent="0.25">
      <c r="A14" s="10" t="s">
        <v>680</v>
      </c>
      <c r="B14" s="5" t="s">
        <v>1678</v>
      </c>
      <c r="C14" s="11" t="s">
        <v>1748</v>
      </c>
    </row>
    <row r="15" spans="1:26" x14ac:dyDescent="0.25">
      <c r="A15" s="46" t="s">
        <v>834</v>
      </c>
      <c r="B15" s="47" t="s">
        <v>1680</v>
      </c>
      <c r="C15" s="48" t="s">
        <v>1748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00"/>
  <sheetViews>
    <sheetView workbookViewId="0"/>
  </sheetViews>
  <sheetFormatPr defaultRowHeight="15" x14ac:dyDescent="0.25"/>
  <cols>
    <col min="1" max="1" width="22" customWidth="1"/>
    <col min="2" max="2" width="90" customWidth="1"/>
  </cols>
  <sheetData>
    <row r="1" spans="1:26" ht="45" x14ac:dyDescent="0.25">
      <c r="A1" s="89" t="s">
        <v>1750</v>
      </c>
      <c r="B1" s="9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1751</v>
      </c>
      <c r="B2" s="100" t="s">
        <v>1752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1753</v>
      </c>
      <c r="B3" s="100" t="s">
        <v>1754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1755</v>
      </c>
      <c r="B4" s="100" t="s">
        <v>1756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522</v>
      </c>
      <c r="B5" s="100" t="s">
        <v>1757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01" t="s">
        <v>1758</v>
      </c>
      <c r="B6" s="102" t="s">
        <v>1759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00"/>
  <sheetViews>
    <sheetView workbookViewId="0"/>
  </sheetViews>
  <sheetFormatPr defaultRowHeight="15" x14ac:dyDescent="0.25"/>
  <cols>
    <col min="1" max="1" width="12" customWidth="1"/>
    <col min="2" max="2" width="34" customWidth="1"/>
    <col min="3" max="3" width="100" customWidth="1"/>
  </cols>
  <sheetData>
    <row r="1" spans="1:26" x14ac:dyDescent="0.25">
      <c r="A1" s="110" t="s">
        <v>1760</v>
      </c>
      <c r="B1" s="111" t="s">
        <v>1740</v>
      </c>
      <c r="C1" s="117" t="s">
        <v>1761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1762</v>
      </c>
      <c r="B2" s="98" t="s">
        <v>1763</v>
      </c>
      <c r="C2" s="100" t="s">
        <v>1764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1765</v>
      </c>
      <c r="B3" s="98" t="s">
        <v>1766</v>
      </c>
      <c r="C3" s="100" t="s">
        <v>1767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1768</v>
      </c>
      <c r="B4" s="98" t="s">
        <v>1769</v>
      </c>
      <c r="C4" s="100" t="s">
        <v>1770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1771</v>
      </c>
      <c r="B5" s="98" t="s">
        <v>14</v>
      </c>
      <c r="C5" s="100" t="s">
        <v>1772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1773</v>
      </c>
      <c r="B6" s="98" t="s">
        <v>1774</v>
      </c>
      <c r="C6" s="100" t="s">
        <v>1775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1776</v>
      </c>
      <c r="B7" s="98" t="s">
        <v>15</v>
      </c>
      <c r="C7" s="100" t="s">
        <v>1777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1778</v>
      </c>
      <c r="B8" s="98" t="s">
        <v>1779</v>
      </c>
      <c r="C8" s="100" t="s">
        <v>1780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1781</v>
      </c>
      <c r="B9" s="98" t="s">
        <v>19</v>
      </c>
      <c r="C9" s="100" t="s">
        <v>1782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 t="s">
        <v>1783</v>
      </c>
      <c r="B10" s="98" t="s">
        <v>1784</v>
      </c>
      <c r="C10" s="100" t="s">
        <v>1785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 t="s">
        <v>1786</v>
      </c>
      <c r="B11" s="98" t="s">
        <v>1401</v>
      </c>
      <c r="C11" s="100" t="s">
        <v>1787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 t="s">
        <v>1788</v>
      </c>
      <c r="B12" s="98" t="s">
        <v>1789</v>
      </c>
      <c r="C12" s="100" t="s">
        <v>1790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 t="s">
        <v>1791</v>
      </c>
      <c r="B13" s="98" t="s">
        <v>1792</v>
      </c>
      <c r="C13" s="100" t="s">
        <v>1793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 t="s">
        <v>1794</v>
      </c>
      <c r="B14" s="98" t="s">
        <v>1795</v>
      </c>
      <c r="C14" s="100" t="s">
        <v>1796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99" t="s">
        <v>1797</v>
      </c>
      <c r="B15" s="98" t="s">
        <v>1633</v>
      </c>
      <c r="C15" s="100" t="s">
        <v>1798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 t="s">
        <v>1799</v>
      </c>
      <c r="B16" s="98" t="s">
        <v>1442</v>
      </c>
      <c r="C16" s="100" t="s">
        <v>1800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 t="s">
        <v>1801</v>
      </c>
      <c r="B17" s="98" t="s">
        <v>1568</v>
      </c>
      <c r="C17" s="100" t="s">
        <v>1802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 t="s">
        <v>1803</v>
      </c>
      <c r="B18" s="98" t="s">
        <v>1804</v>
      </c>
      <c r="C18" s="100" t="s">
        <v>1805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 t="s">
        <v>1806</v>
      </c>
      <c r="B19" s="98" t="s">
        <v>1807</v>
      </c>
      <c r="C19" s="100" t="s">
        <v>1808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99" t="s">
        <v>1809</v>
      </c>
      <c r="B20" s="98" t="s">
        <v>1810</v>
      </c>
      <c r="C20" s="100" t="s">
        <v>1811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99" t="s">
        <v>1812</v>
      </c>
      <c r="B21" s="98" t="s">
        <v>1813</v>
      </c>
      <c r="C21" s="100" t="s">
        <v>1814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99" t="s">
        <v>1815</v>
      </c>
      <c r="B22" s="98" t="s">
        <v>1816</v>
      </c>
      <c r="C22" s="100" t="s">
        <v>1817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99" t="s">
        <v>1818</v>
      </c>
      <c r="B23" s="98" t="s">
        <v>1819</v>
      </c>
      <c r="C23" s="100" t="s">
        <v>1820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99" t="s">
        <v>1821</v>
      </c>
      <c r="B24" s="98" t="s">
        <v>1822</v>
      </c>
      <c r="C24" s="100" t="s">
        <v>1823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99" t="s">
        <v>1824</v>
      </c>
      <c r="B25" s="98" t="s">
        <v>1825</v>
      </c>
      <c r="C25" s="100" t="s">
        <v>1826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99"/>
      <c r="B26" s="98"/>
      <c r="C26" s="10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99"/>
      <c r="B27" s="98"/>
      <c r="C27" s="10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99"/>
      <c r="B28" s="98"/>
      <c r="C28" s="10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99"/>
      <c r="B29" s="98"/>
      <c r="C29" s="10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101"/>
      <c r="B30" s="103"/>
      <c r="C30" s="10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00"/>
  <sheetViews>
    <sheetView workbookViewId="0"/>
  </sheetViews>
  <sheetFormatPr defaultRowHeight="15" x14ac:dyDescent="0.25"/>
  <cols>
    <col min="1" max="1" width="10" customWidth="1"/>
    <col min="2" max="2" width="34" customWidth="1"/>
    <col min="3" max="3" width="100" customWidth="1"/>
  </cols>
  <sheetData>
    <row r="1" spans="1:26" x14ac:dyDescent="0.25">
      <c r="A1" s="110" t="s">
        <v>1827</v>
      </c>
      <c r="B1" s="111" t="s">
        <v>1828</v>
      </c>
      <c r="C1" s="117" t="s">
        <v>1761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>
        <v>1</v>
      </c>
      <c r="B2" s="98" t="s">
        <v>1829</v>
      </c>
      <c r="C2" s="100" t="s">
        <v>1830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>
        <v>2</v>
      </c>
      <c r="B3" s="98" t="s">
        <v>1831</v>
      </c>
      <c r="C3" s="100" t="s">
        <v>1832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>
        <v>3</v>
      </c>
      <c r="B4" s="98" t="s">
        <v>1833</v>
      </c>
      <c r="C4" s="100" t="s">
        <v>1834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>
        <v>4</v>
      </c>
      <c r="B5" s="98" t="s">
        <v>1835</v>
      </c>
      <c r="C5" s="100" t="s">
        <v>1836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>
        <v>5</v>
      </c>
      <c r="B6" s="98" t="s">
        <v>1837</v>
      </c>
      <c r="C6" s="100" t="s">
        <v>1838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>
        <v>6</v>
      </c>
      <c r="B7" s="98" t="s">
        <v>1839</v>
      </c>
      <c r="C7" s="100" t="s">
        <v>1840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>
        <v>7</v>
      </c>
      <c r="B8" s="98" t="s">
        <v>1841</v>
      </c>
      <c r="C8" s="100" t="s">
        <v>1842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>
        <v>8</v>
      </c>
      <c r="B9" s="98" t="s">
        <v>1843</v>
      </c>
      <c r="C9" s="100" t="s">
        <v>1844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>
        <v>9</v>
      </c>
      <c r="B10" s="98" t="s">
        <v>1845</v>
      </c>
      <c r="C10" s="100" t="s">
        <v>1846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>
        <v>10</v>
      </c>
      <c r="B11" s="98" t="s">
        <v>1847</v>
      </c>
      <c r="C11" s="100" t="s">
        <v>1848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>
        <v>11</v>
      </c>
      <c r="B12" s="98" t="s">
        <v>1849</v>
      </c>
      <c r="C12" s="100" t="s">
        <v>1850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>
        <v>12</v>
      </c>
      <c r="B13" s="98" t="s">
        <v>1851</v>
      </c>
      <c r="C13" s="100" t="s">
        <v>1852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/>
      <c r="B14" s="98"/>
      <c r="C14" s="10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99"/>
      <c r="B15" s="98"/>
      <c r="C15" s="10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/>
      <c r="B16" s="98"/>
      <c r="C16" s="10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/>
      <c r="B17" s="98"/>
      <c r="C17" s="10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/>
      <c r="B18" s="98"/>
      <c r="C18" s="10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/>
      <c r="B19" s="98"/>
      <c r="C19" s="10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01"/>
      <c r="B20" s="103"/>
      <c r="C20" s="10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00"/>
  <sheetViews>
    <sheetView workbookViewId="0"/>
  </sheetViews>
  <sheetFormatPr defaultRowHeight="15" x14ac:dyDescent="0.25"/>
  <cols>
    <col min="1" max="1" width="28" customWidth="1"/>
    <col min="2" max="2" width="16" customWidth="1"/>
    <col min="3" max="3" width="50" customWidth="1"/>
    <col min="4" max="4" width="24" customWidth="1"/>
    <col min="5" max="5" width="70" customWidth="1"/>
  </cols>
  <sheetData>
    <row r="1" spans="1:26" ht="30" x14ac:dyDescent="0.25">
      <c r="A1" s="110" t="s">
        <v>1853</v>
      </c>
      <c r="B1" s="111" t="s">
        <v>1854</v>
      </c>
      <c r="C1" s="111" t="s">
        <v>1855</v>
      </c>
      <c r="D1" s="111" t="s">
        <v>1856</v>
      </c>
      <c r="E1" s="117" t="s">
        <v>1232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1857</v>
      </c>
      <c r="B2" s="98" t="s">
        <v>1858</v>
      </c>
      <c r="C2" s="98" t="s">
        <v>1859</v>
      </c>
      <c r="D2" s="98" t="s">
        <v>1858</v>
      </c>
      <c r="E2" s="100" t="s">
        <v>1860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1421</v>
      </c>
      <c r="B3" s="98" t="s">
        <v>1858</v>
      </c>
      <c r="C3" s="98" t="s">
        <v>1861</v>
      </c>
      <c r="D3" s="98" t="s">
        <v>1858</v>
      </c>
      <c r="E3" s="100" t="s">
        <v>1862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1863</v>
      </c>
      <c r="B4" s="98" t="s">
        <v>1864</v>
      </c>
      <c r="C4" s="98" t="s">
        <v>1865</v>
      </c>
      <c r="D4" s="98" t="s">
        <v>1858</v>
      </c>
      <c r="E4" s="100" t="s">
        <v>1866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1867</v>
      </c>
      <c r="B5" s="98" t="s">
        <v>1858</v>
      </c>
      <c r="C5" s="98" t="s">
        <v>1868</v>
      </c>
      <c r="D5" s="98" t="s">
        <v>1858</v>
      </c>
      <c r="E5" s="100" t="s">
        <v>1869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1433</v>
      </c>
      <c r="B6" s="98" t="s">
        <v>1858</v>
      </c>
      <c r="C6" s="98" t="s">
        <v>1870</v>
      </c>
      <c r="D6" s="98" t="s">
        <v>1871</v>
      </c>
      <c r="E6" s="100" t="s">
        <v>1872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1401</v>
      </c>
      <c r="B7" s="98" t="s">
        <v>1858</v>
      </c>
      <c r="C7" s="98" t="s">
        <v>1873</v>
      </c>
      <c r="D7" s="98" t="s">
        <v>1871</v>
      </c>
      <c r="E7" s="100" t="s">
        <v>1872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1424</v>
      </c>
      <c r="B8" s="98" t="s">
        <v>1858</v>
      </c>
      <c r="C8" s="98" t="s">
        <v>1874</v>
      </c>
      <c r="D8" s="98" t="s">
        <v>1871</v>
      </c>
      <c r="E8" s="100" t="s">
        <v>1875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1876</v>
      </c>
      <c r="B9" s="98" t="s">
        <v>1858</v>
      </c>
      <c r="C9" s="98" t="s">
        <v>1448</v>
      </c>
      <c r="D9" s="98" t="s">
        <v>1871</v>
      </c>
      <c r="E9" s="100" t="s">
        <v>1877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/>
      <c r="B10" s="98"/>
      <c r="C10" s="98"/>
      <c r="D10" s="98"/>
      <c r="E10" s="10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/>
      <c r="B11" s="98"/>
      <c r="C11" s="98"/>
      <c r="D11" s="98"/>
      <c r="E11" s="100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/>
      <c r="B12" s="98"/>
      <c r="C12" s="98"/>
      <c r="D12" s="98"/>
      <c r="E12" s="100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/>
      <c r="B13" s="98"/>
      <c r="C13" s="98"/>
      <c r="D13" s="98"/>
      <c r="E13" s="10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/>
      <c r="B14" s="98"/>
      <c r="C14" s="98"/>
      <c r="D14" s="98"/>
      <c r="E14" s="10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01"/>
      <c r="B15" s="103"/>
      <c r="C15" s="103"/>
      <c r="D15" s="103"/>
      <c r="E15" s="10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00"/>
  <sheetViews>
    <sheetView workbookViewId="0"/>
  </sheetViews>
  <sheetFormatPr defaultRowHeight="15" x14ac:dyDescent="0.25"/>
  <cols>
    <col min="1" max="1" width="120" customWidth="1"/>
  </cols>
  <sheetData>
    <row r="1" spans="1:26" x14ac:dyDescent="0.25">
      <c r="A1" s="104" t="s">
        <v>1878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05" t="s">
        <v>1879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05" t="s">
        <v>1880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05" t="s">
        <v>1881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05" t="s">
        <v>1882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05" t="s">
        <v>1883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05" t="s">
        <v>1884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5" t="s">
        <v>1885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05" t="s">
        <v>1886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05" t="s">
        <v>1887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05" t="s">
        <v>1888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05" t="s">
        <v>1889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105" t="s">
        <v>1890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105" t="s">
        <v>1891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06" t="s">
        <v>1892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300"/>
  <sheetViews>
    <sheetView workbookViewId="0"/>
  </sheetViews>
  <sheetFormatPr defaultRowHeight="15" x14ac:dyDescent="0.25"/>
  <cols>
    <col min="1" max="1" width="120" customWidth="1"/>
  </cols>
  <sheetData>
    <row r="1" spans="1:26" x14ac:dyDescent="0.25">
      <c r="A1" s="104" t="s">
        <v>1893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05" t="s">
        <v>1894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05" t="s">
        <v>1895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06" t="s">
        <v>1896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00"/>
  <sheetViews>
    <sheetView workbookViewId="0"/>
  </sheetViews>
  <sheetFormatPr defaultRowHeight="15" x14ac:dyDescent="0.25"/>
  <cols>
    <col min="1" max="1" width="26" customWidth="1"/>
    <col min="2" max="2" width="22" customWidth="1"/>
    <col min="3" max="3" width="90" customWidth="1"/>
  </cols>
  <sheetData>
    <row r="1" spans="1:26" x14ac:dyDescent="0.25">
      <c r="A1" s="110" t="s">
        <v>1897</v>
      </c>
      <c r="B1" s="111" t="s">
        <v>522</v>
      </c>
      <c r="C1" s="117" t="s">
        <v>1898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1433</v>
      </c>
      <c r="B2" s="98" t="s">
        <v>1899</v>
      </c>
      <c r="C2" s="100" t="s">
        <v>1900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1401</v>
      </c>
      <c r="B3" s="98" t="s">
        <v>1899</v>
      </c>
      <c r="C3" s="100" t="s">
        <v>1901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1424</v>
      </c>
      <c r="B4" s="98" t="s">
        <v>1899</v>
      </c>
      <c r="C4" s="100" t="s">
        <v>1902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1903</v>
      </c>
      <c r="B5" s="98" t="s">
        <v>1904</v>
      </c>
      <c r="C5" s="100" t="s">
        <v>1905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1906</v>
      </c>
      <c r="B6" s="98" t="s">
        <v>1907</v>
      </c>
      <c r="C6" s="100" t="s">
        <v>1908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1909</v>
      </c>
      <c r="B7" s="98" t="s">
        <v>1910</v>
      </c>
      <c r="C7" s="100" t="s">
        <v>1911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1813</v>
      </c>
      <c r="B8" s="98" t="s">
        <v>1912</v>
      </c>
      <c r="C8" s="100" t="s">
        <v>1913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/>
      <c r="B9" s="98"/>
      <c r="C9" s="10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/>
      <c r="B10" s="98"/>
      <c r="C10" s="10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/>
      <c r="B11" s="98"/>
      <c r="C11" s="10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/>
      <c r="B12" s="98"/>
      <c r="C12" s="10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/>
      <c r="B13" s="98"/>
      <c r="C13" s="10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/>
      <c r="B14" s="98"/>
      <c r="C14" s="10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01"/>
      <c r="B15" s="103"/>
      <c r="C15" s="10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300"/>
  <sheetViews>
    <sheetView workbookViewId="0"/>
  </sheetViews>
  <sheetFormatPr defaultRowHeight="15" x14ac:dyDescent="0.25"/>
  <cols>
    <col min="1" max="1" width="18" customWidth="1"/>
    <col min="2" max="2" width="24" customWidth="1"/>
    <col min="3" max="3" width="26" customWidth="1"/>
    <col min="4" max="4" width="42" customWidth="1"/>
    <col min="5" max="5" width="90" customWidth="1"/>
    <col min="6" max="6" width="18" customWidth="1"/>
  </cols>
  <sheetData>
    <row r="1" spans="1:26" ht="30" x14ac:dyDescent="0.25">
      <c r="A1" s="110" t="s">
        <v>1914</v>
      </c>
      <c r="B1" s="111" t="s">
        <v>1915</v>
      </c>
      <c r="C1" s="111" t="s">
        <v>1393</v>
      </c>
      <c r="D1" s="111" t="s">
        <v>1916</v>
      </c>
      <c r="E1" s="111" t="s">
        <v>1917</v>
      </c>
      <c r="F1" s="117" t="s">
        <v>1918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1919</v>
      </c>
      <c r="B2" s="98" t="s">
        <v>9</v>
      </c>
      <c r="C2" s="98" t="s">
        <v>1920</v>
      </c>
      <c r="D2" s="98" t="s">
        <v>1711</v>
      </c>
      <c r="E2" s="98" t="s">
        <v>1921</v>
      </c>
      <c r="F2" s="100" t="s">
        <v>1858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1922</v>
      </c>
      <c r="B3" s="98" t="s">
        <v>10</v>
      </c>
      <c r="C3" s="98" t="s">
        <v>1920</v>
      </c>
      <c r="D3" s="98" t="s">
        <v>1711</v>
      </c>
      <c r="E3" s="98" t="s">
        <v>1923</v>
      </c>
      <c r="F3" s="100" t="s">
        <v>1858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1924</v>
      </c>
      <c r="B4" s="98" t="s">
        <v>11</v>
      </c>
      <c r="C4" s="98" t="s">
        <v>1920</v>
      </c>
      <c r="D4" s="98" t="s">
        <v>1711</v>
      </c>
      <c r="E4" s="98" t="s">
        <v>1925</v>
      </c>
      <c r="F4" s="100" t="s">
        <v>1858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1926</v>
      </c>
      <c r="B5" s="98" t="s">
        <v>12</v>
      </c>
      <c r="C5" s="98" t="s">
        <v>1920</v>
      </c>
      <c r="D5" s="98" t="s">
        <v>1711</v>
      </c>
      <c r="E5" s="98" t="s">
        <v>1927</v>
      </c>
      <c r="F5" s="100" t="s">
        <v>1858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1928</v>
      </c>
      <c r="B6" s="98" t="s">
        <v>13</v>
      </c>
      <c r="C6" s="98" t="s">
        <v>1920</v>
      </c>
      <c r="D6" s="98" t="s">
        <v>1929</v>
      </c>
      <c r="E6" s="98" t="s">
        <v>1930</v>
      </c>
      <c r="F6" s="100" t="s">
        <v>1858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1931</v>
      </c>
      <c r="B7" s="98" t="s">
        <v>14</v>
      </c>
      <c r="C7" s="98" t="s">
        <v>1932</v>
      </c>
      <c r="D7" s="98" t="s">
        <v>1421</v>
      </c>
      <c r="E7" s="98" t="s">
        <v>1933</v>
      </c>
      <c r="F7" s="100" t="s">
        <v>1858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1934</v>
      </c>
      <c r="B8" s="98" t="s">
        <v>15</v>
      </c>
      <c r="C8" s="98" t="s">
        <v>1935</v>
      </c>
      <c r="D8" s="98" t="s">
        <v>1936</v>
      </c>
      <c r="E8" s="98" t="str">
        <f>IF($F7&lt;&gt;"",$F7,IFERROR(_xludf.XLOOKUP(ROW(),Taxa_Saknas!$H:$H,Taxa_Saknas!$G:$G),""))</f>
        <v>Ja</v>
      </c>
      <c r="F8" s="100" t="s">
        <v>1871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1937</v>
      </c>
      <c r="B9" s="98" t="s">
        <v>16</v>
      </c>
      <c r="C9" s="98" t="s">
        <v>1935</v>
      </c>
      <c r="D9" s="98" t="s">
        <v>1938</v>
      </c>
      <c r="E9" s="98" t="s">
        <v>1939</v>
      </c>
      <c r="F9" s="100" t="s">
        <v>1871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 t="s">
        <v>1940</v>
      </c>
      <c r="B10" s="98" t="s">
        <v>17</v>
      </c>
      <c r="C10" s="98" t="s">
        <v>1935</v>
      </c>
      <c r="D10" s="98" t="s">
        <v>1941</v>
      </c>
      <c r="E10" s="98" t="s">
        <v>1942</v>
      </c>
      <c r="F10" s="100" t="s">
        <v>1871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 t="s">
        <v>1943</v>
      </c>
      <c r="B11" s="98" t="s">
        <v>18</v>
      </c>
      <c r="C11" s="98" t="s">
        <v>1935</v>
      </c>
      <c r="D11" s="98" t="s">
        <v>1944</v>
      </c>
      <c r="E11" s="98" t="s">
        <v>1945</v>
      </c>
      <c r="F11" s="100" t="s">
        <v>1871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 t="s">
        <v>1946</v>
      </c>
      <c r="B12" s="98" t="s">
        <v>19</v>
      </c>
      <c r="C12" s="98" t="s">
        <v>1947</v>
      </c>
      <c r="D12" s="98" t="s">
        <v>1948</v>
      </c>
      <c r="E12" s="98" t="s">
        <v>1949</v>
      </c>
      <c r="F12" s="100" t="s">
        <v>1858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 t="s">
        <v>1950</v>
      </c>
      <c r="B13" s="98" t="s">
        <v>20</v>
      </c>
      <c r="C13" s="98" t="s">
        <v>1920</v>
      </c>
      <c r="D13" s="98" t="s">
        <v>1951</v>
      </c>
      <c r="E13" s="98" t="s">
        <v>1952</v>
      </c>
      <c r="F13" s="100" t="s">
        <v>1858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 t="s">
        <v>1953</v>
      </c>
      <c r="B14" s="98" t="s">
        <v>21</v>
      </c>
      <c r="C14" s="98" t="s">
        <v>1935</v>
      </c>
      <c r="D14" s="98" t="s">
        <v>1954</v>
      </c>
      <c r="E14" s="98" t="str">
        <f>IFERROR(IF(J7&lt;&gt;"",J7*1.25,IF(K7&lt;&gt;"",K7*1.25,"")),"")</f>
        <v/>
      </c>
      <c r="F14" s="100" t="s">
        <v>1871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99" t="s">
        <v>1955</v>
      </c>
      <c r="B15" s="98" t="s">
        <v>22</v>
      </c>
      <c r="C15" s="98" t="s">
        <v>1935</v>
      </c>
      <c r="D15" s="98" t="s">
        <v>1956</v>
      </c>
      <c r="E15" s="98" t="str">
        <f>IFERROR(IF(J7&lt;&gt;"",L7*J7,IF(K7&lt;&gt;"",L7*K7,"")),"")</f>
        <v/>
      </c>
      <c r="F15" s="100" t="s">
        <v>1871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/>
      <c r="B16" s="98"/>
      <c r="C16" s="98"/>
      <c r="D16" s="98"/>
      <c r="E16" s="98"/>
      <c r="F16" s="10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 t="s">
        <v>1957</v>
      </c>
      <c r="B17" s="98" t="s">
        <v>1761</v>
      </c>
      <c r="C17" s="98"/>
      <c r="D17" s="98"/>
      <c r="E17" s="98"/>
      <c r="F17" s="10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 t="s">
        <v>1958</v>
      </c>
      <c r="B18" s="98" t="s">
        <v>1959</v>
      </c>
      <c r="C18" s="98"/>
      <c r="D18" s="98"/>
      <c r="E18" s="98"/>
      <c r="F18" s="10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 t="s">
        <v>1960</v>
      </c>
      <c r="B19" s="98" t="s">
        <v>1961</v>
      </c>
      <c r="C19" s="98"/>
      <c r="D19" s="98"/>
      <c r="E19" s="98"/>
      <c r="F19" s="10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99" t="s">
        <v>1962</v>
      </c>
      <c r="B20" s="98" t="s">
        <v>1963</v>
      </c>
      <c r="C20" s="98"/>
      <c r="D20" s="98"/>
      <c r="E20" s="98"/>
      <c r="F20" s="10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99" t="s">
        <v>1964</v>
      </c>
      <c r="B21" s="98" t="s">
        <v>1965</v>
      </c>
      <c r="C21" s="98"/>
      <c r="D21" s="98"/>
      <c r="E21" s="98"/>
      <c r="F21" s="10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108" t="s">
        <v>1966</v>
      </c>
      <c r="B22" s="107" t="s">
        <v>1967</v>
      </c>
      <c r="C22" s="107" t="s">
        <v>1968</v>
      </c>
      <c r="D22" s="107" t="s">
        <v>1740</v>
      </c>
      <c r="E22" s="107" t="s">
        <v>1560</v>
      </c>
      <c r="F22" s="109" t="s">
        <v>1918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99" t="s">
        <v>1969</v>
      </c>
      <c r="B23" s="98" t="s">
        <v>1970</v>
      </c>
      <c r="C23" s="98" t="s">
        <v>1971</v>
      </c>
      <c r="D23" s="98" t="s">
        <v>1972</v>
      </c>
      <c r="E23" s="98" t="s">
        <v>23</v>
      </c>
      <c r="F23" s="100" t="s">
        <v>1871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99" t="s">
        <v>1973</v>
      </c>
      <c r="B24" s="98" t="s">
        <v>1974</v>
      </c>
      <c r="C24" s="98" t="s">
        <v>1975</v>
      </c>
      <c r="D24" s="98" t="s">
        <v>1976</v>
      </c>
      <c r="E24" s="98" t="s">
        <v>1977</v>
      </c>
      <c r="F24" s="100" t="s">
        <v>1858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99"/>
      <c r="B25" s="98"/>
      <c r="C25" s="98"/>
      <c r="D25" s="98"/>
      <c r="E25" s="98"/>
      <c r="F25" s="10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99"/>
      <c r="B26" s="98"/>
      <c r="C26" s="98"/>
      <c r="D26" s="98"/>
      <c r="E26" s="98"/>
      <c r="F26" s="10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99"/>
      <c r="B27" s="98"/>
      <c r="C27" s="98"/>
      <c r="D27" s="98"/>
      <c r="E27" s="98"/>
      <c r="F27" s="10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99"/>
      <c r="B28" s="98"/>
      <c r="C28" s="98"/>
      <c r="D28" s="98"/>
      <c r="E28" s="98"/>
      <c r="F28" s="10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99"/>
      <c r="B29" s="98"/>
      <c r="C29" s="98"/>
      <c r="D29" s="98"/>
      <c r="E29" s="98"/>
      <c r="F29" s="10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101"/>
      <c r="B30" s="103"/>
      <c r="C30" s="103"/>
      <c r="D30" s="103"/>
      <c r="E30" s="103"/>
      <c r="F30" s="10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301"/>
  <sheetViews>
    <sheetView workbookViewId="0"/>
  </sheetViews>
  <sheetFormatPr defaultRowHeight="15" x14ac:dyDescent="0.25"/>
  <cols>
    <col min="1" max="1" width="18" customWidth="1"/>
    <col min="2" max="2" width="50" customWidth="1"/>
    <col min="3" max="3" width="90" customWidth="1"/>
  </cols>
  <sheetData>
    <row r="1" spans="1:26" x14ac:dyDescent="0.25">
      <c r="A1" s="110" t="s">
        <v>1978</v>
      </c>
      <c r="B1" s="111" t="s">
        <v>1979</v>
      </c>
      <c r="C1" s="117" t="s">
        <v>1980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1981</v>
      </c>
      <c r="B2" s="98" t="s">
        <v>1982</v>
      </c>
      <c r="C2" s="100" t="s">
        <v>1983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1981</v>
      </c>
      <c r="B3" s="98" t="s">
        <v>1984</v>
      </c>
      <c r="C3" s="100" t="s">
        <v>1985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1981</v>
      </c>
      <c r="B4" s="98" t="s">
        <v>1986</v>
      </c>
      <c r="C4" s="100" t="s">
        <v>1987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1981</v>
      </c>
      <c r="B5" s="98" t="s">
        <v>1988</v>
      </c>
      <c r="C5" s="100" t="s">
        <v>1989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1981</v>
      </c>
      <c r="B6" s="98" t="s">
        <v>1990</v>
      </c>
      <c r="C6" s="100" t="s">
        <v>1991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1981</v>
      </c>
      <c r="B7" s="98" t="s">
        <v>1992</v>
      </c>
      <c r="C7" s="100" t="s">
        <v>1993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1981</v>
      </c>
      <c r="B8" s="98" t="s">
        <v>1994</v>
      </c>
      <c r="C8" s="100" t="s">
        <v>1995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1981</v>
      </c>
      <c r="B9" s="98" t="s">
        <v>1996</v>
      </c>
      <c r="C9" s="100" t="s">
        <v>1997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/>
      <c r="B10" s="98"/>
      <c r="C10" s="10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/>
      <c r="B11" s="98"/>
      <c r="C11" s="10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/>
      <c r="B12" s="98"/>
      <c r="C12" s="10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/>
      <c r="B13" s="98"/>
      <c r="C13" s="10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/>
      <c r="B14" s="98"/>
      <c r="C14" s="10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99"/>
      <c r="B15" s="98"/>
      <c r="C15" s="10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/>
      <c r="B16" s="98"/>
      <c r="C16" s="10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/>
      <c r="B17" s="98"/>
      <c r="C17" s="10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/>
      <c r="B18" s="98"/>
      <c r="C18" s="10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/>
      <c r="B19" s="98"/>
      <c r="C19" s="10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01"/>
      <c r="B20" s="103"/>
      <c r="C20" s="10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t="s">
        <v>1998</v>
      </c>
      <c r="B301" t="s">
        <v>1999</v>
      </c>
      <c r="C301" t="s">
        <v>2000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300"/>
  <sheetViews>
    <sheetView workbookViewId="0"/>
  </sheetViews>
  <sheetFormatPr defaultRowHeight="15" x14ac:dyDescent="0.25"/>
  <cols>
    <col min="1" max="1" width="24" customWidth="1"/>
    <col min="2" max="2" width="14" customWidth="1"/>
    <col min="3" max="4" width="60" customWidth="1"/>
  </cols>
  <sheetData>
    <row r="1" spans="1:26" x14ac:dyDescent="0.25">
      <c r="A1" s="110" t="s">
        <v>2001</v>
      </c>
      <c r="B1" s="111" t="s">
        <v>2002</v>
      </c>
      <c r="C1" s="111" t="s">
        <v>2003</v>
      </c>
      <c r="D1" s="117" t="s">
        <v>1560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1915</v>
      </c>
      <c r="B2" s="98" t="s">
        <v>2004</v>
      </c>
      <c r="C2" s="98" t="s">
        <v>2005</v>
      </c>
      <c r="D2" s="100" t="s">
        <v>2006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2007</v>
      </c>
      <c r="B3" s="98" t="s">
        <v>2008</v>
      </c>
      <c r="C3" s="98" t="s">
        <v>2009</v>
      </c>
      <c r="D3" s="100" t="s">
        <v>2010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2011</v>
      </c>
      <c r="B4" s="98" t="s">
        <v>2012</v>
      </c>
      <c r="C4" s="98" t="s">
        <v>2013</v>
      </c>
      <c r="D4" s="100" t="s">
        <v>2014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2015</v>
      </c>
      <c r="B5" s="98" t="s">
        <v>2016</v>
      </c>
      <c r="C5" s="98" t="s">
        <v>2017</v>
      </c>
      <c r="D5" s="100" t="s">
        <v>2018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2019</v>
      </c>
      <c r="B6" s="98" t="s">
        <v>2020</v>
      </c>
      <c r="C6" s="98" t="s">
        <v>2021</v>
      </c>
      <c r="D6" s="100" t="s">
        <v>2022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2023</v>
      </c>
      <c r="B7" s="98" t="s">
        <v>2024</v>
      </c>
      <c r="C7" s="98" t="s">
        <v>2025</v>
      </c>
      <c r="D7" s="100" t="s">
        <v>2026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1445</v>
      </c>
      <c r="B8" s="98" t="s">
        <v>2027</v>
      </c>
      <c r="C8" s="98" t="s">
        <v>2028</v>
      </c>
      <c r="D8" s="100" t="s">
        <v>2029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2030</v>
      </c>
      <c r="B9" s="98" t="s">
        <v>2031</v>
      </c>
      <c r="C9" s="98" t="s">
        <v>2032</v>
      </c>
      <c r="D9" s="100" t="s">
        <v>2033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/>
      <c r="B10" s="98"/>
      <c r="C10" s="98"/>
      <c r="D10" s="10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58" t="s">
        <v>1479</v>
      </c>
      <c r="B11" s="159" t="s">
        <v>2034</v>
      </c>
      <c r="C11" s="159" t="s">
        <v>2003</v>
      </c>
      <c r="D11" s="160" t="s">
        <v>1232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 t="s">
        <v>2035</v>
      </c>
      <c r="B12" s="98" t="s">
        <v>2036</v>
      </c>
      <c r="C12" s="98" t="s">
        <v>2037</v>
      </c>
      <c r="D12" s="100" t="s">
        <v>2038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 t="s">
        <v>2039</v>
      </c>
      <c r="B13" s="98" t="s">
        <v>2040</v>
      </c>
      <c r="C13" s="98" t="s">
        <v>2041</v>
      </c>
      <c r="D13" s="100" t="s">
        <v>2042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 t="s">
        <v>2043</v>
      </c>
      <c r="B14" s="98" t="s">
        <v>2040</v>
      </c>
      <c r="C14" s="98" t="s">
        <v>2044</v>
      </c>
      <c r="D14" s="100" t="s">
        <v>2045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01" t="s">
        <v>2046</v>
      </c>
      <c r="B15" s="103" t="s">
        <v>2047</v>
      </c>
      <c r="C15" s="103" t="s">
        <v>2048</v>
      </c>
      <c r="D15" s="102" t="s">
        <v>2049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/>
      <c r="B16" s="98"/>
      <c r="C16" s="98"/>
      <c r="D16" s="10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/>
      <c r="B17" s="98"/>
      <c r="C17" s="98"/>
      <c r="D17" s="10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/>
      <c r="B18" s="98"/>
      <c r="C18" s="98"/>
      <c r="D18" s="10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/>
      <c r="B19" s="98"/>
      <c r="C19" s="98"/>
      <c r="D19" s="10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01"/>
      <c r="B20" s="103"/>
      <c r="C20" s="103"/>
      <c r="D20" s="10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300"/>
  <sheetViews>
    <sheetView workbookViewId="0"/>
  </sheetViews>
  <sheetFormatPr defaultRowHeight="15" x14ac:dyDescent="0.25"/>
  <cols>
    <col min="1" max="1" width="12" customWidth="1"/>
    <col min="2" max="2" width="26" customWidth="1"/>
    <col min="3" max="3" width="22" customWidth="1"/>
    <col min="4" max="4" width="38" customWidth="1"/>
    <col min="5" max="5" width="80" customWidth="1"/>
    <col min="6" max="6" width="20" customWidth="1"/>
  </cols>
  <sheetData>
    <row r="1" spans="1:26" x14ac:dyDescent="0.25">
      <c r="A1" s="110" t="s">
        <v>1914</v>
      </c>
      <c r="B1" s="111" t="s">
        <v>1915</v>
      </c>
      <c r="C1" s="111" t="s">
        <v>1393</v>
      </c>
      <c r="D1" s="111" t="s">
        <v>1916</v>
      </c>
      <c r="E1" s="111" t="s">
        <v>2050</v>
      </c>
      <c r="F1" s="117" t="s">
        <v>1918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1919</v>
      </c>
      <c r="B2" s="98" t="s">
        <v>1246</v>
      </c>
      <c r="C2" s="98" t="s">
        <v>2051</v>
      </c>
      <c r="D2" s="98" t="s">
        <v>2052</v>
      </c>
      <c r="E2" s="98" t="s">
        <v>2053</v>
      </c>
      <c r="F2" s="100" t="s">
        <v>1858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1922</v>
      </c>
      <c r="B3" s="98" t="s">
        <v>1247</v>
      </c>
      <c r="C3" s="98" t="s">
        <v>2051</v>
      </c>
      <c r="D3" s="98" t="s">
        <v>2054</v>
      </c>
      <c r="E3" s="98" t="s">
        <v>2055</v>
      </c>
      <c r="F3" s="100" t="s">
        <v>1858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1924</v>
      </c>
      <c r="B4" s="98" t="s">
        <v>1248</v>
      </c>
      <c r="C4" s="98" t="s">
        <v>2051</v>
      </c>
      <c r="D4" s="98" t="s">
        <v>1433</v>
      </c>
      <c r="E4" s="98" t="s">
        <v>2056</v>
      </c>
      <c r="F4" s="100" t="s">
        <v>1858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1926</v>
      </c>
      <c r="B5" s="98" t="s">
        <v>1249</v>
      </c>
      <c r="C5" s="98" t="s">
        <v>2051</v>
      </c>
      <c r="D5" s="98" t="s">
        <v>1711</v>
      </c>
      <c r="E5" s="98" t="s">
        <v>2057</v>
      </c>
      <c r="F5" s="100" t="s">
        <v>1858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1928</v>
      </c>
      <c r="B6" s="98" t="s">
        <v>522</v>
      </c>
      <c r="C6" s="98" t="s">
        <v>2051</v>
      </c>
      <c r="D6" s="98" t="s">
        <v>2058</v>
      </c>
      <c r="E6" s="98" t="s">
        <v>2059</v>
      </c>
      <c r="F6" s="100" t="s">
        <v>1858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1931</v>
      </c>
      <c r="B7" s="98" t="s">
        <v>1250</v>
      </c>
      <c r="C7" s="98" t="s">
        <v>2051</v>
      </c>
      <c r="D7" s="98" t="s">
        <v>2058</v>
      </c>
      <c r="E7" s="98" t="s">
        <v>2060</v>
      </c>
      <c r="F7" s="100" t="s">
        <v>1858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1934</v>
      </c>
      <c r="B8" s="98" t="s">
        <v>1251</v>
      </c>
      <c r="C8" s="98" t="s">
        <v>2015</v>
      </c>
      <c r="D8" s="98" t="s">
        <v>2061</v>
      </c>
      <c r="E8" s="98" t="s">
        <v>2062</v>
      </c>
      <c r="F8" s="100" t="s">
        <v>1858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1937</v>
      </c>
      <c r="B9" s="98" t="s">
        <v>526</v>
      </c>
      <c r="C9" s="98" t="s">
        <v>2063</v>
      </c>
      <c r="D9" s="98" t="s">
        <v>1433</v>
      </c>
      <c r="E9" s="98" t="s">
        <v>2064</v>
      </c>
      <c r="F9" s="100" t="s">
        <v>1858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 t="s">
        <v>1940</v>
      </c>
      <c r="B10" s="98" t="s">
        <v>1252</v>
      </c>
      <c r="C10" s="98" t="s">
        <v>2051</v>
      </c>
      <c r="D10" s="98" t="s">
        <v>1433</v>
      </c>
      <c r="E10" s="98" t="s">
        <v>2065</v>
      </c>
      <c r="F10" s="100" t="s">
        <v>1858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 t="s">
        <v>2066</v>
      </c>
      <c r="B11" s="98" t="s">
        <v>2067</v>
      </c>
      <c r="C11" s="98" t="s">
        <v>2068</v>
      </c>
      <c r="D11" s="98" t="s">
        <v>1421</v>
      </c>
      <c r="E11" s="98" t="s">
        <v>2069</v>
      </c>
      <c r="F11" s="100" t="s">
        <v>2070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/>
      <c r="B12" s="98"/>
      <c r="C12" s="98"/>
      <c r="D12" s="98"/>
      <c r="E12" s="98"/>
      <c r="F12" s="10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87" t="s">
        <v>1474</v>
      </c>
      <c r="B13" s="85" t="s">
        <v>2071</v>
      </c>
      <c r="C13" s="85" t="s">
        <v>1393</v>
      </c>
      <c r="D13" s="85" t="s">
        <v>1916</v>
      </c>
      <c r="E13" s="85" t="s">
        <v>2050</v>
      </c>
      <c r="F13" s="88" t="s">
        <v>1918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 t="s">
        <v>2072</v>
      </c>
      <c r="B14" s="98" t="s">
        <v>1248</v>
      </c>
      <c r="C14" s="98" t="s">
        <v>1920</v>
      </c>
      <c r="D14" s="98" t="s">
        <v>1433</v>
      </c>
      <c r="E14" s="98" t="s">
        <v>2073</v>
      </c>
      <c r="F14" s="100" t="s">
        <v>1858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99" t="s">
        <v>2074</v>
      </c>
      <c r="B15" s="98" t="s">
        <v>1251</v>
      </c>
      <c r="C15" s="98" t="s">
        <v>1920</v>
      </c>
      <c r="D15" s="98" t="s">
        <v>2075</v>
      </c>
      <c r="E15" s="98" t="s">
        <v>2076</v>
      </c>
      <c r="F15" s="100" t="s">
        <v>1858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 t="s">
        <v>2077</v>
      </c>
      <c r="B16" s="98" t="s">
        <v>2078</v>
      </c>
      <c r="C16" s="98" t="s">
        <v>2079</v>
      </c>
      <c r="D16" s="98" t="s">
        <v>2080</v>
      </c>
      <c r="E16" s="98" t="s">
        <v>2081</v>
      </c>
      <c r="F16" s="100" t="s">
        <v>2082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/>
      <c r="B17" s="98"/>
      <c r="C17" s="98"/>
      <c r="D17" s="98"/>
      <c r="E17" s="98"/>
      <c r="F17" s="10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/>
      <c r="B18" s="98"/>
      <c r="C18" s="98"/>
      <c r="D18" s="98"/>
      <c r="E18" s="98"/>
      <c r="F18" s="10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/>
      <c r="B19" s="98"/>
      <c r="C19" s="98"/>
      <c r="D19" s="98"/>
      <c r="E19" s="98"/>
      <c r="F19" s="10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99"/>
      <c r="B20" s="98"/>
      <c r="C20" s="98"/>
      <c r="D20" s="98"/>
      <c r="E20" s="98"/>
      <c r="F20" s="10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99"/>
      <c r="B21" s="98"/>
      <c r="C21" s="98"/>
      <c r="D21" s="98"/>
      <c r="E21" s="98"/>
      <c r="F21" s="10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99"/>
      <c r="B22" s="98"/>
      <c r="C22" s="98"/>
      <c r="D22" s="98"/>
      <c r="E22" s="98"/>
      <c r="F22" s="10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99"/>
      <c r="B23" s="98"/>
      <c r="C23" s="98"/>
      <c r="D23" s="98"/>
      <c r="E23" s="98"/>
      <c r="F23" s="10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99"/>
      <c r="B24" s="98"/>
      <c r="C24" s="98"/>
      <c r="D24" s="98"/>
      <c r="E24" s="98"/>
      <c r="F24" s="10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99"/>
      <c r="B25" s="98"/>
      <c r="C25" s="98"/>
      <c r="D25" s="98"/>
      <c r="E25" s="98"/>
      <c r="F25" s="10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99"/>
      <c r="B26" s="98"/>
      <c r="C26" s="98"/>
      <c r="D26" s="98"/>
      <c r="E26" s="98"/>
      <c r="F26" s="10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99"/>
      <c r="B27" s="98"/>
      <c r="C27" s="98"/>
      <c r="D27" s="98"/>
      <c r="E27" s="98"/>
      <c r="F27" s="10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99"/>
      <c r="B28" s="98"/>
      <c r="C28" s="98"/>
      <c r="D28" s="98"/>
      <c r="E28" s="98"/>
      <c r="F28" s="10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99"/>
      <c r="B29" s="98"/>
      <c r="C29" s="98"/>
      <c r="D29" s="98"/>
      <c r="E29" s="98"/>
      <c r="F29" s="10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101"/>
      <c r="B30" s="103"/>
      <c r="C30" s="103"/>
      <c r="D30" s="103"/>
      <c r="E30" s="103"/>
      <c r="F30" s="10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00"/>
  <sheetViews>
    <sheetView workbookViewId="0"/>
  </sheetViews>
  <sheetFormatPr defaultRowHeight="15" x14ac:dyDescent="0.25"/>
  <cols>
    <col min="1" max="1" width="12" customWidth="1"/>
    <col min="2" max="2" width="28" customWidth="1"/>
    <col min="3" max="3" width="48" customWidth="1"/>
    <col min="4" max="4" width="90" customWidth="1"/>
  </cols>
  <sheetData>
    <row r="1" spans="1:26" x14ac:dyDescent="0.25">
      <c r="A1" s="110" t="s">
        <v>1914</v>
      </c>
      <c r="B1" s="111" t="s">
        <v>1915</v>
      </c>
      <c r="C1" s="111" t="s">
        <v>2083</v>
      </c>
      <c r="D1" s="117" t="s">
        <v>1740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1919</v>
      </c>
      <c r="B2" s="98" t="s">
        <v>526</v>
      </c>
      <c r="C2" s="98" t="s">
        <v>2084</v>
      </c>
      <c r="D2" s="100" t="s">
        <v>2085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1922</v>
      </c>
      <c r="B3" s="98" t="s">
        <v>527</v>
      </c>
      <c r="C3" s="98" t="s">
        <v>2086</v>
      </c>
      <c r="D3" s="100" t="s">
        <v>2087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1924</v>
      </c>
      <c r="B4" s="98" t="s">
        <v>528</v>
      </c>
      <c r="C4" s="98" t="s">
        <v>2088</v>
      </c>
      <c r="D4" s="100" t="s">
        <v>2089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1926</v>
      </c>
      <c r="B5" s="98" t="s">
        <v>529</v>
      </c>
      <c r="C5" s="98" t="s">
        <v>2090</v>
      </c>
      <c r="D5" s="100" t="s">
        <v>2091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1928</v>
      </c>
      <c r="B6" s="98" t="s">
        <v>530</v>
      </c>
      <c r="C6" s="98" t="s">
        <v>2092</v>
      </c>
      <c r="D6" s="100" t="s">
        <v>2093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1931</v>
      </c>
      <c r="B7" s="98" t="s">
        <v>531</v>
      </c>
      <c r="C7" s="98" t="s">
        <v>2094</v>
      </c>
      <c r="D7" s="100" t="s">
        <v>2095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1934</v>
      </c>
      <c r="B8" s="98" t="s">
        <v>532</v>
      </c>
      <c r="C8" s="98" t="s">
        <v>2096</v>
      </c>
      <c r="D8" s="100" t="s">
        <v>2097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1937</v>
      </c>
      <c r="B9" s="98" t="s">
        <v>533</v>
      </c>
      <c r="C9" s="98" t="s">
        <v>2098</v>
      </c>
      <c r="D9" s="100" t="s">
        <v>2099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 t="s">
        <v>1946</v>
      </c>
      <c r="B10" s="98" t="s">
        <v>536</v>
      </c>
      <c r="C10" s="98" t="s">
        <v>2100</v>
      </c>
      <c r="D10" s="100" t="s">
        <v>2101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 t="s">
        <v>2102</v>
      </c>
      <c r="B11" s="98" t="s">
        <v>542</v>
      </c>
      <c r="C11" s="98" t="s">
        <v>2103</v>
      </c>
      <c r="D11" s="100" t="s">
        <v>2104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/>
      <c r="B12" s="98"/>
      <c r="C12" s="98"/>
      <c r="D12" s="10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/>
      <c r="B13" s="98"/>
      <c r="C13" s="98"/>
      <c r="D13" s="10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/>
      <c r="B14" s="98"/>
      <c r="C14" s="98"/>
      <c r="D14" s="10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99"/>
      <c r="B15" s="98"/>
      <c r="C15" s="98"/>
      <c r="D15" s="10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/>
      <c r="B16" s="98"/>
      <c r="C16" s="98"/>
      <c r="D16" s="10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/>
      <c r="B17" s="98"/>
      <c r="C17" s="98"/>
      <c r="D17" s="10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/>
      <c r="B18" s="98"/>
      <c r="C18" s="98"/>
      <c r="D18" s="10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/>
      <c r="B19" s="98"/>
      <c r="C19" s="98"/>
      <c r="D19" s="10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01"/>
      <c r="B20" s="103"/>
      <c r="C20" s="103"/>
      <c r="D20" s="10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300"/>
  <sheetViews>
    <sheetView workbookViewId="0"/>
  </sheetViews>
  <sheetFormatPr defaultRowHeight="15" x14ac:dyDescent="0.25"/>
  <cols>
    <col min="1" max="2" width="30" customWidth="1"/>
    <col min="3" max="3" width="90" customWidth="1"/>
    <col min="4" max="4" width="20" customWidth="1"/>
  </cols>
  <sheetData>
    <row r="1" spans="1:26" x14ac:dyDescent="0.25">
      <c r="A1" s="110" t="s">
        <v>2105</v>
      </c>
      <c r="B1" s="111" t="s">
        <v>521</v>
      </c>
      <c r="C1" s="111" t="s">
        <v>2106</v>
      </c>
      <c r="D1" s="117" t="s">
        <v>522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99" t="s">
        <v>2107</v>
      </c>
      <c r="B2" s="98" t="s">
        <v>2108</v>
      </c>
      <c r="C2" s="98" t="s">
        <v>2109</v>
      </c>
      <c r="D2" s="100" t="s">
        <v>1412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99" t="s">
        <v>2079</v>
      </c>
      <c r="B3" s="98" t="s">
        <v>2110</v>
      </c>
      <c r="C3" s="98" t="s">
        <v>2111</v>
      </c>
      <c r="D3" s="100" t="s">
        <v>1412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99" t="s">
        <v>2112</v>
      </c>
      <c r="B4" s="98" t="s">
        <v>2113</v>
      </c>
      <c r="C4" s="98" t="s">
        <v>2114</v>
      </c>
      <c r="D4" s="100" t="s">
        <v>1412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99" t="s">
        <v>2115</v>
      </c>
      <c r="B5" s="98" t="s">
        <v>2113</v>
      </c>
      <c r="C5" s="98" t="s">
        <v>2116</v>
      </c>
      <c r="D5" s="100" t="s">
        <v>1412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99" t="s">
        <v>1813</v>
      </c>
      <c r="B6" s="98" t="s">
        <v>2117</v>
      </c>
      <c r="C6" s="98" t="s">
        <v>2118</v>
      </c>
      <c r="D6" s="100" t="s">
        <v>1412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99" t="s">
        <v>1779</v>
      </c>
      <c r="B7" s="98" t="s">
        <v>2119</v>
      </c>
      <c r="C7" s="98" t="s">
        <v>2120</v>
      </c>
      <c r="D7" s="100" t="s">
        <v>1412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99" t="s">
        <v>1784</v>
      </c>
      <c r="B8" s="98" t="s">
        <v>2119</v>
      </c>
      <c r="C8" s="98" t="s">
        <v>2121</v>
      </c>
      <c r="D8" s="100" t="s">
        <v>1412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99" t="s">
        <v>2122</v>
      </c>
      <c r="B9" s="98" t="s">
        <v>2123</v>
      </c>
      <c r="C9" s="98" t="s">
        <v>2124</v>
      </c>
      <c r="D9" s="100" t="s">
        <v>1412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99" t="s">
        <v>1470</v>
      </c>
      <c r="B10" s="98" t="s">
        <v>2125</v>
      </c>
      <c r="C10" s="98" t="s">
        <v>2126</v>
      </c>
      <c r="D10" s="100" t="s">
        <v>2127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99" t="s">
        <v>2128</v>
      </c>
      <c r="B11" s="98" t="s">
        <v>2125</v>
      </c>
      <c r="C11" s="98" t="s">
        <v>2129</v>
      </c>
      <c r="D11" s="100" t="s">
        <v>2127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99"/>
      <c r="B12" s="98"/>
      <c r="C12" s="98"/>
      <c r="D12" s="10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99" t="s">
        <v>1822</v>
      </c>
      <c r="B13" s="98" t="s">
        <v>2117</v>
      </c>
      <c r="C13" s="98" t="s">
        <v>2130</v>
      </c>
      <c r="D13" s="100" t="s">
        <v>1412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99" t="s">
        <v>2131</v>
      </c>
      <c r="B14" s="98" t="s">
        <v>2117</v>
      </c>
      <c r="C14" s="98" t="s">
        <v>2132</v>
      </c>
      <c r="D14" s="100" t="s">
        <v>1412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99"/>
      <c r="B15" s="98"/>
      <c r="C15" s="98"/>
      <c r="D15" s="10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99"/>
      <c r="B16" s="98"/>
      <c r="C16" s="98"/>
      <c r="D16" s="10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99"/>
      <c r="B17" s="98"/>
      <c r="C17" s="98"/>
      <c r="D17" s="10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99"/>
      <c r="B18" s="98"/>
      <c r="C18" s="98"/>
      <c r="D18" s="10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99"/>
      <c r="B19" s="98"/>
      <c r="C19" s="98"/>
      <c r="D19" s="10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01"/>
      <c r="B20" s="103"/>
      <c r="C20" s="103"/>
      <c r="D20" s="10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0"/>
  <sheetViews>
    <sheetView workbookViewId="0"/>
  </sheetViews>
  <sheetFormatPr defaultRowHeight="15" x14ac:dyDescent="0.25"/>
  <cols>
    <col min="1" max="1" width="28" customWidth="1"/>
    <col min="2" max="2" width="30" customWidth="1"/>
    <col min="3" max="3" width="16" customWidth="1"/>
    <col min="4" max="4" width="90" customWidth="1"/>
  </cols>
  <sheetData>
    <row r="1" spans="1:4" x14ac:dyDescent="0.25">
      <c r="A1" s="110" t="s">
        <v>1444</v>
      </c>
      <c r="B1" s="111" t="s">
        <v>520</v>
      </c>
      <c r="C1" s="111" t="s">
        <v>521</v>
      </c>
      <c r="D1" s="117" t="s">
        <v>1232</v>
      </c>
    </row>
    <row r="2" spans="1:4" x14ac:dyDescent="0.25">
      <c r="A2" s="10" t="s">
        <v>2133</v>
      </c>
      <c r="B2" s="5" t="s">
        <v>15</v>
      </c>
      <c r="C2" s="5" t="s">
        <v>1412</v>
      </c>
      <c r="D2" s="11" t="s">
        <v>2134</v>
      </c>
    </row>
    <row r="3" spans="1:4" x14ac:dyDescent="0.25">
      <c r="A3" s="10" t="s">
        <v>2135</v>
      </c>
      <c r="B3" s="5" t="s">
        <v>16</v>
      </c>
      <c r="C3" s="5" t="s">
        <v>1412</v>
      </c>
      <c r="D3" s="11" t="s">
        <v>2136</v>
      </c>
    </row>
    <row r="4" spans="1:4" x14ac:dyDescent="0.25">
      <c r="A4" s="10" t="s">
        <v>2137</v>
      </c>
      <c r="B4" s="5" t="s">
        <v>17</v>
      </c>
      <c r="C4" s="5" t="s">
        <v>1412</v>
      </c>
      <c r="D4" s="11" t="s">
        <v>2138</v>
      </c>
    </row>
    <row r="5" spans="1:4" x14ac:dyDescent="0.25">
      <c r="A5" s="10" t="s">
        <v>2139</v>
      </c>
      <c r="B5" s="5" t="s">
        <v>1779</v>
      </c>
      <c r="C5" s="5" t="s">
        <v>1412</v>
      </c>
      <c r="D5" s="11" t="s">
        <v>2140</v>
      </c>
    </row>
    <row r="6" spans="1:4" x14ac:dyDescent="0.25">
      <c r="A6" s="10" t="s">
        <v>2141</v>
      </c>
      <c r="B6" s="5" t="s">
        <v>2142</v>
      </c>
      <c r="C6" s="5" t="s">
        <v>1412</v>
      </c>
      <c r="D6" s="11" t="s">
        <v>2143</v>
      </c>
    </row>
    <row r="7" spans="1:4" x14ac:dyDescent="0.25">
      <c r="A7" s="10" t="s">
        <v>2144</v>
      </c>
      <c r="B7" s="5" t="s">
        <v>2145</v>
      </c>
      <c r="C7" s="5" t="s">
        <v>1412</v>
      </c>
      <c r="D7" s="11" t="s">
        <v>2146</v>
      </c>
    </row>
    <row r="8" spans="1:4" x14ac:dyDescent="0.25">
      <c r="A8" s="10" t="s">
        <v>2147</v>
      </c>
      <c r="B8" s="5" t="s">
        <v>1470</v>
      </c>
      <c r="C8" s="5" t="s">
        <v>1412</v>
      </c>
      <c r="D8" s="11" t="s">
        <v>2148</v>
      </c>
    </row>
    <row r="9" spans="1:4" x14ac:dyDescent="0.25">
      <c r="A9" s="10" t="s">
        <v>2149</v>
      </c>
      <c r="B9" s="5" t="s">
        <v>1474</v>
      </c>
      <c r="C9" s="5" t="s">
        <v>1412</v>
      </c>
      <c r="D9" s="11" t="s">
        <v>2150</v>
      </c>
    </row>
    <row r="10" spans="1:4" x14ac:dyDescent="0.25">
      <c r="A10" s="10"/>
      <c r="B10" s="5"/>
      <c r="C10" s="5"/>
      <c r="D10" s="11"/>
    </row>
    <row r="11" spans="1:4" x14ac:dyDescent="0.25">
      <c r="A11" s="10"/>
      <c r="B11" s="5"/>
      <c r="C11" s="5"/>
      <c r="D11" s="11"/>
    </row>
    <row r="12" spans="1:4" x14ac:dyDescent="0.25">
      <c r="A12" s="10"/>
      <c r="B12" s="5"/>
      <c r="C12" s="5"/>
      <c r="D12" s="11"/>
    </row>
    <row r="13" spans="1:4" x14ac:dyDescent="0.25">
      <c r="A13" s="10"/>
      <c r="B13" s="5"/>
      <c r="C13" s="5"/>
      <c r="D13" s="11"/>
    </row>
    <row r="14" spans="1:4" x14ac:dyDescent="0.25">
      <c r="A14" s="10"/>
      <c r="B14" s="5"/>
      <c r="C14" s="5"/>
      <c r="D14" s="11"/>
    </row>
    <row r="15" spans="1:4" x14ac:dyDescent="0.25">
      <c r="A15" s="10"/>
      <c r="B15" s="5"/>
      <c r="C15" s="5"/>
      <c r="D15" s="11"/>
    </row>
    <row r="16" spans="1:4" x14ac:dyDescent="0.25">
      <c r="A16" s="10"/>
      <c r="B16" s="5"/>
      <c r="C16" s="5"/>
      <c r="D16" s="11"/>
    </row>
    <row r="17" spans="1:4" x14ac:dyDescent="0.25">
      <c r="A17" s="10"/>
      <c r="B17" s="5"/>
      <c r="C17" s="5"/>
      <c r="D17" s="11"/>
    </row>
    <row r="18" spans="1:4" x14ac:dyDescent="0.25">
      <c r="A18" s="10"/>
      <c r="B18" s="5"/>
      <c r="C18" s="5"/>
      <c r="D18" s="11"/>
    </row>
    <row r="19" spans="1:4" x14ac:dyDescent="0.25">
      <c r="A19" s="10"/>
      <c r="B19" s="5"/>
      <c r="C19" s="5"/>
      <c r="D19" s="11"/>
    </row>
    <row r="20" spans="1:4" x14ac:dyDescent="0.25">
      <c r="A20" s="46"/>
      <c r="B20" s="47"/>
      <c r="C20" s="47"/>
      <c r="D20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Taxepunkter</vt:lpstr>
      <vt:lpstr>Taxepunkter_Rådata</vt:lpstr>
      <vt:lpstr>Pivot Variant</vt:lpstr>
      <vt:lpstr>Pivot Paragraf</vt:lpstr>
      <vt:lpstr>Pivot Kapitel</vt:lpstr>
      <vt:lpstr>Diagram Intäkt</vt:lpstr>
      <vt:lpstr>Kontroller</vt:lpstr>
      <vt:lpstr>Taxa_från_edp</vt:lpstr>
      <vt:lpstr>Taxa_till_edp</vt:lpstr>
      <vt:lpstr>Sammanställning</vt:lpstr>
      <vt:lpstr>Kostnadstäckning</vt:lpstr>
      <vt:lpstr>QA Word-Excel struktur</vt:lpstr>
      <vt:lpstr>Taxa_Saknas</vt:lpstr>
      <vt:lpstr>Kontrollrapport</vt:lpstr>
      <vt:lpstr>Taxekod_Tolkning</vt:lpstr>
      <vt:lpstr>Källa_Prislista_DH</vt:lpstr>
      <vt:lpstr>Källa_Kvantitetskoder</vt:lpstr>
      <vt:lpstr>01_Projektöversikt</vt:lpstr>
      <vt:lpstr>02_Projektregler</vt:lpstr>
      <vt:lpstr>03_Arbetsflöde</vt:lpstr>
      <vt:lpstr>04_Källdokument</vt:lpstr>
      <vt:lpstr>06_Prompt_ChatGPT</vt:lpstr>
      <vt:lpstr>07_Word_export_senare</vt:lpstr>
      <vt:lpstr>Projektstatus</vt:lpstr>
      <vt:lpstr>Dokumentation_Taxepunkter</vt:lpstr>
      <vt:lpstr>Beslutslogg</vt:lpstr>
      <vt:lpstr>Färgstandard</vt:lpstr>
      <vt:lpstr>Dokumentation_Taxa_Saknas</vt:lpstr>
      <vt:lpstr>Dokumentation_Taxa_från_edp</vt:lpstr>
      <vt:lpstr>Revision_Etapp1</vt:lpstr>
      <vt:lpstr>Revision_Formler_DV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ArbetsExcel Reference v0.9.4 Taxepunkter Facit</dc:title>
  <dc:subject>Taxepunkter kompletterad med saknade taxor från Taxa_Saknas. Taxa_från_edp oförändrad.</dc:subject>
  <dc:creator>openpyxl</dc:creator>
  <cp:lastModifiedBy>Isak Hjelte</cp:lastModifiedBy>
  <dcterms:created xsi:type="dcterms:W3CDTF">2026-07-07T09:55:36Z</dcterms:created>
  <dcterms:modified xsi:type="dcterms:W3CDTF">2026-07-07T10:18:50Z</dcterms:modified>
</cp:coreProperties>
</file>