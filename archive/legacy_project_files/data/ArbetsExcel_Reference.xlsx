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b6c2baaf1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e88eaf77cd2473a"/>
    <x:sheet xmlns:r="http://schemas.openxmlformats.org/officeDocument/2006/relationships" name="Taxepunkter" sheetId="2" r:id="Rf77487d0a54e4de5"/>
    <x:sheet xmlns:r="http://schemas.openxmlformats.org/officeDocument/2006/relationships" name="Taxepunkter_Rådata" sheetId="3" r:id="R4362059041e8469a"/>
    <x:sheet xmlns:r="http://schemas.openxmlformats.org/officeDocument/2006/relationships" name="Pivot Variant" sheetId="4" r:id="Rbe5396922e544195"/>
    <x:sheet xmlns:r="http://schemas.openxmlformats.org/officeDocument/2006/relationships" name="Pivot Paragraf" sheetId="5" r:id="R7ceb4de98e62456a"/>
    <x:sheet xmlns:r="http://schemas.openxmlformats.org/officeDocument/2006/relationships" name="Pivot Kapitel" sheetId="6" r:id="Rd2a1417a108746a4"/>
    <x:sheet xmlns:r="http://schemas.openxmlformats.org/officeDocument/2006/relationships" name="Diagram Intäkt" sheetId="7" r:id="R3184d9a70be843c2"/>
    <x:sheet xmlns:r="http://schemas.openxmlformats.org/officeDocument/2006/relationships" name="Kontroller" sheetId="8" r:id="R5201a5915d6d4c32"/>
    <x:sheet xmlns:r="http://schemas.openxmlformats.org/officeDocument/2006/relationships" name="Taxa_från_edp" sheetId="9" r:id="Rda9d1f4e85144088"/>
    <x:sheet xmlns:r="http://schemas.openxmlformats.org/officeDocument/2006/relationships" name="Taxa_till_edp" sheetId="10" r:id="Rfd9b2204b164439e"/>
    <x:sheet xmlns:r="http://schemas.openxmlformats.org/officeDocument/2006/relationships" name="Sammanställning" sheetId="11" r:id="R730a4f1bd04b4242"/>
    <x:sheet xmlns:r="http://schemas.openxmlformats.org/officeDocument/2006/relationships" name="Kostnadstäckning" sheetId="12" r:id="R09ac9bae7b904b4d"/>
    <x:sheet xmlns:r="http://schemas.openxmlformats.org/officeDocument/2006/relationships" name="QA Word-Excel struktur" sheetId="13" r:id="R4d6939d49c824024"/>
    <x:sheet xmlns:r="http://schemas.openxmlformats.org/officeDocument/2006/relationships" name="Taxa_Saknas" sheetId="14" r:id="R621e676fafc64e37"/>
    <x:sheet xmlns:r="http://schemas.openxmlformats.org/officeDocument/2006/relationships" name="Kontrollrapport" sheetId="15" r:id="R4f8240b233754c35"/>
    <x:sheet xmlns:r="http://schemas.openxmlformats.org/officeDocument/2006/relationships" name="Taxekod_Tolkning" sheetId="16" r:id="Ra7c65f26014c428a"/>
    <x:sheet xmlns:r="http://schemas.openxmlformats.org/officeDocument/2006/relationships" name="Källa_Prislista_DH" sheetId="17" r:id="R628e2c0e5aea4667"/>
    <x:sheet xmlns:r="http://schemas.openxmlformats.org/officeDocument/2006/relationships" name="Källa_Kvantitetskoder" sheetId="18" r:id="R3ec1e9226264456e"/>
    <x:sheet xmlns:r="http://schemas.openxmlformats.org/officeDocument/2006/relationships" name="01_Projektöversikt" sheetId="19" r:id="Rbf13bb0e84f64128"/>
    <x:sheet xmlns:r="http://schemas.openxmlformats.org/officeDocument/2006/relationships" name="02_Projektregler" sheetId="20" r:id="Ra19310c3b82d4563"/>
    <x:sheet xmlns:r="http://schemas.openxmlformats.org/officeDocument/2006/relationships" name="03_Arbetsflöde" sheetId="21" r:id="R17114bfb1e7c48b0"/>
    <x:sheet xmlns:r="http://schemas.openxmlformats.org/officeDocument/2006/relationships" name="04_Källdokument" sheetId="22" r:id="R394d399552d34cfa"/>
    <x:sheet xmlns:r="http://schemas.openxmlformats.org/officeDocument/2006/relationships" name="06_Prompt_ChatGPT" sheetId="23" r:id="R0fb42fad7aeb47a9"/>
    <x:sheet xmlns:r="http://schemas.openxmlformats.org/officeDocument/2006/relationships" name="07_Word_export_senare" sheetId="24" r:id="R76ebe50537e046ba"/>
    <x:sheet xmlns:r="http://schemas.openxmlformats.org/officeDocument/2006/relationships" name="Projektstatus" sheetId="25" r:id="R9faa6b04374a4bf8"/>
    <x:sheet xmlns:r="http://schemas.openxmlformats.org/officeDocument/2006/relationships" name="Dokumentation_Taxepunkter" sheetId="26" r:id="R227853765ca34ae1"/>
    <x:sheet xmlns:r="http://schemas.openxmlformats.org/officeDocument/2006/relationships" name="Beslutslogg" sheetId="27" r:id="Rf17921516de04164"/>
    <x:sheet xmlns:r="http://schemas.openxmlformats.org/officeDocument/2006/relationships" name="Färgstandard" sheetId="28" r:id="R39b26180ea2e4468"/>
    <x:sheet xmlns:r="http://schemas.openxmlformats.org/officeDocument/2006/relationships" name="Dokumentation_Taxa_Saknas" sheetId="29" r:id="R0c9a1c4795764490"/>
    <x:sheet xmlns:r="http://schemas.openxmlformats.org/officeDocument/2006/relationships" name="Dokumentation_Taxa_från_edp" sheetId="30" r:id="Re2d1b55cafe041e8"/>
    <x:sheet xmlns:r="http://schemas.openxmlformats.org/officeDocument/2006/relationships" name="Revision_Etapp1" sheetId="31" r:id="R78db3b53ebdb47ee"/>
    <x:sheet xmlns:r="http://schemas.openxmlformats.org/officeDocument/2006/relationships" name="Revision_Formler_DV" sheetId="32" r:id="R811f0b0b011f4964"/>
  </x:sheets>
  <x:definedNames>
    <x:definedName name="Factors_TK00001">#REF!</x:definedName>
    <x:definedName name="Factors_TK00002">#REF!</x:definedName>
    <x:definedName name="Factors_TK00003">#REF!</x:definedName>
    <x:definedName name="Factors_TK00004">#REF!</x:definedName>
    <x:definedName name="Factors_TK00005">#REF!</x:definedName>
    <x:definedName name="Factors_TK00006">#REF!</x:definedName>
    <x:definedName name="Factors_TK00007">#REF!</x:definedName>
    <x:definedName name="Factors_TK00008">#REF!</x:definedName>
    <x:definedName name="Factors_TK00009">#REF!</x:definedName>
    <x:definedName name="Factors_TK00010">#REF!</x:definedName>
    <x:definedName name="Factors_TK00011">#REF!</x:definedName>
    <x:definedName name="Factors_TK00012">#REF!</x:definedName>
    <x:definedName name="Factors_TK00013">#REF!</x:definedName>
    <x:definedName name="Factors_TK00014">#REF!</x:definedName>
    <x:definedName name="Factors_TK00015">#REF!</x:definedName>
    <x:definedName name="Factors_TK00016">#REF!</x:definedName>
    <x:definedName name="Factors_TK00017">#REF!</x:definedName>
    <x:definedName name="Factors_TK00018">#REF!</x:definedName>
    <x:definedName name="Factors_TK00019">#REF!</x:definedName>
    <x:definedName name="Factors_TK00020">#REF!</x:definedName>
    <x:definedName name="Factors_TK00021">#REF!</x:definedName>
    <x:definedName name="Factors_TK00022">#REF!</x:definedName>
    <x:definedName name="Factors_TK00023">#REF!</x:definedName>
    <x:definedName name="Factors_TK00024">#REF!</x:definedName>
    <x:definedName name="Factors_TK00025">#REF!</x:definedName>
    <x:definedName name="Factors_TK00026">#REF!</x:definedName>
    <x:definedName name="Factors_TK00027">#REF!</x:definedName>
    <x:definedName name="Factors_TK00028">#REF!</x:definedName>
    <x:definedName name="Factors_TK00029">#REF!</x:definedName>
    <x:definedName name="Factors_TK00030">#REF!</x:definedName>
    <x:definedName name="Factors_TK00031">#REF!</x:definedName>
    <x:definedName name="Factors_TK00032">#REF!</x:definedName>
    <x:definedName name="Factors_TK00033">#REF!</x:definedName>
    <x:definedName name="Factors_TK00034">#REF!</x:definedName>
    <x:definedName name="Factors_TK00035">#REF!</x:definedName>
    <x:definedName name="Factors_TK00036">#REF!</x:definedName>
    <x:definedName name="Factors_TK00037">#REF!</x:definedName>
    <x:definedName name="Factors_TK00038">#REF!</x:definedName>
    <x:definedName name="Factors_TK00039">#REF!</x:definedName>
    <x:definedName name="Factors_TK00040">#REF!</x:definedName>
    <x:definedName name="Factors_TK00041">#REF!</x:definedName>
    <x:definedName name="Factors_TK00042">#REF!</x:definedName>
    <x:definedName name="Factors_TK00043">#REF!</x:definedName>
    <x:definedName name="Factors_TK00044">#REF!</x:definedName>
    <x:definedName name="Factors_TK00045">#REF!</x:definedName>
    <x:definedName name="Factors_TK00046">#REF!</x:definedName>
    <x:definedName name="Factors_TK00047">#REF!</x:definedName>
    <x:definedName name="Factors_TK00048">#REF!</x:definedName>
    <x:definedName name="Factors_TK00049">#REF!</x:definedName>
    <x:definedName name="Factors_TK00050">#REF!</x:definedName>
    <x:definedName name="Factors_TK00051">#REF!</x:definedName>
    <x:definedName name="Factors_TK00052">#REF!</x:definedName>
    <x:definedName name="Factors_TK00053">#REF!</x:definedName>
    <x:definedName name="Factors_TK00054">#REF!</x:definedName>
    <x:definedName name="Factors_TK00055">#REF!</x:definedName>
    <x:definedName name="Factors_TK00056">#REF!</x:definedName>
    <x:definedName name="Factors_TK00057">#REF!</x:definedName>
    <x:definedName name="Factors_TK00058">#REF!</x:definedName>
    <x:definedName name="Factors_TK00059">#REF!</x:definedName>
    <x:definedName name="Factors_TK00060">#REF!</x:definedName>
    <x:definedName name="Factors_TK00061">#REF!</x:definedName>
    <x:definedName name="Factors_TK00062">#REF!</x:definedName>
    <x:definedName name="Factors_TK00063">#REF!</x:definedName>
    <x:definedName name="Factors_TK00064">#REF!</x:definedName>
    <x:definedName name="Factors_TK00065">#REF!</x:definedName>
    <x:definedName name="Factors_TK00066">#REF!</x:definedName>
    <x:definedName name="Factors_TK00067">#REF!</x:definedName>
    <x:definedName name="Factors_TK00068">#REF!</x:definedName>
    <x:definedName name="Factors_TK00069">#REF!</x:definedName>
    <x:definedName name="Factors_TK00070">#REF!</x:definedName>
    <x:definedName name="Factors_TK00071">#REF!</x:definedName>
    <x:definedName name="Factors_TK00072">#REF!</x:definedName>
    <x:definedName name="Factors_TK00073">#REF!</x:definedName>
    <x:definedName name="Factors_TK00074">#REF!</x:definedName>
    <x:definedName name="Factors_TK00075">#REF!</x:definedName>
    <x:definedName name="Factors_TK00076">#REF!</x:definedName>
    <x:definedName name="Factors_TK00077">#REF!</x:definedName>
    <x:definedName name="Factors_TK00078">#REF!</x:definedName>
    <x:definedName name="Factors_TK00079">#REF!</x:definedName>
    <x:definedName name="Factors_TK00080">#REF!</x:definedName>
    <x:definedName name="Factors_TK00081">#REF!</x:definedName>
    <x:definedName name="Factors_TK00082">#REF!</x:definedName>
    <x:definedName name="Factors_TK00083">#REF!</x:definedName>
    <x:definedName name="Factors_TK00084">#REF!</x:definedName>
    <x:definedName name="Factors_TK00085">#REF!</x:definedName>
    <x:definedName name="Factors_TK00086">#REF!</x:definedName>
    <x:definedName name="Factors_TK00087">#REF!</x:definedName>
    <x:definedName name="Factors_TK00088">#REF!</x:definedName>
    <x:definedName name="Factors_TK00089">#REF!</x:definedName>
    <x:definedName name="Factors_TK00090">#REF!</x:definedName>
    <x:definedName name="Factors_TK00091">#REF!</x:definedName>
    <x:definedName name="Factors_TK00092">#REF!</x:definedName>
    <x:definedName name="Factors_TK00093">#REF!</x:definedName>
    <x:definedName name="Factors_TK00094">#REF!</x:definedName>
    <x:definedName name="Factors_TK00095">#REF!</x:definedName>
    <x:definedName name="Factors_TK00096">#REF!</x:definedName>
    <x:definedName name="Factors_TK00097">#REF!</x:definedName>
    <x:definedName name="Factors_TK00098">#REF!</x:definedName>
    <x:definedName name="Factors_TK00099">#REF!</x:definedName>
    <x:definedName name="Factors_TK00100">#REF!</x:definedName>
    <x:definedName name="Factors_TK00101">#REF!</x:definedName>
    <x:definedName name="Factors_TK00102">#REF!</x:definedName>
    <x:definedName name="Factors_TK00103">#REF!</x:definedName>
    <x:definedName name="Factors_TK00104">#REF!</x:definedName>
    <x:definedName name="Factors_TK00105">#REF!</x:definedName>
    <x:definedName name="Factors_TK00106">#REF!</x:definedName>
    <x:definedName name="Factors_TK00107">#REF!</x:definedName>
    <x:definedName name="Factors_TK00108">#REF!</x:definedName>
    <x:definedName name="Factors_TK00109">#REF!</x:definedName>
    <x:definedName name="Factors_TK00110">#REF!</x:definedName>
    <x:definedName name="Factors_TK00111">#REF!</x:definedName>
    <x:definedName name="Factors_TK00112">#REF!</x:definedName>
    <x:definedName name="Factors_TK00113">#REF!</x:definedName>
    <x:definedName name="Factors_TK00114">#REF!</x:definedName>
    <x:definedName name="Factors_TK00115">#REF!</x:definedName>
    <x:definedName name="Factors_TK00116">#REF!</x:definedName>
    <x:definedName name="Factors_TK00117">#REF!</x:definedName>
    <x:definedName name="Factors_TK00118">#REF!</x:definedName>
    <x:definedName name="Factors_TK00119">#REF!</x:definedName>
    <x:definedName name="Factors_TK00120">#REF!</x:definedName>
    <x:definedName name="Factors_TK00121">#REF!</x:definedName>
    <x:definedName name="Factors_TK00122">#REF!</x:definedName>
    <x:definedName name="Factors_TK00123">#REF!</x:definedName>
    <x:definedName name="Factors_TK00124">#REF!</x:definedName>
    <x:definedName name="Factors_TK00125">#REF!</x:definedName>
    <x:definedName name="Factors_TK00126">#REF!</x:definedName>
    <x:definedName name="Factors_TK00127">#REF!</x:definedName>
    <x:definedName name="Factors_TK00128">#REF!</x:definedName>
    <x:definedName name="Factors_TK00129">#REF!</x:definedName>
    <x:definedName name="Factors_TK00130">#REF!</x:definedName>
    <x:definedName name="Factors_TK00131">#REF!</x:definedName>
    <x:definedName name="Factors_TK00132">#REF!</x:definedName>
    <x:definedName name="Factors_TK00133">#REF!</x:definedName>
    <x:definedName name="Factors_TK00134">#REF!</x:definedName>
    <x:definedName name="Factors_TK00135">#REF!</x:definedName>
    <x:definedName name="Factors_TK00136">#REF!</x:definedName>
    <x:definedName name="Factors_TK00137">#REF!</x:definedName>
    <x:definedName name="Factors_TK00138">#REF!</x:definedName>
    <x:definedName name="Factors_TK00139">#REF!</x:definedName>
    <x:definedName name="Factors_TK00140">#REF!</x:definedName>
    <x:definedName name="Factors_TK00141">#REF!</x:definedName>
    <x:definedName name="Factors_TK00142">#REF!</x:definedName>
    <x:definedName name="Factors_TK00143">#REF!</x:definedName>
    <x:definedName name="Factors_TK00144">#REF!</x:definedName>
    <x:definedName name="Factors_TK00145">#REF!</x:definedName>
    <x:definedName name="Factors_TK00146">#REF!</x:definedName>
    <x:definedName name="Factors_TK00147">#REF!</x:definedName>
    <x:definedName name="Factors_TK00148">#REF!</x:definedName>
    <x:definedName name="Factors_TK00149">#REF!</x:definedName>
    <x:definedName name="Factors_TK00150">#REF!</x:definedName>
    <x:definedName name="Factors_TK00151">#REF!</x:definedName>
    <x:definedName name="Factors_TK00152">#REF!</x:definedName>
    <x:definedName name="Factors_TK00153">#REF!</x:definedName>
    <x:definedName name="Factors_TK00154">#REF!</x:definedName>
    <x:definedName name="Factors_TK00155">#REF!</x:definedName>
    <x:definedName name="Factors_TK00156">#REF!</x:definedName>
    <x:definedName name="Factors_TK00157">#REF!</x:definedName>
    <x:definedName name="Factors_TK00158">#REF!</x:definedName>
    <x:definedName name="Factors_TK00159">#REF!</x:definedName>
    <x:definedName name="Factors_TK00160">#REF!</x:definedName>
    <x:definedName name="Factors_TK00161">#REF!</x:definedName>
    <x:definedName name="Factors_TK00162">#REF!</x:definedName>
    <x:definedName name="Factors_TK00163">#REF!</x:definedName>
    <x:definedName name="Factors_TK00164">#REF!</x:definedName>
    <x:definedName name="Factors_TK00165">#REF!</x:definedName>
    <x:definedName name="Factors_TK00166">#REF!</x:definedName>
    <x:definedName name="Factors_TK00167">#REF!</x:definedName>
    <x:definedName name="Factors_TK00168">#REF!</x:definedName>
    <x:definedName name="Factors_TK00169">#REF!</x:definedName>
    <x:definedName name="Factors_TK00170">#REF!</x:definedName>
    <x:definedName name="Factors_TK00171">#REF!</x:definedName>
    <x:definedName name="Factors_TK00172">#REF!</x:definedName>
    <x:definedName name="Factors_TK00173">#REF!</x:definedName>
    <x:definedName name="Factors_TK00174">#REF!</x:definedName>
    <x:definedName name="Factors_TK00175">#REF!</x:definedName>
    <x:definedName name="Factors_TK00176">#REF!</x:definedName>
    <x:definedName name="Factors_TK00177">#REF!</x:definedName>
    <x:definedName name="Factors_TK00178">#REF!</x:definedName>
    <x:definedName name="Factors_TK00179">#REF!</x:definedName>
    <x:definedName name="Factors_TK00180">#REF!</x:definedName>
    <x:definedName name="Factors_TK00181">#REF!</x:definedName>
    <x:definedName name="Factors_TK00182">#REF!</x:definedName>
    <x:definedName name="Factors_TK00183">#REF!</x:definedName>
    <x:definedName name="Factors_TK00184">#REF!</x:definedName>
    <x:definedName name="Factors_TK00185">#REF!</x:definedName>
    <x:definedName name="Factors_TK00186">#REF!</x:definedName>
    <x:definedName name="Factors_TK00187">#REF!</x:definedName>
    <x:definedName name="Factors_TK00188">#REF!</x:definedName>
    <x:definedName name="Factors_TK00189">#REF!</x:definedName>
    <x:definedName name="Factors_TK00190">#REF!</x:definedName>
    <x:definedName name="Factors_TK00191">#REF!</x:definedName>
    <x:definedName name="Factors_TK00192">#REF!</x:definedName>
    <x:definedName name="Factors_TK00193">#REF!</x:definedName>
    <x:definedName name="Factors_TK00194">#REF!</x:definedName>
    <x:definedName name="Factors_TK00195">#REF!</x:definedName>
    <x:definedName name="Factors_TK00196">#REF!</x:definedName>
    <x:definedName name="Factors_TK00197">#REF!</x:definedName>
    <x:definedName name="Factors_TK00198">#REF!</x:definedName>
    <x:definedName name="Factors_TK00199">#REF!</x:definedName>
    <x:definedName name="Factors_TK00200">#REF!</x:definedName>
    <x:definedName name="Factors_TK00201">#REF!</x:definedName>
    <x:definedName name="Factors_TK00202">#REF!</x:definedName>
    <x:definedName name="Factors_TK00203">#REF!</x:definedName>
    <x:definedName name="Factors_TK00204">#REF!</x:definedName>
    <x:definedName name="Factors_TK00205">#REF!</x:definedName>
    <x:definedName name="Factors_TK00206">#REF!</x:definedName>
    <x:definedName name="Factors_TK00207">#REF!</x:definedName>
    <x:definedName name="Factors_TK00208">#REF!</x:definedName>
    <x:definedName name="Factors_TK00209">#REF!</x:definedName>
    <x:definedName name="Factors_TK00210">#REF!</x:definedName>
    <x:definedName name="Factors_TK00211">#REF!</x:definedName>
    <x:definedName name="Factors_TK00212">#REF!</x:definedName>
    <x:definedName name="Factors_TK00213">#REF!</x:definedName>
    <x:definedName name="Factors_TK00214">#REF!</x:definedName>
    <x:definedName name="Factors_TK00215">#REF!</x:definedName>
    <x:definedName name="Factors_TK00216">#REF!</x:definedName>
    <x:definedName name="Factors_TK00217">#REF!</x:definedName>
    <x:definedName name="Factors_TK00218">#REF!</x:definedName>
    <x:definedName name="Factors_TK00219">#REF!</x:definedName>
    <x:definedName name="Factors_TK00220">#REF!</x:definedName>
    <x:definedName name="Factors_TK00221">#REF!</x:definedName>
    <x:definedName name="Factors_TK00222">#REF!</x:definedName>
    <x:definedName name="Factors_TK00223">#REF!</x:definedName>
    <x:definedName name="Factors_TK00224">#REF!</x:definedName>
    <x:definedName name="Factors_TK00225">#REF!</x:definedName>
    <x:definedName name="Factors_TK00226">#REF!</x:definedName>
    <x:definedName name="Factors_TK00227">#REF!</x:definedName>
    <x:definedName name="Factors_TK00228">#REF!</x:definedName>
    <x:definedName name="Factors_TK00229">#REF!</x:definedName>
    <x:definedName name="Factors_TK00230">#REF!</x:definedName>
    <x:definedName name="Factors_TK00231">#REF!</x:definedName>
    <x:definedName name="Factors_TK00232">#REF!</x:definedName>
    <x:definedName name="Factors_TK00233">#REF!</x:definedName>
    <x:definedName name="Factors_TK00234">#REF!</x:definedName>
    <x:definedName name="Factors_TK00235">#REF!</x:definedName>
    <x:definedName name="Factors_TK00236">#REF!</x:definedName>
    <x:definedName name="Factors_TK00237">#REF!</x:definedName>
    <x:definedName name="Factors_TK00238">#REF!</x:definedName>
    <x:definedName name="Factors_TK00239">#REF!</x:definedName>
    <x:definedName name="Factors_TK00240">#REF!</x:definedName>
    <x:definedName name="Factors_TK00241">#REF!</x:definedName>
    <x:definedName name="Factors_TK00242">#REF!</x:definedName>
    <x:definedName name="Factors_TK00243">#REF!</x:definedName>
    <x:definedName name="Factors_TK00244">#REF!</x:definedName>
    <x:definedName name="Factors_TK00245">#REF!</x:definedName>
    <x:definedName name="Factors_TK00246">#REF!</x:definedName>
    <x:definedName name="Factors_TK00247">#REF!</x:definedName>
    <x:definedName name="Factors_TK00248">#REF!</x:definedName>
    <x:definedName name="Factors_TK00249">#REF!</x:definedName>
    <x:definedName name="Factors_TK00250">#REF!</x:definedName>
    <x:definedName name="Factors_TK00251">#REF!</x:definedName>
    <x:definedName name="Factors_TK00252">#REF!</x:definedName>
    <x:definedName name="Factors_TK00253">#REF!</x:definedName>
    <x:definedName name="Factors_TK00254">#REF!</x:definedName>
    <x:definedName name="Factors_TK00255">#REF!</x:definedName>
    <x:definedName name="Factors_TK00256">#REF!</x:definedName>
    <x:definedName name="Factors_TK00257">#REF!</x:definedName>
    <x:definedName name="Factors_TK00258">#REF!</x:definedName>
    <x:definedName name="Factors_TK00259">#REF!</x:definedName>
    <x:definedName name="Factors_TK00260">#REF!</x:definedName>
    <x:definedName name="Factors_TK00261">#REF!</x:definedName>
    <x:definedName name="Factors_TK00262">#REF!</x:definedName>
    <x:definedName name="Factors_TK00263">#REF!</x:definedName>
    <x:definedName name="Factors_TK00264">#REF!</x:definedName>
    <x:definedName name="Factors_TK00265">#REF!</x:definedName>
    <x:definedName name="Factors_TK00266">#REF!</x:definedName>
    <x:definedName name="Factors_TK00267">#REF!</x:definedName>
    <x:definedName name="Factors_TK00268">#REF!</x:definedName>
    <x:definedName name="Factors_TK00269">#REF!</x:definedName>
    <x:definedName name="Factors_TK00270">#REF!</x:definedName>
    <x:definedName name="Factors_TK00271">#REF!</x:definedName>
    <x:definedName name="Factors_TK00272">#REF!</x:definedName>
    <x:definedName name="Factors_TK00273">#REF!</x:definedName>
    <x:definedName name="Factors_TK00274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\-mm\-dd\ h:mm:ss"/>
    <x:numFmt numFmtId="165" formatCode="#\ ##,000"/>
    <x:numFmt numFmtId="166" formatCode="yyyy-mm-dd h:mm:ss"/>
    <x:numFmt numFmtId="200" formatCode="# ##0,00"/>
  </x:numFmts>
  <x:fonts count="19">
    <x:font>
      <x:sz val="11"/>
      <x:color theme="1"/>
      <x:name val="Calibri"/>
    </x:font>
    <x:font>
      <x:b/>
      <x:sz val="14"/>
      <x:name val="Calibri"/>
    </x:font>
    <x:font>
      <x:b/>
      <x:sz val="11"/>
      <x:name val="Calibri"/>
    </x:font>
    <x:font>
      <x:sz val="11"/>
      <x:color theme="1"/>
      <x:name val="Times New Roman"/>
    </x:font>
    <x:font>
      <x:b/>
      <x:sz val="11"/>
      <x:name val="Calibri"/>
    </x:font>
    <x:font>
      <x:b/>
      <x:sz val="14"/>
      <x:name val="Calibri"/>
    </x:font>
    <x:font>
      <x:b/>
      <x:sz val="16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color rgb="FFFFFFFF"/>
    </x:font>
    <x:font>
      <x:b/>
    </x:font>
    <x:font>
      <x:sz val="11"/>
      <x:color rgb="FF000000"/>
      <x:name val="Calibri"/>
    </x:font>
    <x:font>
      <x:sz val="11"/>
      <x:color rgb="FF000000"/>
      <x:name val="Times New Roman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Times New Roman"/>
    </x:font>
    <x:font>
      <x:sz val="11"/>
      <x:color rgb="FF000000"/>
      <x:name val="Calibri"/>
    </x:font>
    <x:font>
      <x:sz val="11"/>
      <x:color rgb="FF000000"/>
      <x:name val="Times New Roman"/>
    </x:font>
    <x:font>
      <x:sz val="11"/>
      <x:color rgb="FF000000"/>
      <x:name val="Calibri"/>
    </x:font>
  </x:fonts>
  <x:fills count="56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C7F0F0"/>
      </x:patternFill>
    </x:fill>
    <x:fill>
      <x:patternFill patternType="solid">
        <x:fgColor rgb="FFFFFF00"/>
      </x:patternFill>
    </x:fill>
    <x:fill>
      <x:patternFill patternType="solid">
        <x:fgColor theme="0" tint="-0.04999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61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bottom style="thin">
        <x:color rgb="FF808080"/>
      </x:bottom>
    </x:border>
    <x:border>
      <x:bottom style="hair">
        <x:color rgb="FFD9D9D9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top style="thin">
        <x:color rgb="FFB7B7B7"/>
      </x:top>
    </x:border>
    <x:border>
      <x:left style="thin">
        <x:color rgb="FFB7B7B7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bottom style="thin">
        <x:color rgb="FFB7B7B7"/>
      </x:bottom>
    </x:border>
    <x:border>
      <x:left style="thin">
        <x:color rgb="FF7F7F7F"/>
      </x:left>
      <x:right style="thin">
        <x:color rgb="FFBFBFB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FBFBF"/>
      </x:left>
      <x:right style="thin">
        <x:color rgb="FFB7B7B7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7B7B7"/>
      </x:bottom>
    </x:border>
    <x:border>
      <x:left style="thin">
        <x:color rgb="FFBFBFBF"/>
      </x:left>
      <x:right style="thin">
        <x:color rgb="FFB7B7B7"/>
      </x:right>
      <x:top style="thin">
        <x:color rgb="FFBFBFBF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808080"/>
      </x:bottom>
    </x:border>
    <x:border>
      <x:top style="thin">
        <x:color rgb="FFB7B7B7"/>
      </x:top>
      <x:bottom style="thin">
        <x:color rgb="FF808080"/>
      </x:bottom>
    </x:border>
    <x:border>
      <x:right style="thin">
        <x:color rgb="FFB7B7B7"/>
      </x:right>
      <x:top style="thin">
        <x:color rgb="FFB7B7B7"/>
      </x:top>
      <x:bottom style="thin">
        <x:color rgb="FF808080"/>
      </x:bottom>
    </x:border>
    <x:border>
      <x:left style="thin">
        <x:color rgb="FFB7B7B7"/>
      </x:left>
      <x:bottom style="hair">
        <x:color rgb="FFD9D9D9"/>
      </x:bottom>
    </x:border>
    <x:border>
      <x:right style="thin">
        <x:color rgb="FFB7B7B7"/>
      </x:right>
      <x:bottom style="hair">
        <x:color rgb="FFD9D9D9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B7B7B7"/>
      </x:right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7B7B7"/>
      </x:left>
      <x:right style="thin">
        <x:color rgb="FFBFBFBF"/>
      </x:right>
      <x:top style="thin">
        <x:color rgb="FFB7B7B7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7B7B7"/>
      </x:top>
      <x:bottom style="thin">
        <x:color rgb="FF7F7F7F"/>
      </x:bottom>
    </x:border>
    <x:border>
      <x:top style="thin">
        <x:color rgb="FFB7B7B7"/>
      </x:top>
      <x:bottom style="thin">
        <x:color rgb="FF7F7F7F"/>
      </x:bottom>
    </x:border>
    <x:border>
      <x:right style="thin">
        <x:color rgb="FFB7B7B7"/>
      </x:right>
      <x:top style="thin">
        <x:color rgb="FFB7B7B7"/>
      </x:top>
      <x:bottom style="thin">
        <x:color rgb="FF7F7F7F"/>
      </x:bottom>
    </x:border>
    <x:border>
      <x:left style="thin">
        <x:color rgb="FFB7B7B7"/>
      </x:left>
      <x:top style="thin">
        <x:color rgb="FFB7B7B7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top style="thin">
        <x:color rgb="FF7F7F7F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7F7F7F"/>
      </x:left>
      <x:right style="thin">
        <x:color rgb="FFD9D9D9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D9D9D9"/>
      </x:bottom>
    </x:border>
    <x:border>
      <x:left style="thin">
        <x:color rgb="FF7F7F7F"/>
      </x:left>
      <x:right style="thin">
        <x:color rgb="FF7F7F7F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7F7F7F"/>
      </x:right>
      <x:top style="thin">
        <x:color rgb="FFD9D9D9"/>
      </x:top>
      <x:bottom style="thin">
        <x:color rgb="FF7F7F7F"/>
      </x:bottom>
    </x:border>
  </x:borders>
  <x:cellStyleXfs count="1">
    <x:xf numFmtId="0" fontId="0" fillId="0" borderId="4"/>
  </x:cellStyleXfs>
  <x:cellXfs count="1136"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1" fillId="0" borderId="0" xfId="0"/>
    <x:xf numFmtId="0" fontId="2" fillId="0" borderId="1" xfId="0"/>
    <x:xf numFmtId="4" fontId="0" fillId="0" borderId="1" xfId="0"/>
    <x:xf numFmtId="4" fontId="0" fillId="4" borderId="1" xfId="0"/>
    <x:xf numFmtId="10" fontId="0" fillId="0" borderId="1" xfId="0"/>
    <x:xf numFmtId="4" fontId="0" fillId="0" borderId="0" xfId="0"/>
    <x:xf numFmtId="0" fontId="4" fillId="0" borderId="0" xfId="0"/>
    <x:xf numFmtId="0" fontId="5" fillId="0" borderId="0" xfId="0"/>
    <x:xf numFmtId="0" fontId="6" fillId="0" borderId="0" xfId="0"/>
    <x:xf numFmtId="10" fontId="0" fillId="0" borderId="0" xfId="0"/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164" fontId="0" fillId="0" borderId="0" xfId="0"/>
    <x:xf numFmtId="0" fontId="0" fillId="0" borderId="0" xfId="0" applyAlignment="1">
      <x:alignment horizontal="center" vertical="center"/>
    </x:xf>
    <x:xf numFmtId="0" fontId="0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0" borderId="0" xfId="0" applyAlignment="1">
      <x:alignment wrapText="1"/>
    </x:xf>
    <x:xf numFmtId="0" fontId="7" fillId="7" borderId="1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center" wrapText="1"/>
    </x:xf>
    <x:xf numFmtId="0" fontId="8" fillId="8" borderId="2" xfId="0" applyAlignment="1">
      <x:alignment wrapText="1"/>
    </x:xf>
    <x:xf numFmtId="0" fontId="0" fillId="6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0" borderId="0" xfId="0" applyAlignment="1">
      <x:alignment wrapText="1"/>
    </x:xf>
    <x:xf numFmtId="0" fontId="8" fillId="8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8" fillId="8" borderId="0" xfId="0" applyAlignment="1">
      <x:alignment wrapText="1"/>
    </x:xf>
    <x:xf numFmtId="165" fontId="8" fillId="8" borderId="2" xfId="0" applyAlignment="1">
      <x:alignment wrapText="1"/>
    </x:xf>
    <x:xf numFmtId="165" fontId="8" fillId="8" borderId="3" xfId="0" applyAlignment="1">
      <x:alignment wrapText="1"/>
    </x:xf>
    <x:xf numFmtId="165" fontId="0" fillId="5" borderId="0" xfId="0" applyAlignment="1">
      <x:alignment horizontal="center" vertical="center" wrapText="1"/>
    </x:xf>
    <x:xf numFmtId="165" fontId="0" fillId="5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8" fillId="8" borderId="0" xfId="0" applyAlignment="1">
      <x:alignment horizontal="center" vertical="center" wrapText="1"/>
    </x:xf>
    <x:xf numFmtId="165" fontId="8" fillId="8" borderId="1" xfId="0" applyAlignment="1">
      <x:alignment vertical="top" wrapText="1"/>
    </x:xf>
    <x:xf numFmtId="165" fontId="0" fillId="0" borderId="2" xfId="0" applyAlignment="1">
      <x:alignment wrapText="1"/>
    </x:xf>
    <x:xf numFmtId="165" fontId="0" fillId="0" borderId="3" xfId="0" applyAlignment="1">
      <x:alignment wrapText="1"/>
    </x:xf>
    <x:xf numFmtId="165" fontId="0" fillId="0" borderId="0" xfId="0" applyAlignment="1">
      <x:alignment wrapText="1"/>
    </x:xf>
    <x:xf numFmtId="165" fontId="8" fillId="8" borderId="0" xfId="0" applyAlignment="1">
      <x:alignment wrapText="1"/>
    </x:xf>
    <x:xf numFmtId="0" fontId="7" fillId="7" borderId="0" xfId="0" applyAlignment="1">
      <x:alignment wrapText="1"/>
    </x:xf>
    <x:xf numFmtId="0" fontId="2" fillId="8" borderId="5" xfId="0" applyAlignment="1">
      <x:alignment horizontal="left" vertical="center" wrapText="1"/>
    </x:xf>
    <x:xf numFmtId="0" fontId="0" fillId="0" borderId="6" xfId="0"/>
    <x:xf numFmtId="0" fontId="0" fillId="0" borderId="7" xfId="0"/>
    <x:xf numFmtId="0" fontId="0" fillId="0" borderId="5" xfId="0" applyAlignment="1">
      <x:alignment vertical="top" wrapText="1"/>
    </x:xf>
    <x:xf numFmtId="0" fontId="8" fillId="8" borderId="5" xfId="0" applyAlignment="1">
      <x:alignment vertical="top" wrapText="1"/>
    </x:xf>
    <x:xf numFmtId="0" fontId="0" fillId="0" borderId="4" xfId="0" applyAlignment="1">
      <x:alignment wrapText="1"/>
    </x:xf>
    <x:xf numFmtId="0" fontId="0" fillId="0" borderId="4" xfId="0"/>
    <x:xf numFmtId="0" fontId="1" fillId="0" borderId="4" xfId="0" applyAlignment="1">
      <x:alignment horizontal="left" vertical="center" wrapText="1"/>
    </x:xf>
    <x:xf numFmtId="0" fontId="2" fillId="3" borderId="5" xfId="0" applyAlignment="1">
      <x:alignment horizontal="left" vertical="center" wrapText="1"/>
    </x:xf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1" fillId="0" borderId="0" xfId="0"/>
    <x:xf numFmtId="0" fontId="2" fillId="0" borderId="1" xfId="0"/>
    <x:xf numFmtId="4" fontId="0" fillId="0" borderId="1" xfId="0"/>
    <x:xf numFmtId="4" fontId="0" fillId="4" borderId="1" xfId="0"/>
    <x:xf numFmtId="10" fontId="0" fillId="0" borderId="1" xfId="0"/>
    <x:xf numFmtId="4" fontId="0" fillId="0" borderId="0" xfId="0"/>
    <x:xf numFmtId="0" fontId="2" fillId="0" borderId="0" xfId="0"/>
    <x:xf numFmtId="0" fontId="6" fillId="0" borderId="0" xfId="0"/>
    <x:xf numFmtId="10" fontId="0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164" fontId="0" fillId="0" borderId="0" xfId="0"/>
    <x:xf numFmtId="0" fontId="0" fillId="0" borderId="0" xfId="0" applyAlignment="1">
      <x:alignment horizontal="center" vertical="center"/>
    </x:xf>
    <x:xf numFmtId="0" fontId="0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0" borderId="0" xfId="0" applyAlignment="1">
      <x:alignment wrapText="1"/>
    </x:xf>
    <x:xf numFmtId="0" fontId="7" fillId="7" borderId="1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center" wrapText="1"/>
    </x:xf>
    <x:xf numFmtId="0" fontId="8" fillId="8" borderId="2" xfId="0" applyAlignment="1">
      <x:alignment wrapText="1"/>
    </x:xf>
    <x:xf numFmtId="0" fontId="0" fillId="6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0" borderId="0" xfId="0" applyAlignment="1">
      <x:alignment wrapText="1"/>
    </x:xf>
    <x:xf numFmtId="0" fontId="8" fillId="8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8" fillId="8" borderId="0" xfId="0" applyAlignment="1">
      <x:alignment wrapText="1"/>
    </x:xf>
    <x:xf numFmtId="165" fontId="0" fillId="5" borderId="0" xfId="0" applyAlignment="1">
      <x:alignment horizontal="center" vertical="center" wrapText="1"/>
    </x:xf>
    <x:xf numFmtId="165" fontId="0" fillId="5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0" fillId="0" borderId="2" xfId="0" applyAlignment="1">
      <x:alignment wrapText="1"/>
    </x:xf>
    <x:xf numFmtId="165" fontId="0" fillId="0" borderId="3" xfId="0" applyAlignment="1">
      <x:alignment wrapText="1"/>
    </x:xf>
    <x:xf numFmtId="165" fontId="0" fillId="0" borderId="0" xfId="0" applyAlignment="1">
      <x:alignment wrapText="1"/>
    </x:xf>
    <x:xf numFmtId="0" fontId="7" fillId="7" borderId="0" xfId="0" applyAlignment="1">
      <x:alignment wrapText="1"/>
    </x:xf>
    <x:xf numFmtId="0" fontId="0" fillId="0" borderId="2" xfId="0"/>
    <x:xf numFmtId="0" fontId="0" fillId="0" borderId="3" xfId="0"/>
    <x:xf numFmtId="0" fontId="1" fillId="0" borderId="0" xfId="0" applyAlignment="1">
      <x:alignment horizontal="left" vertical="center" wrapText="1"/>
    </x:xf>
    <x:xf numFmtId="0" fontId="0" fillId="9" borderId="0" xfId="0"/>
    <x:xf numFmtId="0" fontId="8" fillId="9" borderId="0" xfId="0"/>
    <x:xf numFmtId="0" fontId="8" fillId="9" borderId="0" xfId="0" applyAlignment="1">
      <x:alignment wrapText="1"/>
    </x:xf>
    <x:xf numFmtId="0" fontId="0" fillId="5" borderId="5" xfId="0" applyAlignment="1">
      <x:alignment horizontal="center" vertical="center" wrapText="1"/>
    </x:xf>
    <x:xf numFmtId="0" fontId="0" fillId="6" borderId="4" xfId="0" applyAlignment="1">
      <x:alignment horizontal="center" vertical="center" wrapText="1"/>
    </x:xf>
    <x:xf numFmtId="0" fontId="0" fillId="5" borderId="4" xfId="0" applyAlignment="1">
      <x:alignment horizontal="center" vertical="center" wrapText="1"/>
    </x:xf>
    <x:xf numFmtId="165" fontId="0" fillId="5" borderId="4" xfId="0" applyAlignment="1">
      <x:alignment horizontal="center" vertical="center" wrapText="1"/>
    </x:xf>
    <x:xf numFmtId="165" fontId="0" fillId="5" borderId="5" xfId="0" applyAlignment="1">
      <x:alignment vertical="top" wrapText="1"/>
    </x:xf>
    <x:xf numFmtId="165" fontId="0" fillId="0" borderId="5" xfId="0" applyAlignment="1">
      <x:alignment vertical="top" wrapText="1"/>
    </x:xf>
    <x:xf numFmtId="0" fontId="4" fillId="3" borderId="5" xfId="0" applyAlignment="1">
      <x:alignment horizontal="left" vertical="center" wrapText="1"/>
    </x:xf>
    <x:xf numFmtId="0" fontId="0" fillId="0" borderId="6" xfId="0" applyAlignment="1">
      <x:alignment wrapText="1"/>
    </x:xf>
    <x:xf numFmtId="165" fontId="0" fillId="0" borderId="6" xfId="0" applyAlignment="1">
      <x:alignment wrapText="1"/>
    </x:xf>
    <x:xf numFmtId="165" fontId="0" fillId="0" borderId="7" xfId="0" applyAlignment="1">
      <x:alignment wrapText="1"/>
    </x:xf>
    <x:xf numFmtId="0" fontId="9" fillId="10" borderId="10" xfId="0" applyAlignment="1">
      <x:alignment horizontal="center" vertical="center" wrapText="1"/>
    </x:xf>
    <x:xf numFmtId="0" fontId="10" fillId="11" borderId="10" xfId="0" applyAlignment="1">
      <x:alignment horizontal="center" vertical="center" wrapText="1"/>
    </x:xf>
    <x:xf numFmtId="0" fontId="0" fillId="0" borderId="11" xfId="0" applyAlignment="1">
      <x:alignment vertical="top" wrapText="1"/>
    </x:xf>
    <x:xf numFmtId="0" fontId="0" fillId="12" borderId="11" xfId="0" applyAlignment="1">
      <x:alignment vertical="top" wrapText="1"/>
    </x:xf>
    <x:xf numFmtId="0" fontId="0" fillId="13" borderId="11" xfId="0" applyAlignment="1">
      <x:alignment vertical="top" wrapText="1"/>
    </x:xf>
    <x:xf numFmtId="166" fontId="0" fillId="0" borderId="11" xfId="0" applyAlignment="1">
      <x:alignment vertical="top" wrapText="1"/>
    </x:xf>
    <x:xf numFmtId="0" fontId="9" fillId="10" borderId="0" xfId="0" applyAlignment="1">
      <x:alignment horizontal="center" wrapText="1"/>
    </x:xf>
    <x:xf numFmtId="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4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2" fillId="0" borderId="1" xfId="0" applyNumberFormat="1" applyFont="1" applyFill="1" applyBorder="1"/>
    <x:xf numFmtId="4" fontId="0" fillId="0" borderId="1" xfId="0" applyNumberFormat="1" applyFont="1" applyFill="1" applyBorder="1"/>
    <x:xf numFmtId="4" fontId="0" fillId="4" borderId="1" xfId="0" applyNumberFormat="1" applyFont="1" applyFill="1" applyBorder="1"/>
    <x:xf numFmtId="10" fontId="0" fillId="0" borderId="1" xfId="0" applyNumberFormat="1" applyFont="1" applyFill="1" applyBorder="1"/>
    <x:xf numFmtId="4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1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165" fontId="8" fillId="8" borderId="2" xfId="0" applyNumberFormat="1" applyFont="1" applyFill="1" applyBorder="1" applyAlignment="1">
      <x:alignment wrapText="1"/>
    </x:xf>
    <x:xf numFmtId="165" fontId="8" fillId="8" borderId="3" xfId="0" applyNumberFormat="1" applyFont="1" applyFill="1" applyBorder="1" applyAlignment="1">
      <x:alignment wrapText="1"/>
    </x:xf>
    <x:xf numFmtId="165" fontId="0" fillId="5" borderId="0" xfId="0" applyNumberFormat="1" applyFont="1" applyFill="1" applyBorder="1" applyAlignment="1">
      <x:alignment horizontal="center" vertical="center" wrapText="1"/>
    </x:xf>
    <x:xf numFmtId="165" fontId="0" fillId="5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165" fontId="8" fillId="8" borderId="0" xfId="0" applyNumberFormat="1" applyFont="1" applyFill="1" applyBorder="1" applyAlignment="1">
      <x:alignment horizontal="center" vertical="center" wrapText="1"/>
    </x:xf>
    <x:xf numFmtId="165" fontId="8" fillId="8" borderId="1" xfId="0" applyNumberFormat="1" applyFont="1" applyFill="1" applyBorder="1" applyAlignment="1">
      <x:alignment vertical="top" wrapText="1"/>
    </x:xf>
    <x:xf numFmtId="165" fontId="0" fillId="0" borderId="2" xfId="0" applyNumberFormat="1" applyFont="1" applyFill="1" applyBorder="1" applyAlignment="1">
      <x:alignment wrapText="1"/>
    </x:xf>
    <x:xf numFmtId="165" fontId="0" fillId="0" borderId="3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5" fontId="8" fillId="8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9" fillId="10" borderId="10" xfId="0" applyNumberFormat="1" applyFont="1" applyFill="1" applyBorder="1" applyAlignment="1">
      <x:alignment horizontal="center" vertical="center" wrapText="1"/>
    </x:xf>
    <x:xf numFmtId="0" fontId="10" fillId="11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2" borderId="11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166" fontId="0" fillId="0" borderId="11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6" borderId="0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horizontal="center"/>
    </x:xf>
    <x:xf numFmtId="0" fontId="7" fillId="16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8" borderId="1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8" fillId="19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200" fontId="8" fillId="11" borderId="0" xfId="0" applyNumberFormat="1" applyFont="1" applyFill="1" applyBorder="1"/>
    <x:xf numFmtId="0" fontId="7" fillId="20" borderId="1" xfId="0" applyNumberFormat="1" applyFont="1" applyFill="1" applyBorder="1" applyAlignment="1">
      <x:alignment horizontal="center" vertic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7" fillId="20" borderId="0" xfId="0" applyNumberFormat="1" applyFont="1" applyFill="1" applyBorder="1" applyAlignment="1">
      <x:alignment horizontal="center" vertical="center"/>
    </x:xf>
    <x:xf numFmtId="0" fontId="9" fillId="20" borderId="10" xfId="0" applyNumberFormat="1" applyFont="1" applyFill="1" applyBorder="1" applyAlignment="1">
      <x:alignment horizontal="center" vertical="center" wrapText="1"/>
    </x:xf>
    <x:xf numFmtId="0" fontId="10" fillId="20" borderId="1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10" fillId="10" borderId="1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horizontal="center"/>
    </x:xf>
    <x:xf numFmtId="0" fontId="7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8" borderId="0" xfId="0" applyNumberFormat="1" applyFont="1" applyFill="1" applyBorder="1"/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1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horizontal="left" vertical="center" wrapText="1"/>
    </x:xf>
    <x:xf numFmtId="0" fontId="0" fillId="22" borderId="2" xfId="0" applyNumberFormat="1" applyFont="1" applyFill="1" applyBorder="1"/>
    <x:xf numFmtId="0" fontId="0" fillId="22" borderId="1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wrapText="1"/>
    </x:xf>
    <x:xf numFmtId="0" fontId="8" fillId="22" borderId="1" xfId="0" applyNumberFormat="1" applyFont="1" applyFill="1" applyBorder="1" applyAlignment="1">
      <x:alignment vertical="top" wrapText="1"/>
    </x:xf>
    <x:xf numFmtId="0" fontId="8" fillId="22" borderId="1" xfId="0" applyNumberFormat="1" applyFont="1" applyFill="1" applyBorder="1" applyAlignment="1">
      <x:alignment horizontal="center" vertical="center" wrapText="1"/>
    </x:xf>
    <x:xf numFmtId="0" fontId="0" fillId="22" borderId="2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8" fillId="22" borderId="0" xfId="0" applyNumberFormat="1" applyFont="1" applyFill="1" applyBorder="1" applyAlignment="1">
      <x:alignment wrapText="1"/>
    </x:xf>
    <x:xf numFmtId="0" fontId="0" fillId="22" borderId="3" xfId="0" applyNumberFormat="1" applyFont="1" applyFill="1" applyBorder="1"/>
    <x:xf numFmtId="165" fontId="0" fillId="22" borderId="1" xfId="0" applyNumberFormat="1" applyFont="1" applyFill="1" applyBorder="1" applyAlignment="1">
      <x:alignment vertical="top" wrapText="1"/>
    </x:xf>
    <x:xf numFmtId="165" fontId="8" fillId="22" borderId="1" xfId="0" applyNumberFormat="1" applyFont="1" applyFill="1" applyBorder="1" applyAlignment="1">
      <x:alignment vertical="top" wrapText="1"/>
    </x:xf>
    <x:xf numFmtId="165" fontId="0" fillId="22" borderId="3" xfId="0" applyNumberFormat="1" applyFont="1" applyFill="1" applyBorder="1" applyAlignment="1">
      <x:alignment wrapText="1"/>
    </x:xf>
    <x:xf numFmtId="165" fontId="8" fillId="22" borderId="3" xfId="0" applyNumberFormat="1" applyFont="1" applyFill="1" applyBorder="1" applyAlignment="1">
      <x:alignment wrapText="1"/>
    </x:xf>
    <x:xf numFmtId="165" fontId="0" fillId="22" borderId="0" xfId="0" applyNumberFormat="1" applyFont="1" applyFill="1" applyBorder="1" applyAlignment="1">
      <x:alignment wrapText="1"/>
    </x:xf>
    <x:xf numFmtId="165" fontId="8" fillId="22" borderId="0" xfId="0" applyNumberFormat="1" applyFont="1" applyFill="1" applyBorder="1" applyAlignment="1">
      <x:alignment wrapText="1"/>
    </x:xf>
    <x:xf numFmtId="0" fontId="0" fillId="24" borderId="2" xfId="0" applyNumberFormat="1" applyFont="1" applyFill="1" applyBorder="1"/>
    <x:xf numFmtId="0" fontId="0" fillId="24" borderId="0" xfId="0" applyNumberFormat="1" applyFont="1" applyFill="1" applyBorder="1" applyAlignment="1">
      <x:alignment horizontal="center" vertical="center" wrapText="1"/>
    </x:xf>
    <x:xf numFmtId="0" fontId="8" fillId="24" borderId="0" xfId="0" applyNumberFormat="1" applyFont="1" applyFill="1" applyBorder="1" applyAlignment="1">
      <x:alignment horizontal="center" vertical="center" wrapText="1"/>
    </x:xf>
    <x:xf numFmtId="0" fontId="0" fillId="24" borderId="2" xfId="0" applyNumberFormat="1" applyFont="1" applyFill="1" applyBorder="1" applyAlignment="1">
      <x:alignment wrapText="1"/>
    </x:xf>
    <x:xf numFmtId="0" fontId="8" fillId="24" borderId="2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8" fillId="24" borderId="0" xfId="0" applyNumberFormat="1" applyFont="1" applyFill="1" applyBorder="1" applyAlignment="1">
      <x:alignment wrapText="1"/>
    </x:xf>
    <x:xf numFmtId="165" fontId="0" fillId="24" borderId="1" xfId="0" applyNumberFormat="1" applyFont="1" applyFill="1" applyBorder="1" applyAlignment="1">
      <x:alignment vertical="top" wrapText="1"/>
    </x:xf>
    <x:xf numFmtId="165" fontId="8" fillId="24" borderId="1" xfId="0" applyNumberFormat="1" applyFont="1" applyFill="1" applyBorder="1" applyAlignment="1">
      <x:alignment vertical="top" wrapText="1"/>
    </x:xf>
    <x:xf numFmtId="165" fontId="0" fillId="24" borderId="2" xfId="0" applyNumberFormat="1" applyFont="1" applyFill="1" applyBorder="1" applyAlignment="1">
      <x:alignment wrapText="1"/>
    </x:xf>
    <x:xf numFmtId="165" fontId="8" fillId="24" borderId="2" xfId="0" applyNumberFormat="1" applyFont="1" applyFill="1" applyBorder="1" applyAlignment="1">
      <x:alignment wrapText="1"/>
    </x:xf>
    <x:xf numFmtId="165" fontId="0" fillId="24" borderId="0" xfId="0" applyNumberFormat="1" applyFont="1" applyFill="1" applyBorder="1" applyAlignment="1">
      <x:alignment wrapText="1"/>
    </x:xf>
    <x:xf numFmtId="165" fontId="8" fillId="24" borderId="0" xfId="0" applyNumberFormat="1" applyFont="1" applyFill="1" applyBorder="1" applyAlignment="1">
      <x:alignment wrapText="1"/>
    </x:xf>
    <x:xf numFmtId="0" fontId="0" fillId="23" borderId="2" xfId="0" applyNumberFormat="1" applyFont="1" applyFill="1" applyBorder="1"/>
    <x:xf numFmtId="0" fontId="0" fillId="23" borderId="0" xfId="0" applyNumberFormat="1" applyFont="1" applyFill="1" applyBorder="1" applyAlignment="1">
      <x:alignment horizontal="center" vertical="center" wrapText="1"/>
    </x:xf>
    <x:xf numFmtId="165" fontId="0" fillId="23" borderId="0" xfId="0" applyNumberFormat="1" applyFont="1" applyFill="1" applyBorder="1" applyAlignment="1">
      <x:alignment horizontal="center" vertical="center" wrapText="1"/>
    </x:xf>
    <x:xf numFmtId="165" fontId="0" fillId="23" borderId="1" xfId="0" applyNumberFormat="1" applyFont="1" applyFill="1" applyBorder="1" applyAlignment="1">
      <x:alignment vertical="top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165" fontId="8" fillId="23" borderId="0" xfId="0" applyNumberFormat="1" applyFont="1" applyFill="1" applyBorder="1" applyAlignment="1">
      <x:alignment horizontal="center" vertical="center" wrapText="1"/>
    </x:xf>
    <x:xf numFmtId="165" fontId="8" fillId="23" borderId="1" xfId="0" applyNumberFormat="1" applyFont="1" applyFill="1" applyBorder="1" applyAlignment="1">
      <x:alignment vertical="top" wrapText="1"/>
    </x:xf>
    <x:xf numFmtId="0" fontId="0" fillId="23" borderId="2" xfId="0" applyNumberFormat="1" applyFont="1" applyFill="1" applyBorder="1" applyAlignment="1">
      <x:alignment wrapText="1"/>
    </x:xf>
    <x:xf numFmtId="165" fontId="0" fillId="23" borderId="2" xfId="0" applyNumberFormat="1" applyFont="1" applyFill="1" applyBorder="1" applyAlignment="1">
      <x:alignment wrapText="1"/>
    </x:xf>
    <x:xf numFmtId="0" fontId="8" fillId="23" borderId="2" xfId="0" applyNumberFormat="1" applyFont="1" applyFill="1" applyBorder="1" applyAlignment="1">
      <x:alignment wrapText="1"/>
    </x:xf>
    <x:xf numFmtId="165" fontId="8" fillId="23" borderId="2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165" fontId="0" fillId="23" borderId="0" xfId="0" applyNumberFormat="1" applyFont="1" applyFill="1" applyBorder="1" applyAlignment="1">
      <x:alignment wrapText="1"/>
    </x:xf>
    <x:xf numFmtId="0" fontId="8" fillId="23" borderId="0" xfId="0" applyNumberFormat="1" applyFont="1" applyFill="1" applyBorder="1" applyAlignment="1">
      <x:alignment wrapText="1"/>
    </x:xf>
    <x:xf numFmtId="165" fontId="8" fillId="23" borderId="0" xfId="0" applyNumberFormat="1" applyFont="1" applyFill="1" applyBorder="1" applyAlignment="1">
      <x:alignment wrapText="1"/>
    </x:xf>
    <x:xf numFmtId="0" fontId="9" fillId="21" borderId="10" xfId="0" applyNumberFormat="1" applyFont="1" applyFill="1" applyBorder="1" applyAlignment="1">
      <x:alignment horizontal="center" vertical="center" wrapText="1"/>
    </x:xf>
    <x:xf numFmtId="0" fontId="0" fillId="22" borderId="11" xfId="0" applyNumberFormat="1" applyFont="1" applyFill="1" applyBorder="1" applyAlignment="1">
      <x:alignment vertical="top" wrapText="1"/>
    </x:xf>
    <x:xf numFmtId="0" fontId="0" fillId="24" borderId="11" xfId="0" applyNumberFormat="1" applyFont="1" applyFill="1" applyBorder="1" applyAlignment="1">
      <x:alignment vertical="top" wrapText="1"/>
    </x:xf>
    <x:xf numFmtId="0" fontId="0" fillId="23" borderId="11" xfId="0" applyNumberFormat="1" applyFont="1" applyFill="1" applyBorder="1" applyAlignment="1">
      <x:alignment vertical="top" wrapText="1"/>
    </x:xf>
    <x:xf numFmtId="166" fontId="0" fillId="23" borderId="11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12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3" xfId="0" applyNumberFormat="1" applyFont="1" applyFill="1" applyBorder="1"/>
    <x:xf numFmtId="165" fontId="0" fillId="8" borderId="1" xfId="0" applyNumberFormat="1" applyFont="1" applyFill="1" applyBorder="1" applyAlignment="1">
      <x:alignment vertical="top" wrapText="1"/>
    </x:xf>
    <x:xf numFmtId="165" fontId="0" fillId="8" borderId="3" xfId="0" applyNumberFormat="1" applyFont="1" applyFill="1" applyBorder="1" applyAlignment="1">
      <x:alignment wrapText="1"/>
    </x:xf>
    <x:xf numFmtId="165" fontId="0" fillId="8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7" fillId="29" borderId="1" xfId="0" applyNumberFormat="1" applyFont="1" applyFill="1" applyBorder="1" applyAlignment="1">
      <x:alignment horizontal="center" vertical="center" wrapText="1"/>
    </x:xf>
    <x:xf numFmtId="0" fontId="7" fillId="29" borderId="0" xfId="0" applyNumberFormat="1" applyFont="1" applyFill="1" applyBorder="1" applyAlignment="1">
      <x:alignment horizontal="center" vertical="center" wrapText="1"/>
    </x:xf>
    <x:xf numFmtId="0" fontId="7" fillId="29" borderId="0" xfId="0" applyNumberFormat="1" applyFont="1" applyFill="1" applyBorder="1" applyAlignment="1">
      <x:alignment horizontal="center" vertical="center"/>
    </x:xf>
    <x:xf numFmtId="0" fontId="0" fillId="30" borderId="1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horizontal="left" vertical="top" wrapText="1"/>
    </x:xf>
    <x:xf numFmtId="0" fontId="3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horizontal="left" wrapText="1"/>
    </x:xf>
    <x:xf numFmtId="0" fontId="12" fillId="30" borderId="0" xfId="0" applyNumberFormat="1" applyFont="1" applyFill="1" applyBorder="1" applyAlignment="1">
      <x:alignment horizontal="left" vertical="top" wrapText="1"/>
    </x:xf>
    <x:xf numFmtId="0" fontId="2" fillId="30" borderId="1" xfId="0" applyNumberFormat="1" applyFont="1" applyFill="1" applyBorder="1" applyAlignment="1">
      <x:alignment horizontal="left" vertical="center" wrapText="1"/>
    </x:xf>
    <x:xf numFmtId="0" fontId="0" fillId="30" borderId="2" xfId="0" applyNumberFormat="1" applyFont="1" applyFill="1" applyBorder="1"/>
    <x:xf numFmtId="0" fontId="11" fillId="30" borderId="1" xfId="0" applyNumberFormat="1" applyFont="1" applyFill="1" applyBorder="1" applyAlignment="1">
      <x:alignment horizontal="left" vertical="center" wrapText="1"/>
    </x:xf>
    <x:xf numFmtId="0" fontId="11" fillId="30" borderId="2" xfId="0" applyNumberFormat="1" applyFont="1" applyFill="1" applyBorder="1"/>
    <x:xf numFmtId="0" fontId="11" fillId="30" borderId="2" xfId="0" applyNumberFormat="1" applyFont="1" applyFill="1" applyBorder="1" applyAlignment="1">
      <x:alignment horizontal="left"/>
    </x:xf>
    <x:xf numFmtId="0" fontId="11" fillId="30" borderId="2" xfId="0" applyNumberFormat="1" applyFont="1" applyFill="1" applyBorder="1" applyAlignment="1">
      <x:alignment horizontal="left" vertical="top"/>
    </x:xf>
    <x:xf numFmtId="0" fontId="8" fillId="30" borderId="1" xfId="0" applyNumberFormat="1" applyFont="1" applyFill="1" applyBorder="1" applyAlignment="1">
      <x:alignment vertical="top" wrapText="1"/>
    </x:xf>
    <x:xf numFmtId="0" fontId="0" fillId="30" borderId="2" xfId="0" applyNumberFormat="1" applyFont="1" applyFill="1" applyBorder="1" applyAlignment="1">
      <x:alignment wrapText="1"/>
    </x:xf>
    <x:xf numFmtId="0" fontId="11" fillId="30" borderId="2" xfId="0" applyNumberFormat="1" applyFont="1" applyFill="1" applyBorder="1" applyAlignment="1">
      <x:alignment wrapText="1"/>
    </x:xf>
    <x:xf numFmtId="0" fontId="11" fillId="30" borderId="2" xfId="0" applyNumberFormat="1" applyFont="1" applyFill="1" applyBorder="1" applyAlignment="1">
      <x:alignment horizontal="left" wrapText="1"/>
    </x:xf>
    <x:xf numFmtId="0" fontId="11" fillId="30" borderId="2" xfId="0" applyNumberFormat="1" applyFont="1" applyFill="1" applyBorder="1" applyAlignment="1">
      <x:alignment horizontal="left" vertical="top" wrapText="1"/>
    </x:xf>
    <x:xf numFmtId="0" fontId="8" fillId="30" borderId="2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horizontal="left" wrapText="1"/>
    </x:xf>
    <x:xf numFmtId="0" fontId="11" fillId="30" borderId="0" xfId="0" applyNumberFormat="1" applyFont="1" applyFill="1" applyBorder="1" applyAlignment="1">
      <x:alignment horizontal="left" vertical="top" wrapText="1"/>
    </x:xf>
    <x:xf numFmtId="0" fontId="8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horizontal="left"/>
    </x:xf>
    <x:xf numFmtId="0" fontId="11" fillId="30" borderId="0" xfId="0" applyNumberFormat="1" applyFont="1" applyFill="1" applyBorder="1" applyAlignment="1">
      <x:alignment horizontal="left" vertical="top"/>
    </x:xf>
    <x:xf numFmtId="0" fontId="2" fillId="31" borderId="1" xfId="0" applyNumberFormat="1" applyFont="1" applyFill="1" applyBorder="1" applyAlignment="1">
      <x:alignment horizontal="left" vertical="center" wrapText="1"/>
    </x:xf>
    <x:xf numFmtId="0" fontId="0" fillId="31" borderId="2" xfId="0" applyNumberFormat="1" applyFont="1" applyFill="1" applyBorder="1"/>
    <x:xf numFmtId="0" fontId="13" fillId="31" borderId="1" xfId="0" applyNumberFormat="1" applyFont="1" applyFill="1" applyBorder="1" applyAlignment="1">
      <x:alignment horizontal="left" vertical="center" wrapText="1"/>
    </x:xf>
    <x:xf numFmtId="0" fontId="13" fillId="31" borderId="2" xfId="0" applyNumberFormat="1" applyFont="1" applyFill="1" applyBorder="1"/>
    <x:xf numFmtId="0" fontId="13" fillId="31" borderId="2" xfId="0" applyNumberFormat="1" applyFont="1" applyFill="1" applyBorder="1" applyAlignment="1">
      <x:alignment horizontal="left"/>
    </x:xf>
    <x:xf numFmtId="0" fontId="13" fillId="31" borderId="2" xfId="0" applyNumberFormat="1" applyFont="1" applyFill="1" applyBorder="1" applyAlignment="1">
      <x:alignment horizontal="left" vertical="center"/>
    </x:xf>
    <x:xf numFmtId="0" fontId="8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horizontal="left" vertical="top" wrapText="1"/>
    </x:xf>
    <x:xf numFmtId="0" fontId="0" fillId="31" borderId="1" xfId="0" applyNumberFormat="1" applyFont="1" applyFill="1" applyBorder="1" applyAlignment="1">
      <x:alignment vertical="top" wrapText="1"/>
    </x:xf>
    <x:xf numFmtId="0" fontId="0" fillId="31" borderId="2" xfId="0" applyNumberFormat="1" applyFont="1" applyFill="1" applyBorder="1" applyAlignment="1">
      <x:alignment wrapText="1"/>
    </x:xf>
    <x:xf numFmtId="0" fontId="13" fillId="31" borderId="2" xfId="0" applyNumberFormat="1" applyFont="1" applyFill="1" applyBorder="1" applyAlignment="1">
      <x:alignment wrapText="1"/>
    </x:xf>
    <x:xf numFmtId="0" fontId="13" fillId="31" borderId="2" xfId="0" applyNumberFormat="1" applyFont="1" applyFill="1" applyBorder="1" applyAlignment="1">
      <x:alignment horizontal="left" wrapText="1"/>
    </x:xf>
    <x:xf numFmtId="0" fontId="13" fillId="31" borderId="2" xfId="0" applyNumberFormat="1" applyFont="1" applyFill="1" applyBorder="1" applyAlignment="1">
      <x:alignment horizontal="left" vertical="center" wrapText="1"/>
    </x:xf>
    <x:xf numFmtId="0" fontId="8" fillId="31" borderId="2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8" fillId="31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3" fillId="31" borderId="0" xfId="0" applyNumberFormat="1" applyFont="1" applyFill="1" applyBorder="1"/>
    <x:xf numFmtId="0" fontId="13" fillId="31" borderId="0" xfId="0" applyNumberFormat="1" applyFont="1" applyFill="1" applyBorder="1" applyAlignment="1">
      <x:alignment horizontal="left"/>
    </x:xf>
    <x:xf numFmtId="0" fontId="13" fillId="31" borderId="0" xfId="0" applyNumberFormat="1" applyFont="1" applyFill="1" applyBorder="1" applyAlignment="1">
      <x:alignment horizontal="left" vertical="center"/>
    </x:xf>
    <x:xf numFmtId="0" fontId="0" fillId="32" borderId="2" xfId="0" applyNumberFormat="1" applyFont="1" applyFill="1" applyBorder="1"/>
    <x:xf numFmtId="0" fontId="0" fillId="32" borderId="1" xfId="0" applyNumberFormat="1" applyFont="1" applyFill="1" applyBorder="1" applyAlignment="1">
      <x:alignment horizontal="center" vertical="center" wrapText="1"/>
    </x:xf>
    <x:xf numFmtId="0" fontId="8" fillId="32" borderId="1" xfId="0" applyNumberFormat="1" applyFont="1" applyFill="1" applyBorder="1" applyAlignment="1">
      <x:alignment horizontal="center" vertical="center" wrapText="1"/>
    </x:xf>
    <x:xf numFmtId="0" fontId="0" fillId="32" borderId="2" xfId="0" applyNumberFormat="1" applyFont="1" applyFill="1" applyBorder="1" applyAlignment="1">
      <x:alignment wrapText="1"/>
    </x:xf>
    <x:xf numFmtId="0" fontId="8" fillId="32" borderId="2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8" fillId="32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0" fillId="33" borderId="2" xfId="0" applyNumberFormat="1" applyFont="1" applyFill="1" applyBorder="1"/>
    <x:xf numFmtId="0" fontId="0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0" fillId="33" borderId="2" xfId="0" applyNumberFormat="1" applyFont="1" applyFill="1" applyBorder="1" applyAlignment="1">
      <x:alignment wrapText="1"/>
    </x:xf>
    <x:xf numFmtId="0" fontId="8" fillId="33" borderId="2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8" fillId="33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0" fillId="34" borderId="2" xfId="0" applyNumberFormat="1" applyFont="1" applyFill="1" applyBorder="1"/>
    <x:xf numFmtId="0" fontId="0" fillId="34" borderId="0" xfId="0" applyNumberFormat="1" applyFont="1" applyFill="1" applyBorder="1" applyAlignment="1">
      <x:alignment horizontal="center" vertical="center" wrapText="1"/>
    </x:xf>
    <x:xf numFmtId="165" fontId="0" fillId="34" borderId="0" xfId="0" applyNumberFormat="1" applyFont="1" applyFill="1" applyBorder="1" applyAlignment="1">
      <x:alignment horizontal="center" vertical="center" wrapText="1"/>
    </x:xf>
    <x:xf numFmtId="165" fontId="0" fillId="34" borderId="1" xfId="0" applyNumberFormat="1" applyFont="1" applyFill="1" applyBorder="1" applyAlignment="1">
      <x:alignment vertical="top" wrapText="1"/>
    </x:xf>
    <x:xf numFmtId="0" fontId="8" fillId="34" borderId="0" xfId="0" applyNumberFormat="1" applyFont="1" applyFill="1" applyBorder="1" applyAlignment="1">
      <x:alignment horizontal="center" vertical="center" wrapText="1"/>
    </x:xf>
    <x:xf numFmtId="165" fontId="8" fillId="34" borderId="0" xfId="0" applyNumberFormat="1" applyFont="1" applyFill="1" applyBorder="1" applyAlignment="1">
      <x:alignment horizontal="center" vertical="center" wrapText="1"/>
    </x:xf>
    <x:xf numFmtId="165" fontId="8" fillId="34" borderId="1" xfId="0" applyNumberFormat="1" applyFont="1" applyFill="1" applyBorder="1" applyAlignment="1">
      <x:alignment vertical="top" wrapText="1"/>
    </x:xf>
    <x:xf numFmtId="0" fontId="0" fillId="34" borderId="2" xfId="0" applyNumberFormat="1" applyFont="1" applyFill="1" applyBorder="1" applyAlignment="1">
      <x:alignment wrapText="1"/>
    </x:xf>
    <x:xf numFmtId="165" fontId="0" fillId="34" borderId="2" xfId="0" applyNumberFormat="1" applyFont="1" applyFill="1" applyBorder="1" applyAlignment="1">
      <x:alignment wrapText="1"/>
    </x:xf>
    <x:xf numFmtId="0" fontId="8" fillId="34" borderId="2" xfId="0" applyNumberFormat="1" applyFont="1" applyFill="1" applyBorder="1" applyAlignment="1">
      <x:alignment wrapText="1"/>
    </x:xf>
    <x:xf numFmtId="165" fontId="8" fillId="34" borderId="2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wrapText="1"/>
    </x:xf>
    <x:xf numFmtId="165" fontId="0" fillId="34" borderId="0" xfId="0" applyNumberFormat="1" applyFont="1" applyFill="1" applyBorder="1" applyAlignment="1">
      <x:alignment wrapText="1"/>
    </x:xf>
    <x:xf numFmtId="0" fontId="8" fillId="34" borderId="0" xfId="0" applyNumberFormat="1" applyFont="1" applyFill="1" applyBorder="1" applyAlignment="1">
      <x:alignment wrapText="1"/>
    </x:xf>
    <x:xf numFmtId="165" fontId="8" fillId="34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165" fontId="0" fillId="33" borderId="1" xfId="0" applyNumberFormat="1" applyFont="1" applyFill="1" applyBorder="1" applyAlignment="1">
      <x:alignment vertical="top" wrapText="1"/>
    </x:xf>
    <x:xf numFmtId="165" fontId="8" fillId="33" borderId="1" xfId="0" applyNumberFormat="1" applyFont="1" applyFill="1" applyBorder="1" applyAlignment="1">
      <x:alignment vertical="top" wrapText="1"/>
    </x:xf>
    <x:xf numFmtId="165" fontId="0" fillId="33" borderId="2" xfId="0" applyNumberFormat="1" applyFont="1" applyFill="1" applyBorder="1" applyAlignment="1">
      <x:alignment wrapText="1"/>
    </x:xf>
    <x:xf numFmtId="165" fontId="8" fillId="33" borderId="2" xfId="0" applyNumberFormat="1" applyFont="1" applyFill="1" applyBorder="1" applyAlignment="1">
      <x:alignment wrapText="1"/>
    </x:xf>
    <x:xf numFmtId="165" fontId="0" fillId="33" borderId="0" xfId="0" applyNumberFormat="1" applyFont="1" applyFill="1" applyBorder="1" applyAlignment="1">
      <x:alignment wrapText="1"/>
    </x:xf>
    <x:xf numFmtId="165" fontId="8" fillId="33" borderId="0" xfId="0" applyNumberFormat="1" applyFont="1" applyFill="1" applyBorder="1" applyAlignment="1">
      <x:alignment wrapText="1"/>
    </x:xf>
    <x:xf numFmtId="0" fontId="0" fillId="32" borderId="3" xfId="0" applyNumberFormat="1" applyFont="1" applyFill="1" applyBorder="1"/>
    <x:xf numFmtId="165" fontId="0" fillId="32" borderId="1" xfId="0" applyNumberFormat="1" applyFont="1" applyFill="1" applyBorder="1" applyAlignment="1">
      <x:alignment vertical="top" wrapText="1"/>
    </x:xf>
    <x:xf numFmtId="165" fontId="8" fillId="32" borderId="1" xfId="0" applyNumberFormat="1" applyFont="1" applyFill="1" applyBorder="1" applyAlignment="1">
      <x:alignment vertical="top" wrapText="1"/>
    </x:xf>
    <x:xf numFmtId="165" fontId="0" fillId="32" borderId="3" xfId="0" applyNumberFormat="1" applyFont="1" applyFill="1" applyBorder="1" applyAlignment="1">
      <x:alignment wrapText="1"/>
    </x:xf>
    <x:xf numFmtId="165" fontId="8" fillId="32" borderId="3" xfId="0" applyNumberFormat="1" applyFont="1" applyFill="1" applyBorder="1" applyAlignment="1">
      <x:alignment wrapText="1"/>
    </x:xf>
    <x:xf numFmtId="165" fontId="0" fillId="32" borderId="0" xfId="0" applyNumberFormat="1" applyFont="1" applyFill="1" applyBorder="1" applyAlignment="1">
      <x:alignment wrapText="1"/>
    </x:xf>
    <x:xf numFmtId="165" fontId="8" fillId="32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0" fillId="31" borderId="3" xfId="0" applyNumberFormat="1" applyFont="1" applyFill="1" applyBorder="1"/>
    <x:xf numFmtId="0" fontId="13" fillId="31" borderId="3" xfId="0" applyNumberFormat="1" applyFont="1" applyFill="1" applyBorder="1"/>
    <x:xf numFmtId="0" fontId="13" fillId="31" borderId="3" xfId="0" applyNumberFormat="1" applyFont="1" applyFill="1" applyBorder="1" applyAlignment="1">
      <x:alignment horizontal="left"/>
    </x:xf>
    <x:xf numFmtId="0" fontId="13" fillId="31" borderId="3" xfId="0" applyNumberFormat="1" applyFont="1" applyFill="1" applyBorder="1" applyAlignment="1">
      <x:alignment horizontal="left" vertical="center"/>
    </x:xf>
    <x:xf numFmtId="0" fontId="8" fillId="31" borderId="1" xfId="0" applyNumberFormat="1" applyFont="1" applyFill="1" applyBorder="1" applyAlignment="1">
      <x:alignment horizontal="center" vertical="center" wrapText="1"/>
    </x:xf>
    <x:xf numFmtId="0" fontId="8" fillId="31" borderId="0" xfId="0" applyNumberFormat="1" applyFont="1" applyFill="1" applyBorder="1" applyAlignment="1">
      <x:alignment horizontal="center" vertical="center" wrapText="1"/>
    </x:xf>
    <x:xf numFmtId="165" fontId="8" fillId="31" borderId="0" xfId="0" applyNumberFormat="1" applyFont="1" applyFill="1" applyBorder="1" applyAlignment="1">
      <x:alignment horizontal="center" vertical="center" wrapText="1"/>
    </x:xf>
    <x:xf numFmtId="165" fontId="8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horizontal="center" vertical="center" wrapText="1"/>
    </x:xf>
    <x:xf numFmtId="0" fontId="13" fillId="31" borderId="0" xfId="0" applyNumberFormat="1" applyFont="1" applyFill="1" applyBorder="1" applyAlignment="1">
      <x:alignment horizontal="center" vertical="center" wrapText="1"/>
    </x:xf>
    <x:xf numFmtId="165" fontId="13" fillId="31" borderId="0" xfId="0" applyNumberFormat="1" applyFont="1" applyFill="1" applyBorder="1" applyAlignment="1">
      <x:alignment horizontal="center" vertical="center" wrapText="1"/>
    </x:xf>
    <x:xf numFmtId="165" fontId="13" fillId="31" borderId="1" xfId="0" applyNumberFormat="1" applyFont="1" applyFill="1" applyBorder="1" applyAlignment="1">
      <x:alignment vertical="top" wrapText="1"/>
    </x:xf>
    <x:xf numFmtId="165" fontId="13" fillId="31" borderId="0" xfId="0" applyNumberFormat="1" applyFont="1" applyFill="1" applyBorder="1" applyAlignment="1">
      <x:alignment horizontal="left" vertical="center" wrapText="1"/>
    </x:xf>
    <x:xf numFmtId="165" fontId="13" fillId="31" borderId="1" xfId="0" applyNumberFormat="1" applyFont="1" applyFill="1" applyBorder="1" applyAlignment="1">
      <x:alignment horizontal="left" vertical="top" wrapText="1"/>
    </x:xf>
    <x:xf numFmtId="165" fontId="13" fillId="31" borderId="1" xfId="0" applyNumberFormat="1" applyFont="1" applyFill="1" applyBorder="1" applyAlignment="1">
      <x:alignment horizontal="left" vertical="center" wrapText="1"/>
    </x:xf>
    <x:xf numFmtId="0" fontId="0" fillId="31" borderId="1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 applyAlignment="1">
      <x:alignment horizontal="center" vertical="center" wrapText="1"/>
    </x:xf>
    <x:xf numFmtId="165" fontId="0" fillId="31" borderId="0" xfId="0" applyNumberFormat="1" applyFont="1" applyFill="1" applyBorder="1" applyAlignment="1">
      <x:alignment horizontal="center" vertical="center" wrapText="1"/>
    </x:xf>
    <x:xf numFmtId="165" fontId="0" fillId="31" borderId="1" xfId="0" applyNumberFormat="1" applyFont="1" applyFill="1" applyBorder="1" applyAlignment="1">
      <x:alignment vertical="top" wrapText="1"/>
    </x:xf>
    <x:xf numFmtId="165" fontId="0" fillId="31" borderId="2" xfId="0" applyNumberFormat="1" applyFont="1" applyFill="1" applyBorder="1" applyAlignment="1">
      <x:alignment wrapText="1"/>
    </x:xf>
    <x:xf numFmtId="165" fontId="0" fillId="31" borderId="3" xfId="0" applyNumberFormat="1" applyFont="1" applyFill="1" applyBorder="1" applyAlignment="1">
      <x:alignment wrapText="1"/>
    </x:xf>
    <x:xf numFmtId="165" fontId="13" fillId="31" borderId="2" xfId="0" applyNumberFormat="1" applyFont="1" applyFill="1" applyBorder="1" applyAlignment="1">
      <x:alignment wrapText="1"/>
    </x:xf>
    <x:xf numFmtId="165" fontId="13" fillId="31" borderId="3" xfId="0" applyNumberFormat="1" applyFont="1" applyFill="1" applyBorder="1" applyAlignment="1">
      <x:alignment wrapText="1"/>
    </x:xf>
    <x:xf numFmtId="165" fontId="13" fillId="31" borderId="2" xfId="0" applyNumberFormat="1" applyFont="1" applyFill="1" applyBorder="1" applyAlignment="1">
      <x:alignment horizontal="left" wrapText="1"/>
    </x:xf>
    <x:xf numFmtId="165" fontId="13" fillId="31" borderId="3" xfId="0" applyNumberFormat="1" applyFont="1" applyFill="1" applyBorder="1" applyAlignment="1">
      <x:alignment horizontal="left" wrapText="1"/>
    </x:xf>
    <x:xf numFmtId="165" fontId="13" fillId="31" borderId="2" xfId="0" applyNumberFormat="1" applyFont="1" applyFill="1" applyBorder="1" applyAlignment="1">
      <x:alignment horizontal="left" vertical="center" wrapText="1"/>
    </x:xf>
    <x:xf numFmtId="165" fontId="13" fillId="31" borderId="3" xfId="0" applyNumberFormat="1" applyFont="1" applyFill="1" applyBorder="1" applyAlignment="1">
      <x:alignment horizontal="left" vertical="center" wrapText="1"/>
    </x:xf>
    <x:xf numFmtId="165" fontId="8" fillId="31" borderId="2" xfId="0" applyNumberFormat="1" applyFont="1" applyFill="1" applyBorder="1" applyAlignment="1">
      <x:alignment wrapText="1"/>
    </x:xf>
    <x:xf numFmtId="165" fontId="8" fillId="31" borderId="3" xfId="0" applyNumberFormat="1" applyFont="1" applyFill="1" applyBorder="1" applyAlignment="1">
      <x:alignment wrapText="1"/>
    </x:xf>
    <x:xf numFmtId="165" fontId="0" fillId="31" borderId="0" xfId="0" applyNumberFormat="1" applyFont="1" applyFill="1" applyBorder="1" applyAlignment="1">
      <x:alignment wrapText="1"/>
    </x:xf>
    <x:xf numFmtId="165" fontId="13" fillId="31" borderId="0" xfId="0" applyNumberFormat="1" applyFont="1" applyFill="1" applyBorder="1" applyAlignment="1">
      <x:alignment wrapText="1"/>
    </x:xf>
    <x:xf numFmtId="165" fontId="13" fillId="31" borderId="0" xfId="0" applyNumberFormat="1" applyFont="1" applyFill="1" applyBorder="1" applyAlignment="1">
      <x:alignment horizontal="left" wrapText="1"/>
    </x:xf>
    <x:xf numFmtId="165" fontId="8" fillId="31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horizontal="center"/>
    </x:xf>
    <x:xf numFmtId="0" fontId="11" fillId="36" borderId="1" xfId="0" applyNumberFormat="1" applyFont="1" applyFill="1" applyBorder="1" applyAlignment="1">
      <x:alignment horizontal="left" vertical="top" wrapText="1"/>
    </x:xf>
    <x:xf numFmtId="0" fontId="14" fillId="36" borderId="1" xfId="0" applyNumberFormat="1" applyFont="1" applyFill="1" applyBorder="1" applyAlignment="1">
      <x:alignment horizontal="left" vertical="top" wrapText="1"/>
    </x:xf>
    <x:xf numFmtId="0" fontId="12" fillId="36" borderId="0" xfId="0" applyNumberFormat="1" applyFont="1" applyFill="1" applyBorder="1" applyAlignment="1">
      <x:alignment horizontal="left" vertical="top" wrapText="1"/>
    </x:xf>
    <x:xf numFmtId="0" fontId="15" fillId="36" borderId="0" xfId="0" applyNumberFormat="1" applyFont="1" applyFill="1" applyBorder="1" applyAlignment="1">
      <x:alignment horizontal="left" vertical="top" wrapText="1"/>
    </x:xf>
    <x:xf numFmtId="0" fontId="11" fillId="36" borderId="2" xfId="0" applyNumberFormat="1" applyFont="1" applyFill="1" applyBorder="1" applyAlignment="1">
      <x:alignment horizontal="left" vertical="top"/>
    </x:xf>
    <x:xf numFmtId="0" fontId="14" fillId="36" borderId="2" xfId="0" applyNumberFormat="1" applyFont="1" applyFill="1" applyBorder="1" applyAlignment="1">
      <x:alignment horizontal="left" vertical="top"/>
    </x:xf>
    <x:xf numFmtId="0" fontId="11" fillId="36" borderId="2" xfId="0" applyNumberFormat="1" applyFont="1" applyFill="1" applyBorder="1" applyAlignment="1">
      <x:alignment horizontal="left" vertical="top" wrapText="1"/>
    </x:xf>
    <x:xf numFmtId="0" fontId="14" fillId="36" borderId="2" xfId="0" applyNumberFormat="1" applyFont="1" applyFill="1" applyBorder="1" applyAlignment="1">
      <x:alignment horizontal="left" vertical="top" wrapText="1"/>
    </x:xf>
    <x:xf numFmtId="0" fontId="11" fillId="36" borderId="0" xfId="0" applyNumberFormat="1" applyFont="1" applyFill="1" applyBorder="1" applyAlignment="1">
      <x:alignment horizontal="left" vertical="top" wrapText="1"/>
    </x:xf>
    <x:xf numFmtId="0" fontId="14" fillId="36" borderId="0" xfId="0" applyNumberFormat="1" applyFont="1" applyFill="1" applyBorder="1" applyAlignment="1">
      <x:alignment horizontal="left" vertical="top" wrapText="1"/>
    </x:xf>
    <x:xf numFmtId="0" fontId="11" fillId="36" borderId="0" xfId="0" applyNumberFormat="1" applyFont="1" applyFill="1" applyBorder="1" applyAlignment="1">
      <x:alignment horizontal="left" vertical="top"/>
    </x:xf>
    <x:xf numFmtId="0" fontId="14" fillId="36" borderId="0" xfId="0" applyNumberFormat="1" applyFont="1" applyFill="1" applyBorder="1" applyAlignment="1">
      <x:alignment horizontal="left" vertical="top"/>
    </x:xf>
    <x:xf numFmtId="0" fontId="13" fillId="37" borderId="1" xfId="0" applyNumberFormat="1" applyFont="1" applyFill="1" applyBorder="1" applyAlignment="1">
      <x:alignment horizontal="left" vertical="center" wrapText="1"/>
    </x:xf>
    <x:xf numFmtId="0" fontId="13" fillId="37" borderId="2" xfId="0" applyNumberFormat="1" applyFont="1" applyFill="1" applyBorder="1" applyAlignment="1">
      <x:alignment horizontal="left" vertical="center"/>
    </x:xf>
    <x:xf numFmtId="0" fontId="13" fillId="37" borderId="3" xfId="0" applyNumberFormat="1" applyFont="1" applyFill="1" applyBorder="1" applyAlignment="1">
      <x:alignment horizontal="left" vertical="center"/>
    </x:xf>
    <x:xf numFmtId="0" fontId="13" fillId="37" borderId="0" xfId="0" applyNumberFormat="1" applyFont="1" applyFill="1" applyBorder="1" applyAlignment="1">
      <x:alignment horizontal="left" vertical="center"/>
    </x:xf>
    <x:xf numFmtId="0" fontId="13" fillId="37" borderId="0" xfId="0" applyNumberFormat="1" applyFont="1" applyFill="1" applyBorder="1" applyAlignment="1">
      <x:alignment horizontal="left" vertical="center" wrapText="1"/>
    </x:xf>
    <x:xf numFmtId="165" fontId="13" fillId="37" borderId="0" xfId="0" applyNumberFormat="1" applyFont="1" applyFill="1" applyBorder="1" applyAlignment="1">
      <x:alignment horizontal="left" vertical="center" wrapText="1"/>
    </x:xf>
    <x:xf numFmtId="165" fontId="13" fillId="37" borderId="1" xfId="0" applyNumberFormat="1" applyFont="1" applyFill="1" applyBorder="1" applyAlignment="1">
      <x:alignment horizontal="left" vertical="center" wrapText="1"/>
    </x:xf>
    <x:xf numFmtId="0" fontId="13" fillId="37" borderId="2" xfId="0" applyNumberFormat="1" applyFont="1" applyFill="1" applyBorder="1" applyAlignment="1">
      <x:alignment horizontal="left" vertical="center" wrapText="1"/>
    </x:xf>
    <x:xf numFmtId="165" fontId="13" fillId="37" borderId="2" xfId="0" applyNumberFormat="1" applyFont="1" applyFill="1" applyBorder="1" applyAlignment="1">
      <x:alignment horizontal="left" vertical="center" wrapText="1"/>
    </x:xf>
    <x:xf numFmtId="165" fontId="13" fillId="37" borderId="3" xfId="0" applyNumberFormat="1" applyFont="1" applyFill="1" applyBorder="1" applyAlignment="1">
      <x:alignment horizontal="left" vertical="center" wrapText="1"/>
    </x:xf>
    <x:xf numFmtId="0" fontId="13" fillId="38" borderId="2" xfId="0" applyNumberFormat="1" applyFont="1" applyFill="1" applyBorder="1" applyAlignment="1">
      <x:alignment horizontal="left" vertical="center"/>
    </x:xf>
    <x:xf numFmtId="0" fontId="0" fillId="38" borderId="1" xfId="0" applyNumberFormat="1" applyFont="1" applyFill="1" applyBorder="1" applyAlignment="1">
      <x:alignment horizontal="center" vertical="center" wrapText="1"/>
    </x:xf>
    <x:xf numFmtId="0" fontId="13" fillId="38" borderId="1" xfId="0" applyNumberFormat="1" applyFont="1" applyFill="1" applyBorder="1" applyAlignment="1">
      <x:alignment horizontal="left" vertical="center" wrapText="1"/>
    </x:xf>
    <x:xf numFmtId="0" fontId="0" fillId="38" borderId="2" xfId="0" applyNumberFormat="1" applyFont="1" applyFill="1" applyBorder="1"/>
    <x:xf numFmtId="0" fontId="8" fillId="38" borderId="1" xfId="0" applyNumberFormat="1" applyFont="1" applyFill="1" applyBorder="1" applyAlignment="1">
      <x:alignment horizontal="center" vertical="center" wrapText="1"/>
    </x:xf>
    <x:xf numFmtId="0" fontId="0" fillId="38" borderId="2" xfId="0" applyNumberFormat="1" applyFont="1" applyFill="1" applyBorder="1" applyAlignment="1">
      <x:alignment wrapText="1"/>
    </x:xf>
    <x:xf numFmtId="0" fontId="8" fillId="38" borderId="2" xfId="0" applyNumberFormat="1" applyFont="1" applyFill="1" applyBorder="1" applyAlignment="1">
      <x:alignment wrapText="1"/>
    </x:xf>
    <x:xf numFmtId="0" fontId="13" fillId="38" borderId="2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 applyAlignment="1">
      <x:alignment wrapText="1"/>
    </x:xf>
    <x:xf numFmtId="0" fontId="8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horizontal="left" vertical="center" wrapText="1"/>
    </x:xf>
    <x:xf numFmtId="0" fontId="13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3" fillId="39" borderId="2" xfId="0" applyNumberFormat="1" applyFont="1" applyFill="1" applyBorder="1" applyAlignment="1">
      <x:alignment horizontal="left" vertical="center"/>
    </x:xf>
    <x:xf numFmtId="0" fontId="0" fillId="39" borderId="0" xfId="0" applyNumberFormat="1" applyFont="1" applyFill="1" applyBorder="1" applyAlignment="1">
      <x:alignment horizontal="center" vertical="center" wrapText="1"/>
    </x:xf>
    <x:xf numFmtId="0" fontId="13" fillId="39" borderId="0" xfId="0" applyNumberFormat="1" applyFont="1" applyFill="1" applyBorder="1" applyAlignment="1">
      <x:alignment horizontal="left" vertical="center" wrapText="1"/>
    </x:xf>
    <x:xf numFmtId="0" fontId="0" fillId="39" borderId="2" xfId="0" applyNumberFormat="1" applyFont="1" applyFill="1" applyBorder="1"/>
    <x:xf numFmtId="0" fontId="8" fillId="39" borderId="0" xfId="0" applyNumberFormat="1" applyFont="1" applyFill="1" applyBorder="1" applyAlignment="1">
      <x:alignment horizontal="center" vertical="center" wrapText="1"/>
    </x:xf>
    <x:xf numFmtId="0" fontId="0" fillId="39" borderId="2" xfId="0" applyNumberFormat="1" applyFont="1" applyFill="1" applyBorder="1" applyAlignment="1">
      <x:alignment wrapText="1"/>
    </x:xf>
    <x:xf numFmtId="0" fontId="8" fillId="39" borderId="2" xfId="0" applyNumberFormat="1" applyFont="1" applyFill="1" applyBorder="1" applyAlignment="1">
      <x:alignment wrapText="1"/>
    </x:xf>
    <x:xf numFmtId="0" fontId="13" fillId="39" borderId="2" xfId="0" applyNumberFormat="1" applyFont="1" applyFill="1" applyBorder="1" applyAlignment="1">
      <x:alignment horizontal="left" vertical="center" wrapText="1"/>
    </x:xf>
    <x:xf numFmtId="0" fontId="0" fillId="39" borderId="0" xfId="0" applyNumberFormat="1" applyFont="1" applyFill="1" applyBorder="1" applyAlignment="1">
      <x:alignment wrapText="1"/>
    </x:xf>
    <x:xf numFmtId="0" fontId="8" fillId="39" borderId="0" xfId="0" applyNumberFormat="1" applyFont="1" applyFill="1" applyBorder="1" applyAlignment="1">
      <x:alignment wrapText="1"/>
    </x:xf>
    <x:xf numFmtId="0" fontId="13" fillId="39" borderId="0" xfId="0" applyNumberFormat="1" applyFont="1" applyFill="1" applyBorder="1" applyAlignment="1">
      <x:alignment horizontal="left" vertical="center"/>
    </x:xf>
    <x:xf numFmtId="0" fontId="0" fillId="39" borderId="0" xfId="0" applyNumberFormat="1" applyFont="1" applyFill="1" applyBorder="1"/>
    <x:xf numFmtId="0" fontId="13" fillId="40" borderId="2" xfId="0" applyNumberFormat="1" applyFont="1" applyFill="1" applyBorder="1" applyAlignment="1">
      <x:alignment horizontal="left" vertical="center"/>
    </x:xf>
    <x:xf numFmtId="0" fontId="0" fillId="40" borderId="0" xfId="0" applyNumberFormat="1" applyFont="1" applyFill="1" applyBorder="1" applyAlignment="1">
      <x:alignment horizontal="center" vertical="center" wrapText="1"/>
    </x:xf>
    <x:xf numFmtId="165" fontId="0" fillId="40" borderId="0" xfId="0" applyNumberFormat="1" applyFont="1" applyFill="1" applyBorder="1" applyAlignment="1">
      <x:alignment horizontal="center" vertical="center" wrapText="1"/>
    </x:xf>
    <x:xf numFmtId="165" fontId="0" fillId="40" borderId="1" xfId="0" applyNumberFormat="1" applyFont="1" applyFill="1" applyBorder="1" applyAlignment="1">
      <x:alignment vertical="top" wrapText="1"/>
    </x:xf>
    <x:xf numFmtId="0" fontId="13" fillId="40" borderId="0" xfId="0" applyNumberFormat="1" applyFont="1" applyFill="1" applyBorder="1" applyAlignment="1">
      <x:alignment horizontal="left" vertical="center" wrapText="1"/>
    </x:xf>
    <x:xf numFmtId="165" fontId="13" fillId="40" borderId="0" xfId="0" applyNumberFormat="1" applyFont="1" applyFill="1" applyBorder="1" applyAlignment="1">
      <x:alignment horizontal="left" vertical="center" wrapText="1"/>
    </x:xf>
    <x:xf numFmtId="165" fontId="13" fillId="40" borderId="1" xfId="0" applyNumberFormat="1" applyFont="1" applyFill="1" applyBorder="1" applyAlignment="1">
      <x:alignment horizontal="left" vertical="center" wrapText="1"/>
    </x:xf>
    <x:xf numFmtId="0" fontId="0" fillId="40" borderId="2" xfId="0" applyNumberFormat="1" applyFont="1" applyFill="1" applyBorder="1"/>
    <x:xf numFmtId="0" fontId="8" fillId="40" borderId="0" xfId="0" applyNumberFormat="1" applyFont="1" applyFill="1" applyBorder="1" applyAlignment="1">
      <x:alignment horizontal="center" vertical="center" wrapText="1"/>
    </x:xf>
    <x:xf numFmtId="165" fontId="8" fillId="40" borderId="0" xfId="0" applyNumberFormat="1" applyFont="1" applyFill="1" applyBorder="1" applyAlignment="1">
      <x:alignment horizontal="center" vertical="center" wrapText="1"/>
    </x:xf>
    <x:xf numFmtId="165" fontId="8" fillId="40" borderId="1" xfId="0" applyNumberFormat="1" applyFont="1" applyFill="1" applyBorder="1" applyAlignment="1">
      <x:alignment vertical="top" wrapText="1"/>
    </x:xf>
    <x:xf numFmtId="0" fontId="0" fillId="40" borderId="2" xfId="0" applyNumberFormat="1" applyFont="1" applyFill="1" applyBorder="1" applyAlignment="1">
      <x:alignment wrapText="1"/>
    </x:xf>
    <x:xf numFmtId="165" fontId="0" fillId="40" borderId="2" xfId="0" applyNumberFormat="1" applyFont="1" applyFill="1" applyBorder="1" applyAlignment="1">
      <x:alignment wrapText="1"/>
    </x:xf>
    <x:xf numFmtId="0" fontId="8" fillId="40" borderId="2" xfId="0" applyNumberFormat="1" applyFont="1" applyFill="1" applyBorder="1" applyAlignment="1">
      <x:alignment wrapText="1"/>
    </x:xf>
    <x:xf numFmtId="165" fontId="8" fillId="40" borderId="2" xfId="0" applyNumberFormat="1" applyFont="1" applyFill="1" applyBorder="1" applyAlignment="1">
      <x:alignment wrapText="1"/>
    </x:xf>
    <x:xf numFmtId="0" fontId="13" fillId="40" borderId="2" xfId="0" applyNumberFormat="1" applyFont="1" applyFill="1" applyBorder="1" applyAlignment="1">
      <x:alignment horizontal="left" vertical="center" wrapText="1"/>
    </x:xf>
    <x:xf numFmtId="165" fontId="13" fillId="40" borderId="2" xfId="0" applyNumberFormat="1" applyFont="1" applyFill="1" applyBorder="1" applyAlignment="1">
      <x:alignment horizontal="left" vertical="center" wrapText="1"/>
    </x:xf>
    <x:xf numFmtId="0" fontId="0" fillId="40" borderId="0" xfId="0" applyNumberFormat="1" applyFont="1" applyFill="1" applyBorder="1" applyAlignment="1">
      <x:alignment wrapText="1"/>
    </x:xf>
    <x:xf numFmtId="165" fontId="0" fillId="40" borderId="0" xfId="0" applyNumberFormat="1" applyFont="1" applyFill="1" applyBorder="1" applyAlignment="1">
      <x:alignment wrapText="1"/>
    </x:xf>
    <x:xf numFmtId="0" fontId="8" fillId="40" borderId="0" xfId="0" applyNumberFormat="1" applyFont="1" applyFill="1" applyBorder="1" applyAlignment="1">
      <x:alignment wrapText="1"/>
    </x:xf>
    <x:xf numFmtId="165" fontId="8" fillId="40" borderId="0" xfId="0" applyNumberFormat="1" applyFont="1" applyFill="1" applyBorder="1" applyAlignment="1">
      <x:alignment wrapText="1"/>
    </x:xf>
    <x:xf numFmtId="0" fontId="13" fillId="40" borderId="0" xfId="0" applyNumberFormat="1" applyFont="1" applyFill="1" applyBorder="1" applyAlignment="1">
      <x:alignment horizontal="left" vertical="center"/>
    </x:xf>
    <x:xf numFmtId="0" fontId="0" fillId="40" borderId="0" xfId="0" applyNumberFormat="1" applyFont="1" applyFill="1" applyBorder="1"/>
    <x:xf numFmtId="165" fontId="0" fillId="39" borderId="1" xfId="0" applyNumberFormat="1" applyFont="1" applyFill="1" applyBorder="1" applyAlignment="1">
      <x:alignment vertical="top" wrapText="1"/>
    </x:xf>
    <x:xf numFmtId="165" fontId="13" fillId="39" borderId="1" xfId="0" applyNumberFormat="1" applyFont="1" applyFill="1" applyBorder="1" applyAlignment="1">
      <x:alignment horizontal="left" vertical="center" wrapText="1"/>
    </x:xf>
    <x:xf numFmtId="165" fontId="8" fillId="39" borderId="1" xfId="0" applyNumberFormat="1" applyFont="1" applyFill="1" applyBorder="1" applyAlignment="1">
      <x:alignment vertical="top" wrapText="1"/>
    </x:xf>
    <x:xf numFmtId="165" fontId="0" fillId="39" borderId="2" xfId="0" applyNumberFormat="1" applyFont="1" applyFill="1" applyBorder="1" applyAlignment="1">
      <x:alignment wrapText="1"/>
    </x:xf>
    <x:xf numFmtId="165" fontId="8" fillId="39" borderId="2" xfId="0" applyNumberFormat="1" applyFont="1" applyFill="1" applyBorder="1" applyAlignment="1">
      <x:alignment wrapText="1"/>
    </x:xf>
    <x:xf numFmtId="165" fontId="13" fillId="39" borderId="2" xfId="0" applyNumberFormat="1" applyFont="1" applyFill="1" applyBorder="1" applyAlignment="1">
      <x:alignment horizontal="left" vertical="center" wrapText="1"/>
    </x:xf>
    <x:xf numFmtId="165" fontId="0" fillId="39" borderId="0" xfId="0" applyNumberFormat="1" applyFont="1" applyFill="1" applyBorder="1" applyAlignment="1">
      <x:alignment wrapText="1"/>
    </x:xf>
    <x:xf numFmtId="165" fontId="8" fillId="39" borderId="0" xfId="0" applyNumberFormat="1" applyFont="1" applyFill="1" applyBorder="1" applyAlignment="1">
      <x:alignment wrapText="1"/>
    </x:xf>
    <x:xf numFmtId="165" fontId="13" fillId="39" borderId="0" xfId="0" applyNumberFormat="1" applyFont="1" applyFill="1" applyBorder="1" applyAlignment="1">
      <x:alignment horizontal="left" vertical="center" wrapText="1"/>
    </x:xf>
    <x:xf numFmtId="0" fontId="13" fillId="38" borderId="3" xfId="0" applyNumberFormat="1" applyFont="1" applyFill="1" applyBorder="1" applyAlignment="1">
      <x:alignment horizontal="left" vertical="center"/>
    </x:xf>
    <x:xf numFmtId="165" fontId="0" fillId="38" borderId="1" xfId="0" applyNumberFormat="1" applyFont="1" applyFill="1" applyBorder="1" applyAlignment="1">
      <x:alignment vertical="top" wrapText="1"/>
    </x:xf>
    <x:xf numFmtId="165" fontId="13" fillId="38" borderId="1" xfId="0" applyNumberFormat="1" applyFont="1" applyFill="1" applyBorder="1" applyAlignment="1">
      <x:alignment horizontal="left" vertical="center" wrapText="1"/>
    </x:xf>
    <x:xf numFmtId="0" fontId="0" fillId="38" borderId="3" xfId="0" applyNumberFormat="1" applyFont="1" applyFill="1" applyBorder="1"/>
    <x:xf numFmtId="165" fontId="8" fillId="38" borderId="1" xfId="0" applyNumberFormat="1" applyFont="1" applyFill="1" applyBorder="1" applyAlignment="1">
      <x:alignment vertical="top" wrapText="1"/>
    </x:xf>
    <x:xf numFmtId="165" fontId="0" fillId="38" borderId="3" xfId="0" applyNumberFormat="1" applyFont="1" applyFill="1" applyBorder="1" applyAlignment="1">
      <x:alignment wrapText="1"/>
    </x:xf>
    <x:xf numFmtId="165" fontId="8" fillId="38" borderId="3" xfId="0" applyNumberFormat="1" applyFont="1" applyFill="1" applyBorder="1" applyAlignment="1">
      <x:alignment wrapText="1"/>
    </x:xf>
    <x:xf numFmtId="165" fontId="13" fillId="38" borderId="3" xfId="0" applyNumberFormat="1" applyFont="1" applyFill="1" applyBorder="1" applyAlignment="1">
      <x:alignment horizontal="left" vertical="center" wrapText="1"/>
    </x:xf>
    <x:xf numFmtId="165" fontId="0" fillId="38" borderId="0" xfId="0" applyNumberFormat="1" applyFont="1" applyFill="1" applyBorder="1" applyAlignment="1">
      <x:alignment wrapText="1"/>
    </x:xf>
    <x:xf numFmtId="165" fontId="8" fillId="38" borderId="0" xfId="0" applyNumberFormat="1" applyFont="1" applyFill="1" applyBorder="1" applyAlignment="1">
      <x:alignment wrapText="1"/>
    </x:xf>
    <x:xf numFmtId="165" fontId="13" fillId="38" borderId="0" xfId="0" applyNumberFormat="1" applyFont="1" applyFill="1" applyBorder="1" applyAlignment="1">
      <x:alignment horizontal="left" vertical="center" wrapText="1"/>
    </x:xf>
    <x:xf numFmtId="0" fontId="13" fillId="41" borderId="0" xfId="0" applyNumberFormat="1" applyFont="1" applyFill="1" applyBorder="1" applyAlignment="1">
      <x:alignment horizontal="left" vertical="center"/>
    </x:xf>
    <x:xf numFmtId="0" fontId="0" fillId="41" borderId="0" xfId="0" applyNumberFormat="1" applyFont="1" applyFill="1" applyBorder="1"/>
    <x:xf numFmtId="0" fontId="7" fillId="42" borderId="1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7" fillId="42" borderId="0" xfId="0" applyNumberFormat="1" applyFont="1" applyFill="1" applyBorder="1"/>
    <x:xf numFmtId="0" fontId="7" fillId="42" borderId="0" xfId="0" applyNumberFormat="1" applyFont="1" applyFill="1" applyBorder="1" applyAlignment="1">
      <x:alignment wrapText="1"/>
    </x:xf>
    <x:xf numFmtId="0" fontId="13" fillId="8" borderId="2" xfId="0" applyNumberFormat="1" applyFont="1" applyFill="1" applyBorder="1" applyAlignment="1">
      <x:alignment horizontal="left" vertical="center"/>
    </x:xf>
    <x:xf numFmtId="0" fontId="13" fillId="8" borderId="1" xfId="0" applyNumberFormat="1" applyFont="1" applyFill="1" applyBorder="1" applyAlignment="1">
      <x:alignment horizontal="left" vertical="center" wrapText="1"/>
    </x:xf>
    <x:xf numFmtId="0" fontId="13" fillId="8" borderId="2" xfId="0" applyNumberFormat="1" applyFont="1" applyFill="1" applyBorder="1" applyAlignment="1">
      <x:alignment horizontal="left" vertical="center" wrapText="1"/>
    </x:xf>
    <x:xf numFmtId="0" fontId="13" fillId="8" borderId="0" xfId="0" applyNumberFormat="1" applyFont="1" applyFill="1" applyBorder="1" applyAlignment="1">
      <x:alignment horizontal="left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24" borderId="2" xfId="0" applyNumberFormat="1" applyFont="1" applyFill="1" applyBorder="1" applyAlignment="1">
      <x:alignment horizontal="left" vertical="center"/>
    </x:xf>
    <x:xf numFmtId="0" fontId="13" fillId="24" borderId="0" xfId="0" applyNumberFormat="1" applyFont="1" applyFill="1" applyBorder="1" applyAlignment="1">
      <x:alignment horizontal="left" vertical="center" wrapText="1"/>
    </x:xf>
    <x:xf numFmtId="0" fontId="13" fillId="24" borderId="2" xfId="0" applyNumberFormat="1" applyFont="1" applyFill="1" applyBorder="1" applyAlignment="1">
      <x:alignment horizontal="left" vertical="center" wrapText="1"/>
    </x:xf>
    <x:xf numFmtId="0" fontId="13" fillId="24" borderId="0" xfId="0" applyNumberFormat="1" applyFont="1" applyFill="1" applyBorder="1" applyAlignment="1">
      <x:alignment horizontal="left" vertical="center"/>
    </x:xf>
    <x:xf numFmtId="0" fontId="13" fillId="23" borderId="2" xfId="0" applyNumberFormat="1" applyFont="1" applyFill="1" applyBorder="1" applyAlignment="1">
      <x:alignment horizontal="left" vertical="center"/>
    </x:xf>
    <x:xf numFmtId="0" fontId="13" fillId="23" borderId="0" xfId="0" applyNumberFormat="1" applyFont="1" applyFill="1" applyBorder="1" applyAlignment="1">
      <x:alignment horizontal="left" vertical="center" wrapText="1"/>
    </x:xf>
    <x:xf numFmtId="165" fontId="13" fillId="23" borderId="0" xfId="0" applyNumberFormat="1" applyFont="1" applyFill="1" applyBorder="1" applyAlignment="1">
      <x:alignment horizontal="left" vertical="center" wrapText="1"/>
    </x:xf>
    <x:xf numFmtId="165" fontId="13" fillId="23" borderId="1" xfId="0" applyNumberFormat="1" applyFont="1" applyFill="1" applyBorder="1" applyAlignment="1">
      <x:alignment horizontal="left" vertical="center" wrapText="1"/>
    </x:xf>
    <x:xf numFmtId="0" fontId="13" fillId="23" borderId="2" xfId="0" applyNumberFormat="1" applyFont="1" applyFill="1" applyBorder="1" applyAlignment="1">
      <x:alignment horizontal="left" vertical="center" wrapText="1"/>
    </x:xf>
    <x:xf numFmtId="165" fontId="13" fillId="23" borderId="2" xfId="0" applyNumberFormat="1" applyFont="1" applyFill="1" applyBorder="1" applyAlignment="1">
      <x:alignment horizontal="left" vertical="center" wrapText="1"/>
    </x:xf>
    <x:xf numFmtId="0" fontId="13" fillId="23" borderId="0" xfId="0" applyNumberFormat="1" applyFont="1" applyFill="1" applyBorder="1" applyAlignment="1">
      <x:alignment horizontal="left" vertical="center"/>
    </x:xf>
    <x:xf numFmtId="165" fontId="13" fillId="24" borderId="1" xfId="0" applyNumberFormat="1" applyFont="1" applyFill="1" applyBorder="1" applyAlignment="1">
      <x:alignment horizontal="left" vertical="center" wrapText="1"/>
    </x:xf>
    <x:xf numFmtId="165" fontId="13" fillId="24" borderId="2" xfId="0" applyNumberFormat="1" applyFont="1" applyFill="1" applyBorder="1" applyAlignment="1">
      <x:alignment horizontal="left" vertical="center" wrapText="1"/>
    </x:xf>
    <x:xf numFmtId="165" fontId="13" fillId="24" borderId="0" xfId="0" applyNumberFormat="1" applyFont="1" applyFill="1" applyBorder="1" applyAlignment="1">
      <x:alignment horizontal="left" vertical="center" wrapText="1"/>
    </x:xf>
    <x:xf numFmtId="0" fontId="13" fillId="8" borderId="3" xfId="0" applyNumberFormat="1" applyFont="1" applyFill="1" applyBorder="1" applyAlignment="1">
      <x:alignment horizontal="left" vertical="center"/>
    </x:xf>
    <x:xf numFmtId="165" fontId="13" fillId="8" borderId="1" xfId="0" applyNumberFormat="1" applyFont="1" applyFill="1" applyBorder="1" applyAlignment="1">
      <x:alignment horizontal="left" vertical="center" wrapText="1"/>
    </x:xf>
    <x:xf numFmtId="165" fontId="13" fillId="8" borderId="3" xfId="0" applyNumberFormat="1" applyFont="1" applyFill="1" applyBorder="1" applyAlignment="1">
      <x:alignment horizontal="left" vertical="center" wrapText="1"/>
    </x:xf>
    <x:xf numFmtId="165" fontId="13" fillId="8" borderId="0" xfId="0" applyNumberFormat="1" applyFont="1" applyFill="1" applyBorder="1" applyAlignment="1">
      <x:alignment horizontal="left" vertical="center" wrapText="1"/>
    </x:xf>
    <x:xf numFmtId="0" fontId="13" fillId="12" borderId="0" xfId="0" applyNumberFormat="1" applyFont="1" applyFill="1" applyBorder="1" applyAlignment="1">
      <x:alignment horizontal="left" vertical="center"/>
    </x:xf>
    <x:xf numFmtId="0" fontId="6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2" fillId="0" borderId="14" xfId="0" applyNumberFormat="1" applyFont="1" applyFill="1" applyBorder="1"/>
    <x:xf numFmtId="4" fontId="0" fillId="0" borderId="15" xfId="0" applyNumberFormat="1" applyFont="1" applyFill="1" applyBorder="1"/>
    <x:xf numFmtId="10" fontId="0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6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horizontal="left" vertical="center"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7" fillId="10" borderId="21" xfId="0" applyNumberFormat="1" applyFont="1" applyFill="1" applyBorder="1" applyAlignment="1">
      <x:alignment horizontal="center" vertical="center" wrapText="1"/>
    </x:xf>
    <x:xf numFmtId="0" fontId="7" fillId="10" xfId="0" applyNumberFormat="1" applyFont="1" applyFill="1" applyBorder="0" applyAlignment="1">
      <x:alignment horizontal="center" vertical="center" wrapText="1"/>
    </x:xf>
    <x:xf numFmtId="0" fontId="7" fillId="10" xfId="0" applyNumberFormat="1" applyFont="1" applyFill="1" applyBorder="0" applyAlignment="1">
      <x:alignment horizontal="center" vertical="center"/>
    </x:xf>
    <x:xf numFmtId="0" fontId="7" fillId="10" borderId="15" xfId="0" applyNumberFormat="1" applyFont="1" applyFill="1" applyBorder="1" applyAlignment="1">
      <x:alignment horizontal="center" vertical="center"/>
    </x:xf>
    <x:xf numFmtId="0" fontId="13" fillId="31" borderId="21" xfId="0" applyNumberFormat="1" applyFont="1" applyFill="1" applyBorder="1" applyAlignment="1">
      <x:alignment horizontal="left" vertical="center" wrapText="1"/>
    </x:xf>
    <x:xf numFmtId="0" fontId="13" fillId="31" xfId="0" applyNumberFormat="1" applyFont="1" applyFill="1" applyBorder="0" applyAlignment="1">
      <x:alignment horizontal="left" vertical="center"/>
    </x:xf>
    <x:xf numFmtId="0" fontId="13" fillId="31" borderId="15" xfId="0" applyNumberFormat="1" applyFont="1" applyFill="1" applyBorder="1" applyAlignment="1">
      <x:alignment horizontal="left" vertical="center"/>
    </x:xf>
    <x:xf numFmtId="0" fontId="11" fillId="30" borderId="21" xfId="0" applyNumberFormat="1" applyFont="1" applyFill="1" applyBorder="1" applyAlignment="1">
      <x:alignment horizontal="left" vertical="top" wrapText="1"/>
    </x:xf>
    <x:xf numFmtId="0" fontId="0" fillId="24" xfId="0" applyNumberFormat="1" applyFont="1" applyFill="1" applyBorder="0" applyAlignment="1">
      <x:alignment horizontal="center" vertical="center" wrapText="1"/>
    </x:xf>
    <x:xf numFmtId="0" fontId="0" fillId="23" xfId="0" applyNumberFormat="1" applyFont="1" applyFill="1" applyBorder="0" applyAlignment="1">
      <x:alignment horizontal="center" vertical="center" wrapText="1"/>
    </x:xf>
    <x:xf numFmtId="165" fontId="0" fillId="23" xfId="0" applyNumberFormat="1" applyFont="1" applyFill="1" applyBorder="0" applyAlignment="1">
      <x:alignment horizontal="center" vertical="center" wrapText="1"/>
    </x:xf>
    <x:xf numFmtId="0" fontId="0" fillId="12" xfId="0" applyNumberFormat="1" applyFont="1" applyFill="1" applyBorder="0"/>
    <x:xf numFmtId="0" fontId="0" fillId="12" borderId="15" xfId="0" applyNumberFormat="1" applyFont="1" applyFill="1" applyBorder="1"/>
    <x:xf numFmtId="0" fontId="12" fillId="30" xfId="0" applyNumberFormat="1" applyFont="1" applyFill="1" applyBorder="0" applyAlignment="1">
      <x:alignment horizontal="left" vertical="top" wrapText="1"/>
    </x:xf>
    <x:xf numFmtId="0" fontId="13" fillId="31" xfId="0" applyNumberFormat="1" applyFont="1" applyFill="1" applyBorder="0" applyAlignment="1">
      <x:alignment horizontal="left" vertical="center" wrapText="1"/>
    </x:xf>
    <x:xf numFmtId="165" fontId="13" fillId="31" xfId="0" applyNumberFormat="1" applyFont="1" applyFill="1" applyBorder="0" applyAlignment="1">
      <x:alignment horizontal="left" vertical="center" wrapText="1"/>
    </x:xf>
    <x:xf numFmtId="0" fontId="8" fillId="24" xfId="0" applyNumberFormat="1" applyFont="1" applyFill="1" applyBorder="0" applyAlignment="1">
      <x:alignment horizontal="center" vertical="center" wrapText="1"/>
    </x:xf>
    <x:xf numFmtId="0" fontId="8" fillId="23" xfId="0" applyNumberFormat="1" applyFont="1" applyFill="1" applyBorder="0" applyAlignment="1">
      <x:alignment horizontal="center" vertical="center" wrapText="1"/>
    </x:xf>
    <x:xf numFmtId="165" fontId="8" fillId="23" xfId="0" applyNumberFormat="1" applyFont="1" applyFill="1" applyBorder="0" applyAlignment="1">
      <x:alignment horizontal="center" vertical="center" wrapText="1"/>
    </x:xf>
    <x:xf numFmtId="0" fontId="11" fillId="30" borderId="14" xfId="0" applyNumberFormat="1" applyFont="1" applyFill="1" applyBorder="1" applyAlignment="1">
      <x:alignment horizontal="left" vertical="top" wrapText="1"/>
    </x:xf>
    <x:xf numFmtId="0" fontId="11" fillId="30" xfId="0" applyNumberFormat="1" applyFont="1" applyFill="1" applyBorder="0" applyAlignment="1">
      <x:alignment horizontal="left" vertical="top" wrapText="1"/>
    </x:xf>
    <x:xf numFmtId="0" fontId="0" fillId="8" xfId="0" applyNumberFormat="1" applyFont="1" applyFill="1" applyBorder="0" applyAlignment="1">
      <x:alignment wrapText="1"/>
    </x:xf>
    <x:xf numFmtId="0" fontId="0" fillId="24" xfId="0" applyNumberFormat="1" applyFont="1" applyFill="1" applyBorder="0" applyAlignment="1">
      <x:alignment wrapText="1"/>
    </x:xf>
    <x:xf numFmtId="0" fontId="0" fillId="23" xfId="0" applyNumberFormat="1" applyFont="1" applyFill="1" applyBorder="0" applyAlignment="1">
      <x:alignment wrapText="1"/>
    </x:xf>
    <x:xf numFmtId="165" fontId="0" fillId="23" xfId="0" applyNumberFormat="1" applyFont="1" applyFill="1" applyBorder="0" applyAlignment="1">
      <x:alignment wrapText="1"/>
    </x:xf>
    <x:xf numFmtId="165" fontId="0" fillId="24" xfId="0" applyNumberFormat="1" applyFont="1" applyFill="1" applyBorder="0" applyAlignment="1">
      <x:alignment wrapText="1"/>
    </x:xf>
    <x:xf numFmtId="165" fontId="0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wrapText="1"/>
    </x:xf>
    <x:xf numFmtId="0" fontId="8" fillId="24" xfId="0" applyNumberFormat="1" applyFont="1" applyFill="1" applyBorder="0" applyAlignment="1">
      <x:alignment wrapText="1"/>
    </x:xf>
    <x:xf numFmtId="0" fontId="8" fillId="23" xfId="0" applyNumberFormat="1" applyFont="1" applyFill="1" applyBorder="0" applyAlignment="1">
      <x:alignment wrapText="1"/>
    </x:xf>
    <x:xf numFmtId="165" fontId="8" fillId="23" xfId="0" applyNumberFormat="1" applyFont="1" applyFill="1" applyBorder="0" applyAlignment="1">
      <x:alignment wrapText="1"/>
    </x:xf>
    <x:xf numFmtId="165" fontId="8" fillId="24" xfId="0" applyNumberFormat="1" applyFont="1" applyFill="1" applyBorder="0" applyAlignment="1">
      <x:alignment wrapText="1"/>
    </x:xf>
    <x:xf numFmtId="165" fontId="8" fillId="8" xfId="0" applyNumberFormat="1" applyFont="1" applyFill="1" applyBorder="0" applyAlignment="1">
      <x:alignment wrapText="1"/>
    </x:xf>
    <x:xf numFmtId="0" fontId="13" fillId="31" borderId="14" xfId="0" applyNumberFormat="1" applyFont="1" applyFill="1" applyBorder="1" applyAlignment="1">
      <x:alignment horizontal="left" vertical="center" wrapText="1"/>
    </x:xf>
    <x:xf numFmtId="0" fontId="13" fillId="31" borderId="14" xfId="0" applyNumberFormat="1" applyFont="1" applyFill="1" applyBorder="1" applyAlignment="1">
      <x:alignment horizontal="left" vertical="center"/>
    </x:xf>
    <x:xf numFmtId="0" fontId="11" fillId="30" borderId="14" xfId="0" applyNumberFormat="1" applyFont="1" applyFill="1" applyBorder="1" applyAlignment="1">
      <x:alignment horizontal="left" vertical="top"/>
    </x:xf>
    <x:xf numFmtId="0" fontId="11" fillId="30" xfId="0" applyNumberFormat="1" applyFont="1" applyFill="1" applyBorder="0" applyAlignment="1">
      <x:alignment horizontal="left" vertical="top"/>
    </x:xf>
    <x:xf numFmtId="0" fontId="0" fillId="8" xfId="0" applyNumberFormat="1" applyFont="1" applyFill="1" applyBorder="0"/>
    <x:xf numFmtId="0" fontId="0" fillId="24" xfId="0" applyNumberFormat="1" applyFont="1" applyFill="1" applyBorder="0"/>
    <x:xf numFmtId="0" fontId="0" fillId="23" xfId="0" applyNumberFormat="1" applyFont="1" applyFill="1" applyBorder="0"/>
    <x:xf numFmtId="0" fontId="13" fillId="31" borderId="16" xfId="0" applyNumberFormat="1" applyFont="1" applyFill="1" applyBorder="1" applyAlignment="1">
      <x:alignment horizontal="left" vertical="center"/>
    </x:xf>
    <x:xf numFmtId="0" fontId="13" fillId="31" borderId="22" xfId="0" applyNumberFormat="1" applyFont="1" applyFill="1" applyBorder="1" applyAlignment="1">
      <x:alignment horizontal="left" vertical="center"/>
    </x:xf>
    <x:xf numFmtId="0" fontId="13" fillId="31" borderId="17" xfId="0" applyNumberFormat="1" applyFont="1" applyFill="1" applyBorder="1" applyAlignment="1">
      <x:alignment horizontal="left" vertical="center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7" fillId="10" borderId="24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/>
    </x:xf>
    <x:xf numFmtId="0" fontId="7" fillId="10" borderId="19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17" xfId="0" applyNumberFormat="1" applyFont="1" applyFill="1" applyBorder="1"/>
    <x:xf numFmtId="0" fontId="2" fillId="0" borderId="18" xfId="0" applyNumberFormat="1" applyFont="1" applyFill="1" applyBorder="1" applyAlignment="1">
      <x:alignment vertical="top" wrapText="1"/>
    </x:xf>
    <x:xf numFmtId="0" fontId="2" fillId="0" borderId="25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/>
    <x:xf numFmtId="0" fontId="0" fillId="0" borderId="20" xfId="0" applyNumberFormat="1" applyFont="1" applyFill="1" applyBorder="1"/>
    <x:xf numFmtId="0" fontId="2" fillId="0" xfId="0" applyNumberFormat="1" applyFont="1" applyFill="1" applyBorder="0"/>
    <x:xf numFmtId="0" fontId="2" fillId="0" borderId="15" xfId="0" applyNumberFormat="1" applyFont="1" applyFill="1" applyBorder="1"/>
    <x:xf numFmtId="4" fontId="0" fillId="0" borderId="17" xfId="0" applyNumberFormat="1" applyFont="1" applyFill="1" applyBorder="1"/>
    <x:xf numFmtId="0" fontId="1" fillId="0" borderId="18" xfId="0" applyNumberFormat="1" applyFont="1" applyFill="1" applyBorder="1"/>
    <x:xf numFmtId="0" fontId="0" fillId="0" borderId="25" xfId="0" applyNumberFormat="1" applyFont="1" applyFill="1" applyBorder="1"/>
    <x:xf numFmtId="0" fontId="0" fillId="0" borderId="14" xfId="0" applyNumberFormat="1" applyFont="1" applyFill="1" applyBorder="1" applyAlignment="1">
      <x:alignment vertical="top" wrapText="1"/>
    </x:xf>
    <x:xf numFmtId="10" fontId="0" fillId="0" xfId="0" applyNumberFormat="1" applyFont="1" applyFill="1" applyBorder="0"/>
    <x:xf numFmtId="0" fontId="0" fillId="0" borderId="16" xfId="0" applyNumberFormat="1" applyFont="1" applyFill="1" applyBorder="1" applyAlignment="1">
      <x:alignment vertical="top" wrapText="1"/>
    </x:xf>
    <x:xf numFmtId="0" fontId="7" fillId="10" borderId="12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13" xfId="0" applyNumberFormat="1" applyFont="1" applyFill="1" applyBorder="1" applyAlignment="1">
      <x:alignment vertical="top" wrapText="1"/>
    </x:xf>
    <x:xf numFmtId="164" fontId="0" fillId="0" xfId="0" applyNumberFormat="1" applyFont="1" applyFill="1" applyBorder="0"/>
    <x:xf numFmtId="0" fontId="7" fillId="10" borderId="18" xfId="0" applyNumberFormat="1" applyFont="1" applyFill="1" applyBorder="1" applyAlignment="1">
      <x:alignment vertical="top" wrapText="1"/>
    </x:xf>
    <x:xf numFmtId="0" fontId="7" fillId="10" borderId="25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2" fillId="0" borderId="26" xfId="0" applyNumberFormat="1" applyFont="1" applyFill="1" applyBorder="1" applyAlignment="1">
      <x:alignment vertical="top" wrapText="1"/>
    </x:xf>
    <x:xf numFmtId="0" fontId="2" fillId="0" borderId="27" xfId="0" applyNumberFormat="1" applyFont="1" applyFill="1" applyBorder="1" applyAlignment="1">
      <x:alignment vertical="top" wrapText="1"/>
    </x:xf>
    <x:xf numFmtId="0" fontId="2" fillId="0" borderId="2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1" fillId="0" borderId="20" xfId="0" applyNumberFormat="1" applyFont="1" applyFill="1" applyBorder="1"/>
    <x:xf numFmtId="0" fontId="2" fillId="2" borderId="29" xfId="0" applyNumberFormat="1" applyFont="1" applyFill="1" applyBorder="1" applyAlignment="1">
      <x:alignment horizontal="center" vertical="center" wrapText="1"/>
    </x:xf>
    <x:xf numFmtId="4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4" fontId="0" fillId="0" borderId="31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1" fillId="0" borderId="25" xfId="0" applyNumberFormat="1" applyFont="1" applyFill="1" applyBorder="1"/>
    <x:xf numFmtId="4" fontId="0" fillId="0" borderId="29" xfId="0" applyNumberFormat="1" applyFont="1" applyFill="1" applyBorder="1"/>
    <x:xf numFmtId="4" fontId="0" fillId="4" borderId="29" xfId="0" applyNumberFormat="1" applyFont="1" applyFill="1" applyBorder="1"/>
    <x:xf numFmtId="0" fontId="2" fillId="0" borderId="30" xfId="0" applyNumberFormat="1" applyFont="1" applyFill="1" applyBorder="1"/>
    <x:xf numFmtId="10" fontId="0" fillId="0" borderId="31" xfId="0" applyNumberFormat="1" applyFont="1" applyFill="1" applyBorder="1"/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9" fillId="10" borderId="32" xfId="0" applyNumberFormat="1" applyFont="1" applyFill="1" applyBorder="1" applyAlignment="1">
      <x:alignment horizontal="center" vertical="center" wrapText="1"/>
    </x:xf>
    <x:xf numFmtId="0" fontId="9" fillId="10" borderId="33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0" fillId="8" borderId="35" xfId="0" applyNumberFormat="1" applyFont="1" applyFill="1" applyBorder="1" applyAlignment="1">
      <x:alignment vertical="top" wrapText="1"/>
    </x:xf>
    <x:xf numFmtId="0" fontId="0" fillId="23" borderId="36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/>
    <x:xf numFmtId="0" fontId="0" fillId="23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22" xfId="0" applyNumberFormat="1" applyFont="1" applyFill="1" applyBorder="1"/>
    <x:xf numFmtId="0" fontId="0" fillId="24" borderId="22" xfId="0" applyNumberFormat="1" applyFont="1" applyFill="1" applyBorder="1"/>
    <x:xf numFmtId="0" fontId="0" fillId="23" borderId="22" xfId="0" applyNumberFormat="1" applyFont="1" applyFill="1" applyBorder="1"/>
    <x:xf numFmtId="0" fontId="0" fillId="23" borderId="17" xfId="0" applyNumberFormat="1" applyFont="1" applyFill="1" applyBorder="1"/>
    <x:xf numFmtId="0" fontId="9" fillId="10" borderId="18" xfId="0" applyNumberFormat="1" applyFont="1" applyFill="1" applyBorder="1" applyAlignment="1">
      <x:alignment horizontal="center" vertical="center" wrapText="1"/>
    </x:xf>
    <x:xf numFmtId="0" fontId="9" fillId="10" borderId="25" xfId="0" applyNumberFormat="1" applyFont="1" applyFill="1" applyBorder="1" applyAlignment="1">
      <x:alignment horizontal="center" vertical="center" wrapText="1"/>
    </x:xf>
    <x:xf numFmtId="0" fontId="9" fillId="10" borderId="19" xfId="0" applyNumberFormat="1" applyFont="1" applyFill="1" applyBorder="1" applyAlignment="1">
      <x:alignment horizontal="center" vertical="center" wrapText="1"/>
    </x:xf>
    <x:xf numFmtId="0" fontId="9" fillId="10" borderId="12" xfId="0" applyNumberFormat="1" applyFont="1" applyFill="1" applyBorder="1" applyAlignment="1">
      <x:alignment horizontal="center" wrapText="1"/>
    </x:xf>
    <x:xf numFmtId="0" fontId="9" fillId="10" borderId="20" xfId="0" applyNumberFormat="1" applyFont="1" applyFill="1" applyBorder="1" applyAlignment="1">
      <x:alignment horizontal="center" wrapText="1"/>
    </x:xf>
    <x:xf numFmtId="0" fontId="9" fillId="10" borderId="13" xfId="0" applyNumberFormat="1" applyFont="1" applyFill="1" applyBorder="1" applyAlignment="1">
      <x:alignment horizontal="center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/>
    <x:xf numFmtId="0" fontId="7" fillId="10" xfId="0" applyNumberFormat="1" applyFont="1" applyFill="1" applyBorder="0"/>
    <x:xf numFmtId="0" fontId="7" fillId="10" borderId="15" xfId="0" applyNumberFormat="1" applyFont="1" applyFill="1" applyBorder="1"/>
    <x:xf numFmtId="0" fontId="9" fillId="10" borderId="18" xfId="0" applyNumberFormat="1" applyFont="1" applyFill="1" applyBorder="1" applyAlignment="1">
      <x:alignment horizontal="center" wrapText="1"/>
    </x:xf>
    <x:xf numFmtId="0" fontId="9" fillId="10" borderId="25" xfId="0" applyNumberFormat="1" applyFont="1" applyFill="1" applyBorder="1" applyAlignment="1">
      <x:alignment horizontal="center" wrapText="1"/>
    </x:xf>
    <x:xf numFmtId="0" fontId="9" fillId="10" borderId="19" xfId="0" applyNumberFormat="1" applyFont="1" applyFill="1" applyBorder="1" applyAlignment="1">
      <x:alignment horizontal="center" wrapText="1"/>
    </x:xf>
    <x:xf numFmtId="0" fontId="7" fillId="10" borderId="12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0" fillId="23" borderId="14" xfId="0" applyNumberFormat="1" applyFont="1" applyFill="1" applyBorder="1"/>
    <x:xf numFmtId="0" fontId="0" fillId="23" borderId="16" xfId="0" applyNumberFormat="1" applyFont="1" applyFill="1" applyBorder="1"/>
    <x:xf numFmtId="0" fontId="7" fillId="10" borderId="18" xfId="0" applyNumberFormat="1" applyFont="1" applyFill="1" applyBorder="1" applyAlignment="1">
      <x:alignment wrapText="1"/>
    </x:xf>
    <x:xf numFmtId="0" fontId="7" fillId="10" borderId="25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200" fontId="0" fillId="0" xfId="0" applyNumberFormat="1" applyFont="1" applyFill="1" applyBorder="0"/>
    <x:xf numFmtId="200" fontId="0" fillId="0" borderId="15" xfId="0" applyNumberFormat="1" applyFont="1" applyFill="1" applyBorder="1"/>
    <x:xf numFmtId="0" fontId="8" fillId="11" borderId="14" xfId="0" applyNumberFormat="1" applyFont="1" applyFill="1" applyBorder="1"/>
    <x:xf numFmtId="200" fontId="8" fillId="11" xfId="0" applyNumberFormat="1" applyFont="1" applyFill="1" applyBorder="0"/>
    <x:xf numFmtId="200" fontId="8" fillId="11" borderId="15" xfId="0" applyNumberFormat="1" applyFont="1" applyFill="1" applyBorder="1"/>
    <x:xf numFmtId="0" fontId="0" fillId="27" borderId="14" xfId="0" applyNumberFormat="1" applyFont="1" applyFill="1" applyBorder="1"/>
    <x:xf numFmtId="0" fontId="0" fillId="27" borderId="15" xfId="0" applyNumberFormat="1" applyFont="1" applyFill="1" applyBorder="1"/>
    <x:xf numFmtId="0" fontId="0" fillId="27" borderId="16" xfId="0" applyNumberFormat="1" applyFont="1" applyFill="1" applyBorder="1"/>
    <x:xf numFmtId="0" fontId="0" fillId="27" borderId="17" xfId="0" applyNumberFormat="1" applyFont="1" applyFill="1" applyBorder="1"/>
    <x:xf numFmtId="0" fontId="0" fillId="27" xfId="0" applyNumberFormat="1" applyFont="1" applyFill="1" applyBorder="0"/>
    <x:xf numFmtId="0" fontId="0" fillId="27" borderId="22" xfId="0" applyNumberFormat="1" applyFont="1" applyFill="1" applyBorder="1"/>
    <x:xf numFmtId="0" fontId="7" fillId="10" borderId="37" xfId="0" applyNumberFormat="1" applyFont="1" applyFill="1" applyBorder="1" applyAlignment="1">
      <x:alignment wrapText="1"/>
    </x:xf>
    <x:xf numFmtId="0" fontId="0" fillId="27" borderId="38" xfId="0" applyNumberFormat="1" applyFont="1" applyFill="1" applyBorder="1"/>
    <x:xf numFmtId="0" fontId="0" fillId="27" borderId="39" xfId="0" applyNumberFormat="1" applyFont="1" applyFill="1" applyBorder="1"/>
    <x:xf numFmtId="0" fontId="7" fillId="10" borderId="40" xfId="0" applyNumberFormat="1" applyFont="1" applyFill="1" applyBorder="1" applyAlignment="1">
      <x:alignment wrapText="1"/>
    </x:xf>
    <x:xf numFmtId="0" fontId="7" fillId="10" borderId="14" xfId="0" applyNumberFormat="1" applyFont="1" applyFill="1" applyBorder="1" applyAlignment="1">
      <x:alignment horizontal="center"/>
    </x:xf>
    <x:xf numFmtId="0" fontId="7" fillId="10" xfId="0" applyNumberFormat="1" applyFont="1" applyFill="1" applyBorder="0" applyAlignment="1">
      <x:alignment horizontal="center"/>
    </x:xf>
    <x:xf numFmtId="0" fontId="7" fillId="10" borderId="15" xfId="0" applyNumberFormat="1" applyFont="1" applyFill="1" applyBorder="1" applyAlignment="1">
      <x:alignment horizontal="center"/>
    </x:xf>
    <x:xf numFmtId="0" fontId="7" fillId="10" borderId="12" xfId="0" applyNumberFormat="1" applyFont="1" applyFill="1" applyBorder="1" applyAlignment="1">
      <x:alignment horizontal="center" vertic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7" fillId="10" borderId="13" xfId="0" applyNumberFormat="1" applyFont="1" applyFill="1" applyBorder="1" applyAlignment="1">
      <x:alignment horizontal="center" vertical="center" wrapText="1"/>
    </x:xf>
    <x:xf numFmtId="0" fontId="7" fillId="10" borderId="18" xfId="0" applyNumberFormat="1" applyFont="1" applyFill="1" applyBorder="1" applyAlignment="1">
      <x:alignment horizontal="center" vertical="center" wrapText="1"/>
    </x:xf>
    <x:xf numFmtId="0" fontId="7" fillId="10" borderId="19" xfId="0" applyNumberFormat="1" applyFont="1" applyFill="1" applyBorder="1" applyAlignment="1">
      <x:alignment horizontal="center" vertical="center" wrapText="1"/>
    </x:xf>
    <x:xf numFmtId="0" fontId="7" fillId="10" borderId="41" xfId="0" applyNumberFormat="1" applyFont="1" applyFill="1" applyBorder="1" applyAlignment="1">
      <x:alignment horizontal="center" vertical="center" wrapText="1"/>
    </x:xf>
    <x:xf numFmtId="0" fontId="7" fillId="10" borderId="42" xfId="0" applyNumberFormat="1" applyFont="1" applyFill="1" applyBorder="1" applyAlignment="1">
      <x:alignment horizontal="center" vertical="center" wrapText="1"/>
    </x:xf>
    <x:xf numFmtId="0" fontId="7" fillId="10" borderId="43" xfId="0" applyNumberFormat="1" applyFont="1" applyFill="1" applyBorder="1" applyAlignment="1">
      <x:alignment horizontal="center" vertical="center" wrapText="1"/>
    </x:xf>
    <x:xf numFmtId="0" fontId="7" fillId="10" borderId="43" xfId="0" applyNumberFormat="1" applyFont="1" applyFill="1" applyBorder="1" applyAlignment="1">
      <x:alignment horizontal="center" vertical="center"/>
    </x:xf>
    <x:xf numFmtId="0" fontId="7" fillId="10" borderId="44" xfId="0" applyNumberFormat="1" applyFont="1" applyFill="1" applyBorder="1" applyAlignment="1">
      <x:alignment horizontal="center" vertical="center"/>
    </x:xf>
    <x:xf numFmtId="0" fontId="9" fillId="10" borderId="45" xfId="0" applyNumberFormat="1" applyFont="1" applyFill="1" applyBorder="1" applyAlignment="1">
      <x:alignment horizontal="center" vertical="center" wrapText="1"/>
    </x:xf>
    <x:xf numFmtId="0" fontId="9" fillId="10" borderId="43" xfId="0" applyNumberFormat="1" applyFont="1" applyFill="1" applyBorder="1" applyAlignment="1">
      <x:alignment horizontal="center" vertical="center" wrapText="1"/>
    </x:xf>
    <x:xf numFmtId="0" fontId="9" fillId="10" borderId="44" xfId="0" applyNumberFormat="1" applyFont="1" applyFill="1" applyBorder="1" applyAlignment="1">
      <x:alignment horizontal="center" vertical="center" wrapText="1"/>
    </x:xf>
    <x:xf numFmtId="0" fontId="7" fillId="10" borderId="45" xfId="0" applyNumberFormat="1" applyFont="1" applyFill="1" applyBorder="1" applyAlignment="1">
      <x:alignment wrapText="1"/>
    </x:xf>
    <x:xf numFmtId="0" fontId="7" fillId="10" borderId="43" xfId="0" applyNumberFormat="1" applyFont="1" applyFill="1" applyBorder="1" applyAlignment="1">
      <x:alignment wrapText="1"/>
    </x:xf>
    <x:xf numFmtId="0" fontId="7" fillId="10" borderId="44" xfId="0" applyNumberFormat="1" applyFont="1" applyFill="1" applyBorder="1" applyAlignment="1">
      <x:alignment wrapText="1"/>
    </x:xf>
    <x:xf numFmtId="0" fontId="7" fillId="10" borderId="45" xfId="0" applyNumberFormat="1" applyFont="1" applyFill="1" applyBorder="1" applyAlignment="1">
      <x:alignment horizontal="center" vertical="center" wrapText="1"/>
    </x:xf>
    <x:xf numFmtId="0" fontId="7" fillId="10" borderId="44" xfId="0" applyNumberFormat="1" applyFont="1" applyFill="1" applyBorder="1" applyAlignment="1">
      <x:alignment horizontal="center" vertical="center" wrapText="1"/>
    </x:xf>
    <x:xf numFmtId="0" fontId="9" fillId="10" borderId="45" xfId="0" applyNumberFormat="1" applyFont="1" applyFill="1" applyBorder="1" applyAlignment="1">
      <x:alignment horizontal="center" wrapText="1"/>
    </x:xf>
    <x:xf numFmtId="0" fontId="9" fillId="10" borderId="43" xfId="0" applyNumberFormat="1" applyFont="1" applyFill="1" applyBorder="1" applyAlignment="1">
      <x:alignment horizontal="center" wrapText="1"/>
    </x:xf>
    <x:xf numFmtId="0" fontId="9" fillId="10" borderId="44" xfId="0" applyNumberFormat="1" applyFont="1" applyFill="1" applyBorder="1" applyAlignment="1">
      <x:alignment horizontal="center" wrapText="1"/>
    </x:xf>
    <x:xf numFmtId="0" fontId="0" fillId="43" borderId="14" xfId="0" applyNumberFormat="1" applyFont="1" applyFill="1" applyBorder="1"/>
    <x:xf numFmtId="0" fontId="0" fillId="43" xfId="0" applyNumberFormat="1" applyFont="1" applyFill="1" applyBorder="0"/>
    <x:xf numFmtId="0" fontId="0" fillId="43" borderId="15" xfId="0" applyNumberFormat="1" applyFont="1" applyFill="1" applyBorder="1"/>
    <x:xf numFmtId="0" fontId="7" fillId="43" borderId="14" xfId="0" applyNumberFormat="1" applyFont="1" applyFill="1" applyBorder="1"/>
    <x:xf numFmtId="0" fontId="7" fillId="43" xfId="0" applyNumberFormat="1" applyFont="1" applyFill="1" applyBorder="0"/>
    <x:xf numFmtId="0" fontId="7" fillId="43" borderId="15" xfId="0" applyNumberFormat="1" applyFont="1" applyFill="1" applyBorder="1"/>
    <x:xf numFmtId="0" fontId="7" fillId="43" borderId="14" xfId="0" applyNumberFormat="1" applyFont="1" applyFill="1" applyBorder="1" applyAlignment="1">
      <x:alignment horizontal="center"/>
    </x:xf>
    <x:xf numFmtId="0" fontId="7" fillId="43" xfId="0" applyNumberFormat="1" applyFont="1" applyFill="1" applyBorder="0" applyAlignment="1">
      <x:alignment horizontal="center"/>
    </x:xf>
    <x:xf numFmtId="0" fontId="7" fillId="43" borderId="15" xfId="0" applyNumberFormat="1" applyFont="1" applyFill="1" applyBorder="1" applyAlignment="1">
      <x:alignment horizontal="center"/>
    </x:xf>
    <x:xf numFmtId="0" fontId="7" fillId="43" borderId="12" xfId="0" applyNumberFormat="1" applyFont="1" applyFill="1" applyBorder="1" applyAlignment="1">
      <x:alignment horizontal="center"/>
    </x:xf>
    <x:xf numFmtId="0" fontId="7" fillId="43" borderId="20" xfId="0" applyNumberFormat="1" applyFont="1" applyFill="1" applyBorder="1" applyAlignment="1">
      <x:alignment horizontal="center"/>
    </x:xf>
    <x:xf numFmtId="0" fontId="7" fillId="43" borderId="13" xfId="0" applyNumberFormat="1" applyFont="1" applyFill="1" applyBorder="1" applyAlignment="1">
      <x:alignment horizontal="center"/>
    </x:xf>
    <x:xf numFmtId="0" fontId="7" fillId="43" borderId="12" xfId="0" applyNumberFormat="1" applyFont="1" applyFill="1" applyBorder="1"/>
    <x:xf numFmtId="0" fontId="7" fillId="43" borderId="20" xfId="0" applyNumberFormat="1" applyFont="1" applyFill="1" applyBorder="1"/>
    <x:xf numFmtId="0" fontId="7" fillId="43" borderId="13" xfId="0" applyNumberFormat="1" applyFont="1" applyFill="1" applyBorder="1"/>
    <x:xf numFmtId="0" fontId="0" fillId="10" borderId="14" xfId="0" applyNumberFormat="1" applyFont="1" applyFill="1" applyBorder="1"/>
    <x:xf numFmtId="0" fontId="0" fillId="10" xfId="0" applyNumberFormat="1" applyFont="1" applyFill="1" applyBorder="0"/>
    <x:xf numFmtId="0" fontId="0" fillId="10" borderId="15" xfId="0" applyNumberFormat="1" applyFont="1" applyFill="1" applyBorder="1"/>
    <x:xf numFmtId="0" fontId="7" fillId="10" borderId="12" xfId="0" applyNumberFormat="1" applyFont="1" applyFill="1" applyBorder="1" applyAlignment="1">
      <x:alignment horizontal="center"/>
    </x:xf>
    <x:xf numFmtId="0" fontId="7" fillId="10" borderId="20" xfId="0" applyNumberFormat="1" applyFont="1" applyFill="1" applyBorder="1" applyAlignment="1">
      <x:alignment horizontal="center"/>
    </x:xf>
    <x:xf numFmtId="0" fontId="7" fillId="10" borderId="13" xfId="0" applyNumberFormat="1" applyFont="1" applyFill="1" applyBorder="1" applyAlignment="1">
      <x:alignment horizontal="center"/>
    </x:xf>
    <x:xf numFmtId="0" fontId="7" fillId="10" borderId="12" xfId="0" applyNumberFormat="1" applyFont="1" applyFill="1" applyBorder="1"/>
    <x:xf numFmtId="0" fontId="7" fillId="10" borderId="20" xfId="0" applyNumberFormat="1" applyFont="1" applyFill="1" applyBorder="1"/>
    <x:xf numFmtId="0" fontId="7" fillId="10" borderId="13" xfId="0" applyNumberFormat="1" applyFont="1" applyFill="1" applyBorder="1"/>
    <x:xf numFmtId="0" fontId="6" fillId="0" borderId="46" xfId="0" applyNumberFormat="1" applyFont="1" applyFill="1" applyBorder="1"/>
    <x:xf numFmtId="0" fontId="0" fillId="0" borderId="46" xfId="0" applyNumberFormat="1" applyFont="1" applyFill="1" applyBorder="1"/>
    <x:xf numFmtId="0" fontId="2" fillId="0" borderId="46" xfId="0" applyNumberFormat="1" applyFont="1" applyFill="1" applyBorder="1"/>
    <x:xf numFmtId="4" fontId="0" fillId="0" borderId="46" xfId="0" applyNumberFormat="1" applyFont="1" applyFill="1" applyBorder="1"/>
    <x:xf numFmtId="10" fontId="0" fillId="0" borderId="46" xfId="0" applyNumberFormat="1" applyFont="1" applyFill="1" applyBorder="1"/>
    <x:xf numFmtId="0" fontId="6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2" fillId="0" borderId="49" xfId="0" applyNumberFormat="1" applyFont="1" applyFill="1" applyBorder="1"/>
    <x:xf numFmtId="4" fontId="0" fillId="0" borderId="50" xfId="0" applyNumberFormat="1" applyFont="1" applyFill="1" applyBorder="1"/>
    <x:xf numFmtId="10" fontId="0" fillId="0" borderId="50" xfId="0" applyNumberFormat="1" applyFont="1" applyFill="1" applyBorder="1"/>
    <x:xf numFmtId="0" fontId="2" fillId="0" borderId="51" xfId="0" applyNumberFormat="1" applyFont="1" applyFill="1" applyBorder="1"/>
    <x:xf numFmtId="0" fontId="2" fillId="0" borderId="52" xfId="0" applyNumberFormat="1" applyFont="1" applyFill="1" applyBorder="1"/>
    <x:xf numFmtId="0" fontId="0" fillId="0" borderId="46" xfId="0" applyNumberFormat="1" applyFont="1" applyFill="1" applyBorder="1" applyAlignment="1">
      <x:alignment wrapText="1"/>
    </x:xf>
    <x:xf numFmtId="0" fontId="1" fillId="0" borderId="46" xfId="0" applyNumberFormat="1" applyFont="1" applyFill="1" applyBorder="1" applyAlignment="1">
      <x:alignment horizontal="left" vertical="center" wrapText="1"/>
    </x:xf>
    <x:xf numFmtId="0" fontId="7" fillId="10" borderId="46" xfId="0" applyNumberFormat="1" applyFont="1" applyFill="1" applyBorder="1" applyAlignment="1">
      <x:alignment horizontal="center" vertical="center" wrapText="1"/>
    </x:xf>
    <x:xf numFmtId="0" fontId="7" fillId="10" borderId="46" xfId="0" applyNumberFormat="1" applyFont="1" applyFill="1" applyBorder="1" applyAlignment="1">
      <x:alignment horizontal="center" vertical="center"/>
    </x:xf>
    <x:xf numFmtId="0" fontId="13" fillId="31" borderId="46" xfId="0" applyNumberFormat="1" applyFont="1" applyFill="1" applyBorder="1" applyAlignment="1">
      <x:alignment horizontal="left" vertical="center" wrapText="1"/>
    </x:xf>
    <x:xf numFmtId="0" fontId="13" fillId="31" borderId="46" xfId="0" applyNumberFormat="1" applyFont="1" applyFill="1" applyBorder="1" applyAlignment="1">
      <x:alignment horizontal="left" vertical="center"/>
    </x:xf>
    <x:xf numFmtId="0" fontId="11" fillId="30" borderId="46" xfId="0" applyNumberFormat="1" applyFont="1" applyFill="1" applyBorder="1" applyAlignment="1">
      <x:alignment horizontal="left" vertical="top" wrapText="1"/>
    </x:xf>
    <x:xf numFmtId="0" fontId="0" fillId="8" borderId="46" xfId="0" applyNumberFormat="1" applyFont="1" applyFill="1" applyBorder="1" applyAlignment="1">
      <x:alignment horizontal="center" vertical="center" wrapText="1"/>
    </x:xf>
    <x:xf numFmtId="0" fontId="0" fillId="24" borderId="46" xfId="0" applyNumberFormat="1" applyFont="1" applyFill="1" applyBorder="1" applyAlignment="1">
      <x:alignment horizontal="center" vertical="center" wrapText="1"/>
    </x:xf>
    <x:xf numFmtId="0" fontId="0" fillId="23" borderId="46" xfId="0" applyNumberFormat="1" applyFont="1" applyFill="1" applyBorder="1" applyAlignment="1">
      <x:alignment horizontal="center" vertical="center" wrapText="1"/>
    </x:xf>
    <x:xf numFmtId="165" fontId="0" fillId="23" borderId="46" xfId="0" applyNumberFormat="1" applyFont="1" applyFill="1" applyBorder="1" applyAlignment="1">
      <x:alignment horizontal="center" vertical="center" wrapText="1"/>
    </x:xf>
    <x:xf numFmtId="165" fontId="0" fillId="23" borderId="46" xfId="0" applyNumberFormat="1" applyFont="1" applyFill="1" applyBorder="1" applyAlignment="1">
      <x:alignment vertical="top" wrapText="1"/>
    </x:xf>
    <x:xf numFmtId="165" fontId="0" fillId="24" borderId="46" xfId="0" applyNumberFormat="1" applyFont="1" applyFill="1" applyBorder="1" applyAlignment="1">
      <x:alignment vertical="top" wrapText="1"/>
    </x:xf>
    <x:xf numFmtId="165" fontId="0" fillId="8" borderId="46" xfId="0" applyNumberFormat="1" applyFont="1" applyFill="1" applyBorder="1" applyAlignment="1">
      <x:alignment vertical="top" wrapText="1"/>
    </x:xf>
    <x:xf numFmtId="0" fontId="0" fillId="12" borderId="46" xfId="0" applyNumberFormat="1" applyFont="1" applyFill="1" applyBorder="1"/>
    <x:xf numFmtId="0" fontId="12" fillId="30" borderId="46" xfId="0" applyNumberFormat="1" applyFont="1" applyFill="1" applyBorder="1" applyAlignment="1">
      <x:alignment horizontal="left" vertical="top" wrapText="1"/>
    </x:xf>
    <x:xf numFmtId="165" fontId="13" fillId="31" borderId="46" xfId="0" applyNumberFormat="1" applyFont="1" applyFill="1" applyBorder="1" applyAlignment="1">
      <x:alignment horizontal="left" vertical="center" wrapText="1"/>
    </x:xf>
    <x:xf numFmtId="0" fontId="11" fillId="30" borderId="46" xfId="0" applyNumberFormat="1" applyFont="1" applyFill="1" applyBorder="1" applyAlignment="1">
      <x:alignment horizontal="left" vertical="top"/>
    </x:xf>
    <x:xf numFmtId="0" fontId="0" fillId="8" borderId="46" xfId="0" applyNumberFormat="1" applyFont="1" applyFill="1" applyBorder="1"/>
    <x:xf numFmtId="0" fontId="0" fillId="24" borderId="46" xfId="0" applyNumberFormat="1" applyFont="1" applyFill="1" applyBorder="1"/>
    <x:xf numFmtId="0" fontId="0" fillId="23" borderId="46" xfId="0" applyNumberFormat="1" applyFont="1" applyFill="1" applyBorder="1"/>
    <x:xf numFmtId="0" fontId="8" fillId="8" borderId="46" xfId="0" applyNumberFormat="1" applyFont="1" applyFill="1" applyBorder="1" applyAlignment="1">
      <x:alignment horizontal="center" vertical="center" wrapText="1"/>
    </x:xf>
    <x:xf numFmtId="0" fontId="8" fillId="24" borderId="46" xfId="0" applyNumberFormat="1" applyFont="1" applyFill="1" applyBorder="1" applyAlignment="1">
      <x:alignment horizontal="center" vertical="center" wrapText="1"/>
    </x:xf>
    <x:xf numFmtId="0" fontId="8" fillId="23" borderId="46" xfId="0" applyNumberFormat="1" applyFont="1" applyFill="1" applyBorder="1" applyAlignment="1">
      <x:alignment horizontal="center" vertical="center" wrapText="1"/>
    </x:xf>
    <x:xf numFmtId="165" fontId="8" fillId="23" borderId="46" xfId="0" applyNumberFormat="1" applyFont="1" applyFill="1" applyBorder="1" applyAlignment="1">
      <x:alignment horizontal="center" vertical="center" wrapText="1"/>
    </x:xf>
    <x:xf numFmtId="165" fontId="8" fillId="23" borderId="46" xfId="0" applyNumberFormat="1" applyFont="1" applyFill="1" applyBorder="1" applyAlignment="1">
      <x:alignment vertical="top" wrapText="1"/>
    </x:xf>
    <x:xf numFmtId="165" fontId="8" fillId="24" borderId="46" xfId="0" applyNumberFormat="1" applyFont="1" applyFill="1" applyBorder="1" applyAlignment="1">
      <x:alignment vertical="top" wrapText="1"/>
    </x:xf>
    <x:xf numFmtId="165" fontId="8" fillId="8" borderId="46" xfId="0" applyNumberFormat="1" applyFont="1" applyFill="1" applyBorder="1" applyAlignment="1">
      <x:alignment vertical="top" wrapText="1"/>
    </x:xf>
    <x:xf numFmtId="0" fontId="0" fillId="8" borderId="46" xfId="0" applyNumberFormat="1" applyFont="1" applyFill="1" applyBorder="1" applyAlignment="1">
      <x:alignment wrapText="1"/>
    </x:xf>
    <x:xf numFmtId="0" fontId="0" fillId="24" borderId="46" xfId="0" applyNumberFormat="1" applyFont="1" applyFill="1" applyBorder="1" applyAlignment="1">
      <x:alignment wrapText="1"/>
    </x:xf>
    <x:xf numFmtId="0" fontId="0" fillId="23" borderId="46" xfId="0" applyNumberFormat="1" applyFont="1" applyFill="1" applyBorder="1" applyAlignment="1">
      <x:alignment wrapText="1"/>
    </x:xf>
    <x:xf numFmtId="165" fontId="0" fillId="23" borderId="46" xfId="0" applyNumberFormat="1" applyFont="1" applyFill="1" applyBorder="1" applyAlignment="1">
      <x:alignment wrapText="1"/>
    </x:xf>
    <x:xf numFmtId="165" fontId="0" fillId="24" borderId="46" xfId="0" applyNumberFormat="1" applyFont="1" applyFill="1" applyBorder="1" applyAlignment="1">
      <x:alignment wrapText="1"/>
    </x:xf>
    <x:xf numFmtId="165" fontId="0" fillId="8" borderId="46" xfId="0" applyNumberFormat="1" applyFont="1" applyFill="1" applyBorder="1" applyAlignment="1">
      <x:alignment wrapText="1"/>
    </x:xf>
    <x:xf numFmtId="0" fontId="8" fillId="8" borderId="46" xfId="0" applyNumberFormat="1" applyFont="1" applyFill="1" applyBorder="1" applyAlignment="1">
      <x:alignment wrapText="1"/>
    </x:xf>
    <x:xf numFmtId="0" fontId="8" fillId="24" borderId="46" xfId="0" applyNumberFormat="1" applyFont="1" applyFill="1" applyBorder="1" applyAlignment="1">
      <x:alignment wrapText="1"/>
    </x:xf>
    <x:xf numFmtId="0" fontId="8" fillId="23" borderId="46" xfId="0" applyNumberFormat="1" applyFont="1" applyFill="1" applyBorder="1" applyAlignment="1">
      <x:alignment wrapText="1"/>
    </x:xf>
    <x:xf numFmtId="165" fontId="8" fillId="23" borderId="46" xfId="0" applyNumberFormat="1" applyFont="1" applyFill="1" applyBorder="1" applyAlignment="1">
      <x:alignment wrapText="1"/>
    </x:xf>
    <x:xf numFmtId="165" fontId="8" fillId="24" borderId="46" xfId="0" applyNumberFormat="1" applyFont="1" applyFill="1" applyBorder="1" applyAlignment="1">
      <x:alignment wrapText="1"/>
    </x:xf>
    <x:xf numFmtId="165" fontId="8" fillId="8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1" fillId="0" borderId="53" xfId="0" applyNumberFormat="1" applyFont="1" applyFill="1" applyBorder="1" applyAlignment="1">
      <x:alignment horizontal="left" vertical="center"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7" fillId="10" borderId="49" xfId="0" applyNumberFormat="1" applyFont="1" applyFill="1" applyBorder="1" applyAlignment="1">
      <x:alignment horizontal="center" vertical="center" wrapText="1"/>
    </x:xf>
    <x:xf numFmtId="0" fontId="7" fillId="10" borderId="50" xfId="0" applyNumberFormat="1" applyFont="1" applyFill="1" applyBorder="1" applyAlignment="1">
      <x:alignment horizontal="center" vertical="center"/>
    </x:xf>
    <x:xf numFmtId="0" fontId="13" fillId="31" borderId="49" xfId="0" applyNumberFormat="1" applyFont="1" applyFill="1" applyBorder="1" applyAlignment="1">
      <x:alignment horizontal="left" vertical="center" wrapText="1"/>
    </x:xf>
    <x:xf numFmtId="0" fontId="13" fillId="31" borderId="50" xfId="0" applyNumberFormat="1" applyFont="1" applyFill="1" applyBorder="1" applyAlignment="1">
      <x:alignment horizontal="left" vertical="center"/>
    </x:xf>
    <x:xf numFmtId="0" fontId="11" fillId="30" borderId="49" xfId="0" applyNumberFormat="1" applyFont="1" applyFill="1" applyBorder="1" applyAlignment="1">
      <x:alignment horizontal="left" vertical="top" wrapText="1"/>
    </x:xf>
    <x:xf numFmtId="0" fontId="0" fillId="12" borderId="50" xfId="0" applyNumberFormat="1" applyFont="1" applyFill="1" applyBorder="1"/>
    <x:xf numFmtId="0" fontId="13" fillId="31" borderId="49" xfId="0" applyNumberFormat="1" applyFont="1" applyFill="1" applyBorder="1" applyAlignment="1">
      <x:alignment horizontal="left" vertical="center"/>
    </x:xf>
    <x:xf numFmtId="0" fontId="11" fillId="30" borderId="49" xfId="0" applyNumberFormat="1" applyFont="1" applyFill="1" applyBorder="1" applyAlignment="1">
      <x:alignment horizontal="left" vertical="top"/>
    </x:xf>
    <x:xf numFmtId="0" fontId="13" fillId="31" borderId="51" xfId="0" applyNumberFormat="1" applyFont="1" applyFill="1" applyBorder="1" applyAlignment="1">
      <x:alignment horizontal="left" vertical="center"/>
    </x:xf>
    <x:xf numFmtId="0" fontId="13" fillId="31" borderId="54" xfId="0" applyNumberFormat="1" applyFont="1" applyFill="1" applyBorder="1" applyAlignment="1">
      <x:alignment horizontal="left" vertical="center"/>
    </x:xf>
    <x:xf numFmtId="0" fontId="13" fillId="31" borderId="52" xfId="0" applyNumberFormat="1" applyFont="1" applyFill="1" applyBorder="1" applyAlignment="1">
      <x:alignment horizontal="left" vertical="center"/>
    </x:xf>
    <x:xf numFmtId="0" fontId="2" fillId="0" borderId="46" xfId="0" applyNumberFormat="1" applyFont="1" applyFill="1" applyBorder="1" applyAlignment="1">
      <x:alignment vertical="top" wrapText="1"/>
    </x:xf>
    <x:xf numFmtId="0" fontId="2" fillId="0" borderId="47" xfId="0" applyNumberFormat="1" applyFont="1" applyFill="1" applyBorder="1" applyAlignment="1">
      <x:alignment vertical="top" wrapText="1"/>
    </x:xf>
    <x:xf numFmtId="0" fontId="2" fillId="0" borderId="53" xfId="0" applyNumberFormat="1" applyFont="1" applyFill="1" applyBorder="1" applyAlignment="1">
      <x:alignment vertical="top" wrapText="1"/>
    </x:xf>
    <x:xf numFmtId="0" fontId="2" fillId="0" borderId="48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/>
    <x:xf numFmtId="0" fontId="0" fillId="0" borderId="54" xfId="0" applyNumberFormat="1" applyFont="1" applyFill="1" applyBorder="1"/>
    <x:xf numFmtId="0" fontId="0" fillId="0" borderId="52" xfId="0" applyNumberFormat="1" applyFont="1" applyFill="1" applyBorder="1"/>
    <x:xf numFmtId="0" fontId="1" fillId="0" borderId="46" xfId="0" applyNumberFormat="1" applyFont="1" applyFill="1" applyBorder="1"/>
    <x:xf numFmtId="0" fontId="1" fillId="0" borderId="47" xfId="0" applyNumberFormat="1" applyFont="1" applyFill="1" applyBorder="1"/>
    <x:xf numFmtId="0" fontId="0" fillId="0" borderId="53" xfId="0" applyNumberFormat="1" applyFont="1" applyFill="1" applyBorder="1"/>
    <x:xf numFmtId="0" fontId="2" fillId="0" borderId="50" xfId="0" applyNumberFormat="1" applyFont="1" applyFill="1" applyBorder="1"/>
    <x:xf numFmtId="4" fontId="0" fillId="0" borderId="52" xfId="0" applyNumberFormat="1" applyFont="1" applyFill="1" applyBorder="1"/>
    <x:xf numFmtId="0" fontId="0" fillId="0" borderId="46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 applyAlignment="1">
      <x:alignment vertical="top" wrapText="1"/>
    </x:xf>
    <x:xf numFmtId="0" fontId="7" fillId="10" borderId="46" xfId="0" applyNumberFormat="1" applyFont="1" applyFill="1" applyBorder="1" applyAlignment="1">
      <x:alignment vertical="top" wrapText="1"/>
    </x:xf>
    <x:xf numFmtId="164" fontId="0" fillId="0" borderId="46" xfId="0" applyNumberFormat="1" applyFont="1" applyFill="1" applyBorder="1"/>
    <x:xf numFmtId="0" fontId="7" fillId="10" borderId="47" xfId="0" applyNumberFormat="1" applyFont="1" applyFill="1" applyBorder="1" applyAlignment="1">
      <x:alignment vertical="top" wrapText="1"/>
    </x:xf>
    <x:xf numFmtId="0" fontId="7" fillId="10" borderId="53" xfId="0" applyNumberFormat="1" applyFont="1" applyFill="1" applyBorder="1" applyAlignment="1">
      <x:alignment vertical="top" wrapText="1"/>
    </x:xf>
    <x:xf numFmtId="0" fontId="7" fillId="10" borderId="48" xfId="0" applyNumberFormat="1" applyFont="1" applyFill="1" applyBorder="1" applyAlignment="1">
      <x:alignment vertical="top" wrapText="1"/>
    </x:xf>
    <x:xf numFmtId="0" fontId="2" fillId="0" borderId="55" xfId="0" applyNumberFormat="1" applyFont="1" applyFill="1" applyBorder="1" applyAlignment="1">
      <x:alignment vertical="top" wrapText="1"/>
    </x:xf>
    <x:xf numFmtId="0" fontId="2" fillId="0" borderId="56" xfId="0" applyNumberFormat="1" applyFont="1" applyFill="1" applyBorder="1" applyAlignment="1">
      <x:alignment vertical="top" wrapText="1"/>
    </x:xf>
    <x:xf numFmtId="0" fontId="2" fillId="0" borderId="57" xfId="0" applyNumberFormat="1" applyFont="1" applyFill="1" applyBorder="1" applyAlignment="1">
      <x:alignment vertical="top" wrapText="1"/>
    </x:xf>
    <x:xf numFmtId="0" fontId="2" fillId="2" borderId="46" xfId="0" applyNumberFormat="1" applyFont="1" applyFill="1" applyBorder="1" applyAlignment="1">
      <x:alignment horizontal="center" vertical="center" wrapText="1"/>
    </x:xf>
    <x:xf numFmtId="4" fontId="0" fillId="0" borderId="46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/>
    <x:xf numFmtId="0" fontId="1" fillId="0" borderId="53" xfId="0" applyNumberFormat="1" applyFont="1" applyFill="1" applyBorder="1"/>
    <x:xf numFmtId="0" fontId="2" fillId="2" borderId="50" xfId="0" applyNumberFormat="1" applyFont="1" applyFill="1" applyBorder="1" applyAlignment="1">
      <x:alignment horizontal="center" vertical="center" wrapText="1"/>
    </x:xf>
    <x:xf numFmtId="4" fontId="0" fillId="0" borderId="50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4" fontId="0" fillId="0" borderId="52" xfId="0" applyNumberFormat="1" applyFont="1" applyFill="1" applyBorder="1" applyAlignment="1">
      <x:alignment vertical="top" wrapText="1"/>
    </x:xf>
    <x:xf numFmtId="4" fontId="0" fillId="4" borderId="46" xfId="0" applyNumberFormat="1" applyFont="1" applyFill="1" applyBorder="1"/>
    <x:xf numFmtId="4" fontId="0" fillId="4" borderId="50" xfId="0" applyNumberFormat="1" applyFont="1" applyFill="1" applyBorder="1"/>
    <x:xf numFmtId="0" fontId="2" fillId="0" borderId="54" xfId="0" applyNumberFormat="1" applyFont="1" applyFill="1" applyBorder="1"/>
    <x:xf numFmtId="10" fontId="0" fillId="0" borderId="52" xfId="0" applyNumberFormat="1" applyFont="1" applyFill="1" applyBorder="1"/>
    <x:xf numFmtId="0" fontId="7" fillId="7" borderId="46" xfId="0" applyNumberFormat="1" applyFont="1" applyFill="1" applyBorder="1" applyAlignment="1">
      <x:alignment wrapText="1"/>
    </x:xf>
    <x:xf numFmtId="0" fontId="7" fillId="7" borderId="47" xfId="0" applyNumberFormat="1" applyFont="1" applyFill="1" applyBorder="1" applyAlignment="1">
      <x:alignment wrapText="1"/>
    </x:xf>
    <x:xf numFmtId="0" fontId="7" fillId="7" borderId="48" xfId="0" applyNumberFormat="1" applyFont="1" applyFill="1" applyBorder="1" applyAlignment="1">
      <x:alignment wrapText="1"/>
    </x:xf>
    <x:xf numFmtId="0" fontId="9" fillId="10" borderId="46" xfId="0" applyNumberFormat="1" applyFont="1" applyFill="1" applyBorder="1" applyAlignment="1">
      <x:alignment horizontal="center" vertical="center" wrapText="1"/>
    </x:xf>
    <x:xf numFmtId="0" fontId="0" fillId="8" borderId="46" xfId="0" applyNumberFormat="1" applyFont="1" applyFill="1" applyBorder="1" applyAlignment="1">
      <x:alignment vertical="top" wrapText="1"/>
    </x:xf>
    <x:xf numFmtId="0" fontId="0" fillId="24" borderId="46" xfId="0" applyNumberFormat="1" applyFont="1" applyFill="1" applyBorder="1" applyAlignment="1">
      <x:alignment vertical="top" wrapText="1"/>
    </x:xf>
    <x:xf numFmtId="0" fontId="0" fillId="23" borderId="46" xfId="0" applyNumberFormat="1" applyFont="1" applyFill="1" applyBorder="1" applyAlignment="1">
      <x:alignment vertical="top" wrapText="1"/>
    </x:xf>
    <x:xf numFmtId="166" fontId="0" fillId="23" borderId="46" xfId="0" applyNumberFormat="1" applyFont="1" applyFill="1" applyBorder="1" applyAlignment="1">
      <x:alignment vertical="top" wrapText="1"/>
    </x:xf>
    <x:xf numFmtId="0" fontId="9" fillId="10" borderId="47" xfId="0" applyNumberFormat="1" applyFont="1" applyFill="1" applyBorder="1" applyAlignment="1">
      <x:alignment horizontal="center" vertical="center" wrapText="1"/>
    </x:xf>
    <x:xf numFmtId="0" fontId="9" fillId="10" borderId="53" xfId="0" applyNumberFormat="1" applyFont="1" applyFill="1" applyBorder="1" applyAlignment="1">
      <x:alignment horizontal="center" vertical="center" wrapText="1"/>
    </x:xf>
    <x:xf numFmtId="0" fontId="9" fillId="10" borderId="48" xfId="0" applyNumberFormat="1" applyFont="1" applyFill="1" applyBorder="1" applyAlignment="1">
      <x:alignment horizontal="center" vertical="center" wrapText="1"/>
    </x:xf>
    <x:xf numFmtId="0" fontId="0" fillId="8" borderId="49" xfId="0" applyNumberFormat="1" applyFont="1" applyFill="1" applyBorder="1" applyAlignment="1">
      <x:alignment vertical="top" wrapText="1"/>
    </x:xf>
    <x:xf numFmtId="0" fontId="0" fillId="23" borderId="50" xfId="0" applyNumberFormat="1" applyFont="1" applyFill="1" applyBorder="1" applyAlignment="1">
      <x:alignment vertical="top" wrapText="1"/>
    </x:xf>
    <x:xf numFmtId="0" fontId="0" fillId="8" borderId="49" xfId="0" applyNumberFormat="1" applyFont="1" applyFill="1" applyBorder="1"/>
    <x:xf numFmtId="0" fontId="0" fillId="23" borderId="50" xfId="0" applyNumberFormat="1" applyFont="1" applyFill="1" applyBorder="1"/>
    <x:xf numFmtId="0" fontId="0" fillId="8" borderId="51" xfId="0" applyNumberFormat="1" applyFont="1" applyFill="1" applyBorder="1"/>
    <x:xf numFmtId="0" fontId="0" fillId="8" borderId="54" xfId="0" applyNumberFormat="1" applyFont="1" applyFill="1" applyBorder="1"/>
    <x:xf numFmtId="0" fontId="0" fillId="24" borderId="54" xfId="0" applyNumberFormat="1" applyFont="1" applyFill="1" applyBorder="1"/>
    <x:xf numFmtId="0" fontId="0" fillId="23" borderId="54" xfId="0" applyNumberFormat="1" applyFont="1" applyFill="1" applyBorder="1"/>
    <x:xf numFmtId="0" fontId="0" fillId="23" borderId="52" xfId="0" applyNumberFormat="1" applyFont="1" applyFill="1" applyBorder="1"/>
    <x:xf numFmtId="0" fontId="9" fillId="10" borderId="46" xfId="0" applyNumberFormat="1" applyFont="1" applyFill="1" applyBorder="1" applyAlignment="1">
      <x:alignment horizontal="center" wrapText="1"/>
    </x:xf>
    <x:xf numFmtId="0" fontId="7" fillId="10" borderId="46" xfId="0" applyNumberFormat="1" applyFont="1" applyFill="1" applyBorder="1"/>
    <x:xf numFmtId="0" fontId="9" fillId="10" borderId="47" xfId="0" applyNumberFormat="1" applyFont="1" applyFill="1" applyBorder="1" applyAlignment="1">
      <x:alignment horizontal="center" wrapText="1"/>
    </x:xf>
    <x:xf numFmtId="0" fontId="9" fillId="10" borderId="53" xfId="0" applyNumberFormat="1" applyFont="1" applyFill="1" applyBorder="1" applyAlignment="1">
      <x:alignment horizontal="center" wrapText="1"/>
    </x:xf>
    <x:xf numFmtId="0" fontId="9" fillId="10" borderId="48" xfId="0" applyNumberFormat="1" applyFont="1" applyFill="1" applyBorder="1" applyAlignment="1">
      <x:alignment horizontal="center" wrapText="1"/>
    </x:xf>
    <x:xf numFmtId="0" fontId="0" fillId="0" borderId="50" xfId="0" applyNumberFormat="1" applyFont="1" applyFill="1" applyBorder="1" applyAlignment="1">
      <x:alignment vertical="top" wrapText="1"/>
    </x:xf>
    <x:xf numFmtId="0" fontId="7" fillId="10" borderId="49" xfId="0" applyNumberFormat="1" applyFont="1" applyFill="1" applyBorder="1"/>
    <x:xf numFmtId="0" fontId="7" fillId="10" borderId="50" xfId="0" applyNumberFormat="1" applyFont="1" applyFill="1" applyBorder="1"/>
    <x:xf numFmtId="0" fontId="7" fillId="10" borderId="46" xfId="0" applyNumberFormat="1" applyFont="1" applyFill="1" applyBorder="1" applyAlignment="1">
      <x:alignment wrapText="1"/>
    </x:xf>
    <x:xf numFmtId="0" fontId="7" fillId="10" borderId="47" xfId="0" applyNumberFormat="1" applyFont="1" applyFill="1" applyBorder="1" applyAlignment="1">
      <x:alignment wrapText="1"/>
    </x:xf>
    <x:xf numFmtId="0" fontId="7" fillId="10" borderId="53" xfId="0" applyNumberFormat="1" applyFont="1" applyFill="1" applyBorder="1" applyAlignment="1">
      <x:alignment wrapText="1"/>
    </x:xf>
    <x:xf numFmtId="0" fontId="7" fillId="10" borderId="48" xfId="0" applyNumberFormat="1" applyFont="1" applyFill="1" applyBorder="1" applyAlignment="1">
      <x:alignment wrapText="1"/>
    </x:xf>
    <x:xf numFmtId="0" fontId="0" fillId="23" borderId="49" xfId="0" applyNumberFormat="1" applyFont="1" applyFill="1" applyBorder="1"/>
    <x:xf numFmtId="0" fontId="0" fillId="23" borderId="51" xfId="0" applyNumberFormat="1" applyFont="1" applyFill="1" applyBorder="1"/>
    <x:xf numFmtId="200" fontId="0" fillId="0" borderId="46" xfId="0" applyNumberFormat="1" applyFont="1" applyFill="1" applyBorder="1"/>
    <x:xf numFmtId="0" fontId="8" fillId="11" borderId="46" xfId="0" applyNumberFormat="1" applyFont="1" applyFill="1" applyBorder="1"/>
    <x:xf numFmtId="200" fontId="8" fillId="11" borderId="46" xfId="0" applyNumberFormat="1" applyFont="1" applyFill="1" applyBorder="1"/>
    <x:xf numFmtId="200" fontId="0" fillId="0" borderId="50" xfId="0" applyNumberFormat="1" applyFont="1" applyFill="1" applyBorder="1"/>
    <x:xf numFmtId="0" fontId="8" fillId="11" borderId="49" xfId="0" applyNumberFormat="1" applyFont="1" applyFill="1" applyBorder="1"/>
    <x:xf numFmtId="200" fontId="8" fillId="11" borderId="50" xfId="0" applyNumberFormat="1" applyFont="1" applyFill="1" applyBorder="1"/>
    <x:xf numFmtId="0" fontId="0" fillId="27" borderId="46" xfId="0" applyNumberFormat="1" applyFont="1" applyFill="1" applyBorder="1"/>
    <x:xf numFmtId="0" fontId="0" fillId="27" borderId="49" xfId="0" applyNumberFormat="1" applyFont="1" applyFill="1" applyBorder="1"/>
    <x:xf numFmtId="0" fontId="0" fillId="27" borderId="50" xfId="0" applyNumberFormat="1" applyFont="1" applyFill="1" applyBorder="1"/>
    <x:xf numFmtId="0" fontId="0" fillId="27" borderId="51" xfId="0" applyNumberFormat="1" applyFont="1" applyFill="1" applyBorder="1"/>
    <x:xf numFmtId="0" fontId="0" fillId="27" borderId="52" xfId="0" applyNumberFormat="1" applyFont="1" applyFill="1" applyBorder="1"/>
    <x:xf numFmtId="0" fontId="0" fillId="27" borderId="54" xfId="0" applyNumberFormat="1" applyFont="1" applyFill="1" applyBorder="1"/>
    <x:xf numFmtId="0" fontId="7" fillId="10" borderId="58" xfId="0" applyNumberFormat="1" applyFont="1" applyFill="1" applyBorder="1" applyAlignment="1">
      <x:alignment wrapText="1"/>
    </x:xf>
    <x:xf numFmtId="0" fontId="0" fillId="27" borderId="59" xfId="0" applyNumberFormat="1" applyFont="1" applyFill="1" applyBorder="1"/>
    <x:xf numFmtId="0" fontId="0" fillId="27" borderId="60" xfId="0" applyNumberFormat="1" applyFont="1" applyFill="1" applyBorder="1"/>
    <x:xf numFmtId="0" fontId="7" fillId="10" borderId="46" xfId="0" applyNumberFormat="1" applyFont="1" applyFill="1" applyBorder="1" applyAlignment="1">
      <x:alignment horizontal="center"/>
    </x:xf>
    <x:xf numFmtId="0" fontId="7" fillId="10" borderId="49" xfId="0" applyNumberFormat="1" applyFont="1" applyFill="1" applyBorder="1" applyAlignment="1">
      <x:alignment horizontal="center"/>
    </x:xf>
    <x:xf numFmtId="0" fontId="7" fillId="10" borderId="50" xfId="0" applyNumberFormat="1" applyFont="1" applyFill="1" applyBorder="1" applyAlignment="1">
      <x:alignment horizontal="center"/>
    </x:xf>
    <x:xf numFmtId="0" fontId="7" fillId="10" borderId="47" xfId="0" applyNumberFormat="1" applyFont="1" applyFill="1" applyBorder="1" applyAlignment="1">
      <x:alignment horizontal="center" vertical="center" wrapText="1"/>
    </x:xf>
    <x:xf numFmtId="0" fontId="7" fillId="10" borderId="53" xfId="0" applyNumberFormat="1" applyFont="1" applyFill="1" applyBorder="1" applyAlignment="1">
      <x:alignment horizontal="center" vertical="center" wrapText="1"/>
    </x:xf>
    <x:xf numFmtId="0" fontId="7" fillId="10" borderId="48" xfId="0" applyNumberFormat="1" applyFont="1" applyFill="1" applyBorder="1" applyAlignment="1">
      <x:alignment horizontal="center" vertical="center" wrapText="1"/>
    </x:xf>
    <x:xf numFmtId="0" fontId="7" fillId="10" borderId="53" xfId="0" applyNumberFormat="1" applyFont="1" applyFill="1" applyBorder="1" applyAlignment="1">
      <x:alignment horizontal="center" vertical="center"/>
    </x:xf>
    <x:xf numFmtId="0" fontId="7" fillId="10" borderId="48" xfId="0" applyNumberFormat="1" applyFont="1" applyFill="1" applyBorder="1" applyAlignment="1">
      <x:alignment horizontal="center" vertical="center"/>
    </x:xf>
    <x:xf numFmtId="0" fontId="7" fillId="44" borderId="47" xfId="0" applyNumberFormat="1" applyFont="1" applyFill="1" applyBorder="1" applyAlignment="1">
      <x:alignment horizontal="center" vertical="center" wrapText="1"/>
    </x:xf>
    <x:xf numFmtId="0" fontId="7" fillId="44" borderId="53" xfId="0" applyNumberFormat="1" applyFont="1" applyFill="1" applyBorder="1" applyAlignment="1">
      <x:alignment horizontal="center" vertical="center" wrapText="1"/>
    </x:xf>
    <x:xf numFmtId="0" fontId="7" fillId="44" borderId="53" xfId="0" applyNumberFormat="1" applyFont="1" applyFill="1" applyBorder="1" applyAlignment="1">
      <x:alignment horizontal="center" vertical="center"/>
    </x:xf>
    <x:xf numFmtId="0" fontId="7" fillId="44" borderId="48" xfId="0" applyNumberFormat="1" applyFont="1" applyFill="1" applyBorder="1" applyAlignment="1">
      <x:alignment horizontal="center" vertical="center"/>
    </x:xf>
    <x:xf numFmtId="0" fontId="7" fillId="44" borderId="46" xfId="0" applyNumberFormat="1" applyFont="1" applyFill="1" applyBorder="1" applyAlignment="1">
      <x:alignment horizontal="center" vertical="center" wrapText="1"/>
    </x:xf>
    <x:xf numFmtId="0" fontId="7" fillId="44" borderId="46" xfId="0" applyNumberFormat="1" applyFont="1" applyFill="1" applyBorder="1" applyAlignment="1">
      <x:alignment horizontal="center" vertical="center"/>
    </x:xf>
    <x:xf numFmtId="0" fontId="7" fillId="44" borderId="55" xfId="0" applyNumberFormat="1" applyFont="1" applyFill="1" applyBorder="1" applyAlignment="1">
      <x:alignment horizontal="center" vertical="center" wrapText="1"/>
    </x:xf>
    <x:xf numFmtId="0" fontId="7" fillId="44" borderId="56" xfId="0" applyNumberFormat="1" applyFont="1" applyFill="1" applyBorder="1" applyAlignment="1">
      <x:alignment horizontal="center" vertical="center" wrapText="1"/>
    </x:xf>
    <x:xf numFmtId="0" fontId="7" fillId="44" borderId="56" xfId="0" applyNumberFormat="1" applyFont="1" applyFill="1" applyBorder="1" applyAlignment="1">
      <x:alignment horizontal="center" vertical="center"/>
    </x:xf>
    <x:xf numFmtId="0" fontId="7" fillId="44" borderId="57" xfId="0" applyNumberFormat="1" applyFont="1" applyFill="1" applyBorder="1" applyAlignment="1">
      <x:alignment horizontal="center" vertical="center"/>
    </x:xf>
    <x:xf numFmtId="0" fontId="9" fillId="44" borderId="47" xfId="0" applyNumberFormat="1" applyFont="1" applyFill="1" applyBorder="1" applyAlignment="1">
      <x:alignment horizontal="center" vertical="center" wrapText="1"/>
    </x:xf>
    <x:xf numFmtId="0" fontId="9" fillId="44" borderId="53" xfId="0" applyNumberFormat="1" applyFont="1" applyFill="1" applyBorder="1" applyAlignment="1">
      <x:alignment horizontal="center" vertical="center" wrapText="1"/>
    </x:xf>
    <x:xf numFmtId="0" fontId="9" fillId="44" borderId="48" xfId="0" applyNumberFormat="1" applyFont="1" applyFill="1" applyBorder="1" applyAlignment="1">
      <x:alignment horizontal="center" vertical="center" wrapText="1"/>
    </x:xf>
    <x:xf numFmtId="0" fontId="9" fillId="44" borderId="46" xfId="0" applyNumberFormat="1" applyFont="1" applyFill="1" applyBorder="1" applyAlignment="1">
      <x:alignment horizontal="center" vertical="center" wrapText="1"/>
    </x:xf>
    <x:xf numFmtId="0" fontId="9" fillId="44" borderId="55" xfId="0" applyNumberFormat="1" applyFont="1" applyFill="1" applyBorder="1" applyAlignment="1">
      <x:alignment horizontal="center" vertical="center" wrapText="1"/>
    </x:xf>
    <x:xf numFmtId="0" fontId="9" fillId="44" borderId="56" xfId="0" applyNumberFormat="1" applyFont="1" applyFill="1" applyBorder="1" applyAlignment="1">
      <x:alignment horizontal="center" vertical="center" wrapText="1"/>
    </x:xf>
    <x:xf numFmtId="0" fontId="9" fillId="44" borderId="57" xfId="0" applyNumberFormat="1" applyFont="1" applyFill="1" applyBorder="1" applyAlignment="1">
      <x:alignment horizontal="center" vertical="center" wrapText="1"/>
    </x:xf>
    <x:xf numFmtId="0" fontId="7" fillId="44" borderId="47" xfId="0" applyNumberFormat="1" applyFont="1" applyFill="1" applyBorder="1" applyAlignment="1">
      <x:alignment vertical="top" wrapText="1"/>
    </x:xf>
    <x:xf numFmtId="0" fontId="7" fillId="44" borderId="53" xfId="0" applyNumberFormat="1" applyFont="1" applyFill="1" applyBorder="1" applyAlignment="1">
      <x:alignment vertical="top" wrapText="1"/>
    </x:xf>
    <x:xf numFmtId="0" fontId="7" fillId="44" borderId="48" xfId="0" applyNumberFormat="1" applyFont="1" applyFill="1" applyBorder="1" applyAlignment="1">
      <x:alignment vertical="top" wrapText="1"/>
    </x:xf>
    <x:xf numFmtId="0" fontId="7" fillId="44" borderId="47" xfId="0" applyNumberFormat="1" applyFont="1" applyFill="1" applyBorder="1" applyAlignment="1">
      <x:alignment horizontal="center" vertical="top" wrapText="1"/>
    </x:xf>
    <x:xf numFmtId="0" fontId="7" fillId="44" borderId="53" xfId="0" applyNumberFormat="1" applyFont="1" applyFill="1" applyBorder="1" applyAlignment="1">
      <x:alignment horizontal="center" vertical="top" wrapText="1"/>
    </x:xf>
    <x:xf numFmtId="0" fontId="7" fillId="44" borderId="48" xfId="0" applyNumberFormat="1" applyFont="1" applyFill="1" applyBorder="1" applyAlignment="1">
      <x:alignment horizontal="center" vertical="top" wrapText="1"/>
    </x:xf>
    <x:xf numFmtId="0" fontId="7" fillId="44" borderId="48" xfId="0" applyNumberFormat="1" applyFont="1" applyFill="1" applyBorder="1" applyAlignment="1">
      <x:alignment horizontal="center" vertical="center" wrapText="1"/>
    </x:xf>
    <x:xf numFmtId="0" fontId="7" fillId="44" borderId="57" xfId="0" applyNumberFormat="1" applyFont="1" applyFill="1" applyBorder="1" applyAlignment="1">
      <x:alignment horizontal="center" vertical="center" wrapText="1"/>
    </x:xf>
    <x:xf numFmtId="0" fontId="7" fillId="44" borderId="47" xfId="0" applyNumberFormat="1" applyFont="1" applyFill="1" applyBorder="1" applyAlignment="1">
      <x:alignment wrapText="1"/>
    </x:xf>
    <x:xf numFmtId="0" fontId="7" fillId="44" borderId="53" xfId="0" applyNumberFormat="1" applyFont="1" applyFill="1" applyBorder="1" applyAlignment="1">
      <x:alignment wrapText="1"/>
    </x:xf>
    <x:xf numFmtId="0" fontId="7" fillId="44" borderId="48" xfId="0" applyNumberFormat="1" applyFont="1" applyFill="1" applyBorder="1" applyAlignment="1">
      <x:alignment wrapText="1"/>
    </x:xf>
    <x:xf numFmtId="0" fontId="7" fillId="44" borderId="47" xfId="0" applyNumberFormat="1" applyFont="1" applyFill="1" applyBorder="1" applyAlignment="1">
      <x:alignment horizontal="center" wrapText="1"/>
    </x:xf>
    <x:xf numFmtId="0" fontId="7" fillId="44" borderId="53" xfId="0" applyNumberFormat="1" applyFont="1" applyFill="1" applyBorder="1" applyAlignment="1">
      <x:alignment horizontal="center" wrapText="1"/>
    </x:xf>
    <x:xf numFmtId="0" fontId="7" fillId="44" borderId="48" xfId="0" applyNumberFormat="1" applyFont="1" applyFill="1" applyBorder="1" applyAlignment="1">
      <x:alignment horizontal="center" wrapText="1"/>
    </x:xf>
    <x:xf numFmtId="0" fontId="9" fillId="44" borderId="47" xfId="0" applyNumberFormat="1" applyFont="1" applyFill="1" applyBorder="1" applyAlignment="1">
      <x:alignment horizontal="center" wrapText="1"/>
    </x:xf>
    <x:xf numFmtId="0" fontId="9" fillId="44" borderId="53" xfId="0" applyNumberFormat="1" applyFont="1" applyFill="1" applyBorder="1" applyAlignment="1">
      <x:alignment horizontal="center" wrapText="1"/>
    </x:xf>
    <x:xf numFmtId="0" fontId="9" fillId="44" borderId="48" xfId="0" applyNumberFormat="1" applyFont="1" applyFill="1" applyBorder="1" applyAlignment="1">
      <x:alignment horizontal="center" wrapText="1"/>
    </x:xf>
    <x:xf numFmtId="0" fontId="11" fillId="45" borderId="49" xfId="0" applyNumberFormat="1" applyFont="1" applyFill="1" applyBorder="1" applyAlignment="1">
      <x:alignment horizontal="left" vertical="top" wrapText="1"/>
    </x:xf>
    <x:xf numFmtId="0" fontId="11" fillId="45" borderId="46" xfId="0" applyNumberFormat="1" applyFont="1" applyFill="1" applyBorder="1" applyAlignment="1">
      <x:alignment horizontal="left" vertical="top" wrapText="1"/>
    </x:xf>
    <x:xf numFmtId="0" fontId="16" fillId="45" borderId="49" xfId="0" applyNumberFormat="1" applyFont="1" applyFill="1" applyBorder="1" applyAlignment="1">
      <x:alignment horizontal="left" vertical="top" wrapText="1"/>
    </x:xf>
    <x:xf numFmtId="0" fontId="16" fillId="45" borderId="46" xfId="0" applyNumberFormat="1" applyFont="1" applyFill="1" applyBorder="1" applyAlignment="1">
      <x:alignment horizontal="left" vertical="top" wrapText="1"/>
    </x:xf>
    <x:xf numFmtId="0" fontId="12" fillId="45" borderId="46" xfId="0" applyNumberFormat="1" applyFont="1" applyFill="1" applyBorder="1" applyAlignment="1">
      <x:alignment horizontal="left" vertical="top" wrapText="1"/>
    </x:xf>
    <x:xf numFmtId="0" fontId="17" fillId="45" borderId="46" xfId="0" applyNumberFormat="1" applyFont="1" applyFill="1" applyBorder="1" applyAlignment="1">
      <x:alignment horizontal="left" vertical="top" wrapText="1"/>
    </x:xf>
    <x:xf numFmtId="0" fontId="11" fillId="45" borderId="46" xfId="0" applyNumberFormat="1" applyFont="1" applyFill="1" applyBorder="1" applyAlignment="1">
      <x:alignment horizontal="left" vertical="top"/>
    </x:xf>
    <x:xf numFmtId="0" fontId="16" fillId="45" borderId="46" xfId="0" applyNumberFormat="1" applyFont="1" applyFill="1" applyBorder="1" applyAlignment="1">
      <x:alignment horizontal="left" vertical="top"/>
    </x:xf>
    <x:xf numFmtId="0" fontId="11" fillId="45" borderId="49" xfId="0" applyNumberFormat="1" applyFont="1" applyFill="1" applyBorder="1" applyAlignment="1">
      <x:alignment horizontal="left" vertical="top"/>
    </x:xf>
    <x:xf numFmtId="0" fontId="16" fillId="45" borderId="49" xfId="0" applyNumberFormat="1" applyFont="1" applyFill="1" applyBorder="1" applyAlignment="1">
      <x:alignment horizontal="left" vertical="top"/>
    </x:xf>
    <x:xf numFmtId="0" fontId="13" fillId="46" borderId="49" xfId="0" applyNumberFormat="1" applyFont="1" applyFill="1" applyBorder="1" applyAlignment="1">
      <x:alignment horizontal="left" vertical="center" wrapText="1"/>
    </x:xf>
    <x:xf numFmtId="0" fontId="13" fillId="46" borderId="46" xfId="0" applyNumberFormat="1" applyFont="1" applyFill="1" applyBorder="1" applyAlignment="1">
      <x:alignment horizontal="left" vertical="center"/>
    </x:xf>
    <x:xf numFmtId="0" fontId="13" fillId="46" borderId="46" xfId="0" applyNumberFormat="1" applyFont="1" applyFill="1" applyBorder="1" applyAlignment="1">
      <x:alignment horizontal="left" vertical="center" wrapText="1"/>
    </x:xf>
    <x:xf numFmtId="0" fontId="13" fillId="46" borderId="55" xfId="0" applyNumberFormat="1" applyFont="1" applyFill="1" applyBorder="1" applyAlignment="1">
      <x:alignment horizontal="left" vertical="center" wrapText="1"/>
    </x:xf>
    <x:xf numFmtId="0" fontId="13" fillId="46" borderId="56" xfId="0" applyNumberFormat="1" applyFont="1" applyFill="1" applyBorder="1" applyAlignment="1">
      <x:alignment horizontal="left" vertical="center"/>
    </x:xf>
    <x:xf numFmtId="0" fontId="13" fillId="46" borderId="57" xfId="0" applyNumberFormat="1" applyFont="1" applyFill="1" applyBorder="1" applyAlignment="1">
      <x:alignment horizontal="left" vertical="center"/>
    </x:xf>
    <x:xf numFmtId="0" fontId="13" fillId="46" borderId="50" xfId="0" applyNumberFormat="1" applyFont="1" applyFill="1" applyBorder="1" applyAlignment="1">
      <x:alignment horizontal="left" vertical="center"/>
    </x:xf>
    <x:xf numFmtId="0" fontId="13" fillId="46" borderId="55" xfId="0" applyNumberFormat="1" applyFont="1" applyFill="1" applyBorder="1" applyAlignment="1">
      <x:alignment horizontal="left" vertical="center"/>
    </x:xf>
    <x:xf numFmtId="0" fontId="13" fillId="46" borderId="56" xfId="0" applyNumberFormat="1" applyFont="1" applyFill="1" applyBorder="1" applyAlignment="1">
      <x:alignment horizontal="left" vertical="center" wrapText="1"/>
    </x:xf>
    <x:xf numFmtId="0" fontId="13" fillId="46" borderId="57" xfId="0" applyNumberFormat="1" applyFont="1" applyFill="1" applyBorder="1" applyAlignment="1">
      <x:alignment horizontal="left" vertical="center" wrapText="1"/>
    </x:xf>
    <x:xf numFmtId="165" fontId="13" fillId="46" borderId="46" xfId="0" applyNumberFormat="1" applyFont="1" applyFill="1" applyBorder="1" applyAlignment="1">
      <x:alignment horizontal="left" vertical="center" wrapText="1"/>
    </x:xf>
    <x:xf numFmtId="165" fontId="13" fillId="46" borderId="56" xfId="0" applyNumberFormat="1" applyFont="1" applyFill="1" applyBorder="1" applyAlignment="1">
      <x:alignment horizontal="left" vertical="center" wrapText="1"/>
    </x:xf>
    <x:xf numFmtId="0" fontId="13" fillId="46" borderId="49" xfId="0" applyNumberFormat="1" applyFont="1" applyFill="1" applyBorder="1" applyAlignment="1">
      <x:alignment horizontal="left" vertical="center"/>
    </x:xf>
    <x:xf numFmtId="0" fontId="13" fillId="46" borderId="51" xfId="0" applyNumberFormat="1" applyFont="1" applyFill="1" applyBorder="1" applyAlignment="1">
      <x:alignment horizontal="left" vertical="center"/>
    </x:xf>
    <x:xf numFmtId="0" fontId="13" fillId="46" borderId="54" xfId="0" applyNumberFormat="1" applyFont="1" applyFill="1" applyBorder="1" applyAlignment="1">
      <x:alignment horizontal="left" vertical="center"/>
    </x:xf>
    <x:xf numFmtId="0" fontId="13" fillId="46" borderId="52" xfId="0" applyNumberFormat="1" applyFont="1" applyFill="1" applyBorder="1" applyAlignment="1">
      <x:alignment horizontal="left" vertical="center"/>
    </x:xf>
    <x:xf numFmtId="0" fontId="13" fillId="47" borderId="55" xfId="0" applyNumberFormat="1" applyFont="1" applyFill="1" applyBorder="1" applyAlignment="1">
      <x:alignment horizontal="left" vertical="center"/>
    </x:xf>
    <x:xf numFmtId="0" fontId="0" fillId="47" borderId="46" xfId="0" applyNumberFormat="1" applyFont="1" applyFill="1" applyBorder="1" applyAlignment="1">
      <x:alignment horizontal="center" vertical="center" wrapText="1"/>
    </x:xf>
    <x:xf numFmtId="0" fontId="13" fillId="47" borderId="55" xfId="0" applyNumberFormat="1" applyFont="1" applyFill="1" applyBorder="1" applyAlignment="1">
      <x:alignment horizontal="left" vertical="center" wrapText="1"/>
    </x:xf>
    <x:xf numFmtId="0" fontId="0" fillId="47" borderId="46" xfId="0" applyNumberFormat="1" applyFont="1" applyFill="1" applyBorder="1"/>
    <x:xf numFmtId="0" fontId="8" fillId="47" borderId="46" xfId="0" applyNumberFormat="1" applyFont="1" applyFill="1" applyBorder="1" applyAlignment="1">
      <x:alignment horizontal="center" vertical="center" wrapText="1"/>
    </x:xf>
    <x:xf numFmtId="0" fontId="0" fillId="47" borderId="46" xfId="0" applyNumberFormat="1" applyFont="1" applyFill="1" applyBorder="1" applyAlignment="1">
      <x:alignment wrapText="1"/>
    </x:xf>
    <x:xf numFmtId="0" fontId="8" fillId="47" borderId="46" xfId="0" applyNumberFormat="1" applyFont="1" applyFill="1" applyBorder="1" applyAlignment="1">
      <x:alignment wrapText="1"/>
    </x:xf>
    <x:xf numFmtId="0" fontId="13" fillId="48" borderId="56" xfId="0" applyNumberFormat="1" applyFont="1" applyFill="1" applyBorder="1" applyAlignment="1">
      <x:alignment horizontal="left" vertical="center"/>
    </x:xf>
    <x:xf numFmtId="0" fontId="0" fillId="48" borderId="46" xfId="0" applyNumberFormat="1" applyFont="1" applyFill="1" applyBorder="1" applyAlignment="1">
      <x:alignment horizontal="center" vertical="center" wrapText="1"/>
    </x:xf>
    <x:xf numFmtId="0" fontId="13" fillId="48" borderId="56" xfId="0" applyNumberFormat="1" applyFont="1" applyFill="1" applyBorder="1" applyAlignment="1">
      <x:alignment horizontal="left" vertical="center" wrapText="1"/>
    </x:xf>
    <x:xf numFmtId="0" fontId="0" fillId="48" borderId="46" xfId="0" applyNumberFormat="1" applyFont="1" applyFill="1" applyBorder="1"/>
    <x:xf numFmtId="0" fontId="8" fillId="48" borderId="46" xfId="0" applyNumberFormat="1" applyFont="1" applyFill="1" applyBorder="1" applyAlignment="1">
      <x:alignment horizontal="center" vertical="center" wrapText="1"/>
    </x:xf>
    <x:xf numFmtId="0" fontId="0" fillId="48" borderId="46" xfId="0" applyNumberFormat="1" applyFont="1" applyFill="1" applyBorder="1" applyAlignment="1">
      <x:alignment wrapText="1"/>
    </x:xf>
    <x:xf numFmtId="0" fontId="8" fillId="48" borderId="46" xfId="0" applyNumberFormat="1" applyFont="1" applyFill="1" applyBorder="1" applyAlignment="1">
      <x:alignment wrapText="1"/>
    </x:xf>
    <x:xf numFmtId="0" fontId="13" fillId="49" borderId="56" xfId="0" applyNumberFormat="1" applyFont="1" applyFill="1" applyBorder="1" applyAlignment="1">
      <x:alignment horizontal="left" vertical="center"/>
    </x:xf>
    <x:xf numFmtId="0" fontId="0" fillId="49" borderId="46" xfId="0" applyNumberFormat="1" applyFont="1" applyFill="1" applyBorder="1" applyAlignment="1">
      <x:alignment horizontal="center" vertical="center" wrapText="1"/>
    </x:xf>
    <x:xf numFmtId="165" fontId="0" fillId="49" borderId="46" xfId="0" applyNumberFormat="1" applyFont="1" applyFill="1" applyBorder="1" applyAlignment="1">
      <x:alignment horizontal="center" vertical="center" wrapText="1"/>
    </x:xf>
    <x:xf numFmtId="165" fontId="0" fillId="49" borderId="46" xfId="0" applyNumberFormat="1" applyFont="1" applyFill="1" applyBorder="1" applyAlignment="1">
      <x:alignment vertical="top" wrapText="1"/>
    </x:xf>
    <x:xf numFmtId="0" fontId="13" fillId="49" borderId="56" xfId="0" applyNumberFormat="1" applyFont="1" applyFill="1" applyBorder="1" applyAlignment="1">
      <x:alignment horizontal="left" vertical="center" wrapText="1"/>
    </x:xf>
    <x:xf numFmtId="165" fontId="13" fillId="49" borderId="56" xfId="0" applyNumberFormat="1" applyFont="1" applyFill="1" applyBorder="1" applyAlignment="1">
      <x:alignment horizontal="left" vertical="center" wrapText="1"/>
    </x:xf>
    <x:xf numFmtId="0" fontId="0" fillId="49" borderId="46" xfId="0" applyNumberFormat="1" applyFont="1" applyFill="1" applyBorder="1"/>
    <x:xf numFmtId="0" fontId="8" fillId="49" borderId="46" xfId="0" applyNumberFormat="1" applyFont="1" applyFill="1" applyBorder="1" applyAlignment="1">
      <x:alignment horizontal="center" vertical="center" wrapText="1"/>
    </x:xf>
    <x:xf numFmtId="165" fontId="8" fillId="49" borderId="46" xfId="0" applyNumberFormat="1" applyFont="1" applyFill="1" applyBorder="1" applyAlignment="1">
      <x:alignment horizontal="center" vertical="center" wrapText="1"/>
    </x:xf>
    <x:xf numFmtId="165" fontId="8" fillId="49" borderId="46" xfId="0" applyNumberFormat="1" applyFont="1" applyFill="1" applyBorder="1" applyAlignment="1">
      <x:alignment vertical="top" wrapText="1"/>
    </x:xf>
    <x:xf numFmtId="0" fontId="0" fillId="49" borderId="46" xfId="0" applyNumberFormat="1" applyFont="1" applyFill="1" applyBorder="1" applyAlignment="1">
      <x:alignment wrapText="1"/>
    </x:xf>
    <x:xf numFmtId="165" fontId="0" fillId="49" borderId="46" xfId="0" applyNumberFormat="1" applyFont="1" applyFill="1" applyBorder="1" applyAlignment="1">
      <x:alignment wrapText="1"/>
    </x:xf>
    <x:xf numFmtId="0" fontId="8" fillId="49" borderId="46" xfId="0" applyNumberFormat="1" applyFont="1" applyFill="1" applyBorder="1" applyAlignment="1">
      <x:alignment wrapText="1"/>
    </x:xf>
    <x:xf numFmtId="165" fontId="8" fillId="49" borderId="46" xfId="0" applyNumberFormat="1" applyFont="1" applyFill="1" applyBorder="1" applyAlignment="1">
      <x:alignment wrapText="1"/>
    </x:xf>
    <x:xf numFmtId="165" fontId="0" fillId="48" borderId="46" xfId="0" applyNumberFormat="1" applyFont="1" applyFill="1" applyBorder="1" applyAlignment="1">
      <x:alignment vertical="top" wrapText="1"/>
    </x:xf>
    <x:xf numFmtId="165" fontId="13" fillId="48" borderId="56" xfId="0" applyNumberFormat="1" applyFont="1" applyFill="1" applyBorder="1" applyAlignment="1">
      <x:alignment horizontal="left" vertical="center" wrapText="1"/>
    </x:xf>
    <x:xf numFmtId="165" fontId="8" fillId="48" borderId="46" xfId="0" applyNumberFormat="1" applyFont="1" applyFill="1" applyBorder="1" applyAlignment="1">
      <x:alignment vertical="top" wrapText="1"/>
    </x:xf>
    <x:xf numFmtId="165" fontId="0" fillId="48" borderId="46" xfId="0" applyNumberFormat="1" applyFont="1" applyFill="1" applyBorder="1" applyAlignment="1">
      <x:alignment wrapText="1"/>
    </x:xf>
    <x:xf numFmtId="165" fontId="8" fillId="48" borderId="46" xfId="0" applyNumberFormat="1" applyFont="1" applyFill="1" applyBorder="1" applyAlignment="1">
      <x:alignment wrapText="1"/>
    </x:xf>
    <x:xf numFmtId="0" fontId="13" fillId="47" borderId="56" xfId="0" applyNumberFormat="1" applyFont="1" applyFill="1" applyBorder="1" applyAlignment="1">
      <x:alignment horizontal="left" vertical="center"/>
    </x:xf>
    <x:xf numFmtId="165" fontId="0" fillId="47" borderId="46" xfId="0" applyNumberFormat="1" applyFont="1" applyFill="1" applyBorder="1" applyAlignment="1">
      <x:alignment vertical="top" wrapText="1"/>
    </x:xf>
    <x:xf numFmtId="165" fontId="13" fillId="47" borderId="56" xfId="0" applyNumberFormat="1" applyFont="1" applyFill="1" applyBorder="1" applyAlignment="1">
      <x:alignment horizontal="left" vertical="center" wrapText="1"/>
    </x:xf>
    <x:xf numFmtId="165" fontId="8" fillId="47" borderId="46" xfId="0" applyNumberFormat="1" applyFont="1" applyFill="1" applyBorder="1" applyAlignment="1">
      <x:alignment vertical="top" wrapText="1"/>
    </x:xf>
    <x:xf numFmtId="165" fontId="0" fillId="47" borderId="46" xfId="0" applyNumberFormat="1" applyFont="1" applyFill="1" applyBorder="1" applyAlignment="1">
      <x:alignment wrapText="1"/>
    </x:xf>
    <x:xf numFmtId="165" fontId="8" fillId="47" borderId="46" xfId="0" applyNumberFormat="1" applyFont="1" applyFill="1" applyBorder="1" applyAlignment="1">
      <x:alignment wrapText="1"/>
    </x:xf>
    <x:xf numFmtId="0" fontId="13" fillId="50" borderId="56" xfId="0" applyNumberFormat="1" applyFont="1" applyFill="1" applyBorder="1" applyAlignment="1">
      <x:alignment horizontal="left" vertical="center"/>
    </x:xf>
    <x:xf numFmtId="0" fontId="13" fillId="50" borderId="57" xfId="0" applyNumberFormat="1" applyFont="1" applyFill="1" applyBorder="1" applyAlignment="1">
      <x:alignment horizontal="left" vertical="center"/>
    </x:xf>
    <x:xf numFmtId="0" fontId="0" fillId="50" borderId="46" xfId="0" applyNumberFormat="1" applyFont="1" applyFill="1" applyBorder="1"/>
    <x:xf numFmtId="0" fontId="0" fillId="50" borderId="50" xfId="0" applyNumberFormat="1" applyFont="1" applyFill="1" applyBorder="1"/>
    <x:xf numFmtId="0" fontId="7" fillId="44" borderId="49" xfId="0" applyNumberFormat="1" applyFont="1" applyFill="1" applyBorder="1" applyAlignment="1">
      <x:alignment horizontal="center"/>
    </x:xf>
    <x:xf numFmtId="0" fontId="7" fillId="44" borderId="46" xfId="0" applyNumberFormat="1" applyFont="1" applyFill="1" applyBorder="1" applyAlignment="1">
      <x:alignment horizontal="center"/>
    </x:xf>
    <x:xf numFmtId="0" fontId="7" fillId="44" borderId="50" xfId="0" applyNumberFormat="1" applyFont="1" applyFill="1" applyBorder="1" applyAlignment="1">
      <x:alignment horizontal="center"/>
    </x:xf>
    <x:xf numFmtId="0" fontId="7" fillId="44" borderId="47" xfId="0" applyNumberFormat="1" applyFont="1" applyFill="1" applyBorder="1" applyAlignment="1">
      <x:alignment horizontal="center"/>
    </x:xf>
    <x:xf numFmtId="0" fontId="7" fillId="44" borderId="53" xfId="0" applyNumberFormat="1" applyFont="1" applyFill="1" applyBorder="1" applyAlignment="1">
      <x:alignment horizontal="center"/>
    </x:xf>
    <x:xf numFmtId="0" fontId="7" fillId="44" borderId="48" xfId="0" applyNumberFormat="1" applyFont="1" applyFill="1" applyBorder="1" applyAlignment="1">
      <x:alignment horizontal="center"/>
    </x:xf>
    <x:xf numFmtId="0" fontId="0" fillId="44" borderId="49" xfId="0" applyNumberFormat="1" applyFont="1" applyFill="1" applyBorder="1"/>
    <x:xf numFmtId="0" fontId="0" fillId="44" borderId="46" xfId="0" applyNumberFormat="1" applyFont="1" applyFill="1" applyBorder="1"/>
    <x:xf numFmtId="0" fontId="0" fillId="44" borderId="50" xfId="0" applyNumberFormat="1" applyFont="1" applyFill="1" applyBorder="1"/>
    <x:xf numFmtId="0" fontId="7" fillId="44" borderId="49" xfId="0" applyNumberFormat="1" applyFont="1" applyFill="1" applyBorder="1"/>
    <x:xf numFmtId="0" fontId="7" fillId="44" borderId="46" xfId="0" applyNumberFormat="1" applyFont="1" applyFill="1" applyBorder="1"/>
    <x:xf numFmtId="0" fontId="7" fillId="44" borderId="50" xfId="0" applyNumberFormat="1" applyFont="1" applyFill="1" applyBorder="1"/>
    <x:xf numFmtId="0" fontId="7" fillId="44" borderId="47" xfId="0" applyNumberFormat="1" applyFont="1" applyFill="1" applyBorder="1"/>
    <x:xf numFmtId="0" fontId="7" fillId="44" borderId="53" xfId="0" applyNumberFormat="1" applyFont="1" applyFill="1" applyBorder="1"/>
    <x:xf numFmtId="0" fontId="7" fillId="44" borderId="48" xfId="0" applyNumberFormat="1" applyFont="1" applyFill="1" applyBorder="1"/>
    <x:xf numFmtId="0" fontId="7" fillId="10" borderId="55" xfId="0" applyNumberFormat="1" applyFont="1" applyFill="1" applyBorder="1" applyAlignment="1">
      <x:alignment horizontal="center" vertical="center" wrapText="1"/>
    </x:xf>
    <x:xf numFmtId="0" fontId="7" fillId="10" borderId="56" xfId="0" applyNumberFormat="1" applyFont="1" applyFill="1" applyBorder="1" applyAlignment="1">
      <x:alignment horizontal="center" vertical="center" wrapText="1"/>
    </x:xf>
    <x:xf numFmtId="0" fontId="7" fillId="10" borderId="56" xfId="0" applyNumberFormat="1" applyFont="1" applyFill="1" applyBorder="1" applyAlignment="1">
      <x:alignment horizontal="center" vertical="center"/>
    </x:xf>
    <x:xf numFmtId="0" fontId="7" fillId="10" borderId="57" xfId="0" applyNumberFormat="1" applyFont="1" applyFill="1" applyBorder="1" applyAlignment="1">
      <x:alignment horizontal="center" vertical="center"/>
    </x:xf>
    <x:xf numFmtId="0" fontId="9" fillId="10" borderId="55" xfId="0" applyNumberFormat="1" applyFont="1" applyFill="1" applyBorder="1" applyAlignment="1">
      <x:alignment horizontal="center" vertical="center" wrapText="1"/>
    </x:xf>
    <x:xf numFmtId="0" fontId="9" fillId="10" borderId="56" xfId="0" applyNumberFormat="1" applyFont="1" applyFill="1" applyBorder="1" applyAlignment="1">
      <x:alignment horizontal="center" vertical="center" wrapText="1"/>
    </x:xf>
    <x:xf numFmtId="0" fontId="9" fillId="10" borderId="57" xfId="0" applyNumberFormat="1" applyFont="1" applyFill="1" applyBorder="1" applyAlignment="1">
      <x:alignment horizontal="center" vertical="center" wrapText="1"/>
    </x:xf>
    <x:xf numFmtId="0" fontId="7" fillId="10" borderId="47" xfId="0" applyNumberFormat="1" applyFont="1" applyFill="1" applyBorder="1" applyAlignment="1">
      <x:alignment horizontal="center" vertical="top" wrapText="1"/>
    </x:xf>
    <x:xf numFmtId="0" fontId="7" fillId="10" borderId="53" xfId="0" applyNumberFormat="1" applyFont="1" applyFill="1" applyBorder="1" applyAlignment="1">
      <x:alignment horizontal="center" vertical="top" wrapText="1"/>
    </x:xf>
    <x:xf numFmtId="0" fontId="7" fillId="10" borderId="48" xfId="0" applyNumberFormat="1" applyFont="1" applyFill="1" applyBorder="1" applyAlignment="1">
      <x:alignment horizontal="center" vertical="top" wrapText="1"/>
    </x:xf>
    <x:xf numFmtId="0" fontId="7" fillId="10" borderId="57" xfId="0" applyNumberFormat="1" applyFont="1" applyFill="1" applyBorder="1" applyAlignment="1">
      <x:alignment horizontal="center" vertical="center" wrapText="1"/>
    </x:xf>
    <x:xf numFmtId="0" fontId="7" fillId="10" borderId="47" xfId="0" applyNumberFormat="1" applyFont="1" applyFill="1" applyBorder="1" applyAlignment="1">
      <x:alignment horizontal="center" wrapText="1"/>
    </x:xf>
    <x:xf numFmtId="0" fontId="7" fillId="10" borderId="53" xfId="0" applyNumberFormat="1" applyFont="1" applyFill="1" applyBorder="1" applyAlignment="1">
      <x:alignment horizontal="center" wrapText="1"/>
    </x:xf>
    <x:xf numFmtId="0" fontId="7" fillId="10" borderId="48" xfId="0" applyNumberFormat="1" applyFont="1" applyFill="1" applyBorder="1" applyAlignment="1">
      <x:alignment horizontal="center" wrapText="1"/>
    </x:xf>
    <x:xf numFmtId="0" fontId="13" fillId="31" borderId="55" xfId="0" applyNumberFormat="1" applyFont="1" applyFill="1" applyBorder="1" applyAlignment="1">
      <x:alignment horizontal="left" vertical="center" wrapText="1"/>
    </x:xf>
    <x:xf numFmtId="0" fontId="13" fillId="31" borderId="56" xfId="0" applyNumberFormat="1" applyFont="1" applyFill="1" applyBorder="1" applyAlignment="1">
      <x:alignment horizontal="left" vertical="center"/>
    </x:xf>
    <x:xf numFmtId="0" fontId="13" fillId="31" borderId="57" xfId="0" applyNumberFormat="1" applyFont="1" applyFill="1" applyBorder="1" applyAlignment="1">
      <x:alignment horizontal="left" vertical="center"/>
    </x:xf>
    <x:xf numFmtId="0" fontId="13" fillId="31" borderId="55" xfId="0" applyNumberFormat="1" applyFont="1" applyFill="1" applyBorder="1" applyAlignment="1">
      <x:alignment horizontal="left" vertical="center"/>
    </x:xf>
    <x:xf numFmtId="0" fontId="13" fillId="31" borderId="56" xfId="0" applyNumberFormat="1" applyFont="1" applyFill="1" applyBorder="1" applyAlignment="1">
      <x:alignment horizontal="left" vertical="center" wrapText="1"/>
    </x:xf>
    <x:xf numFmtId="0" fontId="13" fillId="31" borderId="57" xfId="0" applyNumberFormat="1" applyFont="1" applyFill="1" applyBorder="1" applyAlignment="1">
      <x:alignment horizontal="left" vertical="center" wrapText="1"/>
    </x:xf>
    <x:xf numFmtId="165" fontId="13" fillId="31" borderId="56" xfId="0" applyNumberFormat="1" applyFont="1" applyFill="1" applyBorder="1" applyAlignment="1">
      <x:alignment horizontal="left" vertical="center" wrapText="1"/>
    </x:xf>
    <x:xf numFmtId="0" fontId="13" fillId="8" borderId="55" xfId="0" applyNumberFormat="1" applyFont="1" applyFill="1" applyBorder="1" applyAlignment="1">
      <x:alignment horizontal="left" vertical="center"/>
    </x:xf>
    <x:xf numFmtId="0" fontId="13" fillId="8" borderId="55" xfId="0" applyNumberFormat="1" applyFont="1" applyFill="1" applyBorder="1" applyAlignment="1">
      <x:alignment horizontal="left" vertical="center" wrapText="1"/>
    </x:xf>
    <x:xf numFmtId="0" fontId="13" fillId="24" borderId="56" xfId="0" applyNumberFormat="1" applyFont="1" applyFill="1" applyBorder="1" applyAlignment="1">
      <x:alignment horizontal="left" vertical="center"/>
    </x:xf>
    <x:xf numFmtId="0" fontId="13" fillId="24" borderId="56" xfId="0" applyNumberFormat="1" applyFont="1" applyFill="1" applyBorder="1" applyAlignment="1">
      <x:alignment horizontal="left" vertical="center" wrapText="1"/>
    </x:xf>
    <x:xf numFmtId="0" fontId="13" fillId="23" borderId="56" xfId="0" applyNumberFormat="1" applyFont="1" applyFill="1" applyBorder="1" applyAlignment="1">
      <x:alignment horizontal="left" vertical="center"/>
    </x:xf>
    <x:xf numFmtId="0" fontId="13" fillId="23" borderId="56" xfId="0" applyNumberFormat="1" applyFont="1" applyFill="1" applyBorder="1" applyAlignment="1">
      <x:alignment horizontal="left" vertical="center" wrapText="1"/>
    </x:xf>
    <x:xf numFmtId="165" fontId="13" fillId="23" borderId="56" xfId="0" applyNumberFormat="1" applyFont="1" applyFill="1" applyBorder="1" applyAlignment="1">
      <x:alignment horizontal="left" vertical="center" wrapText="1"/>
    </x:xf>
    <x:xf numFmtId="165" fontId="13" fillId="24" borderId="56" xfId="0" applyNumberFormat="1" applyFont="1" applyFill="1" applyBorder="1" applyAlignment="1">
      <x:alignment horizontal="left" vertical="center" wrapText="1"/>
    </x:xf>
    <x:xf numFmtId="0" fontId="13" fillId="8" borderId="56" xfId="0" applyNumberFormat="1" applyFont="1" applyFill="1" applyBorder="1" applyAlignment="1">
      <x:alignment horizontal="left" vertical="center"/>
    </x:xf>
    <x:xf numFmtId="165" fontId="13" fillId="8" borderId="56" xfId="0" applyNumberFormat="1" applyFont="1" applyFill="1" applyBorder="1" applyAlignment="1">
      <x:alignment horizontal="left" vertical="center" wrapText="1"/>
    </x:xf>
    <x:xf numFmtId="0" fontId="13" fillId="12" borderId="56" xfId="0" applyNumberFormat="1" applyFont="1" applyFill="1" applyBorder="1" applyAlignment="1">
      <x:alignment horizontal="left" vertical="center"/>
    </x:xf>
    <x:xf numFmtId="0" fontId="13" fillId="12" borderId="57" xfId="0" applyNumberFormat="1" applyFont="1" applyFill="1" applyBorder="1" applyAlignment="1">
      <x:alignment horizontal="left" vertical="center"/>
    </x:xf>
    <x:xf numFmtId="0" fontId="7" fillId="10" borderId="47" xfId="0" applyNumberFormat="1" applyFont="1" applyFill="1" applyBorder="1" applyAlignment="1">
      <x:alignment horizontal="center"/>
    </x:xf>
    <x:xf numFmtId="0" fontId="7" fillId="10" borderId="53" xfId="0" applyNumberFormat="1" applyFont="1" applyFill="1" applyBorder="1" applyAlignment="1">
      <x:alignment horizontal="center"/>
    </x:xf>
    <x:xf numFmtId="0" fontId="7" fillId="10" borderId="48" xfId="0" applyNumberFormat="1" applyFont="1" applyFill="1" applyBorder="1" applyAlignment="1">
      <x:alignment horizontal="center"/>
    </x:xf>
    <x:xf numFmtId="0" fontId="0" fillId="10" borderId="49" xfId="0" applyNumberFormat="1" applyFont="1" applyFill="1" applyBorder="1"/>
    <x:xf numFmtId="0" fontId="0" fillId="10" borderId="46" xfId="0" applyNumberFormat="1" applyFont="1" applyFill="1" applyBorder="1"/>
    <x:xf numFmtId="0" fontId="0" fillId="10" borderId="50" xfId="0" applyNumberFormat="1" applyFont="1" applyFill="1" applyBorder="1"/>
    <x:xf numFmtId="0" fontId="7" fillId="10" borderId="47" xfId="0" applyNumberFormat="1" applyFont="1" applyFill="1" applyBorder="1"/>
    <x:xf numFmtId="0" fontId="7" fillId="10" borderId="53" xfId="0" applyNumberFormat="1" applyFont="1" applyFill="1" applyBorder="1"/>
    <x:xf numFmtId="0" fontId="7" fillId="10" borderId="48" xfId="0" applyNumberFormat="1" applyFont="1" applyFill="1" applyBorder="1"/>
    <x:xf numFmtId="0" fontId="0" fillId="51" borderId="51" xfId="0" applyNumberFormat="1" applyFont="1" applyFill="1" applyBorder="1"/>
    <x:xf numFmtId="0" fontId="0" fillId="51" borderId="54" xfId="0" applyNumberFormat="1" applyFont="1" applyFill="1" applyBorder="1"/>
    <x:xf numFmtId="0" fontId="0" fillId="51" borderId="52" xfId="0" applyNumberFormat="1" applyFont="1" applyFill="1" applyBorder="1"/>
    <x:xf numFmtId="0" fontId="7" fillId="51" borderId="51" xfId="0" applyNumberFormat="1" applyFont="1" applyFill="1" applyBorder="1"/>
    <x:xf numFmtId="0" fontId="7" fillId="51" borderId="54" xfId="0" applyNumberFormat="1" applyFont="1" applyFill="1" applyBorder="1"/>
    <x:xf numFmtId="0" fontId="7" fillId="51" borderId="52" xfId="0" applyNumberFormat="1" applyFont="1" applyFill="1" applyBorder="1"/>
    <x:xf numFmtId="0" fontId="7" fillId="51" borderId="46" xfId="0" applyNumberFormat="1" applyFont="1" applyFill="1" applyBorder="1"/>
    <x:xf numFmtId="0" fontId="7" fillId="51" borderId="47" xfId="0" applyNumberFormat="1" applyFont="1" applyFill="1" applyBorder="1"/>
    <x:xf numFmtId="0" fontId="7" fillId="51" borderId="53" xfId="0" applyNumberFormat="1" applyFont="1" applyFill="1" applyBorder="1"/>
    <x:xf numFmtId="0" fontId="7" fillId="51" borderId="48" xfId="0" applyNumberFormat="1" applyFont="1" applyFill="1" applyBorder="1"/>
    <x:xf numFmtId="0" fontId="0" fillId="10" borderId="51" xfId="0" applyNumberFormat="1" applyFont="1" applyFill="1" applyBorder="1"/>
    <x:xf numFmtId="0" fontId="0" fillId="10" borderId="54" xfId="0" applyNumberFormat="1" applyFont="1" applyFill="1" applyBorder="1"/>
    <x:xf numFmtId="0" fontId="0" fillId="10" borderId="52" xfId="0" applyNumberFormat="1" applyFont="1" applyFill="1" applyBorder="1"/>
    <x:xf numFmtId="0" fontId="7" fillId="10" borderId="51" xfId="0" applyNumberFormat="1" applyFont="1" applyFill="1" applyBorder="1"/>
    <x:xf numFmtId="0" fontId="7" fillId="10" borderId="54" xfId="0" applyNumberFormat="1" applyFont="1" applyFill="1" applyBorder="1"/>
    <x:xf numFmtId="0" fontId="7" fillId="10" borderId="52" xfId="0" applyNumberFormat="1" applyFont="1" applyFill="1" applyBorder="1"/>
    <x:xf numFmtId="0" fontId="0" fillId="52" borderId="0" xfId="0" applyNumberFormat="1" applyFont="1" applyFill="1" applyBorder="1"/>
    <x:xf numFmtId="0" fontId="7" fillId="52" borderId="0" xfId="0" applyNumberFormat="1" applyFont="1" applyFill="1" applyBorder="1"/>
    <x:xf numFmtId="0" fontId="7" fillId="52" borderId="46" xfId="0" applyNumberFormat="1" applyFont="1" applyFill="1" applyBorder="1"/>
    <x:xf numFmtId="0" fontId="7" fillId="52" borderId="47" xfId="0" applyNumberFormat="1" applyFont="1" applyFill="1" applyBorder="1"/>
    <x:xf numFmtId="0" fontId="7" fillId="52" borderId="53" xfId="0" applyNumberFormat="1" applyFont="1" applyFill="1" applyBorder="1"/>
    <x:xf numFmtId="0" fontId="7" fillId="52" borderId="48" xfId="0" applyNumberFormat="1" applyFont="1" applyFill="1" applyBorder="1"/>
    <x:xf numFmtId="0" fontId="0" fillId="53" borderId="0" xfId="0" applyNumberFormat="1" applyFont="1" applyFill="1" applyBorder="1"/>
    <x:xf numFmtId="0" fontId="7" fillId="53" borderId="0" xfId="0" applyNumberFormat="1" applyFont="1" applyFill="1" applyBorder="1"/>
    <x:xf numFmtId="0" fontId="7" fillId="53" borderId="46" xfId="0" applyNumberFormat="1" applyFont="1" applyFill="1" applyBorder="1"/>
    <x:xf numFmtId="0" fontId="7" fillId="53" borderId="47" xfId="0" applyNumberFormat="1" applyFont="1" applyFill="1" applyBorder="1"/>
    <x:xf numFmtId="0" fontId="7" fillId="53" borderId="53" xfId="0" applyNumberFormat="1" applyFont="1" applyFill="1" applyBorder="1"/>
    <x:xf numFmtId="0" fontId="7" fillId="53" borderId="48" xfId="0" applyNumberFormat="1" applyFont="1" applyFill="1" applyBorder="1"/>
    <x:xf numFmtId="0" fontId="0" fillId="8" borderId="47" xfId="0" applyNumberFormat="1" applyFont="1" applyFill="1" applyBorder="1"/>
    <x:xf numFmtId="0" fontId="0" fillId="8" borderId="53" xfId="0" applyNumberFormat="1" applyFont="1" applyFill="1" applyBorder="1"/>
    <x:xf numFmtId="0" fontId="0" fillId="24" borderId="53" xfId="0" applyNumberFormat="1" applyFont="1" applyFill="1" applyBorder="1"/>
    <x:xf numFmtId="0" fontId="0" fillId="23" borderId="53" xfId="0" applyNumberFormat="1" applyFont="1" applyFill="1" applyBorder="1"/>
    <x:xf numFmtId="0" fontId="0" fillId="23" borderId="48" xfId="0" applyNumberFormat="1" applyFont="1" applyFill="1" applyBorder="1"/>
    <x:xf numFmtId="0" fontId="0" fillId="54" borderId="0" xfId="0" applyNumberFormat="1" applyFont="1" applyFill="1" applyBorder="1"/>
    <x:xf numFmtId="0" fontId="7" fillId="54" borderId="0" xfId="0" applyNumberFormat="1" applyFont="1" applyFill="1" applyBorder="1"/>
    <x:xf numFmtId="0" fontId="7" fillId="54" borderId="46" xfId="0" applyNumberFormat="1" applyFont="1" applyFill="1" applyBorder="1"/>
    <x:xf numFmtId="0" fontId="7" fillId="54" borderId="47" xfId="0" applyNumberFormat="1" applyFont="1" applyFill="1" applyBorder="1"/>
    <x:xf numFmtId="0" fontId="7" fillId="54" borderId="53" xfId="0" applyNumberFormat="1" applyFont="1" applyFill="1" applyBorder="1"/>
    <x:xf numFmtId="0" fontId="7" fillId="54" borderId="48" xfId="0" applyNumberFormat="1" applyFont="1" applyFill="1" applyBorder="1"/>
    <x:xf numFmtId="0" fontId="11" fillId="55" borderId="46" xfId="0" applyNumberFormat="1" applyFont="1" applyFill="1" applyBorder="1" applyAlignment="1">
      <x:alignment horizontal="left" vertical="top" wrapText="1"/>
    </x:xf>
    <x:xf numFmtId="0" fontId="13" fillId="55" borderId="55" xfId="0" applyNumberFormat="1" applyFont="1" applyFill="1" applyBorder="1" applyAlignment="1">
      <x:alignment horizontal="left" vertical="center" wrapText="1"/>
    </x:xf>
    <x:xf numFmtId="0" fontId="13" fillId="55" borderId="56" xfId="0" applyNumberFormat="1" applyFont="1" applyFill="1" applyBorder="1" applyAlignment="1">
      <x:alignment horizontal="left" vertical="center" wrapText="1"/>
    </x:xf>
    <x:xf numFmtId="0" fontId="13" fillId="55" borderId="57" xfId="0" applyNumberFormat="1" applyFont="1" applyFill="1" applyBorder="1" applyAlignment="1">
      <x:alignment horizontal="left" vertical="center" wrapText="1"/>
    </x:xf>
    <x:xf numFmtId="0" fontId="18" fillId="55" borderId="46" xfId="0" applyNumberFormat="1" applyFont="1" applyFill="1" applyBorder="1" applyAlignment="1">
      <x:alignment horizontal="left" vertical="top" wrapText="1"/>
    </x:xf>
    <x:xf numFmtId="0" fontId="18" fillId="55" borderId="55" xfId="0" applyNumberFormat="1" applyFont="1" applyFill="1" applyBorder="1" applyAlignment="1">
      <x:alignment horizontal="left" vertical="center" wrapText="1"/>
    </x:xf>
    <x:xf numFmtId="0" fontId="18" fillId="55" borderId="56" xfId="0" applyNumberFormat="1" applyFont="1" applyFill="1" applyBorder="1" applyAlignment="1">
      <x:alignment horizontal="left" vertical="center" wrapText="1"/>
    </x:xf>
    <x:xf numFmtId="0" fontId="18" fillId="55" borderId="57" xfId="0" applyNumberFormat="1" applyFont="1" applyFill="1" applyBorder="1" applyAlignment="1">
      <x:alignment horizontal="left" vertical="center" wrapText="1"/>
    </x:xf>
    <x:xf numFmtId="0" fontId="18" fillId="55" borderId="4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46d389a064d75" /><Relationship Type="http://schemas.openxmlformats.org/officeDocument/2006/relationships/theme" Target="/xl/theme/theme1.xml" Id="R2c9ee91dafda4d2b" /><Relationship Type="http://schemas.openxmlformats.org/officeDocument/2006/relationships/sharedStrings" Target="/xl/sharedStrings.xml" Id="R9a30b4f07a11457f" /><Relationship Type="http://schemas.openxmlformats.org/officeDocument/2006/relationships/worksheet" Target="/xl/worksheets/sheet1.xml" Id="R9e88eaf77cd2473a" /><Relationship Type="http://schemas.openxmlformats.org/officeDocument/2006/relationships/worksheet" Target="/xl/worksheets/sheet2.xml" Id="Rf77487d0a54e4de5" /><Relationship Type="http://schemas.openxmlformats.org/officeDocument/2006/relationships/worksheet" Target="/xl/worksheets/sheet3.xml" Id="R4362059041e8469a" /><Relationship Type="http://schemas.openxmlformats.org/officeDocument/2006/relationships/worksheet" Target="/xl/worksheets/sheet4.xml" Id="Rbe5396922e544195" /><Relationship Type="http://schemas.openxmlformats.org/officeDocument/2006/relationships/worksheet" Target="/xl/worksheets/sheet5.xml" Id="R7ceb4de98e62456a" /><Relationship Type="http://schemas.openxmlformats.org/officeDocument/2006/relationships/worksheet" Target="/xl/worksheets/sheet6.xml" Id="Rd2a1417a108746a4" /><Relationship Type="http://schemas.openxmlformats.org/officeDocument/2006/relationships/worksheet" Target="/xl/worksheets/sheet7.xml" Id="R3184d9a70be843c2" /><Relationship Type="http://schemas.openxmlformats.org/officeDocument/2006/relationships/worksheet" Target="/xl/worksheets/sheet8.xml" Id="R5201a5915d6d4c32" /><Relationship Type="http://schemas.openxmlformats.org/officeDocument/2006/relationships/worksheet" Target="/xl/worksheets/sheet9.xml" Id="Rda9d1f4e85144088" /><Relationship Type="http://schemas.openxmlformats.org/officeDocument/2006/relationships/worksheet" Target="/xl/worksheets/sheet10.xml" Id="Rfd9b2204b164439e" /><Relationship Type="http://schemas.openxmlformats.org/officeDocument/2006/relationships/worksheet" Target="/xl/worksheets/sheet11.xml" Id="R730a4f1bd04b4242" /><Relationship Type="http://schemas.openxmlformats.org/officeDocument/2006/relationships/worksheet" Target="/xl/worksheets/sheet12.xml" Id="R09ac9bae7b904b4d" /><Relationship Type="http://schemas.openxmlformats.org/officeDocument/2006/relationships/worksheet" Target="/xl/worksheets/sheet13.xml" Id="R4d6939d49c824024" /><Relationship Type="http://schemas.openxmlformats.org/officeDocument/2006/relationships/worksheet" Target="/xl/worksheets/sheet14.xml" Id="R621e676fafc64e37" /><Relationship Type="http://schemas.openxmlformats.org/officeDocument/2006/relationships/worksheet" Target="/xl/worksheets/sheet15.xml" Id="R4f8240b233754c35" /><Relationship Type="http://schemas.openxmlformats.org/officeDocument/2006/relationships/worksheet" Target="/xl/worksheets/sheet16.xml" Id="Ra7c65f26014c428a" /><Relationship Type="http://schemas.openxmlformats.org/officeDocument/2006/relationships/worksheet" Target="/xl/worksheets/sheet17.xml" Id="R628e2c0e5aea4667" /><Relationship Type="http://schemas.openxmlformats.org/officeDocument/2006/relationships/worksheet" Target="/xl/worksheets/sheet18.xml" Id="R3ec1e9226264456e" /><Relationship Type="http://schemas.openxmlformats.org/officeDocument/2006/relationships/worksheet" Target="/xl/worksheets/sheet19.xml" Id="Rbf13bb0e84f64128" /><Relationship Type="http://schemas.openxmlformats.org/officeDocument/2006/relationships/worksheet" Target="/xl/worksheets/sheet20.xml" Id="Ra19310c3b82d4563" /><Relationship Type="http://schemas.openxmlformats.org/officeDocument/2006/relationships/worksheet" Target="/xl/worksheets/sheet21.xml" Id="R17114bfb1e7c48b0" /><Relationship Type="http://schemas.openxmlformats.org/officeDocument/2006/relationships/worksheet" Target="/xl/worksheets/sheet22.xml" Id="R394d399552d34cfa" /><Relationship Type="http://schemas.openxmlformats.org/officeDocument/2006/relationships/worksheet" Target="/xl/worksheets/sheet23.xml" Id="R0fb42fad7aeb47a9" /><Relationship Type="http://schemas.openxmlformats.org/officeDocument/2006/relationships/worksheet" Target="/xl/worksheets/sheet24.xml" Id="R76ebe50537e046ba" /><Relationship Type="http://schemas.openxmlformats.org/officeDocument/2006/relationships/worksheet" Target="/xl/worksheets/sheet25.xml" Id="R9faa6b04374a4bf8" /><Relationship Type="http://schemas.openxmlformats.org/officeDocument/2006/relationships/worksheet" Target="/xl/worksheets/sheet26.xml" Id="R227853765ca34ae1" /><Relationship Type="http://schemas.openxmlformats.org/officeDocument/2006/relationships/worksheet" Target="/xl/worksheets/sheet27.xml" Id="Rf17921516de04164" /><Relationship Type="http://schemas.openxmlformats.org/officeDocument/2006/relationships/worksheet" Target="/xl/worksheets/sheet28.xml" Id="R39b26180ea2e4468" /><Relationship Type="http://schemas.openxmlformats.org/officeDocument/2006/relationships/worksheet" Target="/xl/worksheets/sheet29.xml" Id="R0c9a1c4795764490" /><Relationship Type="http://schemas.openxmlformats.org/officeDocument/2006/relationships/worksheet" Target="/xl/worksheets/sheet30.xml" Id="Re2d1b55cafe041e8" /><Relationship Type="http://schemas.openxmlformats.org/officeDocument/2006/relationships/worksheet" Target="/xl/worksheets/sheet31.xml" Id="R78db3b53ebdb47ee" /><Relationship Type="http://schemas.openxmlformats.org/officeDocument/2006/relationships/worksheet" Target="/xl/worksheets/sheet32.xml" Id="R811f0b0b011f49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dfb8d6f0a049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a04f45ee284f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1650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1650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9360000" cy="43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fb8d6f0a0494c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9360000" cy="43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a04f45ee284fc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7148aaf765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e0f68587f7dc4f84" /></Relationships>
</file>

<file path=xl/worksheets/sheet1.xml><?xml version="1.0" encoding="utf-8"?>
<x:worksheet xmlns:x="http://schemas.openxmlformats.org/spreadsheetml/2006/main">
  <x:sheetFormatPr baseColWidth="8" defaultRowHeight="15"/>
  <x:sheetData>
    <x:row r="1" s="54" customFormat="1" ht="21" customHeight="1">
      <x:c r="A1" s="771" t="inlineStr">
        <x:is>
          <x:t xml:space="preserve">Dashboard – Intäktsmodell</x:t>
        </x:is>
      </x:c>
      <x:c r="B1" s="772"/>
    </x:row>
    <x:row r="2">
      <x:c r="A2" s="773"/>
      <x:c r="B2" s="774"/>
    </x:row>
    <x:row r="3">
      <x:c r="A3" s="775" t="inlineStr">
        <x:is>
          <x:t xml:space="preserve">Total intäkt (kr)</x:t>
        </x:is>
      </x:c>
      <x:c r="B3" s="776" t="e">
        <x:f>SUM(Taxepunkter_Rådata!K:K)</x:f>
      </x:c>
    </x:row>
    <x:row r="4">
      <x:c r="A4" s="775" t="inlineStr">
        <x:is>
          <x:t xml:space="preserve">Antal taxerader (rådata)</x:t>
        </x:is>
      </x:c>
      <x:c r="B4" s="774" t="e">
        <x:f>COUNTA(Taxepunkter_Rådata!A:A)-1</x:f>
      </x:c>
    </x:row>
    <x:row r="5">
      <x:c r="A5" s="775" t="inlineStr">
        <x:is>
          <x:t xml:space="preserve">Saknade priser (tomma)</x:t>
        </x:is>
      </x:c>
      <x:c r="B5" s="774" t="e">
        <x:f>COUNTIF(Taxepunkter_Rådata!J:J,"")-1</x:f>
      </x:c>
    </x:row>
    <x:row r="6">
      <x:c r="A6" s="775" t="inlineStr">
        <x:is>
          <x:t xml:space="preserve">Andel ifyllda priser</x:t>
        </x:is>
      </x:c>
      <x:c r="B6" s="777" t="e">
        <x:f>IF(B4=0,"",1-(B5/B4))</x:f>
      </x:c>
    </x:row>
    <x:row r="7">
      <x:c r="A7" s="775" t="inlineStr">
        <x:is>
          <x:t xml:space="preserve">Rader med Antal &gt; 0 men saknar pris</x:t>
        </x:is>
      </x:c>
      <x:c r="B7" s="774" t="e">
        <x:f>COUNTIFS(Taxepunkter_Rådata!I:I,"&gt;0",Taxepunkter_Rådata!J:J,"")</x:f>
      </x:c>
    </x:row>
    <x:row r="8">
      <x:c r="A8" s="773"/>
      <x:c r="B8" s="774"/>
    </x:row>
    <x:row r="9">
      <x:c r="A9" s="778" t="inlineStr">
        <x:is>
          <x:t xml:space="preserve">Datakontroll</x:t>
        </x:is>
      </x:c>
      <x:c r="B9" s="779" t="e">
        <x:f>IF(Kontroller!C5="OK","OK","VARNING")</x:f>
      </x:c>
    </x:row>
  </x:sheetData>
  <x:pageMargins left="0.7" right="0.7" top="0.75" bottom="0.75" header="0.3" footer="0.3"/>
  <x:drawing xmlns:r="http://schemas.openxmlformats.org/officeDocument/2006/relationships" r:id="R5e7148aaf765495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style="54" hidden="0" customWidth="1"/>
    <x:col min="2" max="2" width="40" style="54" hidden="0" customWidth="1"/>
    <x:col min="3" max="3" width="42" style="54" hidden="0" customWidth="1"/>
    <x:col min="4" max="4" width="30" style="54" hidden="0" customWidth="1"/>
    <x:col min="5" max="5" width="14" style="54" hidden="0" customWidth="1"/>
    <x:col min="6" max="6" width="18" style="70" hidden="0" customWidth="1"/>
    <x:col min="7" max="7" width="20" style="70" hidden="0" customWidth="1"/>
    <x:col min="8" max="8" width="34" style="70" hidden="0" customWidth="1"/>
    <x:col min="9" max="9" width="18" style="70" hidden="0" customWidth="1"/>
    <x:col min="10" max="10" width="18" style="54" hidden="0" customWidth="1"/>
    <x:col min="11" max="12" width="18" style="54" customWidth="1"/>
    <x:col min="11" max="11" width="18" hidden="0" customWidth="1"/>
    <x:col min="12" max="12" width="12" hidden="0" customWidth="1"/>
    <x:col min="13" max="13" width="16" hidden="0" customWidth="1"/>
    <x:col min="14" max="14" width="18" hidden="0" customWidth="1"/>
  </x:cols>
  <x:sheetData>
    <x:row r="1" s="54" customFormat="1" ht="18.75" customHeight="1">
      <x:c r="A1" s="820"/>
      <x:c r="B1" s="821" t="str">
        <x:v>XX kommuns avfallstaxa – fullständig kalkyl (intäkter)</x:v>
      </x:c>
      <x:c r="C1" s="822"/>
      <x:c r="D1" s="822"/>
      <x:c r="E1" s="822"/>
      <x:c r="F1" s="822"/>
      <x:c r="G1" s="822"/>
      <x:c r="H1" s="822"/>
      <x:c r="I1" s="822"/>
      <x:c r="J1" s="822"/>
      <x:c r="K1" s="822"/>
      <x:c r="L1" s="822"/>
      <x:c r="M1" s="822"/>
      <x:c r="N1" s="823"/>
    </x:row>
    <x:row r="2">
      <x:c r="A2" s="824"/>
      <x:c r="B2" s="780" t="str">
        <x:v>Matriser expanderas: en rad per (Taxapunkt × Variant). §6: Taxapunkt kompletteras med Avfallskod, UN-nummer blir Variant och Enhet tas från enhetskolumn.</x:v>
      </x:c>
      <x:c r="C2" s="767"/>
      <x:c r="D2" s="767"/>
      <x:c r="E2" s="767"/>
      <x:c r="F2" s="767"/>
      <x:c r="G2" s="767"/>
      <x:c r="H2" s="767"/>
      <x:c r="I2" s="767"/>
      <x:c r="J2" s="767"/>
      <x:c r="K2" s="767"/>
      <x:c r="L2" s="767"/>
      <x:c r="M2" s="767"/>
      <x:c r="N2" s="774"/>
    </x:row>
    <x:row r="3">
      <x:c r="A3" s="824"/>
      <x:c r="B3" s="780"/>
      <x:c r="C3" s="780"/>
      <x:c r="D3" s="780"/>
      <x:c r="E3" s="780"/>
      <x:c r="F3" s="780"/>
      <x:c r="G3" s="780"/>
      <x:c r="H3" s="780"/>
      <x:c r="I3" s="780"/>
      <x:c r="J3" s="780"/>
      <x:c r="K3" s="780"/>
      <x:c r="L3" s="780"/>
      <x:c r="M3" s="767"/>
      <x:c r="N3" s="774"/>
    </x:row>
    <x:row r="4">
      <x:c r="A4" s="824"/>
      <x:c r="B4" s="780"/>
      <x:c r="C4" s="780"/>
      <x:c r="D4" s="780"/>
      <x:c r="E4" s="780"/>
      <x:c r="F4" s="780"/>
      <x:c r="G4" s="780"/>
      <x:c r="H4" s="780"/>
      <x:c r="I4" s="780"/>
      <x:c r="J4" s="780"/>
      <x:c r="K4" s="780"/>
      <x:c r="L4" s="780"/>
      <x:c r="M4" s="767"/>
      <x:c r="N4" s="774"/>
    </x:row>
    <x:row r="5" s="54" customFormat="1" ht="24" customHeight="1">
      <x:c r="A5" s="934" t="str">
        <x:v>Paragraf</x:v>
      </x:c>
      <x:c r="B5" s="935" t="str">
        <x:v>Paragrafnamn</x:v>
      </x:c>
      <x:c r="C5" s="935" t="str">
        <x:v>Taxapunkt</x:v>
      </x:c>
      <x:c r="D5" s="935" t="str">
        <x:v>Variant</x:v>
      </x:c>
      <x:c r="E5" s="935" t="str">
        <x:v>Enhet</x:v>
      </x:c>
      <x:c r="F5" s="935" t="str">
        <x:v>Taxakod</x:v>
      </x:c>
      <x:c r="G5" s="935" t="str">
        <x:v>Föreslagen Taxa</x:v>
      </x:c>
      <x:c r="H5" s="935" t="str">
        <x:v>Taxabeskrivning</x:v>
      </x:c>
      <x:c r="I5" s="935" t="str">
        <x:v>Faktor</x:v>
      </x:c>
      <x:c r="J5" s="935" t="str">
        <x:v>Aktuellt pris (exkl m)</x:v>
      </x:c>
      <x:c r="K5" s="935" t="str">
        <x:v>Föreslaget pris</x:v>
      </x:c>
      <x:c r="L5" s="935" t="str">
        <x:v>Antal</x:v>
      </x:c>
      <x:c r="M5" s="936" t="str">
        <x:v>Pris kr (inkl.)</x:v>
      </x:c>
      <x:c r="N5" s="937" t="str">
        <x:v>Intäkt (kr) exkl</x:v>
      </x:c>
    </x:row>
    <x:row r="6" ht="22" customHeight="1">
      <x:c r="A6" s="975" t="str">
        <x:v>§2.1 Grundavgift</x:v>
      </x:c>
      <x:c r="B6" s="976"/>
      <x:c r="C6" s="976"/>
      <x:c r="D6" s="976"/>
      <x:c r="E6" s="977"/>
      <x:c r="F6" s="979"/>
      <x:c r="G6" s="976"/>
      <x:c r="H6" s="976"/>
      <x:c r="I6" s="976"/>
      <x:c r="J6" s="976"/>
      <x:c r="K6" s="976"/>
      <x:c r="L6" s="976"/>
      <x:c r="M6" s="976"/>
      <x:c r="N6" s="977"/>
    </x:row>
    <x:row r="7">
      <x:c r="A7" s="965" t="str">
        <x:v>§2.1</x:v>
      </x:c>
      <x:c r="B7" s="965" t="str">
        <x:v>Grundavgift</x:v>
      </x:c>
      <x:c r="C7" s="965" t="str">
        <x:v>En- och tvåbostadshus</x:v>
      </x:c>
      <x:c r="D7" s="965"/>
      <x:c r="E7" s="965" t="str">
        <x:v>st/år</x:v>
      </x:c>
      <x:c r="F7" s="989" t="str">
        <x:v>GRUNDSMÅ</x:v>
      </x:c>
      <x:c r="G7" s="996" t="str">
        <x:f>IF($F7&lt;&gt;"",$F7,IFERROR(_xlfn.XLOOKUP(ROW(),Taxa_Saknas!$H:$H,Taxa_Saknas!$G:$G),""))</x:f>
        <x:v>GRUNDSMÅ</x:v>
      </x:c>
      <x:c r="H7" s="1003" t="e">
        <x:f>IF($F7&lt;&gt;"",IFERROR(_xlfn.XLOOKUP($F7,Taxa_från_edp!$B:$B,Taxa_från_edp!C:C),""),"")</x:f>
      </x:c>
      <x:c r="I7" s="1004" t="e">
        <x:f>IF($F7&lt;&gt;"",IFERROR(_xlfn.XLOOKUP($F7,Taxa_från_edp!$B:$B,Taxa_från_edp!G:G),""),"")</x:f>
      </x:c>
      <x:c r="J7" s="1005" t="e">
        <x:f>IF($F7&lt;&gt;"",IFERROR(_xlfn.XLOOKUP($F7,Taxa_från_edp!$B:$B,Taxa_från_edp!K:K),""),"")</x:f>
      </x:c>
      <x:c r="K7" s="1016"/>
      <x:c r="L7" s="1022"/>
      <x:c r="M7" s="1029" t="str">
        <x:f>IFERROR(IF(J7&lt;&gt;"",J7*1.25,IF(K7&lt;&gt;"",K7*1.25,"")),"")</x:f>
      </x:c>
      <x:c r="N7" s="1030" t="str">
        <x:f>IFERROR(IF(J7&lt;&gt;"",L7*J7,IF(K7&lt;&gt;"",L7*K7,"")),"")</x:f>
      </x:c>
    </x:row>
    <x:row r="8">
      <x:c r="A8" s="965" t="str">
        <x:v>§2.1</x:v>
      </x:c>
      <x:c r="B8" s="965" t="str">
        <x:v>Grundavgift</x:v>
      </x:c>
      <x:c r="C8" s="965" t="str">
        <x:v>Fritidshus</x:v>
      </x:c>
      <x:c r="D8" s="965"/>
      <x:c r="E8" s="965" t="str">
        <x:v>st/år</x:v>
      </x:c>
      <x:c r="F8" s="989" t="str">
        <x:v>GRUNDFRI</x:v>
      </x:c>
      <x:c r="G8" s="996" t="str">
        <x:f>IF($F8&lt;&gt;"",$F8,IFERROR(_xlfn.XLOOKUP(ROW(),Taxa_Saknas!$H:$H,Taxa_Saknas!$G:$G),""))</x:f>
        <x:v>GRUNDFRI</x:v>
      </x:c>
      <x:c r="H8" s="1003" t="e">
        <x:f>IF($F8&lt;&gt;"",IFERROR(_xlfn.XLOOKUP($F8,Taxa_från_edp!$B:$B,Taxa_från_edp!C:C),""),"")</x:f>
      </x:c>
      <x:c r="I8" s="1004" t="e">
        <x:f>IF($F8&lt;&gt;"",IFERROR(_xlfn.XLOOKUP($F8,Taxa_från_edp!$B:$B,Taxa_från_edp!G:G),""),"")</x:f>
      </x:c>
      <x:c r="J8" s="1005" t="e">
        <x:f>IF($F8&lt;&gt;"",IFERROR(_xlfn.XLOOKUP($F8,Taxa_från_edp!$B:$B,Taxa_från_edp!K:K),""),"")</x:f>
      </x:c>
      <x:c r="K8" s="1016"/>
      <x:c r="L8" s="1022"/>
      <x:c r="M8" s="1029" t="str">
        <x:f>IFERROR(IF(J8&lt;&gt;"",J8*1.25,IF(K8&lt;&gt;"",K8*1.25,"")),"")</x:f>
      </x:c>
      <x:c r="N8" s="1030" t="str">
        <x:f>IFERROR(IF(J8&lt;&gt;"",L8*J8,IF(K8&lt;&gt;"",L8*K8,"")),"")</x:f>
      </x:c>
    </x:row>
    <x:row r="9">
      <x:c r="A9" s="965" t="str">
        <x:v>§2.1</x:v>
      </x:c>
      <x:c r="B9" s="965" t="str">
        <x:v>Grundavgift</x:v>
      </x:c>
      <x:c r="C9" s="965" t="str">
        <x:v>Verksamhet</x:v>
      </x:c>
      <x:c r="D9" s="965"/>
      <x:c r="E9" s="965" t="str">
        <x:v>st/år</x:v>
      </x:c>
      <x:c r="F9" s="989" t="str">
        <x:v>GRUNDVHT</x:v>
      </x:c>
      <x:c r="G9" s="996" t="str">
        <x:f>IF($F9&lt;&gt;"",$F9,IFERROR(_xlfn.XLOOKUP(ROW(),Taxa_Saknas!$H:$H,Taxa_Saknas!$G:$G),""))</x:f>
        <x:v>GRUNDVHT</x:v>
      </x:c>
      <x:c r="H9" s="1003" t="e">
        <x:f>IF($F9&lt;&gt;"",IFERROR(_xlfn.XLOOKUP($F9,Taxa_från_edp!$B:$B,Taxa_från_edp!C:C),""),"")</x:f>
      </x:c>
      <x:c r="I9" s="1004" t="e">
        <x:f>IF($F9&lt;&gt;"",IFERROR(_xlfn.XLOOKUP($F9,Taxa_från_edp!$B:$B,Taxa_från_edp!G:G),""),"")</x:f>
      </x:c>
      <x:c r="J9" s="1005" t="e">
        <x:f>IF($F9&lt;&gt;"",IFERROR(_xlfn.XLOOKUP($F9,Taxa_från_edp!$B:$B,Taxa_från_edp!K:K),""),"")</x:f>
      </x:c>
      <x:c r="K9" s="1016"/>
      <x:c r="L9" s="1022"/>
      <x:c r="M9" s="1029" t="str">
        <x:f>IFERROR(IF(J9&lt;&gt;"",J9*1.25,IF(K9&lt;&gt;"",K9*1.25,"")),"")</x:f>
      </x:c>
      <x:c r="N9" s="1030" t="str">
        <x:f>IFERROR(IF(J9&lt;&gt;"",L9*J9,IF(K9&lt;&gt;"",L9*K9,"")),"")</x:f>
      </x:c>
    </x:row>
    <x:row r="10">
      <x:c r="A10" s="965" t="str">
        <x:v>§2.1</x:v>
      </x:c>
      <x:c r="B10" s="965" t="str">
        <x:v>Grundavgift</x:v>
      </x:c>
      <x:c r="C10" s="965" t="str">
        <x:v>Lägenhet i flerbostadshus</x:v>
      </x:c>
      <x:c r="D10" s="965"/>
      <x:c r="E10" s="965" t="str">
        <x:v>st/år</x:v>
      </x:c>
      <x:c r="F10" s="989" t="str">
        <x:v>GRUNDFLB</x:v>
      </x:c>
      <x:c r="G10" s="996" t="str">
        <x:f>IF($F10&lt;&gt;"",$F10,IFERROR(_xlfn.XLOOKUP(ROW(),Taxa_Saknas!$H:$H,Taxa_Saknas!$G:$G),""))</x:f>
        <x:v>GRUNDFLB</x:v>
      </x:c>
      <x:c r="H10" s="1003" t="e">
        <x:f>IF($F10&lt;&gt;"",IFERROR(_xlfn.XLOOKUP($F10,Taxa_från_edp!$B:$B,Taxa_från_edp!C:C),""),"")</x:f>
      </x:c>
      <x:c r="I10" s="1004" t="e">
        <x:f>IF($F10&lt;&gt;"",IFERROR(_xlfn.XLOOKUP($F10,Taxa_från_edp!$B:$B,Taxa_från_edp!G:G),""),"")</x:f>
      </x:c>
      <x:c r="J10" s="1005" t="e">
        <x:f>IF($F10&lt;&gt;"",IFERROR(_xlfn.XLOOKUP($F10,Taxa_från_edp!$B:$B,Taxa_från_edp!K:K),""),"")</x:f>
      </x:c>
      <x:c r="K10" s="1016"/>
      <x:c r="L10" s="1022"/>
      <x:c r="M10" s="1029" t="str">
        <x:f>IFERROR(IF(J10&lt;&gt;"",J10*1.25,IF(K10&lt;&gt;"",K10*1.25,"")),"")</x:f>
      </x:c>
      <x:c r="N10" s="1030" t="str">
        <x:f>IFERROR(IF(J10&lt;&gt;"",L10*J10,IF(K10&lt;&gt;"",L10*K10,"")),"")</x:f>
      </x:c>
    </x:row>
    <x:row r="11">
      <x:c r="A11" s="965" t="str">
        <x:v>§2.1</x:v>
      </x:c>
      <x:c r="B11" s="965" t="str">
        <x:v>Grundavgift</x:v>
      </x:c>
      <x:c r="C11" s="965" t="str">
        <x:v>Lägenhet för specialändamål</x:v>
      </x:c>
      <x:c r="D11" s="965"/>
      <x:c r="E11" s="965" t="str">
        <x:v>st/år</x:v>
      </x:c>
      <x:c r="F11" s="989"/>
      <x:c r="G11" s="996" t="str">
        <x:f>IF($F11&lt;&gt;"",$F11,IFERROR(_xlfn.XLOOKUP(ROW(),Taxa_Saknas!$H:$H,Taxa_Saknas!$G:$G),""))</x:f>
        <x:v>GRUNDSPEC</x:v>
      </x:c>
      <x:c r="H11" s="1003" t="e">
        <x:f>IF($F11&lt;&gt;"",IFERROR(_xlfn.XLOOKUP($F11,Taxa_från_edp!$B:$B,Taxa_från_edp!C:C),""),"")</x:f>
      </x:c>
      <x:c r="I11" s="1004" t="e">
        <x:f>IF($F11&lt;&gt;"",IFERROR(_xlfn.XLOOKUP($F11,Taxa_från_edp!$B:$B,Taxa_från_edp!G:G),""),"")</x:f>
      </x:c>
      <x:c r="J11" s="1005" t="e">
        <x:f>IF($F11&lt;&gt;"",IFERROR(_xlfn.XLOOKUP($F11,Taxa_från_edp!$B:$B,Taxa_från_edp!K:K),""),"")</x:f>
      </x:c>
      <x:c r="K11" s="1016"/>
      <x:c r="L11" s="1022"/>
      <x:c r="M11" s="1029" t="str">
        <x:f>IFERROR(IF(J11&lt;&gt;"",J11*1.25,IF(K11&lt;&gt;"",K11*1.25,"")),"")</x:f>
      </x:c>
      <x:c r="N11" s="1030" t="str">
        <x:f>IFERROR(IF(J11&lt;&gt;"",L11*J11,IF(K11&lt;&gt;"",L11*K11,"")),"")</x:f>
      </x:c>
    </x:row>
    <x:row r="12">
      <x:c r="A12" s="965" t="str">
        <x:v>§2.1</x:v>
      </x:c>
      <x:c r="B12" s="965" t="str">
        <x:v>Grundavgift</x:v>
      </x:c>
      <x:c r="C12" s="965" t="str">
        <x:v>Anläggning</x:v>
      </x:c>
      <x:c r="D12" s="965"/>
      <x:c r="E12" s="965" t="str">
        <x:v>st/år</x:v>
      </x:c>
      <x:c r="F12" s="989"/>
      <x:c r="G12" s="996" t="str">
        <x:f>IF($F12&lt;&gt;"",$F12,IFERROR(_xlfn.XLOOKUP(ROW(),Taxa_Saknas!$H:$H,Taxa_Saknas!$G:$G),""))</x:f>
        <x:v>GRUNDANL</x:v>
      </x:c>
      <x:c r="H12" s="1003" t="e">
        <x:f>IF($F12&lt;&gt;"",IFERROR(_xlfn.XLOOKUP($F12,Taxa_från_edp!$B:$B,Taxa_från_edp!C:C),""),"")</x:f>
      </x:c>
      <x:c r="I12" s="1004" t="e">
        <x:f>IF($F12&lt;&gt;"",IFERROR(_xlfn.XLOOKUP($F12,Taxa_från_edp!$B:$B,Taxa_från_edp!G:G),""),"")</x:f>
      </x:c>
      <x:c r="J12" s="1005" t="e">
        <x:f>IF($F12&lt;&gt;"",IFERROR(_xlfn.XLOOKUP($F12,Taxa_från_edp!$B:$B,Taxa_från_edp!K:K),""),"")</x:f>
      </x:c>
      <x:c r="K12" s="1016"/>
      <x:c r="L12" s="1022"/>
      <x:c r="M12" s="1029" t="str">
        <x:f>IFERROR(IF(J12&lt;&gt;"",J12*1.25,IF(K12&lt;&gt;"",K12*1.25,"")),"")</x:f>
      </x:c>
      <x:c r="N12" s="1030" t="str">
        <x:f>IFERROR(IF(J12&lt;&gt;"",L12*J12,IF(K12&lt;&gt;"",L12*K12,"")),"")</x:f>
      </x:c>
    </x:row>
    <x:row r="13">
      <x:c r="A13" s="965" t="str">
        <x:v>§2.1</x:v>
      </x:c>
      <x:c r="B13" s="965" t="str">
        <x:v>Grundavgift</x:v>
      </x:c>
      <x:c r="C13" s="965" t="str">
        <x:v>Säsongsbaserad uppställningsplats</x:v>
      </x:c>
      <x:c r="D13" s="965"/>
      <x:c r="E13" s="965" t="str">
        <x:v>st/år</x:v>
      </x:c>
      <x:c r="F13" s="989"/>
      <x:c r="G13" s="996" t="str">
        <x:f>IF($F13&lt;&gt;"",$F13,IFERROR(_xlfn.XLOOKUP(ROW(),Taxa_Saknas!$H:$H,Taxa_Saknas!$G:$G),""))</x:f>
        <x:v>GRUNDSÄS</x:v>
      </x:c>
      <x:c r="H13" s="1003" t="e">
        <x:f>IF($F13&lt;&gt;"",IFERROR(_xlfn.XLOOKUP($F13,Taxa_från_edp!$B:$B,Taxa_från_edp!C:C),""),"")</x:f>
      </x:c>
      <x:c r="I13" s="1004" t="e">
        <x:f>IF($F13&lt;&gt;"",IFERROR(_xlfn.XLOOKUP($F13,Taxa_från_edp!$B:$B,Taxa_från_edp!G:G),""),"")</x:f>
      </x:c>
      <x:c r="J13" s="1005" t="e">
        <x:f>IF($F13&lt;&gt;"",IFERROR(_xlfn.XLOOKUP($F13,Taxa_från_edp!$B:$B,Taxa_från_edp!K:K),""),"")</x:f>
      </x:c>
      <x:c r="K13" s="1016"/>
      <x:c r="L13" s="1022"/>
      <x:c r="M13" s="1029" t="str">
        <x:f>IFERROR(IF(J13&lt;&gt;"",J13*1.25,IF(K13&lt;&gt;"",K13*1.25,"")),"")</x:f>
      </x:c>
      <x:c r="N13" s="1030" t="str">
        <x:f>IFERROR(IF(J13&lt;&gt;"",L13*J13,IF(K13&lt;&gt;"",L13*K13,"")),"")</x:f>
      </x:c>
    </x:row>
    <x:row r="14">
      <x:c r="A14" s="965" t="str">
        <x:v>§2.1</x:v>
      </x:c>
      <x:c r="B14" s="965" t="str">
        <x:v>Grundavgift</x:v>
      </x:c>
      <x:c r="C14" s="965" t="str">
        <x:v>Campingstuga/-lägenhet</x:v>
      </x:c>
      <x:c r="D14" s="965"/>
      <x:c r="E14" s="965" t="str">
        <x:v>st/år</x:v>
      </x:c>
      <x:c r="F14" s="989"/>
      <x:c r="G14" s="996" t="str">
        <x:f>IF($F14&lt;&gt;"",$F14,IFERROR(_xlfn.XLOOKUP(ROW(),Taxa_Saknas!$H:$H,Taxa_Saknas!$G:$G),""))</x:f>
        <x:v>GRUNDCAMP</x:v>
      </x:c>
      <x:c r="H14" s="1003" t="e">
        <x:f>IF($F14&lt;&gt;"",IFERROR(_xlfn.XLOOKUP($F14,Taxa_från_edp!$B:$B,Taxa_från_edp!C:C),""),"")</x:f>
      </x:c>
      <x:c r="I14" s="1004" t="e">
        <x:f>IF($F14&lt;&gt;"",IFERROR(_xlfn.XLOOKUP($F14,Taxa_från_edp!$B:$B,Taxa_från_edp!G:G),""),"")</x:f>
      </x:c>
      <x:c r="J14" s="1005" t="e">
        <x:f>IF($F14&lt;&gt;"",IFERROR(_xlfn.XLOOKUP($F14,Taxa_från_edp!$B:$B,Taxa_från_edp!K:K),""),"")</x:f>
      </x:c>
      <x:c r="K14" s="1016"/>
      <x:c r="L14" s="1022"/>
      <x:c r="M14" s="1029" t="str">
        <x:f>IFERROR(IF(J14&lt;&gt;"",J14*1.25,IF(K14&lt;&gt;"",K14*1.25,"")),"")</x:f>
      </x:c>
      <x:c r="N14" s="1030" t="str">
        <x:f>IFERROR(IF(J14&lt;&gt;"",L14*J14,IF(K14&lt;&gt;"",L14*K14,"")),"")</x:f>
      </x:c>
    </x:row>
    <x:row r="15" s="54" customFormat="1" ht="45" customHeight="1">
      <x:c r="A15" s="965" t="str">
        <x:v>§2.1</x:v>
      </x:c>
      <x:c r="B15" s="965" t="str">
        <x:v>Grundavgift</x:v>
      </x:c>
      <x:c r="C15" s="967" t="str">
        <x:v>Administrativ avgift vid beviljad dispens om uppehåll i hämtning eller eget omhändertagande av avfall under kommunalt ansvar</x:v>
      </x:c>
      <x:c r="D15" s="965"/>
      <x:c r="E15" s="965" t="str">
        <x:v>st/år</x:v>
      </x:c>
      <x:c r="F15" s="989"/>
      <x:c r="G15" s="996" t="str">
        <x:f>IF($F15&lt;&gt;"",$F15,IFERROR(_xlfn.XLOOKUP(ROW(),Taxa_Saknas!$H:$H,Taxa_Saknas!$G:$G),""))</x:f>
        <x:v>ADMINDISP</x:v>
      </x:c>
      <x:c r="H15" s="1003" t="e">
        <x:f>IF($F15&lt;&gt;"",IFERROR(_xlfn.XLOOKUP($F15,Taxa_från_edp!$B:$B,Taxa_från_edp!C:C),""),"")</x:f>
      </x:c>
      <x:c r="I15" s="1004" t="e">
        <x:f>IF($F15&lt;&gt;"",IFERROR(_xlfn.XLOOKUP($F15,Taxa_från_edp!$B:$B,Taxa_från_edp!G:G),""),"")</x:f>
      </x:c>
      <x:c r="J15" s="1005" t="e">
        <x:f>IF($F15&lt;&gt;"",IFERROR(_xlfn.XLOOKUP($F15,Taxa_från_edp!$B:$B,Taxa_från_edp!K:K),""),"")</x:f>
      </x:c>
      <x:c r="K15" s="1016"/>
      <x:c r="L15" s="1022"/>
      <x:c r="M15" s="1029" t="str">
        <x:f>IFERROR(IF(J15&lt;&gt;"",J15*1.25,IF(K15&lt;&gt;"",K15*1.25,"")),"")</x:f>
      </x:c>
      <x:c r="N15" s="1030" t="str">
        <x:f>IFERROR(IF(J15&lt;&gt;"",L15*J15,IF(K15&lt;&gt;"",L15*K15,"")),"")</x:f>
      </x:c>
    </x:row>
    <x:row r="16" ht="22" customHeight="1">
      <x:c r="A16" s="975" t="str">
        <x:v>§2.1</x:v>
      </x:c>
      <x:c r="B16" s="976"/>
      <x:c r="C16" s="976"/>
      <x:c r="D16" s="976"/>
      <x:c r="E16" s="977"/>
      <x:c r="F16" s="979"/>
      <x:c r="G16" s="976" t="str">
        <x:f>IF($F16&lt;&gt;"",$F16,IFERROR(_xlfn.XLOOKUP(ROW(),Taxa_Saknas!$H:$H,Taxa_Saknas!$G:$G),""))</x:f>
      </x:c>
      <x:c r="H16" s="976" t="e">
        <x:f>IF($F16&lt;&gt;"",IFERROR(_xlfn.XLOOKUP($F16,Taxa_från_edp!$B:$B,Taxa_från_edp!C:C),""),"")</x:f>
      </x:c>
      <x:c r="I16" s="976" t="e">
        <x:f>IF($F16&lt;&gt;"",IFERROR(_xlfn.XLOOKUP($F16,Taxa_från_edp!$B:$B,Taxa_från_edp!G:G),""),"")</x:f>
      </x:c>
      <x:c r="J16" s="976" t="e">
        <x:f>IF($F16&lt;&gt;"",IFERROR(_xlfn.XLOOKUP($F16,Taxa_från_edp!$B:$B,Taxa_från_edp!K:K),""),"")</x:f>
      </x:c>
      <x:c r="K16" s="976"/>
      <x:c r="L16" s="976"/>
      <x:c r="M16" s="976" t="str">
        <x:f>IFERROR(IF(J16&lt;&gt;"",J16*1.25,IF(K16&lt;&gt;"",K16*1.25,"")),"")</x:f>
      </x:c>
      <x:c r="N16" s="977" t="str">
        <x:f>IFERROR(IF(J16&lt;&gt;"",L16*J16,IF(K16&lt;&gt;"",L16*K16,"")),"")</x:f>
      </x:c>
    </x:row>
    <x:row r="17" s="54" customFormat="1" ht="22" customHeight="1">
      <x:c r="A17" s="975" t="str">
        <x:v>§2.2.1 Hämtningsavgift per år för en- och tvåbostadshus</x:v>
      </x:c>
      <x:c r="B17" s="980"/>
      <x:c r="C17" s="980"/>
      <x:c r="D17" s="980"/>
      <x:c r="E17" s="981"/>
      <x:c r="F17" s="975"/>
      <x:c r="G17" s="980" t="str">
        <x:f>IF($F17&lt;&gt;"",$F17,IFERROR(_xlfn.XLOOKUP(ROW(),Taxa_Saknas!$H:$H,Taxa_Saknas!$G:$G),""))</x:f>
      </x:c>
      <x:c r="H17" s="980" t="e">
        <x:f>IF($F17&lt;&gt;"",IFERROR(_xlfn.XLOOKUP($F17,Taxa_från_edp!$B:$B,Taxa_från_edp!C:C),""),"")</x:f>
      </x:c>
      <x:c r="I17" s="983" t="e">
        <x:f>IF($F17&lt;&gt;"",IFERROR(_xlfn.XLOOKUP($F17,Taxa_från_edp!$B:$B,Taxa_från_edp!G:G),""),"")</x:f>
      </x:c>
      <x:c r="J17" s="983" t="e">
        <x:f>IF($F17&lt;&gt;"",IFERROR(_xlfn.XLOOKUP($F17,Taxa_från_edp!$B:$B,Taxa_från_edp!K:K),""),"")</x:f>
      </x:c>
      <x:c r="K17" s="983"/>
      <x:c r="L17" s="983"/>
      <x:c r="M17" s="976" t="str">
        <x:f>IFERROR(IF(J17&lt;&gt;"",J17*1.25,IF(K17&lt;&gt;"",K17*1.25,"")),"")</x:f>
      </x:c>
      <x:c r="N17" s="977" t="str">
        <x:f>IFERROR(IF(J17&lt;&gt;"",L17*J17,IF(K17&lt;&gt;"",L17*K17,"")),"")</x:f>
      </x:c>
    </x:row>
    <x:row r="18" s="54" customFormat="1" ht="30" customHeight="1">
      <x:c r="A18" s="965" t="str">
        <x:v>§2.2.1</x:v>
      </x:c>
      <x:c r="B18" s="965" t="str">
        <x:v>Hämtningsavgift per år för en- och tvåbostadshus</x:v>
      </x:c>
      <x:c r="C18" s="965" t="str">
        <x:v>Kärl 240 l (mat-/restavfall)</x:v>
      </x:c>
      <x:c r="D18" s="965" t="str">
        <x:v>Hämtning var 14:e dag</x:v>
      </x:c>
      <x:c r="E18" s="965" t="str">
        <x:v>st/år</x:v>
      </x:c>
      <x:c r="F18" s="989" t="str">
        <x:v>KÄ240RM26</x:v>
      </x:c>
      <x:c r="G18" s="996" t="str">
        <x:f>IF($F18&lt;&gt;"",$F18,IFERROR(_xlfn.XLOOKUP(ROW(),Taxa_Saknas!$H:$H,Taxa_Saknas!$G:$G),""))</x:f>
        <x:v>KÄ240RM26</x:v>
      </x:c>
      <x:c r="H18" s="1003" t="e">
        <x:f>IF($F18&lt;&gt;"",IFERROR(_xlfn.XLOOKUP($F18,Taxa_från_edp!$B:$B,Taxa_från_edp!C:C),""),"")</x:f>
      </x:c>
      <x:c r="I18" s="1004" t="e">
        <x:f>IF($F18&lt;&gt;"",IFERROR(_xlfn.XLOOKUP($F18,Taxa_från_edp!$B:$B,Taxa_från_edp!G:G),""),"")</x:f>
      </x:c>
      <x:c r="J18" s="1005" t="e">
        <x:f>IF($F18&lt;&gt;"",IFERROR(_xlfn.XLOOKUP($F18,Taxa_från_edp!$B:$B,Taxa_från_edp!K:K),""),"")</x:f>
      </x:c>
      <x:c r="K18" s="1016"/>
      <x:c r="L18" s="1022"/>
      <x:c r="M18" s="1029" t="str">
        <x:f>IFERROR(IF(J18&lt;&gt;"",J18*1.25,IF(K18&lt;&gt;"",K18*1.25,"")),"")</x:f>
      </x:c>
      <x:c r="N18" s="1030" t="str">
        <x:f>IFERROR(IF(J18&lt;&gt;"",L18*J18,IF(K18&lt;&gt;"",L18*K18,"")),"")</x:f>
      </x:c>
    </x:row>
    <x:row r="19" s="54" customFormat="1" ht="30" customHeight="1">
      <x:c r="A19" s="965" t="str">
        <x:v>§2.2.1</x:v>
      </x:c>
      <x:c r="B19" s="965" t="str">
        <x:v>Hämtningsavgift per år för en- och tvåbostadshus</x:v>
      </x:c>
      <x:c r="C19" s="965" t="str">
        <x:v>Kärl 240 l (mat-/restavfall)</x:v>
      </x:c>
      <x:c r="D19" s="965" t="str">
        <x:v>Hämtning månadsvis</x:v>
      </x:c>
      <x:c r="E19" s="965" t="str">
        <x:v>st/år</x:v>
      </x:c>
      <x:c r="F19" s="989"/>
      <x:c r="G19" s="996" t="str">
        <x:f>IF($F19&lt;&gt;"",$F19,IFERROR(_xlfn.XLOOKUP(ROW(),Taxa_Saknas!$H:$H,Taxa_Saknas!$G:$G),""))</x:f>
        <x:v>KÄ240RM12</x:v>
      </x:c>
      <x:c r="H19" s="1003" t="e">
        <x:f>IF($F19&lt;&gt;"",IFERROR(_xlfn.XLOOKUP($F19,Taxa_från_edp!$B:$B,Taxa_från_edp!C:C),""),"")</x:f>
      </x:c>
      <x:c r="I19" s="1004" t="e">
        <x:f>IF($F19&lt;&gt;"",IFERROR(_xlfn.XLOOKUP($F19,Taxa_från_edp!$B:$B,Taxa_från_edp!G:G),""),"")</x:f>
      </x:c>
      <x:c r="J19" s="1005" t="e">
        <x:f>IF($F19&lt;&gt;"",IFERROR(_xlfn.XLOOKUP($F19,Taxa_från_edp!$B:$B,Taxa_från_edp!K:K),""),"")</x:f>
      </x:c>
      <x:c r="K19" s="1016"/>
      <x:c r="L19" s="1022"/>
      <x:c r="M19" s="1029" t="str">
        <x:f>IFERROR(IF(J19&lt;&gt;"",J19*1.25,IF(K19&lt;&gt;"",K19*1.25,"")),"")</x:f>
      </x:c>
      <x:c r="N19" s="1030" t="str">
        <x:f>IFERROR(IF(J19&lt;&gt;"",L19*J19,IF(K19&lt;&gt;"",L19*K19,"")),"")</x:f>
      </x:c>
    </x:row>
    <x:row r="20" s="54" customFormat="1" ht="30" customHeight="1">
      <x:c r="A20" s="965" t="str">
        <x:v>§2.2.1</x:v>
      </x:c>
      <x:c r="B20" s="965" t="str">
        <x:v>Hämtningsavgift per år för en- och tvåbostadshus</x:v>
      </x:c>
      <x:c r="C20" s="965" t="str">
        <x:v>Extrakärl 190 l (restavfall)</x:v>
      </x:c>
      <x:c r="D20" s="965" t="str">
        <x:v>Hämtning var 14:e dag</x:v>
      </x:c>
      <x:c r="E20" s="965" t="str">
        <x:v>st/år</x:v>
      </x:c>
      <x:c r="F20" s="989" t="str">
        <x:v>KÄ190XRM26</x:v>
      </x:c>
      <x:c r="G20" s="996" t="str">
        <x:f>IF($F20&lt;&gt;"",$F20,IFERROR(_xlfn.XLOOKUP(ROW(),Taxa_Saknas!$H:$H,Taxa_Saknas!$G:$G),""))</x:f>
        <x:v>KÄ190XRM26</x:v>
      </x:c>
      <x:c r="H20" s="1003" t="e">
        <x:f>IF($F20&lt;&gt;"",IFERROR(_xlfn.XLOOKUP($F20,Taxa_från_edp!$B:$B,Taxa_från_edp!C:C),""),"")</x:f>
      </x:c>
      <x:c r="I20" s="1004" t="e">
        <x:f>IF($F20&lt;&gt;"",IFERROR(_xlfn.XLOOKUP($F20,Taxa_från_edp!$B:$B,Taxa_från_edp!G:G),""),"")</x:f>
      </x:c>
      <x:c r="J20" s="1005" t="e">
        <x:f>IF($F20&lt;&gt;"",IFERROR(_xlfn.XLOOKUP($F20,Taxa_från_edp!$B:$B,Taxa_från_edp!K:K),""),"")</x:f>
      </x:c>
      <x:c r="K20" s="1016"/>
      <x:c r="L20" s="1022"/>
      <x:c r="M20" s="1029" t="str">
        <x:f>IFERROR(IF(J20&lt;&gt;"",J20*1.25,IF(K20&lt;&gt;"",K20*1.25,"")),"")</x:f>
      </x:c>
      <x:c r="N20" s="1030" t="str">
        <x:f>IFERROR(IF(J20&lt;&gt;"",L20*J20,IF(K20&lt;&gt;"",L20*K20,"")),"")</x:f>
      </x:c>
    </x:row>
    <x:row r="21" s="54" customFormat="1" ht="30" customHeight="1">
      <x:c r="A21" s="965" t="str">
        <x:v>§2.2.1</x:v>
      </x:c>
      <x:c r="B21" s="965" t="str">
        <x:v>Hämtningsavgift per år för en- och tvåbostadshus</x:v>
      </x:c>
      <x:c r="C21" s="965" t="str">
        <x:v>Extrakärl 190 l (restavfall)</x:v>
      </x:c>
      <x:c r="D21" s="965" t="str">
        <x:v>Hämtning månadsvis</x:v>
      </x:c>
      <x:c r="E21" s="965" t="str">
        <x:v>st/år</x:v>
      </x:c>
      <x:c r="F21" s="989"/>
      <x:c r="G21" s="996" t="str">
        <x:f>IF($F21&lt;&gt;"",$F21,IFERROR(_xlfn.XLOOKUP(ROW(),Taxa_Saknas!$H:$H,Taxa_Saknas!$G:$G),""))</x:f>
        <x:v>KÄ190XRM12</x:v>
      </x:c>
      <x:c r="H21" s="1003" t="e">
        <x:f>IF($F21&lt;&gt;"",IFERROR(_xlfn.XLOOKUP($F21,Taxa_från_edp!$B:$B,Taxa_från_edp!C:C),""),"")</x:f>
      </x:c>
      <x:c r="I21" s="1004" t="e">
        <x:f>IF($F21&lt;&gt;"",IFERROR(_xlfn.XLOOKUP($F21,Taxa_från_edp!$B:$B,Taxa_från_edp!G:G),""),"")</x:f>
      </x:c>
      <x:c r="J21" s="1005" t="e">
        <x:f>IF($F21&lt;&gt;"",IFERROR(_xlfn.XLOOKUP($F21,Taxa_från_edp!$B:$B,Taxa_från_edp!K:K),""),"")</x:f>
      </x:c>
      <x:c r="K21" s="1016"/>
      <x:c r="L21" s="1022"/>
      <x:c r="M21" s="1029" t="str">
        <x:f>IFERROR(IF(J21&lt;&gt;"",J21*1.25,IF(K21&lt;&gt;"",K21*1.25,"")),"")</x:f>
      </x:c>
      <x:c r="N21" s="1030" t="str">
        <x:f>IFERROR(IF(J21&lt;&gt;"",L21*J21,IF(K21&lt;&gt;"",L21*K21,"")),"")</x:f>
      </x:c>
    </x:row>
    <x:row r="22">
      <x:c r="A22" s="965" t="str">
        <x:v>§2.2.1</x:v>
      </x:c>
      <x:c r="B22" s="969" t="str">
        <x:v>Hämtningsavgift per år för en- och tvåbostadshus</x:v>
      </x:c>
      <x:c r="C22" s="969" t="str">
        <x:v>Kärl 370 l (papper-/plastförpackningar)</x:v>
      </x:c>
      <x:c r="D22" s="969" t="str">
        <x:v>Kostnadsfritt</x:v>
      </x:c>
      <x:c r="E22" s="969" t="str">
        <x:v>st/år</x:v>
      </x:c>
      <x:c r="F22" s="991"/>
      <x:c r="G22" s="998" t="str">
        <x:f>IF($F22&lt;&gt;"",$F22,IFERROR(_xlfn.XLOOKUP(ROW(),Taxa_Saknas!$H:$H,Taxa_Saknas!$G:$G),""))</x:f>
        <x:v>KÄ370FP</x:v>
      </x:c>
      <x:c r="H22" s="1008" t="e">
        <x:f>IF($F22&lt;&gt;"",IFERROR(_xlfn.XLOOKUP($F22,Taxa_från_edp!$B:$B,Taxa_från_edp!C:C),""),"")</x:f>
      </x:c>
      <x:c r="I22" s="1008" t="e">
        <x:f>IF($F22&lt;&gt;"",IFERROR(_xlfn.XLOOKUP($F22,Taxa_från_edp!$B:$B,Taxa_från_edp!G:G),""),"")</x:f>
      </x:c>
      <x:c r="J22" s="1008" t="e">
        <x:f>IF($F22&lt;&gt;"",IFERROR(_xlfn.XLOOKUP($F22,Taxa_från_edp!$B:$B,Taxa_från_edp!K:K),""),"")</x:f>
      </x:c>
      <x:c r="K22" s="998"/>
      <x:c r="L22" s="991"/>
      <x:c r="M22" s="1029" t="str">
        <x:f>IFERROR(IF(J22&lt;&gt;"",J22*1.25,IF(K22&lt;&gt;"",K22*1.25,"")),"")</x:f>
      </x:c>
      <x:c r="N22" s="1030" t="str">
        <x:f>IFERROR(IF(J22&lt;&gt;"",L22*J22,IF(K22&lt;&gt;"",L22*K22,"")),"")</x:f>
      </x:c>
    </x:row>
    <x:row r="23" s="54" customFormat="1" ht="22" customHeight="1">
      <x:c r="A23" s="975" t="str">
        <x:v>§2.2.1</x:v>
      </x:c>
      <x:c r="B23" s="980"/>
      <x:c r="C23" s="980"/>
      <x:c r="D23" s="980"/>
      <x:c r="E23" s="981"/>
      <x:c r="F23" s="975"/>
      <x:c r="G23" s="980" t="str">
        <x:f>IF($F23&lt;&gt;"",$F23,IFERROR(_xlfn.XLOOKUP(ROW(),Taxa_Saknas!$H:$H,Taxa_Saknas!$G:$G),""))</x:f>
      </x:c>
      <x:c r="H23" s="980" t="e">
        <x:f>IF($F23&lt;&gt;"",IFERROR(_xlfn.XLOOKUP($F23,Taxa_från_edp!$B:$B,Taxa_från_edp!C:C),""),"")</x:f>
      </x:c>
      <x:c r="I23" s="983" t="e">
        <x:f>IF($F23&lt;&gt;"",IFERROR(_xlfn.XLOOKUP($F23,Taxa_från_edp!$B:$B,Taxa_från_edp!G:G),""),"")</x:f>
      </x:c>
      <x:c r="J23" s="983" t="e">
        <x:f>IF($F23&lt;&gt;"",IFERROR(_xlfn.XLOOKUP($F23,Taxa_från_edp!$B:$B,Taxa_från_edp!K:K),""),"")</x:f>
      </x:c>
      <x:c r="K23" s="983"/>
      <x:c r="L23" s="983"/>
      <x:c r="M23" s="976" t="str">
        <x:f>IFERROR(IF(J23&lt;&gt;"",J23*1.25,IF(K23&lt;&gt;"",K23*1.25,"")),"")</x:f>
      </x:c>
      <x:c r="N23" s="977" t="str">
        <x:f>IFERROR(IF(J23&lt;&gt;"",L23*J23,IF(K23&lt;&gt;"",L23*K23,"")),"")</x:f>
      </x:c>
    </x:row>
    <x:row r="24" s="54" customFormat="1" ht="22" customHeight="1">
      <x:c r="A24" s="975" t="str">
        <x:v>§2.2.2 Hämtningsavgift per år för fritidshus</x:v>
      </x:c>
      <x:c r="B24" s="980"/>
      <x:c r="C24" s="980"/>
      <x:c r="D24" s="980"/>
      <x:c r="E24" s="981"/>
      <x:c r="F24" s="975"/>
      <x:c r="G24" s="980" t="str">
        <x:f>IF($F24&lt;&gt;"",$F24,IFERROR(_xlfn.XLOOKUP(ROW(),Taxa_Saknas!$H:$H,Taxa_Saknas!$G:$G),""))</x:f>
      </x:c>
      <x:c r="H24" s="980" t="e">
        <x:f>IF($F24&lt;&gt;"",IFERROR(_xlfn.XLOOKUP($F24,Taxa_från_edp!$B:$B,Taxa_från_edp!C:C),""),"")</x:f>
      </x:c>
      <x:c r="I24" s="983" t="e">
        <x:f>IF($F24&lt;&gt;"",IFERROR(_xlfn.XLOOKUP($F24,Taxa_från_edp!$B:$B,Taxa_från_edp!G:G),""),"")</x:f>
      </x:c>
      <x:c r="J24" s="983" t="e">
        <x:f>IF($F24&lt;&gt;"",IFERROR(_xlfn.XLOOKUP($F24,Taxa_från_edp!$B:$B,Taxa_från_edp!K:K),""),"")</x:f>
      </x:c>
      <x:c r="K24" s="983"/>
      <x:c r="L24" s="983"/>
      <x:c r="M24" s="976" t="str">
        <x:f>IFERROR(IF(J24&lt;&gt;"",J24*1.25,IF(K24&lt;&gt;"",K24*1.25,"")),"")</x:f>
      </x:c>
      <x:c r="N24" s="977" t="str">
        <x:f>IFERROR(IF(J24&lt;&gt;"",L24*J24,IF(K24&lt;&gt;"",L24*K24,"")),"")</x:f>
      </x:c>
    </x:row>
    <x:row r="25" s="54" customFormat="1" ht="45" customHeight="1">
      <x:c r="A25" s="965" t="str">
        <x:v>§2.2.2</x:v>
      </x:c>
      <x:c r="B25" s="965" t="str">
        <x:v>Hämtningsavgift per år för fritidshus</x:v>
      </x:c>
      <x:c r="C25" s="965" t="str">
        <x:v>Kärl 240 l (mat-/restavfall)</x:v>
      </x:c>
      <x:c r="D25" s="965" t="str">
        <x:v>Hämtning var 14:e dag</x:v>
      </x:c>
      <x:c r="E25" s="965" t="str">
        <x:v>st/år</x:v>
      </x:c>
      <x:c r="F25" s="989" t="str">
        <x:v>KÄ240RM26FRI</x:v>
      </x:c>
      <x:c r="G25" s="996" t="str">
        <x:f>IF($F25&lt;&gt;"",$F25,IFERROR(_xlfn.XLOOKUP(ROW(),Taxa_Saknas!$H:$H,Taxa_Saknas!$G:$G),""))</x:f>
        <x:v>KÄ240RM26FRI</x:v>
      </x:c>
      <x:c r="H25" s="1003" t="e">
        <x:f>IF($F25&lt;&gt;"",IFERROR(_xlfn.XLOOKUP($F25,Taxa_från_edp!$B:$B,Taxa_från_edp!C:C),""),"")</x:f>
      </x:c>
      <x:c r="I25" s="1004" t="e">
        <x:f>IF($F25&lt;&gt;"",IFERROR(_xlfn.XLOOKUP($F25,Taxa_från_edp!$B:$B,Taxa_från_edp!G:G),""),"")</x:f>
      </x:c>
      <x:c r="J25" s="1005" t="e">
        <x:f>IF($F25&lt;&gt;"",IFERROR(_xlfn.XLOOKUP($F25,Taxa_från_edp!$B:$B,Taxa_från_edp!K:K),""),"")</x:f>
      </x:c>
      <x:c r="K25" s="1016"/>
      <x:c r="L25" s="1022"/>
      <x:c r="M25" s="1029" t="str">
        <x:f>IFERROR(IF(J25&lt;&gt;"",J25*1.25,IF(K25&lt;&gt;"",K25*1.25,"")),"")</x:f>
      </x:c>
      <x:c r="N25" s="1030" t="str">
        <x:f>IFERROR(IF(J25&lt;&gt;"",L25*J25,IF(K25&lt;&gt;"",L25*K25,"")),"")</x:f>
      </x:c>
    </x:row>
    <x:row r="26" s="54" customFormat="1" ht="45" customHeight="1">
      <x:c r="A26" s="965" t="str">
        <x:v>§2.2.2</x:v>
      </x:c>
      <x:c r="B26" s="965" t="str">
        <x:v>Hämtningsavgift per år för fritidshus</x:v>
      </x:c>
      <x:c r="C26" s="965" t="str">
        <x:v>Kärl 240 l (mat-/restavfall)</x:v>
      </x:c>
      <x:c r="D26" s="965" t="str">
        <x:v>Hämtning månadsvis</x:v>
      </x:c>
      <x:c r="E26" s="965" t="str">
        <x:v>st/år</x:v>
      </x:c>
      <x:c r="F26" s="989"/>
      <x:c r="G26" s="996" t="str">
        <x:f>IF($F26&lt;&gt;"",$F26,IFERROR(_xlfn.XLOOKUP(ROW(),Taxa_Saknas!$H:$H,Taxa_Saknas!$G:$G),""))</x:f>
        <x:v>KÄ240RM12FRI</x:v>
      </x:c>
      <x:c r="H26" s="1003" t="e">
        <x:f>IF($F26&lt;&gt;"",IFERROR(_xlfn.XLOOKUP($F26,Taxa_från_edp!$B:$B,Taxa_från_edp!C:C),""),"")</x:f>
      </x:c>
      <x:c r="I26" s="1004" t="e">
        <x:f>IF($F26&lt;&gt;"",IFERROR(_xlfn.XLOOKUP($F26,Taxa_från_edp!$B:$B,Taxa_från_edp!G:G),""),"")</x:f>
      </x:c>
      <x:c r="J26" s="1005" t="e">
        <x:f>IF($F26&lt;&gt;"",IFERROR(_xlfn.XLOOKUP($F26,Taxa_från_edp!$B:$B,Taxa_från_edp!K:K),""),"")</x:f>
      </x:c>
      <x:c r="K26" s="1016"/>
      <x:c r="L26" s="1022"/>
      <x:c r="M26" s="1029" t="str">
        <x:f>IFERROR(IF(J26&lt;&gt;"",J26*1.25,IF(K26&lt;&gt;"",K26*1.25,"")),"")</x:f>
      </x:c>
      <x:c r="N26" s="1030" t="str">
        <x:f>IFERROR(IF(J26&lt;&gt;"",L26*J26,IF(K26&lt;&gt;"",L26*K26,"")),"")</x:f>
      </x:c>
    </x:row>
    <x:row r="27" s="54" customFormat="1" ht="45" customHeight="1">
      <x:c r="A27" s="965" t="str">
        <x:v>§2.2.2</x:v>
      </x:c>
      <x:c r="B27" s="965" t="str">
        <x:v>Hämtningsavgift per år för fritidshus</x:v>
      </x:c>
      <x:c r="C27" s="965" t="str">
        <x:v>Extrakärl 190 l (restavfall)</x:v>
      </x:c>
      <x:c r="D27" s="965" t="str">
        <x:v>Hämtning var 14:e dag</x:v>
      </x:c>
      <x:c r="E27" s="965" t="str">
        <x:v>st/år</x:v>
      </x:c>
      <x:c r="F27" s="989"/>
      <x:c r="G27" s="996" t="str">
        <x:f>IF($F27&lt;&gt;"",$F27,IFERROR(_xlfn.XLOOKUP(ROW(),Taxa_Saknas!$H:$H,Taxa_Saknas!$G:$G),""))</x:f>
        <x:v>KÄ190XRM26FRI</x:v>
      </x:c>
      <x:c r="H27" s="1003" t="e">
        <x:f>IF($F27&lt;&gt;"",IFERROR(_xlfn.XLOOKUP($F27,Taxa_från_edp!$B:$B,Taxa_från_edp!C:C),""),"")</x:f>
      </x:c>
      <x:c r="I27" s="1004" t="e">
        <x:f>IF($F27&lt;&gt;"",IFERROR(_xlfn.XLOOKUP($F27,Taxa_från_edp!$B:$B,Taxa_från_edp!G:G),""),"")</x:f>
      </x:c>
      <x:c r="J27" s="1005" t="e">
        <x:f>IF($F27&lt;&gt;"",IFERROR(_xlfn.XLOOKUP($F27,Taxa_från_edp!$B:$B,Taxa_från_edp!K:K),""),"")</x:f>
      </x:c>
      <x:c r="K27" s="1016"/>
      <x:c r="L27" s="1022"/>
      <x:c r="M27" s="1029" t="str">
        <x:f>IFERROR(IF(J27&lt;&gt;"",J27*1.25,IF(K27&lt;&gt;"",K27*1.25,"")),"")</x:f>
      </x:c>
      <x:c r="N27" s="1030" t="str">
        <x:f>IFERROR(IF(J27&lt;&gt;"",L27*J27,IF(K27&lt;&gt;"",L27*K27,"")),"")</x:f>
      </x:c>
    </x:row>
    <x:row r="28">
      <x:c r="A28" s="965" t="str">
        <x:v>§2.2.2</x:v>
      </x:c>
      <x:c r="B28" s="969" t="str">
        <x:v>Hämtningsavgift per år för fritidshus</x:v>
      </x:c>
      <x:c r="C28" s="969" t="str">
        <x:v>Extrakärl 190 l (restavfall)</x:v>
      </x:c>
      <x:c r="D28" s="969" t="str">
        <x:v>Hämtning månadsvis</x:v>
      </x:c>
      <x:c r="E28" s="969" t="str">
        <x:v>st/år</x:v>
      </x:c>
      <x:c r="F28" s="991"/>
      <x:c r="G28" s="998" t="str">
        <x:f>IF($F28&lt;&gt;"",$F28,IFERROR(_xlfn.XLOOKUP(ROW(),Taxa_Saknas!$H:$H,Taxa_Saknas!$G:$G),""))</x:f>
        <x:v>KÄ190XRM12FRI</x:v>
      </x:c>
      <x:c r="H28" s="1008" t="e">
        <x:f>IF($F28&lt;&gt;"",IFERROR(_xlfn.XLOOKUP($F28,Taxa_från_edp!$B:$B,Taxa_från_edp!C:C),""),"")</x:f>
      </x:c>
      <x:c r="I28" s="1008" t="e">
        <x:f>IF($F28&lt;&gt;"",IFERROR(_xlfn.XLOOKUP($F28,Taxa_från_edp!$B:$B,Taxa_från_edp!G:G),""),"")</x:f>
      </x:c>
      <x:c r="J28" s="1008" t="e">
        <x:f>IF($F28&lt;&gt;"",IFERROR(_xlfn.XLOOKUP($F28,Taxa_från_edp!$B:$B,Taxa_från_edp!K:K),""),"")</x:f>
      </x:c>
      <x:c r="K28" s="998"/>
      <x:c r="L28" s="991"/>
      <x:c r="M28" s="1029" t="str">
        <x:f>IFERROR(IF(J28&lt;&gt;"",J28*1.25,IF(K28&lt;&gt;"",K28*1.25,"")),"")</x:f>
      </x:c>
      <x:c r="N28" s="1030" t="str">
        <x:f>IFERROR(IF(J28&lt;&gt;"",L28*J28,IF(K28&lt;&gt;"",L28*K28,"")),"")</x:f>
      </x:c>
    </x:row>
    <x:row r="29" s="54" customFormat="1" ht="30" customHeight="1">
      <x:c r="A29" s="965" t="str">
        <x:v>§2.2.2</x:v>
      </x:c>
      <x:c r="B29" s="965" t="str">
        <x:v>Hämtningsavgift per år för fritidshus</x:v>
      </x:c>
      <x:c r="C29" s="965" t="str">
        <x:v>Kärl 370 l (papper-/plastförpackningar)</x:v>
      </x:c>
      <x:c r="D29" s="965" t="str">
        <x:v>Kostnadsfritt</x:v>
      </x:c>
      <x:c r="E29" s="965" t="str">
        <x:v>st/år</x:v>
      </x:c>
      <x:c r="F29" s="992"/>
      <x:c r="G29" s="999" t="str">
        <x:f>IF($F29&lt;&gt;"",$F29,IFERROR(_xlfn.XLOOKUP(ROW(),Taxa_Saknas!$H:$H,Taxa_Saknas!$G:$G),""))</x:f>
        <x:v>KÄ370FPFRI</x:v>
      </x:c>
      <x:c r="H29" s="1009" t="e">
        <x:f>IF($F29&lt;&gt;"",IFERROR(_xlfn.XLOOKUP($F29,Taxa_från_edp!$B:$B,Taxa_från_edp!C:C),""),"")</x:f>
      </x:c>
      <x:c r="I29" s="1010" t="e">
        <x:f>IF($F29&lt;&gt;"",IFERROR(_xlfn.XLOOKUP($F29,Taxa_från_edp!$B:$B,Taxa_från_edp!G:G),""),"")</x:f>
      </x:c>
      <x:c r="J29" s="1011" t="e">
        <x:f>IF($F29&lt;&gt;"",IFERROR(_xlfn.XLOOKUP($F29,Taxa_från_edp!$B:$B,Taxa_från_edp!K:K),""),"")</x:f>
      </x:c>
      <x:c r="K29" s="1018"/>
      <x:c r="L29" s="1024"/>
      <x:c r="M29" s="1029" t="str">
        <x:f>IFERROR(IF(J29&lt;&gt;"",J29*1.25,IF(K29&lt;&gt;"",K29*1.25,"")),"")</x:f>
      </x:c>
      <x:c r="N29" s="1030" t="str">
        <x:f>IFERROR(IF(J29&lt;&gt;"",L29*J29,IF(K29&lt;&gt;"",L29*K29,"")),"")</x:f>
      </x:c>
    </x:row>
    <x:row r="30" s="54" customFormat="1" ht="22" customHeight="1">
      <x:c r="A30" s="975" t="str">
        <x:v>§2.2.2</x:v>
      </x:c>
      <x:c r="B30" s="980"/>
      <x:c r="C30" s="980"/>
      <x:c r="D30" s="980"/>
      <x:c r="E30" s="981"/>
      <x:c r="F30" s="975"/>
      <x:c r="G30" s="980" t="str">
        <x:f>IF($F30&lt;&gt;"",$F30,IFERROR(_xlfn.XLOOKUP(ROW(),Taxa_Saknas!$H:$H,Taxa_Saknas!$G:$G),""))</x:f>
      </x:c>
      <x:c r="H30" s="980" t="e">
        <x:f>IF($F30&lt;&gt;"",IFERROR(_xlfn.XLOOKUP($F30,Taxa_från_edp!$B:$B,Taxa_från_edp!C:C),""),"")</x:f>
      </x:c>
      <x:c r="I30" s="983" t="e">
        <x:f>IF($F30&lt;&gt;"",IFERROR(_xlfn.XLOOKUP($F30,Taxa_från_edp!$B:$B,Taxa_från_edp!G:G),""),"")</x:f>
      </x:c>
      <x:c r="J30" s="983" t="e">
        <x:f>IF($F30&lt;&gt;"",IFERROR(_xlfn.XLOOKUP($F30,Taxa_från_edp!$B:$B,Taxa_från_edp!K:K),""),"")</x:f>
      </x:c>
      <x:c r="K30" s="983"/>
      <x:c r="L30" s="983"/>
      <x:c r="M30" s="976" t="str">
        <x:f>IFERROR(IF(J30&lt;&gt;"",J30*1.25,IF(K30&lt;&gt;"",K30*1.25,"")),"")</x:f>
      </x:c>
      <x:c r="N30" s="977" t="str">
        <x:f>IFERROR(IF(J30&lt;&gt;"",L30*J30,IF(K30&lt;&gt;"",L30*K30,"")),"")</x:f>
      </x:c>
    </x:row>
    <x:row r="31" s="54" customFormat="1" ht="22" customHeight="1">
      <x:c r="A31" s="975" t="str">
        <x:v>§2.2.3 Gemensam uppsamlingsplats inom hämtningsområde X</x:v>
      </x:c>
      <x:c r="B31" s="980"/>
      <x:c r="C31" s="980"/>
      <x:c r="D31" s="980"/>
      <x:c r="E31" s="981"/>
      <x:c r="F31" s="975"/>
      <x:c r="G31" s="980" t="str">
        <x:f>IF($F31&lt;&gt;"",$F31,IFERROR(_xlfn.XLOOKUP(ROW(),Taxa_Saknas!$H:$H,Taxa_Saknas!$G:$G),""))</x:f>
      </x:c>
      <x:c r="H31" s="980" t="e">
        <x:f>IF($F31&lt;&gt;"",IFERROR(_xlfn.XLOOKUP($F31,Taxa_från_edp!$B:$B,Taxa_från_edp!C:C),""),"")</x:f>
      </x:c>
      <x:c r="I31" s="983" t="e">
        <x:f>IF($F31&lt;&gt;"",IFERROR(_xlfn.XLOOKUP($F31,Taxa_från_edp!$B:$B,Taxa_från_edp!G:G),""),"")</x:f>
      </x:c>
      <x:c r="J31" s="983" t="e">
        <x:f>IF($F31&lt;&gt;"",IFERROR(_xlfn.XLOOKUP($F31,Taxa_från_edp!$B:$B,Taxa_från_edp!K:K),""),"")</x:f>
      </x:c>
      <x:c r="K31" s="983"/>
      <x:c r="L31" s="983"/>
      <x:c r="M31" s="976" t="str">
        <x:f>IFERROR(IF(J31&lt;&gt;"",J31*1.25,IF(K31&lt;&gt;"",K31*1.25,"")),"")</x:f>
      </x:c>
      <x:c r="N31" s="977" t="str">
        <x:f>IFERROR(IF(J31&lt;&gt;"",L31*J31,IF(K31&lt;&gt;"",L31*K31,"")),"")</x:f>
      </x:c>
    </x:row>
    <x:row r="32" s="54" customFormat="1" ht="30" customHeight="1">
      <x:c r="A32" s="965" t="str">
        <x:v>§2.2.3</x:v>
      </x:c>
      <x:c r="B32" s="965" t="str">
        <x:v>Gemensam uppsamlingsplats inom hämtningsområde X</x:v>
      </x:c>
      <x:c r="C32" s="965" t="str">
        <x:v>Gemensam uppsamlingsplats för mat-/restavfall</x:v>
      </x:c>
      <x:c r="D32" s="965"/>
      <x:c r="E32" s="965" t="str">
        <x:v>st/år</x:v>
      </x:c>
      <x:c r="F32" s="989" t="str">
        <x:v>GEMUPPFRI</x:v>
      </x:c>
      <x:c r="G32" s="996" t="str">
        <x:f>IF($F32&lt;&gt;"",$F32,IFERROR(_xlfn.XLOOKUP(ROW(),Taxa_Saknas!$H:$H,Taxa_Saknas!$G:$G),""))</x:f>
        <x:v>GEMUPPFRI</x:v>
      </x:c>
      <x:c r="H32" s="1003" t="e">
        <x:f>IF($F32&lt;&gt;"",IFERROR(_xlfn.XLOOKUP($F32,Taxa_från_edp!$B:$B,Taxa_från_edp!C:C),""),"")</x:f>
      </x:c>
      <x:c r="I32" s="1004" t="e">
        <x:f>IF($F32&lt;&gt;"",IFERROR(_xlfn.XLOOKUP($F32,Taxa_från_edp!$B:$B,Taxa_från_edp!G:G),""),"")</x:f>
      </x:c>
      <x:c r="J32" s="1005" t="e">
        <x:f>IF($F32&lt;&gt;"",IFERROR(_xlfn.XLOOKUP($F32,Taxa_från_edp!$B:$B,Taxa_från_edp!K:K),""),"")</x:f>
      </x:c>
      <x:c r="K32" s="1016"/>
      <x:c r="L32" s="1022"/>
      <x:c r="M32" s="1029" t="str">
        <x:f>IFERROR(IF(J32&lt;&gt;"",J32*1.25,IF(K32&lt;&gt;"",K32*1.25,"")),"")</x:f>
      </x:c>
      <x:c r="N32" s="1030" t="str">
        <x:f>IFERROR(IF(J32&lt;&gt;"",L32*J32,IF(K32&lt;&gt;"",L32*K32,"")),"")</x:f>
      </x:c>
    </x:row>
    <x:row r="33" s="54" customFormat="1" ht="30" customHeight="1">
      <x:c r="A33" s="965" t="str">
        <x:v>§2.2.3</x:v>
      </x:c>
      <x:c r="B33" s="965" t="str">
        <x:v>Gemensam uppsamlingsplats inom hämtningsområde X</x:v>
      </x:c>
      <x:c r="C33" s="965" t="str">
        <x:v>Gemensam uppsamlingsplats för förpackningar</x:v>
      </x:c>
      <x:c r="D33" s="965" t="str">
        <x:v>Kostnadsfritt</x:v>
      </x:c>
      <x:c r="E33" s="965" t="str">
        <x:v>st/år</x:v>
      </x:c>
      <x:c r="F33" s="989" t="str">
        <x:v>GEMUPPFRI</x:v>
      </x:c>
      <x:c r="G33" s="996" t="str">
        <x:f>IF($F33&lt;&gt;"",$F33,IFERROR(_xlfn.XLOOKUP(ROW(),Taxa_Saknas!$H:$H,Taxa_Saknas!$G:$G),""))</x:f>
        <x:v>GEMUPPFRI</x:v>
      </x:c>
      <x:c r="H33" s="1003" t="e">
        <x:f>IF($F33&lt;&gt;"",IFERROR(_xlfn.XLOOKUP($F33,Taxa_från_edp!$B:$B,Taxa_från_edp!C:C),""),"")</x:f>
      </x:c>
      <x:c r="I33" s="1004" t="e">
        <x:f>IF($F33&lt;&gt;"",IFERROR(_xlfn.XLOOKUP($F33,Taxa_från_edp!$B:$B,Taxa_från_edp!G:G),""),"")</x:f>
      </x:c>
      <x:c r="J33" s="1005" t="e">
        <x:f>IF($F33&lt;&gt;"",IFERROR(_xlfn.XLOOKUP($F33,Taxa_från_edp!$B:$B,Taxa_från_edp!K:K),""),"")</x:f>
      </x:c>
      <x:c r="K33" s="1016"/>
      <x:c r="L33" s="1022"/>
      <x:c r="M33" s="1029" t="str">
        <x:f>IFERROR(IF(J33&lt;&gt;"",J33*1.25,IF(K33&lt;&gt;"",K33*1.25,"")),"")</x:f>
      </x:c>
      <x:c r="N33" s="1030" t="str">
        <x:f>IFERROR(IF(J33&lt;&gt;"",L33*J33,IF(K33&lt;&gt;"",L33*K33,"")),"")</x:f>
      </x:c>
    </x:row>
    <x:row r="34" s="54" customFormat="1" ht="30" customHeight="1">
      <x:c r="A34" s="965" t="str">
        <x:v>§2.2.3</x:v>
      </x:c>
      <x:c r="B34" s="965" t="str">
        <x:v>Gemensam uppsamlingsplats inom hämtningsområde X</x:v>
      </x:c>
      <x:c r="C34" s="965" t="str">
        <x:v>Extra digital licens (årskostnad)</x:v>
      </x:c>
      <x:c r="D34" s="965"/>
      <x:c r="E34" s="965" t="str">
        <x:v>st/år</x:v>
      </x:c>
      <x:c r="F34" s="989" t="str">
        <x:v>GEMUPPEXTRAFRI</x:v>
      </x:c>
      <x:c r="G34" s="996" t="str">
        <x:f>IF($F34&lt;&gt;"",$F34,IFERROR(_xlfn.XLOOKUP(ROW(),Taxa_Saknas!$H:$H,Taxa_Saknas!$G:$G),""))</x:f>
        <x:v>GEMUPPEXTRAFRI</x:v>
      </x:c>
      <x:c r="H34" s="1003" t="e">
        <x:f>IF($F34&lt;&gt;"",IFERROR(_xlfn.XLOOKUP($F34,Taxa_från_edp!$B:$B,Taxa_från_edp!C:C),""),"")</x:f>
      </x:c>
      <x:c r="I34" s="1004" t="e">
        <x:f>IF($F34&lt;&gt;"",IFERROR(_xlfn.XLOOKUP($F34,Taxa_från_edp!$B:$B,Taxa_från_edp!G:G),""),"")</x:f>
      </x:c>
      <x:c r="J34" s="1005" t="e">
        <x:f>IF($F34&lt;&gt;"",IFERROR(_xlfn.XLOOKUP($F34,Taxa_från_edp!$B:$B,Taxa_från_edp!K:K),""),"")</x:f>
      </x:c>
      <x:c r="K34" s="1016"/>
      <x:c r="L34" s="1022"/>
      <x:c r="M34" s="1029" t="str">
        <x:f>IFERROR(IF(J34&lt;&gt;"",J34*1.25,IF(K34&lt;&gt;"",K34*1.25,"")),"")</x:f>
      </x:c>
      <x:c r="N34" s="1030" t="str">
        <x:f>IFERROR(IF(J34&lt;&gt;"",L34*J34,IF(K34&lt;&gt;"",L34*K34,"")),"")</x:f>
      </x:c>
    </x:row>
    <x:row r="35" s="54" customFormat="1" ht="30" customHeight="1">
      <x:c r="A35" s="965" t="str">
        <x:v>§2.2.3</x:v>
      </x:c>
      <x:c r="B35" s="965" t="str">
        <x:v>Gemensam uppsamlingsplats inom hämtningsområde X</x:v>
      </x:c>
      <x:c r="C35" s="965" t="str">
        <x:v>Fysisk nyckel, kallad fob (engångskostnad)</x:v>
      </x:c>
      <x:c r="D35" s="965"/>
      <x:c r="E35" s="965" t="str">
        <x:v>st/tillfälle</x:v>
      </x:c>
      <x:c r="F35" s="992" t="str">
        <x:v>FOBFRI</x:v>
      </x:c>
      <x:c r="G35" s="999" t="str">
        <x:f>IF($F35&lt;&gt;"",$F35,IFERROR(_xlfn.XLOOKUP(ROW(),Taxa_Saknas!$H:$H,Taxa_Saknas!$G:$G),""))</x:f>
        <x:v>FOBFRI</x:v>
      </x:c>
      <x:c r="H35" s="1009" t="e">
        <x:f>IF($F35&lt;&gt;"",IFERROR(_xlfn.XLOOKUP($F35,Taxa_från_edp!$B:$B,Taxa_från_edp!C:C),""),"")</x:f>
      </x:c>
      <x:c r="I35" s="1010" t="e">
        <x:f>IF($F35&lt;&gt;"",IFERROR(_xlfn.XLOOKUP($F35,Taxa_från_edp!$B:$B,Taxa_från_edp!G:G),""),"")</x:f>
      </x:c>
      <x:c r="J35" s="1011" t="e">
        <x:f>IF($F35&lt;&gt;"",IFERROR(_xlfn.XLOOKUP($F35,Taxa_från_edp!$B:$B,Taxa_från_edp!K:K),""),"")</x:f>
      </x:c>
      <x:c r="K35" s="1018"/>
      <x:c r="L35" s="1024"/>
      <x:c r="M35" s="1029" t="str">
        <x:f>IFERROR(IF(J35&lt;&gt;"",J35*1.25,IF(K35&lt;&gt;"",K35*1.25,"")),"")</x:f>
      </x:c>
      <x:c r="N35" s="1030" t="str">
        <x:f>IFERROR(IF(J35&lt;&gt;"",L35*J35,IF(K35&lt;&gt;"",L35*K35,"")),"")</x:f>
      </x:c>
    </x:row>
    <x:row r="36" s="54" customFormat="1" ht="30" customHeight="1">
      <x:c r="A36" s="965" t="str">
        <x:v>§2.2.3</x:v>
      </x:c>
      <x:c r="B36" s="965" t="str">
        <x:v>Gemensam uppsamlingsplats inom hämtningsområde X</x:v>
      </x:c>
      <x:c r="C36" s="965" t="str">
        <x:v>Byte av telefonnummer kopplat till licens</x:v>
      </x:c>
      <x:c r="D36" s="965"/>
      <x:c r="E36" s="965" t="str">
        <x:v>st/tillfälle</x:v>
      </x:c>
      <x:c r="F36" s="992"/>
      <x:c r="G36" s="999" t="str">
        <x:f>IF($F36&lt;&gt;"",$F36,IFERROR(_xlfn.XLOOKUP(ROW(),Taxa_Saknas!$H:$H,Taxa_Saknas!$G:$G),""))</x:f>
        <x:v>GEMUPPBYTE</x:v>
      </x:c>
      <x:c r="H36" s="1009" t="e">
        <x:f>IF($F36&lt;&gt;"",IFERROR(_xlfn.XLOOKUP($F36,Taxa_från_edp!$B:$B,Taxa_från_edp!C:C),""),"")</x:f>
      </x:c>
      <x:c r="I36" s="1010" t="e">
        <x:f>IF($F36&lt;&gt;"",IFERROR(_xlfn.XLOOKUP($F36,Taxa_från_edp!$B:$B,Taxa_från_edp!G:G),""),"")</x:f>
      </x:c>
      <x:c r="J36" s="1011" t="e">
        <x:f>IF($F36&lt;&gt;"",IFERROR(_xlfn.XLOOKUP($F36,Taxa_från_edp!$B:$B,Taxa_från_edp!K:K),""),"")</x:f>
      </x:c>
      <x:c r="K36" s="1018"/>
      <x:c r="L36" s="1024"/>
      <x:c r="M36" s="1029" t="str">
        <x:f>IFERROR(IF(J36&lt;&gt;"",J36*1.25,IF(K36&lt;&gt;"",K36*1.25,"")),"")</x:f>
      </x:c>
      <x:c r="N36" s="1030" t="str">
        <x:f>IFERROR(IF(J36&lt;&gt;"",L36*J36,IF(K36&lt;&gt;"",L36*K36,"")),"")</x:f>
      </x:c>
    </x:row>
    <x:row r="37" s="54" customFormat="1" ht="30" customHeight="1">
      <x:c r="A37" s="965" t="str">
        <x:v>§2.2.3</x:v>
      </x:c>
      <x:c r="B37" s="965" t="str">
        <x:v>Gemensam uppsamlingsplats inom hämtningsområde X</x:v>
      </x:c>
      <x:c r="C37" s="965" t="str">
        <x:v>Kostnad för öppning av behållare</x:v>
      </x:c>
      <x:c r="D37" s="965"/>
      <x:c r="E37" s="965" t="str">
        <x:v>st/tillfälle</x:v>
      </x:c>
      <x:c r="F37" s="989"/>
      <x:c r="G37" s="996" t="str">
        <x:f>IF($F37&lt;&gt;"",$F37,IFERROR(_xlfn.XLOOKUP(ROW(),Taxa_Saknas!$H:$H,Taxa_Saknas!$G:$G),""))</x:f>
        <x:v>GEMUPPÖPP</x:v>
      </x:c>
      <x:c r="H37" s="1003" t="e">
        <x:f>IF($F37&lt;&gt;"",IFERROR(_xlfn.XLOOKUP($F37,Taxa_från_edp!$B:$B,Taxa_från_edp!C:C),""),"")</x:f>
      </x:c>
      <x:c r="I37" s="1004" t="e">
        <x:f>IF($F37&lt;&gt;"",IFERROR(_xlfn.XLOOKUP($F37,Taxa_från_edp!$B:$B,Taxa_från_edp!G:G),""),"")</x:f>
      </x:c>
      <x:c r="J37" s="1005" t="e">
        <x:f>IF($F37&lt;&gt;"",IFERROR(_xlfn.XLOOKUP($F37,Taxa_från_edp!$B:$B,Taxa_från_edp!K:K),""),"")</x:f>
      </x:c>
      <x:c r="K37" s="1016"/>
      <x:c r="L37" s="1022"/>
      <x:c r="M37" s="1029" t="str">
        <x:f>IFERROR(IF(J37&lt;&gt;"",J37*1.25,IF(K37&lt;&gt;"",K37*1.25,"")),"")</x:f>
      </x:c>
      <x:c r="N37" s="1030" t="str">
        <x:f>IFERROR(IF(J37&lt;&gt;"",L37*J37,IF(K37&lt;&gt;"",L37*K37,"")),"")</x:f>
      </x:c>
    </x:row>
    <x:row r="38" s="54" customFormat="1" ht="22" customHeight="1">
      <x:c r="A38" s="975" t="str">
        <x:v>§2.2.3</x:v>
      </x:c>
      <x:c r="B38" s="980"/>
      <x:c r="C38" s="980"/>
      <x:c r="D38" s="980"/>
      <x:c r="E38" s="981"/>
      <x:c r="F38" s="975"/>
      <x:c r="G38" s="980" t="str">
        <x:f>IF($F38&lt;&gt;"",$F38,IFERROR(_xlfn.XLOOKUP(ROW(),Taxa_Saknas!$H:$H,Taxa_Saknas!$G:$G),""))</x:f>
      </x:c>
      <x:c r="H38" s="980" t="e">
        <x:f>IF($F38&lt;&gt;"",IFERROR(_xlfn.XLOOKUP($F38,Taxa_från_edp!$B:$B,Taxa_från_edp!C:C),""),"")</x:f>
      </x:c>
      <x:c r="I38" s="983" t="e">
        <x:f>IF($F38&lt;&gt;"",IFERROR(_xlfn.XLOOKUP($F38,Taxa_från_edp!$B:$B,Taxa_från_edp!G:G),""),"")</x:f>
      </x:c>
      <x:c r="J38" s="983" t="e">
        <x:f>IF($F38&lt;&gt;"",IFERROR(_xlfn.XLOOKUP($F38,Taxa_från_edp!$B:$B,Taxa_från_edp!K:K),""),"")</x:f>
      </x:c>
      <x:c r="K38" s="983"/>
      <x:c r="L38" s="983"/>
      <x:c r="M38" s="976" t="str">
        <x:f>IFERROR(IF(J38&lt;&gt;"",J38*1.25,IF(K38&lt;&gt;"",K38*1.25,"")),"")</x:f>
      </x:c>
      <x:c r="N38" s="977" t="str">
        <x:f>IFERROR(IF(J38&lt;&gt;"",L38*J38,IF(K38&lt;&gt;"",L38*K38,"")),"")</x:f>
      </x:c>
    </x:row>
    <x:row r="39" s="54" customFormat="1" ht="22" customHeight="1">
      <x:c r="A39" s="975" t="str">
        <x:v>§2.2.4 Hämtningsavgift per år för flerbostadshus</x:v>
      </x:c>
      <x:c r="B39" s="980"/>
      <x:c r="C39" s="980"/>
      <x:c r="D39" s="980"/>
      <x:c r="E39" s="981"/>
      <x:c r="F39" s="975"/>
      <x:c r="G39" s="980" t="str">
        <x:f>IF($F39&lt;&gt;"",$F39,IFERROR(_xlfn.XLOOKUP(ROW(),Taxa_Saknas!$H:$H,Taxa_Saknas!$G:$G),""))</x:f>
      </x:c>
      <x:c r="H39" s="980" t="e">
        <x:f>IF($F39&lt;&gt;"",IFERROR(_xlfn.XLOOKUP($F39,Taxa_från_edp!$B:$B,Taxa_från_edp!C:C),""),"")</x:f>
      </x:c>
      <x:c r="I39" s="983" t="e">
        <x:f>IF($F39&lt;&gt;"",IFERROR(_xlfn.XLOOKUP($F39,Taxa_från_edp!$B:$B,Taxa_från_edp!G:G),""),"")</x:f>
      </x:c>
      <x:c r="J39" s="983" t="e">
        <x:f>IF($F39&lt;&gt;"",IFERROR(_xlfn.XLOOKUP($F39,Taxa_från_edp!$B:$B,Taxa_från_edp!K:K),""),"")</x:f>
      </x:c>
      <x:c r="K39" s="983"/>
      <x:c r="L39" s="983"/>
      <x:c r="M39" s="976" t="str">
        <x:f>IFERROR(IF(J39&lt;&gt;"",J39*1.25,IF(K39&lt;&gt;"",K39*1.25,"")),"")</x:f>
      </x:c>
      <x:c r="N39" s="977" t="str">
        <x:f>IFERROR(IF(J39&lt;&gt;"",L39*J39,IF(K39&lt;&gt;"",L39*K39,"")),"")</x:f>
      </x:c>
    </x:row>
    <x:row r="40" s="54" customFormat="1" ht="30" customHeight="1">
      <x:c r="A40" s="965" t="str">
        <x:v>§2.2.4</x:v>
      </x:c>
      <x:c r="B40" s="965" t="str">
        <x:v>Hämtningsavgift per år för flerbostadshus</x:v>
      </x:c>
      <x:c r="C40" s="965" t="str">
        <x:v>Kärl 240 l (mat-/restavfall)</x:v>
      </x:c>
      <x:c r="D40" s="965" t="str">
        <x:v>Hämtning varje vecka</x:v>
      </x:c>
      <x:c r="E40" s="965" t="str">
        <x:v>st/år</x:v>
      </x:c>
      <x:c r="F40" s="989" t="str">
        <x:v>KÄ240RM52FV</x:v>
      </x:c>
      <x:c r="G40" s="996" t="str">
        <x:f>IF($F40&lt;&gt;"",$F40,IFERROR(_xlfn.XLOOKUP(ROW(),Taxa_Saknas!$H:$H,Taxa_Saknas!$G:$G),""))</x:f>
        <x:v>KÄ240RM52FV</x:v>
      </x:c>
      <x:c r="H40" s="1003" t="e">
        <x:f>IF($F40&lt;&gt;"",IFERROR(_xlfn.XLOOKUP($F40,Taxa_från_edp!$B:$B,Taxa_från_edp!C:C),""),"")</x:f>
      </x:c>
      <x:c r="I40" s="1004" t="e">
        <x:f>IF($F40&lt;&gt;"",IFERROR(_xlfn.XLOOKUP($F40,Taxa_från_edp!$B:$B,Taxa_från_edp!G:G),""),"")</x:f>
      </x:c>
      <x:c r="J40" s="1005" t="e">
        <x:f>IF($F40&lt;&gt;"",IFERROR(_xlfn.XLOOKUP($F40,Taxa_från_edp!$B:$B,Taxa_från_edp!K:K),""),"")</x:f>
      </x:c>
      <x:c r="K40" s="1016"/>
      <x:c r="L40" s="1022"/>
      <x:c r="M40" s="1029" t="str">
        <x:f>IFERROR(IF(J40&lt;&gt;"",J40*1.25,IF(K40&lt;&gt;"",K40*1.25,"")),"")</x:f>
      </x:c>
      <x:c r="N40" s="1030" t="str">
        <x:f>IFERROR(IF(J40&lt;&gt;"",L40*J40,IF(K40&lt;&gt;"",L40*K40,"")),"")</x:f>
      </x:c>
    </x:row>
    <x:row r="41" s="54" customFormat="1" ht="30" customHeight="1">
      <x:c r="A41" s="965" t="str">
        <x:v>§2.2.4</x:v>
      </x:c>
      <x:c r="B41" s="965" t="str">
        <x:v>Hämtningsavgift per år för flerbostadshus</x:v>
      </x:c>
      <x:c r="C41" s="965" t="str">
        <x:v>Kärl 240 l (mat-/restavfall)</x:v>
      </x:c>
      <x:c r="D41" s="965" t="str">
        <x:v>Hämtning var 14:e dag</x:v>
      </x:c>
      <x:c r="E41" s="965" t="str">
        <x:v>st/år</x:v>
      </x:c>
      <x:c r="F41" s="989" t="str">
        <x:v>KÄ240RM26FV</x:v>
      </x:c>
      <x:c r="G41" s="996" t="str">
        <x:f>IF($F41&lt;&gt;"",$F41,IFERROR(_xlfn.XLOOKUP(ROW(),Taxa_Saknas!$H:$H,Taxa_Saknas!$G:$G),""))</x:f>
        <x:v>KÄ240RM26FV</x:v>
      </x:c>
      <x:c r="H41" s="1003" t="e">
        <x:f>IF($F41&lt;&gt;"",IFERROR(_xlfn.XLOOKUP($F41,Taxa_från_edp!$B:$B,Taxa_från_edp!C:C),""),"")</x:f>
      </x:c>
      <x:c r="I41" s="1004" t="e">
        <x:f>IF($F41&lt;&gt;"",IFERROR(_xlfn.XLOOKUP($F41,Taxa_från_edp!$B:$B,Taxa_från_edp!G:G),""),"")</x:f>
      </x:c>
      <x:c r="J41" s="1005" t="e">
        <x:f>IF($F41&lt;&gt;"",IFERROR(_xlfn.XLOOKUP($F41,Taxa_från_edp!$B:$B,Taxa_från_edp!K:K),""),"")</x:f>
      </x:c>
      <x:c r="K41" s="1016"/>
      <x:c r="L41" s="1022"/>
      <x:c r="M41" s="1029" t="str">
        <x:f>IFERROR(IF(J41&lt;&gt;"",J41*1.25,IF(K41&lt;&gt;"",K41*1.25,"")),"")</x:f>
      </x:c>
      <x:c r="N41" s="1030" t="str">
        <x:f>IFERROR(IF(J41&lt;&gt;"",L41*J41,IF(K41&lt;&gt;"",L41*K41,"")),"")</x:f>
      </x:c>
    </x:row>
    <x:row r="42" s="54" customFormat="1" ht="30" customHeight="1">
      <x:c r="A42" s="965" t="str">
        <x:v>§2.2.4</x:v>
      </x:c>
      <x:c r="B42" s="965" t="str">
        <x:v>Hämtningsavgift per år för flerbostadshus</x:v>
      </x:c>
      <x:c r="C42" s="965" t="str">
        <x:v>Kärl 240 l (mat-/restavfall)</x:v>
      </x:c>
      <x:c r="D42" s="965" t="str">
        <x:v>Hämtning månadsvis</x:v>
      </x:c>
      <x:c r="E42" s="965" t="str">
        <x:v>st/år</x:v>
      </x:c>
      <x:c r="F42" s="989"/>
      <x:c r="G42" s="996" t="str">
        <x:f>IF($F42&lt;&gt;"",$F42,IFERROR(_xlfn.XLOOKUP(ROW(),Taxa_Saknas!$H:$H,Taxa_Saknas!$G:$G),""))</x:f>
        <x:v>KÄ240RM12FV</x:v>
      </x:c>
      <x:c r="H42" s="1003" t="e">
        <x:f>IF($F42&lt;&gt;"",IFERROR(_xlfn.XLOOKUP($F42,Taxa_från_edp!$B:$B,Taxa_från_edp!C:C),""),"")</x:f>
      </x:c>
      <x:c r="I42" s="1004" t="e">
        <x:f>IF($F42&lt;&gt;"",IFERROR(_xlfn.XLOOKUP($F42,Taxa_från_edp!$B:$B,Taxa_från_edp!G:G),""),"")</x:f>
      </x:c>
      <x:c r="J42" s="1005" t="e">
        <x:f>IF($F42&lt;&gt;"",IFERROR(_xlfn.XLOOKUP($F42,Taxa_från_edp!$B:$B,Taxa_från_edp!K:K),""),"")</x:f>
      </x:c>
      <x:c r="K42" s="1016"/>
      <x:c r="L42" s="1022"/>
      <x:c r="M42" s="1029" t="str">
        <x:f>IFERROR(IF(J42&lt;&gt;"",J42*1.25,IF(K42&lt;&gt;"",K42*1.25,"")),"")</x:f>
      </x:c>
      <x:c r="N42" s="1030" t="str">
        <x:f>IFERROR(IF(J42&lt;&gt;"",L42*J42,IF(K42&lt;&gt;"",L42*K42,"")),"")</x:f>
      </x:c>
    </x:row>
    <x:row r="43" s="54" customFormat="1" ht="30" customHeight="1">
      <x:c r="A43" s="965" t="str">
        <x:v>§2.2.4</x:v>
      </x:c>
      <x:c r="B43" s="965" t="str">
        <x:v>Hämtningsavgift per år för flerbostadshus</x:v>
      </x:c>
      <x:c r="C43" s="965" t="str">
        <x:v>Kärl 370 l (restavfall)</x:v>
      </x:c>
      <x:c r="D43" s="965" t="str">
        <x:v>Hämtning varje vecka</x:v>
      </x:c>
      <x:c r="E43" s="965" t="str">
        <x:v>st/år</x:v>
      </x:c>
      <x:c r="F43" s="989" t="str">
        <x:v>KÄ370RE52FV</x:v>
      </x:c>
      <x:c r="G43" s="996" t="str">
        <x:f>IF($F43&lt;&gt;"",$F43,IFERROR(_xlfn.XLOOKUP(ROW(),Taxa_Saknas!$H:$H,Taxa_Saknas!$G:$G),""))</x:f>
        <x:v>KÄ370RE52FV</x:v>
      </x:c>
      <x:c r="H43" s="1003" t="e">
        <x:f>IF($F43&lt;&gt;"",IFERROR(_xlfn.XLOOKUP($F43,Taxa_från_edp!$B:$B,Taxa_från_edp!C:C),""),"")</x:f>
      </x:c>
      <x:c r="I43" s="1004" t="e">
        <x:f>IF($F43&lt;&gt;"",IFERROR(_xlfn.XLOOKUP($F43,Taxa_från_edp!$B:$B,Taxa_från_edp!G:G),""),"")</x:f>
      </x:c>
      <x:c r="J43" s="1005" t="e">
        <x:f>IF($F43&lt;&gt;"",IFERROR(_xlfn.XLOOKUP($F43,Taxa_från_edp!$B:$B,Taxa_från_edp!K:K),""),"")</x:f>
      </x:c>
      <x:c r="K43" s="1016"/>
      <x:c r="L43" s="1022"/>
      <x:c r="M43" s="1029" t="str">
        <x:f>IFERROR(IF(J43&lt;&gt;"",J43*1.25,IF(K43&lt;&gt;"",K43*1.25,"")),"")</x:f>
      </x:c>
      <x:c r="N43" s="1030" t="str">
        <x:f>IFERROR(IF(J43&lt;&gt;"",L43*J43,IF(K43&lt;&gt;"",L43*K43,"")),"")</x:f>
      </x:c>
    </x:row>
    <x:row r="44" s="54" customFormat="1" ht="30" customHeight="1">
      <x:c r="A44" s="965" t="str">
        <x:v>§2.2.4</x:v>
      </x:c>
      <x:c r="B44" s="965" t="str">
        <x:v>Hämtningsavgift per år för flerbostadshus</x:v>
      </x:c>
      <x:c r="C44" s="965" t="str">
        <x:v>Kärl 370 l (restavfall)</x:v>
      </x:c>
      <x:c r="D44" s="965" t="str">
        <x:v>Hämtning var 14:e dag</x:v>
      </x:c>
      <x:c r="E44" s="965" t="str">
        <x:v>st/år</x:v>
      </x:c>
      <x:c r="F44" s="989" t="str">
        <x:v>KÄ370RE26FV</x:v>
      </x:c>
      <x:c r="G44" s="996" t="str">
        <x:f>IF($F44&lt;&gt;"",$F44,IFERROR(_xlfn.XLOOKUP(ROW(),Taxa_Saknas!$H:$H,Taxa_Saknas!$G:$G),""))</x:f>
        <x:v>KÄ370RE26FV</x:v>
      </x:c>
      <x:c r="H44" s="1003" t="e">
        <x:f>IF($F44&lt;&gt;"",IFERROR(_xlfn.XLOOKUP($F44,Taxa_från_edp!$B:$B,Taxa_från_edp!C:C),""),"")</x:f>
      </x:c>
      <x:c r="I44" s="1004" t="e">
        <x:f>IF($F44&lt;&gt;"",IFERROR(_xlfn.XLOOKUP($F44,Taxa_från_edp!$B:$B,Taxa_från_edp!G:G),""),"")</x:f>
      </x:c>
      <x:c r="J44" s="1005" t="e">
        <x:f>IF($F44&lt;&gt;"",IFERROR(_xlfn.XLOOKUP($F44,Taxa_från_edp!$B:$B,Taxa_från_edp!K:K),""),"")</x:f>
      </x:c>
      <x:c r="K44" s="1016"/>
      <x:c r="L44" s="1022"/>
      <x:c r="M44" s="1029" t="str">
        <x:f>IFERROR(IF(J44&lt;&gt;"",J44*1.25,IF(K44&lt;&gt;"",K44*1.25,"")),"")</x:f>
      </x:c>
      <x:c r="N44" s="1030" t="str">
        <x:f>IFERROR(IF(J44&lt;&gt;"",L44*J44,IF(K44&lt;&gt;"",L44*K44,"")),"")</x:f>
      </x:c>
    </x:row>
    <x:row r="45" s="54" customFormat="1" ht="30" customHeight="1">
      <x:c r="A45" s="965" t="str">
        <x:v>§2.2.4</x:v>
      </x:c>
      <x:c r="B45" s="965" t="str">
        <x:v>Hämtningsavgift per år för flerbostadshus</x:v>
      </x:c>
      <x:c r="C45" s="965" t="str">
        <x:v>Kärl 370 l (restavfall)</x:v>
      </x:c>
      <x:c r="D45" s="965" t="str">
        <x:v>Hämtning månadsvis</x:v>
      </x:c>
      <x:c r="E45" s="965" t="str">
        <x:v>st/år</x:v>
      </x:c>
      <x:c r="F45" s="989"/>
      <x:c r="G45" s="996" t="str">
        <x:f>IF($F45&lt;&gt;"",$F45,IFERROR(_xlfn.XLOOKUP(ROW(),Taxa_Saknas!$H:$H,Taxa_Saknas!$G:$G),""))</x:f>
        <x:v>KÄ370RE12FV</x:v>
      </x:c>
      <x:c r="H45" s="1003" t="e">
        <x:f>IF($F45&lt;&gt;"",IFERROR(_xlfn.XLOOKUP($F45,Taxa_från_edp!$B:$B,Taxa_från_edp!C:C),""),"")</x:f>
      </x:c>
      <x:c r="I45" s="1004" t="e">
        <x:f>IF($F45&lt;&gt;"",IFERROR(_xlfn.XLOOKUP($F45,Taxa_från_edp!$B:$B,Taxa_från_edp!G:G),""),"")</x:f>
      </x:c>
      <x:c r="J45" s="1005" t="e">
        <x:f>IF($F45&lt;&gt;"",IFERROR(_xlfn.XLOOKUP($F45,Taxa_från_edp!$B:$B,Taxa_från_edp!K:K),""),"")</x:f>
      </x:c>
      <x:c r="K45" s="1016"/>
      <x:c r="L45" s="1022"/>
      <x:c r="M45" s="1029" t="str">
        <x:f>IFERROR(IF(J45&lt;&gt;"",J45*1.25,IF(K45&lt;&gt;"",K45*1.25,"")),"")</x:f>
      </x:c>
      <x:c r="N45" s="1030" t="str">
        <x:f>IFERROR(IF(J45&lt;&gt;"",L45*J45,IF(K45&lt;&gt;"",L45*K45,"")),"")</x:f>
      </x:c>
    </x:row>
    <x:row r="46" s="54" customFormat="1" ht="30" customHeight="1">
      <x:c r="A46" s="965" t="str">
        <x:v>§2.2.4</x:v>
      </x:c>
      <x:c r="B46" s="965" t="str">
        <x:v>Hämtningsavgift per år för flerbostadshus</x:v>
      </x:c>
      <x:c r="C46" s="965" t="str">
        <x:v>Kärl 660 l (restavfall)</x:v>
      </x:c>
      <x:c r="D46" s="965" t="str">
        <x:v>Hämtning varje vecka</x:v>
      </x:c>
      <x:c r="E46" s="965" t="str">
        <x:v>st/år</x:v>
      </x:c>
      <x:c r="F46" s="989" t="str">
        <x:v>KÄ660RE52FV</x:v>
      </x:c>
      <x:c r="G46" s="996" t="str">
        <x:f>IF($F46&lt;&gt;"",$F46,IFERROR(_xlfn.XLOOKUP(ROW(),Taxa_Saknas!$H:$H,Taxa_Saknas!$G:$G),""))</x:f>
        <x:v>KÄ660RE52FV</x:v>
      </x:c>
      <x:c r="H46" s="1003" t="e">
        <x:f>IF($F46&lt;&gt;"",IFERROR(_xlfn.XLOOKUP($F46,Taxa_från_edp!$B:$B,Taxa_från_edp!C:C),""),"")</x:f>
      </x:c>
      <x:c r="I46" s="1004" t="e">
        <x:f>IF($F46&lt;&gt;"",IFERROR(_xlfn.XLOOKUP($F46,Taxa_från_edp!$B:$B,Taxa_från_edp!G:G),""),"")</x:f>
      </x:c>
      <x:c r="J46" s="1005" t="e">
        <x:f>IF($F46&lt;&gt;"",IFERROR(_xlfn.XLOOKUP($F46,Taxa_från_edp!$B:$B,Taxa_från_edp!K:K),""),"")</x:f>
      </x:c>
      <x:c r="K46" s="1016"/>
      <x:c r="L46" s="1022"/>
      <x:c r="M46" s="1029" t="str">
        <x:f>IFERROR(IF(J46&lt;&gt;"",J46*1.25,IF(K46&lt;&gt;"",K46*1.25,"")),"")</x:f>
      </x:c>
      <x:c r="N46" s="1030" t="str">
        <x:f>IFERROR(IF(J46&lt;&gt;"",L46*J46,IF(K46&lt;&gt;"",L46*K46,"")),"")</x:f>
      </x:c>
    </x:row>
    <x:row r="47" s="54" customFormat="1" ht="30" customHeight="1">
      <x:c r="A47" s="965" t="str">
        <x:v>§2.2.4</x:v>
      </x:c>
      <x:c r="B47" s="965" t="str">
        <x:v>Hämtningsavgift per år för flerbostadshus</x:v>
      </x:c>
      <x:c r="C47" s="965" t="str">
        <x:v>Kärl 660 l (restavfall)</x:v>
      </x:c>
      <x:c r="D47" s="965" t="str">
        <x:v>Hämtning var 14:e dag</x:v>
      </x:c>
      <x:c r="E47" s="965" t="str">
        <x:v>st/år</x:v>
      </x:c>
      <x:c r="F47" s="989" t="str">
        <x:v>KÄ660RE26FV</x:v>
      </x:c>
      <x:c r="G47" s="996" t="str">
        <x:f>IF($F47&lt;&gt;"",$F47,IFERROR(_xlfn.XLOOKUP(ROW(),Taxa_Saknas!$H:$H,Taxa_Saknas!$G:$G),""))</x:f>
        <x:v>KÄ660RE26FV</x:v>
      </x:c>
      <x:c r="H47" s="1003" t="e">
        <x:f>IF($F47&lt;&gt;"",IFERROR(_xlfn.XLOOKUP($F47,Taxa_från_edp!$B:$B,Taxa_från_edp!C:C),""),"")</x:f>
      </x:c>
      <x:c r="I47" s="1004" t="e">
        <x:f>IF($F47&lt;&gt;"",IFERROR(_xlfn.XLOOKUP($F47,Taxa_från_edp!$B:$B,Taxa_från_edp!G:G),""),"")</x:f>
      </x:c>
      <x:c r="J47" s="1005" t="e">
        <x:f>IF($F47&lt;&gt;"",IFERROR(_xlfn.XLOOKUP($F47,Taxa_från_edp!$B:$B,Taxa_från_edp!K:K),""),"")</x:f>
      </x:c>
      <x:c r="K47" s="1016"/>
      <x:c r="L47" s="1022"/>
      <x:c r="M47" s="1029" t="str">
        <x:f>IFERROR(IF(J47&lt;&gt;"",J47*1.25,IF(K47&lt;&gt;"",K47*1.25,"")),"")</x:f>
      </x:c>
      <x:c r="N47" s="1030" t="str">
        <x:f>IFERROR(IF(J47&lt;&gt;"",L47*J47,IF(K47&lt;&gt;"",L47*K47,"")),"")</x:f>
      </x:c>
    </x:row>
    <x:row r="48" s="54" customFormat="1" ht="30" customHeight="1">
      <x:c r="A48" s="965" t="str">
        <x:v>§2.2.4</x:v>
      </x:c>
      <x:c r="B48" s="965" t="str">
        <x:v>Hämtningsavgift per år för flerbostadshus</x:v>
      </x:c>
      <x:c r="C48" s="965" t="str">
        <x:v>Kärl 660 l (restavfall)</x:v>
      </x:c>
      <x:c r="D48" s="965" t="str">
        <x:v>Hämtning månadsvis</x:v>
      </x:c>
      <x:c r="E48" s="965" t="str">
        <x:v>st/år</x:v>
      </x:c>
      <x:c r="F48" s="989"/>
      <x:c r="G48" s="996" t="str">
        <x:f>IF($F48&lt;&gt;"",$F48,IFERROR(_xlfn.XLOOKUP(ROW(),Taxa_Saknas!$H:$H,Taxa_Saknas!$G:$G),""))</x:f>
        <x:v>KÄ660RE12FV</x:v>
      </x:c>
      <x:c r="H48" s="1003" t="e">
        <x:f>IF($F48&lt;&gt;"",IFERROR(_xlfn.XLOOKUP($F48,Taxa_från_edp!$B:$B,Taxa_från_edp!C:C),""),"")</x:f>
      </x:c>
      <x:c r="I48" s="1004" t="e">
        <x:f>IF($F48&lt;&gt;"",IFERROR(_xlfn.XLOOKUP($F48,Taxa_från_edp!$B:$B,Taxa_från_edp!G:G),""),"")</x:f>
      </x:c>
      <x:c r="J48" s="1005" t="e">
        <x:f>IF($F48&lt;&gt;"",IFERROR(_xlfn.XLOOKUP($F48,Taxa_från_edp!$B:$B,Taxa_från_edp!K:K),""),"")</x:f>
      </x:c>
      <x:c r="K48" s="1016"/>
      <x:c r="L48" s="1022"/>
      <x:c r="M48" s="1029" t="str">
        <x:f>IFERROR(IF(J48&lt;&gt;"",J48*1.25,IF(K48&lt;&gt;"",K48*1.25,"")),"")</x:f>
      </x:c>
      <x:c r="N48" s="1030" t="str">
        <x:f>IFERROR(IF(J48&lt;&gt;"",L48*J48,IF(K48&lt;&gt;"",L48*K48,"")),"")</x:f>
      </x:c>
    </x:row>
    <x:row r="49" s="54" customFormat="1" ht="30" customHeight="1">
      <x:c r="A49" s="965" t="str">
        <x:v>§2.2.4</x:v>
      </x:c>
      <x:c r="B49" s="965" t="str">
        <x:v>Hämtningsavgift per år för flerbostadshus</x:v>
      </x:c>
      <x:c r="C49" s="965" t="str">
        <x:v>Kärl 140 l (matavfall)</x:v>
      </x:c>
      <x:c r="D49" s="965" t="str">
        <x:v>Hämtning varje vecka</x:v>
      </x:c>
      <x:c r="E49" s="965" t="str">
        <x:v>st/år</x:v>
      </x:c>
      <x:c r="F49" s="989" t="str">
        <x:v>KÄ140MA52FV</x:v>
      </x:c>
      <x:c r="G49" s="996" t="str">
        <x:f>IF($F49&lt;&gt;"",$F49,IFERROR(_xlfn.XLOOKUP(ROW(),Taxa_Saknas!$H:$H,Taxa_Saknas!$G:$G),""))</x:f>
        <x:v>KÄ140MA52FV</x:v>
      </x:c>
      <x:c r="H49" s="1003" t="e">
        <x:f>IF($F49&lt;&gt;"",IFERROR(_xlfn.XLOOKUP($F49,Taxa_från_edp!$B:$B,Taxa_från_edp!C:C),""),"")</x:f>
      </x:c>
      <x:c r="I49" s="1004" t="e">
        <x:f>IF($F49&lt;&gt;"",IFERROR(_xlfn.XLOOKUP($F49,Taxa_från_edp!$B:$B,Taxa_från_edp!G:G),""),"")</x:f>
      </x:c>
      <x:c r="J49" s="1005" t="e">
        <x:f>IF($F49&lt;&gt;"",IFERROR(_xlfn.XLOOKUP($F49,Taxa_från_edp!$B:$B,Taxa_från_edp!K:K),""),"")</x:f>
      </x:c>
      <x:c r="K49" s="1016"/>
      <x:c r="L49" s="1022"/>
      <x:c r="M49" s="1029" t="str">
        <x:f>IFERROR(IF(J49&lt;&gt;"",J49*1.25,IF(K49&lt;&gt;"",K49*1.25,"")),"")</x:f>
      </x:c>
      <x:c r="N49" s="1030" t="str">
        <x:f>IFERROR(IF(J49&lt;&gt;"",L49*J49,IF(K49&lt;&gt;"",L49*K49,"")),"")</x:f>
      </x:c>
    </x:row>
    <x:row r="50" s="54" customFormat="1" ht="30" customHeight="1">
      <x:c r="A50" s="965" t="str">
        <x:v>§2.2.4</x:v>
      </x:c>
      <x:c r="B50" s="965" t="str">
        <x:v>Hämtningsavgift per år för flerbostadshus</x:v>
      </x:c>
      <x:c r="C50" s="965" t="str">
        <x:v>Kärl 140 l (matavfall)</x:v>
      </x:c>
      <x:c r="D50" s="965" t="str">
        <x:v>Hämtning var 14:e dag</x:v>
      </x:c>
      <x:c r="E50" s="965" t="str">
        <x:v>st/år</x:v>
      </x:c>
      <x:c r="F50" s="989" t="str">
        <x:v>KÄ140MA26FV</x:v>
      </x:c>
      <x:c r="G50" s="996" t="str">
        <x:f>IF($F50&lt;&gt;"",$F50,IFERROR(_xlfn.XLOOKUP(ROW(),Taxa_Saknas!$H:$H,Taxa_Saknas!$G:$G),""))</x:f>
        <x:v>KÄ140MA26FV</x:v>
      </x:c>
      <x:c r="H50" s="1003" t="e">
        <x:f>IF($F50&lt;&gt;"",IFERROR(_xlfn.XLOOKUP($F50,Taxa_från_edp!$B:$B,Taxa_från_edp!C:C),""),"")</x:f>
      </x:c>
      <x:c r="I50" s="1004" t="e">
        <x:f>IF($F50&lt;&gt;"",IFERROR(_xlfn.XLOOKUP($F50,Taxa_från_edp!$B:$B,Taxa_från_edp!G:G),""),"")</x:f>
      </x:c>
      <x:c r="J50" s="1005" t="e">
        <x:f>IF($F50&lt;&gt;"",IFERROR(_xlfn.XLOOKUP($F50,Taxa_från_edp!$B:$B,Taxa_från_edp!K:K),""),"")</x:f>
      </x:c>
      <x:c r="K50" s="1016"/>
      <x:c r="L50" s="1022"/>
      <x:c r="M50" s="1029" t="str">
        <x:f>IFERROR(IF(J50&lt;&gt;"",J50*1.25,IF(K50&lt;&gt;"",K50*1.25,"")),"")</x:f>
      </x:c>
      <x:c r="N50" s="1030" t="str">
        <x:f>IFERROR(IF(J50&lt;&gt;"",L50*J50,IF(K50&lt;&gt;"",L50*K50,"")),"")</x:f>
      </x:c>
    </x:row>
    <x:row r="51" s="54" customFormat="1" ht="30" customHeight="1">
      <x:c r="A51" s="965" t="str">
        <x:v>§2.2.4</x:v>
      </x:c>
      <x:c r="B51" s="965" t="str">
        <x:v>Hämtningsavgift per år för flerbostadshus</x:v>
      </x:c>
      <x:c r="C51" s="965" t="str">
        <x:v>Kärl 140 l (matavfall)</x:v>
      </x:c>
      <x:c r="D51" s="965" t="str">
        <x:v>Hämtning månadsvis</x:v>
      </x:c>
      <x:c r="E51" s="965" t="str">
        <x:v>st/år</x:v>
      </x:c>
      <x:c r="F51" s="989"/>
      <x:c r="G51" s="996" t="str">
        <x:f>IF($F51&lt;&gt;"",$F51,IFERROR(_xlfn.XLOOKUP(ROW(),Taxa_Saknas!$H:$H,Taxa_Saknas!$G:$G),""))</x:f>
        <x:v>KÄ140MA12FV</x:v>
      </x:c>
      <x:c r="H51" s="1003" t="e">
        <x:f>IF($F51&lt;&gt;"",IFERROR(_xlfn.XLOOKUP($F51,Taxa_från_edp!$B:$B,Taxa_från_edp!C:C),""),"")</x:f>
      </x:c>
      <x:c r="I51" s="1004" t="e">
        <x:f>IF($F51&lt;&gt;"",IFERROR(_xlfn.XLOOKUP($F51,Taxa_från_edp!$B:$B,Taxa_från_edp!G:G),""),"")</x:f>
      </x:c>
      <x:c r="J51" s="1005" t="e">
        <x:f>IF($F51&lt;&gt;"",IFERROR(_xlfn.XLOOKUP($F51,Taxa_från_edp!$B:$B,Taxa_från_edp!K:K),""),"")</x:f>
      </x:c>
      <x:c r="K51" s="1016"/>
      <x:c r="L51" s="1022"/>
      <x:c r="M51" s="1029" t="str">
        <x:f>IFERROR(IF(J51&lt;&gt;"",J51*1.25,IF(K51&lt;&gt;"",K51*1.25,"")),"")</x:f>
      </x:c>
      <x:c r="N51" s="1030" t="str">
        <x:f>IFERROR(IF(J51&lt;&gt;"",L51*J51,IF(K51&lt;&gt;"",L51*K51,"")),"")</x:f>
      </x:c>
    </x:row>
    <x:row r="52" s="54" customFormat="1" ht="30" customHeight="1">
      <x:c r="A52" s="965" t="str">
        <x:v>§2.2.4</x:v>
      </x:c>
      <x:c r="B52" s="965" t="str">
        <x:v>Hämtningsavgift per år för flerbostadshus</x:v>
      </x:c>
      <x:c r="C52" s="965" t="str">
        <x:v>Kärl 190 l (förpackningar)</x:v>
      </x:c>
      <x:c r="D52" s="965" t="str">
        <x:v>Hämtning varje vecka</x:v>
      </x:c>
      <x:c r="E52" s="965" t="str">
        <x:v>st/år</x:v>
      </x:c>
      <x:c r="F52" s="989"/>
      <x:c r="G52" s="996" t="str">
        <x:f>IF($F52&lt;&gt;"",$F52,IFERROR(_xlfn.XLOOKUP(ROW(),Taxa_Saknas!$H:$H,Taxa_Saknas!$G:$G),""))</x:f>
        <x:v>KÄ190FP52FV</x:v>
      </x:c>
      <x:c r="H52" s="1003" t="e">
        <x:f>IF($F52&lt;&gt;"",IFERROR(_xlfn.XLOOKUP($F52,Taxa_från_edp!$B:$B,Taxa_från_edp!C:C),""),"")</x:f>
      </x:c>
      <x:c r="I52" s="1004" t="e">
        <x:f>IF($F52&lt;&gt;"",IFERROR(_xlfn.XLOOKUP($F52,Taxa_från_edp!$B:$B,Taxa_från_edp!G:G),""),"")</x:f>
      </x:c>
      <x:c r="J52" s="1005" t="e">
        <x:f>IF($F52&lt;&gt;"",IFERROR(_xlfn.XLOOKUP($F52,Taxa_från_edp!$B:$B,Taxa_från_edp!K:K),""),"")</x:f>
      </x:c>
      <x:c r="K52" s="1016"/>
      <x:c r="L52" s="1022"/>
      <x:c r="M52" s="1029" t="str">
        <x:f>IFERROR(IF(J52&lt;&gt;"",J52*1.25,IF(K52&lt;&gt;"",K52*1.25,"")),"")</x:f>
      </x:c>
      <x:c r="N52" s="1030" t="str">
        <x:f>IFERROR(IF(J52&lt;&gt;"",L52*J52,IF(K52&lt;&gt;"",L52*K52,"")),"")</x:f>
      </x:c>
    </x:row>
    <x:row r="53" s="54" customFormat="1" ht="30" customHeight="1">
      <x:c r="A53" s="965" t="str">
        <x:v>§2.2.4</x:v>
      </x:c>
      <x:c r="B53" s="965" t="str">
        <x:v>Hämtningsavgift per år för flerbostadshus</x:v>
      </x:c>
      <x:c r="C53" s="965" t="str">
        <x:v>Kärl 190 l (förpackningar)</x:v>
      </x:c>
      <x:c r="D53" s="965" t="str">
        <x:v>Hämtning var 14:e dag</x:v>
      </x:c>
      <x:c r="E53" s="965" t="str">
        <x:v>st/år</x:v>
      </x:c>
      <x:c r="F53" s="989"/>
      <x:c r="G53" s="996" t="str">
        <x:f>IF($F53&lt;&gt;"",$F53,IFERROR(_xlfn.XLOOKUP(ROW(),Taxa_Saknas!$H:$H,Taxa_Saknas!$G:$G),""))</x:f>
        <x:v>KÄ190FP26FV</x:v>
      </x:c>
      <x:c r="H53" s="1003" t="e">
        <x:f>IF($F53&lt;&gt;"",IFERROR(_xlfn.XLOOKUP($F53,Taxa_från_edp!$B:$B,Taxa_från_edp!C:C),""),"")</x:f>
      </x:c>
      <x:c r="I53" s="1004" t="e">
        <x:f>IF($F53&lt;&gt;"",IFERROR(_xlfn.XLOOKUP($F53,Taxa_från_edp!$B:$B,Taxa_från_edp!G:G),""),"")</x:f>
      </x:c>
      <x:c r="J53" s="1005" t="e">
        <x:f>IF($F53&lt;&gt;"",IFERROR(_xlfn.XLOOKUP($F53,Taxa_från_edp!$B:$B,Taxa_från_edp!K:K),""),"")</x:f>
      </x:c>
      <x:c r="K53" s="1016"/>
      <x:c r="L53" s="1022"/>
      <x:c r="M53" s="1029" t="str">
        <x:f>IFERROR(IF(J53&lt;&gt;"",J53*1.25,IF(K53&lt;&gt;"",K53*1.25,"")),"")</x:f>
      </x:c>
      <x:c r="N53" s="1030" t="str">
        <x:f>IFERROR(IF(J53&lt;&gt;"",L53*J53,IF(K53&lt;&gt;"",L53*K53,"")),"")</x:f>
      </x:c>
    </x:row>
    <x:row r="54" s="54" customFormat="1" ht="30" customHeight="1">
      <x:c r="A54" s="965" t="str">
        <x:v>§2.2.4</x:v>
      </x:c>
      <x:c r="B54" s="965" t="str">
        <x:v>Hämtningsavgift per år för flerbostadshus</x:v>
      </x:c>
      <x:c r="C54" s="965" t="str">
        <x:v>Kärl 190 l (förpackningar)</x:v>
      </x:c>
      <x:c r="D54" s="965" t="str">
        <x:v>Hämtning månadsvis</x:v>
      </x:c>
      <x:c r="E54" s="965" t="str">
        <x:v>st/år</x:v>
      </x:c>
      <x:c r="F54" s="989"/>
      <x:c r="G54" s="996" t="str">
        <x:f>IF($F54&lt;&gt;"",$F54,IFERROR(_xlfn.XLOOKUP(ROW(),Taxa_Saknas!$H:$H,Taxa_Saknas!$G:$G),""))</x:f>
        <x:v>KÄ190FP12FV</x:v>
      </x:c>
      <x:c r="H54" s="1003" t="e">
        <x:f>IF($F54&lt;&gt;"",IFERROR(_xlfn.XLOOKUP($F54,Taxa_från_edp!$B:$B,Taxa_från_edp!C:C),""),"")</x:f>
      </x:c>
      <x:c r="I54" s="1004" t="e">
        <x:f>IF($F54&lt;&gt;"",IFERROR(_xlfn.XLOOKUP($F54,Taxa_från_edp!$B:$B,Taxa_från_edp!G:G),""),"")</x:f>
      </x:c>
      <x:c r="J54" s="1005" t="e">
        <x:f>IF($F54&lt;&gt;"",IFERROR(_xlfn.XLOOKUP($F54,Taxa_från_edp!$B:$B,Taxa_från_edp!K:K),""),"")</x:f>
      </x:c>
      <x:c r="K54" s="1016"/>
      <x:c r="L54" s="1022"/>
      <x:c r="M54" s="1029" t="str">
        <x:f>IFERROR(IF(J54&lt;&gt;"",J54*1.25,IF(K54&lt;&gt;"",K54*1.25,"")),"")</x:f>
      </x:c>
      <x:c r="N54" s="1030" t="str">
        <x:f>IFERROR(IF(J54&lt;&gt;"",L54*J54,IF(K54&lt;&gt;"",L54*K54,"")),"")</x:f>
      </x:c>
    </x:row>
    <x:row r="55" s="54" customFormat="1" ht="30" customHeight="1">
      <x:c r="A55" s="965" t="str">
        <x:v>§2.2.4</x:v>
      </x:c>
      <x:c r="B55" s="965" t="str">
        <x:v>Hämtningsavgift per år för flerbostadshus</x:v>
      </x:c>
      <x:c r="C55" s="965" t="str">
        <x:v>Kärl 370 l (förpackningar)</x:v>
      </x:c>
      <x:c r="D55" s="965" t="str">
        <x:v>Hämtning varje vecka</x:v>
      </x:c>
      <x:c r="E55" s="965" t="str">
        <x:v>st/år</x:v>
      </x:c>
      <x:c r="F55" s="989"/>
      <x:c r="G55" s="996" t="str">
        <x:f>IF($F55&lt;&gt;"",$F55,IFERROR(_xlfn.XLOOKUP(ROW(),Taxa_Saknas!$H:$H,Taxa_Saknas!$G:$G),""))</x:f>
        <x:v>KÄ370FP52FV</x:v>
      </x:c>
      <x:c r="H55" s="1003" t="e">
        <x:f>IF($F55&lt;&gt;"",IFERROR(_xlfn.XLOOKUP($F55,Taxa_från_edp!$B:$B,Taxa_från_edp!C:C),""),"")</x:f>
      </x:c>
      <x:c r="I55" s="1004" t="e">
        <x:f>IF($F55&lt;&gt;"",IFERROR(_xlfn.XLOOKUP($F55,Taxa_från_edp!$B:$B,Taxa_från_edp!G:G),""),"")</x:f>
      </x:c>
      <x:c r="J55" s="1005" t="e">
        <x:f>IF($F55&lt;&gt;"",IFERROR(_xlfn.XLOOKUP($F55,Taxa_från_edp!$B:$B,Taxa_från_edp!K:K),""),"")</x:f>
      </x:c>
      <x:c r="K55" s="1016"/>
      <x:c r="L55" s="1022"/>
      <x:c r="M55" s="1029" t="str">
        <x:f>IFERROR(IF(J55&lt;&gt;"",J55*1.25,IF(K55&lt;&gt;"",K55*1.25,"")),"")</x:f>
      </x:c>
      <x:c r="N55" s="1030" t="str">
        <x:f>IFERROR(IF(J55&lt;&gt;"",L55*J55,IF(K55&lt;&gt;"",L55*K55,"")),"")</x:f>
      </x:c>
    </x:row>
    <x:row r="56" s="54" customFormat="1" ht="30" customHeight="1">
      <x:c r="A56" s="965" t="str">
        <x:v>§2.2.4</x:v>
      </x:c>
      <x:c r="B56" s="965" t="str">
        <x:v>Hämtningsavgift per år för flerbostadshus</x:v>
      </x:c>
      <x:c r="C56" s="965" t="str">
        <x:v>Kärl 370 l (förpackningar)</x:v>
      </x:c>
      <x:c r="D56" s="965" t="str">
        <x:v>Hämtning var 14:e dag</x:v>
      </x:c>
      <x:c r="E56" s="965" t="str">
        <x:v>st/år</x:v>
      </x:c>
      <x:c r="F56" s="989"/>
      <x:c r="G56" s="996" t="str">
        <x:f>IF($F56&lt;&gt;"",$F56,IFERROR(_xlfn.XLOOKUP(ROW(),Taxa_Saknas!$H:$H,Taxa_Saknas!$G:$G),""))</x:f>
        <x:v>KÄ370FP26FV</x:v>
      </x:c>
      <x:c r="H56" s="1003" t="e">
        <x:f>IF($F56&lt;&gt;"",IFERROR(_xlfn.XLOOKUP($F56,Taxa_från_edp!$B:$B,Taxa_från_edp!C:C),""),"")</x:f>
      </x:c>
      <x:c r="I56" s="1004" t="e">
        <x:f>IF($F56&lt;&gt;"",IFERROR(_xlfn.XLOOKUP($F56,Taxa_från_edp!$B:$B,Taxa_från_edp!G:G),""),"")</x:f>
      </x:c>
      <x:c r="J56" s="1005" t="e">
        <x:f>IF($F56&lt;&gt;"",IFERROR(_xlfn.XLOOKUP($F56,Taxa_från_edp!$B:$B,Taxa_från_edp!K:K),""),"")</x:f>
      </x:c>
      <x:c r="K56" s="1016"/>
      <x:c r="L56" s="1022"/>
      <x:c r="M56" s="1029" t="str">
        <x:f>IFERROR(IF(J56&lt;&gt;"",J56*1.25,IF(K56&lt;&gt;"",K56*1.25,"")),"")</x:f>
      </x:c>
      <x:c r="N56" s="1030" t="str">
        <x:f>IFERROR(IF(J56&lt;&gt;"",L56*J56,IF(K56&lt;&gt;"",L56*K56,"")),"")</x:f>
      </x:c>
    </x:row>
    <x:row r="57" s="54" customFormat="1" ht="30" customHeight="1">
      <x:c r="A57" s="965" t="str">
        <x:v>§2.2.4</x:v>
      </x:c>
      <x:c r="B57" s="965" t="str">
        <x:v>Hämtningsavgift per år för flerbostadshus</x:v>
      </x:c>
      <x:c r="C57" s="965" t="str">
        <x:v>Kärl 370 l (förpackningar)</x:v>
      </x:c>
      <x:c r="D57" s="965" t="str">
        <x:v>Hämtning månadsvis</x:v>
      </x:c>
      <x:c r="E57" s="965" t="str">
        <x:v>st/år</x:v>
      </x:c>
      <x:c r="F57" s="989"/>
      <x:c r="G57" s="996" t="str">
        <x:f>IF($F57&lt;&gt;"",$F57,IFERROR(_xlfn.XLOOKUP(ROW(),Taxa_Saknas!$H:$H,Taxa_Saknas!$G:$G),""))</x:f>
        <x:v>KÄ370FP12FV</x:v>
      </x:c>
      <x:c r="H57" s="1003" t="e">
        <x:f>IF($F57&lt;&gt;"",IFERROR(_xlfn.XLOOKUP($F57,Taxa_från_edp!$B:$B,Taxa_från_edp!C:C),""),"")</x:f>
      </x:c>
      <x:c r="I57" s="1004" t="e">
        <x:f>IF($F57&lt;&gt;"",IFERROR(_xlfn.XLOOKUP($F57,Taxa_från_edp!$B:$B,Taxa_från_edp!G:G),""),"")</x:f>
      </x:c>
      <x:c r="J57" s="1005" t="e">
        <x:f>IF($F57&lt;&gt;"",IFERROR(_xlfn.XLOOKUP($F57,Taxa_från_edp!$B:$B,Taxa_från_edp!K:K),""),"")</x:f>
      </x:c>
      <x:c r="K57" s="1016"/>
      <x:c r="L57" s="1022"/>
      <x:c r="M57" s="1029" t="str">
        <x:f>IFERROR(IF(J57&lt;&gt;"",J57*1.25,IF(K57&lt;&gt;"",K57*1.25,"")),"")</x:f>
      </x:c>
      <x:c r="N57" s="1030" t="str">
        <x:f>IFERROR(IF(J57&lt;&gt;"",L57*J57,IF(K57&lt;&gt;"",L57*K57,"")),"")</x:f>
      </x:c>
    </x:row>
    <x:row r="58" s="54" customFormat="1" ht="30" customHeight="1">
      <x:c r="A58" s="965" t="str">
        <x:v>§2.2.4</x:v>
      </x:c>
      <x:c r="B58" s="965" t="str">
        <x:v>Hämtningsavgift per år för flerbostadshus</x:v>
      </x:c>
      <x:c r="C58" s="965" t="str">
        <x:v>Kärl 660 l (förpackningar)</x:v>
      </x:c>
      <x:c r="D58" s="965" t="str">
        <x:v>Hämtning varje vecka</x:v>
      </x:c>
      <x:c r="E58" s="965" t="str">
        <x:v>st/år</x:v>
      </x:c>
      <x:c r="F58" s="993"/>
      <x:c r="G58" s="1000" t="str">
        <x:f>IF($F58&lt;&gt;"",$F58,IFERROR(_xlfn.XLOOKUP(ROW(),Taxa_Saknas!$H:$H,Taxa_Saknas!$G:$G),""))</x:f>
        <x:v>KÄ660FP52FV</x:v>
      </x:c>
      <x:c r="H58" s="1012" t="e">
        <x:f>IF($F58&lt;&gt;"",IFERROR(_xlfn.XLOOKUP($F58,Taxa_från_edp!$B:$B,Taxa_från_edp!C:C),""),"")</x:f>
      </x:c>
      <x:c r="I58" s="1013" t="e">
        <x:f>IF($F58&lt;&gt;"",IFERROR(_xlfn.XLOOKUP($F58,Taxa_från_edp!$B:$B,Taxa_från_edp!G:G),""),"")</x:f>
      </x:c>
      <x:c r="J58" s="1013" t="e">
        <x:f>IF($F58&lt;&gt;"",IFERROR(_xlfn.XLOOKUP($F58,Taxa_från_edp!$B:$B,Taxa_från_edp!K:K),""),"")</x:f>
      </x:c>
      <x:c r="K58" s="1019"/>
      <x:c r="L58" s="1025"/>
      <x:c r="M58" s="1029" t="str">
        <x:f>IFERROR(IF(J58&lt;&gt;"",J58*1.25,IF(K58&lt;&gt;"",K58*1.25,"")),"")</x:f>
      </x:c>
      <x:c r="N58" s="1030" t="str">
        <x:f>IFERROR(IF(J58&lt;&gt;"",L58*J58,IF(K58&lt;&gt;"",L58*K58,"")),"")</x:f>
      </x:c>
    </x:row>
    <x:row r="59" s="54" customFormat="1" ht="30" customHeight="1">
      <x:c r="A59" s="965" t="str">
        <x:v>§2.2.4</x:v>
      </x:c>
      <x:c r="B59" s="965" t="str">
        <x:v>Hämtningsavgift per år för flerbostadshus</x:v>
      </x:c>
      <x:c r="C59" s="965" t="str">
        <x:v>Kärl 660 l (förpackningar)</x:v>
      </x:c>
      <x:c r="D59" s="965" t="str">
        <x:v>Hämtning var 14:e dag</x:v>
      </x:c>
      <x:c r="E59" s="965" t="str">
        <x:v>st/år</x:v>
      </x:c>
      <x:c r="F59" s="993"/>
      <x:c r="G59" s="1000" t="str">
        <x:f>IF($F59&lt;&gt;"",$F59,IFERROR(_xlfn.XLOOKUP(ROW(),Taxa_Saknas!$H:$H,Taxa_Saknas!$G:$G),""))</x:f>
        <x:v>KÄ660FP26FV</x:v>
      </x:c>
      <x:c r="H59" s="1012" t="e">
        <x:f>IF($F59&lt;&gt;"",IFERROR(_xlfn.XLOOKUP($F59,Taxa_från_edp!$B:$B,Taxa_från_edp!C:C),""),"")</x:f>
      </x:c>
      <x:c r="I59" s="1013" t="e">
        <x:f>IF($F59&lt;&gt;"",IFERROR(_xlfn.XLOOKUP($F59,Taxa_från_edp!$B:$B,Taxa_från_edp!G:G),""),"")</x:f>
      </x:c>
      <x:c r="J59" s="1013" t="e">
        <x:f>IF($F59&lt;&gt;"",IFERROR(_xlfn.XLOOKUP($F59,Taxa_från_edp!$B:$B,Taxa_från_edp!K:K),""),"")</x:f>
      </x:c>
      <x:c r="K59" s="1019"/>
      <x:c r="L59" s="1025"/>
      <x:c r="M59" s="1029" t="str">
        <x:f>IFERROR(IF(J59&lt;&gt;"",J59*1.25,IF(K59&lt;&gt;"",K59*1.25,"")),"")</x:f>
      </x:c>
      <x:c r="N59" s="1030" t="str">
        <x:f>IFERROR(IF(J59&lt;&gt;"",L59*J59,IF(K59&lt;&gt;"",L59*K59,"")),"")</x:f>
      </x:c>
    </x:row>
    <x:row r="60" s="54" customFormat="1" ht="30" customHeight="1">
      <x:c r="A60" s="965" t="str">
        <x:v>§2.2.4</x:v>
      </x:c>
      <x:c r="B60" s="965" t="str">
        <x:v>Hämtningsavgift per år för flerbostadshus</x:v>
      </x:c>
      <x:c r="C60" s="965" t="str">
        <x:v>Kärl 660 l (förpackningar)</x:v>
      </x:c>
      <x:c r="D60" s="965" t="str">
        <x:v>Hämtning månadsvis</x:v>
      </x:c>
      <x:c r="E60" s="965" t="str">
        <x:v>st/år</x:v>
      </x:c>
      <x:c r="F60" s="989"/>
      <x:c r="G60" s="996" t="str">
        <x:f>IF($F60&lt;&gt;"",$F60,IFERROR(_xlfn.XLOOKUP(ROW(),Taxa_Saknas!$H:$H,Taxa_Saknas!$G:$G),""))</x:f>
        <x:v>KÄ660FP12FV</x:v>
      </x:c>
      <x:c r="H60" s="1003" t="e">
        <x:f>IF($F60&lt;&gt;"",IFERROR(_xlfn.XLOOKUP($F60,Taxa_från_edp!$B:$B,Taxa_från_edp!C:C),""),"")</x:f>
      </x:c>
      <x:c r="I60" s="1004" t="e">
        <x:f>IF($F60&lt;&gt;"",IFERROR(_xlfn.XLOOKUP($F60,Taxa_från_edp!$B:$B,Taxa_från_edp!G:G),""),"")</x:f>
      </x:c>
      <x:c r="J60" s="1005" t="e">
        <x:f>IF($F60&lt;&gt;"",IFERROR(_xlfn.XLOOKUP($F60,Taxa_från_edp!$B:$B,Taxa_från_edp!K:K),""),"")</x:f>
      </x:c>
      <x:c r="K60" s="1016"/>
      <x:c r="L60" s="1022"/>
      <x:c r="M60" s="1029" t="str">
        <x:f>IFERROR(IF(J60&lt;&gt;"",J60*1.25,IF(K60&lt;&gt;"",K60*1.25,"")),"")</x:f>
      </x:c>
      <x:c r="N60" s="1030" t="str">
        <x:f>IFERROR(IF(J60&lt;&gt;"",L60*J60,IF(K60&lt;&gt;"",L60*K60,"")),"")</x:f>
      </x:c>
    </x:row>
    <x:row r="61" s="54" customFormat="1" ht="30" customHeight="1">
      <x:c r="A61" s="965" t="str">
        <x:v>§2.2.4</x:v>
      </x:c>
      <x:c r="B61" s="965" t="str">
        <x:v>Hämtningsavgift per år för flerbostadshus</x:v>
      </x:c>
      <x:c r="C61" s="965" t="str">
        <x:v>Kärl 190 l (tidningar och returpapper)</x:v>
      </x:c>
      <x:c r="D61" s="965" t="str">
        <x:v>Hämtning varje vecka</x:v>
      </x:c>
      <x:c r="E61" s="965" t="str">
        <x:v>st/år</x:v>
      </x:c>
      <x:c r="F61" s="989"/>
      <x:c r="G61" s="996" t="str">
        <x:f>IF($F61&lt;&gt;"",$F61,IFERROR(_xlfn.XLOOKUP(ROW(),Taxa_Saknas!$H:$H,Taxa_Saknas!$G:$G),""))</x:f>
        <x:v>KÄ190TI52FV</x:v>
      </x:c>
      <x:c r="H61" s="1003" t="e">
        <x:f>IF($F61&lt;&gt;"",IFERROR(_xlfn.XLOOKUP($F61,Taxa_från_edp!$B:$B,Taxa_från_edp!C:C),""),"")</x:f>
      </x:c>
      <x:c r="I61" s="1004" t="e">
        <x:f>IF($F61&lt;&gt;"",IFERROR(_xlfn.XLOOKUP($F61,Taxa_från_edp!$B:$B,Taxa_från_edp!G:G),""),"")</x:f>
      </x:c>
      <x:c r="J61" s="1005" t="e">
        <x:f>IF($F61&lt;&gt;"",IFERROR(_xlfn.XLOOKUP($F61,Taxa_från_edp!$B:$B,Taxa_från_edp!K:K),""),"")</x:f>
      </x:c>
      <x:c r="K61" s="1016"/>
      <x:c r="L61" s="1022"/>
      <x:c r="M61" s="1029" t="str">
        <x:f>IFERROR(IF(J61&lt;&gt;"",J61*1.25,IF(K61&lt;&gt;"",K61*1.25,"")),"")</x:f>
      </x:c>
      <x:c r="N61" s="1030" t="str">
        <x:f>IFERROR(IF(J61&lt;&gt;"",L61*J61,IF(K61&lt;&gt;"",L61*K61,"")),"")</x:f>
      </x:c>
    </x:row>
    <x:row r="62" s="54" customFormat="1" ht="30" customHeight="1">
      <x:c r="A62" s="965" t="str">
        <x:v>§2.2.4</x:v>
      </x:c>
      <x:c r="B62" s="965" t="str">
        <x:v>Hämtningsavgift per år för flerbostadshus</x:v>
      </x:c>
      <x:c r="C62" s="965" t="str">
        <x:v>Kärl 190 l (tidningar och returpapper)</x:v>
      </x:c>
      <x:c r="D62" s="965" t="str">
        <x:v>Hämtning var 14:e dag</x:v>
      </x:c>
      <x:c r="E62" s="965" t="str">
        <x:v>st/år</x:v>
      </x:c>
      <x:c r="F62" s="989"/>
      <x:c r="G62" s="996" t="str">
        <x:f>IF($F62&lt;&gt;"",$F62,IFERROR(_xlfn.XLOOKUP(ROW(),Taxa_Saknas!$H:$H,Taxa_Saknas!$G:$G),""))</x:f>
        <x:v>KÄ190TI26FV</x:v>
      </x:c>
      <x:c r="H62" s="1003" t="e">
        <x:f>IF($F62&lt;&gt;"",IFERROR(_xlfn.XLOOKUP($F62,Taxa_från_edp!$B:$B,Taxa_från_edp!C:C),""),"")</x:f>
      </x:c>
      <x:c r="I62" s="1004" t="e">
        <x:f>IF($F62&lt;&gt;"",IFERROR(_xlfn.XLOOKUP($F62,Taxa_från_edp!$B:$B,Taxa_från_edp!G:G),""),"")</x:f>
      </x:c>
      <x:c r="J62" s="1005" t="e">
        <x:f>IF($F62&lt;&gt;"",IFERROR(_xlfn.XLOOKUP($F62,Taxa_från_edp!$B:$B,Taxa_från_edp!K:K),""),"")</x:f>
      </x:c>
      <x:c r="K62" s="1016"/>
      <x:c r="L62" s="1022"/>
      <x:c r="M62" s="1029" t="str">
        <x:f>IFERROR(IF(J62&lt;&gt;"",J62*1.25,IF(K62&lt;&gt;"",K62*1.25,"")),"")</x:f>
      </x:c>
      <x:c r="N62" s="1030" t="str">
        <x:f>IFERROR(IF(J62&lt;&gt;"",L62*J62,IF(K62&lt;&gt;"",L62*K62,"")),"")</x:f>
      </x:c>
    </x:row>
    <x:row r="63" s="54" customFormat="1" ht="30" customHeight="1">
      <x:c r="A63" s="965" t="str">
        <x:v>§2.2.4</x:v>
      </x:c>
      <x:c r="B63" s="965" t="str">
        <x:v>Hämtningsavgift per år för flerbostadshus</x:v>
      </x:c>
      <x:c r="C63" s="965" t="str">
        <x:v>Kärl 190 l (tidningar och returpapper)</x:v>
      </x:c>
      <x:c r="D63" s="965" t="str">
        <x:v>Hämtning månadsvis</x:v>
      </x:c>
      <x:c r="E63" s="965" t="str">
        <x:v>st/år</x:v>
      </x:c>
      <x:c r="F63" s="989"/>
      <x:c r="G63" s="996" t="str">
        <x:f>IF($F63&lt;&gt;"",$F63,IFERROR(_xlfn.XLOOKUP(ROW(),Taxa_Saknas!$H:$H,Taxa_Saknas!$G:$G),""))</x:f>
        <x:v>KÄ190TI12FV</x:v>
      </x:c>
      <x:c r="H63" s="1003" t="e">
        <x:f>IF($F63&lt;&gt;"",IFERROR(_xlfn.XLOOKUP($F63,Taxa_från_edp!$B:$B,Taxa_från_edp!C:C),""),"")</x:f>
      </x:c>
      <x:c r="I63" s="1004" t="e">
        <x:f>IF($F63&lt;&gt;"",IFERROR(_xlfn.XLOOKUP($F63,Taxa_från_edp!$B:$B,Taxa_från_edp!G:G),""),"")</x:f>
      </x:c>
      <x:c r="J63" s="1005" t="e">
        <x:f>IF($F63&lt;&gt;"",IFERROR(_xlfn.XLOOKUP($F63,Taxa_från_edp!$B:$B,Taxa_från_edp!K:K),""),"")</x:f>
      </x:c>
      <x:c r="K63" s="1016"/>
      <x:c r="L63" s="1022"/>
      <x:c r="M63" s="1029" t="str">
        <x:f>IFERROR(IF(J63&lt;&gt;"",J63*1.25,IF(K63&lt;&gt;"",K63*1.25,"")),"")</x:f>
      </x:c>
      <x:c r="N63" s="1030" t="str">
        <x:f>IFERROR(IF(J63&lt;&gt;"",L63*J63,IF(K63&lt;&gt;"",L63*K63,"")),"")</x:f>
      </x:c>
    </x:row>
    <x:row r="64" s="54" customFormat="1" ht="30" customHeight="1">
      <x:c r="A64" s="965" t="str">
        <x:v>§2.2.4</x:v>
      </x:c>
      <x:c r="B64" s="965" t="str">
        <x:v>Hämtningsavgift per år för flerbostadshus</x:v>
      </x:c>
      <x:c r="C64" s="965" t="str">
        <x:v>Kärl 370 l (tidningar och returpapper)</x:v>
      </x:c>
      <x:c r="D64" s="965" t="str">
        <x:v>Hämtning varje vecka</x:v>
      </x:c>
      <x:c r="E64" s="965" t="str">
        <x:v>st/år</x:v>
      </x:c>
      <x:c r="F64" s="989"/>
      <x:c r="G64" s="996" t="str">
        <x:f>IF($F64&lt;&gt;"",$F64,IFERROR(_xlfn.XLOOKUP(ROW(),Taxa_Saknas!$H:$H,Taxa_Saknas!$G:$G),""))</x:f>
        <x:v>KÄ370TI52FV</x:v>
      </x:c>
      <x:c r="H64" s="1003" t="e">
        <x:f>IF($F64&lt;&gt;"",IFERROR(_xlfn.XLOOKUP($F64,Taxa_från_edp!$B:$B,Taxa_från_edp!C:C),""),"")</x:f>
      </x:c>
      <x:c r="I64" s="1004" t="e">
        <x:f>IF($F64&lt;&gt;"",IFERROR(_xlfn.XLOOKUP($F64,Taxa_från_edp!$B:$B,Taxa_från_edp!G:G),""),"")</x:f>
      </x:c>
      <x:c r="J64" s="1005" t="e">
        <x:f>IF($F64&lt;&gt;"",IFERROR(_xlfn.XLOOKUP($F64,Taxa_från_edp!$B:$B,Taxa_från_edp!K:K),""),"")</x:f>
      </x:c>
      <x:c r="K64" s="1016"/>
      <x:c r="L64" s="1022"/>
      <x:c r="M64" s="1029" t="str">
        <x:f>IFERROR(IF(J64&lt;&gt;"",J64*1.25,IF(K64&lt;&gt;"",K64*1.25,"")),"")</x:f>
      </x:c>
      <x:c r="N64" s="1030" t="str">
        <x:f>IFERROR(IF(J64&lt;&gt;"",L64*J64,IF(K64&lt;&gt;"",L64*K64,"")),"")</x:f>
      </x:c>
    </x:row>
    <x:row r="65" s="54" customFormat="1" ht="30" customHeight="1">
      <x:c r="A65" s="965" t="str">
        <x:v>§2.2.4</x:v>
      </x:c>
      <x:c r="B65" s="965" t="str">
        <x:v>Hämtningsavgift per år för flerbostadshus</x:v>
      </x:c>
      <x:c r="C65" s="965" t="str">
        <x:v>Kärl 370 l (tidningar och returpapper)</x:v>
      </x:c>
      <x:c r="D65" s="965" t="str">
        <x:v>Hämtning var 14:e dag</x:v>
      </x:c>
      <x:c r="E65" s="965" t="str">
        <x:v>st/år</x:v>
      </x:c>
      <x:c r="F65" s="989"/>
      <x:c r="G65" s="996" t="str">
        <x:f>IF($F65&lt;&gt;"",$F65,IFERROR(_xlfn.XLOOKUP(ROW(),Taxa_Saknas!$H:$H,Taxa_Saknas!$G:$G),""))</x:f>
        <x:v>KÄ370TI26FV</x:v>
      </x:c>
      <x:c r="H65" s="1003" t="e">
        <x:f>IF($F65&lt;&gt;"",IFERROR(_xlfn.XLOOKUP($F65,Taxa_från_edp!$B:$B,Taxa_från_edp!C:C),""),"")</x:f>
      </x:c>
      <x:c r="I65" s="1004" t="e">
        <x:f>IF($F65&lt;&gt;"",IFERROR(_xlfn.XLOOKUP($F65,Taxa_från_edp!$B:$B,Taxa_från_edp!G:G),""),"")</x:f>
      </x:c>
      <x:c r="J65" s="1005" t="e">
        <x:f>IF($F65&lt;&gt;"",IFERROR(_xlfn.XLOOKUP($F65,Taxa_från_edp!$B:$B,Taxa_från_edp!K:K),""),"")</x:f>
      </x:c>
      <x:c r="K65" s="1016"/>
      <x:c r="L65" s="1022"/>
      <x:c r="M65" s="1029" t="str">
        <x:f>IFERROR(IF(J65&lt;&gt;"",J65*1.25,IF(K65&lt;&gt;"",K65*1.25,"")),"")</x:f>
      </x:c>
      <x:c r="N65" s="1030" t="str">
        <x:f>IFERROR(IF(J65&lt;&gt;"",L65*J65,IF(K65&lt;&gt;"",L65*K65,"")),"")</x:f>
      </x:c>
    </x:row>
    <x:row r="66" s="54" customFormat="1" ht="30" customHeight="1">
      <x:c r="A66" s="965" t="str">
        <x:v>§2.2.4</x:v>
      </x:c>
      <x:c r="B66" s="965" t="str">
        <x:v>Hämtningsavgift per år för flerbostadshus</x:v>
      </x:c>
      <x:c r="C66" s="965" t="str">
        <x:v>Kärl 370 l (tidningar och returpapper)</x:v>
      </x:c>
      <x:c r="D66" s="965" t="str">
        <x:v>Hämtning månadsvis</x:v>
      </x:c>
      <x:c r="E66" s="965" t="str">
        <x:v>st/år</x:v>
      </x:c>
      <x:c r="F66" s="989"/>
      <x:c r="G66" s="996" t="str">
        <x:f>IF($F66&lt;&gt;"",$F66,IFERROR(_xlfn.XLOOKUP(ROW(),Taxa_Saknas!$H:$H,Taxa_Saknas!$G:$G),""))</x:f>
        <x:v>KÄ370TI12FV</x:v>
      </x:c>
      <x:c r="H66" s="1003" t="e">
        <x:f>IF($F66&lt;&gt;"",IFERROR(_xlfn.XLOOKUP($F66,Taxa_från_edp!$B:$B,Taxa_från_edp!C:C),""),"")</x:f>
      </x:c>
      <x:c r="I66" s="1004" t="e">
        <x:f>IF($F66&lt;&gt;"",IFERROR(_xlfn.XLOOKUP($F66,Taxa_från_edp!$B:$B,Taxa_från_edp!G:G),""),"")</x:f>
      </x:c>
      <x:c r="J66" s="1005" t="e">
        <x:f>IF($F66&lt;&gt;"",IFERROR(_xlfn.XLOOKUP($F66,Taxa_från_edp!$B:$B,Taxa_från_edp!K:K),""),"")</x:f>
      </x:c>
      <x:c r="K66" s="1016"/>
      <x:c r="L66" s="1022"/>
      <x:c r="M66" s="1029" t="str">
        <x:f>IFERROR(IF(J66&lt;&gt;"",J66*1.25,IF(K66&lt;&gt;"",K66*1.25,"")),"")</x:f>
      </x:c>
      <x:c r="N66" s="1030" t="str">
        <x:f>IFERROR(IF(J66&lt;&gt;"",L66*J66,IF(K66&lt;&gt;"",L66*K66,"")),"")</x:f>
      </x:c>
    </x:row>
    <x:row r="67" s="54" customFormat="1" ht="30" customHeight="1">
      <x:c r="A67" s="965" t="str">
        <x:v>§2.2.4</x:v>
      </x:c>
      <x:c r="B67" s="965" t="str">
        <x:v>Hämtningsavgift per år för flerbostadshus</x:v>
      </x:c>
      <x:c r="C67" s="965" t="str">
        <x:v>Bottentömmande behållare (mat-/restavfall, förpackningar)</x:v>
      </x:c>
      <x:c r="D67" s="965" t="str">
        <x:v>Avgift per tömning</x:v>
      </x:c>
      <x:c r="E67" s="965" t="str">
        <x:v>st/tömning</x:v>
      </x:c>
      <x:c r="F67" s="992"/>
      <x:c r="G67" s="999" t="str">
        <x:f>IF($F67&lt;&gt;"",$F67,IFERROR(_xlfn.XLOOKUP(ROW(),Taxa_Saknas!$H:$H,Taxa_Saknas!$G:$G),""))</x:f>
        <x:v>MBRMFPFV</x:v>
      </x:c>
      <x:c r="H67" s="1009" t="e">
        <x:f>IF($F67&lt;&gt;"",IFERROR(_xlfn.XLOOKUP($F67,Taxa_från_edp!$B:$B,Taxa_från_edp!C:C),""),"")</x:f>
      </x:c>
      <x:c r="I67" s="1010" t="e">
        <x:f>IF($F67&lt;&gt;"",IFERROR(_xlfn.XLOOKUP($F67,Taxa_från_edp!$B:$B,Taxa_från_edp!G:G),""),"")</x:f>
      </x:c>
      <x:c r="J67" s="1011" t="e">
        <x:f>IF($F67&lt;&gt;"",IFERROR(_xlfn.XLOOKUP($F67,Taxa_från_edp!$B:$B,Taxa_från_edp!K:K),""),"")</x:f>
      </x:c>
      <x:c r="K67" s="1018"/>
      <x:c r="L67" s="1024"/>
      <x:c r="M67" s="1029" t="str">
        <x:f>IFERROR(IF(J67&lt;&gt;"",J67*1.25,IF(K67&lt;&gt;"",K67*1.25,"")),"")</x:f>
      </x:c>
      <x:c r="N67" s="1030" t="str">
        <x:f>IFERROR(IF(J67&lt;&gt;"",L67*J67,IF(K67&lt;&gt;"",L67*K67,"")),"")</x:f>
      </x:c>
    </x:row>
    <x:row r="68" s="54" customFormat="1" ht="30" customHeight="1">
      <x:c r="A68" s="965" t="str">
        <x:v>§2.2.4</x:v>
      </x:c>
      <x:c r="B68" s="965" t="str">
        <x:v>Hämtningsavgift per år för flerbostadshus</x:v>
      </x:c>
      <x:c r="C68" s="965" t="str">
        <x:v>Bottentömmande behållare (mat-/restavfall, förpackningar)</x:v>
      </x:c>
      <x:c r="D68" s="965" t="str">
        <x:v>Tillägg för två tömningar per vecka</x:v>
      </x:c>
      <x:c r="E68" s="965" t="str">
        <x:v>st/tömning</x:v>
      </x:c>
      <x:c r="F68" s="992"/>
      <x:c r="G68" s="999" t="str">
        <x:f>IF($F68&lt;&gt;"",$F68,IFERROR(_xlfn.XLOOKUP(ROW(),Taxa_Saknas!$H:$H,Taxa_Saknas!$G:$G),""))</x:f>
        <x:v>MBRMFP2VFV</x:v>
      </x:c>
      <x:c r="H68" s="1009" t="e">
        <x:f>IF($F68&lt;&gt;"",IFERROR(_xlfn.XLOOKUP($F68,Taxa_från_edp!$B:$B,Taxa_från_edp!C:C),""),"")</x:f>
      </x:c>
      <x:c r="I68" s="1010" t="e">
        <x:f>IF($F68&lt;&gt;"",IFERROR(_xlfn.XLOOKUP($F68,Taxa_från_edp!$B:$B,Taxa_från_edp!G:G),""),"")</x:f>
      </x:c>
      <x:c r="J68" s="1011" t="e">
        <x:f>IF($F68&lt;&gt;"",IFERROR(_xlfn.XLOOKUP($F68,Taxa_från_edp!$B:$B,Taxa_från_edp!K:K),""),"")</x:f>
      </x:c>
      <x:c r="K68" s="1018"/>
      <x:c r="L68" s="1024"/>
      <x:c r="M68" s="1029" t="str">
        <x:f>IFERROR(IF(J68&lt;&gt;"",J68*1.25,IF(K68&lt;&gt;"",K68*1.25,"")),"")</x:f>
      </x:c>
      <x:c r="N68" s="1030" t="str">
        <x:f>IFERROR(IF(J68&lt;&gt;"",L68*J68,IF(K68&lt;&gt;"",L68*K68,"")),"")</x:f>
      </x:c>
    </x:row>
    <x:row r="69" s="54" customFormat="1" ht="30" customHeight="1">
      <x:c r="A69" s="965" t="str">
        <x:v>§2.2.4</x:v>
      </x:c>
      <x:c r="B69" s="965" t="str">
        <x:v>Hämtningsavgift per år för flerbostadshus</x:v>
      </x:c>
      <x:c r="C69" s="965" t="str">
        <x:v>Gemensam uppsamlingsplats för mat-/restavfall, förpackningar</x:v>
      </x:c>
      <x:c r="D69" s="965" t="str">
        <x:v>Avgift per lägenhet</x:v>
      </x:c>
      <x:c r="E69" s="965" t="str">
        <x:v>lägenhet/år</x:v>
      </x:c>
      <x:c r="F69" s="989"/>
      <x:c r="G69" s="996" t="str">
        <x:f>IF($F69&lt;&gt;"",$F69,IFERROR(_xlfn.XLOOKUP(ROW(),Taxa_Saknas!$H:$H,Taxa_Saknas!$G:$G),""))</x:f>
        <x:v>GEMUPPMRFPFLB</x:v>
      </x:c>
      <x:c r="H69" s="1003" t="e">
        <x:f>IF($F69&lt;&gt;"",IFERROR(_xlfn.XLOOKUP($F69,Taxa_från_edp!$B:$B,Taxa_från_edp!C:C),""),"")</x:f>
      </x:c>
      <x:c r="I69" s="1004" t="e">
        <x:f>IF($F69&lt;&gt;"",IFERROR(_xlfn.XLOOKUP($F69,Taxa_från_edp!$B:$B,Taxa_från_edp!G:G),""),"")</x:f>
      </x:c>
      <x:c r="J69" s="1005" t="e">
        <x:f>IF($F69&lt;&gt;"",IFERROR(_xlfn.XLOOKUP($F69,Taxa_från_edp!$B:$B,Taxa_från_edp!K:K),""),"")</x:f>
      </x:c>
      <x:c r="K69" s="1016"/>
      <x:c r="L69" s="1022"/>
      <x:c r="M69" s="1029" t="str">
        <x:f>IFERROR(IF(J69&lt;&gt;"",J69*1.25,IF(K69&lt;&gt;"",K69*1.25,"")),"")</x:f>
      </x:c>
      <x:c r="N69" s="1030" t="str">
        <x:f>IFERROR(IF(J69&lt;&gt;"",L69*J69,IF(K69&lt;&gt;"",L69*K69,"")),"")</x:f>
      </x:c>
    </x:row>
    <x:row r="70" s="54" customFormat="1" ht="22" customHeight="1">
      <x:c r="A70" s="975" t="str">
        <x:v>§2.2.4</x:v>
      </x:c>
      <x:c r="B70" s="980"/>
      <x:c r="C70" s="980"/>
      <x:c r="D70" s="980"/>
      <x:c r="E70" s="981"/>
      <x:c r="F70" s="975"/>
      <x:c r="G70" s="980" t="str">
        <x:f>IF($F70&lt;&gt;"",$F70,IFERROR(_xlfn.XLOOKUP(ROW(),Taxa_Saknas!$H:$H,Taxa_Saknas!$G:$G),""))</x:f>
      </x:c>
      <x:c r="H70" s="980" t="e">
        <x:f>IF($F70&lt;&gt;"",IFERROR(_xlfn.XLOOKUP($F70,Taxa_från_edp!$B:$B,Taxa_från_edp!C:C),""),"")</x:f>
      </x:c>
      <x:c r="I70" s="983" t="e">
        <x:f>IF($F70&lt;&gt;"",IFERROR(_xlfn.XLOOKUP($F70,Taxa_från_edp!$B:$B,Taxa_från_edp!G:G),""),"")</x:f>
      </x:c>
      <x:c r="J70" s="983" t="e">
        <x:f>IF($F70&lt;&gt;"",IFERROR(_xlfn.XLOOKUP($F70,Taxa_från_edp!$B:$B,Taxa_från_edp!K:K),""),"")</x:f>
      </x:c>
      <x:c r="K70" s="983"/>
      <x:c r="L70" s="983"/>
      <x:c r="M70" s="976" t="str">
        <x:f>IFERROR(IF(J70&lt;&gt;"",J70*1.25,IF(K70&lt;&gt;"",K70*1.25,"")),"")</x:f>
      </x:c>
      <x:c r="N70" s="977" t="str">
        <x:f>IFERROR(IF(J70&lt;&gt;"",L70*J70,IF(K70&lt;&gt;"",L70*K70,"")),"")</x:f>
      </x:c>
    </x:row>
    <x:row r="71" s="54" customFormat="1" ht="22" customHeight="1">
      <x:c r="A71" s="975" t="str">
        <x:v>§2.2.5 Hämtningsavgift per år för verksamheter</x:v>
      </x:c>
      <x:c r="B71" s="980"/>
      <x:c r="C71" s="980"/>
      <x:c r="D71" s="980"/>
      <x:c r="E71" s="981"/>
      <x:c r="F71" s="975"/>
      <x:c r="G71" s="980" t="str">
        <x:f>IF($F71&lt;&gt;"",$F71,IFERROR(_xlfn.XLOOKUP(ROW(),Taxa_Saknas!$H:$H,Taxa_Saknas!$G:$G),""))</x:f>
      </x:c>
      <x:c r="H71" s="980" t="e">
        <x:f>IF($F71&lt;&gt;"",IFERROR(_xlfn.XLOOKUP($F71,Taxa_från_edp!$B:$B,Taxa_från_edp!C:C),""),"")</x:f>
      </x:c>
      <x:c r="I71" s="983" t="e">
        <x:f>IF($F71&lt;&gt;"",IFERROR(_xlfn.XLOOKUP($F71,Taxa_från_edp!$B:$B,Taxa_från_edp!G:G),""),"")</x:f>
      </x:c>
      <x:c r="J71" s="983" t="e">
        <x:f>IF($F71&lt;&gt;"",IFERROR(_xlfn.XLOOKUP($F71,Taxa_från_edp!$B:$B,Taxa_från_edp!K:K),""),"")</x:f>
      </x:c>
      <x:c r="K71" s="983"/>
      <x:c r="L71" s="983"/>
      <x:c r="M71" s="976" t="str">
        <x:f>IFERROR(IF(J71&lt;&gt;"",J71*1.25,IF(K71&lt;&gt;"",K71*1.25,"")),"")</x:f>
      </x:c>
      <x:c r="N71" s="977" t="str">
        <x:f>IFERROR(IF(J71&lt;&gt;"",L71*J71,IF(K71&lt;&gt;"",L71*K71,"")),"")</x:f>
      </x:c>
    </x:row>
    <x:row r="72" s="54" customFormat="1" ht="30" customHeight="1">
      <x:c r="A72" s="965" t="str">
        <x:v>§2.2.5</x:v>
      </x:c>
      <x:c r="B72" s="965" t="str">
        <x:v>Hämtningsavgift per år för verksamheter</x:v>
      </x:c>
      <x:c r="C72" s="965" t="str">
        <x:v>Kärl 240 l (mat-/restavfall)</x:v>
      </x:c>
      <x:c r="D72" s="965" t="str">
        <x:v>Hämtning varje vecka</x:v>
      </x:c>
      <x:c r="E72" s="965" t="str">
        <x:v>st/år</x:v>
      </x:c>
      <x:c r="F72" s="993" t="str">
        <x:v>KÄ240RM52FV</x:v>
      </x:c>
      <x:c r="G72" s="1000" t="str">
        <x:f>IF($F72&lt;&gt;"",$F72,IFERROR(_xlfn.XLOOKUP(ROW(),Taxa_Saknas!$H:$H,Taxa_Saknas!$G:$G),""))</x:f>
        <x:v>KÄ240RM52FV</x:v>
      </x:c>
      <x:c r="H72" s="1012" t="e">
        <x:f>IF($F72&lt;&gt;"",IFERROR(_xlfn.XLOOKUP($F72,Taxa_från_edp!$B:$B,Taxa_från_edp!C:C),""),"")</x:f>
      </x:c>
      <x:c r="I72" s="1013" t="e">
        <x:f>IF($F72&lt;&gt;"",IFERROR(_xlfn.XLOOKUP($F72,Taxa_från_edp!$B:$B,Taxa_från_edp!G:G),""),"")</x:f>
      </x:c>
      <x:c r="J72" s="1013" t="e">
        <x:f>IF($F72&lt;&gt;"",IFERROR(_xlfn.XLOOKUP($F72,Taxa_från_edp!$B:$B,Taxa_från_edp!K:K),""),"")</x:f>
      </x:c>
      <x:c r="K72" s="1019"/>
      <x:c r="L72" s="1025"/>
      <x:c r="M72" s="1029" t="str">
        <x:f>IFERROR(IF(J72&lt;&gt;"",J72*1.25,IF(K72&lt;&gt;"",K72*1.25,"")),"")</x:f>
      </x:c>
      <x:c r="N72" s="1030" t="str">
        <x:f>IFERROR(IF(J72&lt;&gt;"",L72*J72,IF(K72&lt;&gt;"",L72*K72,"")),"")</x:f>
      </x:c>
    </x:row>
    <x:row r="73" s="54" customFormat="1" ht="30" customHeight="1">
      <x:c r="A73" s="965" t="str">
        <x:v>§2.2.5</x:v>
      </x:c>
      <x:c r="B73" s="965" t="str">
        <x:v>Hämtningsavgift per år för verksamheter</x:v>
      </x:c>
      <x:c r="C73" s="965" t="str">
        <x:v>Kärl 240 l (mat-/restavfall)</x:v>
      </x:c>
      <x:c r="D73" s="965" t="str">
        <x:v>Hämtning var 14:e dag</x:v>
      </x:c>
      <x:c r="E73" s="965" t="str">
        <x:v>st/år</x:v>
      </x:c>
      <x:c r="F73" s="993" t="str">
        <x:v>KÄ240RM26FV</x:v>
      </x:c>
      <x:c r="G73" s="1000" t="str">
        <x:f>IF($F73&lt;&gt;"",$F73,IFERROR(_xlfn.XLOOKUP(ROW(),Taxa_Saknas!$H:$H,Taxa_Saknas!$G:$G),""))</x:f>
        <x:v>KÄ240RM26FV</x:v>
      </x:c>
      <x:c r="H73" s="1012" t="e">
        <x:f>IF($F73&lt;&gt;"",IFERROR(_xlfn.XLOOKUP($F73,Taxa_från_edp!$B:$B,Taxa_från_edp!C:C),""),"")</x:f>
      </x:c>
      <x:c r="I73" s="1013" t="e">
        <x:f>IF($F73&lt;&gt;"",IFERROR(_xlfn.XLOOKUP($F73,Taxa_från_edp!$B:$B,Taxa_från_edp!G:G),""),"")</x:f>
      </x:c>
      <x:c r="J73" s="1013" t="e">
        <x:f>IF($F73&lt;&gt;"",IFERROR(_xlfn.XLOOKUP($F73,Taxa_från_edp!$B:$B,Taxa_från_edp!K:K),""),"")</x:f>
      </x:c>
      <x:c r="K73" s="1019"/>
      <x:c r="L73" s="1025"/>
      <x:c r="M73" s="1029" t="str">
        <x:f>IFERROR(IF(J73&lt;&gt;"",J73*1.25,IF(K73&lt;&gt;"",K73*1.25,"")),"")</x:f>
      </x:c>
      <x:c r="N73" s="1030" t="str">
        <x:f>IFERROR(IF(J73&lt;&gt;"",L73*J73,IF(K73&lt;&gt;"",L73*K73,"")),"")</x:f>
      </x:c>
    </x:row>
    <x:row r="74" s="54" customFormat="1" ht="30" customHeight="1">
      <x:c r="A74" s="965" t="str">
        <x:v>§2.2.5</x:v>
      </x:c>
      <x:c r="B74" s="965" t="str">
        <x:v>Hämtningsavgift per år för verksamheter</x:v>
      </x:c>
      <x:c r="C74" s="965" t="str">
        <x:v>Kärl 240 l (mat-/restavfall)</x:v>
      </x:c>
      <x:c r="D74" s="965" t="str">
        <x:v>Hämtning månadsvis</x:v>
      </x:c>
      <x:c r="E74" s="965" t="str">
        <x:v>st/år</x:v>
      </x:c>
      <x:c r="F74" s="989"/>
      <x:c r="G74" s="996" t="str">
        <x:f>IF($F74&lt;&gt;"",$F74,IFERROR(_xlfn.XLOOKUP(ROW(),Taxa_Saknas!$H:$H,Taxa_Saknas!$G:$G),""))</x:f>
        <x:v>KÄ240RM12FV</x:v>
      </x:c>
      <x:c r="H74" s="1003" t="e">
        <x:f>IF($F74&lt;&gt;"",IFERROR(_xlfn.XLOOKUP($F74,Taxa_från_edp!$B:$B,Taxa_från_edp!C:C),""),"")</x:f>
      </x:c>
      <x:c r="I74" s="1004" t="e">
        <x:f>IF($F74&lt;&gt;"",IFERROR(_xlfn.XLOOKUP($F74,Taxa_från_edp!$B:$B,Taxa_från_edp!G:G),""),"")</x:f>
      </x:c>
      <x:c r="J74" s="1005" t="e">
        <x:f>IF($F74&lt;&gt;"",IFERROR(_xlfn.XLOOKUP($F74,Taxa_från_edp!$B:$B,Taxa_från_edp!K:K),""),"")</x:f>
      </x:c>
      <x:c r="K74" s="1016"/>
      <x:c r="L74" s="1022"/>
      <x:c r="M74" s="1029" t="str">
        <x:f>IFERROR(IF(J74&lt;&gt;"",J74*1.25,IF(K74&lt;&gt;"",K74*1.25,"")),"")</x:f>
      </x:c>
      <x:c r="N74" s="1030" t="str">
        <x:f>IFERROR(IF(J74&lt;&gt;"",L74*J74,IF(K74&lt;&gt;"",L74*K74,"")),"")</x:f>
      </x:c>
    </x:row>
    <x:row r="75" s="54" customFormat="1" ht="30" customHeight="1">
      <x:c r="A75" s="965" t="str">
        <x:v>§2.2.5</x:v>
      </x:c>
      <x:c r="B75" s="965" t="str">
        <x:v>Hämtningsavgift per år för verksamheter</x:v>
      </x:c>
      <x:c r="C75" s="965" t="str">
        <x:v>Kärl 370 l (restavfall)</x:v>
      </x:c>
      <x:c r="D75" s="965" t="str">
        <x:v>Hämtning varje vecka</x:v>
      </x:c>
      <x:c r="E75" s="965" t="str">
        <x:v>st/år</x:v>
      </x:c>
      <x:c r="F75" s="989" t="str">
        <x:v>KÄ370RE52FV</x:v>
      </x:c>
      <x:c r="G75" s="996" t="str">
        <x:f>IF($F75&lt;&gt;"",$F75,IFERROR(_xlfn.XLOOKUP(ROW(),Taxa_Saknas!$H:$H,Taxa_Saknas!$G:$G),""))</x:f>
        <x:v>KÄ370RE52FV</x:v>
      </x:c>
      <x:c r="H75" s="1003" t="e">
        <x:f>IF($F75&lt;&gt;"",IFERROR(_xlfn.XLOOKUP($F75,Taxa_från_edp!$B:$B,Taxa_från_edp!C:C),""),"")</x:f>
      </x:c>
      <x:c r="I75" s="1004" t="e">
        <x:f>IF($F75&lt;&gt;"",IFERROR(_xlfn.XLOOKUP($F75,Taxa_från_edp!$B:$B,Taxa_från_edp!G:G),""),"")</x:f>
      </x:c>
      <x:c r="J75" s="1005" t="e">
        <x:f>IF($F75&lt;&gt;"",IFERROR(_xlfn.XLOOKUP($F75,Taxa_från_edp!$B:$B,Taxa_från_edp!K:K),""),"")</x:f>
      </x:c>
      <x:c r="K75" s="1016"/>
      <x:c r="L75" s="1022"/>
      <x:c r="M75" s="1029" t="str">
        <x:f>IFERROR(IF(J75&lt;&gt;"",J75*1.25,IF(K75&lt;&gt;"",K75*1.25,"")),"")</x:f>
      </x:c>
      <x:c r="N75" s="1030" t="str">
        <x:f>IFERROR(IF(J75&lt;&gt;"",L75*J75,IF(K75&lt;&gt;"",L75*K75,"")),"")</x:f>
      </x:c>
    </x:row>
    <x:row r="76" s="54" customFormat="1" ht="30" customHeight="1">
      <x:c r="A76" s="965" t="str">
        <x:v>§2.2.5</x:v>
      </x:c>
      <x:c r="B76" s="965" t="str">
        <x:v>Hämtningsavgift per år för verksamheter</x:v>
      </x:c>
      <x:c r="C76" s="965" t="str">
        <x:v>Kärl 370 l (restavfall)</x:v>
      </x:c>
      <x:c r="D76" s="965" t="str">
        <x:v>Hämtning var 14:e dag</x:v>
      </x:c>
      <x:c r="E76" s="965" t="str">
        <x:v>st/år</x:v>
      </x:c>
      <x:c r="F76" s="989" t="str">
        <x:v>KÄ370RE26FV</x:v>
      </x:c>
      <x:c r="G76" s="996" t="str">
        <x:f>IF($F76&lt;&gt;"",$F76,IFERROR(_xlfn.XLOOKUP(ROW(),Taxa_Saknas!$H:$H,Taxa_Saknas!$G:$G),""))</x:f>
        <x:v>KÄ370RE26FV</x:v>
      </x:c>
      <x:c r="H76" s="1003" t="e">
        <x:f>IF($F76&lt;&gt;"",IFERROR(_xlfn.XLOOKUP($F76,Taxa_från_edp!$B:$B,Taxa_från_edp!C:C),""),"")</x:f>
      </x:c>
      <x:c r="I76" s="1004" t="e">
        <x:f>IF($F76&lt;&gt;"",IFERROR(_xlfn.XLOOKUP($F76,Taxa_från_edp!$B:$B,Taxa_från_edp!G:G),""),"")</x:f>
      </x:c>
      <x:c r="J76" s="1005" t="e">
        <x:f>IF($F76&lt;&gt;"",IFERROR(_xlfn.XLOOKUP($F76,Taxa_från_edp!$B:$B,Taxa_från_edp!K:K),""),"")</x:f>
      </x:c>
      <x:c r="K76" s="1016"/>
      <x:c r="L76" s="1022"/>
      <x:c r="M76" s="1029" t="str">
        <x:f>IFERROR(IF(J76&lt;&gt;"",J76*1.25,IF(K76&lt;&gt;"",K76*1.25,"")),"")</x:f>
      </x:c>
      <x:c r="N76" s="1030" t="str">
        <x:f>IFERROR(IF(J76&lt;&gt;"",L76*J76,IF(K76&lt;&gt;"",L76*K76,"")),"")</x:f>
      </x:c>
    </x:row>
    <x:row r="77">
      <x:c r="A77" s="965" t="str">
        <x:v>§2.2.5</x:v>
      </x:c>
      <x:c r="B77" s="965" t="str">
        <x:v>Hämtningsavgift per år för verksamheter</x:v>
      </x:c>
      <x:c r="C77" s="965" t="str">
        <x:v>Kärl 370 l (restavfall)</x:v>
      </x:c>
      <x:c r="D77" s="965" t="str">
        <x:v>Hämtning månadsvis</x:v>
      </x:c>
      <x:c r="E77" s="965" t="str">
        <x:v>st/år</x:v>
      </x:c>
      <x:c r="F77" s="993"/>
      <x:c r="G77" s="1000" t="str">
        <x:f>IF($F77&lt;&gt;"",$F77,IFERROR(_xlfn.XLOOKUP(ROW(),Taxa_Saknas!$H:$H,Taxa_Saknas!$G:$G),""))</x:f>
        <x:v>KÄ370RE12FV</x:v>
      </x:c>
      <x:c r="H77" s="1012" t="e">
        <x:f>IF($F77&lt;&gt;"",IFERROR(_xlfn.XLOOKUP($F77,Taxa_från_edp!$B:$B,Taxa_från_edp!C:C),""),"")</x:f>
      </x:c>
      <x:c r="I77" s="1013" t="e">
        <x:f>IF($F77&lt;&gt;"",IFERROR(_xlfn.XLOOKUP($F77,Taxa_från_edp!$B:$B,Taxa_från_edp!G:G),""),"")</x:f>
      </x:c>
      <x:c r="J77" s="1013" t="e">
        <x:f>IF($F77&lt;&gt;"",IFERROR(_xlfn.XLOOKUP($F77,Taxa_från_edp!$B:$B,Taxa_från_edp!K:K),""),"")</x:f>
      </x:c>
      <x:c r="K77" s="1019"/>
      <x:c r="L77" s="1025"/>
      <x:c r="M77" s="1029" t="str">
        <x:f>IFERROR(IF(J77&lt;&gt;"",J77*1.25,IF(K77&lt;&gt;"",K77*1.25,"")),"")</x:f>
      </x:c>
      <x:c r="N77" s="1030" t="str">
        <x:f>IFERROR(IF(J77&lt;&gt;"",L77*J77,IF(K77&lt;&gt;"",L77*K77,"")),"")</x:f>
      </x:c>
    </x:row>
    <x:row r="78" s="54" customFormat="1">
      <x:c r="A78" s="965" t="str">
        <x:v>§2.2.5</x:v>
      </x:c>
      <x:c r="B78" s="965" t="str">
        <x:v>Hämtningsavgift per år för verksamheter</x:v>
      </x:c>
      <x:c r="C78" s="965" t="str">
        <x:v>Kärl 660 l (restavfall)</x:v>
      </x:c>
      <x:c r="D78" s="965" t="str">
        <x:v>Hämtning varje vecka</x:v>
      </x:c>
      <x:c r="E78" s="965" t="str">
        <x:v>st/år</x:v>
      </x:c>
      <x:c r="F78" s="989" t="str">
        <x:v>KÄ660RE52FV</x:v>
      </x:c>
      <x:c r="G78" s="996" t="str">
        <x:f>IF($F78&lt;&gt;"",$F78,IFERROR(_xlfn.XLOOKUP(ROW(),Taxa_Saknas!$H:$H,Taxa_Saknas!$G:$G),""))</x:f>
        <x:v>KÄ660RE52FV</x:v>
      </x:c>
      <x:c r="H78" s="1003" t="e">
        <x:f>IF($F78&lt;&gt;"",IFERROR(_xlfn.XLOOKUP($F78,Taxa_från_edp!$B:$B,Taxa_från_edp!C:C),""),"")</x:f>
      </x:c>
      <x:c r="I78" s="1004" t="e">
        <x:f>IF($F78&lt;&gt;"",IFERROR(_xlfn.XLOOKUP($F78,Taxa_från_edp!$B:$B,Taxa_från_edp!G:G),""),"")</x:f>
      </x:c>
      <x:c r="J78" s="1005" t="e">
        <x:f>IF($F78&lt;&gt;"",IFERROR(_xlfn.XLOOKUP($F78,Taxa_från_edp!$B:$B,Taxa_från_edp!K:K),""),"")</x:f>
      </x:c>
      <x:c r="K78" s="1016"/>
      <x:c r="L78" s="1022"/>
      <x:c r="M78" s="1029" t="str">
        <x:f>IFERROR(IF(J78&lt;&gt;"",J78*1.25,IF(K78&lt;&gt;"",K78*1.25,"")),"")</x:f>
      </x:c>
      <x:c r="N78" s="1030" t="str">
        <x:f>IFERROR(IF(J78&lt;&gt;"",L78*J78,IF(K78&lt;&gt;"",L78*K78,"")),"")</x:f>
      </x:c>
    </x:row>
    <x:row r="79" s="54" customFormat="1">
      <x:c r="A79" s="965" t="str">
        <x:v>§2.2.5</x:v>
      </x:c>
      <x:c r="B79" s="965" t="str">
        <x:v>Hämtningsavgift per år för verksamheter</x:v>
      </x:c>
      <x:c r="C79" s="965" t="str">
        <x:v>Kärl 660 l (restavfall)</x:v>
      </x:c>
      <x:c r="D79" s="965" t="str">
        <x:v>Hämtning var 14:e dag</x:v>
      </x:c>
      <x:c r="E79" s="965" t="str">
        <x:v>st/år</x:v>
      </x:c>
      <x:c r="F79" s="989" t="str">
        <x:v>KÄ660RE26FV</x:v>
      </x:c>
      <x:c r="G79" s="996" t="str">
        <x:f>IF($F79&lt;&gt;"",$F79,IFERROR(_xlfn.XLOOKUP(ROW(),Taxa_Saknas!$H:$H,Taxa_Saknas!$G:$G),""))</x:f>
        <x:v>KÄ660RE26FV</x:v>
      </x:c>
      <x:c r="H79" s="1003" t="e">
        <x:f>IF($F79&lt;&gt;"",IFERROR(_xlfn.XLOOKUP($F79,Taxa_från_edp!$B:$B,Taxa_från_edp!C:C),""),"")</x:f>
      </x:c>
      <x:c r="I79" s="1004" t="e">
        <x:f>IF($F79&lt;&gt;"",IFERROR(_xlfn.XLOOKUP($F79,Taxa_från_edp!$B:$B,Taxa_från_edp!G:G),""),"")</x:f>
      </x:c>
      <x:c r="J79" s="1005" t="e">
        <x:f>IF($F79&lt;&gt;"",IFERROR(_xlfn.XLOOKUP($F79,Taxa_från_edp!$B:$B,Taxa_från_edp!K:K),""),"")</x:f>
      </x:c>
      <x:c r="K79" s="1016"/>
      <x:c r="L79" s="1022"/>
      <x:c r="M79" s="1029" t="str">
        <x:f>IFERROR(IF(J79&lt;&gt;"",J79*1.25,IF(K79&lt;&gt;"",K79*1.25,"")),"")</x:f>
      </x:c>
      <x:c r="N79" s="1030" t="str">
        <x:f>IFERROR(IF(J79&lt;&gt;"",L79*J79,IF(K79&lt;&gt;"",L79*K79,"")),"")</x:f>
      </x:c>
    </x:row>
    <x:row r="80">
      <x:c r="A80" s="965" t="str">
        <x:v>§2.2.5</x:v>
      </x:c>
      <x:c r="B80" s="965" t="str">
        <x:v>Hämtningsavgift per år för verksamheter</x:v>
      </x:c>
      <x:c r="C80" s="965" t="str">
        <x:v>Kärl 660 l (restavfall)</x:v>
      </x:c>
      <x:c r="D80" s="965" t="str">
        <x:v>Hämtning månadsvis</x:v>
      </x:c>
      <x:c r="E80" s="965" t="str">
        <x:v>st/år</x:v>
      </x:c>
      <x:c r="F80" s="993"/>
      <x:c r="G80" s="1000" t="str">
        <x:f>IF($F80&lt;&gt;"",$F80,IFERROR(_xlfn.XLOOKUP(ROW(),Taxa_Saknas!$H:$H,Taxa_Saknas!$G:$G),""))</x:f>
        <x:v>KÄ660RE12FV</x:v>
      </x:c>
      <x:c r="H80" s="1012" t="e">
        <x:f>IF($F80&lt;&gt;"",IFERROR(_xlfn.XLOOKUP($F80,Taxa_från_edp!$B:$B,Taxa_från_edp!C:C),""),"")</x:f>
      </x:c>
      <x:c r="I80" s="1013" t="e">
        <x:f>IF($F80&lt;&gt;"",IFERROR(_xlfn.XLOOKUP($F80,Taxa_från_edp!$B:$B,Taxa_från_edp!G:G),""),"")</x:f>
      </x:c>
      <x:c r="J80" s="1013" t="e">
        <x:f>IF($F80&lt;&gt;"",IFERROR(_xlfn.XLOOKUP($F80,Taxa_från_edp!$B:$B,Taxa_från_edp!K:K),""),"")</x:f>
      </x:c>
      <x:c r="K80" s="1019"/>
      <x:c r="L80" s="1025"/>
      <x:c r="M80" s="1029" t="str">
        <x:f>IFERROR(IF(J80&lt;&gt;"",J80*1.25,IF(K80&lt;&gt;"",K80*1.25,"")),"")</x:f>
      </x:c>
      <x:c r="N80" s="1030" t="str">
        <x:f>IFERROR(IF(J80&lt;&gt;"",L80*J80,IF(K80&lt;&gt;"",L80*K80,"")),"")</x:f>
      </x:c>
    </x:row>
    <x:row r="81" s="54" customFormat="1">
      <x:c r="A81" s="965" t="str">
        <x:v>§2.2.5</x:v>
      </x:c>
      <x:c r="B81" s="965" t="str">
        <x:v>Hämtningsavgift per år för verksamheter</x:v>
      </x:c>
      <x:c r="C81" s="965" t="str">
        <x:v>Kärl 140 l (matavfall)</x:v>
      </x:c>
      <x:c r="D81" s="965" t="str">
        <x:v>Hämtning varje vecka</x:v>
      </x:c>
      <x:c r="E81" s="965" t="str">
        <x:v>st/år</x:v>
      </x:c>
      <x:c r="F81" s="989" t="str">
        <x:v>KÄ140MA52FV</x:v>
      </x:c>
      <x:c r="G81" s="996" t="str">
        <x:f>IF($F81&lt;&gt;"",$F81,IFERROR(_xlfn.XLOOKUP(ROW(),Taxa_Saknas!$H:$H,Taxa_Saknas!$G:$G),""))</x:f>
        <x:v>KÄ140MA52FV</x:v>
      </x:c>
      <x:c r="H81" s="1003" t="e">
        <x:f>IF($F81&lt;&gt;"",IFERROR(_xlfn.XLOOKUP($F81,Taxa_från_edp!$B:$B,Taxa_från_edp!C:C),""),"")</x:f>
      </x:c>
      <x:c r="I81" s="1004" t="e">
        <x:f>IF($F81&lt;&gt;"",IFERROR(_xlfn.XLOOKUP($F81,Taxa_från_edp!$B:$B,Taxa_från_edp!G:G),""),"")</x:f>
      </x:c>
      <x:c r="J81" s="1005" t="e">
        <x:f>IF($F81&lt;&gt;"",IFERROR(_xlfn.XLOOKUP($F81,Taxa_från_edp!$B:$B,Taxa_från_edp!K:K),""),"")</x:f>
      </x:c>
      <x:c r="K81" s="1016"/>
      <x:c r="L81" s="1022"/>
      <x:c r="M81" s="1029" t="str">
        <x:f>IFERROR(IF(J81&lt;&gt;"",J81*1.25,IF(K81&lt;&gt;"",K81*1.25,"")),"")</x:f>
      </x:c>
      <x:c r="N81" s="1030" t="str">
        <x:f>IFERROR(IF(J81&lt;&gt;"",L81*J81,IF(K81&lt;&gt;"",L81*K81,"")),"")</x:f>
      </x:c>
    </x:row>
    <x:row r="82" s="54" customFormat="1">
      <x:c r="A82" s="965" t="str">
        <x:v>§2.2.5</x:v>
      </x:c>
      <x:c r="B82" s="965" t="str">
        <x:v>Hämtningsavgift per år för verksamheter</x:v>
      </x:c>
      <x:c r="C82" s="965" t="str">
        <x:v>Kärl 140 l (matavfall)</x:v>
      </x:c>
      <x:c r="D82" s="965" t="str">
        <x:v>Hämtning var 14:e dag</x:v>
      </x:c>
      <x:c r="E82" s="965" t="str">
        <x:v>st/år</x:v>
      </x:c>
      <x:c r="F82" s="993" t="str">
        <x:v>KÄ140MA26FV</x:v>
      </x:c>
      <x:c r="G82" s="1000" t="str">
        <x:f>IF($F82&lt;&gt;"",$F82,IFERROR(_xlfn.XLOOKUP(ROW(),Taxa_Saknas!$H:$H,Taxa_Saknas!$G:$G),""))</x:f>
        <x:v>KÄ140MA26FV</x:v>
      </x:c>
      <x:c r="H82" s="1012" t="e">
        <x:f>IF($F82&lt;&gt;"",IFERROR(_xlfn.XLOOKUP($F82,Taxa_från_edp!$B:$B,Taxa_från_edp!C:C),""),"")</x:f>
      </x:c>
      <x:c r="I82" s="1013" t="e">
        <x:f>IF($F82&lt;&gt;"",IFERROR(_xlfn.XLOOKUP($F82,Taxa_från_edp!$B:$B,Taxa_från_edp!G:G),""),"")</x:f>
      </x:c>
      <x:c r="J82" s="1013" t="e">
        <x:f>IF($F82&lt;&gt;"",IFERROR(_xlfn.XLOOKUP($F82,Taxa_från_edp!$B:$B,Taxa_från_edp!K:K),""),"")</x:f>
      </x:c>
      <x:c r="K82" s="1019"/>
      <x:c r="L82" s="1025"/>
      <x:c r="M82" s="1029" t="str">
        <x:f>IFERROR(IF(J82&lt;&gt;"",J82*1.25,IF(K82&lt;&gt;"",K82*1.25,"")),"")</x:f>
      </x:c>
      <x:c r="N82" s="1030" t="str">
        <x:f>IFERROR(IF(J82&lt;&gt;"",L82*J82,IF(K82&lt;&gt;"",L82*K82,"")),"")</x:f>
      </x:c>
    </x:row>
    <x:row r="83" s="54" customFormat="1">
      <x:c r="A83" s="965" t="str">
        <x:v>§2.2.5</x:v>
      </x:c>
      <x:c r="B83" s="965" t="str">
        <x:v>Hämtningsavgift per år för verksamheter</x:v>
      </x:c>
      <x:c r="C83" s="965" t="str">
        <x:v>Kärl 140 l (matavfall)</x:v>
      </x:c>
      <x:c r="D83" s="965" t="str">
        <x:v>Hämtning månadsvis</x:v>
      </x:c>
      <x:c r="E83" s="965" t="str">
        <x:v>st/år</x:v>
      </x:c>
      <x:c r="F83" s="989"/>
      <x:c r="G83" s="996" t="str">
        <x:f>IF($F83&lt;&gt;"",$F83,IFERROR(_xlfn.XLOOKUP(ROW(),Taxa_Saknas!$H:$H,Taxa_Saknas!$G:$G),""))</x:f>
        <x:v>KÄ140MA12FV</x:v>
      </x:c>
      <x:c r="H83" s="1003" t="e">
        <x:f>IF($F83&lt;&gt;"",IFERROR(_xlfn.XLOOKUP($F83,Taxa_från_edp!$B:$B,Taxa_från_edp!C:C),""),"")</x:f>
      </x:c>
      <x:c r="I83" s="1004" t="e">
        <x:f>IF($F83&lt;&gt;"",IFERROR(_xlfn.XLOOKUP($F83,Taxa_från_edp!$B:$B,Taxa_från_edp!G:G),""),"")</x:f>
      </x:c>
      <x:c r="J83" s="1005" t="e">
        <x:f>IF($F83&lt;&gt;"",IFERROR(_xlfn.XLOOKUP($F83,Taxa_från_edp!$B:$B,Taxa_från_edp!K:K),""),"")</x:f>
      </x:c>
      <x:c r="K83" s="1016"/>
      <x:c r="L83" s="1022"/>
      <x:c r="M83" s="1029" t="str">
        <x:f>IFERROR(IF(J83&lt;&gt;"",J83*1.25,IF(K83&lt;&gt;"",K83*1.25,"")),"")</x:f>
      </x:c>
      <x:c r="N83" s="1030" t="str">
        <x:f>IFERROR(IF(J83&lt;&gt;"",L83*J83,IF(K83&lt;&gt;"",L83*K83,"")),"")</x:f>
      </x:c>
    </x:row>
    <x:row r="84">
      <x:c r="A84" s="965" t="str">
        <x:v>§2.2.5</x:v>
      </x:c>
      <x:c r="B84" s="969" t="str">
        <x:v>Hämtningsavgift per år för verksamheter</x:v>
      </x:c>
      <x:c r="C84" s="969" t="str">
        <x:v>Bottentömmande behållare (mat-/restavfall)</x:v>
      </x:c>
      <x:c r="D84" s="969" t="str">
        <x:v>Avgift per tömning</x:v>
      </x:c>
      <x:c r="E84" s="969" t="str">
        <x:v>st/tömning</x:v>
      </x:c>
      <x:c r="F84" s="991"/>
      <x:c r="G84" s="998" t="str">
        <x:f>IF($F84&lt;&gt;"",$F84,IFERROR(_xlfn.XLOOKUP(ROW(),Taxa_Saknas!$H:$H,Taxa_Saknas!$G:$G),""))</x:f>
        <x:v>MBRMFV</x:v>
      </x:c>
      <x:c r="H84" s="1008" t="e">
        <x:f>IF($F84&lt;&gt;"",IFERROR(_xlfn.XLOOKUP($F84,Taxa_från_edp!$B:$B,Taxa_från_edp!C:C),""),"")</x:f>
      </x:c>
      <x:c r="I84" s="1008" t="e">
        <x:f>IF($F84&lt;&gt;"",IFERROR(_xlfn.XLOOKUP($F84,Taxa_från_edp!$B:$B,Taxa_från_edp!G:G),""),"")</x:f>
      </x:c>
      <x:c r="J84" s="1008" t="e">
        <x:f>IF($F84&lt;&gt;"",IFERROR(_xlfn.XLOOKUP($F84,Taxa_från_edp!$B:$B,Taxa_från_edp!K:K),""),"")</x:f>
      </x:c>
      <x:c r="K84" s="998"/>
      <x:c r="L84" s="991"/>
      <x:c r="M84" s="1029" t="str">
        <x:f>IFERROR(IF(J84&lt;&gt;"",J84*1.25,IF(K84&lt;&gt;"",K84*1.25,"")),"")</x:f>
      </x:c>
      <x:c r="N84" s="1030" t="str">
        <x:f>IFERROR(IF(J84&lt;&gt;"",L84*J84,IF(K84&lt;&gt;"",L84*K84,"")),"")</x:f>
      </x:c>
    </x:row>
    <x:row r="85" s="54" customFormat="1" ht="180" customHeight="1">
      <x:c r="A85" s="965" t="str">
        <x:v>§2.2.5</x:v>
      </x:c>
      <x:c r="B85" s="965" t="str">
        <x:v>Hämtningsavgift per år för verksamheter</x:v>
      </x:c>
      <x:c r="C85" s="965" t="str">
        <x:v>Lastväxlarflak (restavfall)</x:v>
      </x:c>
      <x:c r="D85" s="965" t="str">
        <x:v>Avgift per tömning</x:v>
      </x:c>
      <x:c r="E85" s="965" t="str">
        <x:v>st/tömning</x:v>
      </x:c>
      <x:c r="F85" s="994"/>
      <x:c r="G85" s="1001" t="str">
        <x:f>IF($F85&lt;&gt;"",$F85,IFERROR(_xlfn.XLOOKUP(ROW(),Taxa_Saknas!$H:$H,Taxa_Saknas!$G:$G),""))</x:f>
        <x:v>LVREFV</x:v>
      </x:c>
      <x:c r="H85" s="1014" t="e">
        <x:f>IF($F85&lt;&gt;"",IFERROR(_xlfn.XLOOKUP($F85,Taxa_från_edp!$B:$B,Taxa_från_edp!C:C),""),"")</x:f>
      </x:c>
      <x:c r="I85" s="1015" t="e">
        <x:f>IF($F85&lt;&gt;"",IFERROR(_xlfn.XLOOKUP($F85,Taxa_från_edp!$B:$B,Taxa_från_edp!G:G),""),"")</x:f>
      </x:c>
      <x:c r="J85" s="1015" t="e">
        <x:f>IF($F85&lt;&gt;"",IFERROR(_xlfn.XLOOKUP($F85,Taxa_från_edp!$B:$B,Taxa_från_edp!K:K),""),"")</x:f>
      </x:c>
      <x:c r="K85" s="1020"/>
      <x:c r="L85" s="1026"/>
      <x:c r="M85" s="1029" t="str">
        <x:f>IFERROR(IF(J85&lt;&gt;"",J85*1.25,IF(K85&lt;&gt;"",K85*1.25,"")),"")</x:f>
      </x:c>
      <x:c r="N85" s="1030" t="str">
        <x:f>IFERROR(IF(J85&lt;&gt;"",L85*J85,IF(K85&lt;&gt;"",L85*K85,"")),"")</x:f>
      </x:c>
    </x:row>
    <x:row r="86" s="54" customFormat="1" ht="45" customHeight="1">
      <x:c r="A86" s="965" t="str">
        <x:v>§2.2.5</x:v>
      </x:c>
      <x:c r="B86" s="965" t="str">
        <x:v>Hämtningsavgift per år för verksamheter</x:v>
      </x:c>
      <x:c r="C86" s="965" t="str">
        <x:v>Bottentömmande behållare (mat-/restavfall)</x:v>
      </x:c>
      <x:c r="D86" s="965" t="str">
        <x:v>Tillägg för två tömningar per vecka</x:v>
      </x:c>
      <x:c r="E86" s="965" t="str">
        <x:v>st/tömning</x:v>
      </x:c>
      <x:c r="F86" s="989"/>
      <x:c r="G86" s="996" t="str">
        <x:f>IF($F86&lt;&gt;"",$F86,IFERROR(_xlfn.XLOOKUP(ROW(),Taxa_Saknas!$H:$H,Taxa_Saknas!$G:$G),""))</x:f>
        <x:v>MBRM2VFV</x:v>
      </x:c>
      <x:c r="H86" s="1003" t="e">
        <x:f>IF($F86&lt;&gt;"",IFERROR(_xlfn.XLOOKUP($F86,Taxa_från_edp!$B:$B,Taxa_från_edp!C:C),""),"")</x:f>
      </x:c>
      <x:c r="I86" s="1004" t="e">
        <x:f>IF($F86&lt;&gt;"",IFERROR(_xlfn.XLOOKUP($F86,Taxa_från_edp!$B:$B,Taxa_från_edp!G:G),""),"")</x:f>
      </x:c>
      <x:c r="J86" s="1005" t="e">
        <x:f>IF($F86&lt;&gt;"",IFERROR(_xlfn.XLOOKUP($F86,Taxa_från_edp!$B:$B,Taxa_från_edp!K:K),""),"")</x:f>
      </x:c>
      <x:c r="K86" s="1016"/>
      <x:c r="L86" s="1022"/>
      <x:c r="M86" s="1029" t="str">
        <x:f>IFERROR(IF(J86&lt;&gt;"",J86*1.25,IF(K86&lt;&gt;"",K86*1.25,"")),"")</x:f>
      </x:c>
      <x:c r="N86" s="1030" t="str">
        <x:f>IFERROR(IF(J86&lt;&gt;"",L86*J86,IF(K86&lt;&gt;"",L86*K86,"")),"")</x:f>
      </x:c>
    </x:row>
    <x:row r="87" s="54" customFormat="1" ht="22" customHeight="1">
      <x:c r="A87" s="975" t="str">
        <x:v>§2.2.5</x:v>
      </x:c>
      <x:c r="B87" s="980"/>
      <x:c r="C87" s="980"/>
      <x:c r="D87" s="980"/>
      <x:c r="E87" s="981"/>
      <x:c r="F87" s="975"/>
      <x:c r="G87" s="980" t="str">
        <x:f>IF($F87&lt;&gt;"",$F87,IFERROR(_xlfn.XLOOKUP(ROW(),Taxa_Saknas!$H:$H,Taxa_Saknas!$G:$G),""))</x:f>
      </x:c>
      <x:c r="H87" s="980" t="e">
        <x:f>IF($F87&lt;&gt;"",IFERROR(_xlfn.XLOOKUP($F87,Taxa_från_edp!$B:$B,Taxa_från_edp!C:C),""),"")</x:f>
      </x:c>
      <x:c r="I87" s="983" t="e">
        <x:f>IF($F87&lt;&gt;"",IFERROR(_xlfn.XLOOKUP($F87,Taxa_från_edp!$B:$B,Taxa_från_edp!G:G),""),"")</x:f>
      </x:c>
      <x:c r="J87" s="983" t="e">
        <x:f>IF($F87&lt;&gt;"",IFERROR(_xlfn.XLOOKUP($F87,Taxa_från_edp!$B:$B,Taxa_från_edp!K:K),""),"")</x:f>
      </x:c>
      <x:c r="K87" s="983"/>
      <x:c r="L87" s="983"/>
      <x:c r="M87" s="976" t="str">
        <x:f>IFERROR(IF(J87&lt;&gt;"",J87*1.25,IF(K87&lt;&gt;"",K87*1.25,"")),"")</x:f>
      </x:c>
      <x:c r="N87" s="977" t="str">
        <x:f>IFERROR(IF(J87&lt;&gt;"",L87*J87,IF(K87&lt;&gt;"",L87*K87,"")),"")</x:f>
      </x:c>
    </x:row>
    <x:row r="88" s="54" customFormat="1" ht="22" customHeight="1">
      <x:c r="A88" s="975" t="str">
        <x:v>§2.2.6 Hämtningsavgift per år för verksamhet inom detaljhandeln med beviljad hantering av kommunalt avfall</x:v>
      </x:c>
      <x:c r="B88" s="980"/>
      <x:c r="C88" s="980"/>
      <x:c r="D88" s="980"/>
      <x:c r="E88" s="981"/>
      <x:c r="F88" s="975"/>
      <x:c r="G88" s="980" t="str">
        <x:f>IF($F88&lt;&gt;"",$F88,IFERROR(_xlfn.XLOOKUP(ROW(),Taxa_Saknas!$H:$H,Taxa_Saknas!$G:$G),""))</x:f>
      </x:c>
      <x:c r="H88" s="980" t="e">
        <x:f>IF($F88&lt;&gt;"",IFERROR(_xlfn.XLOOKUP($F88,Taxa_från_edp!$B:$B,Taxa_från_edp!C:C),""),"")</x:f>
      </x:c>
      <x:c r="I88" s="983" t="e">
        <x:f>IF($F88&lt;&gt;"",IFERROR(_xlfn.XLOOKUP($F88,Taxa_från_edp!$B:$B,Taxa_från_edp!G:G),""),"")</x:f>
      </x:c>
      <x:c r="J88" s="983" t="e">
        <x:f>IF($F88&lt;&gt;"",IFERROR(_xlfn.XLOOKUP($F88,Taxa_från_edp!$B:$B,Taxa_från_edp!K:K),""),"")</x:f>
      </x:c>
      <x:c r="K88" s="983"/>
      <x:c r="L88" s="983"/>
      <x:c r="M88" s="976" t="str">
        <x:f>IFERROR(IF(J88&lt;&gt;"",J88*1.25,IF(K88&lt;&gt;"",K88*1.25,"")),"")</x:f>
      </x:c>
      <x:c r="N88" s="977" t="str">
        <x:f>IFERROR(IF(J88&lt;&gt;"",L88*J88,IF(K88&lt;&gt;"",L88*K88,"")),"")</x:f>
      </x:c>
    </x:row>
    <x:row r="89" s="54" customFormat="1" ht="45" customHeight="1">
      <x:c r="A89" s="965" t="str">
        <x:v>§2.2.6</x:v>
      </x:c>
      <x:c r="B89" s="965" t="str">
        <x:v>Hämtningsavgift per år för verksamhet inom detaljhandeln med beviljad hantering av kommunalt avfall</x:v>
      </x:c>
      <x:c r="C89" s="965" t="str">
        <x:v>Kärl 240 l (mat-/restavfall)</x:v>
      </x:c>
      <x:c r="D89" s="965" t="str">
        <x:v>Hämtning varje vecka</x:v>
      </x:c>
      <x:c r="E89" s="965" t="str">
        <x:v>st/år</x:v>
      </x:c>
      <x:c r="F89" s="989"/>
      <x:c r="G89" s="996" t="str">
        <x:f>IF($F89&lt;&gt;"",$F89,IFERROR(_xlfn.XLOOKUP(ROW(),Taxa_Saknas!$H:$H,Taxa_Saknas!$G:$G),""))</x:f>
        <x:v>KÄ240RM52DH</x:v>
      </x:c>
      <x:c r="H89" s="1003" t="e">
        <x:f>IF($F89&lt;&gt;"",IFERROR(_xlfn.XLOOKUP($F89,Taxa_från_edp!$B:$B,Taxa_från_edp!C:C),""),"")</x:f>
      </x:c>
      <x:c r="I89" s="1004" t="e">
        <x:f>IF($F89&lt;&gt;"",IFERROR(_xlfn.XLOOKUP($F89,Taxa_från_edp!$B:$B,Taxa_från_edp!G:G),""),"")</x:f>
      </x:c>
      <x:c r="J89" s="1005" t="e">
        <x:f>IF($F89&lt;&gt;"",IFERROR(_xlfn.XLOOKUP($F89,Taxa_från_edp!$B:$B,Taxa_från_edp!K:K),""),"")</x:f>
      </x:c>
      <x:c r="K89" s="1016"/>
      <x:c r="L89" s="1022"/>
      <x:c r="M89" s="1029" t="str">
        <x:f>IFERROR(IF(J89&lt;&gt;"",J89*1.25,IF(K89&lt;&gt;"",K89*1.25,"")),"")</x:f>
      </x:c>
      <x:c r="N89" s="1030" t="str">
        <x:f>IFERROR(IF(J89&lt;&gt;"",L89*J89,IF(K89&lt;&gt;"",L89*K89,"")),"")</x:f>
      </x:c>
    </x:row>
    <x:row r="90" s="54" customFormat="1" ht="45" customHeight="1">
      <x:c r="A90" s="965" t="str">
        <x:v>§2.2.6</x:v>
      </x:c>
      <x:c r="B90" s="965" t="str">
        <x:v>Hämtningsavgift per år för verksamhet inom detaljhandeln med beviljad hantering av kommunalt avfall</x:v>
      </x:c>
      <x:c r="C90" s="965" t="str">
        <x:v>Kärl 240 l (mat-/restavfall)</x:v>
      </x:c>
      <x:c r="D90" s="965" t="str">
        <x:v>Hämtning var 14:e dag</x:v>
      </x:c>
      <x:c r="E90" s="965" t="str">
        <x:v>st/år</x:v>
      </x:c>
      <x:c r="F90" s="989"/>
      <x:c r="G90" s="996" t="str">
        <x:f>IF($F90&lt;&gt;"",$F90,IFERROR(_xlfn.XLOOKUP(ROW(),Taxa_Saknas!$H:$H,Taxa_Saknas!$G:$G),""))</x:f>
        <x:v>KÄ240RM26DH</x:v>
      </x:c>
      <x:c r="H90" s="1003" t="e">
        <x:f>IF($F90&lt;&gt;"",IFERROR(_xlfn.XLOOKUP($F90,Taxa_från_edp!$B:$B,Taxa_från_edp!C:C),""),"")</x:f>
      </x:c>
      <x:c r="I90" s="1004" t="e">
        <x:f>IF($F90&lt;&gt;"",IFERROR(_xlfn.XLOOKUP($F90,Taxa_från_edp!$B:$B,Taxa_från_edp!G:G),""),"")</x:f>
      </x:c>
      <x:c r="J90" s="1005" t="e">
        <x:f>IF($F90&lt;&gt;"",IFERROR(_xlfn.XLOOKUP($F90,Taxa_från_edp!$B:$B,Taxa_från_edp!K:K),""),"")</x:f>
      </x:c>
      <x:c r="K90" s="1016"/>
      <x:c r="L90" s="1022"/>
      <x:c r="M90" s="1029" t="str">
        <x:f>IFERROR(IF(J90&lt;&gt;"",J90*1.25,IF(K90&lt;&gt;"",K90*1.25,"")),"")</x:f>
      </x:c>
      <x:c r="N90" s="1030" t="str">
        <x:f>IFERROR(IF(J90&lt;&gt;"",L90*J90,IF(K90&lt;&gt;"",L90*K90,"")),"")</x:f>
      </x:c>
    </x:row>
    <x:row r="91" s="54" customFormat="1" ht="45" customHeight="1">
      <x:c r="A91" s="965" t="str">
        <x:v>§2.2.6</x:v>
      </x:c>
      <x:c r="B91" s="965" t="str">
        <x:v>Hämtningsavgift per år för verksamhet inom detaljhandeln med beviljad hantering av kommunalt avfall</x:v>
      </x:c>
      <x:c r="C91" s="965" t="str">
        <x:v>Kärl 240 l (mat-/restavfall)</x:v>
      </x:c>
      <x:c r="D91" s="965" t="str">
        <x:v>Hämtning månadsvis</x:v>
      </x:c>
      <x:c r="E91" s="965" t="str">
        <x:v>st/år</x:v>
      </x:c>
      <x:c r="F91" s="989"/>
      <x:c r="G91" s="996" t="str">
        <x:f>IF($F91&lt;&gt;"",$F91,IFERROR(_xlfn.XLOOKUP(ROW(),Taxa_Saknas!$H:$H,Taxa_Saknas!$G:$G),""))</x:f>
        <x:v>KÄ240RM12DH</x:v>
      </x:c>
      <x:c r="H91" s="1003" t="e">
        <x:f>IF($F91&lt;&gt;"",IFERROR(_xlfn.XLOOKUP($F91,Taxa_från_edp!$B:$B,Taxa_från_edp!C:C),""),"")</x:f>
      </x:c>
      <x:c r="I91" s="1004" t="e">
        <x:f>IF($F91&lt;&gt;"",IFERROR(_xlfn.XLOOKUP($F91,Taxa_från_edp!$B:$B,Taxa_från_edp!G:G),""),"")</x:f>
      </x:c>
      <x:c r="J91" s="1005" t="e">
        <x:f>IF($F91&lt;&gt;"",IFERROR(_xlfn.XLOOKUP($F91,Taxa_från_edp!$B:$B,Taxa_från_edp!K:K),""),"")</x:f>
      </x:c>
      <x:c r="K91" s="1016"/>
      <x:c r="L91" s="1022"/>
      <x:c r="M91" s="1029" t="str">
        <x:f>IFERROR(IF(J91&lt;&gt;"",J91*1.25,IF(K91&lt;&gt;"",K91*1.25,"")),"")</x:f>
      </x:c>
      <x:c r="N91" s="1030" t="str">
        <x:f>IFERROR(IF(J91&lt;&gt;"",L91*J91,IF(K91&lt;&gt;"",L91*K91,"")),"")</x:f>
      </x:c>
    </x:row>
    <x:row r="92" s="54" customFormat="1" ht="45" customHeight="1">
      <x:c r="A92" s="965" t="str">
        <x:v>§2.2.6</x:v>
      </x:c>
      <x:c r="B92" s="965" t="str">
        <x:v>Hämtningsavgift per år för verksamhet inom detaljhandeln med beviljad hantering av kommunalt avfall</x:v>
      </x:c>
      <x:c r="C92" s="965" t="str">
        <x:v>Kärl 370 l (restavfall)</x:v>
      </x:c>
      <x:c r="D92" s="965" t="str">
        <x:v>Hämtning varje vecka</x:v>
      </x:c>
      <x:c r="E92" s="965" t="str">
        <x:v>st/år</x:v>
      </x:c>
      <x:c r="F92" s="993"/>
      <x:c r="G92" s="1000" t="str">
        <x:f>IF($F92&lt;&gt;"",$F92,IFERROR(_xlfn.XLOOKUP(ROW(),Taxa_Saknas!$H:$H,Taxa_Saknas!$G:$G),""))</x:f>
        <x:v>KÄ370RE52DH</x:v>
      </x:c>
      <x:c r="H92" s="1012" t="e">
        <x:f>IF($F92&lt;&gt;"",IFERROR(_xlfn.XLOOKUP($F92,Taxa_från_edp!$B:$B,Taxa_från_edp!C:C),""),"")</x:f>
      </x:c>
      <x:c r="I92" s="1013" t="e">
        <x:f>IF($F92&lt;&gt;"",IFERROR(_xlfn.XLOOKUP($F92,Taxa_från_edp!$B:$B,Taxa_från_edp!G:G),""),"")</x:f>
      </x:c>
      <x:c r="J92" s="1013" t="e">
        <x:f>IF($F92&lt;&gt;"",IFERROR(_xlfn.XLOOKUP($F92,Taxa_från_edp!$B:$B,Taxa_från_edp!K:K),""),"")</x:f>
      </x:c>
      <x:c r="K92" s="1019"/>
      <x:c r="L92" s="1025"/>
      <x:c r="M92" s="1029" t="str">
        <x:f>IFERROR(IF(J92&lt;&gt;"",J92*1.25,IF(K92&lt;&gt;"",K92*1.25,"")),"")</x:f>
      </x:c>
      <x:c r="N92" s="1030" t="str">
        <x:f>IFERROR(IF(J92&lt;&gt;"",L92*J92,IF(K92&lt;&gt;"",L92*K92,"")),"")</x:f>
      </x:c>
    </x:row>
    <x:row r="93" s="54" customFormat="1" ht="45" customHeight="1">
      <x:c r="A93" s="965" t="str">
        <x:v>§2.2.6</x:v>
      </x:c>
      <x:c r="B93" s="965" t="str">
        <x:v>Hämtningsavgift per år för verksamhet inom detaljhandeln med beviljad hantering av kommunalt avfall</x:v>
      </x:c>
      <x:c r="C93" s="965" t="str">
        <x:v>Kärl 370 l (restavfall)</x:v>
      </x:c>
      <x:c r="D93" s="965" t="str">
        <x:v>Hämtning var 14:e dag</x:v>
      </x:c>
      <x:c r="E93" s="965" t="str">
        <x:v>st/år</x:v>
      </x:c>
      <x:c r="F93" s="989"/>
      <x:c r="G93" s="996" t="str">
        <x:f>IF($F93&lt;&gt;"",$F93,IFERROR(_xlfn.XLOOKUP(ROW(),Taxa_Saknas!$H:$H,Taxa_Saknas!$G:$G),""))</x:f>
        <x:v>KÄ370RE26DH</x:v>
      </x:c>
      <x:c r="H93" s="1003" t="e">
        <x:f>IF($F93&lt;&gt;"",IFERROR(_xlfn.XLOOKUP($F93,Taxa_från_edp!$B:$B,Taxa_från_edp!C:C),""),"")</x:f>
      </x:c>
      <x:c r="I93" s="1004" t="e">
        <x:f>IF($F93&lt;&gt;"",IFERROR(_xlfn.XLOOKUP($F93,Taxa_från_edp!$B:$B,Taxa_från_edp!G:G),""),"")</x:f>
      </x:c>
      <x:c r="J93" s="1005" t="e">
        <x:f>IF($F93&lt;&gt;"",IFERROR(_xlfn.XLOOKUP($F93,Taxa_från_edp!$B:$B,Taxa_från_edp!K:K),""),"")</x:f>
      </x:c>
      <x:c r="K93" s="1016"/>
      <x:c r="L93" s="1022"/>
      <x:c r="M93" s="1029" t="str">
        <x:f>IFERROR(IF(J93&lt;&gt;"",J93*1.25,IF(K93&lt;&gt;"",K93*1.25,"")),"")</x:f>
      </x:c>
      <x:c r="N93" s="1030" t="str">
        <x:f>IFERROR(IF(J93&lt;&gt;"",L93*J93,IF(K93&lt;&gt;"",L93*K93,"")),"")</x:f>
      </x:c>
    </x:row>
    <x:row r="94" s="54" customFormat="1" ht="45" customHeight="1">
      <x:c r="A94" s="965" t="str">
        <x:v>§2.2.6</x:v>
      </x:c>
      <x:c r="B94" s="965" t="str">
        <x:v>Hämtningsavgift per år för verksamhet inom detaljhandeln med beviljad hantering av kommunalt avfall</x:v>
      </x:c>
      <x:c r="C94" s="965" t="str">
        <x:v>Kärl 370 l (restavfall)</x:v>
      </x:c>
      <x:c r="D94" s="965" t="str">
        <x:v>Hämtning månadsvis</x:v>
      </x:c>
      <x:c r="E94" s="965" t="str">
        <x:v>st/år</x:v>
      </x:c>
      <x:c r="F94" s="989"/>
      <x:c r="G94" s="996" t="str">
        <x:f>IF($F94&lt;&gt;"",$F94,IFERROR(_xlfn.XLOOKUP(ROW(),Taxa_Saknas!$H:$H,Taxa_Saknas!$G:$G),""))</x:f>
        <x:v>KÄ370RE12DH</x:v>
      </x:c>
      <x:c r="H94" s="1003" t="e">
        <x:f>IF($F94&lt;&gt;"",IFERROR(_xlfn.XLOOKUP($F94,Taxa_från_edp!$B:$B,Taxa_från_edp!C:C),""),"")</x:f>
      </x:c>
      <x:c r="I94" s="1004" t="e">
        <x:f>IF($F94&lt;&gt;"",IFERROR(_xlfn.XLOOKUP($F94,Taxa_från_edp!$B:$B,Taxa_från_edp!G:G),""),"")</x:f>
      </x:c>
      <x:c r="J94" s="1005" t="e">
        <x:f>IF($F94&lt;&gt;"",IFERROR(_xlfn.XLOOKUP($F94,Taxa_från_edp!$B:$B,Taxa_från_edp!K:K),""),"")</x:f>
      </x:c>
      <x:c r="K94" s="1016"/>
      <x:c r="L94" s="1022"/>
      <x:c r="M94" s="1029" t="str">
        <x:f>IFERROR(IF(J94&lt;&gt;"",J94*1.25,IF(K94&lt;&gt;"",K94*1.25,"")),"")</x:f>
      </x:c>
      <x:c r="N94" s="1030" t="str">
        <x:f>IFERROR(IF(J94&lt;&gt;"",L94*J94,IF(K94&lt;&gt;"",L94*K94,"")),"")</x:f>
      </x:c>
    </x:row>
    <x:row r="95" s="54" customFormat="1" ht="45" customHeight="1">
      <x:c r="A95" s="965" t="str">
        <x:v>§2.2.6</x:v>
      </x:c>
      <x:c r="B95" s="965" t="str">
        <x:v>Hämtningsavgift per år för verksamhet inom detaljhandeln med beviljad hantering av kommunalt avfall</x:v>
      </x:c>
      <x:c r="C95" s="965" t="str">
        <x:v>Kärl 660 l (restavfall)</x:v>
      </x:c>
      <x:c r="D95" s="965" t="str">
        <x:v>Hämtning varje vecka</x:v>
      </x:c>
      <x:c r="E95" s="965" t="str">
        <x:v>st/år</x:v>
      </x:c>
      <x:c r="F95" s="993"/>
      <x:c r="G95" s="1000" t="str">
        <x:f>IF($F95&lt;&gt;"",$F95,IFERROR(_xlfn.XLOOKUP(ROW(),Taxa_Saknas!$H:$H,Taxa_Saknas!$G:$G),""))</x:f>
        <x:v>KÄ660RE52DH</x:v>
      </x:c>
      <x:c r="H95" s="1012" t="e">
        <x:f>IF($F95&lt;&gt;"",IFERROR(_xlfn.XLOOKUP($F95,Taxa_från_edp!$B:$B,Taxa_från_edp!C:C),""),"")</x:f>
      </x:c>
      <x:c r="I95" s="1013" t="e">
        <x:f>IF($F95&lt;&gt;"",IFERROR(_xlfn.XLOOKUP($F95,Taxa_från_edp!$B:$B,Taxa_från_edp!G:G),""),"")</x:f>
      </x:c>
      <x:c r="J95" s="1013" t="e">
        <x:f>IF($F95&lt;&gt;"",IFERROR(_xlfn.XLOOKUP($F95,Taxa_från_edp!$B:$B,Taxa_från_edp!K:K),""),"")</x:f>
      </x:c>
      <x:c r="K95" s="1019"/>
      <x:c r="L95" s="1025"/>
      <x:c r="M95" s="1029" t="str">
        <x:f>IFERROR(IF(J95&lt;&gt;"",J95*1.25,IF(K95&lt;&gt;"",K95*1.25,"")),"")</x:f>
      </x:c>
      <x:c r="N95" s="1030" t="str">
        <x:f>IFERROR(IF(J95&lt;&gt;"",L95*J95,IF(K95&lt;&gt;"",L95*K95,"")),"")</x:f>
      </x:c>
    </x:row>
    <x:row r="96" s="54" customFormat="1" ht="45" customHeight="1">
      <x:c r="A96" s="965" t="str">
        <x:v>§2.2.6</x:v>
      </x:c>
      <x:c r="B96" s="965" t="str">
        <x:v>Hämtningsavgift per år för verksamhet inom detaljhandeln med beviljad hantering av kommunalt avfall</x:v>
      </x:c>
      <x:c r="C96" s="965" t="str">
        <x:v>Kärl 660 l (restavfall)</x:v>
      </x:c>
      <x:c r="D96" s="965" t="str">
        <x:v>Hämtning var 14:e dag</x:v>
      </x:c>
      <x:c r="E96" s="965" t="str">
        <x:v>st/år</x:v>
      </x:c>
      <x:c r="F96" s="989"/>
      <x:c r="G96" s="996" t="str">
        <x:f>IF($F96&lt;&gt;"",$F96,IFERROR(_xlfn.XLOOKUP(ROW(),Taxa_Saknas!$H:$H,Taxa_Saknas!$G:$G),""))</x:f>
        <x:v>KÄ660RE26DH</x:v>
      </x:c>
      <x:c r="H96" s="1003" t="e">
        <x:f>IF($F96&lt;&gt;"",IFERROR(_xlfn.XLOOKUP($F96,Taxa_från_edp!$B:$B,Taxa_från_edp!C:C),""),"")</x:f>
      </x:c>
      <x:c r="I96" s="1004" t="e">
        <x:f>IF($F96&lt;&gt;"",IFERROR(_xlfn.XLOOKUP($F96,Taxa_från_edp!$B:$B,Taxa_från_edp!G:G),""),"")</x:f>
      </x:c>
      <x:c r="J96" s="1005" t="e">
        <x:f>IF($F96&lt;&gt;"",IFERROR(_xlfn.XLOOKUP($F96,Taxa_från_edp!$B:$B,Taxa_från_edp!K:K),""),"")</x:f>
      </x:c>
      <x:c r="K96" s="1016"/>
      <x:c r="L96" s="1022"/>
      <x:c r="M96" s="1029" t="str">
        <x:f>IFERROR(IF(J96&lt;&gt;"",J96*1.25,IF(K96&lt;&gt;"",K96*1.25,"")),"")</x:f>
      </x:c>
      <x:c r="N96" s="1030" t="str">
        <x:f>IFERROR(IF(J96&lt;&gt;"",L96*J96,IF(K96&lt;&gt;"",L96*K96,"")),"")</x:f>
      </x:c>
    </x:row>
    <x:row r="97" s="54" customFormat="1" ht="45" customHeight="1">
      <x:c r="A97" s="965" t="str">
        <x:v>§2.2.6</x:v>
      </x:c>
      <x:c r="B97" s="965" t="str">
        <x:v>Hämtningsavgift per år för verksamhet inom detaljhandeln med beviljad hantering av kommunalt avfall</x:v>
      </x:c>
      <x:c r="C97" s="965" t="str">
        <x:v>Kärl 660 l (restavfall)</x:v>
      </x:c>
      <x:c r="D97" s="965" t="str">
        <x:v>Hämtning månadsvis</x:v>
      </x:c>
      <x:c r="E97" s="965" t="str">
        <x:v>st/år</x:v>
      </x:c>
      <x:c r="F97" s="989"/>
      <x:c r="G97" s="996" t="str">
        <x:f>IF($F97&lt;&gt;"",$F97,IFERROR(_xlfn.XLOOKUP(ROW(),Taxa_Saknas!$H:$H,Taxa_Saknas!$G:$G),""))</x:f>
        <x:v>KÄ660RE12DH</x:v>
      </x:c>
      <x:c r="H97" s="1003" t="e">
        <x:f>IF($F97&lt;&gt;"",IFERROR(_xlfn.XLOOKUP($F97,Taxa_från_edp!$B:$B,Taxa_från_edp!C:C),""),"")</x:f>
      </x:c>
      <x:c r="I97" s="1004" t="e">
        <x:f>IF($F97&lt;&gt;"",IFERROR(_xlfn.XLOOKUP($F97,Taxa_från_edp!$B:$B,Taxa_från_edp!G:G),""),"")</x:f>
      </x:c>
      <x:c r="J97" s="1005" t="e">
        <x:f>IF($F97&lt;&gt;"",IFERROR(_xlfn.XLOOKUP($F97,Taxa_från_edp!$B:$B,Taxa_från_edp!K:K),""),"")</x:f>
      </x:c>
      <x:c r="K97" s="1016"/>
      <x:c r="L97" s="1022"/>
      <x:c r="M97" s="1029" t="str">
        <x:f>IFERROR(IF(J97&lt;&gt;"",J97*1.25,IF(K97&lt;&gt;"",K97*1.25,"")),"")</x:f>
      </x:c>
      <x:c r="N97" s="1030" t="str">
        <x:f>IFERROR(IF(J97&lt;&gt;"",L97*J97,IF(K97&lt;&gt;"",L97*K97,"")),"")</x:f>
      </x:c>
    </x:row>
    <x:row r="98" s="54" customFormat="1" ht="45" customHeight="1">
      <x:c r="A98" s="965" t="str">
        <x:v>§2.2.6</x:v>
      </x:c>
      <x:c r="B98" s="965" t="str">
        <x:v>Hämtningsavgift per år för verksamhet inom detaljhandeln med beviljad hantering av kommunalt avfall</x:v>
      </x:c>
      <x:c r="C98" s="965" t="str">
        <x:v>Kärl 140 l (matavfall)</x:v>
      </x:c>
      <x:c r="D98" s="965" t="str">
        <x:v>Hämtning varje vecka</x:v>
      </x:c>
      <x:c r="E98" s="965" t="str">
        <x:v>st/år</x:v>
      </x:c>
      <x:c r="F98" s="993"/>
      <x:c r="G98" s="1000" t="str">
        <x:f>IF($F98&lt;&gt;"",$F98,IFERROR(_xlfn.XLOOKUP(ROW(),Taxa_Saknas!$H:$H,Taxa_Saknas!$G:$G),""))</x:f>
        <x:v>KÄ140MA52DH</x:v>
      </x:c>
      <x:c r="H98" s="1012" t="e">
        <x:f>IF($F98&lt;&gt;"",IFERROR(_xlfn.XLOOKUP($F98,Taxa_från_edp!$B:$B,Taxa_från_edp!C:C),""),"")</x:f>
      </x:c>
      <x:c r="I98" s="1013" t="e">
        <x:f>IF($F98&lt;&gt;"",IFERROR(_xlfn.XLOOKUP($F98,Taxa_från_edp!$B:$B,Taxa_från_edp!G:G),""),"")</x:f>
      </x:c>
      <x:c r="J98" s="1013" t="e">
        <x:f>IF($F98&lt;&gt;"",IFERROR(_xlfn.XLOOKUP($F98,Taxa_från_edp!$B:$B,Taxa_från_edp!K:K),""),"")</x:f>
      </x:c>
      <x:c r="K98" s="1019"/>
      <x:c r="L98" s="1025"/>
      <x:c r="M98" s="1029" t="str">
        <x:f>IFERROR(IF(J98&lt;&gt;"",J98*1.25,IF(K98&lt;&gt;"",K98*1.25,"")),"")</x:f>
      </x:c>
      <x:c r="N98" s="1030" t="str">
        <x:f>IFERROR(IF(J98&lt;&gt;"",L98*J98,IF(K98&lt;&gt;"",L98*K98,"")),"")</x:f>
      </x:c>
    </x:row>
    <x:row r="99" s="54" customFormat="1" ht="45" customHeight="1">
      <x:c r="A99" s="965" t="str">
        <x:v>§2.2.6</x:v>
      </x:c>
      <x:c r="B99" s="965" t="str">
        <x:v>Hämtningsavgift per år för verksamhet inom detaljhandeln med beviljad hantering av kommunalt avfall</x:v>
      </x:c>
      <x:c r="C99" s="965" t="str">
        <x:v>Kärl 140 l (matavfall)</x:v>
      </x:c>
      <x:c r="D99" s="967" t="str">
        <x:v>Hämtning var 14:e dag</x:v>
      </x:c>
      <x:c r="E99" s="965" t="str">
        <x:v>st/år</x:v>
      </x:c>
      <x:c r="F99" s="989"/>
      <x:c r="G99" s="996" t="str">
        <x:f>IF($F99&lt;&gt;"",$F99,IFERROR(_xlfn.XLOOKUP(ROW(),Taxa_Saknas!$H:$H,Taxa_Saknas!$G:$G),""))</x:f>
        <x:v>KÄ140MA26DH</x:v>
      </x:c>
      <x:c r="H99" s="1003" t="e">
        <x:f>IF($F99&lt;&gt;"",IFERROR(_xlfn.XLOOKUP($F99,Taxa_från_edp!$B:$B,Taxa_från_edp!C:C),""),"")</x:f>
      </x:c>
      <x:c r="I99" s="1004" t="e">
        <x:f>IF($F99&lt;&gt;"",IFERROR(_xlfn.XLOOKUP($F99,Taxa_från_edp!$B:$B,Taxa_från_edp!G:G),""),"")</x:f>
      </x:c>
      <x:c r="J99" s="1005" t="e">
        <x:f>IF($F99&lt;&gt;"",IFERROR(_xlfn.XLOOKUP($F99,Taxa_från_edp!$B:$B,Taxa_från_edp!K:K),""),"")</x:f>
      </x:c>
      <x:c r="K99" s="1016"/>
      <x:c r="L99" s="1022"/>
      <x:c r="M99" s="1029" t="str">
        <x:f>IFERROR(IF(J99&lt;&gt;"",J99*1.25,IF(K99&lt;&gt;"",K99*1.25,"")),"")</x:f>
      </x:c>
      <x:c r="N99" s="1030" t="str">
        <x:f>IFERROR(IF(J99&lt;&gt;"",L99*J99,IF(K99&lt;&gt;"",L99*K99,"")),"")</x:f>
      </x:c>
    </x:row>
    <x:row r="100" s="54" customFormat="1" ht="45" customHeight="1">
      <x:c r="A100" s="965" t="str">
        <x:v>§2.2.6</x:v>
      </x:c>
      <x:c r="B100" s="965" t="str">
        <x:v>Hämtningsavgift per år för verksamhet inom detaljhandeln med beviljad hantering av kommunalt avfall</x:v>
      </x:c>
      <x:c r="C100" s="965" t="str">
        <x:v>Kärl 140 l (matavfall)</x:v>
      </x:c>
      <x:c r="D100" s="967" t="str">
        <x:v>Hämtning månadsvis</x:v>
      </x:c>
      <x:c r="E100" s="965" t="str">
        <x:v>st/år</x:v>
      </x:c>
      <x:c r="F100" s="989"/>
      <x:c r="G100" s="996" t="str">
        <x:f>IF($F100&lt;&gt;"",$F100,IFERROR(_xlfn.XLOOKUP(ROW(),Taxa_Saknas!$H:$H,Taxa_Saknas!$G:$G),""))</x:f>
        <x:v>KÄ140MA12DH</x:v>
      </x:c>
      <x:c r="H100" s="1003" t="e">
        <x:f>IF($F100&lt;&gt;"",IFERROR(_xlfn.XLOOKUP($F100,Taxa_från_edp!$B:$B,Taxa_från_edp!C:C),""),"")</x:f>
      </x:c>
      <x:c r="I100" s="1004" t="e">
        <x:f>IF($F100&lt;&gt;"",IFERROR(_xlfn.XLOOKUP($F100,Taxa_från_edp!$B:$B,Taxa_från_edp!G:G),""),"")</x:f>
      </x:c>
      <x:c r="J100" s="1005" t="e">
        <x:f>IF($F100&lt;&gt;"",IFERROR(_xlfn.XLOOKUP($F100,Taxa_från_edp!$B:$B,Taxa_från_edp!K:K),""),"")</x:f>
      </x:c>
      <x:c r="K100" s="1016"/>
      <x:c r="L100" s="1022"/>
      <x:c r="M100" s="1029" t="str">
        <x:f>IFERROR(IF(J100&lt;&gt;"",J100*1.25,IF(K100&lt;&gt;"",K100*1.25,"")),"")</x:f>
      </x:c>
      <x:c r="N100" s="1030" t="str">
        <x:f>IFERROR(IF(J100&lt;&gt;"",L100*J100,IF(K100&lt;&gt;"",L100*K100,"")),"")</x:f>
      </x:c>
    </x:row>
    <x:row r="101">
      <x:c r="A101" s="965" t="str">
        <x:v>§2.2.6</x:v>
      </x:c>
      <x:c r="B101" s="969" t="str">
        <x:v>Hämtningsavgift per år för verksamhet inom detaljhandeln med beviljad hantering av kommunalt avfall</x:v>
      </x:c>
      <x:c r="C101" s="969" t="str">
        <x:v>Bottentömmande behållare (mat-/restavfall)</x:v>
      </x:c>
      <x:c r="D101" s="969" t="str">
        <x:v>Avgift per tömning</x:v>
      </x:c>
      <x:c r="E101" s="969" t="str">
        <x:v>st/tömning</x:v>
      </x:c>
      <x:c r="F101" s="991"/>
      <x:c r="G101" s="998" t="str">
        <x:f>IF($F101&lt;&gt;"",$F101,IFERROR(_xlfn.XLOOKUP(ROW(),Taxa_Saknas!$H:$H,Taxa_Saknas!$G:$G),""))</x:f>
        <x:v>MBRMDH</x:v>
      </x:c>
      <x:c r="H101" s="1008" t="e">
        <x:f>IF($F101&lt;&gt;"",IFERROR(_xlfn.XLOOKUP($F101,Taxa_från_edp!$B:$B,Taxa_från_edp!C:C),""),"")</x:f>
      </x:c>
      <x:c r="I101" s="1008" t="e">
        <x:f>IF($F101&lt;&gt;"",IFERROR(_xlfn.XLOOKUP($F101,Taxa_från_edp!$B:$B,Taxa_från_edp!G:G),""),"")</x:f>
      </x:c>
      <x:c r="J101" s="1008" t="e">
        <x:f>IF($F101&lt;&gt;"",IFERROR(_xlfn.XLOOKUP($F101,Taxa_från_edp!$B:$B,Taxa_från_edp!K:K),""),"")</x:f>
      </x:c>
      <x:c r="K101" s="998"/>
      <x:c r="L101" s="991"/>
      <x:c r="M101" s="1029" t="str">
        <x:f>IFERROR(IF(J101&lt;&gt;"",J101*1.25,IF(K101&lt;&gt;"",K101*1.25,"")),"")</x:f>
      </x:c>
      <x:c r="N101" s="1030" t="str">
        <x:f>IFERROR(IF(J101&lt;&gt;"",L101*J101,IF(K101&lt;&gt;"",L101*K101,"")),"")</x:f>
      </x:c>
    </x:row>
    <x:row r="102" s="54" customFormat="1" ht="150" customHeight="1">
      <x:c r="A102" s="965" t="str">
        <x:v>§2.2.6</x:v>
      </x:c>
      <x:c r="B102" s="965" t="str">
        <x:v>Hämtningsavgift per år för verksamhet inom detaljhandeln med beviljad hantering av kommunalt avfall</x:v>
      </x:c>
      <x:c r="C102" s="965" t="str">
        <x:v>Lastväxlarflak (restavfall)</x:v>
      </x:c>
      <x:c r="D102" s="965" t="str">
        <x:v>Avgift per tömning</x:v>
      </x:c>
      <x:c r="E102" s="965" t="str">
        <x:v>st/tömning</x:v>
      </x:c>
      <x:c r="F102" s="994"/>
      <x:c r="G102" s="1001" t="str">
        <x:f>IF($F102&lt;&gt;"",$F102,IFERROR(_xlfn.XLOOKUP(ROW(),Taxa_Saknas!$H:$H,Taxa_Saknas!$G:$G),""))</x:f>
        <x:v>LVREDH</x:v>
      </x:c>
      <x:c r="H102" s="1014" t="e">
        <x:f>IF($F102&lt;&gt;"",IFERROR(_xlfn.XLOOKUP($F102,Taxa_från_edp!$B:$B,Taxa_från_edp!C:C),""),"")</x:f>
      </x:c>
      <x:c r="I102" s="1015" t="e">
        <x:f>IF($F102&lt;&gt;"",IFERROR(_xlfn.XLOOKUP($F102,Taxa_från_edp!$B:$B,Taxa_från_edp!G:G),""),"")</x:f>
      </x:c>
      <x:c r="J102" s="1015" t="e">
        <x:f>IF($F102&lt;&gt;"",IFERROR(_xlfn.XLOOKUP($F102,Taxa_från_edp!$B:$B,Taxa_från_edp!K:K),""),"")</x:f>
      </x:c>
      <x:c r="K102" s="1020"/>
      <x:c r="L102" s="1026"/>
      <x:c r="M102" s="1029" t="str">
        <x:f>IFERROR(IF(J102&lt;&gt;"",J102*1.25,IF(K102&lt;&gt;"",K102*1.25,"")),"")</x:f>
      </x:c>
      <x:c r="N102" s="1030" t="str">
        <x:f>IFERROR(IF(J102&lt;&gt;"",L102*J102,IF(K102&lt;&gt;"",L102*K102,"")),"")</x:f>
      </x:c>
    </x:row>
    <x:row r="103" s="54" customFormat="1" ht="45" customHeight="1">
      <x:c r="A103" s="965" t="str">
        <x:v>§2.2.6</x:v>
      </x:c>
      <x:c r="B103" s="965" t="str">
        <x:v>Hämtningsavgift per år för verksamhet inom detaljhandeln med beviljad hantering av kommunalt avfall</x:v>
      </x:c>
      <x:c r="C103" s="965" t="str">
        <x:v>Bottentömmande behållare (mat-/restavfall)</x:v>
      </x:c>
      <x:c r="D103" s="965" t="str">
        <x:v>Tillägg för två tömningar per vecka</x:v>
      </x:c>
      <x:c r="E103" s="965" t="str">
        <x:v>st/tömning</x:v>
      </x:c>
      <x:c r="F103" s="989"/>
      <x:c r="G103" s="996" t="str">
        <x:f>IF($F103&lt;&gt;"",$F103,IFERROR(_xlfn.XLOOKUP(ROW(),Taxa_Saknas!$H:$H,Taxa_Saknas!$G:$G),""))</x:f>
        <x:v>MBRM2VDH</x:v>
      </x:c>
      <x:c r="H103" s="1003" t="e">
        <x:f>IF($F103&lt;&gt;"",IFERROR(_xlfn.XLOOKUP($F103,Taxa_från_edp!$B:$B,Taxa_från_edp!C:C),""),"")</x:f>
      </x:c>
      <x:c r="I103" s="1004" t="e">
        <x:f>IF($F103&lt;&gt;"",IFERROR(_xlfn.XLOOKUP($F103,Taxa_från_edp!$B:$B,Taxa_från_edp!G:G),""),"")</x:f>
      </x:c>
      <x:c r="J103" s="1005" t="e">
        <x:f>IF($F103&lt;&gt;"",IFERROR(_xlfn.XLOOKUP($F103,Taxa_från_edp!$B:$B,Taxa_från_edp!K:K),""),"")</x:f>
      </x:c>
      <x:c r="K103" s="1016"/>
      <x:c r="L103" s="1022"/>
      <x:c r="M103" s="1029" t="str">
        <x:f>IFERROR(IF(J103&lt;&gt;"",J103*1.25,IF(K103&lt;&gt;"",K103*1.25,"")),"")</x:f>
      </x:c>
      <x:c r="N103" s="1030" t="str">
        <x:f>IFERROR(IF(J103&lt;&gt;"",L103*J103,IF(K103&lt;&gt;"",L103*K103,"")),"")</x:f>
      </x:c>
    </x:row>
    <x:row r="104" ht="22" customHeight="1">
      <x:c r="A104" s="975" t="str">
        <x:v>§2.2.6</x:v>
      </x:c>
      <x:c r="B104" s="976"/>
      <x:c r="C104" s="976"/>
      <x:c r="D104" s="976"/>
      <x:c r="E104" s="977"/>
      <x:c r="F104" s="979"/>
      <x:c r="G104" s="976" t="str">
        <x:f>IF($F104&lt;&gt;"",$F104,IFERROR(_xlfn.XLOOKUP(ROW(),Taxa_Saknas!$H:$H,Taxa_Saknas!$G:$G),""))</x:f>
      </x:c>
      <x:c r="H104" s="976" t="e">
        <x:f>IF($F104&lt;&gt;"",IFERROR(_xlfn.XLOOKUP($F104,Taxa_från_edp!$B:$B,Taxa_från_edp!C:C),""),"")</x:f>
      </x:c>
      <x:c r="I104" s="976" t="e">
        <x:f>IF($F104&lt;&gt;"",IFERROR(_xlfn.XLOOKUP($F104,Taxa_från_edp!$B:$B,Taxa_från_edp!G:G),""),"")</x:f>
      </x:c>
      <x:c r="J104" s="976" t="e">
        <x:f>IF($F104&lt;&gt;"",IFERROR(_xlfn.XLOOKUP($F104,Taxa_från_edp!$B:$B,Taxa_från_edp!K:K),""),"")</x:f>
      </x:c>
      <x:c r="K104" s="976"/>
      <x:c r="L104" s="976"/>
      <x:c r="M104" s="976" t="str">
        <x:f>IFERROR(IF(J104&lt;&gt;"",J104*1.25,IF(K104&lt;&gt;"",K104*1.25,"")),"")</x:f>
      </x:c>
      <x:c r="N104" s="977" t="str">
        <x:f>IFERROR(IF(J104&lt;&gt;"",L104*J104,IF(K104&lt;&gt;"",L104*K104,"")),"")</x:f>
      </x:c>
    </x:row>
    <x:row r="105" s="54" customFormat="1" ht="22" customHeight="1">
      <x:c r="A105" s="975" t="str">
        <x:v>§2.2.7 Verksamheter med beviljad hantering av förbrukat matfett, kontorspapper eller returpapper</x:v>
      </x:c>
      <x:c r="B105" s="980"/>
      <x:c r="C105" s="980"/>
      <x:c r="D105" s="980"/>
      <x:c r="E105" s="981"/>
      <x:c r="F105" s="975"/>
      <x:c r="G105" s="980" t="str">
        <x:f>IF($F105&lt;&gt;"",$F105,IFERROR(_xlfn.XLOOKUP(ROW(),Taxa_Saknas!$H:$H,Taxa_Saknas!$G:$G),""))</x:f>
      </x:c>
      <x:c r="H105" s="980" t="e">
        <x:f>IF($F105&lt;&gt;"",IFERROR(_xlfn.XLOOKUP($F105,Taxa_från_edp!$B:$B,Taxa_från_edp!C:C),""),"")</x:f>
      </x:c>
      <x:c r="I105" s="983" t="e">
        <x:f>IF($F105&lt;&gt;"",IFERROR(_xlfn.XLOOKUP($F105,Taxa_från_edp!$B:$B,Taxa_från_edp!G:G),""),"")</x:f>
      </x:c>
      <x:c r="J105" s="983" t="e">
        <x:f>IF($F105&lt;&gt;"",IFERROR(_xlfn.XLOOKUP($F105,Taxa_från_edp!$B:$B,Taxa_från_edp!K:K),""),"")</x:f>
      </x:c>
      <x:c r="K105" s="983"/>
      <x:c r="L105" s="983"/>
      <x:c r="M105" s="976" t="str">
        <x:f>IFERROR(IF(J105&lt;&gt;"",J105*1.25,IF(K105&lt;&gt;"",K105*1.25,"")),"")</x:f>
      </x:c>
      <x:c r="N105" s="977" t="str">
        <x:f>IFERROR(IF(J105&lt;&gt;"",L105*J105,IF(K105&lt;&gt;"",L105*K105,"")),"")</x:f>
      </x:c>
    </x:row>
    <x:row r="106">
      <x:c r="A106" s="1131" t="str">
        <x:v>§2.2.7</x:v>
      </x:c>
      <x:c r="B106" s="1131" t="str">
        <x:v>Verksamheter med beviljad hantering av förbrukat matfett, kontorspapper eller returpapper</x:v>
      </x:c>
      <x:c r="C106" s="1131" t="str">
        <x:v>Kärl 140 l (kontors-/returpapper)</x:v>
      </x:c>
      <x:c r="D106" s="1131"/>
      <x:c r="E106" s="1131" t="str">
        <x:v>st/år</x:v>
      </x:c>
      <x:c r="F106" s="801"/>
      <x:c r="G106" s="802" t="str">
        <x:f>IF($F106&lt;&gt;"",$F106,IFERROR(_xlfn.XLOOKUP(ROW(),Taxa_Saknas!$H:$H,Taxa_Saknas!$G:$G),""))</x:f>
        <x:v>KÄ140TI</x:v>
      </x:c>
      <x:c r="H106" s="803" t="e">
        <x:f>IF($F106&lt;&gt;"",IFERROR(_xlfn.XLOOKUP($F106,Taxa_från_edp!$B:$B,Taxa_från_edp!C:C),""),"")</x:f>
      </x:c>
      <x:c r="I106" s="804" t="e">
        <x:f>IF($F106&lt;&gt;"",IFERROR(_xlfn.XLOOKUP($F106,Taxa_från_edp!$B:$B,Taxa_från_edp!G:G),""),"")</x:f>
      </x:c>
      <x:c r="J106" s="805" t="e">
        <x:f>IF($F106&lt;&gt;"",IFERROR(_xlfn.XLOOKUP($F106,Taxa_från_edp!$B:$B,Taxa_från_edp!K:K),""),"")</x:f>
      </x:c>
      <x:c r="K106" s="806"/>
      <x:c r="L106" s="807"/>
      <x:c r="M106" s="794" t="str">
        <x:f>IFERROR(IF(J106&lt;&gt;"",J106*1.25,IF(K106&lt;&gt;"",K106*1.25,"")),"")</x:f>
      </x:c>
      <x:c r="N106" s="794" t="str">
        <x:f>IFERROR(IF(J106&lt;&gt;"",L106*J106,IF(K106&lt;&gt;"",L106*K106,"")),"")</x:f>
      </x:c>
    </x:row>
    <x:row r="107" s="54" customFormat="1" ht="22" customHeight="1">
      <x:c r="A107" s="1135" t="str">
        <x:v>§2.2.7</x:v>
      </x:c>
      <x:c r="B107" s="1135" t="str">
        <x:v>Verksamheter med beviljad hantering av förbrukat matfett, kontorspapper eller returpapper</x:v>
      </x:c>
      <x:c r="C107" s="1135" t="str">
        <x:v>Egen överlämning av förbrukat kontors-/returpapper enligt anvisning</x:v>
      </x:c>
      <x:c r="D107" s="1135"/>
      <x:c r="E107" s="1135" t="str">
        <x:v>st/år</x:v>
      </x:c>
      <x:c r="F107" s="784"/>
      <x:c r="G107" s="784" t="str">
        <x:f>IF($F107&lt;&gt;"",$F107,IFERROR(_xlfn.XLOOKUP(ROW(),Taxa_Saknas!$H:$H,Taxa_Saknas!$G:$G),""))</x:f>
        <x:v>EGENKONTRET</x:v>
      </x:c>
      <x:c r="H107" s="784" t="e">
        <x:f>IF($F107&lt;&gt;"",IFERROR(_xlfn.XLOOKUP($F107,Taxa_från_edp!$B:$B,Taxa_från_edp!C:C),""),"")</x:f>
      </x:c>
      <x:c r="I107" s="796" t="e">
        <x:f>IF($F107&lt;&gt;"",IFERROR(_xlfn.XLOOKUP($F107,Taxa_från_edp!$B:$B,Taxa_från_edp!G:G),""),"")</x:f>
      </x:c>
      <x:c r="J107" s="796" t="e">
        <x:f>IF($F107&lt;&gt;"",IFERROR(_xlfn.XLOOKUP($F107,Taxa_från_edp!$B:$B,Taxa_från_edp!K:K),""),"")</x:f>
      </x:c>
      <x:c r="K107" s="796"/>
      <x:c r="L107" s="796"/>
      <x:c r="M107" s="785" t="str">
        <x:f>IFERROR(IF(J107&lt;&gt;"",J107*1.25,IF(K107&lt;&gt;"",K107*1.25,"")),"")</x:f>
      </x:c>
      <x:c r="N107" s="785" t="str">
        <x:f>IFERROR(IF(J107&lt;&gt;"",L107*J107,IF(K107&lt;&gt;"",L107*K107,"")),"")</x:f>
      </x:c>
    </x:row>
    <x:row r="108" s="54" customFormat="1" ht="30" customHeight="1">
      <x:c r="A108" s="1131" t="str">
        <x:v>§2.2.7</x:v>
      </x:c>
      <x:c r="B108" s="1131" t="str">
        <x:v>Verksamheter med beviljad hantering av förbrukat matfett, kontorspapper eller returpapper</x:v>
      </x:c>
      <x:c r="C108" s="1131" t="str">
        <x:v>Egen överlämning av förbrukat matfett enligt anvisning</x:v>
      </x:c>
      <x:c r="D108" s="1131"/>
      <x:c r="E108" s="1131" t="str">
        <x:v>st/år</x:v>
      </x:c>
      <x:c r="F108" s="787"/>
      <x:c r="G108" s="788" t="str">
        <x:f>IF($F108&lt;&gt;"",$F108,IFERROR(_xlfn.XLOOKUP(ROW(),Taxa_Saknas!$H:$H,Taxa_Saknas!$G:$G),""))</x:f>
        <x:v>EGENMATFETT</x:v>
      </x:c>
      <x:c r="H108" s="789" t="e">
        <x:f>IF($F108&lt;&gt;"",IFERROR(_xlfn.XLOOKUP($F108,Taxa_från_edp!$B:$B,Taxa_från_edp!C:C),""),"")</x:f>
      </x:c>
      <x:c r="I108" s="790" t="e">
        <x:f>IF($F108&lt;&gt;"",IFERROR(_xlfn.XLOOKUP($F108,Taxa_från_edp!$B:$B,Taxa_från_edp!G:G),""),"")</x:f>
      </x:c>
      <x:c r="J108" s="791" t="e">
        <x:f>IF($F108&lt;&gt;"",IFERROR(_xlfn.XLOOKUP($F108,Taxa_från_edp!$B:$B,Taxa_från_edp!K:K),""),"")</x:f>
      </x:c>
      <x:c r="K108" s="792"/>
      <x:c r="L108" s="793"/>
      <x:c r="M108" s="794" t="str">
        <x:f>IFERROR(IF(J108&lt;&gt;"",J108*1.25,IF(K108&lt;&gt;"",K108*1.25,"")),"")</x:f>
      </x:c>
      <x:c r="N108" s="794" t="str">
        <x:f>IFERROR(IF(J108&lt;&gt;"",L108*J108,IF(K108&lt;&gt;"",L108*K108,"")),"")</x:f>
      </x:c>
    </x:row>
    <x:row r="109" s="54" customFormat="1" ht="22" customHeight="1">
      <x:c r="A109" s="975" t="str">
        <x:v>§2.2.7</x:v>
      </x:c>
      <x:c r="B109" s="980"/>
      <x:c r="C109" s="980"/>
      <x:c r="D109" s="980"/>
      <x:c r="E109" s="981"/>
      <x:c r="F109" s="975"/>
      <x:c r="G109" s="980" t="str">
        <x:f>IF($F109&lt;&gt;"",$F109,IFERROR(_xlfn.XLOOKUP(ROW(),Taxa_Saknas!$H:$H,Taxa_Saknas!$G:$G),""))</x:f>
      </x:c>
      <x:c r="H109" s="980" t="e">
        <x:f>IF($F109&lt;&gt;"",IFERROR(_xlfn.XLOOKUP($F109,Taxa_från_edp!$B:$B,Taxa_från_edp!C:C),""),"")</x:f>
      </x:c>
      <x:c r="I109" s="983" t="e">
        <x:f>IF($F109&lt;&gt;"",IFERROR(_xlfn.XLOOKUP($F109,Taxa_från_edp!$B:$B,Taxa_från_edp!G:G),""),"")</x:f>
      </x:c>
      <x:c r="J109" s="983" t="e">
        <x:f>IF($F109&lt;&gt;"",IFERROR(_xlfn.XLOOKUP($F109,Taxa_från_edp!$B:$B,Taxa_från_edp!K:K),""),"")</x:f>
      </x:c>
      <x:c r="K109" s="983"/>
      <x:c r="L109" s="983"/>
      <x:c r="M109" s="976" t="str">
        <x:f>IFERROR(IF(J109&lt;&gt;"",J109*1.25,IF(K109&lt;&gt;"",K109*1.25,"")),"")</x:f>
      </x:c>
      <x:c r="N109" s="977" t="str">
        <x:f>IFERROR(IF(J109&lt;&gt;"",L109*J109,IF(K109&lt;&gt;"",L109*K109,"")),"")</x:f>
      </x:c>
    </x:row>
    <x:row r="110" ht="22" customHeight="1">
      <x:c r="A110" s="975" t="str">
        <x:v>§2.3 Rörlig avgift (gäller ej gemensam uppsamlingsplats)</x:v>
      </x:c>
      <x:c r="B110" s="976"/>
      <x:c r="C110" s="976"/>
      <x:c r="D110" s="976"/>
      <x:c r="E110" s="977"/>
      <x:c r="F110" s="979"/>
      <x:c r="G110" s="976" t="str">
        <x:f>IF($F110&lt;&gt;"",$F110,IFERROR(_xlfn.XLOOKUP(ROW(),Taxa_Saknas!$H:$H,Taxa_Saknas!$G:$G),""))</x:f>
      </x:c>
      <x:c r="H110" s="976" t="e">
        <x:f>IF($F110&lt;&gt;"",IFERROR(_xlfn.XLOOKUP($F110,Taxa_från_edp!$B:$B,Taxa_från_edp!C:C),""),"")</x:f>
      </x:c>
      <x:c r="I110" s="976" t="e">
        <x:f>IF($F110&lt;&gt;"",IFERROR(_xlfn.XLOOKUP($F110,Taxa_från_edp!$B:$B,Taxa_från_edp!G:G),""),"")</x:f>
      </x:c>
      <x:c r="J110" s="976" t="e">
        <x:f>IF($F110&lt;&gt;"",IFERROR(_xlfn.XLOOKUP($F110,Taxa_från_edp!$B:$B,Taxa_från_edp!K:K),""),"")</x:f>
      </x:c>
      <x:c r="K110" s="976"/>
      <x:c r="L110" s="976"/>
      <x:c r="M110" s="976" t="str">
        <x:f>IFERROR(IF(J110&lt;&gt;"",J110*1.25,IF(K110&lt;&gt;"",K110*1.25,"")),"")</x:f>
      </x:c>
      <x:c r="N110" s="977" t="str">
        <x:f>IFERROR(IF(J110&lt;&gt;"",L110*J110,IF(K110&lt;&gt;"",L110*K110,"")),"")</x:f>
      </x:c>
    </x:row>
    <x:row r="111" s="54" customFormat="1" ht="30" customHeight="1">
      <x:c r="A111" s="965" t="str">
        <x:v>§2.3</x:v>
      </x:c>
      <x:c r="B111" s="965" t="str">
        <x:v>Rörlig avgift (gäller ej gemensam uppsamlingsplats)</x:v>
      </x:c>
      <x:c r="C111" s="965" t="str">
        <x:v>Viktavgift matavfall</x:v>
      </x:c>
      <x:c r="D111" s="965"/>
      <x:c r="E111" s="965" t="str">
        <x:v>kr/kg</x:v>
      </x:c>
      <x:c r="F111" s="994"/>
      <x:c r="G111" s="1001" t="str">
        <x:f>IF($F111&lt;&gt;"",$F111,IFERROR(_xlfn.XLOOKUP(ROW(),Taxa_Saknas!$H:$H,Taxa_Saknas!$G:$G),""))</x:f>
      </x:c>
      <x:c r="H111" s="1014" t="e">
        <x:f>IF($F111&lt;&gt;"",IFERROR(_xlfn.XLOOKUP($F111,Taxa_från_edp!$B:$B,Taxa_från_edp!C:C),""),"")</x:f>
      </x:c>
      <x:c r="I111" s="1015" t="e">
        <x:f>IF($F111&lt;&gt;"",IFERROR(_xlfn.XLOOKUP($F111,Taxa_från_edp!$B:$B,Taxa_från_edp!G:G),""),"")</x:f>
      </x:c>
      <x:c r="J111" s="1015" t="e">
        <x:f>IF($F111&lt;&gt;"",IFERROR(_xlfn.XLOOKUP($F111,Taxa_från_edp!$B:$B,Taxa_från_edp!K:K),""),"")</x:f>
      </x:c>
      <x:c r="K111" s="1020"/>
      <x:c r="L111" s="1026"/>
      <x:c r="M111" s="1029" t="str">
        <x:f>IFERROR(IF(J111&lt;&gt;"",J111*1.25,IF(K111&lt;&gt;"",K111*1.25,"")),"")</x:f>
      </x:c>
      <x:c r="N111" s="1030" t="str">
        <x:f>IFERROR(IF(J111&lt;&gt;"",L111*J111,IF(K111&lt;&gt;"",L111*K111,"")),"")</x:f>
      </x:c>
    </x:row>
    <x:row r="112" s="54" customFormat="1" ht="30" customHeight="1">
      <x:c r="A112" s="965" t="str">
        <x:v>§2.3</x:v>
      </x:c>
      <x:c r="B112" s="965" t="str">
        <x:v>Rörlig avgift (gäller ej gemensam uppsamlingsplats)</x:v>
      </x:c>
      <x:c r="C112" s="965" t="str">
        <x:v>Viktavgift restavfall</x:v>
      </x:c>
      <x:c r="D112" s="965"/>
      <x:c r="E112" s="965" t="str">
        <x:v>kr/kg</x:v>
      </x:c>
      <x:c r="F112" s="992"/>
      <x:c r="G112" s="999" t="str">
        <x:f>IF($F112&lt;&gt;"",$F112,IFERROR(_xlfn.XLOOKUP(ROW(),Taxa_Saknas!$H:$H,Taxa_Saknas!$G:$G),""))</x:f>
      </x:c>
      <x:c r="H112" s="1009" t="e">
        <x:f>IF($F112&lt;&gt;"",IFERROR(_xlfn.XLOOKUP($F112,Taxa_från_edp!$B:$B,Taxa_från_edp!C:C),""),"")</x:f>
      </x:c>
      <x:c r="I112" s="1010" t="e">
        <x:f>IF($F112&lt;&gt;"",IFERROR(_xlfn.XLOOKUP($F112,Taxa_från_edp!$B:$B,Taxa_från_edp!G:G),""),"")</x:f>
      </x:c>
      <x:c r="J112" s="1011" t="e">
        <x:f>IF($F112&lt;&gt;"",IFERROR(_xlfn.XLOOKUP($F112,Taxa_från_edp!$B:$B,Taxa_från_edp!K:K),""),"")</x:f>
      </x:c>
      <x:c r="K112" s="1018"/>
      <x:c r="L112" s="1024"/>
      <x:c r="M112" s="1029" t="str">
        <x:f>IFERROR(IF(J112&lt;&gt;"",J112*1.25,IF(K112&lt;&gt;"",K112*1.25,"")),"")</x:f>
      </x:c>
      <x:c r="N112" s="1030" t="str">
        <x:f>IFERROR(IF(J112&lt;&gt;"",L112*J112,IF(K112&lt;&gt;"",L112*K112,"")),"")</x:f>
      </x:c>
    </x:row>
    <x:row r="113" s="54" customFormat="1" ht="22" customHeight="1">
      <x:c r="A113" s="975" t="str">
        <x:v>§2.3</x:v>
      </x:c>
      <x:c r="B113" s="980"/>
      <x:c r="C113" s="980"/>
      <x:c r="D113" s="980"/>
      <x:c r="E113" s="981"/>
      <x:c r="F113" s="975"/>
      <x:c r="G113" s="980" t="str">
        <x:f>IF($F113&lt;&gt;"",$F113,IFERROR(_xlfn.XLOOKUP(ROW(),Taxa_Saknas!$H:$H,Taxa_Saknas!$G:$G),""))</x:f>
      </x:c>
      <x:c r="H113" s="980" t="e">
        <x:f>IF($F113&lt;&gt;"",IFERROR(_xlfn.XLOOKUP($F113,Taxa_från_edp!$B:$B,Taxa_från_edp!C:C),""),"")</x:f>
      </x:c>
      <x:c r="I113" s="983" t="e">
        <x:f>IF($F113&lt;&gt;"",IFERROR(_xlfn.XLOOKUP($F113,Taxa_från_edp!$B:$B,Taxa_från_edp!G:G),""),"")</x:f>
      </x:c>
      <x:c r="J113" s="983" t="e">
        <x:f>IF($F113&lt;&gt;"",IFERROR(_xlfn.XLOOKUP($F113,Taxa_från_edp!$B:$B,Taxa_från_edp!K:K),""),"")</x:f>
      </x:c>
      <x:c r="K113" s="983"/>
      <x:c r="L113" s="983"/>
      <x:c r="M113" s="976" t="str">
        <x:f>IFERROR(IF(J113&lt;&gt;"",J113*1.25,IF(K113&lt;&gt;"",K113*1.25,"")),"")</x:f>
      </x:c>
      <x:c r="N113" s="977" t="str">
        <x:f>IFERROR(IF(J113&lt;&gt;"",L113*J113,IF(K113&lt;&gt;"",L113*K113,"")),"")</x:f>
      </x:c>
    </x:row>
    <x:row r="114" s="54" customFormat="1" ht="22" customHeight="1">
      <x:c r="A114" s="975" t="str">
        <x:v>§2.3</x:v>
      </x:c>
      <x:c r="B114" s="980"/>
      <x:c r="C114" s="980"/>
      <x:c r="D114" s="980"/>
      <x:c r="E114" s="981"/>
      <x:c r="F114" s="975"/>
      <x:c r="G114" s="980" t="str">
        <x:f>IF($F114&lt;&gt;"",$F114,IFERROR(_xlfn.XLOOKUP(ROW(),Taxa_Saknas!$H:$H,Taxa_Saknas!$G:$G),""))</x:f>
      </x:c>
      <x:c r="H114" s="980" t="e">
        <x:f>IF($F114&lt;&gt;"",IFERROR(_xlfn.XLOOKUP($F114,Taxa_från_edp!$B:$B,Taxa_från_edp!C:C),""),"")</x:f>
      </x:c>
      <x:c r="I114" s="983" t="e">
        <x:f>IF($F114&lt;&gt;"",IFERROR(_xlfn.XLOOKUP($F114,Taxa_från_edp!$B:$B,Taxa_från_edp!G:G),""),"")</x:f>
      </x:c>
      <x:c r="J114" s="983" t="e">
        <x:f>IF($F114&lt;&gt;"",IFERROR(_xlfn.XLOOKUP($F114,Taxa_från_edp!$B:$B,Taxa_från_edp!K:K),""),"")</x:f>
      </x:c>
      <x:c r="K114" s="983"/>
      <x:c r="L114" s="983"/>
      <x:c r="M114" s="976" t="str">
        <x:f>IFERROR(IF(J114&lt;&gt;"",J114*1.25,IF(K114&lt;&gt;"",K114*1.25,"")),"")</x:f>
      </x:c>
      <x:c r="N114" s="977" t="str">
        <x:f>IFERROR(IF(J114&lt;&gt;"",L114*J114,IF(K114&lt;&gt;"",L114*K114,"")),"")</x:f>
      </x:c>
    </x:row>
    <x:row r="115" s="54" customFormat="1" ht="22" customHeight="1">
      <x:c r="A115" s="975" t="str">
        <x:v>§2.4.1 Fakturaavgift</x:v>
      </x:c>
      <x:c r="B115" s="980"/>
      <x:c r="C115" s="980"/>
      <x:c r="D115" s="980"/>
      <x:c r="E115" s="981"/>
      <x:c r="F115" s="975"/>
      <x:c r="G115" s="980" t="str">
        <x:f>IF($F115&lt;&gt;"",$F115,IFERROR(_xlfn.XLOOKUP(ROW(),Taxa_Saknas!$H:$H,Taxa_Saknas!$G:$G),""))</x:f>
      </x:c>
      <x:c r="H115" s="980" t="e">
        <x:f>IF($F115&lt;&gt;"",IFERROR(_xlfn.XLOOKUP($F115,Taxa_från_edp!$B:$B,Taxa_från_edp!C:C),""),"")</x:f>
      </x:c>
      <x:c r="I115" s="983" t="e">
        <x:f>IF($F115&lt;&gt;"",IFERROR(_xlfn.XLOOKUP($F115,Taxa_från_edp!$B:$B,Taxa_från_edp!G:G),""),"")</x:f>
      </x:c>
      <x:c r="J115" s="983" t="e">
        <x:f>IF($F115&lt;&gt;"",IFERROR(_xlfn.XLOOKUP($F115,Taxa_från_edp!$B:$B,Taxa_från_edp!K:K),""),"")</x:f>
      </x:c>
      <x:c r="K115" s="983"/>
      <x:c r="L115" s="983"/>
      <x:c r="M115" s="976" t="str">
        <x:f>IFERROR(IF(J115&lt;&gt;"",J115*1.25,IF(K115&lt;&gt;"",K115*1.25,"")),"")</x:f>
      </x:c>
      <x:c r="N115" s="977" t="str">
        <x:f>IFERROR(IF(J115&lt;&gt;"",L115*J115,IF(K115&lt;&gt;"",L115*K115,"")),"")</x:f>
      </x:c>
    </x:row>
    <x:row r="116">
      <x:c r="A116" s="965" t="str">
        <x:v>§2.4.1</x:v>
      </x:c>
      <x:c r="B116" s="969" t="str">
        <x:v>Fakturaavgift</x:v>
      </x:c>
      <x:c r="C116" s="969" t="str">
        <x:v>Fakturaavgift</x:v>
      </x:c>
      <x:c r="D116" s="969"/>
      <x:c r="E116" s="969" t="str">
        <x:v>kr/faktura</x:v>
      </x:c>
      <x:c r="F116" s="991"/>
      <x:c r="G116" s="998" t="str">
        <x:f>IF($F116&lt;&gt;"",$F116,IFERROR(_xlfn.XLOOKUP(ROW(),Taxa_Saknas!$H:$H,Taxa_Saknas!$G:$G),""))</x:f>
      </x:c>
      <x:c r="H116" s="1008" t="e">
        <x:f>IF($F116&lt;&gt;"",IFERROR(_xlfn.XLOOKUP($F116,Taxa_från_edp!$B:$B,Taxa_från_edp!C:C),""),"")</x:f>
      </x:c>
      <x:c r="I116" s="1008" t="e">
        <x:f>IF($F116&lt;&gt;"",IFERROR(_xlfn.XLOOKUP($F116,Taxa_från_edp!$B:$B,Taxa_från_edp!G:G),""),"")</x:f>
      </x:c>
      <x:c r="J116" s="1008" t="e">
        <x:f>IF($F116&lt;&gt;"",IFERROR(_xlfn.XLOOKUP($F116,Taxa_från_edp!$B:$B,Taxa_från_edp!K:K),""),"")</x:f>
      </x:c>
      <x:c r="K116" s="998"/>
      <x:c r="L116" s="991"/>
      <x:c r="M116" s="1029" t="str">
        <x:f>IFERROR(IF(J116&lt;&gt;"",J116*1.25,IF(K116&lt;&gt;"",K116*1.25,"")),"")</x:f>
      </x:c>
      <x:c r="N116" s="1030" t="str">
        <x:f>IFERROR(IF(J116&lt;&gt;"",L116*J116,IF(K116&lt;&gt;"",L116*K116,"")),"")</x:f>
      </x:c>
    </x:row>
    <x:row r="117" s="54" customFormat="1" ht="22" customHeight="1">
      <x:c r="A117" s="975" t="str">
        <x:v>§2.4.1</x:v>
      </x:c>
      <x:c r="B117" s="980"/>
      <x:c r="C117" s="980"/>
      <x:c r="D117" s="980"/>
      <x:c r="E117" s="981"/>
      <x:c r="F117" s="975"/>
      <x:c r="G117" s="980" t="str">
        <x:f>IF($F117&lt;&gt;"",$F117,IFERROR(_xlfn.XLOOKUP(ROW(),Taxa_Saknas!$H:$H,Taxa_Saknas!$G:$G),""))</x:f>
      </x:c>
      <x:c r="H117" s="980" t="e">
        <x:f>IF($F117&lt;&gt;"",IFERROR(_xlfn.XLOOKUP($F117,Taxa_från_edp!$B:$B,Taxa_från_edp!C:C),""),"")</x:f>
      </x:c>
      <x:c r="I117" s="983" t="e">
        <x:f>IF($F117&lt;&gt;"",IFERROR(_xlfn.XLOOKUP($F117,Taxa_från_edp!$B:$B,Taxa_från_edp!G:G),""),"")</x:f>
      </x:c>
      <x:c r="J117" s="983" t="e">
        <x:f>IF($F117&lt;&gt;"",IFERROR(_xlfn.XLOOKUP($F117,Taxa_från_edp!$B:$B,Taxa_från_edp!K:K),""),"")</x:f>
      </x:c>
      <x:c r="K117" s="983"/>
      <x:c r="L117" s="983"/>
      <x:c r="M117" s="976" t="str">
        <x:f>IFERROR(IF(J117&lt;&gt;"",J117*1.25,IF(K117&lt;&gt;"",K117*1.25,"")),"")</x:f>
      </x:c>
      <x:c r="N117" s="977" t="str">
        <x:f>IFERROR(IF(J117&lt;&gt;"",L117*J117,IF(K117&lt;&gt;"",L117*K117,"")),"")</x:f>
      </x:c>
    </x:row>
    <x:row r="118" s="54" customFormat="1" ht="22" customHeight="1">
      <x:c r="A118" s="975" t="str">
        <x:v>§2.4.2 Överviktsavgift kärl</x:v>
      </x:c>
      <x:c r="B118" s="980"/>
      <x:c r="C118" s="980"/>
      <x:c r="D118" s="980"/>
      <x:c r="E118" s="981"/>
      <x:c r="F118" s="975"/>
      <x:c r="G118" s="980" t="str">
        <x:f>IF($F118&lt;&gt;"",$F118,IFERROR(_xlfn.XLOOKUP(ROW(),Taxa_Saknas!$H:$H,Taxa_Saknas!$G:$G),""))</x:f>
      </x:c>
      <x:c r="H118" s="980" t="e">
        <x:f>IF($F118&lt;&gt;"",IFERROR(_xlfn.XLOOKUP($F118,Taxa_från_edp!$B:$B,Taxa_från_edp!C:C),""),"")</x:f>
      </x:c>
      <x:c r="I118" s="983" t="e">
        <x:f>IF($F118&lt;&gt;"",IFERROR(_xlfn.XLOOKUP($F118,Taxa_från_edp!$B:$B,Taxa_från_edp!G:G),""),"")</x:f>
      </x:c>
      <x:c r="J118" s="983" t="e">
        <x:f>IF($F118&lt;&gt;"",IFERROR(_xlfn.XLOOKUP($F118,Taxa_från_edp!$B:$B,Taxa_från_edp!K:K),""),"")</x:f>
      </x:c>
      <x:c r="K118" s="983"/>
      <x:c r="L118" s="983"/>
      <x:c r="M118" s="976" t="str">
        <x:f>IFERROR(IF(J118&lt;&gt;"",J118*1.25,IF(K118&lt;&gt;"",K118*1.25,"")),"")</x:f>
      </x:c>
      <x:c r="N118" s="977" t="str">
        <x:f>IFERROR(IF(J118&lt;&gt;"",L118*J118,IF(K118&lt;&gt;"",L118*K118,"")),"")</x:f>
      </x:c>
    </x:row>
    <x:row r="119" ht="22" customHeight="1">
      <x:c r="A119" s="975" t="str">
        <x:v>§2.4.2</x:v>
      </x:c>
      <x:c r="B119" s="976"/>
      <x:c r="C119" s="976"/>
      <x:c r="D119" s="976"/>
      <x:c r="E119" s="977"/>
      <x:c r="F119" s="979"/>
      <x:c r="G119" s="976" t="str">
        <x:f>IF($F119&lt;&gt;"",$F119,IFERROR(_xlfn.XLOOKUP(ROW(),Taxa_Saknas!$H:$H,Taxa_Saknas!$G:$G),""))</x:f>
      </x:c>
      <x:c r="H119" s="976" t="e">
        <x:f>IF($F119&lt;&gt;"",IFERROR(_xlfn.XLOOKUP($F119,Taxa_från_edp!$B:$B,Taxa_från_edp!C:C),""),"")</x:f>
      </x:c>
      <x:c r="I119" s="976" t="e">
        <x:f>IF($F119&lt;&gt;"",IFERROR(_xlfn.XLOOKUP($F119,Taxa_från_edp!$B:$B,Taxa_från_edp!G:G),""),"")</x:f>
      </x:c>
      <x:c r="J119" s="976" t="e">
        <x:f>IF($F119&lt;&gt;"",IFERROR(_xlfn.XLOOKUP($F119,Taxa_från_edp!$B:$B,Taxa_från_edp!K:K),""),"")</x:f>
      </x:c>
      <x:c r="K119" s="976"/>
      <x:c r="L119" s="976"/>
      <x:c r="M119" s="976" t="str">
        <x:f>IFERROR(IF(J119&lt;&gt;"",J119*1.25,IF(K119&lt;&gt;"",K119*1.25,"")),"")</x:f>
      </x:c>
      <x:c r="N119" s="977" t="str">
        <x:f>IFERROR(IF(J119&lt;&gt;"",L119*J119,IF(K119&lt;&gt;"",L119*K119,"")),"")</x:f>
      </x:c>
    </x:row>
    <x:row r="120" s="54" customFormat="1" ht="45" customHeight="1">
      <x:c r="A120" s="965" t="str">
        <x:v>§2.4.2</x:v>
      </x:c>
      <x:c r="B120" s="965" t="str">
        <x:v>Överviktsavgift kärl</x:v>
      </x:c>
      <x:c r="C120" s="965" t="str">
        <x:v>Delat kärl 240 l restavfall</x:v>
      </x:c>
      <x:c r="D120" s="965" t="str">
        <x:v>Över 40 kg</x:v>
      </x:c>
      <x:c r="E120" s="965" t="str">
        <x:v>kr/kg</x:v>
      </x:c>
      <x:c r="F120" s="993"/>
      <x:c r="G120" s="1000" t="str">
        <x:f>IF($F120&lt;&gt;"",$F120,IFERROR(_xlfn.XLOOKUP(ROW(),Taxa_Saknas!$H:$H,Taxa_Saknas!$G:$G),""))</x:f>
      </x:c>
      <x:c r="H120" s="1012" t="e">
        <x:f>IF($F120&lt;&gt;"",IFERROR(_xlfn.XLOOKUP($F120,Taxa_från_edp!$B:$B,Taxa_från_edp!C:C),""),"")</x:f>
      </x:c>
      <x:c r="I120" s="1013" t="e">
        <x:f>IF($F120&lt;&gt;"",IFERROR(_xlfn.XLOOKUP($F120,Taxa_från_edp!$B:$B,Taxa_från_edp!G:G),""),"")</x:f>
      </x:c>
      <x:c r="J120" s="1013" t="e">
        <x:f>IF($F120&lt;&gt;"",IFERROR(_xlfn.XLOOKUP($F120,Taxa_från_edp!$B:$B,Taxa_från_edp!K:K),""),"")</x:f>
      </x:c>
      <x:c r="K120" s="1019"/>
      <x:c r="L120" s="1025"/>
      <x:c r="M120" s="1029" t="str">
        <x:f>IFERROR(IF(J120&lt;&gt;"",J120*1.25,IF(K120&lt;&gt;"",K120*1.25,"")),"")</x:f>
      </x:c>
      <x:c r="N120" s="1030" t="str">
        <x:f>IFERROR(IF(J120&lt;&gt;"",L120*J120,IF(K120&lt;&gt;"",L120*K120,"")),"")</x:f>
      </x:c>
    </x:row>
    <x:row r="121" s="54" customFormat="1" ht="45" customHeight="1">
      <x:c r="A121" s="965" t="str">
        <x:v>§2.4.2</x:v>
      </x:c>
      <x:c r="B121" s="965" t="str">
        <x:v>Överviktsavgift kärl</x:v>
      </x:c>
      <x:c r="C121" s="965" t="str">
        <x:v>Extra kärl 140 l matavfall</x:v>
      </x:c>
      <x:c r="D121" s="965" t="str">
        <x:v>Över 60 kg</x:v>
      </x:c>
      <x:c r="E121" s="965" t="str">
        <x:v>kr/kg</x:v>
      </x:c>
      <x:c r="F121" s="989"/>
      <x:c r="G121" s="996" t="str">
        <x:f>IF($F121&lt;&gt;"",$F121,IFERROR(_xlfn.XLOOKUP(ROW(),Taxa_Saknas!$H:$H,Taxa_Saknas!$G:$G),""))</x:f>
      </x:c>
      <x:c r="H121" s="1003" t="e">
        <x:f>IF($F121&lt;&gt;"",IFERROR(_xlfn.XLOOKUP($F121,Taxa_från_edp!$B:$B,Taxa_från_edp!C:C),""),"")</x:f>
      </x:c>
      <x:c r="I121" s="1004" t="e">
        <x:f>IF($F121&lt;&gt;"",IFERROR(_xlfn.XLOOKUP($F121,Taxa_från_edp!$B:$B,Taxa_från_edp!G:G),""),"")</x:f>
      </x:c>
      <x:c r="J121" s="1005" t="e">
        <x:f>IF($F121&lt;&gt;"",IFERROR(_xlfn.XLOOKUP($F121,Taxa_från_edp!$B:$B,Taxa_från_edp!K:K),""),"")</x:f>
      </x:c>
      <x:c r="K121" s="1016"/>
      <x:c r="L121" s="1022"/>
      <x:c r="M121" s="1029" t="str">
        <x:f>IFERROR(IF(J121&lt;&gt;"",J121*1.25,IF(K121&lt;&gt;"",K121*1.25,"")),"")</x:f>
      </x:c>
      <x:c r="N121" s="1030" t="str">
        <x:f>IFERROR(IF(J121&lt;&gt;"",L121*J121,IF(K121&lt;&gt;"",L121*K121,"")),"")</x:f>
      </x:c>
    </x:row>
    <x:row r="122" s="54" customFormat="1" ht="22" customHeight="1">
      <x:c r="A122" s="975" t="str">
        <x:v>§2.4.2</x:v>
      </x:c>
      <x:c r="B122" s="980"/>
      <x:c r="C122" s="980"/>
      <x:c r="D122" s="980"/>
      <x:c r="E122" s="981"/>
      <x:c r="F122" s="975"/>
      <x:c r="G122" s="980" t="str">
        <x:f>IF($F122&lt;&gt;"",$F122,IFERROR(_xlfn.XLOOKUP(ROW(),Taxa_Saknas!$H:$H,Taxa_Saknas!$G:$G),""))</x:f>
      </x:c>
      <x:c r="H122" s="980" t="e">
        <x:f>IF($F122&lt;&gt;"",IFERROR(_xlfn.XLOOKUP($F122,Taxa_från_edp!$B:$B,Taxa_från_edp!C:C),""),"")</x:f>
      </x:c>
      <x:c r="I122" s="983" t="e">
        <x:f>IF($F122&lt;&gt;"",IFERROR(_xlfn.XLOOKUP($F122,Taxa_från_edp!$B:$B,Taxa_från_edp!G:G),""),"")</x:f>
      </x:c>
      <x:c r="J122" s="983" t="e">
        <x:f>IF($F122&lt;&gt;"",IFERROR(_xlfn.XLOOKUP($F122,Taxa_från_edp!$B:$B,Taxa_från_edp!K:K),""),"")</x:f>
      </x:c>
      <x:c r="K122" s="983"/>
      <x:c r="L122" s="983"/>
      <x:c r="M122" s="976" t="str">
        <x:f>IFERROR(IF(J122&lt;&gt;"",J122*1.25,IF(K122&lt;&gt;"",K122*1.25,"")),"")</x:f>
      </x:c>
      <x:c r="N122" s="977" t="str">
        <x:f>IFERROR(IF(J122&lt;&gt;"",L122*J122,IF(K122&lt;&gt;"",L122*K122,"")),"")</x:f>
      </x:c>
    </x:row>
    <x:row r="123" s="54" customFormat="1" ht="45" customHeight="1">
      <x:c r="A123" s="965" t="str">
        <x:v>§2.4.2</x:v>
      </x:c>
      <x:c r="B123" s="965" t="str">
        <x:v>Överviktsavgift kärl</x:v>
      </x:c>
      <x:c r="C123" s="965" t="str">
        <x:v>Kärl 370 l restavfall</x:v>
      </x:c>
      <x:c r="D123" s="965" t="str">
        <x:v>Över 60 kg</x:v>
      </x:c>
      <x:c r="E123" s="965" t="str">
        <x:v>kr/kg</x:v>
      </x:c>
      <x:c r="F123" s="992"/>
      <x:c r="G123" s="999" t="str">
        <x:f>IF($F123&lt;&gt;"",$F123,IFERROR(_xlfn.XLOOKUP(ROW(),Taxa_Saknas!$H:$H,Taxa_Saknas!$G:$G),""))</x:f>
      </x:c>
      <x:c r="H123" s="1009" t="e">
        <x:f>IF($F123&lt;&gt;"",IFERROR(_xlfn.XLOOKUP($F123,Taxa_från_edp!$B:$B,Taxa_från_edp!C:C),""),"")</x:f>
      </x:c>
      <x:c r="I123" s="1010" t="e">
        <x:f>IF($F123&lt;&gt;"",IFERROR(_xlfn.XLOOKUP($F123,Taxa_från_edp!$B:$B,Taxa_från_edp!G:G),""),"")</x:f>
      </x:c>
      <x:c r="J123" s="1011" t="e">
        <x:f>IF($F123&lt;&gt;"",IFERROR(_xlfn.XLOOKUP($F123,Taxa_från_edp!$B:$B,Taxa_från_edp!K:K),""),"")</x:f>
      </x:c>
      <x:c r="K123" s="1018"/>
      <x:c r="L123" s="1024"/>
      <x:c r="M123" s="1029" t="str">
        <x:f>IFERROR(IF(J123&lt;&gt;"",J123*1.25,IF(K123&lt;&gt;"",K123*1.25,"")),"")</x:f>
      </x:c>
      <x:c r="N123" s="1030" t="str">
        <x:f>IFERROR(IF(J123&lt;&gt;"",L123*J123,IF(K123&lt;&gt;"",L123*K123,"")),"")</x:f>
      </x:c>
    </x:row>
    <x:row r="124" s="54" customFormat="1" ht="45" customHeight="1">
      <x:c r="A124" s="965" t="str">
        <x:v>§2.4.2</x:v>
      </x:c>
      <x:c r="B124" s="965" t="str">
        <x:v>Överviktsavgift kärl</x:v>
      </x:c>
      <x:c r="C124" s="965" t="str">
        <x:v>Kärl 660 l restavfall</x:v>
      </x:c>
      <x:c r="D124" s="965" t="str">
        <x:v>Över 100 kg</x:v>
      </x:c>
      <x:c r="E124" s="965" t="str">
        <x:v>kr/kg</x:v>
      </x:c>
      <x:c r="F124" s="989"/>
      <x:c r="G124" s="996" t="str">
        <x:f>IF($F124&lt;&gt;"",$F124,IFERROR(_xlfn.XLOOKUP(ROW(),Taxa_Saknas!$H:$H,Taxa_Saknas!$G:$G),""))</x:f>
      </x:c>
      <x:c r="H124" s="1003" t="e">
        <x:f>IF($F124&lt;&gt;"",IFERROR(_xlfn.XLOOKUP($F124,Taxa_från_edp!$B:$B,Taxa_från_edp!C:C),""),"")</x:f>
      </x:c>
      <x:c r="I124" s="1004" t="e">
        <x:f>IF($F124&lt;&gt;"",IFERROR(_xlfn.XLOOKUP($F124,Taxa_från_edp!$B:$B,Taxa_från_edp!G:G),""),"")</x:f>
      </x:c>
      <x:c r="J124" s="1005" t="e">
        <x:f>IF($F124&lt;&gt;"",IFERROR(_xlfn.XLOOKUP($F124,Taxa_från_edp!$B:$B,Taxa_från_edp!K:K),""),"")</x:f>
      </x:c>
      <x:c r="K124" s="1016"/>
      <x:c r="L124" s="1022"/>
      <x:c r="M124" s="1029" t="str">
        <x:f>IFERROR(IF(J124&lt;&gt;"",J124*1.25,IF(K124&lt;&gt;"",K124*1.25,"")),"")</x:f>
      </x:c>
      <x:c r="N124" s="1030" t="str">
        <x:f>IFERROR(IF(J124&lt;&gt;"",L124*J124,IF(K124&lt;&gt;"",L124*K124,"")),"")</x:f>
      </x:c>
    </x:row>
    <x:row r="125" s="54" customFormat="1" ht="22" customHeight="1">
      <x:c r="A125" s="975" t="str">
        <x:v>§2.4.2</x:v>
      </x:c>
      <x:c r="B125" s="980"/>
      <x:c r="C125" s="980"/>
      <x:c r="D125" s="980"/>
      <x:c r="E125" s="981"/>
      <x:c r="F125" s="975"/>
      <x:c r="G125" s="980" t="str">
        <x:f>IF($F125&lt;&gt;"",$F125,IFERROR(_xlfn.XLOOKUP(ROW(),Taxa_Saknas!$H:$H,Taxa_Saknas!$G:$G),""))</x:f>
      </x:c>
      <x:c r="H125" s="980" t="e">
        <x:f>IF($F125&lt;&gt;"",IFERROR(_xlfn.XLOOKUP($F125,Taxa_från_edp!$B:$B,Taxa_från_edp!C:C),""),"")</x:f>
      </x:c>
      <x:c r="I125" s="983" t="e">
        <x:f>IF($F125&lt;&gt;"",IFERROR(_xlfn.XLOOKUP($F125,Taxa_från_edp!$B:$B,Taxa_från_edp!G:G),""),"")</x:f>
      </x:c>
      <x:c r="J125" s="983" t="e">
        <x:f>IF($F125&lt;&gt;"",IFERROR(_xlfn.XLOOKUP($F125,Taxa_från_edp!$B:$B,Taxa_från_edp!K:K),""),"")</x:f>
      </x:c>
      <x:c r="K125" s="983"/>
      <x:c r="L125" s="983"/>
      <x:c r="M125" s="976" t="str">
        <x:f>IFERROR(IF(J125&lt;&gt;"",J125*1.25,IF(K125&lt;&gt;"",K125*1.25,"")),"")</x:f>
      </x:c>
      <x:c r="N125" s="977" t="str">
        <x:f>IFERROR(IF(J125&lt;&gt;"",L125*J125,IF(K125&lt;&gt;"",L125*K125,"")),"")</x:f>
      </x:c>
    </x:row>
    <x:row r="126" s="54" customFormat="1" ht="22" customHeight="1">
      <x:c r="A126" s="975" t="str">
        <x:v>§2.4.3 Överfull behållare</x:v>
      </x:c>
      <x:c r="B126" s="980"/>
      <x:c r="C126" s="980"/>
      <x:c r="D126" s="980"/>
      <x:c r="E126" s="981"/>
      <x:c r="F126" s="975"/>
      <x:c r="G126" s="980" t="str">
        <x:f>IF($F126&lt;&gt;"",$F126,IFERROR(_xlfn.XLOOKUP(ROW(),Taxa_Saknas!$H:$H,Taxa_Saknas!$G:$G),""))</x:f>
      </x:c>
      <x:c r="H126" s="980" t="e">
        <x:f>IF($F126&lt;&gt;"",IFERROR(_xlfn.XLOOKUP($F126,Taxa_från_edp!$B:$B,Taxa_från_edp!C:C),""),"")</x:f>
      </x:c>
      <x:c r="I126" s="983" t="e">
        <x:f>IF($F126&lt;&gt;"",IFERROR(_xlfn.XLOOKUP($F126,Taxa_från_edp!$B:$B,Taxa_från_edp!G:G),""),"")</x:f>
      </x:c>
      <x:c r="J126" s="983" t="e">
        <x:f>IF($F126&lt;&gt;"",IFERROR(_xlfn.XLOOKUP($F126,Taxa_från_edp!$B:$B,Taxa_från_edp!K:K),""),"")</x:f>
      </x:c>
      <x:c r="K126" s="983"/>
      <x:c r="L126" s="983"/>
      <x:c r="M126" s="976" t="str">
        <x:f>IFERROR(IF(J126&lt;&gt;"",J126*1.25,IF(K126&lt;&gt;"",K126*1.25,"")),"")</x:f>
      </x:c>
      <x:c r="N126" s="977" t="str">
        <x:f>IFERROR(IF(J126&lt;&gt;"",L126*J126,IF(K126&lt;&gt;"",L126*K126,"")),"")</x:f>
      </x:c>
    </x:row>
    <x:row r="127" s="54" customFormat="1" ht="45" customHeight="1">
      <x:c r="A127" s="965" t="str">
        <x:v>§2.4.3</x:v>
      </x:c>
      <x:c r="B127" s="965" t="str">
        <x:v>Överfull behållare</x:v>
      </x:c>
      <x:c r="C127" s="965" t="str">
        <x:v>Överfullt kärl</x:v>
      </x:c>
      <x:c r="D127" s="965"/>
      <x:c r="E127" s="965" t="str">
        <x:v>st/tillfälle/behållare</x:v>
      </x:c>
      <x:c r="F127" s="992"/>
      <x:c r="G127" s="999" t="str">
        <x:f>IF($F127&lt;&gt;"",$F127,IFERROR(_xlfn.XLOOKUP(ROW(),Taxa_Saknas!$H:$H,Taxa_Saknas!$G:$G),""))</x:f>
      </x:c>
      <x:c r="H127" s="1009" t="e">
        <x:f>IF($F127&lt;&gt;"",IFERROR(_xlfn.XLOOKUP($F127,Taxa_från_edp!$B:$B,Taxa_från_edp!C:C),""),"")</x:f>
      </x:c>
      <x:c r="I127" s="1010" t="e">
        <x:f>IF($F127&lt;&gt;"",IFERROR(_xlfn.XLOOKUP($F127,Taxa_från_edp!$B:$B,Taxa_från_edp!G:G),""),"")</x:f>
      </x:c>
      <x:c r="J127" s="1011" t="e">
        <x:f>IF($F127&lt;&gt;"",IFERROR(_xlfn.XLOOKUP($F127,Taxa_från_edp!$B:$B,Taxa_från_edp!K:K),""),"")</x:f>
      </x:c>
      <x:c r="K127" s="1018"/>
      <x:c r="L127" s="1024"/>
      <x:c r="M127" s="1029" t="str">
        <x:f>IFERROR(IF(J127&lt;&gt;"",J127*1.25,IF(K127&lt;&gt;"",K127*1.25,"")),"")</x:f>
      </x:c>
      <x:c r="N127" s="1030" t="str">
        <x:f>IFERROR(IF(J127&lt;&gt;"",L127*J127,IF(K127&lt;&gt;"",L127*K127,"")),"")</x:f>
      </x:c>
    </x:row>
    <x:row r="128" s="54" customFormat="1" ht="45" customHeight="1">
      <x:c r="A128" s="965" t="str">
        <x:v>§2.4.3</x:v>
      </x:c>
      <x:c r="B128" s="965" t="str">
        <x:v>Överfull behållare</x:v>
      </x:c>
      <x:c r="C128" s="965" t="str">
        <x:v>Överfull bottentömmande behållare</x:v>
      </x:c>
      <x:c r="D128" s="965"/>
      <x:c r="E128" s="965" t="str">
        <x:v>st/tillfälle/behållare</x:v>
      </x:c>
      <x:c r="F128" s="989"/>
      <x:c r="G128" s="996" t="str">
        <x:f>IF($F128&lt;&gt;"",$F128,IFERROR(_xlfn.XLOOKUP(ROW(),Taxa_Saknas!$H:$H,Taxa_Saknas!$G:$G),""))</x:f>
      </x:c>
      <x:c r="H128" s="1003" t="e">
        <x:f>IF($F128&lt;&gt;"",IFERROR(_xlfn.XLOOKUP($F128,Taxa_från_edp!$B:$B,Taxa_från_edp!C:C),""),"")</x:f>
      </x:c>
      <x:c r="I128" s="1004" t="e">
        <x:f>IF($F128&lt;&gt;"",IFERROR(_xlfn.XLOOKUP($F128,Taxa_från_edp!$B:$B,Taxa_från_edp!G:G),""),"")</x:f>
      </x:c>
      <x:c r="J128" s="1005" t="e">
        <x:f>IF($F128&lt;&gt;"",IFERROR(_xlfn.XLOOKUP($F128,Taxa_från_edp!$B:$B,Taxa_från_edp!K:K),""),"")</x:f>
      </x:c>
      <x:c r="K128" s="1016"/>
      <x:c r="L128" s="1022"/>
      <x:c r="M128" s="1029" t="str">
        <x:f>IFERROR(IF(J128&lt;&gt;"",J128*1.25,IF(K128&lt;&gt;"",K128*1.25,"")),"")</x:f>
      </x:c>
      <x:c r="N128" s="1030" t="str">
        <x:f>IFERROR(IF(J128&lt;&gt;"",L128*J128,IF(K128&lt;&gt;"",L128*K128,"")),"")</x:f>
      </x:c>
    </x:row>
    <x:row r="129" s="54" customFormat="1" ht="22" customHeight="1">
      <x:c r="A129" s="975" t="str">
        <x:v>§2.4.3</x:v>
      </x:c>
      <x:c r="B129" s="980"/>
      <x:c r="C129" s="980"/>
      <x:c r="D129" s="980"/>
      <x:c r="E129" s="981"/>
      <x:c r="F129" s="975"/>
      <x:c r="G129" s="980" t="str">
        <x:f>IF($F129&lt;&gt;"",$F129,IFERROR(_xlfn.XLOOKUP(ROW(),Taxa_Saknas!$H:$H,Taxa_Saknas!$G:$G),""))</x:f>
      </x:c>
      <x:c r="H129" s="980" t="e">
        <x:f>IF($F129&lt;&gt;"",IFERROR(_xlfn.XLOOKUP($F129,Taxa_från_edp!$B:$B,Taxa_från_edp!C:C),""),"")</x:f>
      </x:c>
      <x:c r="I129" s="983" t="e">
        <x:f>IF($F129&lt;&gt;"",IFERROR(_xlfn.XLOOKUP($F129,Taxa_från_edp!$B:$B,Taxa_från_edp!G:G),""),"")</x:f>
      </x:c>
      <x:c r="J129" s="983" t="e">
        <x:f>IF($F129&lt;&gt;"",IFERROR(_xlfn.XLOOKUP($F129,Taxa_från_edp!$B:$B,Taxa_från_edp!K:K),""),"")</x:f>
      </x:c>
      <x:c r="K129" s="983"/>
      <x:c r="L129" s="983"/>
      <x:c r="M129" s="976" t="str">
        <x:f>IFERROR(IF(J129&lt;&gt;"",J129*1.25,IF(K129&lt;&gt;"",K129*1.25,"")),"")</x:f>
      </x:c>
      <x:c r="N129" s="977" t="str">
        <x:f>IFERROR(IF(J129&lt;&gt;"",L129*J129,IF(K129&lt;&gt;"",L129*K129,"")),"")</x:f>
      </x:c>
    </x:row>
    <x:row r="130" s="54" customFormat="1" ht="22" customHeight="1">
      <x:c r="A130" s="975" t="str">
        <x:v>§2.4.4 Byte av trasigt kärl</x:v>
      </x:c>
      <x:c r="B130" s="980"/>
      <x:c r="C130" s="980"/>
      <x:c r="D130" s="980"/>
      <x:c r="E130" s="981"/>
      <x:c r="F130" s="975"/>
      <x:c r="G130" s="980" t="str">
        <x:f>IF($F130&lt;&gt;"",$F130,IFERROR(_xlfn.XLOOKUP(ROW(),Taxa_Saknas!$H:$H,Taxa_Saknas!$G:$G),""))</x:f>
      </x:c>
      <x:c r="H130" s="980" t="e">
        <x:f>IF($F130&lt;&gt;"",IFERROR(_xlfn.XLOOKUP($F130,Taxa_från_edp!$B:$B,Taxa_från_edp!C:C),""),"")</x:f>
      </x:c>
      <x:c r="I130" s="983" t="e">
        <x:f>IF($F130&lt;&gt;"",IFERROR(_xlfn.XLOOKUP($F130,Taxa_från_edp!$B:$B,Taxa_från_edp!G:G),""),"")</x:f>
      </x:c>
      <x:c r="J130" s="983" t="e">
        <x:f>IF($F130&lt;&gt;"",IFERROR(_xlfn.XLOOKUP($F130,Taxa_från_edp!$B:$B,Taxa_från_edp!K:K),""),"")</x:f>
      </x:c>
      <x:c r="K130" s="983"/>
      <x:c r="L130" s="983"/>
      <x:c r="M130" s="976" t="str">
        <x:f>IFERROR(IF(J130&lt;&gt;"",J130*1.25,IF(K130&lt;&gt;"",K130*1.25,"")),"")</x:f>
      </x:c>
      <x:c r="N130" s="977" t="str">
        <x:f>IFERROR(IF(J130&lt;&gt;"",L130*J130,IF(K130&lt;&gt;"",L130*K130,"")),"")</x:f>
      </x:c>
    </x:row>
    <x:row r="131" s="54" customFormat="1" ht="45" customHeight="1">
      <x:c r="A131" s="965" t="str">
        <x:v>§2.4.4</x:v>
      </x:c>
      <x:c r="B131" s="965" t="str">
        <x:v>Byte av trasigt kärl</x:v>
      </x:c>
      <x:c r="C131" s="965" t="str">
        <x:v>Byte av trasigt kärl vid oaktsamhet</x:v>
      </x:c>
      <x:c r="D131" s="965"/>
      <x:c r="E131" s="965" t="str">
        <x:v>st/kärl</x:v>
      </x:c>
      <x:c r="F131" s="989"/>
      <x:c r="G131" s="996" t="str">
        <x:f>IF($F131&lt;&gt;"",$F131,IFERROR(_xlfn.XLOOKUP(ROW(),Taxa_Saknas!$H:$H,Taxa_Saknas!$G:$G),""))</x:f>
      </x:c>
      <x:c r="H131" s="1003" t="e">
        <x:f>IF($F131&lt;&gt;"",IFERROR(_xlfn.XLOOKUP($F131,Taxa_från_edp!$B:$B,Taxa_från_edp!C:C),""),"")</x:f>
      </x:c>
      <x:c r="I131" s="1004" t="e">
        <x:f>IF($F131&lt;&gt;"",IFERROR(_xlfn.XLOOKUP($F131,Taxa_från_edp!$B:$B,Taxa_från_edp!G:G),""),"")</x:f>
      </x:c>
      <x:c r="J131" s="1005" t="e">
        <x:f>IF($F131&lt;&gt;"",IFERROR(_xlfn.XLOOKUP($F131,Taxa_från_edp!$B:$B,Taxa_från_edp!K:K),""),"")</x:f>
      </x:c>
      <x:c r="K131" s="1016"/>
      <x:c r="L131" s="1022"/>
      <x:c r="M131" s="1029" t="str">
        <x:f>IFERROR(IF(J131&lt;&gt;"",J131*1.25,IF(K131&lt;&gt;"",K131*1.25,"")),"")</x:f>
      </x:c>
      <x:c r="N131" s="1030" t="str">
        <x:f>IFERROR(IF(J131&lt;&gt;"",L131*J131,IF(K131&lt;&gt;"",L131*K131,"")),"")</x:f>
      </x:c>
    </x:row>
    <x:row r="132" s="54" customFormat="1" ht="22" customHeight="1">
      <x:c r="A132" s="975" t="str">
        <x:v>§2.4.4</x:v>
      </x:c>
      <x:c r="B132" s="980"/>
      <x:c r="C132" s="980"/>
      <x:c r="D132" s="980"/>
      <x:c r="E132" s="981"/>
      <x:c r="F132" s="975"/>
      <x:c r="G132" s="980" t="str">
        <x:f>IF($F132&lt;&gt;"",$F132,IFERROR(_xlfn.XLOOKUP(ROW(),Taxa_Saknas!$H:$H,Taxa_Saknas!$G:$G),""))</x:f>
      </x:c>
      <x:c r="H132" s="980" t="e">
        <x:f>IF($F132&lt;&gt;"",IFERROR(_xlfn.XLOOKUP($F132,Taxa_från_edp!$B:$B,Taxa_från_edp!C:C),""),"")</x:f>
      </x:c>
      <x:c r="I132" s="983" t="e">
        <x:f>IF($F132&lt;&gt;"",IFERROR(_xlfn.XLOOKUP($F132,Taxa_från_edp!$B:$B,Taxa_från_edp!G:G),""),"")</x:f>
      </x:c>
      <x:c r="J132" s="983" t="e">
        <x:f>IF($F132&lt;&gt;"",IFERROR(_xlfn.XLOOKUP($F132,Taxa_från_edp!$B:$B,Taxa_från_edp!K:K),""),"")</x:f>
      </x:c>
      <x:c r="K132" s="983"/>
      <x:c r="L132" s="983"/>
      <x:c r="M132" s="976" t="str">
        <x:f>IFERROR(IF(J132&lt;&gt;"",J132*1.25,IF(K132&lt;&gt;"",K132*1.25,"")),"")</x:f>
      </x:c>
      <x:c r="N132" s="977" t="str">
        <x:f>IFERROR(IF(J132&lt;&gt;"",L132*J132,IF(K132&lt;&gt;"",L132*K132,"")),"")</x:f>
      </x:c>
    </x:row>
    <x:row r="133" s="54" customFormat="1" ht="22" customHeight="1">
      <x:c r="A133" s="975" t="str">
        <x:v>§2.4.5 Byte av abonnemang</x:v>
      </x:c>
      <x:c r="B133" s="980"/>
      <x:c r="C133" s="980"/>
      <x:c r="D133" s="980"/>
      <x:c r="E133" s="981"/>
      <x:c r="F133" s="975"/>
      <x:c r="G133" s="980" t="str">
        <x:f>IF($F133&lt;&gt;"",$F133,IFERROR(_xlfn.XLOOKUP(ROW(),Taxa_Saknas!$H:$H,Taxa_Saknas!$G:$G),""))</x:f>
      </x:c>
      <x:c r="H133" s="980" t="e">
        <x:f>IF($F133&lt;&gt;"",IFERROR(_xlfn.XLOOKUP($F133,Taxa_från_edp!$B:$B,Taxa_från_edp!C:C),""),"")</x:f>
      </x:c>
      <x:c r="I133" s="983" t="e">
        <x:f>IF($F133&lt;&gt;"",IFERROR(_xlfn.XLOOKUP($F133,Taxa_från_edp!$B:$B,Taxa_från_edp!G:G),""),"")</x:f>
      </x:c>
      <x:c r="J133" s="983" t="e">
        <x:f>IF($F133&lt;&gt;"",IFERROR(_xlfn.XLOOKUP($F133,Taxa_från_edp!$B:$B,Taxa_från_edp!K:K),""),"")</x:f>
      </x:c>
      <x:c r="K133" s="983"/>
      <x:c r="L133" s="983"/>
      <x:c r="M133" s="976" t="str">
        <x:f>IFERROR(IF(J133&lt;&gt;"",J133*1.25,IF(K133&lt;&gt;"",K133*1.25,"")),"")</x:f>
      </x:c>
      <x:c r="N133" s="977" t="str">
        <x:f>IFERROR(IF(J133&lt;&gt;"",L133*J133,IF(K133&lt;&gt;"",L133*K133,"")),"")</x:f>
      </x:c>
    </x:row>
    <x:row r="134" s="54" customFormat="1" ht="45" customHeight="1">
      <x:c r="A134" s="965" t="str">
        <x:v>§2.4.5</x:v>
      </x:c>
      <x:c r="B134" s="965" t="str">
        <x:v>Byte av abonnemang</x:v>
      </x:c>
      <x:c r="C134" s="965" t="str">
        <x:v>Byte/återtag av kärl en (1) ggr/år</x:v>
      </x:c>
      <x:c r="D134" s="965" t="str">
        <x:v>140–240 liter</x:v>
      </x:c>
      <x:c r="E134" s="965" t="str">
        <x:v>st/kärl</x:v>
      </x:c>
      <x:c r="F134" s="992"/>
      <x:c r="G134" s="999" t="str">
        <x:f>IF($F134&lt;&gt;"",$F134,IFERROR(_xlfn.XLOOKUP(ROW(),Taxa_Saknas!$H:$H,Taxa_Saknas!$G:$G),""))</x:f>
      </x:c>
      <x:c r="H134" s="1009" t="e">
        <x:f>IF($F134&lt;&gt;"",IFERROR(_xlfn.XLOOKUP($F134,Taxa_från_edp!$B:$B,Taxa_från_edp!C:C),""),"")</x:f>
      </x:c>
      <x:c r="I134" s="1010" t="e">
        <x:f>IF($F134&lt;&gt;"",IFERROR(_xlfn.XLOOKUP($F134,Taxa_från_edp!$B:$B,Taxa_från_edp!G:G),""),"")</x:f>
      </x:c>
      <x:c r="J134" s="1011" t="e">
        <x:f>IF($F134&lt;&gt;"",IFERROR(_xlfn.XLOOKUP($F134,Taxa_från_edp!$B:$B,Taxa_från_edp!K:K),""),"")</x:f>
      </x:c>
      <x:c r="K134" s="1018"/>
      <x:c r="L134" s="1024"/>
      <x:c r="M134" s="1029" t="str">
        <x:f>IFERROR(IF(J134&lt;&gt;"",J134*1.25,IF(K134&lt;&gt;"",K134*1.25,"")),"")</x:f>
      </x:c>
      <x:c r="N134" s="1030" t="str">
        <x:f>IFERROR(IF(J134&lt;&gt;"",L134*J134,IF(K134&lt;&gt;"",L134*K134,"")),"")</x:f>
      </x:c>
    </x:row>
    <x:row r="135" s="54" customFormat="1" ht="45" customHeight="1">
      <x:c r="A135" s="965" t="str">
        <x:v>§2.4.5</x:v>
      </x:c>
      <x:c r="B135" s="965" t="str">
        <x:v>Byte av abonnemang</x:v>
      </x:c>
      <x:c r="C135" s="965" t="str">
        <x:v>Byte/återtag av kärl en (1) ggr/år</x:v>
      </x:c>
      <x:c r="D135" s="965" t="str">
        <x:v>370–660 liter</x:v>
      </x:c>
      <x:c r="E135" s="965" t="str">
        <x:v>st/kärl</x:v>
      </x:c>
      <x:c r="F135" s="992"/>
      <x:c r="G135" s="999" t="str">
        <x:f>IF($F135&lt;&gt;"",$F135,IFERROR(_xlfn.XLOOKUP(ROW(),Taxa_Saknas!$H:$H,Taxa_Saknas!$G:$G),""))</x:f>
      </x:c>
      <x:c r="H135" s="1009" t="e">
        <x:f>IF($F135&lt;&gt;"",IFERROR(_xlfn.XLOOKUP($F135,Taxa_från_edp!$B:$B,Taxa_från_edp!C:C),""),"")</x:f>
      </x:c>
      <x:c r="I135" s="1010" t="e">
        <x:f>IF($F135&lt;&gt;"",IFERROR(_xlfn.XLOOKUP($F135,Taxa_från_edp!$B:$B,Taxa_från_edp!G:G),""),"")</x:f>
      </x:c>
      <x:c r="J135" s="1011" t="e">
        <x:f>IF($F135&lt;&gt;"",IFERROR(_xlfn.XLOOKUP($F135,Taxa_från_edp!$B:$B,Taxa_från_edp!K:K),""),"")</x:f>
      </x:c>
      <x:c r="K135" s="1018"/>
      <x:c r="L135" s="1024"/>
      <x:c r="M135" s="1029" t="str">
        <x:f>IFERROR(IF(J135&lt;&gt;"",J135*1.25,IF(K135&lt;&gt;"",K135*1.25,"")),"")</x:f>
      </x:c>
      <x:c r="N135" s="1030" t="str">
        <x:f>IFERROR(IF(J135&lt;&gt;"",L135*J135,IF(K135&lt;&gt;"",L135*K135,"")),"")</x:f>
      </x:c>
    </x:row>
    <x:row r="136" s="54" customFormat="1" ht="45" customHeight="1">
      <x:c r="A136" s="965" t="str">
        <x:v>§2.4.5</x:v>
      </x:c>
      <x:c r="B136" s="965" t="str">
        <x:v>Byte av abonnemang</x:v>
      </x:c>
      <x:c r="C136" s="965" t="str">
        <x:v>Ytterligare byte av kärl under kalenderåret</x:v>
      </x:c>
      <x:c r="D136" s="965"/>
      <x:c r="E136" s="965" t="str">
        <x:v>st/kärl</x:v>
      </x:c>
      <x:c r="F136" s="989"/>
      <x:c r="G136" s="996" t="str">
        <x:f>IF($F136&lt;&gt;"",$F136,IFERROR(_xlfn.XLOOKUP(ROW(),Taxa_Saknas!$H:$H,Taxa_Saknas!$G:$G),""))</x:f>
      </x:c>
      <x:c r="H136" s="1003" t="e">
        <x:f>IF($F136&lt;&gt;"",IFERROR(_xlfn.XLOOKUP($F136,Taxa_från_edp!$B:$B,Taxa_från_edp!C:C),""),"")</x:f>
      </x:c>
      <x:c r="I136" s="1004" t="e">
        <x:f>IF($F136&lt;&gt;"",IFERROR(_xlfn.XLOOKUP($F136,Taxa_från_edp!$B:$B,Taxa_från_edp!G:G),""),"")</x:f>
      </x:c>
      <x:c r="J136" s="1005" t="e">
        <x:f>IF($F136&lt;&gt;"",IFERROR(_xlfn.XLOOKUP($F136,Taxa_från_edp!$B:$B,Taxa_från_edp!K:K),""),"")</x:f>
      </x:c>
      <x:c r="K136" s="1016"/>
      <x:c r="L136" s="1022"/>
      <x:c r="M136" s="1029" t="str">
        <x:f>IFERROR(IF(J136&lt;&gt;"",J136*1.25,IF(K136&lt;&gt;"",K136*1.25,"")),"")</x:f>
      </x:c>
      <x:c r="N136" s="1030" t="str">
        <x:f>IFERROR(IF(J136&lt;&gt;"",L136*J136,IF(K136&lt;&gt;"",L136*K136,"")),"")</x:f>
      </x:c>
    </x:row>
    <x:row r="137" s="54" customFormat="1" ht="22" customHeight="1">
      <x:c r="A137" s="975" t="str">
        <x:v>§2.4.5</x:v>
      </x:c>
      <x:c r="B137" s="980"/>
      <x:c r="C137" s="980"/>
      <x:c r="D137" s="980"/>
      <x:c r="E137" s="981"/>
      <x:c r="F137" s="975"/>
      <x:c r="G137" s="980" t="str">
        <x:f>IF($F137&lt;&gt;"",$F137,IFERROR(_xlfn.XLOOKUP(ROW(),Taxa_Saknas!$H:$H,Taxa_Saknas!$G:$G),""))</x:f>
      </x:c>
      <x:c r="H137" s="980" t="e">
        <x:f>IF($F137&lt;&gt;"",IFERROR(_xlfn.XLOOKUP($F137,Taxa_från_edp!$B:$B,Taxa_från_edp!C:C),""),"")</x:f>
      </x:c>
      <x:c r="I137" s="983" t="e">
        <x:f>IF($F137&lt;&gt;"",IFERROR(_xlfn.XLOOKUP($F137,Taxa_från_edp!$B:$B,Taxa_från_edp!G:G),""),"")</x:f>
      </x:c>
      <x:c r="J137" s="983" t="e">
        <x:f>IF($F137&lt;&gt;"",IFERROR(_xlfn.XLOOKUP($F137,Taxa_från_edp!$B:$B,Taxa_från_edp!K:K),""),"")</x:f>
      </x:c>
      <x:c r="K137" s="983"/>
      <x:c r="L137" s="983"/>
      <x:c r="M137" s="976" t="str">
        <x:f>IFERROR(IF(J137&lt;&gt;"",J137*1.25,IF(K137&lt;&gt;"",K137*1.25,"")),"")</x:f>
      </x:c>
      <x:c r="N137" s="977" t="str">
        <x:f>IFERROR(IF(J137&lt;&gt;"",L137*J137,IF(K137&lt;&gt;"",L137*K137,"")),"")</x:f>
      </x:c>
    </x:row>
    <x:row r="138" s="54" customFormat="1" ht="22" customHeight="1">
      <x:c r="A138" s="975" t="str">
        <x:v>§2.4.6 Felsorteringsavgift</x:v>
      </x:c>
      <x:c r="B138" s="980"/>
      <x:c r="C138" s="980"/>
      <x:c r="D138" s="980"/>
      <x:c r="E138" s="981"/>
      <x:c r="F138" s="975"/>
      <x:c r="G138" s="980" t="str">
        <x:f>IF($F138&lt;&gt;"",$F138,IFERROR(_xlfn.XLOOKUP(ROW(),Taxa_Saknas!$H:$H,Taxa_Saknas!$G:$G),""))</x:f>
      </x:c>
      <x:c r="H138" s="980" t="e">
        <x:f>IF($F138&lt;&gt;"",IFERROR(_xlfn.XLOOKUP($F138,Taxa_från_edp!$B:$B,Taxa_från_edp!C:C),""),"")</x:f>
      </x:c>
      <x:c r="I138" s="983" t="e">
        <x:f>IF($F138&lt;&gt;"",IFERROR(_xlfn.XLOOKUP($F138,Taxa_från_edp!$B:$B,Taxa_från_edp!G:G),""),"")</x:f>
      </x:c>
      <x:c r="J138" s="983" t="e">
        <x:f>IF($F138&lt;&gt;"",IFERROR(_xlfn.XLOOKUP($F138,Taxa_från_edp!$B:$B,Taxa_från_edp!K:K),""),"")</x:f>
      </x:c>
      <x:c r="K138" s="983"/>
      <x:c r="L138" s="983"/>
      <x:c r="M138" s="976" t="str">
        <x:f>IFERROR(IF(J138&lt;&gt;"",J138*1.25,IF(K138&lt;&gt;"",K138*1.25,"")),"")</x:f>
      </x:c>
      <x:c r="N138" s="977" t="str">
        <x:f>IFERROR(IF(J138&lt;&gt;"",L138*J138,IF(K138&lt;&gt;"",L138*K138,"")),"")</x:f>
      </x:c>
    </x:row>
    <x:row r="139" s="54" customFormat="1" ht="45" customHeight="1">
      <x:c r="A139" s="965" t="str">
        <x:v>§2.4.6</x:v>
      </x:c>
      <x:c r="B139" s="965" t="str">
        <x:v>Felsorteringsavgift</x:v>
      </x:c>
      <x:c r="C139" s="965" t="str">
        <x:v>Kärl</x:v>
      </x:c>
      <x:c r="D139" s="965"/>
      <x:c r="E139" s="965" t="str">
        <x:v>st/tillfälle</x:v>
      </x:c>
      <x:c r="F139" s="992"/>
      <x:c r="G139" s="999" t="str">
        <x:f>IF($F139&lt;&gt;"",$F139,IFERROR(_xlfn.XLOOKUP(ROW(),Taxa_Saknas!$H:$H,Taxa_Saknas!$G:$G),""))</x:f>
      </x:c>
      <x:c r="H139" s="1009" t="e">
        <x:f>IF($F139&lt;&gt;"",IFERROR(_xlfn.XLOOKUP($F139,Taxa_från_edp!$B:$B,Taxa_från_edp!C:C),""),"")</x:f>
      </x:c>
      <x:c r="I139" s="1010" t="e">
        <x:f>IF($F139&lt;&gt;"",IFERROR(_xlfn.XLOOKUP($F139,Taxa_från_edp!$B:$B,Taxa_från_edp!G:G),""),"")</x:f>
      </x:c>
      <x:c r="J139" s="1011" t="e">
        <x:f>IF($F139&lt;&gt;"",IFERROR(_xlfn.XLOOKUP($F139,Taxa_från_edp!$B:$B,Taxa_från_edp!K:K),""),"")</x:f>
      </x:c>
      <x:c r="K139" s="1018"/>
      <x:c r="L139" s="1024"/>
      <x:c r="M139" s="1029" t="str">
        <x:f>IFERROR(IF(J139&lt;&gt;"",J139*1.25,IF(K139&lt;&gt;"",K139*1.25,"")),"")</x:f>
      </x:c>
      <x:c r="N139" s="1030" t="str">
        <x:f>IFERROR(IF(J139&lt;&gt;"",L139*J139,IF(K139&lt;&gt;"",L139*K139,"")),"")</x:f>
      </x:c>
    </x:row>
    <x:row r="140" s="54" customFormat="1" ht="45" customHeight="1">
      <x:c r="A140" s="965" t="str">
        <x:v>§2.4.6</x:v>
      </x:c>
      <x:c r="B140" s="965" t="str">
        <x:v>Felsorteringsavgift</x:v>
      </x:c>
      <x:c r="C140" s="965" t="str">
        <x:v>Bottentömmande behållare</x:v>
      </x:c>
      <x:c r="D140" s="965"/>
      <x:c r="E140" s="965" t="str">
        <x:v>st/tillfälle</x:v>
      </x:c>
      <x:c r="F140" s="989"/>
      <x:c r="G140" s="996" t="str">
        <x:f>IF($F140&lt;&gt;"",$F140,IFERROR(_xlfn.XLOOKUP(ROW(),Taxa_Saknas!$H:$H,Taxa_Saknas!$G:$G),""))</x:f>
      </x:c>
      <x:c r="H140" s="1003" t="e">
        <x:f>IF($F140&lt;&gt;"",IFERROR(_xlfn.XLOOKUP($F140,Taxa_från_edp!$B:$B,Taxa_från_edp!C:C),""),"")</x:f>
      </x:c>
      <x:c r="I140" s="1004" t="e">
        <x:f>IF($F140&lt;&gt;"",IFERROR(_xlfn.XLOOKUP($F140,Taxa_från_edp!$B:$B,Taxa_från_edp!G:G),""),"")</x:f>
      </x:c>
      <x:c r="J140" s="1005" t="e">
        <x:f>IF($F140&lt;&gt;"",IFERROR(_xlfn.XLOOKUP($F140,Taxa_från_edp!$B:$B,Taxa_från_edp!K:K),""),"")</x:f>
      </x:c>
      <x:c r="K140" s="1016"/>
      <x:c r="L140" s="1022"/>
      <x:c r="M140" s="1029" t="str">
        <x:f>IFERROR(IF(J140&lt;&gt;"",J140*1.25,IF(K140&lt;&gt;"",K140*1.25,"")),"")</x:f>
      </x:c>
      <x:c r="N140" s="1030" t="str">
        <x:f>IFERROR(IF(J140&lt;&gt;"",L140*J140,IF(K140&lt;&gt;"",L140*K140,"")),"")</x:f>
      </x:c>
    </x:row>
    <x:row r="141" s="54" customFormat="1" ht="22" customHeight="1">
      <x:c r="A141" s="975" t="str">
        <x:v>§2.4.6</x:v>
      </x:c>
      <x:c r="B141" s="980"/>
      <x:c r="C141" s="980"/>
      <x:c r="D141" s="980"/>
      <x:c r="E141" s="981"/>
      <x:c r="F141" s="975"/>
      <x:c r="G141" s="980" t="str">
        <x:f>IF($F141&lt;&gt;"",$F141,IFERROR(_xlfn.XLOOKUP(ROW(),Taxa_Saknas!$H:$H,Taxa_Saknas!$G:$G),""))</x:f>
      </x:c>
      <x:c r="H141" s="980" t="e">
        <x:f>IF($F141&lt;&gt;"",IFERROR(_xlfn.XLOOKUP($F141,Taxa_från_edp!$B:$B,Taxa_från_edp!C:C),""),"")</x:f>
      </x:c>
      <x:c r="I141" s="983" t="e">
        <x:f>IF($F141&lt;&gt;"",IFERROR(_xlfn.XLOOKUP($F141,Taxa_från_edp!$B:$B,Taxa_från_edp!G:G),""),"")</x:f>
      </x:c>
      <x:c r="J141" s="983" t="e">
        <x:f>IF($F141&lt;&gt;"",IFERROR(_xlfn.XLOOKUP($F141,Taxa_från_edp!$B:$B,Taxa_från_edp!K:K),""),"")</x:f>
      </x:c>
      <x:c r="K141" s="983"/>
      <x:c r="L141" s="983"/>
      <x:c r="M141" s="976" t="str">
        <x:f>IFERROR(IF(J141&lt;&gt;"",J141*1.25,IF(K141&lt;&gt;"",K141*1.25,"")),"")</x:f>
      </x:c>
      <x:c r="N141" s="977" t="str">
        <x:f>IFERROR(IF(J141&lt;&gt;"",L141*J141,IF(K141&lt;&gt;"",L141*K141,"")),"")</x:f>
      </x:c>
    </x:row>
    <x:row r="142" s="54" customFormat="1" ht="22" customHeight="1">
      <x:c r="A142" s="975" t="str">
        <x:v>§2.4.7 Dragväg och avfallsutrymmen</x:v>
      </x:c>
      <x:c r="B142" s="980"/>
      <x:c r="C142" s="980"/>
      <x:c r="D142" s="980"/>
      <x:c r="E142" s="981"/>
      <x:c r="F142" s="975"/>
      <x:c r="G142" s="980" t="str">
        <x:f>IF($F142&lt;&gt;"",$F142,IFERROR(_xlfn.XLOOKUP(ROW(),Taxa_Saknas!$H:$H,Taxa_Saknas!$G:$G),""))</x:f>
      </x:c>
      <x:c r="H142" s="980" t="e">
        <x:f>IF($F142&lt;&gt;"",IFERROR(_xlfn.XLOOKUP($F142,Taxa_från_edp!$B:$B,Taxa_från_edp!C:C),""),"")</x:f>
      </x:c>
      <x:c r="I142" s="983" t="e">
        <x:f>IF($F142&lt;&gt;"",IFERROR(_xlfn.XLOOKUP($F142,Taxa_från_edp!$B:$B,Taxa_från_edp!G:G),""),"")</x:f>
      </x:c>
      <x:c r="J142" s="983" t="e">
        <x:f>IF($F142&lt;&gt;"",IFERROR(_xlfn.XLOOKUP($F142,Taxa_från_edp!$B:$B,Taxa_från_edp!K:K),""),"")</x:f>
      </x:c>
      <x:c r="K142" s="983"/>
      <x:c r="L142" s="983"/>
      <x:c r="M142" s="976" t="str">
        <x:f>IFERROR(IF(J142&lt;&gt;"",J142*1.25,IF(K142&lt;&gt;"",K142*1.25,"")),"")</x:f>
      </x:c>
      <x:c r="N142" s="977" t="str">
        <x:f>IFERROR(IF(J142&lt;&gt;"",L142*J142,IF(K142&lt;&gt;"",L142*K142,"")),"")</x:f>
      </x:c>
    </x:row>
    <x:row r="143">
      <x:c r="A143" s="965" t="str">
        <x:v>§2.4.7</x:v>
      </x:c>
      <x:c r="B143" s="969" t="str">
        <x:v>Dragväg och avfallsutrymmen</x:v>
      </x:c>
      <x:c r="C143" s="969" t="str">
        <x:v>Kärl 140-660 L</x:v>
      </x:c>
      <x:c r="D143" s="969" t="str">
        <x:v>1,5-10</x:v>
      </x:c>
      <x:c r="E143" s="969" t="str">
        <x:v>st/år</x:v>
      </x:c>
      <x:c r="F143" s="991"/>
      <x:c r="G143" s="998" t="str">
        <x:f>IF($F143&lt;&gt;"",$F143,IFERROR(_xlfn.XLOOKUP(ROW(),Taxa_Saknas!$H:$H,Taxa_Saknas!$G:$G),""))</x:f>
      </x:c>
      <x:c r="H143" s="1008" t="e">
        <x:f>IF($F143&lt;&gt;"",IFERROR(_xlfn.XLOOKUP($F143,Taxa_från_edp!$B:$B,Taxa_från_edp!C:C),""),"")</x:f>
      </x:c>
      <x:c r="I143" s="1008" t="e">
        <x:f>IF($F143&lt;&gt;"",IFERROR(_xlfn.XLOOKUP($F143,Taxa_från_edp!$B:$B,Taxa_från_edp!G:G),""),"")</x:f>
      </x:c>
      <x:c r="J143" s="1008" t="e">
        <x:f>IF($F143&lt;&gt;"",IFERROR(_xlfn.XLOOKUP($F143,Taxa_från_edp!$B:$B,Taxa_från_edp!K:K),""),"")</x:f>
      </x:c>
      <x:c r="K143" s="998"/>
      <x:c r="L143" s="991"/>
      <x:c r="M143" s="1029" t="str">
        <x:f>IFERROR(IF(J143&lt;&gt;"",J143*1.25,IF(K143&lt;&gt;"",K143*1.25,"")),"")</x:f>
      </x:c>
      <x:c r="N143" s="1030" t="str">
        <x:f>IFERROR(IF(J143&lt;&gt;"",L143*J143,IF(K143&lt;&gt;"",L143*K143,"")),"")</x:f>
      </x:c>
    </x:row>
    <x:row r="144">
      <x:c r="A144" s="965" t="str">
        <x:v>§2.4.7</x:v>
      </x:c>
      <x:c r="B144" s="965" t="str">
        <x:v>Dragväg och avfallsutrymmen</x:v>
      </x:c>
      <x:c r="C144" s="965" t="str">
        <x:v>Kärl 140-660 L</x:v>
      </x:c>
      <x:c r="D144" s="965" t="str">
        <x:v>10-20</x:v>
      </x:c>
      <x:c r="E144" s="965" t="str">
        <x:v>st/år</x:v>
      </x:c>
      <x:c r="F144" s="993"/>
      <x:c r="G144" s="1000" t="str">
        <x:f>IF($F144&lt;&gt;"",$F144,IFERROR(_xlfn.XLOOKUP(ROW(),Taxa_Saknas!$H:$H,Taxa_Saknas!$G:$G),""))</x:f>
      </x:c>
      <x:c r="H144" s="1012" t="e">
        <x:f>IF($F144&lt;&gt;"",IFERROR(_xlfn.XLOOKUP($F144,Taxa_från_edp!$B:$B,Taxa_från_edp!C:C),""),"")</x:f>
      </x:c>
      <x:c r="I144" s="1013" t="e">
        <x:f>IF($F144&lt;&gt;"",IFERROR(_xlfn.XLOOKUP($F144,Taxa_från_edp!$B:$B,Taxa_från_edp!G:G),""),"")</x:f>
      </x:c>
      <x:c r="J144" s="1013" t="e">
        <x:f>IF($F144&lt;&gt;"",IFERROR(_xlfn.XLOOKUP($F144,Taxa_från_edp!$B:$B,Taxa_från_edp!K:K),""),"")</x:f>
      </x:c>
      <x:c r="K144" s="1019"/>
      <x:c r="L144" s="1025"/>
      <x:c r="M144" s="1029" t="str">
        <x:f>IFERROR(IF(J144&lt;&gt;"",J144*1.25,IF(K144&lt;&gt;"",K144*1.25,"")),"")</x:f>
      </x:c>
      <x:c r="N144" s="1030" t="str">
        <x:f>IFERROR(IF(J144&lt;&gt;"",L144*J144,IF(K144&lt;&gt;"",L144*K144,"")),"")</x:f>
      </x:c>
    </x:row>
    <x:row r="145">
      <x:c r="A145" s="965" t="str">
        <x:v>§2.4.7</x:v>
      </x:c>
      <x:c r="B145" s="965" t="str">
        <x:v>Dragväg och avfallsutrymmen</x:v>
      </x:c>
      <x:c r="C145" s="965" t="str">
        <x:v>Kärl 140-660 L</x:v>
      </x:c>
      <x:c r="D145" s="965" t="str">
        <x:v>20-30</x:v>
      </x:c>
      <x:c r="E145" s="965" t="str">
        <x:v>st/år</x:v>
      </x:c>
      <x:c r="F145" s="992"/>
      <x:c r="G145" s="999" t="str">
        <x:f>IF($F145&lt;&gt;"",$F145,IFERROR(_xlfn.XLOOKUP(ROW(),Taxa_Saknas!$H:$H,Taxa_Saknas!$G:$G),""))</x:f>
      </x:c>
      <x:c r="H145" s="1009" t="e">
        <x:f>IF($F145&lt;&gt;"",IFERROR(_xlfn.XLOOKUP($F145,Taxa_från_edp!$B:$B,Taxa_från_edp!C:C),""),"")</x:f>
      </x:c>
      <x:c r="I145" s="1010" t="e">
        <x:f>IF($F145&lt;&gt;"",IFERROR(_xlfn.XLOOKUP($F145,Taxa_från_edp!$B:$B,Taxa_från_edp!G:G),""),"")</x:f>
      </x:c>
      <x:c r="J145" s="1011" t="e">
        <x:f>IF($F145&lt;&gt;"",IFERROR(_xlfn.XLOOKUP($F145,Taxa_från_edp!$B:$B,Taxa_från_edp!K:K),""),"")</x:f>
      </x:c>
      <x:c r="K145" s="1018"/>
      <x:c r="L145" s="1024"/>
      <x:c r="M145" s="1029" t="str">
        <x:f>IFERROR(IF(J145&lt;&gt;"",J145*1.25,IF(K145&lt;&gt;"",K145*1.25,"")),"")</x:f>
      </x:c>
      <x:c r="N145" s="1030" t="str">
        <x:f>IFERROR(IF(J145&lt;&gt;"",L145*J145,IF(K145&lt;&gt;"",L145*K145,"")),"")</x:f>
      </x:c>
    </x:row>
    <x:row r="146" ht="22" customHeight="1">
      <x:c r="A146" s="975" t="str">
        <x:v>§2.4.7</x:v>
      </x:c>
      <x:c r="B146" s="976"/>
      <x:c r="C146" s="976"/>
      <x:c r="D146" s="976"/>
      <x:c r="E146" s="977"/>
      <x:c r="F146" s="979"/>
      <x:c r="G146" s="976" t="str">
        <x:f>IF($F146&lt;&gt;"",$F146,IFERROR(_xlfn.XLOOKUP(ROW(),Taxa_Saknas!$H:$H,Taxa_Saknas!$G:$G),""))</x:f>
      </x:c>
      <x:c r="H146" s="976" t="e">
        <x:f>IF($F146&lt;&gt;"",IFERROR(_xlfn.XLOOKUP($F146,Taxa_från_edp!$B:$B,Taxa_från_edp!C:C),""),"")</x:f>
      </x:c>
      <x:c r="I146" s="976" t="e">
        <x:f>IF($F146&lt;&gt;"",IFERROR(_xlfn.XLOOKUP($F146,Taxa_från_edp!$B:$B,Taxa_från_edp!G:G),""),"")</x:f>
      </x:c>
      <x:c r="J146" s="976" t="e">
        <x:f>IF($F146&lt;&gt;"",IFERROR(_xlfn.XLOOKUP($F146,Taxa_från_edp!$B:$B,Taxa_från_edp!K:K),""),"")</x:f>
      </x:c>
      <x:c r="K146" s="976"/>
      <x:c r="L146" s="976"/>
      <x:c r="M146" s="976" t="str">
        <x:f>IFERROR(IF(J146&lt;&gt;"",J146*1.25,IF(K146&lt;&gt;"",K146*1.25,"")),"")</x:f>
      </x:c>
      <x:c r="N146" s="977" t="str">
        <x:f>IFERROR(IF(J146&lt;&gt;"",L146*J146,IF(K146&lt;&gt;"",L146*K146,"")),"")</x:f>
      </x:c>
    </x:row>
    <x:row r="147">
      <x:c r="A147" s="965" t="str">
        <x:v>§2.4.7</x:v>
      </x:c>
      <x:c r="B147" s="965" t="str">
        <x:v>Dragväg och avfallsutrymmen</x:v>
      </x:c>
      <x:c r="C147" s="965" t="str">
        <x:v>Låst dörr, med kod</x:v>
      </x:c>
      <x:c r="D147" s="965"/>
      <x:c r="E147" s="965" t="str">
        <x:v>st/år</x:v>
      </x:c>
      <x:c r="F147" s="993"/>
      <x:c r="G147" s="1000" t="str">
        <x:f>IF($F147&lt;&gt;"",$F147,IFERROR(_xlfn.XLOOKUP(ROW(),Taxa_Saknas!$H:$H,Taxa_Saknas!$G:$G),""))</x:f>
      </x:c>
      <x:c r="H147" s="1012" t="e">
        <x:f>IF($F147&lt;&gt;"",IFERROR(_xlfn.XLOOKUP($F147,Taxa_från_edp!$B:$B,Taxa_från_edp!C:C),""),"")</x:f>
      </x:c>
      <x:c r="I147" s="1013" t="e">
        <x:f>IF($F147&lt;&gt;"",IFERROR(_xlfn.XLOOKUP($F147,Taxa_från_edp!$B:$B,Taxa_från_edp!G:G),""),"")</x:f>
      </x:c>
      <x:c r="J147" s="1013" t="e">
        <x:f>IF($F147&lt;&gt;"",IFERROR(_xlfn.XLOOKUP($F147,Taxa_från_edp!$B:$B,Taxa_från_edp!K:K),""),"")</x:f>
      </x:c>
      <x:c r="K147" s="1019"/>
      <x:c r="L147" s="1025"/>
      <x:c r="M147" s="1029" t="str">
        <x:f>IFERROR(IF(J147&lt;&gt;"",J147*1.25,IF(K147&lt;&gt;"",K147*1.25,"")),"")</x:f>
      </x:c>
      <x:c r="N147" s="1030" t="str">
        <x:f>IFERROR(IF(J147&lt;&gt;"",L147*J147,IF(K147&lt;&gt;"",L147*K147,"")),"")</x:f>
      </x:c>
    </x:row>
    <x:row r="148" ht="22" customHeight="1">
      <x:c r="A148" s="975" t="str">
        <x:v>§2.4.7</x:v>
      </x:c>
      <x:c r="B148" s="980"/>
      <x:c r="C148" s="980"/>
      <x:c r="D148" s="980"/>
      <x:c r="E148" s="981"/>
      <x:c r="F148" s="975"/>
      <x:c r="G148" s="980" t="str">
        <x:f>IF($F148&lt;&gt;"",$F148,IFERROR(_xlfn.XLOOKUP(ROW(),Taxa_Saknas!$H:$H,Taxa_Saknas!$G:$G),""))</x:f>
      </x:c>
      <x:c r="H148" s="980" t="e">
        <x:f>IF($F148&lt;&gt;"",IFERROR(_xlfn.XLOOKUP($F148,Taxa_från_edp!$B:$B,Taxa_från_edp!C:C),""),"")</x:f>
      </x:c>
      <x:c r="I148" s="983" t="e">
        <x:f>IF($F148&lt;&gt;"",IFERROR(_xlfn.XLOOKUP($F148,Taxa_från_edp!$B:$B,Taxa_från_edp!G:G),""),"")</x:f>
      </x:c>
      <x:c r="J148" s="983" t="e">
        <x:f>IF($F148&lt;&gt;"",IFERROR(_xlfn.XLOOKUP($F148,Taxa_från_edp!$B:$B,Taxa_från_edp!K:K),""),"")</x:f>
      </x:c>
      <x:c r="K148" s="983"/>
      <x:c r="L148" s="983"/>
      <x:c r="M148" s="976" t="str">
        <x:f>IFERROR(IF(J148&lt;&gt;"",J148*1.25,IF(K148&lt;&gt;"",K148*1.25,"")),"")</x:f>
      </x:c>
      <x:c r="N148" s="977" t="str">
        <x:f>IFERROR(IF(J148&lt;&gt;"",L148*J148,IF(K148&lt;&gt;"",L148*K148,"")),"")</x:f>
      </x:c>
    </x:row>
    <x:row r="149" ht="22" customHeight="1">
      <x:c r="A149" s="975" t="str">
        <x:v>§2.4.8 Evenemang och andra tillfälliga händelser</x:v>
      </x:c>
      <x:c r="B149" s="980"/>
      <x:c r="C149" s="980"/>
      <x:c r="D149" s="980"/>
      <x:c r="E149" s="981"/>
      <x:c r="F149" s="975"/>
      <x:c r="G149" s="980" t="str">
        <x:f>IF($F149&lt;&gt;"",$F149,IFERROR(_xlfn.XLOOKUP(ROW(),Taxa_Saknas!$H:$H,Taxa_Saknas!$G:$G),""))</x:f>
      </x:c>
      <x:c r="H149" s="980" t="e">
        <x:f>IF($F149&lt;&gt;"",IFERROR(_xlfn.XLOOKUP($F149,Taxa_från_edp!$B:$B,Taxa_från_edp!C:C),""),"")</x:f>
      </x:c>
      <x:c r="I149" s="983" t="e">
        <x:f>IF($F149&lt;&gt;"",IFERROR(_xlfn.XLOOKUP($F149,Taxa_från_edp!$B:$B,Taxa_från_edp!G:G),""),"")</x:f>
      </x:c>
      <x:c r="J149" s="983" t="e">
        <x:f>IF($F149&lt;&gt;"",IFERROR(_xlfn.XLOOKUP($F149,Taxa_från_edp!$B:$B,Taxa_från_edp!K:K),""),"")</x:f>
      </x:c>
      <x:c r="K149" s="983"/>
      <x:c r="L149" s="983"/>
      <x:c r="M149" s="976" t="str">
        <x:f>IFERROR(IF(J149&lt;&gt;"",J149*1.25,IF(K149&lt;&gt;"",K149*1.25,"")),"")</x:f>
      </x:c>
      <x:c r="N149" s="977" t="str">
        <x:f>IFERROR(IF(J149&lt;&gt;"",L149*J149,IF(K149&lt;&gt;"",L149*K149,"")),"")</x:f>
      </x:c>
    </x:row>
    <x:row r="150">
      <x:c r="A150" s="965" t="str">
        <x:v>§2.4.8</x:v>
      </x:c>
      <x:c r="B150" s="965" t="str">
        <x:v>Evenemang och andra tillfälliga händelser</x:v>
      </x:c>
      <x:c r="C150" s="965" t="str">
        <x:v>Kärl 140 l matavfall</x:v>
      </x:c>
      <x:c r="D150" s="965"/>
      <x:c r="E150" s="965" t="str">
        <x:v>st/period</x:v>
      </x:c>
      <x:c r="F150" s="989"/>
      <x:c r="G150" s="996" t="str">
        <x:f>IF($F150&lt;&gt;"",$F150,IFERROR(_xlfn.XLOOKUP(ROW(),Taxa_Saknas!$H:$H,Taxa_Saknas!$G:$G),""))</x:f>
      </x:c>
      <x:c r="H150" s="1003" t="e">
        <x:f>IF($F150&lt;&gt;"",IFERROR(_xlfn.XLOOKUP($F150,Taxa_från_edp!$B:$B,Taxa_från_edp!C:C),""),"")</x:f>
      </x:c>
      <x:c r="I150" s="1004" t="e">
        <x:f>IF($F150&lt;&gt;"",IFERROR(_xlfn.XLOOKUP($F150,Taxa_från_edp!$B:$B,Taxa_från_edp!G:G),""),"")</x:f>
      </x:c>
      <x:c r="J150" s="1005" t="e">
        <x:f>IF($F150&lt;&gt;"",IFERROR(_xlfn.XLOOKUP($F150,Taxa_från_edp!$B:$B,Taxa_från_edp!K:K),""),"")</x:f>
      </x:c>
      <x:c r="K150" s="1016"/>
      <x:c r="L150" s="1022"/>
      <x:c r="M150" s="1029" t="str">
        <x:f>IFERROR(IF(J150&lt;&gt;"",J150*1.25,IF(K150&lt;&gt;"",K150*1.25,"")),"")</x:f>
      </x:c>
      <x:c r="N150" s="1030" t="str">
        <x:f>IFERROR(IF(J150&lt;&gt;"",L150*J150,IF(K150&lt;&gt;"",L150*K150,"")),"")</x:f>
      </x:c>
    </x:row>
    <x:row r="151">
      <x:c r="A151" s="965" t="str">
        <x:v>§2.4.8</x:v>
      </x:c>
      <x:c r="B151" s="969" t="str">
        <x:v>Evenemang och andra tillfälliga händelser</x:v>
      </x:c>
      <x:c r="C151" s="969" t="str">
        <x:v>Kärl 190 l restavfall</x:v>
      </x:c>
      <x:c r="D151" s="969"/>
      <x:c r="E151" s="969" t="str">
        <x:v>st/period</x:v>
      </x:c>
      <x:c r="F151" s="991"/>
      <x:c r="G151" s="998" t="str">
        <x:f>IF($F151&lt;&gt;"",$F151,IFERROR(_xlfn.XLOOKUP(ROW(),Taxa_Saknas!$H:$H,Taxa_Saknas!$G:$G),""))</x:f>
      </x:c>
      <x:c r="H151" s="1008" t="e">
        <x:f>IF($F151&lt;&gt;"",IFERROR(_xlfn.XLOOKUP($F151,Taxa_från_edp!$B:$B,Taxa_från_edp!C:C),""),"")</x:f>
      </x:c>
      <x:c r="I151" s="1008" t="e">
        <x:f>IF($F151&lt;&gt;"",IFERROR(_xlfn.XLOOKUP($F151,Taxa_från_edp!$B:$B,Taxa_från_edp!G:G),""),"")</x:f>
      </x:c>
      <x:c r="J151" s="1008" t="e">
        <x:f>IF($F151&lt;&gt;"",IFERROR(_xlfn.XLOOKUP($F151,Taxa_från_edp!$B:$B,Taxa_från_edp!K:K),""),"")</x:f>
      </x:c>
      <x:c r="K151" s="998"/>
      <x:c r="L151" s="991"/>
      <x:c r="M151" s="1029" t="str">
        <x:f>IFERROR(IF(J151&lt;&gt;"",J151*1.25,IF(K151&lt;&gt;"",K151*1.25,"")),"")</x:f>
      </x:c>
      <x:c r="N151" s="1030" t="str">
        <x:f>IFERROR(IF(J151&lt;&gt;"",L151*J151,IF(K151&lt;&gt;"",L151*K151,"")),"")</x:f>
      </x:c>
    </x:row>
    <x:row r="152" s="54" customFormat="1" ht="45" customHeight="1">
      <x:c r="A152" s="965" t="str">
        <x:v>§2.4.8</x:v>
      </x:c>
      <x:c r="B152" s="965" t="str">
        <x:v>Evenemang och andra tillfälliga händelser</x:v>
      </x:c>
      <x:c r="C152" s="965" t="str">
        <x:v>Kärl 370 l restavfall</x:v>
      </x:c>
      <x:c r="D152" s="965"/>
      <x:c r="E152" s="965" t="str">
        <x:v>st/period</x:v>
      </x:c>
      <x:c r="F152" s="994"/>
      <x:c r="G152" s="1001" t="str">
        <x:f>IF($F152&lt;&gt;"",$F152,IFERROR(_xlfn.XLOOKUP(ROW(),Taxa_Saknas!$H:$H,Taxa_Saknas!$G:$G),""))</x:f>
      </x:c>
      <x:c r="H152" s="1014" t="e">
        <x:f>IF($F152&lt;&gt;"",IFERROR(_xlfn.XLOOKUP($F152,Taxa_från_edp!$B:$B,Taxa_från_edp!C:C),""),"")</x:f>
      </x:c>
      <x:c r="I152" s="1015" t="e">
        <x:f>IF($F152&lt;&gt;"",IFERROR(_xlfn.XLOOKUP($F152,Taxa_från_edp!$B:$B,Taxa_från_edp!G:G),""),"")</x:f>
      </x:c>
      <x:c r="J152" s="1015" t="e">
        <x:f>IF($F152&lt;&gt;"",IFERROR(_xlfn.XLOOKUP($F152,Taxa_från_edp!$B:$B,Taxa_från_edp!K:K),""),"")</x:f>
      </x:c>
      <x:c r="K152" s="1020"/>
      <x:c r="L152" s="1026"/>
      <x:c r="M152" s="1029" t="str">
        <x:f>IFERROR(IF(J152&lt;&gt;"",J152*1.25,IF(K152&lt;&gt;"",K152*1.25,"")),"")</x:f>
      </x:c>
      <x:c r="N152" s="1030" t="str">
        <x:f>IFERROR(IF(J152&lt;&gt;"",L152*J152,IF(K152&lt;&gt;"",L152*K152,"")),"")</x:f>
      </x:c>
    </x:row>
    <x:row r="153" s="54" customFormat="1" ht="45" customHeight="1">
      <x:c r="A153" s="965" t="str">
        <x:v>§2.4.8</x:v>
      </x:c>
      <x:c r="B153" s="965" t="str">
        <x:v>Evenemang och andra tillfälliga händelser</x:v>
      </x:c>
      <x:c r="C153" s="965" t="str">
        <x:v>Kärl 660 l restavfall</x:v>
      </x:c>
      <x:c r="D153" s="965"/>
      <x:c r="E153" s="965" t="str">
        <x:v>st/period</x:v>
      </x:c>
      <x:c r="F153" s="992"/>
      <x:c r="G153" s="999" t="str">
        <x:f>IF($F153&lt;&gt;"",$F153,IFERROR(_xlfn.XLOOKUP(ROW(),Taxa_Saknas!$H:$H,Taxa_Saknas!$G:$G),""))</x:f>
      </x:c>
      <x:c r="H153" s="1009" t="e">
        <x:f>IF($F153&lt;&gt;"",IFERROR(_xlfn.XLOOKUP($F153,Taxa_från_edp!$B:$B,Taxa_från_edp!C:C),""),"")</x:f>
      </x:c>
      <x:c r="I153" s="1010" t="e">
        <x:f>IF($F153&lt;&gt;"",IFERROR(_xlfn.XLOOKUP($F153,Taxa_från_edp!$B:$B,Taxa_från_edp!G:G),""),"")</x:f>
      </x:c>
      <x:c r="J153" s="1011" t="e">
        <x:f>IF($F153&lt;&gt;"",IFERROR(_xlfn.XLOOKUP($F153,Taxa_från_edp!$B:$B,Taxa_från_edp!K:K),""),"")</x:f>
      </x:c>
      <x:c r="K153" s="1018"/>
      <x:c r="L153" s="1024"/>
      <x:c r="M153" s="1029" t="str">
        <x:f>IFERROR(IF(J153&lt;&gt;"",J153*1.25,IF(K153&lt;&gt;"",K153*1.25,"")),"")</x:f>
      </x:c>
      <x:c r="N153" s="1030" t="str">
        <x:f>IFERROR(IF(J153&lt;&gt;"",L153*J153,IF(K153&lt;&gt;"",L153*K153,"")),"")</x:f>
      </x:c>
    </x:row>
    <x:row r="154" s="54" customFormat="1" ht="22" customHeight="1">
      <x:c r="A154" s="975" t="str">
        <x:v>§2.4.8</x:v>
      </x:c>
      <x:c r="B154" s="980"/>
      <x:c r="C154" s="980"/>
      <x:c r="D154" s="980"/>
      <x:c r="E154" s="981"/>
      <x:c r="F154" s="975"/>
      <x:c r="G154" s="980" t="str">
        <x:f>IF($F154&lt;&gt;"",$F154,IFERROR(_xlfn.XLOOKUP(ROW(),Taxa_Saknas!$H:$H,Taxa_Saknas!$G:$G),""))</x:f>
      </x:c>
      <x:c r="H154" s="980" t="e">
        <x:f>IF($F154&lt;&gt;"",IFERROR(_xlfn.XLOOKUP($F154,Taxa_från_edp!$B:$B,Taxa_från_edp!C:C),""),"")</x:f>
      </x:c>
      <x:c r="I154" s="983" t="e">
        <x:f>IF($F154&lt;&gt;"",IFERROR(_xlfn.XLOOKUP($F154,Taxa_från_edp!$B:$B,Taxa_från_edp!G:G),""),"")</x:f>
      </x:c>
      <x:c r="J154" s="983" t="e">
        <x:f>IF($F154&lt;&gt;"",IFERROR(_xlfn.XLOOKUP($F154,Taxa_från_edp!$B:$B,Taxa_från_edp!K:K),""),"")</x:f>
      </x:c>
      <x:c r="K154" s="983"/>
      <x:c r="L154" s="983"/>
      <x:c r="M154" s="976" t="str">
        <x:f>IFERROR(IF(J154&lt;&gt;"",J154*1.25,IF(K154&lt;&gt;"",K154*1.25,"")),"")</x:f>
      </x:c>
      <x:c r="N154" s="977" t="str">
        <x:f>IFERROR(IF(J154&lt;&gt;"",L154*J154,IF(K154&lt;&gt;"",L154*K154,"")),"")</x:f>
      </x:c>
    </x:row>
    <x:row r="155" s="54" customFormat="1" ht="22" customHeight="1">
      <x:c r="A155" s="975" t="str">
        <x:v>§2.4.8</x:v>
      </x:c>
      <x:c r="B155" s="980"/>
      <x:c r="C155" s="980"/>
      <x:c r="D155" s="980"/>
      <x:c r="E155" s="981"/>
      <x:c r="F155" s="975"/>
      <x:c r="G155" s="980" t="str">
        <x:f>IF($F155&lt;&gt;"",$F155,IFERROR(_xlfn.XLOOKUP(ROW(),Taxa_Saknas!$H:$H,Taxa_Saknas!$G:$G),""))</x:f>
      </x:c>
      <x:c r="H155" s="980" t="e">
        <x:f>IF($F155&lt;&gt;"",IFERROR(_xlfn.XLOOKUP($F155,Taxa_från_edp!$B:$B,Taxa_från_edp!C:C),""),"")</x:f>
      </x:c>
      <x:c r="I155" s="983" t="e">
        <x:f>IF($F155&lt;&gt;"",IFERROR(_xlfn.XLOOKUP($F155,Taxa_från_edp!$B:$B,Taxa_från_edp!G:G),""),"")</x:f>
      </x:c>
      <x:c r="J155" s="983" t="e">
        <x:f>IF($F155&lt;&gt;"",IFERROR(_xlfn.XLOOKUP($F155,Taxa_från_edp!$B:$B,Taxa_från_edp!K:K),""),"")</x:f>
      </x:c>
      <x:c r="K155" s="983"/>
      <x:c r="L155" s="983"/>
      <x:c r="M155" s="976" t="str">
        <x:f>IFERROR(IF(J155&lt;&gt;"",J155*1.25,IF(K155&lt;&gt;"",K155*1.25,"")),"")</x:f>
      </x:c>
      <x:c r="N155" s="977" t="str">
        <x:f>IFERROR(IF(J155&lt;&gt;"",L155*J155,IF(K155&lt;&gt;"",L155*K155,"")),"")</x:f>
      </x:c>
    </x:row>
    <x:row r="156" ht="22" customHeight="1">
      <x:c r="A156" s="975" t="str">
        <x:v>§2.4.9 Budning av mat- och restavfall</x:v>
      </x:c>
      <x:c r="B156" s="976"/>
      <x:c r="C156" s="976"/>
      <x:c r="D156" s="976"/>
      <x:c r="E156" s="977"/>
      <x:c r="F156" s="979"/>
      <x:c r="G156" s="976" t="str">
        <x:f>IF($F156&lt;&gt;"",$F156,IFERROR(_xlfn.XLOOKUP(ROW(),Taxa_Saknas!$H:$H,Taxa_Saknas!$G:$G),""))</x:f>
      </x:c>
      <x:c r="H156" s="976" t="e">
        <x:f>IF($F156&lt;&gt;"",IFERROR(_xlfn.XLOOKUP($F156,Taxa_från_edp!$B:$B,Taxa_från_edp!C:C),""),"")</x:f>
      </x:c>
      <x:c r="I156" s="976" t="e">
        <x:f>IF($F156&lt;&gt;"",IFERROR(_xlfn.XLOOKUP($F156,Taxa_från_edp!$B:$B,Taxa_från_edp!G:G),""),"")</x:f>
      </x:c>
      <x:c r="J156" s="976" t="e">
        <x:f>IF($F156&lt;&gt;"",IFERROR(_xlfn.XLOOKUP($F156,Taxa_från_edp!$B:$B,Taxa_från_edp!K:K),""),"")</x:f>
      </x:c>
      <x:c r="K156" s="976"/>
      <x:c r="L156" s="976"/>
      <x:c r="M156" s="976" t="str">
        <x:f>IFERROR(IF(J156&lt;&gt;"",J156*1.25,IF(K156&lt;&gt;"",K156*1.25,"")),"")</x:f>
      </x:c>
      <x:c r="N156" s="977" t="str">
        <x:f>IFERROR(IF(J156&lt;&gt;"",L156*J156,IF(K156&lt;&gt;"",L156*K156,"")),"")</x:f>
      </x:c>
    </x:row>
    <x:row r="157">
      <x:c r="A157" s="965" t="str">
        <x:v>§2.4.9</x:v>
      </x:c>
      <x:c r="B157" s="965" t="str">
        <x:v>Budning av mat- och restavfall</x:v>
      </x:c>
      <x:c r="C157" s="965" t="str">
        <x:v>Sidlastande fordon</x:v>
      </x:c>
      <x:c r="D157" s="965"/>
      <x:c r="E157" s="965" t="str">
        <x:v>st/tillfälle</x:v>
      </x:c>
      <x:c r="F157" s="994"/>
      <x:c r="G157" s="1001" t="str">
        <x:f>IF($F157&lt;&gt;"",$F157,IFERROR(_xlfn.XLOOKUP(ROW(),Taxa_Saknas!$H:$H,Taxa_Saknas!$G:$G),""))</x:f>
      </x:c>
      <x:c r="H157" s="1014" t="e">
        <x:f>IF($F157&lt;&gt;"",IFERROR(_xlfn.XLOOKUP($F157,Taxa_från_edp!$B:$B,Taxa_från_edp!C:C),""),"")</x:f>
      </x:c>
      <x:c r="I157" s="1015" t="e">
        <x:f>IF($F157&lt;&gt;"",IFERROR(_xlfn.XLOOKUP($F157,Taxa_från_edp!$B:$B,Taxa_från_edp!G:G),""),"")</x:f>
      </x:c>
      <x:c r="J157" s="1015" t="e">
        <x:f>IF($F157&lt;&gt;"",IFERROR(_xlfn.XLOOKUP($F157,Taxa_från_edp!$B:$B,Taxa_från_edp!K:K),""),"")</x:f>
      </x:c>
      <x:c r="K157" s="1020"/>
      <x:c r="L157" s="1026"/>
      <x:c r="M157" s="1029" t="str">
        <x:f>IFERROR(IF(J157&lt;&gt;"",J157*1.25,IF(K157&lt;&gt;"",K157*1.25,"")),"")</x:f>
      </x:c>
      <x:c r="N157" s="1030" t="str">
        <x:f>IFERROR(IF(J157&lt;&gt;"",L157*J157,IF(K157&lt;&gt;"",L157*K157,"")),"")</x:f>
      </x:c>
    </x:row>
    <x:row r="158" s="54" customFormat="1" ht="60" customHeight="1">
      <x:c r="A158" s="965" t="str">
        <x:v>§2.4.9</x:v>
      </x:c>
      <x:c r="B158" s="965" t="str">
        <x:v>Budning av mat- och restavfall</x:v>
      </x:c>
      <x:c r="C158" s="965" t="str">
        <x:v>Bottentömmande fordon</x:v>
      </x:c>
      <x:c r="D158" s="965"/>
      <x:c r="E158" s="965" t="str">
        <x:v>st/tillfälle</x:v>
      </x:c>
      <x:c r="F158" s="992"/>
      <x:c r="G158" s="999" t="str">
        <x:f>IF($F158&lt;&gt;"",$F158,IFERROR(_xlfn.XLOOKUP(ROW(),Taxa_Saknas!$H:$H,Taxa_Saknas!$G:$G),""))</x:f>
      </x:c>
      <x:c r="H158" s="1009" t="e">
        <x:f>IF($F158&lt;&gt;"",IFERROR(_xlfn.XLOOKUP($F158,Taxa_från_edp!$B:$B,Taxa_från_edp!C:C),""),"")</x:f>
      </x:c>
      <x:c r="I158" s="1010" t="e">
        <x:f>IF($F158&lt;&gt;"",IFERROR(_xlfn.XLOOKUP($F158,Taxa_från_edp!$B:$B,Taxa_från_edp!G:G),""),"")</x:f>
      </x:c>
      <x:c r="J158" s="1011" t="e">
        <x:f>IF($F158&lt;&gt;"",IFERROR(_xlfn.XLOOKUP($F158,Taxa_från_edp!$B:$B,Taxa_från_edp!K:K),""),"")</x:f>
      </x:c>
      <x:c r="K158" s="1018"/>
      <x:c r="L158" s="1024"/>
      <x:c r="M158" s="1029" t="str">
        <x:f>IFERROR(IF(J158&lt;&gt;"",J158*1.25,IF(K158&lt;&gt;"",K158*1.25,"")),"")</x:f>
      </x:c>
      <x:c r="N158" s="1030" t="str">
        <x:f>IFERROR(IF(J158&lt;&gt;"",L158*J158,IF(K158&lt;&gt;"",L158*K158,"")),"")</x:f>
      </x:c>
    </x:row>
    <x:row r="159" ht="22" customHeight="1">
      <x:c r="A159" s="975" t="str">
        <x:v>§2.4.9</x:v>
      </x:c>
      <x:c r="B159" s="980"/>
      <x:c r="C159" s="980"/>
      <x:c r="D159" s="980"/>
      <x:c r="E159" s="981"/>
      <x:c r="F159" s="975"/>
      <x:c r="G159" s="980" t="str">
        <x:f>IF($F159&lt;&gt;"",$F159,IFERROR(_xlfn.XLOOKUP(ROW(),Taxa_Saknas!$H:$H,Taxa_Saknas!$G:$G),""))</x:f>
      </x:c>
      <x:c r="H159" s="980" t="e">
        <x:f>IF($F159&lt;&gt;"",IFERROR(_xlfn.XLOOKUP($F159,Taxa_från_edp!$B:$B,Taxa_från_edp!C:C),""),"")</x:f>
      </x:c>
      <x:c r="I159" s="983" t="e">
        <x:f>IF($F159&lt;&gt;"",IFERROR(_xlfn.XLOOKUP($F159,Taxa_från_edp!$B:$B,Taxa_från_edp!G:G),""),"")</x:f>
      </x:c>
      <x:c r="J159" s="983" t="e">
        <x:f>IF($F159&lt;&gt;"",IFERROR(_xlfn.XLOOKUP($F159,Taxa_från_edp!$B:$B,Taxa_från_edp!K:K),""),"")</x:f>
      </x:c>
      <x:c r="K159" s="983"/>
      <x:c r="L159" s="983"/>
      <x:c r="M159" s="976" t="str">
        <x:f>IFERROR(IF(J159&lt;&gt;"",J159*1.25,IF(K159&lt;&gt;"",K159*1.25,"")),"")</x:f>
      </x:c>
      <x:c r="N159" s="977" t="str">
        <x:f>IFERROR(IF(J159&lt;&gt;"",L159*J159,IF(K159&lt;&gt;"",L159*K159,"")),"")</x:f>
      </x:c>
    </x:row>
    <x:row r="160" ht="22" customHeight="1">
      <x:c r="A160" s="975" t="str">
        <x:v>§2.4.9</x:v>
      </x:c>
      <x:c r="B160" s="980"/>
      <x:c r="C160" s="980"/>
      <x:c r="D160" s="980"/>
      <x:c r="E160" s="981"/>
      <x:c r="F160" s="975"/>
      <x:c r="G160" s="980" t="str">
        <x:f>IF($F160&lt;&gt;"",$F160,IFERROR(_xlfn.XLOOKUP(ROW(),Taxa_Saknas!$H:$H,Taxa_Saknas!$G:$G),""))</x:f>
      </x:c>
      <x:c r="H160" s="980" t="e">
        <x:f>IF($F160&lt;&gt;"",IFERROR(_xlfn.XLOOKUP($F160,Taxa_från_edp!$B:$B,Taxa_från_edp!C:C),""),"")</x:f>
      </x:c>
      <x:c r="I160" s="983" t="e">
        <x:f>IF($F160&lt;&gt;"",IFERROR(_xlfn.XLOOKUP($F160,Taxa_från_edp!$B:$B,Taxa_från_edp!G:G),""),"")</x:f>
      </x:c>
      <x:c r="J160" s="983" t="e">
        <x:f>IF($F160&lt;&gt;"",IFERROR(_xlfn.XLOOKUP($F160,Taxa_från_edp!$B:$B,Taxa_från_edp!K:K),""),"")</x:f>
      </x:c>
      <x:c r="K160" s="983"/>
      <x:c r="L160" s="983"/>
      <x:c r="M160" s="976" t="str">
        <x:f>IFERROR(IF(J160&lt;&gt;"",J160*1.25,IF(K160&lt;&gt;"",K160*1.25,"")),"")</x:f>
      </x:c>
      <x:c r="N160" s="977" t="str">
        <x:f>IFERROR(IF(J160&lt;&gt;"",L160*J160,IF(K160&lt;&gt;"",L160*K160,"")),"")</x:f>
      </x:c>
    </x:row>
    <x:row r="161" ht="22" customHeight="1">
      <x:c r="A161" s="975" t="str">
        <x:v>§2.4.10 Betalsäck och akutsäck</x:v>
      </x:c>
      <x:c r="B161" s="980"/>
      <x:c r="C161" s="980"/>
      <x:c r="D161" s="980"/>
      <x:c r="E161" s="981"/>
      <x:c r="F161" s="975"/>
      <x:c r="G161" s="980" t="str">
        <x:f>IF($F161&lt;&gt;"",$F161,IFERROR(_xlfn.XLOOKUP(ROW(),Taxa_Saknas!$H:$H,Taxa_Saknas!$G:$G),""))</x:f>
      </x:c>
      <x:c r="H161" s="980" t="e">
        <x:f>IF($F161&lt;&gt;"",IFERROR(_xlfn.XLOOKUP($F161,Taxa_från_edp!$B:$B,Taxa_från_edp!C:C),""),"")</x:f>
      </x:c>
      <x:c r="I161" s="983" t="e">
        <x:f>IF($F161&lt;&gt;"",IFERROR(_xlfn.XLOOKUP($F161,Taxa_från_edp!$B:$B,Taxa_från_edp!G:G),""),"")</x:f>
      </x:c>
      <x:c r="J161" s="983" t="e">
        <x:f>IF($F161&lt;&gt;"",IFERROR(_xlfn.XLOOKUP($F161,Taxa_från_edp!$B:$B,Taxa_från_edp!K:K),""),"")</x:f>
      </x:c>
      <x:c r="K161" s="983"/>
      <x:c r="L161" s="983"/>
      <x:c r="M161" s="976" t="str">
        <x:f>IFERROR(IF(J161&lt;&gt;"",J161*1.25,IF(K161&lt;&gt;"",K161*1.25,"")),"")</x:f>
      </x:c>
      <x:c r="N161" s="977" t="str">
        <x:f>IFERROR(IF(J161&lt;&gt;"",L161*J161,IF(K161&lt;&gt;"",L161*K161,"")),"")</x:f>
      </x:c>
    </x:row>
    <x:row r="162" s="54" customFormat="1" ht="30" customHeight="1">
      <x:c r="A162" s="965" t="str">
        <x:v>§2.4.10</x:v>
      </x:c>
      <x:c r="B162" s="965" t="str">
        <x:v>Betalsäck och akutsäck</x:v>
      </x:c>
      <x:c r="C162" s="965" t="str">
        <x:v>Betalsäck</x:v>
      </x:c>
      <x:c r="D162" s="965"/>
      <x:c r="E162" s="965" t="str">
        <x:v>st/säck</x:v>
      </x:c>
      <x:c r="F162" s="992"/>
      <x:c r="G162" s="999" t="str">
        <x:f>IF($F162&lt;&gt;"",$F162,IFERROR(_xlfn.XLOOKUP(ROW(),Taxa_Saknas!$H:$H,Taxa_Saknas!$G:$G),""))</x:f>
      </x:c>
      <x:c r="H162" s="1009" t="e">
        <x:f>IF($F162&lt;&gt;"",IFERROR(_xlfn.XLOOKUP($F162,Taxa_från_edp!$B:$B,Taxa_från_edp!C:C),""),"")</x:f>
      </x:c>
      <x:c r="I162" s="1010" t="e">
        <x:f>IF($F162&lt;&gt;"",IFERROR(_xlfn.XLOOKUP($F162,Taxa_från_edp!$B:$B,Taxa_från_edp!G:G),""),"")</x:f>
      </x:c>
      <x:c r="J162" s="1011" t="e">
        <x:f>IF($F162&lt;&gt;"",IFERROR(_xlfn.XLOOKUP($F162,Taxa_från_edp!$B:$B,Taxa_från_edp!K:K),""),"")</x:f>
      </x:c>
      <x:c r="K162" s="1018"/>
      <x:c r="L162" s="1024"/>
      <x:c r="M162" s="1029" t="str">
        <x:f>IFERROR(IF(J162&lt;&gt;"",J162*1.25,IF(K162&lt;&gt;"",K162*1.25,"")),"")</x:f>
      </x:c>
      <x:c r="N162" s="1030" t="str">
        <x:f>IFERROR(IF(J162&lt;&gt;"",L162*J162,IF(K162&lt;&gt;"",L162*K162,"")),"")</x:f>
      </x:c>
    </x:row>
    <x:row r="163">
      <x:c r="A163" s="965" t="str">
        <x:v>§2.4.10</x:v>
      </x:c>
      <x:c r="B163" s="969" t="str">
        <x:v>Betalsäck och akutsäck</x:v>
      </x:c>
      <x:c r="C163" s="969" t="str">
        <x:v>Akutsäck</x:v>
      </x:c>
      <x:c r="D163" s="969"/>
      <x:c r="E163" s="969" t="str">
        <x:v>st/säck</x:v>
      </x:c>
      <x:c r="F163" s="991"/>
      <x:c r="G163" s="998" t="str">
        <x:f>IF($F163&lt;&gt;"",$F163,IFERROR(_xlfn.XLOOKUP(ROW(),Taxa_Saknas!$H:$H,Taxa_Saknas!$G:$G),""))</x:f>
      </x:c>
      <x:c r="H163" s="1008" t="e">
        <x:f>IF($F163&lt;&gt;"",IFERROR(_xlfn.XLOOKUP($F163,Taxa_från_edp!$B:$B,Taxa_från_edp!C:C),""),"")</x:f>
      </x:c>
      <x:c r="I163" s="1008" t="e">
        <x:f>IF($F163&lt;&gt;"",IFERROR(_xlfn.XLOOKUP($F163,Taxa_från_edp!$B:$B,Taxa_från_edp!G:G),""),"")</x:f>
      </x:c>
      <x:c r="J163" s="1008" t="e">
        <x:f>IF($F163&lt;&gt;"",IFERROR(_xlfn.XLOOKUP($F163,Taxa_från_edp!$B:$B,Taxa_från_edp!K:K),""),"")</x:f>
      </x:c>
      <x:c r="K163" s="998"/>
      <x:c r="L163" s="991"/>
      <x:c r="M163" s="1029" t="str">
        <x:f>IFERROR(IF(J163&lt;&gt;"",J163*1.25,IF(K163&lt;&gt;"",K163*1.25,"")),"")</x:f>
      </x:c>
      <x:c r="N163" s="1030" t="str">
        <x:f>IFERROR(IF(J163&lt;&gt;"",L163*J163,IF(K163&lt;&gt;"",L163*K163,"")),"")</x:f>
      </x:c>
    </x:row>
    <x:row r="164" ht="22" customHeight="1">
      <x:c r="A164" s="975" t="str">
        <x:v>§2.4.10</x:v>
      </x:c>
      <x:c r="B164" s="980"/>
      <x:c r="C164" s="980"/>
      <x:c r="D164" s="980"/>
      <x:c r="E164" s="981"/>
      <x:c r="F164" s="975"/>
      <x:c r="G164" s="980" t="str">
        <x:f>IF($F164&lt;&gt;"",$F164,IFERROR(_xlfn.XLOOKUP(ROW(),Taxa_Saknas!$H:$H,Taxa_Saknas!$G:$G),""))</x:f>
      </x:c>
      <x:c r="H164" s="980" t="e">
        <x:f>IF($F164&lt;&gt;"",IFERROR(_xlfn.XLOOKUP($F164,Taxa_från_edp!$B:$B,Taxa_från_edp!C:C),""),"")</x:f>
      </x:c>
      <x:c r="I164" s="983" t="e">
        <x:f>IF($F164&lt;&gt;"",IFERROR(_xlfn.XLOOKUP($F164,Taxa_från_edp!$B:$B,Taxa_från_edp!G:G),""),"")</x:f>
      </x:c>
      <x:c r="J164" s="983" t="e">
        <x:f>IF($F164&lt;&gt;"",IFERROR(_xlfn.XLOOKUP($F164,Taxa_från_edp!$B:$B,Taxa_från_edp!K:K),""),"")</x:f>
      </x:c>
      <x:c r="K164" s="983"/>
      <x:c r="L164" s="983"/>
      <x:c r="M164" s="976" t="str">
        <x:f>IFERROR(IF(J164&lt;&gt;"",J164*1.25,IF(K164&lt;&gt;"",K164*1.25,"")),"")</x:f>
      </x:c>
      <x:c r="N164" s="977" t="str">
        <x:f>IFERROR(IF(J164&lt;&gt;"",L164*J164,IF(K164&lt;&gt;"",L164*K164,"")),"")</x:f>
      </x:c>
    </x:row>
    <x:row r="165" ht="22" customHeight="1">
      <x:c r="A165" s="975" t="str">
        <x:v>§2.4.11 Tillbehör</x:v>
      </x:c>
      <x:c r="B165" s="980"/>
      <x:c r="C165" s="980"/>
      <x:c r="D165" s="980"/>
      <x:c r="E165" s="981"/>
      <x:c r="F165" s="975"/>
      <x:c r="G165" s="980" t="str">
        <x:f>IF($F165&lt;&gt;"",$F165,IFERROR(_xlfn.XLOOKUP(ROW(),Taxa_Saknas!$H:$H,Taxa_Saknas!$G:$G),""))</x:f>
      </x:c>
      <x:c r="H165" s="980" t="e">
        <x:f>IF($F165&lt;&gt;"",IFERROR(_xlfn.XLOOKUP($F165,Taxa_från_edp!$B:$B,Taxa_från_edp!C:C),""),"")</x:f>
      </x:c>
      <x:c r="I165" s="983" t="e">
        <x:f>IF($F165&lt;&gt;"",IFERROR(_xlfn.XLOOKUP($F165,Taxa_från_edp!$B:$B,Taxa_från_edp!G:G),""),"")</x:f>
      </x:c>
      <x:c r="J165" s="983" t="e">
        <x:f>IF($F165&lt;&gt;"",IFERROR(_xlfn.XLOOKUP($F165,Taxa_från_edp!$B:$B,Taxa_från_edp!K:K),""),"")</x:f>
      </x:c>
      <x:c r="K165" s="983"/>
      <x:c r="L165" s="983"/>
      <x:c r="M165" s="976" t="str">
        <x:f>IFERROR(IF(J165&lt;&gt;"",J165*1.25,IF(K165&lt;&gt;"",K165*1.25,"")),"")</x:f>
      </x:c>
      <x:c r="N165" s="977" t="str">
        <x:f>IFERROR(IF(J165&lt;&gt;"",L165*J165,IF(K165&lt;&gt;"",L165*K165,"")),"")</x:f>
      </x:c>
    </x:row>
    <x:row r="166" ht="22" customHeight="1">
      <x:c r="A166" s="975" t="str">
        <x:v>§2.4.11</x:v>
      </x:c>
      <x:c r="B166" s="980"/>
      <x:c r="C166" s="980"/>
      <x:c r="D166" s="980"/>
      <x:c r="E166" s="981"/>
      <x:c r="F166" s="975"/>
      <x:c r="G166" s="980" t="str">
        <x:f>IF($F166&lt;&gt;"",$F166,IFERROR(_xlfn.XLOOKUP(ROW(),Taxa_Saknas!$H:$H,Taxa_Saknas!$G:$G),""))</x:f>
      </x:c>
      <x:c r="H166" s="980" t="e">
        <x:f>IF($F166&lt;&gt;"",IFERROR(_xlfn.XLOOKUP($F166,Taxa_från_edp!$B:$B,Taxa_från_edp!C:C),""),"")</x:f>
      </x:c>
      <x:c r="I166" s="983" t="e">
        <x:f>IF($F166&lt;&gt;"",IFERROR(_xlfn.XLOOKUP($F166,Taxa_från_edp!$B:$B,Taxa_från_edp!G:G),""),"")</x:f>
      </x:c>
      <x:c r="J166" s="983" t="e">
        <x:f>IF($F166&lt;&gt;"",IFERROR(_xlfn.XLOOKUP($F166,Taxa_från_edp!$B:$B,Taxa_från_edp!K:K),""),"")</x:f>
      </x:c>
      <x:c r="K166" s="983"/>
      <x:c r="L166" s="983"/>
      <x:c r="M166" s="976" t="str">
        <x:f>IFERROR(IF(J166&lt;&gt;"",J166*1.25,IF(K166&lt;&gt;"",K166*1.25,"")),"")</x:f>
      </x:c>
      <x:c r="N166" s="977" t="str">
        <x:f>IFERROR(IF(J166&lt;&gt;"",L166*J166,IF(K166&lt;&gt;"",L166*K166,"")),"")</x:f>
      </x:c>
    </x:row>
    <x:row r="167">
      <x:c r="A167" s="965" t="str">
        <x:v>§2.4.11</x:v>
      </x:c>
      <x:c r="B167" s="965" t="str">
        <x:v>Tillbehör</x:v>
      </x:c>
      <x:c r="C167" s="965" t="str">
        <x:v>Matavfallspåsar 22 L</x:v>
      </x:c>
      <x:c r="D167" s="965"/>
      <x:c r="E167" s="965" t="str">
        <x:v>bunt</x:v>
      </x:c>
      <x:c r="F167" s="992"/>
      <x:c r="G167" s="999" t="str">
        <x:f>IF($F167&lt;&gt;"",$F167,IFERROR(_xlfn.XLOOKUP(ROW(),Taxa_Saknas!$H:$H,Taxa_Saknas!$G:$G),""))</x:f>
      </x:c>
      <x:c r="H167" s="1009" t="e">
        <x:f>IF($F167&lt;&gt;"",IFERROR(_xlfn.XLOOKUP($F167,Taxa_från_edp!$B:$B,Taxa_från_edp!C:C),""),"")</x:f>
      </x:c>
      <x:c r="I167" s="1010" t="e">
        <x:f>IF($F167&lt;&gt;"",IFERROR(_xlfn.XLOOKUP($F167,Taxa_från_edp!$B:$B,Taxa_från_edp!G:G),""),"")</x:f>
      </x:c>
      <x:c r="J167" s="1011" t="e">
        <x:f>IF($F167&lt;&gt;"",IFERROR(_xlfn.XLOOKUP($F167,Taxa_från_edp!$B:$B,Taxa_från_edp!K:K),""),"")</x:f>
      </x:c>
      <x:c r="K167" s="1018"/>
      <x:c r="L167" s="1024"/>
      <x:c r="M167" s="1029" t="str">
        <x:f>IFERROR(IF(J167&lt;&gt;"",J167*1.25,IF(K167&lt;&gt;"",K167*1.25,"")),"")</x:f>
      </x:c>
      <x:c r="N167" s="1030" t="str">
        <x:f>IFERROR(IF(J167&lt;&gt;"",L167*J167,IF(K167&lt;&gt;"",L167*K167,"")),"")</x:f>
      </x:c>
    </x:row>
    <x:row r="168" s="54" customFormat="1" ht="105" customHeight="1">
      <x:c r="A168" s="965" t="str">
        <x:v>§2.4.11</x:v>
      </x:c>
      <x:c r="B168" s="965" t="str">
        <x:v>Tillbehör</x:v>
      </x:c>
      <x:c r="C168" s="965" t="str">
        <x:v>Gravitationslås till kärl</x:v>
      </x:c>
      <x:c r="D168" s="965"/>
      <x:c r="E168" s="965" t="str">
        <x:v>st</x:v>
      </x:c>
      <x:c r="F168" s="992"/>
      <x:c r="G168" s="999" t="str">
        <x:f>IF($F168&lt;&gt;"",$F168,IFERROR(_xlfn.XLOOKUP(ROW(),Taxa_Saknas!$H:$H,Taxa_Saknas!$G:$G),""))</x:f>
      </x:c>
      <x:c r="H168" s="1009" t="e">
        <x:f>IF($F168&lt;&gt;"",IFERROR(_xlfn.XLOOKUP($F168,Taxa_från_edp!$B:$B,Taxa_från_edp!C:C),""),"")</x:f>
      </x:c>
      <x:c r="I168" s="1010" t="e">
        <x:f>IF($F168&lt;&gt;"",IFERROR(_xlfn.XLOOKUP($F168,Taxa_från_edp!$B:$B,Taxa_från_edp!G:G),""),"")</x:f>
      </x:c>
      <x:c r="J168" s="1011" t="e">
        <x:f>IF($F168&lt;&gt;"",IFERROR(_xlfn.XLOOKUP($F168,Taxa_från_edp!$B:$B,Taxa_från_edp!K:K),""),"")</x:f>
      </x:c>
      <x:c r="K168" s="1018"/>
      <x:c r="L168" s="1024"/>
      <x:c r="M168" s="1029" t="str">
        <x:f>IFERROR(IF(J168&lt;&gt;"",J168*1.25,IF(K168&lt;&gt;"",K168*1.25,"")),"")</x:f>
      </x:c>
      <x:c r="N168" s="1030" t="str">
        <x:f>IFERROR(IF(J168&lt;&gt;"",L168*J168,IF(K168&lt;&gt;"",L168*K168,"")),"")</x:f>
      </x:c>
    </x:row>
    <x:row r="169" s="54" customFormat="1" ht="30" customHeight="1">
      <x:c r="A169" s="965" t="str">
        <x:v>§2.4.11</x:v>
      </x:c>
      <x:c r="B169" s="965" t="str">
        <x:v>Tillbehör</x:v>
      </x:c>
      <x:c r="C169" s="965" t="str">
        <x:v>Extra nyckel till gravitationslås</x:v>
      </x:c>
      <x:c r="D169" s="965"/>
      <x:c r="E169" s="965" t="str">
        <x:v>st</x:v>
      </x:c>
      <x:c r="F169" s="989"/>
      <x:c r="G169" s="996" t="str">
        <x:f>IF($F169&lt;&gt;"",$F169,IFERROR(_xlfn.XLOOKUP(ROW(),Taxa_Saknas!$H:$H,Taxa_Saknas!$G:$G),""))</x:f>
      </x:c>
      <x:c r="H169" s="1003" t="e">
        <x:f>IF($F169&lt;&gt;"",IFERROR(_xlfn.XLOOKUP($F169,Taxa_från_edp!$B:$B,Taxa_från_edp!C:C),""),"")</x:f>
      </x:c>
      <x:c r="I169" s="1004" t="e">
        <x:f>IF($F169&lt;&gt;"",IFERROR(_xlfn.XLOOKUP($F169,Taxa_från_edp!$B:$B,Taxa_från_edp!G:G),""),"")</x:f>
      </x:c>
      <x:c r="J169" s="1005" t="e">
        <x:f>IF($F169&lt;&gt;"",IFERROR(_xlfn.XLOOKUP($F169,Taxa_från_edp!$B:$B,Taxa_från_edp!K:K),""),"")</x:f>
      </x:c>
      <x:c r="K169" s="1016"/>
      <x:c r="L169" s="1022"/>
      <x:c r="M169" s="1029" t="str">
        <x:f>IFERROR(IF(J169&lt;&gt;"",J169*1.25,IF(K169&lt;&gt;"",K169*1.25,"")),"")</x:f>
      </x:c>
      <x:c r="N169" s="1030" t="str">
        <x:f>IFERROR(IF(J169&lt;&gt;"",L169*J169,IF(K169&lt;&gt;"",L169*K169,"")),"")</x:f>
      </x:c>
    </x:row>
    <x:row r="170" s="54" customFormat="1" ht="22" customHeight="1">
      <x:c r="A170" s="975" t="str">
        <x:v>§2.4.11</x:v>
      </x:c>
      <x:c r="B170" s="980"/>
      <x:c r="C170" s="980"/>
      <x:c r="D170" s="980"/>
      <x:c r="E170" s="981"/>
      <x:c r="F170" s="975"/>
      <x:c r="G170" s="980" t="str">
        <x:f>IF($F170&lt;&gt;"",$F170,IFERROR(_xlfn.XLOOKUP(ROW(),Taxa_Saknas!$H:$H,Taxa_Saknas!$G:$G),""))</x:f>
      </x:c>
      <x:c r="H170" s="980" t="e">
        <x:f>IF($F170&lt;&gt;"",IFERROR(_xlfn.XLOOKUP($F170,Taxa_från_edp!$B:$B,Taxa_från_edp!C:C),""),"")</x:f>
      </x:c>
      <x:c r="I170" s="983" t="e">
        <x:f>IF($F170&lt;&gt;"",IFERROR(_xlfn.XLOOKUP($F170,Taxa_från_edp!$B:$B,Taxa_från_edp!G:G),""),"")</x:f>
      </x:c>
      <x:c r="J170" s="983" t="e">
        <x:f>IF($F170&lt;&gt;"",IFERROR(_xlfn.XLOOKUP($F170,Taxa_från_edp!$B:$B,Taxa_från_edp!K:K),""),"")</x:f>
      </x:c>
      <x:c r="K170" s="983"/>
      <x:c r="L170" s="983"/>
      <x:c r="M170" s="976" t="str">
        <x:f>IFERROR(IF(J170&lt;&gt;"",J170*1.25,IF(K170&lt;&gt;"",K170*1.25,"")),"")</x:f>
      </x:c>
      <x:c r="N170" s="977" t="str">
        <x:f>IFERROR(IF(J170&lt;&gt;"",L170*J170,IF(K170&lt;&gt;"",L170*K170,"")),"")</x:f>
      </x:c>
    </x:row>
    <x:row r="171" s="54" customFormat="1" ht="22" customHeight="1">
      <x:c r="A171" s="975" t="str">
        <x:v>§2.5.1 Budning för fastighetsnära hämtning av kommunalt avfall</x:v>
      </x:c>
      <x:c r="B171" s="980"/>
      <x:c r="C171" s="980"/>
      <x:c r="D171" s="980"/>
      <x:c r="E171" s="981"/>
      <x:c r="F171" s="975"/>
      <x:c r="G171" s="980" t="str">
        <x:f>IF($F171&lt;&gt;"",$F171,IFERROR(_xlfn.XLOOKUP(ROW(),Taxa_Saknas!$H:$H,Taxa_Saknas!$G:$G),""))</x:f>
      </x:c>
      <x:c r="H171" s="980" t="e">
        <x:f>IF($F171&lt;&gt;"",IFERROR(_xlfn.XLOOKUP($F171,Taxa_från_edp!$B:$B,Taxa_från_edp!C:C),""),"")</x:f>
      </x:c>
      <x:c r="I171" s="983" t="e">
        <x:f>IF($F171&lt;&gt;"",IFERROR(_xlfn.XLOOKUP($F171,Taxa_från_edp!$B:$B,Taxa_från_edp!G:G),""),"")</x:f>
      </x:c>
      <x:c r="J171" s="983" t="e">
        <x:f>IF($F171&lt;&gt;"",IFERROR(_xlfn.XLOOKUP($F171,Taxa_från_edp!$B:$B,Taxa_från_edp!K:K),""),"")</x:f>
      </x:c>
      <x:c r="K171" s="983"/>
      <x:c r="L171" s="983"/>
      <x:c r="M171" s="976" t="str">
        <x:f>IFERROR(IF(J171&lt;&gt;"",J171*1.25,IF(K171&lt;&gt;"",K171*1.25,"")),"")</x:f>
      </x:c>
      <x:c r="N171" s="977" t="str">
        <x:f>IFERROR(IF(J171&lt;&gt;"",L171*J171,IF(K171&lt;&gt;"",L171*K171,"")),"")</x:f>
      </x:c>
    </x:row>
    <x:row r="172" s="54" customFormat="1" ht="30" customHeight="1">
      <x:c r="A172" s="965" t="str">
        <x:v>§2.5.1</x:v>
      </x:c>
      <x:c r="B172" s="965" t="str">
        <x:v>Budning för fastighetsnära hämtning av kommunalt avfall</x:v>
      </x:c>
      <x:c r="C172" s="965" t="str">
        <x:v>Kommunalt avfall</x:v>
      </x:c>
      <x:c r="D172" s="965"/>
      <x:c r="E172" s="965" t="str">
        <x:v>st/tillfälle</x:v>
      </x:c>
      <x:c r="F172" s="989"/>
      <x:c r="G172" s="996" t="str">
        <x:f>IF($F172&lt;&gt;"",$F172,IFERROR(_xlfn.XLOOKUP(ROW(),Taxa_Saknas!$H:$H,Taxa_Saknas!$G:$G),""))</x:f>
      </x:c>
      <x:c r="H172" s="1003" t="e">
        <x:f>IF($F172&lt;&gt;"",IFERROR(_xlfn.XLOOKUP($F172,Taxa_från_edp!$B:$B,Taxa_från_edp!C:C),""),"")</x:f>
      </x:c>
      <x:c r="I172" s="1004" t="e">
        <x:f>IF($F172&lt;&gt;"",IFERROR(_xlfn.XLOOKUP($F172,Taxa_från_edp!$B:$B,Taxa_från_edp!G:G),""),"")</x:f>
      </x:c>
      <x:c r="J172" s="1005" t="e">
        <x:f>IF($F172&lt;&gt;"",IFERROR(_xlfn.XLOOKUP($F172,Taxa_från_edp!$B:$B,Taxa_från_edp!K:K),""),"")</x:f>
      </x:c>
      <x:c r="K172" s="1016"/>
      <x:c r="L172" s="1022"/>
      <x:c r="M172" s="1029" t="str">
        <x:f>IFERROR(IF(J172&lt;&gt;"",J172*1.25,IF(K172&lt;&gt;"",K172*1.25,"")),"")</x:f>
      </x:c>
      <x:c r="N172" s="1030" t="str">
        <x:f>IFERROR(IF(J172&lt;&gt;"",L172*J172,IF(K172&lt;&gt;"",L172*K172,"")),"")</x:f>
      </x:c>
    </x:row>
    <x:row r="173">
      <x:c r="A173" s="965" t="str">
        <x:v>§2.5.1</x:v>
      </x:c>
      <x:c r="B173" s="965" t="str">
        <x:v>Budning för fastighetsnära hämtning av kommunalt avfall</x:v>
      </x:c>
      <x:c r="C173" s="965" t="str">
        <x:v>Farligt avfall (ej uppmärkt)</x:v>
      </x:c>
      <x:c r="D173" s="965"/>
      <x:c r="E173" s="965" t="str">
        <x:v>st/tillfälle</x:v>
      </x:c>
      <x:c r="F173" s="992"/>
      <x:c r="G173" s="999" t="str">
        <x:f>IF($F173&lt;&gt;"",$F173,IFERROR(_xlfn.XLOOKUP(ROW(),Taxa_Saknas!$H:$H,Taxa_Saknas!$G:$G),""))</x:f>
      </x:c>
      <x:c r="H173" s="1009" t="e">
        <x:f>IF($F173&lt;&gt;"",IFERROR(_xlfn.XLOOKUP($F173,Taxa_från_edp!$B:$B,Taxa_från_edp!C:C),""),"")</x:f>
      </x:c>
      <x:c r="I173" s="1010" t="e">
        <x:f>IF($F173&lt;&gt;"",IFERROR(_xlfn.XLOOKUP($F173,Taxa_från_edp!$B:$B,Taxa_från_edp!G:G),""),"")</x:f>
      </x:c>
      <x:c r="J173" s="1011" t="e">
        <x:f>IF($F173&lt;&gt;"",IFERROR(_xlfn.XLOOKUP($F173,Taxa_från_edp!$B:$B,Taxa_från_edp!K:K),""),"")</x:f>
      </x:c>
      <x:c r="K173" s="1018"/>
      <x:c r="L173" s="1024"/>
      <x:c r="M173" s="1029" t="str">
        <x:f>IFERROR(IF(J173&lt;&gt;"",J173*1.25,IF(K173&lt;&gt;"",K173*1.25,"")),"")</x:f>
      </x:c>
      <x:c r="N173" s="1030" t="str">
        <x:f>IFERROR(IF(J173&lt;&gt;"",L173*J173,IF(K173&lt;&gt;"",L173*K173,"")),"")</x:f>
      </x:c>
    </x:row>
    <x:row r="174" s="54" customFormat="1" ht="30" customHeight="1">
      <x:c r="A174" s="965" t="str">
        <x:v>§2.5.1</x:v>
      </x:c>
      <x:c r="B174" s="965" t="str">
        <x:v>Budning för fastighetsnära hämtning av kommunalt avfall</x:v>
      </x:c>
      <x:c r="C174" s="965" t="str">
        <x:v>Farligt avfall (uppmärkt)</x:v>
      </x:c>
      <x:c r="D174" s="965"/>
      <x:c r="E174" s="965" t="str">
        <x:v>st/tillfälle</x:v>
      </x:c>
      <x:c r="F174" s="992"/>
      <x:c r="G174" s="999" t="str">
        <x:f>IF($F174&lt;&gt;"",$F174,IFERROR(_xlfn.XLOOKUP(ROW(),Taxa_Saknas!$H:$H,Taxa_Saknas!$G:$G),""))</x:f>
      </x:c>
      <x:c r="H174" s="1009" t="e">
        <x:f>IF($F174&lt;&gt;"",IFERROR(_xlfn.XLOOKUP($F174,Taxa_från_edp!$B:$B,Taxa_från_edp!C:C),""),"")</x:f>
      </x:c>
      <x:c r="I174" s="1010" t="e">
        <x:f>IF($F174&lt;&gt;"",IFERROR(_xlfn.XLOOKUP($F174,Taxa_från_edp!$B:$B,Taxa_från_edp!G:G),""),"")</x:f>
      </x:c>
      <x:c r="J174" s="1011" t="e">
        <x:f>IF($F174&lt;&gt;"",IFERROR(_xlfn.XLOOKUP($F174,Taxa_från_edp!$B:$B,Taxa_från_edp!K:K),""),"")</x:f>
      </x:c>
      <x:c r="K174" s="1018"/>
      <x:c r="L174" s="1024"/>
      <x:c r="M174" s="1029" t="str">
        <x:f>IFERROR(IF(J174&lt;&gt;"",J174*1.25,IF(K174&lt;&gt;"",K174*1.25,"")),"")</x:f>
      </x:c>
      <x:c r="N174" s="1030" t="str">
        <x:f>IFERROR(IF(J174&lt;&gt;"",L174*J174,IF(K174&lt;&gt;"",L174*K174,"")),"")</x:f>
      </x:c>
    </x:row>
    <x:row r="175">
      <x:c r="A175" s="965" t="str">
        <x:v>§2.5.1</x:v>
      </x:c>
      <x:c r="B175" s="969" t="str">
        <x:v>Budning för fastighetsnära hämtning av kommunalt avfall</x:v>
      </x:c>
      <x:c r="C175" s="969" t="str">
        <x:v>Avisering av ankomst</x:v>
      </x:c>
      <x:c r="D175" s="969"/>
      <x:c r="E175" s="969" t="str">
        <x:v>st/tillfälle</x:v>
      </x:c>
      <x:c r="F175" s="991"/>
      <x:c r="G175" s="998" t="str">
        <x:f>IF($F175&lt;&gt;"",$F175,IFERROR(_xlfn.XLOOKUP(ROW(),Taxa_Saknas!$H:$H,Taxa_Saknas!$G:$G),""))</x:f>
      </x:c>
      <x:c r="H175" s="1008" t="e">
        <x:f>IF($F175&lt;&gt;"",IFERROR(_xlfn.XLOOKUP($F175,Taxa_från_edp!$B:$B,Taxa_från_edp!C:C),""),"")</x:f>
      </x:c>
      <x:c r="I175" s="1008" t="e">
        <x:f>IF($F175&lt;&gt;"",IFERROR(_xlfn.XLOOKUP($F175,Taxa_från_edp!$B:$B,Taxa_från_edp!G:G),""),"")</x:f>
      </x:c>
      <x:c r="J175" s="1008" t="e">
        <x:f>IF($F175&lt;&gt;"",IFERROR(_xlfn.XLOOKUP($F175,Taxa_från_edp!$B:$B,Taxa_från_edp!K:K),""),"")</x:f>
      </x:c>
      <x:c r="K175" s="998"/>
      <x:c r="L175" s="991"/>
      <x:c r="M175" s="1029" t="str">
        <x:f>IFERROR(IF(J175&lt;&gt;"",J175*1.25,IF(K175&lt;&gt;"",K175*1.25,"")),"")</x:f>
      </x:c>
      <x:c r="N175" s="1030" t="str">
        <x:f>IFERROR(IF(J175&lt;&gt;"",L175*J175,IF(K175&lt;&gt;"",L175*K175,"")),"")</x:f>
      </x:c>
    </x:row>
    <x:row r="176" s="54" customFormat="1" ht="22" customHeight="1">
      <x:c r="A176" s="975" t="str">
        <x:v>§2.5.1</x:v>
      </x:c>
      <x:c r="B176" s="980"/>
      <x:c r="C176" s="980"/>
      <x:c r="D176" s="980"/>
      <x:c r="E176" s="981"/>
      <x:c r="F176" s="975"/>
      <x:c r="G176" s="980" t="str">
        <x:f>IF($F176&lt;&gt;"",$F176,IFERROR(_xlfn.XLOOKUP(ROW(),Taxa_Saknas!$H:$H,Taxa_Saknas!$G:$G),""))</x:f>
      </x:c>
      <x:c r="H176" s="980" t="e">
        <x:f>IF($F176&lt;&gt;"",IFERROR(_xlfn.XLOOKUP($F176,Taxa_från_edp!$B:$B,Taxa_från_edp!C:C),""),"")</x:f>
      </x:c>
      <x:c r="I176" s="983" t="e">
        <x:f>IF($F176&lt;&gt;"",IFERROR(_xlfn.XLOOKUP($F176,Taxa_från_edp!$B:$B,Taxa_från_edp!G:G),""),"")</x:f>
      </x:c>
      <x:c r="J176" s="983" t="e">
        <x:f>IF($F176&lt;&gt;"",IFERROR(_xlfn.XLOOKUP($F176,Taxa_från_edp!$B:$B,Taxa_från_edp!K:K),""),"")</x:f>
      </x:c>
      <x:c r="K176" s="983"/>
      <x:c r="L176" s="983"/>
      <x:c r="M176" s="976" t="str">
        <x:f>IFERROR(IF(J176&lt;&gt;"",J176*1.25,IF(K176&lt;&gt;"",K176*1.25,"")),"")</x:f>
      </x:c>
      <x:c r="N176" s="977" t="str">
        <x:f>IFERROR(IF(J176&lt;&gt;"",L176*J176,IF(K176&lt;&gt;"",L176*K176,"")),"")</x:f>
      </x:c>
    </x:row>
    <x:row r="177" s="54" customFormat="1" ht="22" customHeight="1">
      <x:c r="A177" s="975" t="str">
        <x:v>§3.1 Ordinarie tömning slam</x:v>
      </x:c>
      <x:c r="B177" s="980"/>
      <x:c r="C177" s="980"/>
      <x:c r="D177" s="980"/>
      <x:c r="E177" s="981"/>
      <x:c r="F177" s="975"/>
      <x:c r="G177" s="980" t="str">
        <x:f>IF($F177&lt;&gt;"",$F177,IFERROR(_xlfn.XLOOKUP(ROW(),Taxa_Saknas!$H:$H,Taxa_Saknas!$G:$G),""))</x:f>
      </x:c>
      <x:c r="H177" s="980" t="e">
        <x:f>IF($F177&lt;&gt;"",IFERROR(_xlfn.XLOOKUP($F177,Taxa_från_edp!$B:$B,Taxa_från_edp!C:C),""),"")</x:f>
      </x:c>
      <x:c r="I177" s="983" t="e">
        <x:f>IF($F177&lt;&gt;"",IFERROR(_xlfn.XLOOKUP($F177,Taxa_från_edp!$B:$B,Taxa_från_edp!G:G),""),"")</x:f>
      </x:c>
      <x:c r="J177" s="983" t="e">
        <x:f>IF($F177&lt;&gt;"",IFERROR(_xlfn.XLOOKUP($F177,Taxa_från_edp!$B:$B,Taxa_från_edp!K:K),""),"")</x:f>
      </x:c>
      <x:c r="K177" s="983"/>
      <x:c r="L177" s="983"/>
      <x:c r="M177" s="976" t="str">
        <x:f>IFERROR(IF(J177&lt;&gt;"",J177*1.25,IF(K177&lt;&gt;"",K177*1.25,"")),"")</x:f>
      </x:c>
      <x:c r="N177" s="977" t="str">
        <x:f>IFERROR(IF(J177&lt;&gt;"",L177*J177,IF(K177&lt;&gt;"",L177*K177,"")),"")</x:f>
      </x:c>
    </x:row>
    <x:row r="178" s="54" customFormat="1" ht="22" customHeight="1">
      <x:c r="A178" s="975" t="str">
        <x:v>§3.1</x:v>
      </x:c>
      <x:c r="B178" s="980"/>
      <x:c r="C178" s="980"/>
      <x:c r="D178" s="980"/>
      <x:c r="E178" s="981"/>
      <x:c r="F178" s="975"/>
      <x:c r="G178" s="980" t="str">
        <x:f>IF($F178&lt;&gt;"",$F178,IFERROR(_xlfn.XLOOKUP(ROW(),Taxa_Saknas!$H:$H,Taxa_Saknas!$G:$G),""))</x:f>
      </x:c>
      <x:c r="H178" s="980" t="e">
        <x:f>IF($F178&lt;&gt;"",IFERROR(_xlfn.XLOOKUP($F178,Taxa_från_edp!$B:$B,Taxa_från_edp!C:C),""),"")</x:f>
      </x:c>
      <x:c r="I178" s="983" t="e">
        <x:f>IF($F178&lt;&gt;"",IFERROR(_xlfn.XLOOKUP($F178,Taxa_från_edp!$B:$B,Taxa_från_edp!G:G),""),"")</x:f>
      </x:c>
      <x:c r="J178" s="983" t="e">
        <x:f>IF($F178&lt;&gt;"",IFERROR(_xlfn.XLOOKUP($F178,Taxa_från_edp!$B:$B,Taxa_från_edp!K:K),""),"")</x:f>
      </x:c>
      <x:c r="K178" s="983"/>
      <x:c r="L178" s="983"/>
      <x:c r="M178" s="976" t="str">
        <x:f>IFERROR(IF(J178&lt;&gt;"",J178*1.25,IF(K178&lt;&gt;"",K178*1.25,"")),"")</x:f>
      </x:c>
      <x:c r="N178" s="977" t="str">
        <x:f>IFERROR(IF(J178&lt;&gt;"",L178*J178,IF(K178&lt;&gt;"",L178*K178,"")),"")</x:f>
      </x:c>
    </x:row>
    <x:row r="179" s="54" customFormat="1" ht="30" customHeight="1">
      <x:c r="A179" s="965" t="str">
        <x:v>§3.1</x:v>
      </x:c>
      <x:c r="B179" s="965" t="str">
        <x:v>Ordinarie tömning slam</x:v>
      </x:c>
      <x:c r="C179" s="965" t="str">
        <x:v>Mellan 3 m3 och 6 m3</x:v>
      </x:c>
      <x:c r="D179" s="965"/>
      <x:c r="E179" s="965" t="str">
        <x:v>kr/tömning</x:v>
      </x:c>
      <x:c r="F179" s="989"/>
      <x:c r="G179" s="996" t="str">
        <x:f>IF($F179&lt;&gt;"",$F179,IFERROR(_xlfn.XLOOKUP(ROW(),Taxa_Saknas!$H:$H,Taxa_Saknas!$G:$G),""))</x:f>
      </x:c>
      <x:c r="H179" s="1003" t="e">
        <x:f>IF($F179&lt;&gt;"",IFERROR(_xlfn.XLOOKUP($F179,Taxa_från_edp!$B:$B,Taxa_från_edp!C:C),""),"")</x:f>
      </x:c>
      <x:c r="I179" s="1004" t="e">
        <x:f>IF($F179&lt;&gt;"",IFERROR(_xlfn.XLOOKUP($F179,Taxa_från_edp!$B:$B,Taxa_från_edp!G:G),""),"")</x:f>
      </x:c>
      <x:c r="J179" s="1005" t="e">
        <x:f>IF($F179&lt;&gt;"",IFERROR(_xlfn.XLOOKUP($F179,Taxa_från_edp!$B:$B,Taxa_från_edp!K:K),""),"")</x:f>
      </x:c>
      <x:c r="K179" s="1016"/>
      <x:c r="L179" s="1022"/>
      <x:c r="M179" s="1029" t="str">
        <x:f>IFERROR(IF(J179&lt;&gt;"",J179*1.25,IF(K179&lt;&gt;"",K179*1.25,"")),"")</x:f>
      </x:c>
      <x:c r="N179" s="1030" t="str">
        <x:f>IFERROR(IF(J179&lt;&gt;"",L179*J179,IF(K179&lt;&gt;"",L179*K179,"")),"")</x:f>
      </x:c>
    </x:row>
    <x:row r="180" s="54" customFormat="1" ht="30" customHeight="1">
      <x:c r="A180" s="965" t="str">
        <x:v>§3.1</x:v>
      </x:c>
      <x:c r="B180" s="965" t="str">
        <x:v>Ordinarie tömning slam</x:v>
      </x:c>
      <x:c r="C180" s="965" t="str">
        <x:v>Mellan 6 m3 och 9 m3</x:v>
      </x:c>
      <x:c r="D180" s="965"/>
      <x:c r="E180" s="965" t="str">
        <x:v>kr/tömning</x:v>
      </x:c>
      <x:c r="F180" s="989"/>
      <x:c r="G180" s="996" t="str">
        <x:f>IF($F180&lt;&gt;"",$F180,IFERROR(_xlfn.XLOOKUP(ROW(),Taxa_Saknas!$H:$H,Taxa_Saknas!$G:$G),""))</x:f>
      </x:c>
      <x:c r="H180" s="1003" t="e">
        <x:f>IF($F180&lt;&gt;"",IFERROR(_xlfn.XLOOKUP($F180,Taxa_från_edp!$B:$B,Taxa_från_edp!C:C),""),"")</x:f>
      </x:c>
      <x:c r="I180" s="1004" t="e">
        <x:f>IF($F180&lt;&gt;"",IFERROR(_xlfn.XLOOKUP($F180,Taxa_från_edp!$B:$B,Taxa_från_edp!G:G),""),"")</x:f>
      </x:c>
      <x:c r="J180" s="1005" t="e">
        <x:f>IF($F180&lt;&gt;"",IFERROR(_xlfn.XLOOKUP($F180,Taxa_från_edp!$B:$B,Taxa_från_edp!K:K),""),"")</x:f>
      </x:c>
      <x:c r="K180" s="1016"/>
      <x:c r="L180" s="1022"/>
      <x:c r="M180" s="1029" t="str">
        <x:f>IFERROR(IF(J180&lt;&gt;"",J180*1.25,IF(K180&lt;&gt;"",K180*1.25,"")),"")</x:f>
      </x:c>
      <x:c r="N180" s="1030" t="str">
        <x:f>IFERROR(IF(J180&lt;&gt;"",L180*J180,IF(K180&lt;&gt;"",L180*K180,"")),"")</x:f>
      </x:c>
    </x:row>
    <x:row r="181" s="54" customFormat="1" ht="30" customHeight="1">
      <x:c r="A181" s="965" t="str">
        <x:v>§3.1</x:v>
      </x:c>
      <x:c r="B181" s="965" t="str">
        <x:v>Ordinarie tömning slam</x:v>
      </x:c>
      <x:c r="C181" s="965" t="str">
        <x:v>Tillägg per m3 över 9 m3</x:v>
      </x:c>
      <x:c r="D181" s="965"/>
      <x:c r="E181" s="965" t="str">
        <x:v>kr/m3</x:v>
      </x:c>
      <x:c r="F181" s="992"/>
      <x:c r="G181" s="999" t="str">
        <x:f>IF($F181&lt;&gt;"",$F181,IFERROR(_xlfn.XLOOKUP(ROW(),Taxa_Saknas!$H:$H,Taxa_Saknas!$G:$G),""))</x:f>
      </x:c>
      <x:c r="H181" s="1009" t="e">
        <x:f>IF($F181&lt;&gt;"",IFERROR(_xlfn.XLOOKUP($F181,Taxa_från_edp!$B:$B,Taxa_från_edp!C:C),""),"")</x:f>
      </x:c>
      <x:c r="I181" s="1010" t="e">
        <x:f>IF($F181&lt;&gt;"",IFERROR(_xlfn.XLOOKUP($F181,Taxa_från_edp!$B:$B,Taxa_från_edp!G:G),""),"")</x:f>
      </x:c>
      <x:c r="J181" s="1011" t="e">
        <x:f>IF($F181&lt;&gt;"",IFERROR(_xlfn.XLOOKUP($F181,Taxa_från_edp!$B:$B,Taxa_från_edp!K:K),""),"")</x:f>
      </x:c>
      <x:c r="K181" s="1018"/>
      <x:c r="L181" s="1024"/>
      <x:c r="M181" s="1029" t="str">
        <x:f>IFERROR(IF(J181&lt;&gt;"",J181*1.25,IF(K181&lt;&gt;"",K181*1.25,"")),"")</x:f>
      </x:c>
      <x:c r="N181" s="1030" t="str">
        <x:f>IFERROR(IF(J181&lt;&gt;"",L181*J181,IF(K181&lt;&gt;"",L181*K181,"")),"")</x:f>
      </x:c>
    </x:row>
    <x:row r="182" s="54" customFormat="1" ht="30" customHeight="1">
      <x:c r="A182" s="965" t="str">
        <x:v>§3.1</x:v>
      </x:c>
      <x:c r="B182" s="965" t="str">
        <x:v>Ordinarie tömning slam</x:v>
      </x:c>
      <x:c r="C182" s="965" t="str">
        <x:v>Bad-, disk- och tvättbrunn upp till 3 m3</x:v>
      </x:c>
      <x:c r="D182" s="965"/>
      <x:c r="E182" s="965" t="str">
        <x:v>kr/tömning</x:v>
      </x:c>
      <x:c r="F182" s="992"/>
      <x:c r="G182" s="999" t="str">
        <x:f>IF($F182&lt;&gt;"",$F182,IFERROR(_xlfn.XLOOKUP(ROW(),Taxa_Saknas!$H:$H,Taxa_Saknas!$G:$G),""))</x:f>
      </x:c>
      <x:c r="H182" s="1009" t="e">
        <x:f>IF($F182&lt;&gt;"",IFERROR(_xlfn.XLOOKUP($F182,Taxa_från_edp!$B:$B,Taxa_från_edp!C:C),""),"")</x:f>
      </x:c>
      <x:c r="I182" s="1010" t="e">
        <x:f>IF($F182&lt;&gt;"",IFERROR(_xlfn.XLOOKUP($F182,Taxa_från_edp!$B:$B,Taxa_från_edp!G:G),""),"")</x:f>
      </x:c>
      <x:c r="J182" s="1011" t="e">
        <x:f>IF($F182&lt;&gt;"",IFERROR(_xlfn.XLOOKUP($F182,Taxa_från_edp!$B:$B,Taxa_från_edp!K:K),""),"")</x:f>
      </x:c>
      <x:c r="K182" s="1018"/>
      <x:c r="L182" s="1024"/>
      <x:c r="M182" s="1029" t="str">
        <x:f>IFERROR(IF(J182&lt;&gt;"",J182*1.25,IF(K182&lt;&gt;"",K182*1.25,"")),"")</x:f>
      </x:c>
      <x:c r="N182" s="1030" t="str">
        <x:f>IFERROR(IF(J182&lt;&gt;"",L182*J182,IF(K182&lt;&gt;"",L182*K182,"")),"")</x:f>
      </x:c>
    </x:row>
    <x:row r="183">
      <x:c r="A183" s="965" t="str">
        <x:v>§3.1</x:v>
      </x:c>
      <x:c r="B183" s="969" t="str">
        <x:v>Ordinarie tömning slam</x:v>
      </x:c>
      <x:c r="C183" s="969" t="str">
        <x:v>Tillägg per m3 över 3 m3</x:v>
      </x:c>
      <x:c r="D183" s="969"/>
      <x:c r="E183" s="969" t="str">
        <x:v>kr/m3</x:v>
      </x:c>
      <x:c r="F183" s="991"/>
      <x:c r="G183" s="998" t="str">
        <x:f>IF($F183&lt;&gt;"",$F183,IFERROR(_xlfn.XLOOKUP(ROW(),Taxa_Saknas!$H:$H,Taxa_Saknas!$G:$G),""))</x:f>
      </x:c>
      <x:c r="H183" s="1008" t="e">
        <x:f>IF($F183&lt;&gt;"",IFERROR(_xlfn.XLOOKUP($F183,Taxa_från_edp!$B:$B,Taxa_från_edp!C:C),""),"")</x:f>
      </x:c>
      <x:c r="I183" s="1008" t="e">
        <x:f>IF($F183&lt;&gt;"",IFERROR(_xlfn.XLOOKUP($F183,Taxa_från_edp!$B:$B,Taxa_från_edp!G:G),""),"")</x:f>
      </x:c>
      <x:c r="J183" s="1008" t="e">
        <x:f>IF($F183&lt;&gt;"",IFERROR(_xlfn.XLOOKUP($F183,Taxa_från_edp!$B:$B,Taxa_från_edp!K:K),""),"")</x:f>
      </x:c>
      <x:c r="K183" s="998"/>
      <x:c r="L183" s="991"/>
      <x:c r="M183" s="1029" t="str">
        <x:f>IFERROR(IF(J183&lt;&gt;"",J183*1.25,IF(K183&lt;&gt;"",K183*1.25,"")),"")</x:f>
      </x:c>
      <x:c r="N183" s="1030" t="str">
        <x:f>IFERROR(IF(J183&lt;&gt;"",L183*J183,IF(K183&lt;&gt;"",L183*K183,"")),"")</x:f>
      </x:c>
    </x:row>
    <x:row r="184" ht="22" customHeight="1">
      <x:c r="A184" s="975" t="str">
        <x:v>§3.1</x:v>
      </x:c>
      <x:c r="B184" s="980"/>
      <x:c r="C184" s="980"/>
      <x:c r="D184" s="980"/>
      <x:c r="E184" s="981"/>
      <x:c r="F184" s="975"/>
      <x:c r="G184" s="980" t="str">
        <x:f>IF($F184&lt;&gt;"",$F184,IFERROR(_xlfn.XLOOKUP(ROW(),Taxa_Saknas!$H:$H,Taxa_Saknas!$G:$G),""))</x:f>
      </x:c>
      <x:c r="H184" s="980" t="e">
        <x:f>IF($F184&lt;&gt;"",IFERROR(_xlfn.XLOOKUP($F184,Taxa_från_edp!$B:$B,Taxa_från_edp!C:C),""),"")</x:f>
      </x:c>
      <x:c r="I184" s="983" t="e">
        <x:f>IF($F184&lt;&gt;"",IFERROR(_xlfn.XLOOKUP($F184,Taxa_från_edp!$B:$B,Taxa_från_edp!G:G),""),"")</x:f>
      </x:c>
      <x:c r="J184" s="983" t="e">
        <x:f>IF($F184&lt;&gt;"",IFERROR(_xlfn.XLOOKUP($F184,Taxa_från_edp!$B:$B,Taxa_från_edp!K:K),""),"")</x:f>
      </x:c>
      <x:c r="K184" s="983"/>
      <x:c r="L184" s="983"/>
      <x:c r="M184" s="976" t="str">
        <x:f>IFERROR(IF(J184&lt;&gt;"",J184*1.25,IF(K184&lt;&gt;"",K184*1.25,"")),"")</x:f>
      </x:c>
      <x:c r="N184" s="977" t="str">
        <x:f>IFERROR(IF(J184&lt;&gt;"",L184*J184,IF(K184&lt;&gt;"",L184*K184,"")),"")</x:f>
      </x:c>
    </x:row>
    <x:row r="185" ht="22" customHeight="1">
      <x:c r="A185" s="975" t="str">
        <x:v>§3.2 Tilläggstjänster slam</x:v>
      </x:c>
      <x:c r="B185" s="980"/>
      <x:c r="C185" s="980"/>
      <x:c r="D185" s="980"/>
      <x:c r="E185" s="981"/>
      <x:c r="F185" s="975"/>
      <x:c r="G185" s="980" t="str">
        <x:f>IF($F185&lt;&gt;"",$F185,IFERROR(_xlfn.XLOOKUP(ROW(),Taxa_Saknas!$H:$H,Taxa_Saknas!$G:$G),""))</x:f>
      </x:c>
      <x:c r="H185" s="980" t="e">
        <x:f>IF($F185&lt;&gt;"",IFERROR(_xlfn.XLOOKUP($F185,Taxa_från_edp!$B:$B,Taxa_från_edp!C:C),""),"")</x:f>
      </x:c>
      <x:c r="I185" s="983" t="e">
        <x:f>IF($F185&lt;&gt;"",IFERROR(_xlfn.XLOOKUP($F185,Taxa_från_edp!$B:$B,Taxa_från_edp!G:G),""),"")</x:f>
      </x:c>
      <x:c r="J185" s="983" t="e">
        <x:f>IF($F185&lt;&gt;"",IFERROR(_xlfn.XLOOKUP($F185,Taxa_från_edp!$B:$B,Taxa_från_edp!K:K),""),"")</x:f>
      </x:c>
      <x:c r="K185" s="983"/>
      <x:c r="L185" s="983"/>
      <x:c r="M185" s="976" t="str">
        <x:f>IFERROR(IF(J185&lt;&gt;"",J185*1.25,IF(K185&lt;&gt;"",K185*1.25,"")),"")</x:f>
      </x:c>
      <x:c r="N185" s="977" t="str">
        <x:f>IFERROR(IF(J185&lt;&gt;"",L185*J185,IF(K185&lt;&gt;"",L185*K185,"")),"")</x:f>
      </x:c>
    </x:row>
    <x:row r="186" ht="22" customHeight="1">
      <x:c r="A186" s="975" t="str">
        <x:v>§3.2</x:v>
      </x:c>
      <x:c r="B186" s="976"/>
      <x:c r="C186" s="976"/>
      <x:c r="D186" s="976"/>
      <x:c r="E186" s="977"/>
      <x:c r="F186" s="979"/>
      <x:c r="G186" s="976" t="str">
        <x:f>IF($F186&lt;&gt;"",$F186,IFERROR(_xlfn.XLOOKUP(ROW(),Taxa_Saknas!$H:$H,Taxa_Saknas!$G:$G),""))</x:f>
      </x:c>
      <x:c r="H186" s="976" t="e">
        <x:f>IF($F186&lt;&gt;"",IFERROR(_xlfn.XLOOKUP($F186,Taxa_från_edp!$B:$B,Taxa_från_edp!C:C),""),"")</x:f>
      </x:c>
      <x:c r="I186" s="976" t="e">
        <x:f>IF($F186&lt;&gt;"",IFERROR(_xlfn.XLOOKUP($F186,Taxa_från_edp!$B:$B,Taxa_från_edp!G:G),""),"")</x:f>
      </x:c>
      <x:c r="J186" s="976" t="e">
        <x:f>IF($F186&lt;&gt;"",IFERROR(_xlfn.XLOOKUP($F186,Taxa_från_edp!$B:$B,Taxa_från_edp!K:K),""),"")</x:f>
      </x:c>
      <x:c r="K186" s="976"/>
      <x:c r="L186" s="976"/>
      <x:c r="M186" s="976" t="str">
        <x:f>IFERROR(IF(J186&lt;&gt;"",J186*1.25,IF(K186&lt;&gt;"",K186*1.25,"")),"")</x:f>
      </x:c>
      <x:c r="N186" s="977" t="str">
        <x:f>IFERROR(IF(J186&lt;&gt;"",L186*J186,IF(K186&lt;&gt;"",L186*K186,"")),"")</x:f>
      </x:c>
    </x:row>
    <x:row r="187">
      <x:c r="A187" s="965" t="str">
        <x:v>§3.2</x:v>
      </x:c>
      <x:c r="B187" s="965" t="str">
        <x:v>Tilläggstjänster slam</x:v>
      </x:c>
      <x:c r="C187" s="965" t="str">
        <x:v>Dragning av extra slang vid 25-35 m</x:v>
      </x:c>
      <x:c r="D187" s="965"/>
      <x:c r="E187" s="965" t="str">
        <x:v>kr/tillfälle</x:v>
      </x:c>
      <x:c r="F187" s="993"/>
      <x:c r="G187" s="1000" t="str">
        <x:f>IF($F187&lt;&gt;"",$F187,IFERROR(_xlfn.XLOOKUP(ROW(),Taxa_Saknas!$H:$H,Taxa_Saknas!$G:$G),""))</x:f>
      </x:c>
      <x:c r="H187" s="1012" t="e">
        <x:f>IF($F187&lt;&gt;"",IFERROR(_xlfn.XLOOKUP($F187,Taxa_från_edp!$B:$B,Taxa_från_edp!C:C),""),"")</x:f>
      </x:c>
      <x:c r="I187" s="1013" t="e">
        <x:f>IF($F187&lt;&gt;"",IFERROR(_xlfn.XLOOKUP($F187,Taxa_från_edp!$B:$B,Taxa_från_edp!G:G),""),"")</x:f>
      </x:c>
      <x:c r="J187" s="1013" t="e">
        <x:f>IF($F187&lt;&gt;"",IFERROR(_xlfn.XLOOKUP($F187,Taxa_från_edp!$B:$B,Taxa_från_edp!K:K),""),"")</x:f>
      </x:c>
      <x:c r="K187" s="1019"/>
      <x:c r="L187" s="1025"/>
      <x:c r="M187" s="1029" t="str">
        <x:f>IFERROR(IF(J187&lt;&gt;"",J187*1.25,IF(K187&lt;&gt;"",K187*1.25,"")),"")</x:f>
      </x:c>
      <x:c r="N187" s="1030" t="str">
        <x:f>IFERROR(IF(J187&lt;&gt;"",L187*J187,IF(K187&lt;&gt;"",L187*K187,"")),"")</x:f>
      </x:c>
    </x:row>
    <x:row r="188">
      <x:c r="A188" s="965" t="str">
        <x:v>§3.2</x:v>
      </x:c>
      <x:c r="B188" s="965" t="str">
        <x:v>Tilläggstjänster slam</x:v>
      </x:c>
      <x:c r="C188" s="965" t="str">
        <x:v>Dragning av extra slang vid 36-45 m</x:v>
      </x:c>
      <x:c r="D188" s="965"/>
      <x:c r="E188" s="965" t="str">
        <x:v>kr/tillfälle</x:v>
      </x:c>
      <x:c r="F188" s="989"/>
      <x:c r="G188" s="996" t="str">
        <x:f>IF($F188&lt;&gt;"",$F188,IFERROR(_xlfn.XLOOKUP(ROW(),Taxa_Saknas!$H:$H,Taxa_Saknas!$G:$G),""))</x:f>
      </x:c>
      <x:c r="H188" s="1003" t="e">
        <x:f>IF($F188&lt;&gt;"",IFERROR(_xlfn.XLOOKUP($F188,Taxa_från_edp!$B:$B,Taxa_från_edp!C:C),""),"")</x:f>
      </x:c>
      <x:c r="I188" s="1004" t="e">
        <x:f>IF($F188&lt;&gt;"",IFERROR(_xlfn.XLOOKUP($F188,Taxa_från_edp!$B:$B,Taxa_från_edp!G:G),""),"")</x:f>
      </x:c>
      <x:c r="J188" s="1005" t="e">
        <x:f>IF($F188&lt;&gt;"",IFERROR(_xlfn.XLOOKUP($F188,Taxa_från_edp!$B:$B,Taxa_från_edp!K:K),""),"")</x:f>
      </x:c>
      <x:c r="K188" s="1016"/>
      <x:c r="L188" s="1022"/>
      <x:c r="M188" s="1029" t="str">
        <x:f>IFERROR(IF(J188&lt;&gt;"",J188*1.25,IF(K188&lt;&gt;"",K188*1.25,"")),"")</x:f>
      </x:c>
      <x:c r="N188" s="1030" t="str">
        <x:f>IFERROR(IF(J188&lt;&gt;"",L188*J188,IF(K188&lt;&gt;"",L188*K188,"")),"")</x:f>
      </x:c>
    </x:row>
    <x:row r="189" ht="22" customHeight="1">
      <x:c r="A189" s="975" t="str">
        <x:v>§3.2</x:v>
      </x:c>
      <x:c r="B189" s="980"/>
      <x:c r="C189" s="980"/>
      <x:c r="D189" s="980"/>
      <x:c r="E189" s="981"/>
      <x:c r="F189" s="975"/>
      <x:c r="G189" s="980" t="str">
        <x:f>IF($F189&lt;&gt;"",$F189,IFERROR(_xlfn.XLOOKUP(ROW(),Taxa_Saknas!$H:$H,Taxa_Saknas!$G:$G),""))</x:f>
      </x:c>
      <x:c r="H189" s="980" t="e">
        <x:f>IF($F189&lt;&gt;"",IFERROR(_xlfn.XLOOKUP($F189,Taxa_från_edp!$B:$B,Taxa_från_edp!C:C),""),"")</x:f>
      </x:c>
      <x:c r="I189" s="983" t="e">
        <x:f>IF($F189&lt;&gt;"",IFERROR(_xlfn.XLOOKUP($F189,Taxa_från_edp!$B:$B,Taxa_från_edp!G:G),""),"")</x:f>
      </x:c>
      <x:c r="J189" s="983" t="e">
        <x:f>IF($F189&lt;&gt;"",IFERROR(_xlfn.XLOOKUP($F189,Taxa_från_edp!$B:$B,Taxa_från_edp!K:K),""),"")</x:f>
      </x:c>
      <x:c r="K189" s="983"/>
      <x:c r="L189" s="983"/>
      <x:c r="M189" s="976" t="str">
        <x:f>IFERROR(IF(J189&lt;&gt;"",J189*1.25,IF(K189&lt;&gt;"",K189*1.25,"")),"")</x:f>
      </x:c>
      <x:c r="N189" s="977" t="str">
        <x:f>IFERROR(IF(J189&lt;&gt;"",L189*J189,IF(K189&lt;&gt;"",L189*K189,"")),"")</x:f>
      </x:c>
    </x:row>
    <x:row r="190">
      <x:c r="A190" s="965" t="str">
        <x:v>§3.2</x:v>
      </x:c>
      <x:c r="B190" s="965" t="str">
        <x:v>Tilläggstjänster slam</x:v>
      </x:c>
      <x:c r="C190" s="965" t="str">
        <x:v>Hantering av brunnslock som väger 15-25 kg</x:v>
      </x:c>
      <x:c r="D190" s="965"/>
      <x:c r="E190" s="965" t="str">
        <x:v>kr/tillfälle</x:v>
      </x:c>
      <x:c r="F190" s="989"/>
      <x:c r="G190" s="996" t="str">
        <x:f>IF($F190&lt;&gt;"",$F190,IFERROR(_xlfn.XLOOKUP(ROW(),Taxa_Saknas!$H:$H,Taxa_Saknas!$G:$G),""))</x:f>
      </x:c>
      <x:c r="H190" s="1003" t="e">
        <x:f>IF($F190&lt;&gt;"",IFERROR(_xlfn.XLOOKUP($F190,Taxa_från_edp!$B:$B,Taxa_från_edp!C:C),""),"")</x:f>
      </x:c>
      <x:c r="I190" s="1004" t="e">
        <x:f>IF($F190&lt;&gt;"",IFERROR(_xlfn.XLOOKUP($F190,Taxa_från_edp!$B:$B,Taxa_från_edp!G:G),""),"")</x:f>
      </x:c>
      <x:c r="J190" s="1005" t="e">
        <x:f>IF($F190&lt;&gt;"",IFERROR(_xlfn.XLOOKUP($F190,Taxa_från_edp!$B:$B,Taxa_från_edp!K:K),""),"")</x:f>
      </x:c>
      <x:c r="K190" s="1016"/>
      <x:c r="L190" s="1022"/>
      <x:c r="M190" s="1029" t="str">
        <x:f>IFERROR(IF(J190&lt;&gt;"",J190*1.25,IF(K190&lt;&gt;"",K190*1.25,"")),"")</x:f>
      </x:c>
      <x:c r="N190" s="1030" t="str">
        <x:f>IFERROR(IF(J190&lt;&gt;"",L190*J190,IF(K190&lt;&gt;"",L190*K190,"")),"")</x:f>
      </x:c>
    </x:row>
    <x:row r="191">
      <x:c r="A191" s="965" t="str">
        <x:v>§3.2</x:v>
      </x:c>
      <x:c r="B191" s="965" t="str">
        <x:v>Tilläggstjänster slam</x:v>
      </x:c>
      <x:c r="C191" s="965" t="str">
        <x:v>Krav på information om tömningstid</x:v>
      </x:c>
      <x:c r="D191" s="965"/>
      <x:c r="E191" s="965" t="str">
        <x:v>kr/tillfälle</x:v>
      </x:c>
      <x:c r="F191" s="989"/>
      <x:c r="G191" s="996" t="str">
        <x:f>IF($F191&lt;&gt;"",$F191,IFERROR(_xlfn.XLOOKUP(ROW(),Taxa_Saknas!$H:$H,Taxa_Saknas!$G:$G),""))</x:f>
      </x:c>
      <x:c r="H191" s="1003" t="e">
        <x:f>IF($F191&lt;&gt;"",IFERROR(_xlfn.XLOOKUP($F191,Taxa_från_edp!$B:$B,Taxa_från_edp!C:C),""),"")</x:f>
      </x:c>
      <x:c r="I191" s="1004" t="e">
        <x:f>IF($F191&lt;&gt;"",IFERROR(_xlfn.XLOOKUP($F191,Taxa_från_edp!$B:$B,Taxa_från_edp!G:G),""),"")</x:f>
      </x:c>
      <x:c r="J191" s="1005" t="e">
        <x:f>IF($F191&lt;&gt;"",IFERROR(_xlfn.XLOOKUP($F191,Taxa_från_edp!$B:$B,Taxa_från_edp!K:K),""),"")</x:f>
      </x:c>
      <x:c r="K191" s="1016"/>
      <x:c r="L191" s="1022"/>
      <x:c r="M191" s="1029" t="str">
        <x:f>IFERROR(IF(J191&lt;&gt;"",J191*1.25,IF(K191&lt;&gt;"",K191*1.25,"")),"")</x:f>
      </x:c>
      <x:c r="N191" s="1030" t="str">
        <x:f>IFERROR(IF(J191&lt;&gt;"",L191*J191,IF(K191&lt;&gt;"",L191*K191,"")),"")</x:f>
      </x:c>
    </x:row>
    <x:row r="192" s="54" customFormat="1" ht="45" customHeight="1">
      <x:c r="A192" s="965" t="str">
        <x:v>§3.2</x:v>
      </x:c>
      <x:c r="B192" s="965" t="str">
        <x:v>Tilläggstjänster slam</x:v>
      </x:c>
      <x:c r="C192" s="965" t="str">
        <x:v>Krav på närvaro vid specificerad tömningstid</x:v>
      </x:c>
      <x:c r="D192" s="965"/>
      <x:c r="E192" s="965" t="str">
        <x:v>kr/tillfälle</x:v>
      </x:c>
      <x:c r="F192" s="989"/>
      <x:c r="G192" s="996" t="str">
        <x:f>IF($F192&lt;&gt;"",$F192,IFERROR(_xlfn.XLOOKUP(ROW(),Taxa_Saknas!$H:$H,Taxa_Saknas!$G:$G),""))</x:f>
      </x:c>
      <x:c r="H192" s="1003" t="e">
        <x:f>IF($F192&lt;&gt;"",IFERROR(_xlfn.XLOOKUP($F192,Taxa_från_edp!$B:$B,Taxa_från_edp!C:C),""),"")</x:f>
      </x:c>
      <x:c r="I192" s="1004" t="e">
        <x:f>IF($F192&lt;&gt;"",IFERROR(_xlfn.XLOOKUP($F192,Taxa_från_edp!$B:$B,Taxa_från_edp!G:G),""),"")</x:f>
      </x:c>
      <x:c r="J192" s="1005" t="e">
        <x:f>IF($F192&lt;&gt;"",IFERROR(_xlfn.XLOOKUP($F192,Taxa_från_edp!$B:$B,Taxa_från_edp!K:K),""),"")</x:f>
      </x:c>
      <x:c r="K192" s="1016"/>
      <x:c r="L192" s="1022"/>
      <x:c r="M192" s="1029" t="str">
        <x:f>IFERROR(IF(J192&lt;&gt;"",J192*1.25,IF(K192&lt;&gt;"",K192*1.25,"")),"")</x:f>
      </x:c>
      <x:c r="N192" s="1030" t="str">
        <x:f>IFERROR(IF(J192&lt;&gt;"",L192*J192,IF(K192&lt;&gt;"",L192*K192,"")),"")</x:f>
      </x:c>
    </x:row>
    <x:row r="193" s="54" customFormat="1" ht="30" customHeight="1">
      <x:c r="A193" s="965" t="str">
        <x:v>§3.2</x:v>
      </x:c>
      <x:c r="B193" s="965" t="str">
        <x:v>Tilläggstjänster slam</x:v>
      </x:c>
      <x:c r="C193" s="965" t="str">
        <x:v>Hantering av kod för kodlås vid slamtömning</x:v>
      </x:c>
      <x:c r="D193" s="965"/>
      <x:c r="E193" s="965" t="str">
        <x:v>kr/tillfälle</x:v>
      </x:c>
      <x:c r="F193" s="989"/>
      <x:c r="G193" s="996" t="str">
        <x:f>IF($F193&lt;&gt;"",$F193,IFERROR(_xlfn.XLOOKUP(ROW(),Taxa_Saknas!$H:$H,Taxa_Saknas!$G:$G),""))</x:f>
      </x:c>
      <x:c r="H193" s="1003" t="e">
        <x:f>IF($F193&lt;&gt;"",IFERROR(_xlfn.XLOOKUP($F193,Taxa_från_edp!$B:$B,Taxa_från_edp!C:C),""),"")</x:f>
      </x:c>
      <x:c r="I193" s="1004" t="e">
        <x:f>IF($F193&lt;&gt;"",IFERROR(_xlfn.XLOOKUP($F193,Taxa_från_edp!$B:$B,Taxa_från_edp!G:G),""),"")</x:f>
      </x:c>
      <x:c r="J193" s="1005" t="e">
        <x:f>IF($F193&lt;&gt;"",IFERROR(_xlfn.XLOOKUP($F193,Taxa_från_edp!$B:$B,Taxa_från_edp!K:K),""),"")</x:f>
      </x:c>
      <x:c r="K193" s="1016"/>
      <x:c r="L193" s="1022"/>
      <x:c r="M193" s="1029" t="str">
        <x:f>IFERROR(IF(J193&lt;&gt;"",J193*1.25,IF(K193&lt;&gt;"",K193*1.25,"")),"")</x:f>
      </x:c>
      <x:c r="N193" s="1030" t="str">
        <x:f>IFERROR(IF(J193&lt;&gt;"",L193*J193,IF(K193&lt;&gt;"",L193*K193,"")),"")</x:f>
      </x:c>
    </x:row>
    <x:row r="194">
      <x:c r="A194" s="965" t="str">
        <x:v>§3.2</x:v>
      </x:c>
      <x:c r="B194" s="965" t="str">
        <x:v>Tilläggstjänster slam</x:v>
      </x:c>
      <x:c r="C194" s="965" t="str">
        <x:v>Hetvattentvätt med spolbil, timersättning</x:v>
      </x:c>
      <x:c r="D194" s="965"/>
      <x:c r="E194" s="965" t="str">
        <x:v>kr/tillfälle</x:v>
      </x:c>
      <x:c r="F194" s="992"/>
      <x:c r="G194" s="999" t="str">
        <x:f>IF($F194&lt;&gt;"",$F194,IFERROR(_xlfn.XLOOKUP(ROW(),Taxa_Saknas!$H:$H,Taxa_Saknas!$G:$G),""))</x:f>
      </x:c>
      <x:c r="H194" s="1009" t="e">
        <x:f>IF($F194&lt;&gt;"",IFERROR(_xlfn.XLOOKUP($F194,Taxa_från_edp!$B:$B,Taxa_från_edp!C:C),""),"")</x:f>
      </x:c>
      <x:c r="I194" s="1010" t="e">
        <x:f>IF($F194&lt;&gt;"",IFERROR(_xlfn.XLOOKUP($F194,Taxa_från_edp!$B:$B,Taxa_från_edp!G:G),""),"")</x:f>
      </x:c>
      <x:c r="J194" s="1011" t="e">
        <x:f>IF($F194&lt;&gt;"",IFERROR(_xlfn.XLOOKUP($F194,Taxa_från_edp!$B:$B,Taxa_från_edp!K:K),""),"")</x:f>
      </x:c>
      <x:c r="K194" s="1018"/>
      <x:c r="L194" s="1024"/>
      <x:c r="M194" s="1029" t="str">
        <x:f>IFERROR(IF(J194&lt;&gt;"",J194*1.25,IF(K194&lt;&gt;"",K194*1.25,"")),"")</x:f>
      </x:c>
      <x:c r="N194" s="1030" t="str">
        <x:f>IFERROR(IF(J194&lt;&gt;"",L194*J194,IF(K194&lt;&gt;"",L194*K194,"")),"")</x:f>
      </x:c>
    </x:row>
    <x:row r="195" s="54" customFormat="1" ht="45" customHeight="1">
      <x:c r="A195" s="965" t="str">
        <x:v>§3.2</x:v>
      </x:c>
      <x:c r="B195" s="965" t="str">
        <x:v>Tilläggstjänster slam</x:v>
      </x:c>
      <x:c r="C195" s="965" t="str">
        <x:v>Avgift om tömning ej kan utföras pga. hinder, bristande transportväg, betonglock, lock tyngre än 25 kg eller vägran</x:v>
      </x:c>
      <x:c r="D195" s="965"/>
      <x:c r="E195" s="965" t="str">
        <x:v>kr/tillfälle</x:v>
      </x:c>
      <x:c r="F195" s="992"/>
      <x:c r="G195" s="999" t="str">
        <x:f>IF($F195&lt;&gt;"",$F195,IFERROR(_xlfn.XLOOKUP(ROW(),Taxa_Saknas!$H:$H,Taxa_Saknas!$G:$G),""))</x:f>
      </x:c>
      <x:c r="H195" s="1009" t="e">
        <x:f>IF($F195&lt;&gt;"",IFERROR(_xlfn.XLOOKUP($F195,Taxa_från_edp!$B:$B,Taxa_från_edp!C:C),""),"")</x:f>
      </x:c>
      <x:c r="I195" s="1010" t="e">
        <x:f>IF($F195&lt;&gt;"",IFERROR(_xlfn.XLOOKUP($F195,Taxa_från_edp!$B:$B,Taxa_från_edp!G:G),""),"")</x:f>
      </x:c>
      <x:c r="J195" s="1011" t="e">
        <x:f>IF($F195&lt;&gt;"",IFERROR(_xlfn.XLOOKUP($F195,Taxa_från_edp!$B:$B,Taxa_från_edp!K:K),""),"")</x:f>
      </x:c>
      <x:c r="K195" s="1018"/>
      <x:c r="L195" s="1024"/>
      <x:c r="M195" s="1029" t="str">
        <x:f>IFERROR(IF(J195&lt;&gt;"",J195*1.25,IF(K195&lt;&gt;"",K195*1.25,"")),"")</x:f>
      </x:c>
      <x:c r="N195" s="1030" t="str">
        <x:f>IFERROR(IF(J195&lt;&gt;"",L195*J195,IF(K195&lt;&gt;"",L195*K195,"")),"")</x:f>
      </x:c>
    </x:row>
    <x:row r="196" s="54" customFormat="1" ht="30" customHeight="1">
      <x:c r="A196" s="965" t="str">
        <x:v>§3.2</x:v>
      </x:c>
      <x:c r="B196" s="965" t="str">
        <x:v>Tilläggstjänster slam</x:v>
      </x:c>
      <x:c r="C196" s="965" t="str">
        <x:v>Tömning av extra tank/brunn i samband med ordinarie/budad tömning upp till 5 m3</x:v>
      </x:c>
      <x:c r="D196" s="965"/>
      <x:c r="E196" s="965" t="str">
        <x:v>kr/tillfälle</x:v>
      </x:c>
      <x:c r="F196" s="989"/>
      <x:c r="G196" s="996" t="str">
        <x:f>IF($F196&lt;&gt;"",$F196,IFERROR(_xlfn.XLOOKUP(ROW(),Taxa_Saknas!$H:$H,Taxa_Saknas!$G:$G),""))</x:f>
      </x:c>
      <x:c r="H196" s="1003" t="e">
        <x:f>IF($F196&lt;&gt;"",IFERROR(_xlfn.XLOOKUP($F196,Taxa_från_edp!$B:$B,Taxa_från_edp!C:C),""),"")</x:f>
      </x:c>
      <x:c r="I196" s="1004" t="e">
        <x:f>IF($F196&lt;&gt;"",IFERROR(_xlfn.XLOOKUP($F196,Taxa_från_edp!$B:$B,Taxa_från_edp!G:G),""),"")</x:f>
      </x:c>
      <x:c r="J196" s="1005" t="e">
        <x:f>IF($F196&lt;&gt;"",IFERROR(_xlfn.XLOOKUP($F196,Taxa_från_edp!$B:$B,Taxa_från_edp!K:K),""),"")</x:f>
      </x:c>
      <x:c r="K196" s="1016"/>
      <x:c r="L196" s="1022"/>
      <x:c r="M196" s="1029" t="str">
        <x:f>IFERROR(IF(J196&lt;&gt;"",J196*1.25,IF(K196&lt;&gt;"",K196*1.25,"")),"")</x:f>
      </x:c>
      <x:c r="N196" s="1030" t="str">
        <x:f>IFERROR(IF(J196&lt;&gt;"",L196*J196,IF(K196&lt;&gt;"",L196*K196,"")),"")</x:f>
      </x:c>
    </x:row>
    <x:row r="197" s="54" customFormat="1" ht="22" customHeight="1">
      <x:c r="A197" s="975" t="str">
        <x:v>§3.2</x:v>
      </x:c>
      <x:c r="B197" s="980"/>
      <x:c r="C197" s="980"/>
      <x:c r="D197" s="980"/>
      <x:c r="E197" s="981"/>
      <x:c r="F197" s="975"/>
      <x:c r="G197" s="980" t="str">
        <x:f>IF($F197&lt;&gt;"",$F197,IFERROR(_xlfn.XLOOKUP(ROW(),Taxa_Saknas!$H:$H,Taxa_Saknas!$G:$G),""))</x:f>
      </x:c>
      <x:c r="H197" s="980" t="e">
        <x:f>IF($F197&lt;&gt;"",IFERROR(_xlfn.XLOOKUP($F197,Taxa_från_edp!$B:$B,Taxa_från_edp!C:C),""),"")</x:f>
      </x:c>
      <x:c r="I197" s="983" t="e">
        <x:f>IF($F197&lt;&gt;"",IFERROR(_xlfn.XLOOKUP($F197,Taxa_från_edp!$B:$B,Taxa_från_edp!G:G),""),"")</x:f>
      </x:c>
      <x:c r="J197" s="983" t="e">
        <x:f>IF($F197&lt;&gt;"",IFERROR(_xlfn.XLOOKUP($F197,Taxa_från_edp!$B:$B,Taxa_från_edp!K:K),""),"")</x:f>
      </x:c>
      <x:c r="K197" s="983"/>
      <x:c r="L197" s="983"/>
      <x:c r="M197" s="976" t="str">
        <x:f>IFERROR(IF(J197&lt;&gt;"",J197*1.25,IF(K197&lt;&gt;"",K197*1.25,"")),"")</x:f>
      </x:c>
      <x:c r="N197" s="977" t="str">
        <x:f>IFERROR(IF(J197&lt;&gt;"",L197*J197,IF(K197&lt;&gt;"",L197*K197,"")),"")</x:f>
      </x:c>
    </x:row>
    <x:row r="198" ht="22" customHeight="1">
      <x:c r="A198" s="975" t="str">
        <x:v>§3.3 Övriga avgifter och tillägg slam</x:v>
      </x:c>
      <x:c r="B198" s="976"/>
      <x:c r="C198" s="976"/>
      <x:c r="D198" s="976"/>
      <x:c r="E198" s="977"/>
      <x:c r="F198" s="979"/>
      <x:c r="G198" s="976" t="str">
        <x:f>IF($F198&lt;&gt;"",$F198,IFERROR(_xlfn.XLOOKUP(ROW(),Taxa_Saknas!$H:$H,Taxa_Saknas!$G:$G),""))</x:f>
      </x:c>
      <x:c r="H198" s="976" t="e">
        <x:f>IF($F198&lt;&gt;"",IFERROR(_xlfn.XLOOKUP($F198,Taxa_från_edp!$B:$B,Taxa_från_edp!C:C),""),"")</x:f>
      </x:c>
      <x:c r="I198" s="976" t="e">
        <x:f>IF($F198&lt;&gt;"",IFERROR(_xlfn.XLOOKUP($F198,Taxa_från_edp!$B:$B,Taxa_från_edp!G:G),""),"")</x:f>
      </x:c>
      <x:c r="J198" s="976" t="e">
        <x:f>IF($F198&lt;&gt;"",IFERROR(_xlfn.XLOOKUP($F198,Taxa_från_edp!$B:$B,Taxa_från_edp!K:K),""),"")</x:f>
      </x:c>
      <x:c r="K198" s="976"/>
      <x:c r="L198" s="976"/>
      <x:c r="M198" s="976" t="str">
        <x:f>IFERROR(IF(J198&lt;&gt;"",J198*1.25,IF(K198&lt;&gt;"",K198*1.25,"")),"")</x:f>
      </x:c>
      <x:c r="N198" s="977" t="str">
        <x:f>IFERROR(IF(J198&lt;&gt;"",L198*J198,IF(K198&lt;&gt;"",L198*K198,"")),"")</x:f>
      </x:c>
    </x:row>
    <x:row r="199" s="54" customFormat="1" ht="30" customHeight="1">
      <x:c r="A199" s="965" t="str">
        <x:v>§3.3</x:v>
      </x:c>
      <x:c r="B199" s="965" t="str">
        <x:v>Övriga avgifter och tillägg slam</x:v>
      </x:c>
      <x:c r="C199" s="965" t="str">
        <x:v>Budning inom ordinarie tömningsperiod (1 maj- 31 oktober)</x:v>
      </x:c>
      <x:c r="D199" s="965" t="str">
        <x:v>Inom 24 timmar</x:v>
      </x:c>
      <x:c r="E199" s="965" t="str">
        <x:v>kr/tillfälle</x:v>
      </x:c>
      <x:c r="F199" s="993"/>
      <x:c r="G199" s="1000" t="str">
        <x:f>IF($F199&lt;&gt;"",$F199,IFERROR(_xlfn.XLOOKUP(ROW(),Taxa_Saknas!$H:$H,Taxa_Saknas!$G:$G),""))</x:f>
      </x:c>
      <x:c r="H199" s="1012" t="e">
        <x:f>IF($F199&lt;&gt;"",IFERROR(_xlfn.XLOOKUP($F199,Taxa_från_edp!$B:$B,Taxa_från_edp!C:C),""),"")</x:f>
      </x:c>
      <x:c r="I199" s="1013" t="e">
        <x:f>IF($F199&lt;&gt;"",IFERROR(_xlfn.XLOOKUP($F199,Taxa_från_edp!$B:$B,Taxa_från_edp!G:G),""),"")</x:f>
      </x:c>
      <x:c r="J199" s="1013" t="e">
        <x:f>IF($F199&lt;&gt;"",IFERROR(_xlfn.XLOOKUP($F199,Taxa_från_edp!$B:$B,Taxa_från_edp!K:K),""),"")</x:f>
      </x:c>
      <x:c r="K199" s="1019"/>
      <x:c r="L199" s="1025"/>
      <x:c r="M199" s="1029" t="str">
        <x:f>IFERROR(IF(J199&lt;&gt;"",J199*1.25,IF(K199&lt;&gt;"",K199*1.25,"")),"")</x:f>
      </x:c>
      <x:c r="N199" s="1030" t="str">
        <x:f>IFERROR(IF(J199&lt;&gt;"",L199*J199,IF(K199&lt;&gt;"",L199*K199,"")),"")</x:f>
      </x:c>
    </x:row>
    <x:row r="200" s="54" customFormat="1" ht="30" customHeight="1">
      <x:c r="A200" s="965" t="str">
        <x:v>§3.3</x:v>
      </x:c>
      <x:c r="B200" s="965" t="str">
        <x:v>Övriga avgifter och tillägg slam</x:v>
      </x:c>
      <x:c r="C200" s="965" t="str">
        <x:v>Budning utanför ordinarie tömningsperiod (1 nov – 30 april)</x:v>
      </x:c>
      <x:c r="D200" s="965" t="str">
        <x:v>Inom 24 timmar</x:v>
      </x:c>
      <x:c r="E200" s="965" t="str">
        <x:v>kr/tillfälle</x:v>
      </x:c>
      <x:c r="F200" s="989"/>
      <x:c r="G200" s="996" t="str">
        <x:f>IF($F200&lt;&gt;"",$F200,IFERROR(_xlfn.XLOOKUP(ROW(),Taxa_Saknas!$H:$H,Taxa_Saknas!$G:$G),""))</x:f>
      </x:c>
      <x:c r="H200" s="1003" t="e">
        <x:f>IF($F200&lt;&gt;"",IFERROR(_xlfn.XLOOKUP($F200,Taxa_från_edp!$B:$B,Taxa_från_edp!C:C),""),"")</x:f>
      </x:c>
      <x:c r="I200" s="1004" t="e">
        <x:f>IF($F200&lt;&gt;"",IFERROR(_xlfn.XLOOKUP($F200,Taxa_från_edp!$B:$B,Taxa_från_edp!G:G),""),"")</x:f>
      </x:c>
      <x:c r="J200" s="1005" t="e">
        <x:f>IF($F200&lt;&gt;"",IFERROR(_xlfn.XLOOKUP($F200,Taxa_från_edp!$B:$B,Taxa_från_edp!K:K),""),"")</x:f>
      </x:c>
      <x:c r="K200" s="1016"/>
      <x:c r="L200" s="1022"/>
      <x:c r="M200" s="1029" t="str">
        <x:f>IFERROR(IF(J200&lt;&gt;"",J200*1.25,IF(K200&lt;&gt;"",K200*1.25,"")),"")</x:f>
      </x:c>
      <x:c r="N200" s="1030" t="str">
        <x:f>IFERROR(IF(J200&lt;&gt;"",L200*J200,IF(K200&lt;&gt;"",L200*K200,"")),"")</x:f>
      </x:c>
    </x:row>
    <x:row r="201" s="54" customFormat="1" ht="22" customHeight="1">
      <x:c r="A201" s="975" t="str">
        <x:v>§3.3</x:v>
      </x:c>
      <x:c r="B201" s="980"/>
      <x:c r="C201" s="980"/>
      <x:c r="D201" s="980"/>
      <x:c r="E201" s="981"/>
      <x:c r="F201" s="975"/>
      <x:c r="G201" s="980" t="str">
        <x:f>IF($F201&lt;&gt;"",$F201,IFERROR(_xlfn.XLOOKUP(ROW(),Taxa_Saknas!$H:$H,Taxa_Saknas!$G:$G),""))</x:f>
      </x:c>
      <x:c r="H201" s="980" t="e">
        <x:f>IF($F201&lt;&gt;"",IFERROR(_xlfn.XLOOKUP($F201,Taxa_från_edp!$B:$B,Taxa_från_edp!C:C),""),"")</x:f>
      </x:c>
      <x:c r="I201" s="983" t="e">
        <x:f>IF($F201&lt;&gt;"",IFERROR(_xlfn.XLOOKUP($F201,Taxa_från_edp!$B:$B,Taxa_från_edp!G:G),""),"")</x:f>
      </x:c>
      <x:c r="J201" s="983" t="e">
        <x:f>IF($F201&lt;&gt;"",IFERROR(_xlfn.XLOOKUP($F201,Taxa_från_edp!$B:$B,Taxa_från_edp!K:K),""),"")</x:f>
      </x:c>
      <x:c r="K201" s="983"/>
      <x:c r="L201" s="983"/>
      <x:c r="M201" s="976" t="str">
        <x:f>IFERROR(IF(J201&lt;&gt;"",J201*1.25,IF(K201&lt;&gt;"",K201*1.25,"")),"")</x:f>
      </x:c>
      <x:c r="N201" s="977" t="str">
        <x:f>IFERROR(IF(J201&lt;&gt;"",L201*J201,IF(K201&lt;&gt;"",L201*K201,"")),"")</x:f>
      </x:c>
    </x:row>
    <x:row r="202" s="54" customFormat="1" ht="30" customHeight="1">
      <x:c r="A202" s="965" t="str">
        <x:v>§3.3</x:v>
      </x:c>
      <x:c r="B202" s="965" t="str">
        <x:v>Övriga avgifter och tillägg slam</x:v>
      </x:c>
      <x:c r="C202" s="965" t="str">
        <x:v>Budning utanför ordinarie tömningsperiod (1 nov – 30 april)</x:v>
      </x:c>
      <x:c r="D202" s="965" t="str">
        <x:v>Inom 7 arbetsdagar</x:v>
      </x:c>
      <x:c r="E202" s="965" t="str">
        <x:v>kr/tillfälle</x:v>
      </x:c>
      <x:c r="F202" s="989"/>
      <x:c r="G202" s="996" t="str">
        <x:f>IF($F202&lt;&gt;"",$F202,IFERROR(_xlfn.XLOOKUP(ROW(),Taxa_Saknas!$H:$H,Taxa_Saknas!$G:$G),""))</x:f>
      </x:c>
      <x:c r="H202" s="1003" t="e">
        <x:f>IF($F202&lt;&gt;"",IFERROR(_xlfn.XLOOKUP($F202,Taxa_från_edp!$B:$B,Taxa_från_edp!C:C),""),"")</x:f>
      </x:c>
      <x:c r="I202" s="1004" t="e">
        <x:f>IF($F202&lt;&gt;"",IFERROR(_xlfn.XLOOKUP($F202,Taxa_från_edp!$B:$B,Taxa_från_edp!G:G),""),"")</x:f>
      </x:c>
      <x:c r="J202" s="1005" t="e">
        <x:f>IF($F202&lt;&gt;"",IFERROR(_xlfn.XLOOKUP($F202,Taxa_från_edp!$B:$B,Taxa_från_edp!K:K),""),"")</x:f>
      </x:c>
      <x:c r="K202" s="1016"/>
      <x:c r="L202" s="1022"/>
      <x:c r="M202" s="1029" t="str">
        <x:f>IFERROR(IF(J202&lt;&gt;"",J202*1.25,IF(K202&lt;&gt;"",K202*1.25,"")),"")</x:f>
      </x:c>
      <x:c r="N202" s="1030" t="str">
        <x:f>IFERROR(IF(J202&lt;&gt;"",L202*J202,IF(K202&lt;&gt;"",L202*K202,"")),"")</x:f>
      </x:c>
    </x:row>
    <x:row r="203" s="54" customFormat="1" ht="30" customHeight="1">
      <x:c r="A203" s="965" t="str">
        <x:v>§3.3</x:v>
      </x:c>
      <x:c r="B203" s="965" t="str">
        <x:v>Övriga avgifter och tillägg slam</x:v>
      </x:c>
      <x:c r="C203" s="965" t="str">
        <x:v>Tömning av toalettvagnar eller liknande</x:v>
      </x:c>
      <x:c r="D203" s="965"/>
      <x:c r="E203" s="965" t="str">
        <x:v>kr/tillfälle</x:v>
      </x:c>
      <x:c r="F203" s="992"/>
      <x:c r="G203" s="999" t="str">
        <x:f>IF($F203&lt;&gt;"",$F203,IFERROR(_xlfn.XLOOKUP(ROW(),Taxa_Saknas!$H:$H,Taxa_Saknas!$G:$G),""))</x:f>
      </x:c>
      <x:c r="H203" s="1009" t="e">
        <x:f>IF($F203&lt;&gt;"",IFERROR(_xlfn.XLOOKUP($F203,Taxa_från_edp!$B:$B,Taxa_från_edp!C:C),""),"")</x:f>
      </x:c>
      <x:c r="I203" s="1010" t="e">
        <x:f>IF($F203&lt;&gt;"",IFERROR(_xlfn.XLOOKUP($F203,Taxa_från_edp!$B:$B,Taxa_från_edp!G:G),""),"")</x:f>
      </x:c>
      <x:c r="J203" s="1011" t="e">
        <x:f>IF($F203&lt;&gt;"",IFERROR(_xlfn.XLOOKUP($F203,Taxa_från_edp!$B:$B,Taxa_från_edp!K:K),""),"")</x:f>
      </x:c>
      <x:c r="K203" s="1018"/>
      <x:c r="L203" s="1024"/>
      <x:c r="M203" s="1029" t="str">
        <x:f>IFERROR(IF(J203&lt;&gt;"",J203*1.25,IF(K203&lt;&gt;"",K203*1.25,"")),"")</x:f>
      </x:c>
      <x:c r="N203" s="1030" t="str">
        <x:f>IFERROR(IF(J203&lt;&gt;"",L203*J203,IF(K203&lt;&gt;"",L203*K203,"")),"")</x:f>
      </x:c>
    </x:row>
    <x:row r="204" s="54" customFormat="1" ht="30" customHeight="1">
      <x:c r="A204" s="965" t="str">
        <x:v>§3.3</x:v>
      </x:c>
      <x:c r="B204" s="965" t="str">
        <x:v>Övriga avgifter och tillägg slam</x:v>
      </x:c>
      <x:c r="C204" s="965" t="str">
        <x:v>Framkörningsavgift då ordinarie tömning inte skett på grund av hinder, abonnenten vägrar, bristfällig väg eller annat</x:v>
      </x:c>
      <x:c r="D204" s="965"/>
      <x:c r="E204" s="965" t="str">
        <x:v>kr/tillfälle</x:v>
      </x:c>
      <x:c r="F204" s="992"/>
      <x:c r="G204" s="999" t="str">
        <x:f>IF($F204&lt;&gt;"",$F204,IFERROR(_xlfn.XLOOKUP(ROW(),Taxa_Saknas!$H:$H,Taxa_Saknas!$G:$G),""))</x:f>
      </x:c>
      <x:c r="H204" s="1009" t="e">
        <x:f>IF($F204&lt;&gt;"",IFERROR(_xlfn.XLOOKUP($F204,Taxa_från_edp!$B:$B,Taxa_från_edp!C:C),""),"")</x:f>
      </x:c>
      <x:c r="I204" s="1010" t="e">
        <x:f>IF($F204&lt;&gt;"",IFERROR(_xlfn.XLOOKUP($F204,Taxa_från_edp!$B:$B,Taxa_från_edp!G:G),""),"")</x:f>
      </x:c>
      <x:c r="J204" s="1011" t="e">
        <x:f>IF($F204&lt;&gt;"",IFERROR(_xlfn.XLOOKUP($F204,Taxa_från_edp!$B:$B,Taxa_från_edp!K:K),""),"")</x:f>
      </x:c>
      <x:c r="K204" s="1018"/>
      <x:c r="L204" s="1024"/>
      <x:c r="M204" s="1029" t="str">
        <x:f>IFERROR(IF(J204&lt;&gt;"",J204*1.25,IF(K204&lt;&gt;"",K204*1.25,"")),"")</x:f>
      </x:c>
      <x:c r="N204" s="1030" t="str">
        <x:f>IFERROR(IF(J204&lt;&gt;"",L204*J204,IF(K204&lt;&gt;"",L204*K204,"")),"")</x:f>
      </x:c>
    </x:row>
    <x:row r="205" s="54" customFormat="1" ht="30" customHeight="1">
      <x:c r="A205" s="965" t="str">
        <x:v>§3.3</x:v>
      </x:c>
      <x:c r="B205" s="965" t="str">
        <x:v>Övriga avgifter och tillägg slam</x:v>
      </x:c>
      <x:c r="C205" s="965" t="str">
        <x:v>Sen anmälan om förändringar av tömningsintervall. Om förändring, nyanmälan eller avbokning av slamtömning meddelas efter 1 april innevarande år.</x:v>
      </x:c>
      <x:c r="D205" s="965"/>
      <x:c r="E205" s="965" t="str">
        <x:v>kr/tillfälle</x:v>
      </x:c>
      <x:c r="F205" s="989"/>
      <x:c r="G205" s="996" t="str">
        <x:f>IF($F205&lt;&gt;"",$F205,IFERROR(_xlfn.XLOOKUP(ROW(),Taxa_Saknas!$H:$H,Taxa_Saknas!$G:$G),""))</x:f>
      </x:c>
      <x:c r="H205" s="1003" t="e">
        <x:f>IF($F205&lt;&gt;"",IFERROR(_xlfn.XLOOKUP($F205,Taxa_från_edp!$B:$B,Taxa_från_edp!C:C),""),"")</x:f>
      </x:c>
      <x:c r="I205" s="1004" t="e">
        <x:f>IF($F205&lt;&gt;"",IFERROR(_xlfn.XLOOKUP($F205,Taxa_från_edp!$B:$B,Taxa_från_edp!G:G),""),"")</x:f>
      </x:c>
      <x:c r="J205" s="1005" t="e">
        <x:f>IF($F205&lt;&gt;"",IFERROR(_xlfn.XLOOKUP($F205,Taxa_från_edp!$B:$B,Taxa_från_edp!K:K),""),"")</x:f>
      </x:c>
      <x:c r="K205" s="1016"/>
      <x:c r="L205" s="1022"/>
      <x:c r="M205" s="1029" t="str">
        <x:f>IFERROR(IF(J205&lt;&gt;"",J205*1.25,IF(K205&lt;&gt;"",K205*1.25,"")),"")</x:f>
      </x:c>
      <x:c r="N205" s="1030" t="str">
        <x:f>IFERROR(IF(J205&lt;&gt;"",L205*J205,IF(K205&lt;&gt;"",L205*K205,"")),"")</x:f>
      </x:c>
    </x:row>
    <x:row r="206" ht="22" customHeight="1">
      <x:c r="A206" s="975" t="str">
        <x:v>§3.3</x:v>
      </x:c>
      <x:c r="B206" s="976"/>
      <x:c r="C206" s="976"/>
      <x:c r="D206" s="976"/>
      <x:c r="E206" s="977"/>
      <x:c r="F206" s="979"/>
      <x:c r="G206" s="976" t="str">
        <x:f>IF($F206&lt;&gt;"",$F206,IFERROR(_xlfn.XLOOKUP(ROW(),Taxa_Saknas!$H:$H,Taxa_Saknas!$G:$G),""))</x:f>
      </x:c>
      <x:c r="H206" s="976" t="e">
        <x:f>IF($F206&lt;&gt;"",IFERROR(_xlfn.XLOOKUP($F206,Taxa_från_edp!$B:$B,Taxa_från_edp!C:C),""),"")</x:f>
      </x:c>
      <x:c r="I206" s="976" t="e">
        <x:f>IF($F206&lt;&gt;"",IFERROR(_xlfn.XLOOKUP($F206,Taxa_från_edp!$B:$B,Taxa_från_edp!G:G),""),"")</x:f>
      </x:c>
      <x:c r="J206" s="976" t="e">
        <x:f>IF($F206&lt;&gt;"",IFERROR(_xlfn.XLOOKUP($F206,Taxa_från_edp!$B:$B,Taxa_från_edp!K:K),""),"")</x:f>
      </x:c>
      <x:c r="K206" s="976"/>
      <x:c r="L206" s="976"/>
      <x:c r="M206" s="976" t="str">
        <x:f>IFERROR(IF(J206&lt;&gt;"",J206*1.25,IF(K206&lt;&gt;"",K206*1.25,"")),"")</x:f>
      </x:c>
      <x:c r="N206" s="977" t="str">
        <x:f>IFERROR(IF(J206&lt;&gt;"",L206*J206,IF(K206&lt;&gt;"",L206*K206,"")),"")</x:f>
      </x:c>
    </x:row>
    <x:row r="207" s="54" customFormat="1" ht="22" customHeight="1">
      <x:c r="A207" s="975" t="str">
        <x:v>§3.4 Latrinbehållare</x:v>
      </x:c>
      <x:c r="B207" s="980"/>
      <x:c r="C207" s="980"/>
      <x:c r="D207" s="980"/>
      <x:c r="E207" s="981"/>
      <x:c r="F207" s="975"/>
      <x:c r="G207" s="980" t="str">
        <x:f>IF($F207&lt;&gt;"",$F207,IFERROR(_xlfn.XLOOKUP(ROW(),Taxa_Saknas!$H:$H,Taxa_Saknas!$G:$G),""))</x:f>
      </x:c>
      <x:c r="H207" s="980" t="e">
        <x:f>IF($F207&lt;&gt;"",IFERROR(_xlfn.XLOOKUP($F207,Taxa_från_edp!$B:$B,Taxa_från_edp!C:C),""),"")</x:f>
      </x:c>
      <x:c r="I207" s="983" t="e">
        <x:f>IF($F207&lt;&gt;"",IFERROR(_xlfn.XLOOKUP($F207,Taxa_från_edp!$B:$B,Taxa_från_edp!G:G),""),"")</x:f>
      </x:c>
      <x:c r="J207" s="983" t="e">
        <x:f>IF($F207&lt;&gt;"",IFERROR(_xlfn.XLOOKUP($F207,Taxa_från_edp!$B:$B,Taxa_från_edp!K:K),""),"")</x:f>
      </x:c>
      <x:c r="K207" s="983"/>
      <x:c r="L207" s="983"/>
      <x:c r="M207" s="976" t="str">
        <x:f>IFERROR(IF(J207&lt;&gt;"",J207*1.25,IF(K207&lt;&gt;"",K207*1.25,"")),"")</x:f>
      </x:c>
      <x:c r="N207" s="977" t="str">
        <x:f>IFERROR(IF(J207&lt;&gt;"",L207*J207,IF(K207&lt;&gt;"",L207*K207,"")),"")</x:f>
      </x:c>
    </x:row>
    <x:row r="208" s="54" customFormat="1" ht="30" customHeight="1">
      <x:c r="A208" s="965" t="str">
        <x:v>§3.4</x:v>
      </x:c>
      <x:c r="B208" s="965" t="str">
        <x:v>Latrinbehållare</x:v>
      </x:c>
      <x:c r="C208" s="965" t="str">
        <x:v>Latrinbehållare 37 liter inkl. mottagning och behandling</x:v>
      </x:c>
      <x:c r="D208" s="965"/>
      <x:c r="E208" s="965" t="str">
        <x:v>st</x:v>
      </x:c>
      <x:c r="F208" s="989"/>
      <x:c r="G208" s="996" t="str">
        <x:f>IF($F208&lt;&gt;"",$F208,IFERROR(_xlfn.XLOOKUP(ROW(),Taxa_Saknas!$H:$H,Taxa_Saknas!$G:$G),""))</x:f>
      </x:c>
      <x:c r="H208" s="1003" t="e">
        <x:f>IF($F208&lt;&gt;"",IFERROR(_xlfn.XLOOKUP($F208,Taxa_från_edp!$B:$B,Taxa_från_edp!C:C),""),"")</x:f>
      </x:c>
      <x:c r="I208" s="1004" t="e">
        <x:f>IF($F208&lt;&gt;"",IFERROR(_xlfn.XLOOKUP($F208,Taxa_från_edp!$B:$B,Taxa_från_edp!G:G),""),"")</x:f>
      </x:c>
      <x:c r="J208" s="1005" t="e">
        <x:f>IF($F208&lt;&gt;"",IFERROR(_xlfn.XLOOKUP($F208,Taxa_från_edp!$B:$B,Taxa_från_edp!K:K),""),"")</x:f>
      </x:c>
      <x:c r="K208" s="1016"/>
      <x:c r="L208" s="1022"/>
      <x:c r="M208" s="1029" t="str">
        <x:f>IFERROR(IF(J208&lt;&gt;"",J208*1.25,IF(K208&lt;&gt;"",K208*1.25,"")),"")</x:f>
      </x:c>
      <x:c r="N208" s="1030" t="str">
        <x:f>IFERROR(IF(J208&lt;&gt;"",L208*J208,IF(K208&lt;&gt;"",L208*K208,"")),"")</x:f>
      </x:c>
    </x:row>
    <x:row r="209" s="54" customFormat="1" ht="22" customHeight="1">
      <x:c r="A209" s="975" t="str">
        <x:v>§3.4</x:v>
      </x:c>
      <x:c r="B209" s="980"/>
      <x:c r="C209" s="980"/>
      <x:c r="D209" s="980"/>
      <x:c r="E209" s="981"/>
      <x:c r="F209" s="975"/>
      <x:c r="G209" s="980" t="str">
        <x:f>IF($F209&lt;&gt;"",$F209,IFERROR(_xlfn.XLOOKUP(ROW(),Taxa_Saknas!$H:$H,Taxa_Saknas!$G:$G),""))</x:f>
      </x:c>
      <x:c r="H209" s="980" t="e">
        <x:f>IF($F209&lt;&gt;"",IFERROR(_xlfn.XLOOKUP($F209,Taxa_från_edp!$B:$B,Taxa_från_edp!C:C),""),"")</x:f>
      </x:c>
      <x:c r="I209" s="983" t="e">
        <x:f>IF($F209&lt;&gt;"",IFERROR(_xlfn.XLOOKUP($F209,Taxa_från_edp!$B:$B,Taxa_från_edp!G:G),""),"")</x:f>
      </x:c>
      <x:c r="J209" s="983" t="e">
        <x:f>IF($F209&lt;&gt;"",IFERROR(_xlfn.XLOOKUP($F209,Taxa_från_edp!$B:$B,Taxa_från_edp!K:K),""),"")</x:f>
      </x:c>
      <x:c r="K209" s="983"/>
      <x:c r="L209" s="983"/>
      <x:c r="M209" s="976" t="str">
        <x:f>IFERROR(IF(J209&lt;&gt;"",J209*1.25,IF(K209&lt;&gt;"",K209*1.25,"")),"")</x:f>
      </x:c>
      <x:c r="N209" s="977" t="str">
        <x:f>IFERROR(IF(J209&lt;&gt;"",L209*J209,IF(K209&lt;&gt;"",L209*K209,"")),"")</x:f>
      </x:c>
    </x:row>
    <x:row r="210" s="54" customFormat="1" ht="22" customHeight="1">
      <x:c r="A210" s="975" t="str">
        <x:v>§4.1 Budad hämtning fosforfilter</x:v>
      </x:c>
      <x:c r="B210" s="980"/>
      <x:c r="C210" s="980"/>
      <x:c r="D210" s="980"/>
      <x:c r="E210" s="981"/>
      <x:c r="F210" s="975"/>
      <x:c r="G210" s="980" t="str">
        <x:f>IF($F210&lt;&gt;"",$F210,IFERROR(_xlfn.XLOOKUP(ROW(),Taxa_Saknas!$H:$H,Taxa_Saknas!$G:$G),""))</x:f>
      </x:c>
      <x:c r="H210" s="980" t="e">
        <x:f>IF($F210&lt;&gt;"",IFERROR(_xlfn.XLOOKUP($F210,Taxa_från_edp!$B:$B,Taxa_från_edp!C:C),""),"")</x:f>
      </x:c>
      <x:c r="I210" s="983" t="e">
        <x:f>IF($F210&lt;&gt;"",IFERROR(_xlfn.XLOOKUP($F210,Taxa_från_edp!$B:$B,Taxa_från_edp!G:G),""),"")</x:f>
      </x:c>
      <x:c r="J210" s="983" t="e">
        <x:f>IF($F210&lt;&gt;"",IFERROR(_xlfn.XLOOKUP($F210,Taxa_från_edp!$B:$B,Taxa_från_edp!K:K),""),"")</x:f>
      </x:c>
      <x:c r="K210" s="983"/>
      <x:c r="L210" s="983"/>
      <x:c r="M210" s="976" t="str">
        <x:f>IFERROR(IF(J210&lt;&gt;"",J210*1.25,IF(K210&lt;&gt;"",K210*1.25,"")),"")</x:f>
      </x:c>
      <x:c r="N210" s="977" t="str">
        <x:f>IFERROR(IF(J210&lt;&gt;"",L210*J210,IF(K210&lt;&gt;"",L210*K210,"")),"")</x:f>
      </x:c>
    </x:row>
    <x:row r="211" s="54" customFormat="1" ht="30" customHeight="1">
      <x:c r="A211" s="965" t="str">
        <x:v>§4.1</x:v>
      </x:c>
      <x:c r="B211" s="965" t="str">
        <x:v>Budad hämtning fosforfilter</x:v>
      </x:c>
      <x:c r="C211" s="965" t="str">
        <x:v>Filtermassor upp till 500 kg</x:v>
      </x:c>
      <x:c r="D211" s="965" t="str">
        <x:v>Budad hämtning inom sju (7) arbetsdagar</x:v>
      </x:c>
      <x:c r="E211" s="965" t="str">
        <x:v>kr/tillfälle</x:v>
      </x:c>
      <x:c r="F211" s="989"/>
      <x:c r="G211" s="996" t="str">
        <x:f>IF($F211&lt;&gt;"",$F211,IFERROR(_xlfn.XLOOKUP(ROW(),Taxa_Saknas!$H:$H,Taxa_Saknas!$G:$G),""))</x:f>
      </x:c>
      <x:c r="H211" s="1003" t="e">
        <x:f>IF($F211&lt;&gt;"",IFERROR(_xlfn.XLOOKUP($F211,Taxa_från_edp!$B:$B,Taxa_från_edp!C:C),""),"")</x:f>
      </x:c>
      <x:c r="I211" s="1004" t="e">
        <x:f>IF($F211&lt;&gt;"",IFERROR(_xlfn.XLOOKUP($F211,Taxa_från_edp!$B:$B,Taxa_från_edp!G:G),""),"")</x:f>
      </x:c>
      <x:c r="J211" s="1005" t="e">
        <x:f>IF($F211&lt;&gt;"",IFERROR(_xlfn.XLOOKUP($F211,Taxa_från_edp!$B:$B,Taxa_från_edp!K:K),""),"")</x:f>
      </x:c>
      <x:c r="K211" s="1016"/>
      <x:c r="L211" s="1022"/>
      <x:c r="M211" s="1029" t="str">
        <x:f>IFERROR(IF(J211&lt;&gt;"",J211*1.25,IF(K211&lt;&gt;"",K211*1.25,"")),"")</x:f>
      </x:c>
      <x:c r="N211" s="1030" t="str">
        <x:f>IFERROR(IF(J211&lt;&gt;"",L211*J211,IF(K211&lt;&gt;"",L211*K211,"")),"")</x:f>
      </x:c>
    </x:row>
    <x:row r="212" s="54" customFormat="1" ht="30" customHeight="1">
      <x:c r="A212" s="965" t="str">
        <x:v>§4.1</x:v>
      </x:c>
      <x:c r="B212" s="965" t="str">
        <x:v>Budad hämtning fosforfilter</x:v>
      </x:c>
      <x:c r="C212" s="965" t="str">
        <x:v>Filtermassor 500-1000 kg</x:v>
      </x:c>
      <x:c r="D212" s="965" t="str">
        <x:v>Budad hämtning inom sju (7) arbetsdagar</x:v>
      </x:c>
      <x:c r="E212" s="965" t="str">
        <x:v>kr/tillfälle</x:v>
      </x:c>
      <x:c r="F212" s="992"/>
      <x:c r="G212" s="999" t="str">
        <x:f>IF($F212&lt;&gt;"",$F212,IFERROR(_xlfn.XLOOKUP(ROW(),Taxa_Saknas!$H:$H,Taxa_Saknas!$G:$G),""))</x:f>
      </x:c>
      <x:c r="H212" s="1009" t="e">
        <x:f>IF($F212&lt;&gt;"",IFERROR(_xlfn.XLOOKUP($F212,Taxa_från_edp!$B:$B,Taxa_från_edp!C:C),""),"")</x:f>
      </x:c>
      <x:c r="I212" s="1010" t="e">
        <x:f>IF($F212&lt;&gt;"",IFERROR(_xlfn.XLOOKUP($F212,Taxa_från_edp!$B:$B,Taxa_från_edp!G:G),""),"")</x:f>
      </x:c>
      <x:c r="J212" s="1011" t="e">
        <x:f>IF($F212&lt;&gt;"",IFERROR(_xlfn.XLOOKUP($F212,Taxa_från_edp!$B:$B,Taxa_från_edp!K:K),""),"")</x:f>
      </x:c>
      <x:c r="K212" s="1018"/>
      <x:c r="L212" s="1024"/>
      <x:c r="M212" s="1029" t="str">
        <x:f>IFERROR(IF(J212&lt;&gt;"",J212*1.25,IF(K212&lt;&gt;"",K212*1.25,"")),"")</x:f>
      </x:c>
      <x:c r="N212" s="1030" t="str">
        <x:f>IFERROR(IF(J212&lt;&gt;"",L212*J212,IF(K212&lt;&gt;"",L212*K212,"")),"")</x:f>
      </x:c>
    </x:row>
    <x:row r="213">
      <x:c r="A213" s="965" t="str">
        <x:v>§4.1</x:v>
      </x:c>
      <x:c r="B213" s="969" t="str">
        <x:v>Budad hämtning fosforfilter</x:v>
      </x:c>
      <x:c r="C213" s="969" t="str">
        <x:v>Filtermassor upp till 500 kg</x:v>
      </x:c>
      <x:c r="D213" s="969" t="str">
        <x:v>Tillägg för transport och behandlingskostnad</x:v>
      </x:c>
      <x:c r="E213" s="969" t="str">
        <x:v>kr/tillfälle</x:v>
      </x:c>
      <x:c r="F213" s="991"/>
      <x:c r="G213" s="998" t="str">
        <x:f>IF($F213&lt;&gt;"",$F213,IFERROR(_xlfn.XLOOKUP(ROW(),Taxa_Saknas!$H:$H,Taxa_Saknas!$G:$G),""))</x:f>
      </x:c>
      <x:c r="H213" s="1008" t="e">
        <x:f>IF($F213&lt;&gt;"",IFERROR(_xlfn.XLOOKUP($F213,Taxa_från_edp!$B:$B,Taxa_från_edp!C:C),""),"")</x:f>
      </x:c>
      <x:c r="I213" s="1008" t="e">
        <x:f>IF($F213&lt;&gt;"",IFERROR(_xlfn.XLOOKUP($F213,Taxa_från_edp!$B:$B,Taxa_från_edp!G:G),""),"")</x:f>
      </x:c>
      <x:c r="J213" s="1008" t="e">
        <x:f>IF($F213&lt;&gt;"",IFERROR(_xlfn.XLOOKUP($F213,Taxa_från_edp!$B:$B,Taxa_från_edp!K:K),""),"")</x:f>
      </x:c>
      <x:c r="K213" s="998"/>
      <x:c r="L213" s="991"/>
      <x:c r="M213" s="1029" t="str">
        <x:f>IFERROR(IF(J213&lt;&gt;"",J213*1.25,IF(K213&lt;&gt;"",K213*1.25,"")),"")</x:f>
      </x:c>
      <x:c r="N213" s="1030" t="str">
        <x:f>IFERROR(IF(J213&lt;&gt;"",L213*J213,IF(K213&lt;&gt;"",L213*K213,"")),"")</x:f>
      </x:c>
    </x:row>
    <x:row r="214">
      <x:c r="A214" s="965" t="str">
        <x:v>§4.1</x:v>
      </x:c>
      <x:c r="B214" s="965" t="str">
        <x:v>Budad hämtning fosforfilter</x:v>
      </x:c>
      <x:c r="C214" s="965" t="str">
        <x:v>Filtermassor 500-1000 kg</x:v>
      </x:c>
      <x:c r="D214" s="965" t="str">
        <x:v>Tillägg för transport och behandlingskostnad</x:v>
      </x:c>
      <x:c r="E214" s="965" t="str">
        <x:v>kr/tillfälle</x:v>
      </x:c>
      <x:c r="F214" s="993"/>
      <x:c r="G214" s="1000" t="str">
        <x:f>IF($F214&lt;&gt;"",$F214,IFERROR(_xlfn.XLOOKUP(ROW(),Taxa_Saknas!$H:$H,Taxa_Saknas!$G:$G),""))</x:f>
      </x:c>
      <x:c r="H214" s="1012" t="e">
        <x:f>IF($F214&lt;&gt;"",IFERROR(_xlfn.XLOOKUP($F214,Taxa_från_edp!$B:$B,Taxa_från_edp!C:C),""),"")</x:f>
      </x:c>
      <x:c r="I214" s="1013" t="e">
        <x:f>IF($F214&lt;&gt;"",IFERROR(_xlfn.XLOOKUP($F214,Taxa_från_edp!$B:$B,Taxa_från_edp!G:G),""),"")</x:f>
      </x:c>
      <x:c r="J214" s="1013" t="e">
        <x:f>IF($F214&lt;&gt;"",IFERROR(_xlfn.XLOOKUP($F214,Taxa_från_edp!$B:$B,Taxa_från_edp!K:K),""),"")</x:f>
      </x:c>
      <x:c r="K214" s="1019"/>
      <x:c r="L214" s="1025"/>
      <x:c r="M214" s="1029" t="str">
        <x:f>IFERROR(IF(J214&lt;&gt;"",J214*1.25,IF(K214&lt;&gt;"",K214*1.25,"")),"")</x:f>
      </x:c>
      <x:c r="N214" s="1030" t="str">
        <x:f>IFERROR(IF(J214&lt;&gt;"",L214*J214,IF(K214&lt;&gt;"",L214*K214,"")),"")</x:f>
      </x:c>
    </x:row>
    <x:row r="215" ht="22" customHeight="1">
      <x:c r="A215" s="975" t="str">
        <x:v>§4.1</x:v>
      </x:c>
      <x:c r="B215" s="980"/>
      <x:c r="C215" s="980"/>
      <x:c r="D215" s="980"/>
      <x:c r="E215" s="981"/>
      <x:c r="F215" s="975"/>
      <x:c r="G215" s="980" t="str">
        <x:f>IF($F215&lt;&gt;"",$F215,IFERROR(_xlfn.XLOOKUP(ROW(),Taxa_Saknas!$H:$H,Taxa_Saknas!$G:$G),""))</x:f>
      </x:c>
      <x:c r="H215" s="980" t="e">
        <x:f>IF($F215&lt;&gt;"",IFERROR(_xlfn.XLOOKUP($F215,Taxa_från_edp!$B:$B,Taxa_från_edp!C:C),""),"")</x:f>
      </x:c>
      <x:c r="I215" s="983" t="e">
        <x:f>IF($F215&lt;&gt;"",IFERROR(_xlfn.XLOOKUP($F215,Taxa_från_edp!$B:$B,Taxa_från_edp!G:G),""),"")</x:f>
      </x:c>
      <x:c r="J215" s="983" t="e">
        <x:f>IF($F215&lt;&gt;"",IFERROR(_xlfn.XLOOKUP($F215,Taxa_från_edp!$B:$B,Taxa_från_edp!K:K),""),"")</x:f>
      </x:c>
      <x:c r="K215" s="983"/>
      <x:c r="L215" s="983"/>
      <x:c r="M215" s="976" t="str">
        <x:f>IFERROR(IF(J215&lt;&gt;"",J215*1.25,IF(K215&lt;&gt;"",K215*1.25,"")),"")</x:f>
      </x:c>
      <x:c r="N215" s="977" t="str">
        <x:f>IFERROR(IF(J215&lt;&gt;"",L215*J215,IF(K215&lt;&gt;"",L215*K215,"")),"")</x:f>
      </x:c>
    </x:row>
    <x:row r="216" ht="22" customHeight="1">
      <x:c r="A216" s="975" t="str">
        <x:v>§4.2 Tilläggstjänster fosforfilter</x:v>
      </x:c>
      <x:c r="B216" s="980"/>
      <x:c r="C216" s="980"/>
      <x:c r="D216" s="980"/>
      <x:c r="E216" s="981"/>
      <x:c r="F216" s="975"/>
      <x:c r="G216" s="980" t="str">
        <x:f>IF($F216&lt;&gt;"",$F216,IFERROR(_xlfn.XLOOKUP(ROW(),Taxa_Saknas!$H:$H,Taxa_Saknas!$G:$G),""))</x:f>
      </x:c>
      <x:c r="H216" s="980" t="e">
        <x:f>IF($F216&lt;&gt;"",IFERROR(_xlfn.XLOOKUP($F216,Taxa_från_edp!$B:$B,Taxa_från_edp!C:C),""),"")</x:f>
      </x:c>
      <x:c r="I216" s="983" t="e">
        <x:f>IF($F216&lt;&gt;"",IFERROR(_xlfn.XLOOKUP($F216,Taxa_från_edp!$B:$B,Taxa_från_edp!G:G),""),"")</x:f>
      </x:c>
      <x:c r="J216" s="983" t="e">
        <x:f>IF($F216&lt;&gt;"",IFERROR(_xlfn.XLOOKUP($F216,Taxa_från_edp!$B:$B,Taxa_från_edp!K:K),""),"")</x:f>
      </x:c>
      <x:c r="K216" s="983"/>
      <x:c r="L216" s="983"/>
      <x:c r="M216" s="976" t="str">
        <x:f>IFERROR(IF(J216&lt;&gt;"",J216*1.25,IF(K216&lt;&gt;"",K216*1.25,"")),"")</x:f>
      </x:c>
      <x:c r="N216" s="977" t="str">
        <x:f>IFERROR(IF(J216&lt;&gt;"",L216*J216,IF(K216&lt;&gt;"",L216*K216,"")),"")</x:f>
      </x:c>
    </x:row>
    <x:row r="217" s="54" customFormat="1" ht="30" customHeight="1">
      <x:c r="A217" s="965" t="str">
        <x:v>§4.2</x:v>
      </x:c>
      <x:c r="B217" s="965" t="str">
        <x:v>Tilläggstjänster fosforfilter</x:v>
      </x:c>
      <x:c r="C217" s="965" t="str">
        <x:v>Krav på information om hämtningstid</x:v>
      </x:c>
      <x:c r="D217" s="965"/>
      <x:c r="E217" s="965" t="str">
        <x:v>kr/tillfälle</x:v>
      </x:c>
      <x:c r="F217" s="989"/>
      <x:c r="G217" s="996" t="str">
        <x:f>IF($F217&lt;&gt;"",$F217,IFERROR(_xlfn.XLOOKUP(ROW(),Taxa_Saknas!$H:$H,Taxa_Saknas!$G:$G),""))</x:f>
      </x:c>
      <x:c r="H217" s="1003" t="e">
        <x:f>IF($F217&lt;&gt;"",IFERROR(_xlfn.XLOOKUP($F217,Taxa_från_edp!$B:$B,Taxa_från_edp!C:C),""),"")</x:f>
      </x:c>
      <x:c r="I217" s="1004" t="e">
        <x:f>IF($F217&lt;&gt;"",IFERROR(_xlfn.XLOOKUP($F217,Taxa_från_edp!$B:$B,Taxa_från_edp!G:G),""),"")</x:f>
      </x:c>
      <x:c r="J217" s="1005" t="e">
        <x:f>IF($F217&lt;&gt;"",IFERROR(_xlfn.XLOOKUP($F217,Taxa_från_edp!$B:$B,Taxa_från_edp!K:K),""),"")</x:f>
      </x:c>
      <x:c r="K217" s="1016"/>
      <x:c r="L217" s="1022"/>
      <x:c r="M217" s="1029" t="str">
        <x:f>IFERROR(IF(J217&lt;&gt;"",J217*1.25,IF(K217&lt;&gt;"",K217*1.25,"")),"")</x:f>
      </x:c>
      <x:c r="N217" s="1030" t="str">
        <x:f>IFERROR(IF(J217&lt;&gt;"",L217*J217,IF(K217&lt;&gt;"",L217*K217,"")),"")</x:f>
      </x:c>
    </x:row>
    <x:row r="218">
      <x:c r="A218" s="965" t="str">
        <x:v>§4.2</x:v>
      </x:c>
      <x:c r="B218" s="965" t="str">
        <x:v>Tilläggstjänster fosforfilter</x:v>
      </x:c>
      <x:c r="C218" s="965" t="str">
        <x:v>Krav på närvaro vid specificerad hämtningstid</x:v>
      </x:c>
      <x:c r="D218" s="965"/>
      <x:c r="E218" s="965" t="str">
        <x:v>kr/tillfälle</x:v>
      </x:c>
      <x:c r="F218" s="992"/>
      <x:c r="G218" s="999" t="str">
        <x:f>IF($F218&lt;&gt;"",$F218,IFERROR(_xlfn.XLOOKUP(ROW(),Taxa_Saknas!$H:$H,Taxa_Saknas!$G:$G),""))</x:f>
      </x:c>
      <x:c r="H218" s="1009" t="e">
        <x:f>IF($F218&lt;&gt;"",IFERROR(_xlfn.XLOOKUP($F218,Taxa_från_edp!$B:$B,Taxa_från_edp!C:C),""),"")</x:f>
      </x:c>
      <x:c r="I218" s="1010" t="e">
        <x:f>IF($F218&lt;&gt;"",IFERROR(_xlfn.XLOOKUP($F218,Taxa_från_edp!$B:$B,Taxa_från_edp!G:G),""),"")</x:f>
      </x:c>
      <x:c r="J218" s="1011" t="e">
        <x:f>IF($F218&lt;&gt;"",IFERROR(_xlfn.XLOOKUP($F218,Taxa_från_edp!$B:$B,Taxa_från_edp!K:K),""),"")</x:f>
      </x:c>
      <x:c r="K218" s="1018"/>
      <x:c r="L218" s="1024"/>
      <x:c r="M218" s="1029" t="str">
        <x:f>IFERROR(IF(J218&lt;&gt;"",J218*1.25,IF(K218&lt;&gt;"",K218*1.25,"")),"")</x:f>
      </x:c>
      <x:c r="N218" s="1030" t="str">
        <x:f>IFERROR(IF(J218&lt;&gt;"",L218*J218,IF(K218&lt;&gt;"",L218*K218,"")),"")</x:f>
      </x:c>
    </x:row>
    <x:row r="219" s="54" customFormat="1" ht="75" customHeight="1">
      <x:c r="A219" s="965" t="str">
        <x:v>§4.2</x:v>
      </x:c>
      <x:c r="B219" s="965" t="str">
        <x:v>Tilläggstjänster fosforfilter</x:v>
      </x:c>
      <x:c r="C219" s="965" t="str">
        <x:v>Hantering av kod för kodlås</x:v>
      </x:c>
      <x:c r="D219" s="965"/>
      <x:c r="E219" s="965" t="str">
        <x:v>kr/tillfälle</x:v>
      </x:c>
      <x:c r="F219" s="992"/>
      <x:c r="G219" s="999" t="str">
        <x:f>IF($F219&lt;&gt;"",$F219,IFERROR(_xlfn.XLOOKUP(ROW(),Taxa_Saknas!$H:$H,Taxa_Saknas!$G:$G),""))</x:f>
      </x:c>
      <x:c r="H219" s="1009" t="e">
        <x:f>IF($F219&lt;&gt;"",IFERROR(_xlfn.XLOOKUP($F219,Taxa_från_edp!$B:$B,Taxa_från_edp!C:C),""),"")</x:f>
      </x:c>
      <x:c r="I219" s="1010" t="e">
        <x:f>IF($F219&lt;&gt;"",IFERROR(_xlfn.XLOOKUP($F219,Taxa_från_edp!$B:$B,Taxa_från_edp!G:G),""),"")</x:f>
      </x:c>
      <x:c r="J219" s="1011" t="e">
        <x:f>IF($F219&lt;&gt;"",IFERROR(_xlfn.XLOOKUP($F219,Taxa_från_edp!$B:$B,Taxa_från_edp!K:K),""),"")</x:f>
      </x:c>
      <x:c r="K219" s="1018"/>
      <x:c r="L219" s="1024"/>
      <x:c r="M219" s="1029" t="str">
        <x:f>IFERROR(IF(J219&lt;&gt;"",J219*1.25,IF(K219&lt;&gt;"",K219*1.25,"")),"")</x:f>
      </x:c>
      <x:c r="N219" s="1030" t="str">
        <x:f>IFERROR(IF(J219&lt;&gt;"",L219*J219,IF(K219&lt;&gt;"",L219*K219,"")),"")</x:f>
      </x:c>
    </x:row>
    <x:row r="220" s="54" customFormat="1" ht="45" customHeight="1">
      <x:c r="A220" s="965" t="str">
        <x:v>§4.2</x:v>
      </x:c>
      <x:c r="B220" s="965" t="str">
        <x:v>Tilläggstjänster fosforfilter</x:v>
      </x:c>
      <x:c r="C220" s="965" t="str">
        <x:v>Avgift om hämtning ej kan utföras pga hinder, bristande väg eller vägran</x:v>
      </x:c>
      <x:c r="D220" s="965"/>
      <x:c r="E220" s="965" t="str">
        <x:v>kr/tillfälle</x:v>
      </x:c>
      <x:c r="F220" s="989"/>
      <x:c r="G220" s="996" t="str">
        <x:f>IF($F220&lt;&gt;"",$F220,IFERROR(_xlfn.XLOOKUP(ROW(),Taxa_Saknas!$H:$H,Taxa_Saknas!$G:$G),""))</x:f>
      </x:c>
      <x:c r="H220" s="1003" t="e">
        <x:f>IF($F220&lt;&gt;"",IFERROR(_xlfn.XLOOKUP($F220,Taxa_från_edp!$B:$B,Taxa_från_edp!C:C),""),"")</x:f>
      </x:c>
      <x:c r="I220" s="1004" t="e">
        <x:f>IF($F220&lt;&gt;"",IFERROR(_xlfn.XLOOKUP($F220,Taxa_från_edp!$B:$B,Taxa_från_edp!G:G),""),"")</x:f>
      </x:c>
      <x:c r="J220" s="1005" t="e">
        <x:f>IF($F220&lt;&gt;"",IFERROR(_xlfn.XLOOKUP($F220,Taxa_från_edp!$B:$B,Taxa_från_edp!K:K),""),"")</x:f>
      </x:c>
      <x:c r="K220" s="1016"/>
      <x:c r="L220" s="1022"/>
      <x:c r="M220" s="1029" t="str">
        <x:f>IFERROR(IF(J220&lt;&gt;"",J220*1.25,IF(K220&lt;&gt;"",K220*1.25,"")),"")</x:f>
      </x:c>
      <x:c r="N220" s="1030" t="str">
        <x:f>IFERROR(IF(J220&lt;&gt;"",L220*J220,IF(K220&lt;&gt;"",L220*K220,"")),"")</x:f>
      </x:c>
    </x:row>
    <x:row r="221" s="54" customFormat="1" ht="22" customHeight="1">
      <x:c r="A221" s="975" t="str">
        <x:v>§4.2</x:v>
      </x:c>
      <x:c r="B221" s="980"/>
      <x:c r="C221" s="980"/>
      <x:c r="D221" s="980"/>
      <x:c r="E221" s="981"/>
      <x:c r="F221" s="975"/>
      <x:c r="G221" s="980" t="str">
        <x:f>IF($F221&lt;&gt;"",$F221,IFERROR(_xlfn.XLOOKUP(ROW(),Taxa_Saknas!$H:$H,Taxa_Saknas!$G:$G),""))</x:f>
      </x:c>
      <x:c r="H221" s="980" t="e">
        <x:f>IF($F221&lt;&gt;"",IFERROR(_xlfn.XLOOKUP($F221,Taxa_från_edp!$B:$B,Taxa_från_edp!C:C),""),"")</x:f>
      </x:c>
      <x:c r="I221" s="983" t="e">
        <x:f>IF($F221&lt;&gt;"",IFERROR(_xlfn.XLOOKUP($F221,Taxa_från_edp!$B:$B,Taxa_från_edp!G:G),""),"")</x:f>
      </x:c>
      <x:c r="J221" s="983" t="e">
        <x:f>IF($F221&lt;&gt;"",IFERROR(_xlfn.XLOOKUP($F221,Taxa_från_edp!$B:$B,Taxa_från_edp!K:K),""),"")</x:f>
      </x:c>
      <x:c r="K221" s="983"/>
      <x:c r="L221" s="983"/>
      <x:c r="M221" s="976" t="str">
        <x:f>IFERROR(IF(J221&lt;&gt;"",J221*1.25,IF(K221&lt;&gt;"",K221*1.25,"")),"")</x:f>
      </x:c>
      <x:c r="N221" s="977" t="str">
        <x:f>IFERROR(IF(J221&lt;&gt;"",L221*J221,IF(K221&lt;&gt;"",L221*K221,"")),"")</x:f>
      </x:c>
    </x:row>
    <x:row r="222" s="54" customFormat="1" ht="22" customHeight="1">
      <x:c r="A222" s="975" t="str">
        <x:v>§5.1 Ordinarie tömning av fettavskiljare</x:v>
      </x:c>
      <x:c r="B222" s="980"/>
      <x:c r="C222" s="980"/>
      <x:c r="D222" s="980"/>
      <x:c r="E222" s="981"/>
      <x:c r="F222" s="975"/>
      <x:c r="G222" s="980" t="str">
        <x:f>IF($F222&lt;&gt;"",$F222,IFERROR(_xlfn.XLOOKUP(ROW(),Taxa_Saknas!$H:$H,Taxa_Saknas!$G:$G),""))</x:f>
      </x:c>
      <x:c r="H222" s="980" t="e">
        <x:f>IF($F222&lt;&gt;"",IFERROR(_xlfn.XLOOKUP($F222,Taxa_från_edp!$B:$B,Taxa_från_edp!C:C),""),"")</x:f>
      </x:c>
      <x:c r="I222" s="983" t="e">
        <x:f>IF($F222&lt;&gt;"",IFERROR(_xlfn.XLOOKUP($F222,Taxa_från_edp!$B:$B,Taxa_från_edp!G:G),""),"")</x:f>
      </x:c>
      <x:c r="J222" s="983" t="e">
        <x:f>IF($F222&lt;&gt;"",IFERROR(_xlfn.XLOOKUP($F222,Taxa_från_edp!$B:$B,Taxa_från_edp!K:K),""),"")</x:f>
      </x:c>
      <x:c r="K222" s="983"/>
      <x:c r="L222" s="983"/>
      <x:c r="M222" s="976" t="str">
        <x:f>IFERROR(IF(J222&lt;&gt;"",J222*1.25,IF(K222&lt;&gt;"",K222*1.25,"")),"")</x:f>
      </x:c>
      <x:c r="N222" s="977" t="str">
        <x:f>IFERROR(IF(J222&lt;&gt;"",L222*J222,IF(K222&lt;&gt;"",L222*K222,"")),"")</x:f>
      </x:c>
    </x:row>
    <x:row r="223" s="54" customFormat="1" ht="30" customHeight="1">
      <x:c r="A223" s="965" t="str">
        <x:v>§5.1</x:v>
      </x:c>
      <x:c r="B223" s="965" t="str">
        <x:v>Ordinarie tömning av fettavskiljare</x:v>
      </x:c>
      <x:c r="C223" s="965" t="str">
        <x:v>Upp till 3 m3</x:v>
      </x:c>
      <x:c r="D223" s="965" t="str">
        <x:v>Tömning, transport och behandling av fettavskiljare/tank enligt anmält tömningsintervall</x:v>
      </x:c>
      <x:c r="E223" s="965" t="str">
        <x:v>kr/tillfälle</x:v>
      </x:c>
      <x:c r="F223" s="989"/>
      <x:c r="G223" s="996" t="str">
        <x:f>IF($F223&lt;&gt;"",$F223,IFERROR(_xlfn.XLOOKUP(ROW(),Taxa_Saknas!$H:$H,Taxa_Saknas!$G:$G),""))</x:f>
      </x:c>
      <x:c r="H223" s="1003" t="e">
        <x:f>IF($F223&lt;&gt;"",IFERROR(_xlfn.XLOOKUP($F223,Taxa_från_edp!$B:$B,Taxa_från_edp!C:C),""),"")</x:f>
      </x:c>
      <x:c r="I223" s="1004" t="e">
        <x:f>IF($F223&lt;&gt;"",IFERROR(_xlfn.XLOOKUP($F223,Taxa_från_edp!$B:$B,Taxa_från_edp!G:G),""),"")</x:f>
      </x:c>
      <x:c r="J223" s="1005" t="e">
        <x:f>IF($F223&lt;&gt;"",IFERROR(_xlfn.XLOOKUP($F223,Taxa_från_edp!$B:$B,Taxa_från_edp!K:K),""),"")</x:f>
      </x:c>
      <x:c r="K223" s="1016"/>
      <x:c r="L223" s="1022"/>
      <x:c r="M223" s="1029" t="str">
        <x:f>IFERROR(IF(J223&lt;&gt;"",J223*1.25,IF(K223&lt;&gt;"",K223*1.25,"")),"")</x:f>
      </x:c>
      <x:c r="N223" s="1030" t="str">
        <x:f>IFERROR(IF(J223&lt;&gt;"",L223*J223,IF(K223&lt;&gt;"",L223*K223,"")),"")</x:f>
      </x:c>
    </x:row>
    <x:row r="224" s="54" customFormat="1" ht="30" customHeight="1">
      <x:c r="A224" s="965" t="str">
        <x:v>§5.1</x:v>
      </x:c>
      <x:c r="B224" s="965" t="str">
        <x:v>Ordinarie tömning av fettavskiljare</x:v>
      </x:c>
      <x:c r="C224" s="965" t="str">
        <x:v>Mellan 3 m3 och 6 m3</x:v>
      </x:c>
      <x:c r="D224" s="965" t="str">
        <x:v>Tömning, transport och behandling av fettavskiljare/tank enligt anmält tömningsintervall</x:v>
      </x:c>
      <x:c r="E224" s="965" t="str">
        <x:v>kr/tillfälle</x:v>
      </x:c>
      <x:c r="F224" s="989"/>
      <x:c r="G224" s="996" t="str">
        <x:f>IF($F224&lt;&gt;"",$F224,IFERROR(_xlfn.XLOOKUP(ROW(),Taxa_Saknas!$H:$H,Taxa_Saknas!$G:$G),""))</x:f>
      </x:c>
      <x:c r="H224" s="1003" t="e">
        <x:f>IF($F224&lt;&gt;"",IFERROR(_xlfn.XLOOKUP($F224,Taxa_från_edp!$B:$B,Taxa_från_edp!C:C),""),"")</x:f>
      </x:c>
      <x:c r="I224" s="1004" t="e">
        <x:f>IF($F224&lt;&gt;"",IFERROR(_xlfn.XLOOKUP($F224,Taxa_från_edp!$B:$B,Taxa_från_edp!G:G),""),"")</x:f>
      </x:c>
      <x:c r="J224" s="1005" t="e">
        <x:f>IF($F224&lt;&gt;"",IFERROR(_xlfn.XLOOKUP($F224,Taxa_från_edp!$B:$B,Taxa_från_edp!K:K),""),"")</x:f>
      </x:c>
      <x:c r="K224" s="1016"/>
      <x:c r="L224" s="1022"/>
      <x:c r="M224" s="1029" t="str">
        <x:f>IFERROR(IF(J224&lt;&gt;"",J224*1.25,IF(K224&lt;&gt;"",K224*1.25,"")),"")</x:f>
      </x:c>
      <x:c r="N224" s="1030" t="str">
        <x:f>IFERROR(IF(J224&lt;&gt;"",L224*J224,IF(K224&lt;&gt;"",L224*K224,"")),"")</x:f>
      </x:c>
    </x:row>
    <x:row r="225" s="54" customFormat="1" ht="30" customHeight="1">
      <x:c r="A225" s="965" t="str">
        <x:v>§5.1</x:v>
      </x:c>
      <x:c r="B225" s="965" t="str">
        <x:v>Ordinarie tömning av fettavskiljare</x:v>
      </x:c>
      <x:c r="C225" s="965" t="str">
        <x:v>Över 6 m3</x:v>
      </x:c>
      <x:c r="D225" s="965" t="str">
        <x:v>Tömning, transport och behandling av fettavskiljare/tank enligt anmält tömningsintervall</x:v>
      </x:c>
      <x:c r="E225" s="965" t="str">
        <x:v>kr/tillfälle</x:v>
      </x:c>
      <x:c r="F225" s="989"/>
      <x:c r="G225" s="996" t="str">
        <x:f>IF($F225&lt;&gt;"",$F225,IFERROR(_xlfn.XLOOKUP(ROW(),Taxa_Saknas!$H:$H,Taxa_Saknas!$G:$G),""))</x:f>
      </x:c>
      <x:c r="H225" s="1003" t="e">
        <x:f>IF($F225&lt;&gt;"",IFERROR(_xlfn.XLOOKUP($F225,Taxa_från_edp!$B:$B,Taxa_från_edp!C:C),""),"")</x:f>
      </x:c>
      <x:c r="I225" s="1004" t="e">
        <x:f>IF($F225&lt;&gt;"",IFERROR(_xlfn.XLOOKUP($F225,Taxa_från_edp!$B:$B,Taxa_från_edp!G:G),""),"")</x:f>
      </x:c>
      <x:c r="J225" s="1005" t="e">
        <x:f>IF($F225&lt;&gt;"",IFERROR(_xlfn.XLOOKUP($F225,Taxa_från_edp!$B:$B,Taxa_från_edp!K:K),""),"")</x:f>
      </x:c>
      <x:c r="K225" s="1016"/>
      <x:c r="L225" s="1022"/>
      <x:c r="M225" s="1029" t="str">
        <x:f>IFERROR(IF(J225&lt;&gt;"",J225*1.25,IF(K225&lt;&gt;"",K225*1.25,"")),"")</x:f>
      </x:c>
      <x:c r="N225" s="1030" t="str">
        <x:f>IFERROR(IF(J225&lt;&gt;"",L225*J225,IF(K225&lt;&gt;"",L225*K225,"")),"")</x:f>
      </x:c>
    </x:row>
    <x:row r="226">
      <x:c r="A226" s="965" t="str">
        <x:v>§5.1</x:v>
      </x:c>
      <x:c r="B226" s="969" t="str">
        <x:v>Ordinarie tömning av fettavskiljare</x:v>
      </x:c>
      <x:c r="C226" s="969" t="str">
        <x:v>Upp till 3 m3</x:v>
      </x:c>
      <x:c r="D226" s="969" t="str">
        <x:v>Tillägg för transport och behandlingskostnad</x:v>
      </x:c>
      <x:c r="E226" s="969" t="str">
        <x:v>kr/tillfälle</x:v>
      </x:c>
      <x:c r="F226" s="991"/>
      <x:c r="G226" s="998" t="str">
        <x:f>IF($F226&lt;&gt;"",$F226,IFERROR(_xlfn.XLOOKUP(ROW(),Taxa_Saknas!$H:$H,Taxa_Saknas!$G:$G),""))</x:f>
      </x:c>
      <x:c r="H226" s="1008" t="e">
        <x:f>IF($F226&lt;&gt;"",IFERROR(_xlfn.XLOOKUP($F226,Taxa_från_edp!$B:$B,Taxa_från_edp!C:C),""),"")</x:f>
      </x:c>
      <x:c r="I226" s="1008" t="e">
        <x:f>IF($F226&lt;&gt;"",IFERROR(_xlfn.XLOOKUP($F226,Taxa_från_edp!$B:$B,Taxa_från_edp!G:G),""),"")</x:f>
      </x:c>
      <x:c r="J226" s="1008" t="e">
        <x:f>IF($F226&lt;&gt;"",IFERROR(_xlfn.XLOOKUP($F226,Taxa_från_edp!$B:$B,Taxa_från_edp!K:K),""),"")</x:f>
      </x:c>
      <x:c r="K226" s="998"/>
      <x:c r="L226" s="991"/>
      <x:c r="M226" s="1029" t="str">
        <x:f>IFERROR(IF(J226&lt;&gt;"",J226*1.25,IF(K226&lt;&gt;"",K226*1.25,"")),"")</x:f>
      </x:c>
      <x:c r="N226" s="1030" t="str">
        <x:f>IFERROR(IF(J226&lt;&gt;"",L226*J226,IF(K226&lt;&gt;"",L226*K226,"")),"")</x:f>
      </x:c>
    </x:row>
    <x:row r="227" s="54" customFormat="1" ht="30" customHeight="1">
      <x:c r="A227" s="965" t="str">
        <x:v>§5.1</x:v>
      </x:c>
      <x:c r="B227" s="965" t="str">
        <x:v>Ordinarie tömning av fettavskiljare</x:v>
      </x:c>
      <x:c r="C227" s="965" t="str">
        <x:v>Mellan 3 m3 och 6 m3</x:v>
      </x:c>
      <x:c r="D227" s="965" t="str">
        <x:v>Tillägg för transport och behandlingskostnad</x:v>
      </x:c>
      <x:c r="E227" s="965" t="str">
        <x:v>kr/tillfälle</x:v>
      </x:c>
      <x:c r="F227" s="994"/>
      <x:c r="G227" s="1001" t="str">
        <x:f>IF($F227&lt;&gt;"",$F227,IFERROR(_xlfn.XLOOKUP(ROW(),Taxa_Saknas!$H:$H,Taxa_Saknas!$G:$G),""))</x:f>
      </x:c>
      <x:c r="H227" s="1014" t="e">
        <x:f>IF($F227&lt;&gt;"",IFERROR(_xlfn.XLOOKUP($F227,Taxa_från_edp!$B:$B,Taxa_från_edp!C:C),""),"")</x:f>
      </x:c>
      <x:c r="I227" s="1015" t="e">
        <x:f>IF($F227&lt;&gt;"",IFERROR(_xlfn.XLOOKUP($F227,Taxa_från_edp!$B:$B,Taxa_från_edp!G:G),""),"")</x:f>
      </x:c>
      <x:c r="J227" s="1015" t="e">
        <x:f>IF($F227&lt;&gt;"",IFERROR(_xlfn.XLOOKUP($F227,Taxa_från_edp!$B:$B,Taxa_från_edp!K:K),""),"")</x:f>
      </x:c>
      <x:c r="K227" s="1020"/>
      <x:c r="L227" s="1026"/>
      <x:c r="M227" s="1029" t="str">
        <x:f>IFERROR(IF(J227&lt;&gt;"",J227*1.25,IF(K227&lt;&gt;"",K227*1.25,"")),"")</x:f>
      </x:c>
      <x:c r="N227" s="1030" t="str">
        <x:f>IFERROR(IF(J227&lt;&gt;"",L227*J227,IF(K227&lt;&gt;"",L227*K227,"")),"")</x:f>
      </x:c>
    </x:row>
    <x:row r="228" s="54" customFormat="1" ht="30" customHeight="1">
      <x:c r="A228" s="965" t="str">
        <x:v>§5.1</x:v>
      </x:c>
      <x:c r="B228" s="965" t="str">
        <x:v>Ordinarie tömning av fettavskiljare</x:v>
      </x:c>
      <x:c r="C228" s="965" t="str">
        <x:v>Över 6 m3</x:v>
      </x:c>
      <x:c r="D228" s="965" t="str">
        <x:v>Tillägg för transport och behandlingskostnad</x:v>
      </x:c>
      <x:c r="E228" s="965" t="str">
        <x:v>kr/tillfälle</x:v>
      </x:c>
      <x:c r="F228" s="989"/>
      <x:c r="G228" s="996" t="str">
        <x:f>IF($F228&lt;&gt;"",$F228,IFERROR(_xlfn.XLOOKUP(ROW(),Taxa_Saknas!$H:$H,Taxa_Saknas!$G:$G),""))</x:f>
      </x:c>
      <x:c r="H228" s="1003" t="e">
        <x:f>IF($F228&lt;&gt;"",IFERROR(_xlfn.XLOOKUP($F228,Taxa_från_edp!$B:$B,Taxa_från_edp!C:C),""),"")</x:f>
      </x:c>
      <x:c r="I228" s="1004" t="e">
        <x:f>IF($F228&lt;&gt;"",IFERROR(_xlfn.XLOOKUP($F228,Taxa_från_edp!$B:$B,Taxa_från_edp!G:G),""),"")</x:f>
      </x:c>
      <x:c r="J228" s="1005" t="e">
        <x:f>IF($F228&lt;&gt;"",IFERROR(_xlfn.XLOOKUP($F228,Taxa_från_edp!$B:$B,Taxa_från_edp!K:K),""),"")</x:f>
      </x:c>
      <x:c r="K228" s="1016"/>
      <x:c r="L228" s="1022"/>
      <x:c r="M228" s="1029" t="str">
        <x:f>IFERROR(IF(J228&lt;&gt;"",J228*1.25,IF(K228&lt;&gt;"",K228*1.25,"")),"")</x:f>
      </x:c>
      <x:c r="N228" s="1030" t="str">
        <x:f>IFERROR(IF(J228&lt;&gt;"",L228*J228,IF(K228&lt;&gt;"",L228*K228,"")),"")</x:f>
      </x:c>
    </x:row>
    <x:row r="229" s="54" customFormat="1" ht="22" customHeight="1">
      <x:c r="A229" s="975" t="str">
        <x:v>§5.1</x:v>
      </x:c>
      <x:c r="B229" s="980"/>
      <x:c r="C229" s="980"/>
      <x:c r="D229" s="980"/>
      <x:c r="E229" s="981"/>
      <x:c r="F229" s="975"/>
      <x:c r="G229" s="980" t="str">
        <x:f>IF($F229&lt;&gt;"",$F229,IFERROR(_xlfn.XLOOKUP(ROW(),Taxa_Saknas!$H:$H,Taxa_Saknas!$G:$G),""))</x:f>
      </x:c>
      <x:c r="H229" s="980" t="e">
        <x:f>IF($F229&lt;&gt;"",IFERROR(_xlfn.XLOOKUP($F229,Taxa_från_edp!$B:$B,Taxa_från_edp!C:C),""),"")</x:f>
      </x:c>
      <x:c r="I229" s="983" t="e">
        <x:f>IF($F229&lt;&gt;"",IFERROR(_xlfn.XLOOKUP($F229,Taxa_från_edp!$B:$B,Taxa_från_edp!G:G),""),"")</x:f>
      </x:c>
      <x:c r="J229" s="983" t="e">
        <x:f>IF($F229&lt;&gt;"",IFERROR(_xlfn.XLOOKUP($F229,Taxa_från_edp!$B:$B,Taxa_från_edp!K:K),""),"")</x:f>
      </x:c>
      <x:c r="K229" s="983"/>
      <x:c r="L229" s="983"/>
      <x:c r="M229" s="976" t="str">
        <x:f>IFERROR(IF(J229&lt;&gt;"",J229*1.25,IF(K229&lt;&gt;"",K229*1.25,"")),"")</x:f>
      </x:c>
      <x:c r="N229" s="977" t="str">
        <x:f>IFERROR(IF(J229&lt;&gt;"",L229*J229,IF(K229&lt;&gt;"",L229*K229,"")),"")</x:f>
      </x:c>
    </x:row>
    <x:row r="230" s="54" customFormat="1" ht="22" customHeight="1">
      <x:c r="A230" s="975" t="str">
        <x:v>§5.2 Tilläggstjänster fettavskiljare</x:v>
      </x:c>
      <x:c r="B230" s="980"/>
      <x:c r="C230" s="980"/>
      <x:c r="D230" s="980"/>
      <x:c r="E230" s="981"/>
      <x:c r="F230" s="975"/>
      <x:c r="G230" s="980" t="str">
        <x:f>IF($F230&lt;&gt;"",$F230,IFERROR(_xlfn.XLOOKUP(ROW(),Taxa_Saknas!$H:$H,Taxa_Saknas!$G:$G),""))</x:f>
      </x:c>
      <x:c r="H230" s="980" t="e">
        <x:f>IF($F230&lt;&gt;"",IFERROR(_xlfn.XLOOKUP($F230,Taxa_från_edp!$B:$B,Taxa_från_edp!C:C),""),"")</x:f>
      </x:c>
      <x:c r="I230" s="983" t="e">
        <x:f>IF($F230&lt;&gt;"",IFERROR(_xlfn.XLOOKUP($F230,Taxa_från_edp!$B:$B,Taxa_från_edp!G:G),""),"")</x:f>
      </x:c>
      <x:c r="J230" s="983" t="e">
        <x:f>IF($F230&lt;&gt;"",IFERROR(_xlfn.XLOOKUP($F230,Taxa_från_edp!$B:$B,Taxa_från_edp!K:K),""),"")</x:f>
      </x:c>
      <x:c r="K230" s="983"/>
      <x:c r="L230" s="983"/>
      <x:c r="M230" s="976" t="str">
        <x:f>IFERROR(IF(J230&lt;&gt;"",J230*1.25,IF(K230&lt;&gt;"",K230*1.25,"")),"")</x:f>
      </x:c>
      <x:c r="N230" s="977" t="str">
        <x:f>IFERROR(IF(J230&lt;&gt;"",L230*J230,IF(K230&lt;&gt;"",L230*K230,"")),"")</x:f>
      </x:c>
    </x:row>
    <x:row r="231" s="54" customFormat="1" ht="30" customHeight="1">
      <x:c r="A231" s="965" t="str">
        <x:v>§5.2</x:v>
      </x:c>
      <x:c r="B231" s="965" t="str">
        <x:v>Tilläggstjänster fettavskiljare</x:v>
      </x:c>
      <x:c r="C231" s="965" t="str">
        <x:v>Dragning av extra slang vid 5-25 m</x:v>
      </x:c>
      <x:c r="D231" s="965"/>
      <x:c r="E231" s="965" t="str">
        <x:v>kr/tillfälle</x:v>
      </x:c>
      <x:c r="F231" s="989"/>
      <x:c r="G231" s="996" t="str">
        <x:f>IF($F231&lt;&gt;"",$F231,IFERROR(_xlfn.XLOOKUP(ROW(),Taxa_Saknas!$H:$H,Taxa_Saknas!$G:$G),""))</x:f>
      </x:c>
      <x:c r="H231" s="1003" t="e">
        <x:f>IF($F231&lt;&gt;"",IFERROR(_xlfn.XLOOKUP($F231,Taxa_från_edp!$B:$B,Taxa_från_edp!C:C),""),"")</x:f>
      </x:c>
      <x:c r="I231" s="1004" t="e">
        <x:f>IF($F231&lt;&gt;"",IFERROR(_xlfn.XLOOKUP($F231,Taxa_från_edp!$B:$B,Taxa_från_edp!G:G),""),"")</x:f>
      </x:c>
      <x:c r="J231" s="1005" t="e">
        <x:f>IF($F231&lt;&gt;"",IFERROR(_xlfn.XLOOKUP($F231,Taxa_från_edp!$B:$B,Taxa_från_edp!K:K),""),"")</x:f>
      </x:c>
      <x:c r="K231" s="1016"/>
      <x:c r="L231" s="1022"/>
      <x:c r="M231" s="1029" t="str">
        <x:f>IFERROR(IF(J231&lt;&gt;"",J231*1.25,IF(K231&lt;&gt;"",K231*1.25,"")),"")</x:f>
      </x:c>
      <x:c r="N231" s="1030" t="str">
        <x:f>IFERROR(IF(J231&lt;&gt;"",L231*J231,IF(K231&lt;&gt;"",L231*K231,"")),"")</x:f>
      </x:c>
    </x:row>
    <x:row r="232" s="54" customFormat="1" ht="30" customHeight="1">
      <x:c r="A232" s="965" t="str">
        <x:v>§5.2</x:v>
      </x:c>
      <x:c r="B232" s="965" t="str">
        <x:v>Tilläggstjänster fettavskiljare</x:v>
      </x:c>
      <x:c r="C232" s="965" t="str">
        <x:v>Dragning av extra slang vid 25-35 m</x:v>
      </x:c>
      <x:c r="D232" s="965"/>
      <x:c r="E232" s="965" t="str">
        <x:v>kr/tillfälle</x:v>
      </x:c>
      <x:c r="F232" s="989"/>
      <x:c r="G232" s="996" t="str">
        <x:f>IF($F232&lt;&gt;"",$F232,IFERROR(_xlfn.XLOOKUP(ROW(),Taxa_Saknas!$H:$H,Taxa_Saknas!$G:$G),""))</x:f>
      </x:c>
      <x:c r="H232" s="1003" t="e">
        <x:f>IF($F232&lt;&gt;"",IFERROR(_xlfn.XLOOKUP($F232,Taxa_från_edp!$B:$B,Taxa_från_edp!C:C),""),"")</x:f>
      </x:c>
      <x:c r="I232" s="1004" t="e">
        <x:f>IF($F232&lt;&gt;"",IFERROR(_xlfn.XLOOKUP($F232,Taxa_från_edp!$B:$B,Taxa_från_edp!G:G),""),"")</x:f>
      </x:c>
      <x:c r="J232" s="1005" t="e">
        <x:f>IF($F232&lt;&gt;"",IFERROR(_xlfn.XLOOKUP($F232,Taxa_från_edp!$B:$B,Taxa_från_edp!K:K),""),"")</x:f>
      </x:c>
      <x:c r="K232" s="1016"/>
      <x:c r="L232" s="1022"/>
      <x:c r="M232" s="1029" t="str">
        <x:f>IFERROR(IF(J232&lt;&gt;"",J232*1.25,IF(K232&lt;&gt;"",K232*1.25,"")),"")</x:f>
      </x:c>
      <x:c r="N232" s="1030" t="str">
        <x:f>IFERROR(IF(J232&lt;&gt;"",L232*J232,IF(K232&lt;&gt;"",L232*K232,"")),"")</x:f>
      </x:c>
    </x:row>
    <x:row r="233" s="54" customFormat="1" ht="30" customHeight="1">
      <x:c r="A233" s="965" t="str">
        <x:v>§5.2</x:v>
      </x:c>
      <x:c r="B233" s="965" t="str">
        <x:v>Tilläggstjänster fettavskiljare</x:v>
      </x:c>
      <x:c r="C233" s="965" t="str">
        <x:v>Dragning av extra slang vid 36-45 m</x:v>
      </x:c>
      <x:c r="D233" s="965"/>
      <x:c r="E233" s="965" t="str">
        <x:v>kr/tillfälle</x:v>
      </x:c>
      <x:c r="F233" s="989"/>
      <x:c r="G233" s="996" t="str">
        <x:f>IF($F233&lt;&gt;"",$F233,IFERROR(_xlfn.XLOOKUP(ROW(),Taxa_Saknas!$H:$H,Taxa_Saknas!$G:$G),""))</x:f>
      </x:c>
      <x:c r="H233" s="1003" t="e">
        <x:f>IF($F233&lt;&gt;"",IFERROR(_xlfn.XLOOKUP($F233,Taxa_från_edp!$B:$B,Taxa_från_edp!C:C),""),"")</x:f>
      </x:c>
      <x:c r="I233" s="1004" t="e">
        <x:f>IF($F233&lt;&gt;"",IFERROR(_xlfn.XLOOKUP($F233,Taxa_från_edp!$B:$B,Taxa_från_edp!G:G),""),"")</x:f>
      </x:c>
      <x:c r="J233" s="1005" t="e">
        <x:f>IF($F233&lt;&gt;"",IFERROR(_xlfn.XLOOKUP($F233,Taxa_från_edp!$B:$B,Taxa_från_edp!K:K),""),"")</x:f>
      </x:c>
      <x:c r="K233" s="1016"/>
      <x:c r="L233" s="1022"/>
      <x:c r="M233" s="1029" t="str">
        <x:f>IFERROR(IF(J233&lt;&gt;"",J233*1.25,IF(K233&lt;&gt;"",K233*1.25,"")),"")</x:f>
      </x:c>
      <x:c r="N233" s="1030" t="str">
        <x:f>IFERROR(IF(J233&lt;&gt;"",L233*J233,IF(K233&lt;&gt;"",L233*K233,"")),"")</x:f>
      </x:c>
    </x:row>
    <x:row r="234">
      <x:c r="A234" s="965" t="str">
        <x:v>§5.2</x:v>
      </x:c>
      <x:c r="B234" s="969" t="str">
        <x:v>Tilläggstjänster fettavskiljare</x:v>
      </x:c>
      <x:c r="C234" s="969" t="str">
        <x:v>Dragning av extra slang vid 46-55 m</x:v>
      </x:c>
      <x:c r="D234" s="969"/>
      <x:c r="E234" s="969" t="str">
        <x:v>kr/tillfälle</x:v>
      </x:c>
      <x:c r="F234" s="991"/>
      <x:c r="G234" s="998" t="str">
        <x:f>IF($F234&lt;&gt;"",$F234,IFERROR(_xlfn.XLOOKUP(ROW(),Taxa_Saknas!$H:$H,Taxa_Saknas!$G:$G),""))</x:f>
      </x:c>
      <x:c r="H234" s="1008" t="e">
        <x:f>IF($F234&lt;&gt;"",IFERROR(_xlfn.XLOOKUP($F234,Taxa_från_edp!$B:$B,Taxa_från_edp!C:C),""),"")</x:f>
      </x:c>
      <x:c r="I234" s="1008" t="e">
        <x:f>IF($F234&lt;&gt;"",IFERROR(_xlfn.XLOOKUP($F234,Taxa_från_edp!$B:$B,Taxa_från_edp!G:G),""),"")</x:f>
      </x:c>
      <x:c r="J234" s="1008" t="e">
        <x:f>IF($F234&lt;&gt;"",IFERROR(_xlfn.XLOOKUP($F234,Taxa_från_edp!$B:$B,Taxa_från_edp!K:K),""),"")</x:f>
      </x:c>
      <x:c r="K234" s="998"/>
      <x:c r="L234" s="991"/>
      <x:c r="M234" s="1029" t="str">
        <x:f>IFERROR(IF(J234&lt;&gt;"",J234*1.25,IF(K234&lt;&gt;"",K234*1.25,"")),"")</x:f>
      </x:c>
      <x:c r="N234" s="1030" t="str">
        <x:f>IFERROR(IF(J234&lt;&gt;"",L234*J234,IF(K234&lt;&gt;"",L234*K234,"")),"")</x:f>
      </x:c>
    </x:row>
    <x:row r="235" s="54" customFormat="1" ht="30" customHeight="1">
      <x:c r="A235" s="965" t="str">
        <x:v>§5.2</x:v>
      </x:c>
      <x:c r="B235" s="965" t="str">
        <x:v>Tilläggstjänster fettavskiljare</x:v>
      </x:c>
      <x:c r="C235" s="965" t="str">
        <x:v>Hantering av brunnslock som väger 15-25 kg</x:v>
      </x:c>
      <x:c r="D235" s="965"/>
      <x:c r="E235" s="965" t="str">
        <x:v>kr/tillfälle</x:v>
      </x:c>
      <x:c r="F235" s="993"/>
      <x:c r="G235" s="1000" t="str">
        <x:f>IF($F235&lt;&gt;"",$F235,IFERROR(_xlfn.XLOOKUP(ROW(),Taxa_Saknas!$H:$H,Taxa_Saknas!$G:$G),""))</x:f>
      </x:c>
      <x:c r="H235" s="1012" t="e">
        <x:f>IF($F235&lt;&gt;"",IFERROR(_xlfn.XLOOKUP($F235,Taxa_från_edp!$B:$B,Taxa_från_edp!C:C),""),"")</x:f>
      </x:c>
      <x:c r="I235" s="1013" t="e">
        <x:f>IF($F235&lt;&gt;"",IFERROR(_xlfn.XLOOKUP($F235,Taxa_från_edp!$B:$B,Taxa_från_edp!G:G),""),"")</x:f>
      </x:c>
      <x:c r="J235" s="1013" t="e">
        <x:f>IF($F235&lt;&gt;"",IFERROR(_xlfn.XLOOKUP($F235,Taxa_från_edp!$B:$B,Taxa_från_edp!K:K),""),"")</x:f>
      </x:c>
      <x:c r="K235" s="1019"/>
      <x:c r="L235" s="1025"/>
      <x:c r="M235" s="1029" t="str">
        <x:f>IFERROR(IF(J235&lt;&gt;"",J235*1.25,IF(K235&lt;&gt;"",K235*1.25,"")),"")</x:f>
      </x:c>
      <x:c r="N235" s="1030" t="str">
        <x:f>IFERROR(IF(J235&lt;&gt;"",L235*J235,IF(K235&lt;&gt;"",L235*K235,"")),"")</x:f>
      </x:c>
    </x:row>
    <x:row r="236" s="54" customFormat="1" ht="30" customHeight="1">
      <x:c r="A236" s="965" t="str">
        <x:v>§5.2</x:v>
      </x:c>
      <x:c r="B236" s="965" t="str">
        <x:v>Tilläggstjänster fettavskiljare</x:v>
      </x:c>
      <x:c r="C236" s="965" t="str">
        <x:v>Krav på information om tömningstid</x:v>
      </x:c>
      <x:c r="D236" s="965"/>
      <x:c r="E236" s="965" t="str">
        <x:v>kr/tillfälle</x:v>
      </x:c>
      <x:c r="F236" s="989"/>
      <x:c r="G236" s="996" t="str">
        <x:f>IF($F236&lt;&gt;"",$F236,IFERROR(_xlfn.XLOOKUP(ROW(),Taxa_Saknas!$H:$H,Taxa_Saknas!$G:$G),""))</x:f>
      </x:c>
      <x:c r="H236" s="1003" t="e">
        <x:f>IF($F236&lt;&gt;"",IFERROR(_xlfn.XLOOKUP($F236,Taxa_från_edp!$B:$B,Taxa_från_edp!C:C),""),"")</x:f>
      </x:c>
      <x:c r="I236" s="1004" t="e">
        <x:f>IF($F236&lt;&gt;"",IFERROR(_xlfn.XLOOKUP($F236,Taxa_från_edp!$B:$B,Taxa_från_edp!G:G),""),"")</x:f>
      </x:c>
      <x:c r="J236" s="1005" t="e">
        <x:f>IF($F236&lt;&gt;"",IFERROR(_xlfn.XLOOKUP($F236,Taxa_från_edp!$B:$B,Taxa_från_edp!K:K),""),"")</x:f>
      </x:c>
      <x:c r="K236" s="1016"/>
      <x:c r="L236" s="1022"/>
      <x:c r="M236" s="1029" t="str">
        <x:f>IFERROR(IF(J236&lt;&gt;"",J236*1.25,IF(K236&lt;&gt;"",K236*1.25,"")),"")</x:f>
      </x:c>
      <x:c r="N236" s="1030" t="str">
        <x:f>IFERROR(IF(J236&lt;&gt;"",L236*J236,IF(K236&lt;&gt;"",L236*K236,"")),"")</x:f>
      </x:c>
    </x:row>
    <x:row r="237" s="54" customFormat="1" ht="22" customHeight="1">
      <x:c r="A237" s="975" t="str">
        <x:v>§5.2</x:v>
      </x:c>
      <x:c r="B237" s="980"/>
      <x:c r="C237" s="980"/>
      <x:c r="D237" s="980"/>
      <x:c r="E237" s="981"/>
      <x:c r="F237" s="975"/>
      <x:c r="G237" s="980" t="str">
        <x:f>IF($F237&lt;&gt;"",$F237,IFERROR(_xlfn.XLOOKUP(ROW(),Taxa_Saknas!$H:$H,Taxa_Saknas!$G:$G),""))</x:f>
      </x:c>
      <x:c r="H237" s="980" t="e">
        <x:f>IF($F237&lt;&gt;"",IFERROR(_xlfn.XLOOKUP($F237,Taxa_från_edp!$B:$B,Taxa_från_edp!C:C),""),"")</x:f>
      </x:c>
      <x:c r="I237" s="983" t="e">
        <x:f>IF($F237&lt;&gt;"",IFERROR(_xlfn.XLOOKUP($F237,Taxa_från_edp!$B:$B,Taxa_från_edp!G:G),""),"")</x:f>
      </x:c>
      <x:c r="J237" s="983" t="e">
        <x:f>IF($F237&lt;&gt;"",IFERROR(_xlfn.XLOOKUP($F237,Taxa_från_edp!$B:$B,Taxa_från_edp!K:K),""),"")</x:f>
      </x:c>
      <x:c r="K237" s="983"/>
      <x:c r="L237" s="983"/>
      <x:c r="M237" s="976" t="str">
        <x:f>IFERROR(IF(J237&lt;&gt;"",J237*1.25,IF(K237&lt;&gt;"",K237*1.25,"")),"")</x:f>
      </x:c>
      <x:c r="N237" s="977" t="str">
        <x:f>IFERROR(IF(J237&lt;&gt;"",L237*J237,IF(K237&lt;&gt;"",L237*K237,"")),"")</x:f>
      </x:c>
    </x:row>
    <x:row r="238" s="54" customFormat="1" ht="30" customHeight="1">
      <x:c r="A238" s="965" t="str">
        <x:v>§5.2</x:v>
      </x:c>
      <x:c r="B238" s="965" t="str">
        <x:v>Tilläggstjänster fettavskiljare</x:v>
      </x:c>
      <x:c r="C238" s="965" t="str">
        <x:v>Hantering av kod för kodlås vid tömning</x:v>
      </x:c>
      <x:c r="D238" s="965"/>
      <x:c r="E238" s="965" t="str">
        <x:v>kr/tillfälle</x:v>
      </x:c>
      <x:c r="F238" s="989"/>
      <x:c r="G238" s="996" t="str">
        <x:f>IF($F238&lt;&gt;"",$F238,IFERROR(_xlfn.XLOOKUP(ROW(),Taxa_Saknas!$H:$H,Taxa_Saknas!$G:$G),""))</x:f>
      </x:c>
      <x:c r="H238" s="1003" t="e">
        <x:f>IF($F238&lt;&gt;"",IFERROR(_xlfn.XLOOKUP($F238,Taxa_från_edp!$B:$B,Taxa_från_edp!C:C),""),"")</x:f>
      </x:c>
      <x:c r="I238" s="1004" t="e">
        <x:f>IF($F238&lt;&gt;"",IFERROR(_xlfn.XLOOKUP($F238,Taxa_från_edp!$B:$B,Taxa_från_edp!G:G),""),"")</x:f>
      </x:c>
      <x:c r="J238" s="1005" t="e">
        <x:f>IF($F238&lt;&gt;"",IFERROR(_xlfn.XLOOKUP($F238,Taxa_från_edp!$B:$B,Taxa_från_edp!K:K),""),"")</x:f>
      </x:c>
      <x:c r="K238" s="1016"/>
      <x:c r="L238" s="1022"/>
      <x:c r="M238" s="1029" t="str">
        <x:f>IFERROR(IF(J238&lt;&gt;"",J238*1.25,IF(K238&lt;&gt;"",K238*1.25,"")),"")</x:f>
      </x:c>
      <x:c r="N238" s="1030" t="str">
        <x:f>IFERROR(IF(J238&lt;&gt;"",L238*J238,IF(K238&lt;&gt;"",L238*K238,"")),"")</x:f>
      </x:c>
    </x:row>
    <x:row r="239" s="54" customFormat="1" ht="30" customHeight="1">
      <x:c r="A239" s="965" t="str">
        <x:v>§5.2</x:v>
      </x:c>
      <x:c r="B239" s="965" t="str">
        <x:v>Tilläggstjänster fettavskiljare</x:v>
      </x:c>
      <x:c r="C239" s="965" t="str">
        <x:v>Hetvattentvätt med spolbil, timersättning</x:v>
      </x:c>
      <x:c r="D239" s="965"/>
      <x:c r="E239" s="965" t="str">
        <x:v>kr/tillfälle</x:v>
      </x:c>
      <x:c r="F239" s="989"/>
      <x:c r="G239" s="996" t="str">
        <x:f>IF($F239&lt;&gt;"",$F239,IFERROR(_xlfn.XLOOKUP(ROW(),Taxa_Saknas!$H:$H,Taxa_Saknas!$G:$G),""))</x:f>
      </x:c>
      <x:c r="H239" s="1003" t="e">
        <x:f>IF($F239&lt;&gt;"",IFERROR(_xlfn.XLOOKUP($F239,Taxa_från_edp!$B:$B,Taxa_från_edp!C:C),""),"")</x:f>
      </x:c>
      <x:c r="I239" s="1004" t="e">
        <x:f>IF($F239&lt;&gt;"",IFERROR(_xlfn.XLOOKUP($F239,Taxa_från_edp!$B:$B,Taxa_från_edp!G:G),""),"")</x:f>
      </x:c>
      <x:c r="J239" s="1005" t="e">
        <x:f>IF($F239&lt;&gt;"",IFERROR(_xlfn.XLOOKUP($F239,Taxa_från_edp!$B:$B,Taxa_från_edp!K:K),""),"")</x:f>
      </x:c>
      <x:c r="K239" s="1016"/>
      <x:c r="L239" s="1022"/>
      <x:c r="M239" s="1029" t="str">
        <x:f>IFERROR(IF(J239&lt;&gt;"",J239*1.25,IF(K239&lt;&gt;"",K239*1.25,"")),"")</x:f>
      </x:c>
      <x:c r="N239" s="1030" t="str">
        <x:f>IFERROR(IF(J239&lt;&gt;"",L239*J239,IF(K239&lt;&gt;"",L239*K239,"")),"")</x:f>
      </x:c>
    </x:row>
    <x:row r="240" s="54" customFormat="1" ht="30" customHeight="1">
      <x:c r="A240" s="965" t="str">
        <x:v>§5.2</x:v>
      </x:c>
      <x:c r="B240" s="965" t="str">
        <x:v>Tilläggstjänster fettavskiljare</x:v>
      </x:c>
      <x:c r="C240" s="965" t="str">
        <x:v>Silikontätning per lock</x:v>
      </x:c>
      <x:c r="D240" s="965"/>
      <x:c r="E240" s="965" t="str">
        <x:v>kr/tillfälle</x:v>
      </x:c>
      <x:c r="F240" s="992"/>
      <x:c r="G240" s="999" t="str">
        <x:f>IF($F240&lt;&gt;"",$F240,IFERROR(_xlfn.XLOOKUP(ROW(),Taxa_Saknas!$H:$H,Taxa_Saknas!$G:$G),""))</x:f>
      </x:c>
      <x:c r="H240" s="1009" t="e">
        <x:f>IF($F240&lt;&gt;"",IFERROR(_xlfn.XLOOKUP($F240,Taxa_från_edp!$B:$B,Taxa_från_edp!C:C),""),"")</x:f>
      </x:c>
      <x:c r="I240" s="1010" t="e">
        <x:f>IF($F240&lt;&gt;"",IFERROR(_xlfn.XLOOKUP($F240,Taxa_från_edp!$B:$B,Taxa_från_edp!G:G),""),"")</x:f>
      </x:c>
      <x:c r="J240" s="1011" t="e">
        <x:f>IF($F240&lt;&gt;"",IFERROR(_xlfn.XLOOKUP($F240,Taxa_från_edp!$B:$B,Taxa_från_edp!K:K),""),"")</x:f>
      </x:c>
      <x:c r="K240" s="1018"/>
      <x:c r="L240" s="1024"/>
      <x:c r="M240" s="1029" t="str">
        <x:f>IFERROR(IF(J240&lt;&gt;"",J240*1.25,IF(K240&lt;&gt;"",K240*1.25,"")),"")</x:f>
      </x:c>
      <x:c r="N240" s="1030" t="str">
        <x:f>IFERROR(IF(J240&lt;&gt;"",L240*J240,IF(K240&lt;&gt;"",L240*K240,"")),"")</x:f>
      </x:c>
    </x:row>
    <x:row r="241" s="54" customFormat="1" ht="30" customHeight="1">
      <x:c r="A241" s="965" t="str">
        <x:v>§5.2</x:v>
      </x:c>
      <x:c r="B241" s="965" t="str">
        <x:v>Tilläggstjänster fettavskiljare</x:v>
      </x:c>
      <x:c r="C241" s="965" t="str">
        <x:v>Avgift om tömning ej kan utföras pga hinder, bristande transportväg, betonglock, lock tyngre än 25 kg eller vägran</x:v>
      </x:c>
      <x:c r="D241" s="965"/>
      <x:c r="E241" s="965" t="str">
        <x:v>kr/tillfälle</x:v>
      </x:c>
      <x:c r="F241" s="992"/>
      <x:c r="G241" s="999" t="str">
        <x:f>IF($F241&lt;&gt;"",$F241,IFERROR(_xlfn.XLOOKUP(ROW(),Taxa_Saknas!$H:$H,Taxa_Saknas!$G:$G),""))</x:f>
      </x:c>
      <x:c r="H241" s="1009" t="e">
        <x:f>IF($F241&lt;&gt;"",IFERROR(_xlfn.XLOOKUP($F241,Taxa_från_edp!$B:$B,Taxa_från_edp!C:C),""),"")</x:f>
      </x:c>
      <x:c r="I241" s="1010" t="e">
        <x:f>IF($F241&lt;&gt;"",IFERROR(_xlfn.XLOOKUP($F241,Taxa_från_edp!$B:$B,Taxa_från_edp!G:G),""),"")</x:f>
      </x:c>
      <x:c r="J241" s="1011" t="e">
        <x:f>IF($F241&lt;&gt;"",IFERROR(_xlfn.XLOOKUP($F241,Taxa_från_edp!$B:$B,Taxa_från_edp!K:K),""),"")</x:f>
      </x:c>
      <x:c r="K241" s="1018"/>
      <x:c r="L241" s="1024"/>
      <x:c r="M241" s="1029" t="str">
        <x:f>IFERROR(IF(J241&lt;&gt;"",J241*1.25,IF(K241&lt;&gt;"",K241*1.25,"")),"")</x:f>
      </x:c>
      <x:c r="N241" s="1030" t="str">
        <x:f>IFERROR(IF(J241&lt;&gt;"",L241*J241,IF(K241&lt;&gt;"",L241*K241,"")),"")</x:f>
      </x:c>
    </x:row>
    <x:row r="242" s="54" customFormat="1" ht="30" customHeight="1">
      <x:c r="A242" s="965" t="str">
        <x:v>§5.2</x:v>
      </x:c>
      <x:c r="B242" s="965" t="str">
        <x:v>Tilläggstjänster fettavskiljare</x:v>
      </x:c>
      <x:c r="C242" s="965" t="str">
        <x:v>Tömning av extra tank i samband med ordinarie/budad tömning upp till 5 m3</x:v>
      </x:c>
      <x:c r="D242" s="965"/>
      <x:c r="E242" s="965" t="str">
        <x:v>kr/tillfälle</x:v>
      </x:c>
      <x:c r="F242" s="989"/>
      <x:c r="G242" s="996" t="str">
        <x:f>IF($F242&lt;&gt;"",$F242,IFERROR(_xlfn.XLOOKUP(ROW(),Taxa_Saknas!$H:$H,Taxa_Saknas!$G:$G),""))</x:f>
      </x:c>
      <x:c r="H242" s="1003" t="e">
        <x:f>IF($F242&lt;&gt;"",IFERROR(_xlfn.XLOOKUP($F242,Taxa_från_edp!$B:$B,Taxa_från_edp!C:C),""),"")</x:f>
      </x:c>
      <x:c r="I242" s="1004" t="e">
        <x:f>IF($F242&lt;&gt;"",IFERROR(_xlfn.XLOOKUP($F242,Taxa_från_edp!$B:$B,Taxa_från_edp!G:G),""),"")</x:f>
      </x:c>
      <x:c r="J242" s="1005" t="e">
        <x:f>IF($F242&lt;&gt;"",IFERROR(_xlfn.XLOOKUP($F242,Taxa_från_edp!$B:$B,Taxa_från_edp!K:K),""),"")</x:f>
      </x:c>
      <x:c r="K242" s="1016"/>
      <x:c r="L242" s="1022"/>
      <x:c r="M242" s="1029" t="str">
        <x:f>IFERROR(IF(J242&lt;&gt;"",J242*1.25,IF(K242&lt;&gt;"",K242*1.25,"")),"")</x:f>
      </x:c>
      <x:c r="N242" s="1030" t="str">
        <x:f>IFERROR(IF(J242&lt;&gt;"",L242*J242,IF(K242&lt;&gt;"",L242*K242,"")),"")</x:f>
      </x:c>
    </x:row>
    <x:row r="243" s="54" customFormat="1" ht="22" customHeight="1">
      <x:c r="A243" s="975" t="str">
        <x:v>§5.2</x:v>
      </x:c>
      <x:c r="B243" s="980"/>
      <x:c r="C243" s="980"/>
      <x:c r="D243" s="980"/>
      <x:c r="E243" s="981"/>
      <x:c r="F243" s="975"/>
      <x:c r="G243" s="980" t="str">
        <x:f>IF($F243&lt;&gt;"",$F243,IFERROR(_xlfn.XLOOKUP(ROW(),Taxa_Saknas!$H:$H,Taxa_Saknas!$G:$G),""))</x:f>
      </x:c>
      <x:c r="H243" s="980" t="e">
        <x:f>IF($F243&lt;&gt;"",IFERROR(_xlfn.XLOOKUP($F243,Taxa_från_edp!$B:$B,Taxa_från_edp!C:C),""),"")</x:f>
      </x:c>
      <x:c r="I243" s="983" t="e">
        <x:f>IF($F243&lt;&gt;"",IFERROR(_xlfn.XLOOKUP($F243,Taxa_från_edp!$B:$B,Taxa_från_edp!G:G),""),"")</x:f>
      </x:c>
      <x:c r="J243" s="983" t="e">
        <x:f>IF($F243&lt;&gt;"",IFERROR(_xlfn.XLOOKUP($F243,Taxa_från_edp!$B:$B,Taxa_från_edp!K:K),""),"")</x:f>
      </x:c>
      <x:c r="K243" s="983"/>
      <x:c r="L243" s="983"/>
      <x:c r="M243" s="976" t="str">
        <x:f>IFERROR(IF(J243&lt;&gt;"",J243*1.25,IF(K243&lt;&gt;"",K243*1.25,"")),"")</x:f>
      </x:c>
      <x:c r="N243" s="977" t="str">
        <x:f>IFERROR(IF(J243&lt;&gt;"",L243*J243,IF(K243&lt;&gt;"",L243*K243,"")),"")</x:f>
      </x:c>
    </x:row>
    <x:row r="244" s="54" customFormat="1" ht="22" customHeight="1">
      <x:c r="A244" s="975" t="str">
        <x:v>§5.3 Övriga avgifter och tillägg fettavskiljare</x:v>
      </x:c>
      <x:c r="B244" s="980"/>
      <x:c r="C244" s="980"/>
      <x:c r="D244" s="980"/>
      <x:c r="E244" s="981"/>
      <x:c r="F244" s="975"/>
      <x:c r="G244" s="980" t="str">
        <x:f>IF($F244&lt;&gt;"",$F244,IFERROR(_xlfn.XLOOKUP(ROW(),Taxa_Saknas!$H:$H,Taxa_Saknas!$G:$G),""))</x:f>
      </x:c>
      <x:c r="H244" s="980" t="e">
        <x:f>IF($F244&lt;&gt;"",IFERROR(_xlfn.XLOOKUP($F244,Taxa_från_edp!$B:$B,Taxa_från_edp!C:C),""),"")</x:f>
      </x:c>
      <x:c r="I244" s="983" t="e">
        <x:f>IF($F244&lt;&gt;"",IFERROR(_xlfn.XLOOKUP($F244,Taxa_från_edp!$B:$B,Taxa_från_edp!G:G),""),"")</x:f>
      </x:c>
      <x:c r="J244" s="983" t="e">
        <x:f>IF($F244&lt;&gt;"",IFERROR(_xlfn.XLOOKUP($F244,Taxa_från_edp!$B:$B,Taxa_från_edp!K:K),""),"")</x:f>
      </x:c>
      <x:c r="K244" s="983"/>
      <x:c r="L244" s="983"/>
      <x:c r="M244" s="976" t="str">
        <x:f>IFERROR(IF(J244&lt;&gt;"",J244*1.25,IF(K244&lt;&gt;"",K244*1.25,"")),"")</x:f>
      </x:c>
      <x:c r="N244" s="977" t="str">
        <x:f>IFERROR(IF(J244&lt;&gt;"",L244*J244,IF(K244&lt;&gt;"",L244*K244,"")),"")</x:f>
      </x:c>
    </x:row>
    <x:row r="245" s="54" customFormat="1" ht="30" customHeight="1">
      <x:c r="A245" s="965" t="str">
        <x:v>§5.3</x:v>
      </x:c>
      <x:c r="B245" s="965" t="str">
        <x:v>Övriga avgifter och tillägg fettavskiljare</x:v>
      </x:c>
      <x:c r="C245" s="965" t="str">
        <x:v>Budning inom ordinarie tömningsperiod (1 maj- 31 oktober)</x:v>
      </x:c>
      <x:c r="D245" s="965" t="str">
        <x:v>Inom 48 timmar</x:v>
      </x:c>
      <x:c r="E245" s="965" t="str">
        <x:v>kr/tillfälle</x:v>
      </x:c>
      <x:c r="F245" s="989"/>
      <x:c r="G245" s="996" t="str">
        <x:f>IF($F245&lt;&gt;"",$F245,IFERROR(_xlfn.XLOOKUP(ROW(),Taxa_Saknas!$H:$H,Taxa_Saknas!$G:$G),""))</x:f>
      </x:c>
      <x:c r="H245" s="1003" t="e">
        <x:f>IF($F245&lt;&gt;"",IFERROR(_xlfn.XLOOKUP($F245,Taxa_från_edp!$B:$B,Taxa_från_edp!C:C),""),"")</x:f>
      </x:c>
      <x:c r="I245" s="1004" t="e">
        <x:f>IF($F245&lt;&gt;"",IFERROR(_xlfn.XLOOKUP($F245,Taxa_från_edp!$B:$B,Taxa_från_edp!G:G),""),"")</x:f>
      </x:c>
      <x:c r="J245" s="1005" t="e">
        <x:f>IF($F245&lt;&gt;"",IFERROR(_xlfn.XLOOKUP($F245,Taxa_från_edp!$B:$B,Taxa_från_edp!K:K),""),"")</x:f>
      </x:c>
      <x:c r="K245" s="1016"/>
      <x:c r="L245" s="1022"/>
      <x:c r="M245" s="1029" t="str">
        <x:f>IFERROR(IF(J245&lt;&gt;"",J245*1.25,IF(K245&lt;&gt;"",K245*1.25,"")),"")</x:f>
      </x:c>
      <x:c r="N245" s="1030" t="str">
        <x:f>IFERROR(IF(J245&lt;&gt;"",L245*J245,IF(K245&lt;&gt;"",L245*K245,"")),"")</x:f>
      </x:c>
    </x:row>
    <x:row r="246" s="54" customFormat="1" ht="30" customHeight="1">
      <x:c r="A246" s="965" t="str">
        <x:v>§5.3</x:v>
      </x:c>
      <x:c r="B246" s="965" t="str">
        <x:v>Övriga avgifter och tillägg fettavskiljare</x:v>
      </x:c>
      <x:c r="C246" s="965" t="str">
        <x:v>Budning utanför ordinarie tömningsperiod</x:v>
      </x:c>
      <x:c r="D246" s="965" t="str">
        <x:v>Inom 48 timmar</x:v>
      </x:c>
      <x:c r="E246" s="965" t="str">
        <x:v>kr/tillfälle</x:v>
      </x:c>
      <x:c r="F246" s="989"/>
      <x:c r="G246" s="996" t="str">
        <x:f>IF($F246&lt;&gt;"",$F246,IFERROR(_xlfn.XLOOKUP(ROW(),Taxa_Saknas!$H:$H,Taxa_Saknas!$G:$G),""))</x:f>
      </x:c>
      <x:c r="H246" s="1003" t="e">
        <x:f>IF($F246&lt;&gt;"",IFERROR(_xlfn.XLOOKUP($F246,Taxa_från_edp!$B:$B,Taxa_från_edp!C:C),""),"")</x:f>
      </x:c>
      <x:c r="I246" s="1004" t="e">
        <x:f>IF($F246&lt;&gt;"",IFERROR(_xlfn.XLOOKUP($F246,Taxa_från_edp!$B:$B,Taxa_från_edp!G:G),""),"")</x:f>
      </x:c>
      <x:c r="J246" s="1005" t="e">
        <x:f>IF($F246&lt;&gt;"",IFERROR(_xlfn.XLOOKUP($F246,Taxa_från_edp!$B:$B,Taxa_från_edp!K:K),""),"")</x:f>
      </x:c>
      <x:c r="K246" s="1016"/>
      <x:c r="L246" s="1022"/>
      <x:c r="M246" s="1029" t="str">
        <x:f>IFERROR(IF(J246&lt;&gt;"",J246*1.25,IF(K246&lt;&gt;"",K246*1.25,"")),"")</x:f>
      </x:c>
      <x:c r="N246" s="1030" t="str">
        <x:f>IFERROR(IF(J246&lt;&gt;"",L246*J246,IF(K246&lt;&gt;"",L246*K246,"")),"")</x:f>
      </x:c>
    </x:row>
    <x:row r="247" s="54" customFormat="1" ht="30" customHeight="1">
      <x:c r="A247" s="965" t="str">
        <x:v>§5.3</x:v>
      </x:c>
      <x:c r="B247" s="965" t="str">
        <x:v>Övriga avgifter och tillägg fettavskiljare</x:v>
      </x:c>
      <x:c r="C247" s="965" t="str">
        <x:v>Budning inom ordinarie tömningsperiod (1 maj- 31 oktober)</x:v>
      </x:c>
      <x:c r="D247" s="965" t="str">
        <x:v>Inom 8 arbetsdagar</x:v>
      </x:c>
      <x:c r="E247" s="965" t="str">
        <x:v>kr/tillfälle</x:v>
      </x:c>
      <x:c r="F247" s="989"/>
      <x:c r="G247" s="996" t="str">
        <x:f>IF($F247&lt;&gt;"",$F247,IFERROR(_xlfn.XLOOKUP(ROW(),Taxa_Saknas!$H:$H,Taxa_Saknas!$G:$G),""))</x:f>
      </x:c>
      <x:c r="H247" s="1003" t="e">
        <x:f>IF($F247&lt;&gt;"",IFERROR(_xlfn.XLOOKUP($F247,Taxa_från_edp!$B:$B,Taxa_från_edp!C:C),""),"")</x:f>
      </x:c>
      <x:c r="I247" s="1004" t="e">
        <x:f>IF($F247&lt;&gt;"",IFERROR(_xlfn.XLOOKUP($F247,Taxa_från_edp!$B:$B,Taxa_från_edp!G:G),""),"")</x:f>
      </x:c>
      <x:c r="J247" s="1005" t="e">
        <x:f>IF($F247&lt;&gt;"",IFERROR(_xlfn.XLOOKUP($F247,Taxa_från_edp!$B:$B,Taxa_från_edp!K:K),""),"")</x:f>
      </x:c>
      <x:c r="K247" s="1016"/>
      <x:c r="L247" s="1022"/>
      <x:c r="M247" s="1029" t="str">
        <x:f>IFERROR(IF(J247&lt;&gt;"",J247*1.25,IF(K247&lt;&gt;"",K247*1.25,"")),"")</x:f>
      </x:c>
      <x:c r="N247" s="1030" t="str">
        <x:f>IFERROR(IF(J247&lt;&gt;"",L247*J247,IF(K247&lt;&gt;"",L247*K247,"")),"")</x:f>
      </x:c>
    </x:row>
    <x:row r="248" s="54" customFormat="1" ht="30" customHeight="1">
      <x:c r="A248" s="965" t="str">
        <x:v>§5.3</x:v>
      </x:c>
      <x:c r="B248" s="965" t="str">
        <x:v>Övriga avgifter och tillägg fettavskiljare</x:v>
      </x:c>
      <x:c r="C248" s="965" t="str">
        <x:v>Budning utanför ordinarie tömningsperiod</x:v>
      </x:c>
      <x:c r="D248" s="965" t="str">
        <x:v>Inom 8 arbetsdagar</x:v>
      </x:c>
      <x:c r="E248" s="965" t="str">
        <x:v>kr/tillfälle</x:v>
      </x:c>
      <x:c r="F248" s="992"/>
      <x:c r="G248" s="999" t="str">
        <x:f>IF($F248&lt;&gt;"",$F248,IFERROR(_xlfn.XLOOKUP(ROW(),Taxa_Saknas!$H:$H,Taxa_Saknas!$G:$G),""))</x:f>
      </x:c>
      <x:c r="H248" s="1009" t="e">
        <x:f>IF($F248&lt;&gt;"",IFERROR(_xlfn.XLOOKUP($F248,Taxa_från_edp!$B:$B,Taxa_från_edp!C:C),""),"")</x:f>
      </x:c>
      <x:c r="I248" s="1010" t="e">
        <x:f>IF($F248&lt;&gt;"",IFERROR(_xlfn.XLOOKUP($F248,Taxa_från_edp!$B:$B,Taxa_från_edp!G:G),""),"")</x:f>
      </x:c>
      <x:c r="J248" s="1011" t="e">
        <x:f>IF($F248&lt;&gt;"",IFERROR(_xlfn.XLOOKUP($F248,Taxa_från_edp!$B:$B,Taxa_från_edp!K:K),""),"")</x:f>
      </x:c>
      <x:c r="K248" s="1018"/>
      <x:c r="L248" s="1024"/>
      <x:c r="M248" s="1029" t="str">
        <x:f>IFERROR(IF(J248&lt;&gt;"",J248*1.25,IF(K248&lt;&gt;"",K248*1.25,"")),"")</x:f>
      </x:c>
      <x:c r="N248" s="1030" t="str">
        <x:f>IFERROR(IF(J248&lt;&gt;"",L248*J248,IF(K248&lt;&gt;"",L248*K248,"")),"")</x:f>
      </x:c>
    </x:row>
    <x:row r="249" s="54" customFormat="1" ht="30" customHeight="1">
      <x:c r="A249" s="965" t="str">
        <x:v>§5.3</x:v>
      </x:c>
      <x:c r="B249" s="965" t="str">
        <x:v>Övriga avgifter och tillägg fettavskiljare</x:v>
      </x:c>
      <x:c r="C249" s="965" t="str">
        <x:v>Framkörningsavgift då ordinarie tömning inte skett på grund av hinder, abonnenten vägrar, bristfällig väg eller annat</x:v>
      </x:c>
      <x:c r="D249" s="965"/>
      <x:c r="E249" s="965" t="str">
        <x:v>kr/tillfälle</x:v>
      </x:c>
      <x:c r="F249" s="992"/>
      <x:c r="G249" s="999" t="str">
        <x:f>IF($F249&lt;&gt;"",$F249,IFERROR(_xlfn.XLOOKUP(ROW(),Taxa_Saknas!$H:$H,Taxa_Saknas!$G:$G),""))</x:f>
      </x:c>
      <x:c r="H249" s="1009" t="e">
        <x:f>IF($F249&lt;&gt;"",IFERROR(_xlfn.XLOOKUP($F249,Taxa_från_edp!$B:$B,Taxa_från_edp!C:C),""),"")</x:f>
      </x:c>
      <x:c r="I249" s="1010" t="e">
        <x:f>IF($F249&lt;&gt;"",IFERROR(_xlfn.XLOOKUP($F249,Taxa_från_edp!$B:$B,Taxa_från_edp!G:G),""),"")</x:f>
      </x:c>
      <x:c r="J249" s="1011" t="e">
        <x:f>IF($F249&lt;&gt;"",IFERROR(_xlfn.XLOOKUP($F249,Taxa_från_edp!$B:$B,Taxa_från_edp!K:K),""),"")</x:f>
      </x:c>
      <x:c r="K249" s="1018"/>
      <x:c r="L249" s="1024"/>
      <x:c r="M249" s="1029" t="str">
        <x:f>IFERROR(IF(J249&lt;&gt;"",J249*1.25,IF(K249&lt;&gt;"",K249*1.25,"")),"")</x:f>
      </x:c>
      <x:c r="N249" s="1030" t="str">
        <x:f>IFERROR(IF(J249&lt;&gt;"",L249*J249,IF(K249&lt;&gt;"",L249*K249,"")),"")</x:f>
      </x:c>
    </x:row>
    <x:row r="250" s="54" customFormat="1" ht="30" customHeight="1">
      <x:c r="A250" s="965" t="str">
        <x:v>§5.3</x:v>
      </x:c>
      <x:c r="B250" s="965" t="str">
        <x:v>Övriga avgifter och tillägg fettavskiljare</x:v>
      </x:c>
      <x:c r="C250" s="965" t="str">
        <x:v>Sen anmälan om förändringar av tömningsintervall. Om förändring, nyanmälan eller avbokning av tömning meddelas efter 1 april innevarande år.</x:v>
      </x:c>
      <x:c r="D250" s="965"/>
      <x:c r="E250" s="965" t="str">
        <x:v>kr/tillfälle</x:v>
      </x:c>
      <x:c r="F250" s="989"/>
      <x:c r="G250" s="996" t="str">
        <x:f>IF($F250&lt;&gt;"",$F250,IFERROR(_xlfn.XLOOKUP(ROW(),Taxa_Saknas!$H:$H,Taxa_Saknas!$G:$G),""))</x:f>
      </x:c>
      <x:c r="H250" s="1003" t="e">
        <x:f>IF($F250&lt;&gt;"",IFERROR(_xlfn.XLOOKUP($F250,Taxa_från_edp!$B:$B,Taxa_från_edp!C:C),""),"")</x:f>
      </x:c>
      <x:c r="I250" s="1004" t="e">
        <x:f>IF($F250&lt;&gt;"",IFERROR(_xlfn.XLOOKUP($F250,Taxa_från_edp!$B:$B,Taxa_från_edp!G:G),""),"")</x:f>
      </x:c>
      <x:c r="J250" s="1005" t="e">
        <x:f>IF($F250&lt;&gt;"",IFERROR(_xlfn.XLOOKUP($F250,Taxa_från_edp!$B:$B,Taxa_från_edp!K:K),""),"")</x:f>
      </x:c>
      <x:c r="K250" s="1016"/>
      <x:c r="L250" s="1022"/>
      <x:c r="M250" s="1029" t="str">
        <x:f>IFERROR(IF(J250&lt;&gt;"",J250*1.25,IF(K250&lt;&gt;"",K250*1.25,"")),"")</x:f>
      </x:c>
      <x:c r="N250" s="1030" t="str">
        <x:f>IFERROR(IF(J250&lt;&gt;"",L250*J250,IF(K250&lt;&gt;"",L250*K250,"")),"")</x:f>
      </x:c>
    </x:row>
    <x:row r="251" s="54" customFormat="1" ht="22" customHeight="1">
      <x:c r="A251" s="975" t="str">
        <x:v>§5.3</x:v>
      </x:c>
      <x:c r="B251" s="980"/>
      <x:c r="C251" s="980"/>
      <x:c r="D251" s="980"/>
      <x:c r="E251" s="981"/>
      <x:c r="F251" s="975"/>
      <x:c r="G251" s="980" t="str">
        <x:f>IF($F251&lt;&gt;"",$F251,IFERROR(_xlfn.XLOOKUP(ROW(),Taxa_Saknas!$H:$H,Taxa_Saknas!$G:$G),""))</x:f>
      </x:c>
      <x:c r="H251" s="980" t="e">
        <x:f>IF($F251&lt;&gt;"",IFERROR(_xlfn.XLOOKUP($F251,Taxa_från_edp!$B:$B,Taxa_från_edp!C:C),""),"")</x:f>
      </x:c>
      <x:c r="I251" s="983" t="e">
        <x:f>IF($F251&lt;&gt;"",IFERROR(_xlfn.XLOOKUP($F251,Taxa_från_edp!$B:$B,Taxa_från_edp!G:G),""),"")</x:f>
      </x:c>
      <x:c r="J251" s="983" t="e">
        <x:f>IF($F251&lt;&gt;"",IFERROR(_xlfn.XLOOKUP($F251,Taxa_från_edp!$B:$B,Taxa_från_edp!K:K),""),"")</x:f>
      </x:c>
      <x:c r="K251" s="983"/>
      <x:c r="L251" s="983"/>
      <x:c r="M251" s="976" t="str">
        <x:f>IFERROR(IF(J251&lt;&gt;"",J251*1.25,IF(K251&lt;&gt;"",K251*1.25,"")),"")</x:f>
      </x:c>
      <x:c r="N251" s="977" t="str">
        <x:f>IFERROR(IF(J251&lt;&gt;"",L251*J251,IF(K251&lt;&gt;"",L251*K251,"")),"")</x:f>
      </x:c>
    </x:row>
    <x:row r="252" s="54" customFormat="1" ht="22" customHeight="1">
      <x:c r="A252" s="975" t="str">
        <x:v>§6.1.1 Inpassering på ÅVC</x:v>
      </x:c>
      <x:c r="B252" s="980"/>
      <x:c r="C252" s="980"/>
      <x:c r="D252" s="980"/>
      <x:c r="E252" s="981"/>
      <x:c r="F252" s="975"/>
      <x:c r="G252" s="980" t="str">
        <x:f>IF($F252&lt;&gt;"",$F252,IFERROR(_xlfn.XLOOKUP(ROW(),Taxa_Saknas!$H:$H,Taxa_Saknas!$G:$G),""))</x:f>
      </x:c>
      <x:c r="H252" s="980" t="e">
        <x:f>IF($F252&lt;&gt;"",IFERROR(_xlfn.XLOOKUP($F252,Taxa_från_edp!$B:$B,Taxa_från_edp!C:C),""),"")</x:f>
      </x:c>
      <x:c r="I252" s="983" t="e">
        <x:f>IF($F252&lt;&gt;"",IFERROR(_xlfn.XLOOKUP($F252,Taxa_från_edp!$B:$B,Taxa_från_edp!G:G),""),"")</x:f>
      </x:c>
      <x:c r="J252" s="983" t="e">
        <x:f>IF($F252&lt;&gt;"",IFERROR(_xlfn.XLOOKUP($F252,Taxa_från_edp!$B:$B,Taxa_från_edp!K:K),""),"")</x:f>
      </x:c>
      <x:c r="K252" s="983"/>
      <x:c r="L252" s="983"/>
      <x:c r="M252" s="976" t="str">
        <x:f>IFERROR(IF(J252&lt;&gt;"",J252*1.25,IF(K252&lt;&gt;"",K252*1.25,"")),"")</x:f>
      </x:c>
      <x:c r="N252" s="977" t="str">
        <x:f>IFERROR(IF(J252&lt;&gt;"",L252*J252,IF(K252&lt;&gt;"",L252*K252,"")),"")</x:f>
      </x:c>
    </x:row>
    <x:row r="253" s="54" customFormat="1" ht="30" customHeight="1">
      <x:c r="A253" s="965" t="str">
        <x:v>§6.1.1</x:v>
      </x:c>
      <x:c r="B253" s="965" t="str">
        <x:v>Inpassering på ÅVC</x:v>
      </x:c>
      <x:c r="C253" s="965" t="str">
        <x:v>Verksamheter</x:v>
      </x:c>
      <x:c r="D253" s="965"/>
      <x:c r="E253" s="965" t="str">
        <x:v>kr/besök</x:v>
      </x:c>
      <x:c r="F253" s="989"/>
      <x:c r="G253" s="996" t="str">
        <x:f>IF($F253&lt;&gt;"",$F253,IFERROR(_xlfn.XLOOKUP(ROW(),Taxa_Saknas!$H:$H,Taxa_Saknas!$G:$G),""))</x:f>
      </x:c>
      <x:c r="H253" s="1003" t="e">
        <x:f>IF($F253&lt;&gt;"",IFERROR(_xlfn.XLOOKUP($F253,Taxa_från_edp!$B:$B,Taxa_från_edp!C:C),""),"")</x:f>
      </x:c>
      <x:c r="I253" s="1004" t="e">
        <x:f>IF($F253&lt;&gt;"",IFERROR(_xlfn.XLOOKUP($F253,Taxa_från_edp!$B:$B,Taxa_från_edp!G:G),""),"")</x:f>
      </x:c>
      <x:c r="J253" s="1005" t="e">
        <x:f>IF($F253&lt;&gt;"",IFERROR(_xlfn.XLOOKUP($F253,Taxa_från_edp!$B:$B,Taxa_från_edp!K:K),""),"")</x:f>
      </x:c>
      <x:c r="K253" s="1016"/>
      <x:c r="L253" s="1022"/>
      <x:c r="M253" s="1029" t="str">
        <x:f>IFERROR(IF(J253&lt;&gt;"",J253*1.25,IF(K253&lt;&gt;"",K253*1.25,"")),"")</x:f>
      </x:c>
      <x:c r="N253" s="1030" t="str">
        <x:f>IFERROR(IF(J253&lt;&gt;"",L253*J253,IF(K253&lt;&gt;"",L253*K253,"")),"")</x:f>
      </x:c>
    </x:row>
    <x:row r="254" s="54" customFormat="1" ht="30" customHeight="1">
      <x:c r="A254" s="965" t="str">
        <x:v>§6.1.1</x:v>
      </x:c>
      <x:c r="B254" s="965" t="str">
        <x:v>Inpassering på ÅVC</x:v>
      </x:c>
      <x:c r="C254" s="965" t="str">
        <x:v>Övriga abonnemangstyper</x:v>
      </x:c>
      <x:c r="D254" s="965"/>
      <x:c r="E254" s="965" t="str">
        <x:v>kr/besök</x:v>
      </x:c>
      <x:c r="F254" s="992"/>
      <x:c r="G254" s="999" t="str">
        <x:f>IF($F254&lt;&gt;"",$F254,IFERROR(_xlfn.XLOOKUP(ROW(),Taxa_Saknas!$H:$H,Taxa_Saknas!$G:$G),""))</x:f>
      </x:c>
      <x:c r="H254" s="1009" t="e">
        <x:f>IF($F254&lt;&gt;"",IFERROR(_xlfn.XLOOKUP($F254,Taxa_från_edp!$B:$B,Taxa_från_edp!C:C),""),"")</x:f>
      </x:c>
      <x:c r="I254" s="1010" t="e">
        <x:f>IF($F254&lt;&gt;"",IFERROR(_xlfn.XLOOKUP($F254,Taxa_från_edp!$B:$B,Taxa_från_edp!G:G),""),"")</x:f>
      </x:c>
      <x:c r="J254" s="1011" t="e">
        <x:f>IF($F254&lt;&gt;"",IFERROR(_xlfn.XLOOKUP($F254,Taxa_från_edp!$B:$B,Taxa_från_edp!K:K),""),"")</x:f>
      </x:c>
      <x:c r="K254" s="1018"/>
      <x:c r="L254" s="1024"/>
      <x:c r="M254" s="1029" t="str">
        <x:f>IFERROR(IF(J254&lt;&gt;"",J254*1.25,IF(K254&lt;&gt;"",K254*1.25,"")),"")</x:f>
      </x:c>
      <x:c r="N254" s="1030" t="str">
        <x:f>IFERROR(IF(J254&lt;&gt;"",L254*J254,IF(K254&lt;&gt;"",L254*K254,"")),"")</x:f>
      </x:c>
    </x:row>
    <x:row r="255" s="54" customFormat="1" ht="30" customHeight="1">
      <x:c r="A255" s="965" t="str">
        <x:v>§6.1.1</x:v>
      </x:c>
      <x:c r="B255" s="965" t="str">
        <x:v>Inpassering på ÅVC</x:v>
      </x:c>
      <x:c r="C255" s="965" t="str">
        <x:v>Vågkort</x:v>
      </x:c>
      <x:c r="D255" s="965"/>
      <x:c r="E255" s="965" t="str">
        <x:v>kr/besök</x:v>
      </x:c>
      <x:c r="F255" s="992"/>
      <x:c r="G255" s="999" t="str">
        <x:f>IF($F255&lt;&gt;"",$F255,IFERROR(_xlfn.XLOOKUP(ROW(),Taxa_Saknas!$H:$H,Taxa_Saknas!$G:$G),""))</x:f>
      </x:c>
      <x:c r="H255" s="1009" t="e">
        <x:f>IF($F255&lt;&gt;"",IFERROR(_xlfn.XLOOKUP($F255,Taxa_från_edp!$B:$B,Taxa_från_edp!C:C),""),"")</x:f>
      </x:c>
      <x:c r="I255" s="1010" t="e">
        <x:f>IF($F255&lt;&gt;"",IFERROR(_xlfn.XLOOKUP($F255,Taxa_från_edp!$B:$B,Taxa_från_edp!G:G),""),"")</x:f>
      </x:c>
      <x:c r="J255" s="1011" t="e">
        <x:f>IF($F255&lt;&gt;"",IFERROR(_xlfn.XLOOKUP($F255,Taxa_från_edp!$B:$B,Taxa_från_edp!K:K),""),"")</x:f>
      </x:c>
      <x:c r="K255" s="1018"/>
      <x:c r="L255" s="1024"/>
      <x:c r="M255" s="1029" t="str">
        <x:f>IFERROR(IF(J255&lt;&gt;"",J255*1.25,IF(K255&lt;&gt;"",K255*1.25,"")),"")</x:f>
      </x:c>
      <x:c r="N255" s="1030" t="str">
        <x:f>IFERROR(IF(J255&lt;&gt;"",L255*J255,IF(K255&lt;&gt;"",L255*K255,"")),"")</x:f>
      </x:c>
    </x:row>
    <x:row r="256" s="54" customFormat="1" ht="30" customHeight="1">
      <x:c r="A256" s="965" t="str">
        <x:v>§6.1.1</x:v>
      </x:c>
      <x:c r="B256" s="965" t="str">
        <x:v>Inpassering på ÅVC</x:v>
      </x:c>
      <x:c r="C256" s="965" t="str">
        <x:v>Borttappat vågkort</x:v>
      </x:c>
      <x:c r="D256" s="965"/>
      <x:c r="E256" s="965" t="str">
        <x:v>kr/besök</x:v>
      </x:c>
      <x:c r="F256" s="989"/>
      <x:c r="G256" s="996" t="str">
        <x:f>IF($F256&lt;&gt;"",$F256,IFERROR(_xlfn.XLOOKUP(ROW(),Taxa_Saknas!$H:$H,Taxa_Saknas!$G:$G),""))</x:f>
      </x:c>
      <x:c r="H256" s="1003" t="e">
        <x:f>IF($F256&lt;&gt;"",IFERROR(_xlfn.XLOOKUP($F256,Taxa_från_edp!$B:$B,Taxa_från_edp!C:C),""),"")</x:f>
      </x:c>
      <x:c r="I256" s="1004" t="e">
        <x:f>IF($F256&lt;&gt;"",IFERROR(_xlfn.XLOOKUP($F256,Taxa_från_edp!$B:$B,Taxa_från_edp!G:G),""),"")</x:f>
      </x:c>
      <x:c r="J256" s="1005" t="e">
        <x:f>IF($F256&lt;&gt;"",IFERROR(_xlfn.XLOOKUP($F256,Taxa_från_edp!$B:$B,Taxa_från_edp!K:K),""),"")</x:f>
      </x:c>
      <x:c r="K256" s="1016"/>
      <x:c r="L256" s="1022"/>
      <x:c r="M256" s="1029" t="str">
        <x:f>IFERROR(IF(J256&lt;&gt;"",J256*1.25,IF(K256&lt;&gt;"",K256*1.25,"")),"")</x:f>
      </x:c>
      <x:c r="N256" s="1030" t="str">
        <x:f>IFERROR(IF(J256&lt;&gt;"",L256*J256,IF(K256&lt;&gt;"",L256*K256,"")),"")</x:f>
      </x:c>
    </x:row>
    <x:row r="257" s="54" customFormat="1" ht="22" customHeight="1">
      <x:c r="A257" s="975" t="str">
        <x:v>§6.1.1</x:v>
      </x:c>
      <x:c r="B257" s="980"/>
      <x:c r="C257" s="980"/>
      <x:c r="D257" s="980"/>
      <x:c r="E257" s="981"/>
      <x:c r="F257" s="975"/>
      <x:c r="G257" s="980" t="str">
        <x:f>IF($F257&lt;&gt;"",$F257,IFERROR(_xlfn.XLOOKUP(ROW(),Taxa_Saknas!$H:$H,Taxa_Saknas!$G:$G),""))</x:f>
      </x:c>
      <x:c r="H257" s="980" t="e">
        <x:f>IF($F257&lt;&gt;"",IFERROR(_xlfn.XLOOKUP($F257,Taxa_från_edp!$B:$B,Taxa_från_edp!C:C),""),"")</x:f>
      </x:c>
      <x:c r="I257" s="983" t="e">
        <x:f>IF($F257&lt;&gt;"",IFERROR(_xlfn.XLOOKUP($F257,Taxa_från_edp!$B:$B,Taxa_från_edp!G:G),""),"")</x:f>
      </x:c>
      <x:c r="J257" s="983" t="e">
        <x:f>IF($F257&lt;&gt;"",IFERROR(_xlfn.XLOOKUP($F257,Taxa_från_edp!$B:$B,Taxa_från_edp!K:K),""),"")</x:f>
      </x:c>
      <x:c r="K257" s="983"/>
      <x:c r="L257" s="983"/>
      <x:c r="M257" s="976" t="str">
        <x:f>IFERROR(IF(J257&lt;&gt;"",J257*1.25,IF(K257&lt;&gt;"",K257*1.25,"")),"")</x:f>
      </x:c>
      <x:c r="N257" s="977" t="str">
        <x:f>IFERROR(IF(J257&lt;&gt;"",L257*J257,IF(K257&lt;&gt;"",L257*K257,"")),"")</x:f>
      </x:c>
    </x:row>
    <x:row r="258" s="54" customFormat="1" ht="22" customHeight="1">
      <x:c r="A258" s="975" t="str">
        <x:v>§6.1.2 Hanteringsavgifter för avfall inlämnat på återvinningscentral</x:v>
      </x:c>
      <x:c r="B258" s="980"/>
      <x:c r="C258" s="980"/>
      <x:c r="D258" s="980"/>
      <x:c r="E258" s="981"/>
      <x:c r="F258" s="975"/>
      <x:c r="G258" s="980" t="str">
        <x:f>IF($F258&lt;&gt;"",$F258,IFERROR(_xlfn.XLOOKUP(ROW(),Taxa_Saknas!$H:$H,Taxa_Saknas!$G:$G),""))</x:f>
      </x:c>
      <x:c r="H258" s="980" t="e">
        <x:f>IF($F258&lt;&gt;"",IFERROR(_xlfn.XLOOKUP($F258,Taxa_från_edp!$B:$B,Taxa_från_edp!C:C),""),"")</x:f>
      </x:c>
      <x:c r="I258" s="983" t="e">
        <x:f>IF($F258&lt;&gt;"",IFERROR(_xlfn.XLOOKUP($F258,Taxa_från_edp!$B:$B,Taxa_från_edp!G:G),""),"")</x:f>
      </x:c>
      <x:c r="J258" s="983" t="e">
        <x:f>IF($F258&lt;&gt;"",IFERROR(_xlfn.XLOOKUP($F258,Taxa_från_edp!$B:$B,Taxa_från_edp!K:K),""),"")</x:f>
      </x:c>
      <x:c r="K258" s="983"/>
      <x:c r="L258" s="983"/>
      <x:c r="M258" s="976" t="str">
        <x:f>IFERROR(IF(J258&lt;&gt;"",J258*1.25,IF(K258&lt;&gt;"",K258*1.25,"")),"")</x:f>
      </x:c>
      <x:c r="N258" s="977" t="str">
        <x:f>IFERROR(IF(J258&lt;&gt;"",L258*J258,IF(K258&lt;&gt;"",L258*K258,"")),"")</x:f>
      </x:c>
    </x:row>
    <x:row r="259" s="54" customFormat="1" ht="30" customHeight="1">
      <x:c r="A259" s="965" t="str">
        <x:v>§6.1.2</x:v>
      </x:c>
      <x:c r="B259" s="965" t="str">
        <x:v>Hanteringsavgifter för avfall inlämnat på återvinningscentral</x:v>
      </x:c>
      <x:c r="C259" s="965" t="str">
        <x:v>Avfall till energiåtervinning (&lt;20x20x80cm)</x:v>
      </x:c>
      <x:c r="D259" s="965"/>
      <x:c r="E259" s="965" t="str">
        <x:v>kr/ton</x:v>
      </x:c>
      <x:c r="F259" s="989"/>
      <x:c r="G259" s="996" t="str">
        <x:f>IF($F259&lt;&gt;"",$F259,IFERROR(_xlfn.XLOOKUP(ROW(),Taxa_Saknas!$H:$H,Taxa_Saknas!$G:$G),""))</x:f>
      </x:c>
      <x:c r="H259" s="1003" t="e">
        <x:f>IF($F259&lt;&gt;"",IFERROR(_xlfn.XLOOKUP($F259,Taxa_från_edp!$B:$B,Taxa_från_edp!C:C),""),"")</x:f>
      </x:c>
      <x:c r="I259" s="1004" t="e">
        <x:f>IF($F259&lt;&gt;"",IFERROR(_xlfn.XLOOKUP($F259,Taxa_från_edp!$B:$B,Taxa_från_edp!G:G),""),"")</x:f>
      </x:c>
      <x:c r="J259" s="1005" t="e">
        <x:f>IF($F259&lt;&gt;"",IFERROR(_xlfn.XLOOKUP($F259,Taxa_från_edp!$B:$B,Taxa_från_edp!K:K),""),"")</x:f>
      </x:c>
      <x:c r="K259" s="1016"/>
      <x:c r="L259" s="1022"/>
      <x:c r="M259" s="1029" t="str">
        <x:f>IFERROR(IF(J259&lt;&gt;"",J259*1.25,IF(K259&lt;&gt;"",K259*1.25,"")),"")</x:f>
      </x:c>
      <x:c r="N259" s="1030" t="str">
        <x:f>IFERROR(IF(J259&lt;&gt;"",L259*J259,IF(K259&lt;&gt;"",L259*K259,"")),"")</x:f>
      </x:c>
    </x:row>
    <x:row r="260" s="54" customFormat="1" ht="30" customHeight="1">
      <x:c r="A260" s="965" t="str">
        <x:v>§6.1.2</x:v>
      </x:c>
      <x:c r="B260" s="965" t="str">
        <x:v>Hanteringsavgifter för avfall inlämnat på återvinningscentral</x:v>
      </x:c>
      <x:c r="C260" s="965" t="str">
        <x:v>Skrymmande avfall till energiåtervinning (&gt;20x20x80cm)</x:v>
      </x:c>
      <x:c r="D260" s="965"/>
      <x:c r="E260" s="965" t="str">
        <x:v>kr/ton</x:v>
      </x:c>
      <x:c r="F260" s="989"/>
      <x:c r="G260" s="996" t="str">
        <x:f>IF($F260&lt;&gt;"",$F260,IFERROR(_xlfn.XLOOKUP(ROW(),Taxa_Saknas!$H:$H,Taxa_Saknas!$G:$G),""))</x:f>
      </x:c>
      <x:c r="H260" s="1003" t="e">
        <x:f>IF($F260&lt;&gt;"",IFERROR(_xlfn.XLOOKUP($F260,Taxa_från_edp!$B:$B,Taxa_från_edp!C:C),""),"")</x:f>
      </x:c>
      <x:c r="I260" s="1004" t="e">
        <x:f>IF($F260&lt;&gt;"",IFERROR(_xlfn.XLOOKUP($F260,Taxa_från_edp!$B:$B,Taxa_från_edp!G:G),""),"")</x:f>
      </x:c>
      <x:c r="J260" s="1005" t="e">
        <x:f>IF($F260&lt;&gt;"",IFERROR(_xlfn.XLOOKUP($F260,Taxa_från_edp!$B:$B,Taxa_från_edp!K:K),""),"")</x:f>
      </x:c>
      <x:c r="K260" s="1016"/>
      <x:c r="L260" s="1022"/>
      <x:c r="M260" s="1029" t="str">
        <x:f>IFERROR(IF(J260&lt;&gt;"",J260*1.25,IF(K260&lt;&gt;"",K260*1.25,"")),"")</x:f>
      </x:c>
      <x:c r="N260" s="1030" t="str">
        <x:f>IFERROR(IF(J260&lt;&gt;"",L260*J260,IF(K260&lt;&gt;"",L260*K260,"")),"")</x:f>
      </x:c>
    </x:row>
    <x:row r="261" s="54" customFormat="1" ht="30" customHeight="1">
      <x:c r="A261" s="965" t="str">
        <x:v>§6.1.2</x:v>
      </x:c>
      <x:c r="B261" s="965" t="str">
        <x:v>Hanteringsavgifter för avfall inlämnat på återvinningscentral</x:v>
      </x:c>
      <x:c r="C261" s="965" t="str">
        <x:v>Material till sortering (ej innehålla farligt avfall och elavfall)</x:v>
      </x:c>
      <x:c r="D261" s="965"/>
      <x:c r="E261" s="965" t="str">
        <x:v>kr/ton</x:v>
      </x:c>
      <x:c r="F261" s="989"/>
      <x:c r="G261" s="996" t="str">
        <x:f>IF($F261&lt;&gt;"",$F261,IFERROR(_xlfn.XLOOKUP(ROW(),Taxa_Saknas!$H:$H,Taxa_Saknas!$G:$G),""))</x:f>
      </x:c>
      <x:c r="H261" s="1003" t="e">
        <x:f>IF($F261&lt;&gt;"",IFERROR(_xlfn.XLOOKUP($F261,Taxa_från_edp!$B:$B,Taxa_från_edp!C:C),""),"")</x:f>
      </x:c>
      <x:c r="I261" s="1004" t="e">
        <x:f>IF($F261&lt;&gt;"",IFERROR(_xlfn.XLOOKUP($F261,Taxa_från_edp!$B:$B,Taxa_från_edp!G:G),""),"")</x:f>
      </x:c>
      <x:c r="J261" s="1005" t="e">
        <x:f>IF($F261&lt;&gt;"",IFERROR(_xlfn.XLOOKUP($F261,Taxa_från_edp!$B:$B,Taxa_från_edp!K:K),""),"")</x:f>
      </x:c>
      <x:c r="K261" s="1016"/>
      <x:c r="L261" s="1022"/>
      <x:c r="M261" s="1029" t="str">
        <x:f>IFERROR(IF(J261&lt;&gt;"",J261*1.25,IF(K261&lt;&gt;"",K261*1.25,"")),"")</x:f>
      </x:c>
      <x:c r="N261" s="1030" t="str">
        <x:f>IFERROR(IF(J261&lt;&gt;"",L261*J261,IF(K261&lt;&gt;"",L261*K261,"")),"")</x:f>
      </x:c>
    </x:row>
    <x:row r="262" s="54" customFormat="1" ht="30" customHeight="1">
      <x:c r="A262" s="965" t="str">
        <x:v>§6.1.2</x:v>
      </x:c>
      <x:c r="B262" s="965" t="str">
        <x:v>Hanteringsavgifter för avfall inlämnat på återvinningscentral</x:v>
      </x:c>
      <x:c r="C262" s="965" t="str">
        <x:v>Träavfall – obehandlat, utan tapet, plastmatta, tjärpapp</x:v>
      </x:c>
      <x:c r="D262" s="965"/>
      <x:c r="E262" s="965" t="str">
        <x:v>kr/ton</x:v>
      </x:c>
      <x:c r="F262" s="989"/>
      <x:c r="G262" s="996" t="str">
        <x:f>IF($F262&lt;&gt;"",$F262,IFERROR(_xlfn.XLOOKUP(ROW(),Taxa_Saknas!$H:$H,Taxa_Saknas!$G:$G),""))</x:f>
      </x:c>
      <x:c r="H262" s="1003" t="e">
        <x:f>IF($F262&lt;&gt;"",IFERROR(_xlfn.XLOOKUP($F262,Taxa_från_edp!$B:$B,Taxa_från_edp!C:C),""),"")</x:f>
      </x:c>
      <x:c r="I262" s="1004" t="e">
        <x:f>IF($F262&lt;&gt;"",IFERROR(_xlfn.XLOOKUP($F262,Taxa_från_edp!$B:$B,Taxa_från_edp!G:G),""),"")</x:f>
      </x:c>
      <x:c r="J262" s="1005" t="e">
        <x:f>IF($F262&lt;&gt;"",IFERROR(_xlfn.XLOOKUP($F262,Taxa_från_edp!$B:$B,Taxa_från_edp!K:K),""),"")</x:f>
      </x:c>
      <x:c r="K262" s="1016"/>
      <x:c r="L262" s="1022"/>
      <x:c r="M262" s="1029" t="str">
        <x:f>IFERROR(IF(J262&lt;&gt;"",J262*1.25,IF(K262&lt;&gt;"",K262*1.25,"")),"")</x:f>
      </x:c>
      <x:c r="N262" s="1030" t="str">
        <x:f>IFERROR(IF(J262&lt;&gt;"",L262*J262,IF(K262&lt;&gt;"",L262*K262,"")),"")</x:f>
      </x:c>
    </x:row>
    <x:row r="263" s="54" customFormat="1" ht="30" customHeight="1">
      <x:c r="A263" s="965" t="str">
        <x:v>§6.1.2</x:v>
      </x:c>
      <x:c r="B263" s="965" t="str">
        <x:v>Hanteringsavgifter för avfall inlämnat på återvinningscentral</x:v>
      </x:c>
      <x:c r="C263" s="965" t="str">
        <x:v>Träavfall – behandlat, utan tapet, plastmatta, tjärpapp</x:v>
      </x:c>
      <x:c r="D263" s="965"/>
      <x:c r="E263" s="965" t="str">
        <x:v>kr/ton</x:v>
      </x:c>
      <x:c r="F263" s="989"/>
      <x:c r="G263" s="996" t="str">
        <x:f>IF($F263&lt;&gt;"",$F263,IFERROR(_xlfn.XLOOKUP(ROW(),Taxa_Saknas!$H:$H,Taxa_Saknas!$G:$G),""))</x:f>
      </x:c>
      <x:c r="H263" s="1003" t="e">
        <x:f>IF($F263&lt;&gt;"",IFERROR(_xlfn.XLOOKUP($F263,Taxa_från_edp!$B:$B,Taxa_från_edp!C:C),""),"")</x:f>
      </x:c>
      <x:c r="I263" s="1004" t="e">
        <x:f>IF($F263&lt;&gt;"",IFERROR(_xlfn.XLOOKUP($F263,Taxa_från_edp!$B:$B,Taxa_från_edp!G:G),""),"")</x:f>
      </x:c>
      <x:c r="J263" s="1005" t="e">
        <x:f>IF($F263&lt;&gt;"",IFERROR(_xlfn.XLOOKUP($F263,Taxa_från_edp!$B:$B,Taxa_från_edp!K:K),""),"")</x:f>
      </x:c>
      <x:c r="K263" s="1016"/>
      <x:c r="L263" s="1022"/>
      <x:c r="M263" s="1029" t="str">
        <x:f>IFERROR(IF(J263&lt;&gt;"",J263*1.25,IF(K263&lt;&gt;"",K263*1.25,"")),"")</x:f>
      </x:c>
      <x:c r="N263" s="1030" t="str">
        <x:f>IFERROR(IF(J263&lt;&gt;"",L263*J263,IF(K263&lt;&gt;"",L263*K263,"")),"")</x:f>
      </x:c>
    </x:row>
    <x:row r="264" s="54" customFormat="1" ht="30" customHeight="1">
      <x:c r="A264" s="965" t="str">
        <x:v>§6.1.2</x:v>
      </x:c>
      <x:c r="B264" s="965" t="str">
        <x:v>Hanteringsavgifter för avfall inlämnat på återvinningscentral</x:v>
      </x:c>
      <x:c r="C264" s="965" t="str">
        <x:v>Tryckimpregnerat trä (inkl pall)</x:v>
      </x:c>
      <x:c r="D264" s="965"/>
      <x:c r="E264" s="965" t="str">
        <x:v>kr/ton</x:v>
      </x:c>
      <x:c r="F264" s="989"/>
      <x:c r="G264" s="996" t="str">
        <x:f>IF($F264&lt;&gt;"",$F264,IFERROR(_xlfn.XLOOKUP(ROW(),Taxa_Saknas!$H:$H,Taxa_Saknas!$G:$G),""))</x:f>
      </x:c>
      <x:c r="H264" s="1003" t="e">
        <x:f>IF($F264&lt;&gt;"",IFERROR(_xlfn.XLOOKUP($F264,Taxa_från_edp!$B:$B,Taxa_från_edp!C:C),""),"")</x:f>
      </x:c>
      <x:c r="I264" s="1004" t="e">
        <x:f>IF($F264&lt;&gt;"",IFERROR(_xlfn.XLOOKUP($F264,Taxa_från_edp!$B:$B,Taxa_från_edp!G:G),""),"")</x:f>
      </x:c>
      <x:c r="J264" s="1005" t="e">
        <x:f>IF($F264&lt;&gt;"",IFERROR(_xlfn.XLOOKUP($F264,Taxa_från_edp!$B:$B,Taxa_från_edp!K:K),""),"")</x:f>
      </x:c>
      <x:c r="K264" s="1016"/>
      <x:c r="L264" s="1022"/>
      <x:c r="M264" s="1029" t="str">
        <x:f>IFERROR(IF(J264&lt;&gt;"",J264*1.25,IF(K264&lt;&gt;"",K264*1.25,"")),"")</x:f>
      </x:c>
      <x:c r="N264" s="1030" t="str">
        <x:f>IFERROR(IF(J264&lt;&gt;"",L264*J264,IF(K264&lt;&gt;"",L264*K264,"")),"")</x:f>
      </x:c>
    </x:row>
    <x:row r="265" s="54" customFormat="1" ht="30" customHeight="1">
      <x:c r="A265" s="965" t="str">
        <x:v>§6.1.2</x:v>
      </x:c>
      <x:c r="B265" s="965" t="str">
        <x:v>Hanteringsavgifter för avfall inlämnat på återvinningscentral</x:v>
      </x:c>
      <x:c r="C265" s="965" t="str">
        <x:v>Klinker, porslin</x:v>
      </x:c>
      <x:c r="D265" s="965"/>
      <x:c r="E265" s="965" t="str">
        <x:v>kr/ton</x:v>
      </x:c>
      <x:c r="F265" s="989"/>
      <x:c r="G265" s="996" t="str">
        <x:f>IF($F265&lt;&gt;"",$F265,IFERROR(_xlfn.XLOOKUP(ROW(),Taxa_Saknas!$H:$H,Taxa_Saknas!$G:$G),""))</x:f>
      </x:c>
      <x:c r="H265" s="1003" t="e">
        <x:f>IF($F265&lt;&gt;"",IFERROR(_xlfn.XLOOKUP($F265,Taxa_från_edp!$B:$B,Taxa_från_edp!C:C),""),"")</x:f>
      </x:c>
      <x:c r="I265" s="1004" t="e">
        <x:f>IF($F265&lt;&gt;"",IFERROR(_xlfn.XLOOKUP($F265,Taxa_från_edp!$B:$B,Taxa_från_edp!G:G),""),"")</x:f>
      </x:c>
      <x:c r="J265" s="1005" t="e">
        <x:f>IF($F265&lt;&gt;"",IFERROR(_xlfn.XLOOKUP($F265,Taxa_från_edp!$B:$B,Taxa_från_edp!K:K),""),"")</x:f>
      </x:c>
      <x:c r="K265" s="1016"/>
      <x:c r="L265" s="1022"/>
      <x:c r="M265" s="1029" t="str">
        <x:f>IFERROR(IF(J265&lt;&gt;"",J265*1.25,IF(K265&lt;&gt;"",K265*1.25,"")),"")</x:f>
      </x:c>
      <x:c r="N265" s="1030" t="str">
        <x:f>IFERROR(IF(J265&lt;&gt;"",L265*J265,IF(K265&lt;&gt;"",L265*K265,"")),"")</x:f>
      </x:c>
    </x:row>
    <x:row r="266" s="54" customFormat="1" ht="30" customHeight="1">
      <x:c r="A266" s="965" t="str">
        <x:v>§6.1.2</x:v>
      </x:c>
      <x:c r="B266" s="965" t="str">
        <x:v>Hanteringsavgifter för avfall inlämnat på återvinningscentral</x:v>
      </x:c>
      <x:c r="C266" s="965" t="str">
        <x:v>Gips</x:v>
      </x:c>
      <x:c r="D266" s="965"/>
      <x:c r="E266" s="965" t="str">
        <x:v>kr/ton</x:v>
      </x:c>
      <x:c r="F266" s="989"/>
      <x:c r="G266" s="996" t="str">
        <x:f>IF($F266&lt;&gt;"",$F266,IFERROR(_xlfn.XLOOKUP(ROW(),Taxa_Saknas!$H:$H,Taxa_Saknas!$G:$G),""))</x:f>
      </x:c>
      <x:c r="H266" s="1003" t="e">
        <x:f>IF($F266&lt;&gt;"",IFERROR(_xlfn.XLOOKUP($F266,Taxa_från_edp!$B:$B,Taxa_från_edp!C:C),""),"")</x:f>
      </x:c>
      <x:c r="I266" s="1004" t="e">
        <x:f>IF($F266&lt;&gt;"",IFERROR(_xlfn.XLOOKUP($F266,Taxa_från_edp!$B:$B,Taxa_från_edp!G:G),""),"")</x:f>
      </x:c>
      <x:c r="J266" s="1005" t="e">
        <x:f>IF($F266&lt;&gt;"",IFERROR(_xlfn.XLOOKUP($F266,Taxa_från_edp!$B:$B,Taxa_från_edp!K:K),""),"")</x:f>
      </x:c>
      <x:c r="K266" s="1016"/>
      <x:c r="L266" s="1022"/>
      <x:c r="M266" s="1029" t="str">
        <x:f>IFERROR(IF(J266&lt;&gt;"",J266*1.25,IF(K266&lt;&gt;"",K266*1.25,"")),"")</x:f>
      </x:c>
      <x:c r="N266" s="1030" t="str">
        <x:f>IFERROR(IF(J266&lt;&gt;"",L266*J266,IF(K266&lt;&gt;"",L266*K266,"")),"")</x:f>
      </x:c>
    </x:row>
    <x:row r="267" s="54" customFormat="1" ht="30" customHeight="1">
      <x:c r="A267" s="965" t="str">
        <x:v>§6.1.2</x:v>
      </x:c>
      <x:c r="B267" s="965" t="str">
        <x:v>Hanteringsavgifter för avfall inlämnat på återvinningscentral</x:v>
      </x:c>
      <x:c r="C267" s="965" t="str">
        <x:v>Tegel</x:v>
      </x:c>
      <x:c r="D267" s="965"/>
      <x:c r="E267" s="965" t="str">
        <x:v>kr/ton</x:v>
      </x:c>
      <x:c r="F267" s="989"/>
      <x:c r="G267" s="996" t="str">
        <x:f>IF($F267&lt;&gt;"",$F267,IFERROR(_xlfn.XLOOKUP(ROW(),Taxa_Saknas!$H:$H,Taxa_Saknas!$G:$G),""))</x:f>
      </x:c>
      <x:c r="H267" s="1003" t="e">
        <x:f>IF($F267&lt;&gt;"",IFERROR(_xlfn.XLOOKUP($F267,Taxa_från_edp!$B:$B,Taxa_från_edp!C:C),""),"")</x:f>
      </x:c>
      <x:c r="I267" s="1004" t="e">
        <x:f>IF($F267&lt;&gt;"",IFERROR(_xlfn.XLOOKUP($F267,Taxa_från_edp!$B:$B,Taxa_från_edp!G:G),""),"")</x:f>
      </x:c>
      <x:c r="J267" s="1005" t="e">
        <x:f>IF($F267&lt;&gt;"",IFERROR(_xlfn.XLOOKUP($F267,Taxa_från_edp!$B:$B,Taxa_från_edp!K:K),""),"")</x:f>
      </x:c>
      <x:c r="K267" s="1016"/>
      <x:c r="L267" s="1022"/>
      <x:c r="M267" s="1029" t="str">
        <x:f>IFERROR(IF(J267&lt;&gt;"",J267*1.25,IF(K267&lt;&gt;"",K267*1.25,"")),"")</x:f>
      </x:c>
      <x:c r="N267" s="1030" t="str">
        <x:f>IFERROR(IF(J267&lt;&gt;"",L267*J267,IF(K267&lt;&gt;"",L267*K267,"")),"")</x:f>
      </x:c>
    </x:row>
    <x:row r="268" s="54" customFormat="1" ht="30" customHeight="1">
      <x:c r="A268" s="965" t="str">
        <x:v>§6.1.2</x:v>
      </x:c>
      <x:c r="B268" s="965" t="str">
        <x:v>Hanteringsavgifter för avfall inlämnat på återvinningscentral</x:v>
      </x:c>
      <x:c r="C268" s="965" t="str">
        <x:v>Planglas (fönster utan karm)</x:v>
      </x:c>
      <x:c r="D268" s="965"/>
      <x:c r="E268" s="965" t="str">
        <x:v>kr/ton</x:v>
      </x:c>
      <x:c r="F268" s="989"/>
      <x:c r="G268" s="996" t="str">
        <x:f>IF($F268&lt;&gt;"",$F268,IFERROR(_xlfn.XLOOKUP(ROW(),Taxa_Saknas!$H:$H,Taxa_Saknas!$G:$G),""))</x:f>
      </x:c>
      <x:c r="H268" s="1003" t="e">
        <x:f>IF($F268&lt;&gt;"",IFERROR(_xlfn.XLOOKUP($F268,Taxa_från_edp!$B:$B,Taxa_från_edp!C:C),""),"")</x:f>
      </x:c>
      <x:c r="I268" s="1004" t="e">
        <x:f>IF($F268&lt;&gt;"",IFERROR(_xlfn.XLOOKUP($F268,Taxa_från_edp!$B:$B,Taxa_från_edp!G:G),""),"")</x:f>
      </x:c>
      <x:c r="J268" s="1005" t="e">
        <x:f>IF($F268&lt;&gt;"",IFERROR(_xlfn.XLOOKUP($F268,Taxa_från_edp!$B:$B,Taxa_från_edp!K:K),""),"")</x:f>
      </x:c>
      <x:c r="K268" s="1016"/>
      <x:c r="L268" s="1022"/>
      <x:c r="M268" s="1029" t="str">
        <x:f>IFERROR(IF(J268&lt;&gt;"",J268*1.25,IF(K268&lt;&gt;"",K268*1.25,"")),"")</x:f>
      </x:c>
      <x:c r="N268" s="1030" t="str">
        <x:f>IFERROR(IF(J268&lt;&gt;"",L268*J268,IF(K268&lt;&gt;"",L268*K268,"")),"")</x:f>
      </x:c>
    </x:row>
    <x:row r="269" s="54" customFormat="1" ht="30" customHeight="1">
      <x:c r="A269" s="965" t="str">
        <x:v>§6.1.2</x:v>
      </x:c>
      <x:c r="B269" s="965" t="str">
        <x:v>Hanteringsavgifter för avfall inlämnat på återvinningscentral</x:v>
      </x:c>
      <x:c r="C269" s="965" t="str">
        <x:v>Fönster med karm</x:v>
      </x:c>
      <x:c r="D269" s="965"/>
      <x:c r="E269" s="965" t="str">
        <x:v>kr/ton</x:v>
      </x:c>
      <x:c r="F269" s="989"/>
      <x:c r="G269" s="996" t="str">
        <x:f>IF($F269&lt;&gt;"",$F269,IFERROR(_xlfn.XLOOKUP(ROW(),Taxa_Saknas!$H:$H,Taxa_Saknas!$G:$G),""))</x:f>
      </x:c>
      <x:c r="H269" s="1003" t="e">
        <x:f>IF($F269&lt;&gt;"",IFERROR(_xlfn.XLOOKUP($F269,Taxa_från_edp!$B:$B,Taxa_från_edp!C:C),""),"")</x:f>
      </x:c>
      <x:c r="I269" s="1004" t="e">
        <x:f>IF($F269&lt;&gt;"",IFERROR(_xlfn.XLOOKUP($F269,Taxa_från_edp!$B:$B,Taxa_från_edp!G:G),""),"")</x:f>
      </x:c>
      <x:c r="J269" s="1005" t="e">
        <x:f>IF($F269&lt;&gt;"",IFERROR(_xlfn.XLOOKUP($F269,Taxa_från_edp!$B:$B,Taxa_från_edp!K:K),""),"")</x:f>
      </x:c>
      <x:c r="K269" s="1016"/>
      <x:c r="L269" s="1022"/>
      <x:c r="M269" s="1029" t="str">
        <x:f>IFERROR(IF(J269&lt;&gt;"",J269*1.25,IF(K269&lt;&gt;"",K269*1.25,"")),"")</x:f>
      </x:c>
      <x:c r="N269" s="1030" t="str">
        <x:f>IFERROR(IF(J269&lt;&gt;"",L269*J269,IF(K269&lt;&gt;"",L269*K269,"")),"")</x:f>
      </x:c>
    </x:row>
    <x:row r="270" s="54" customFormat="1" ht="30" customHeight="1">
      <x:c r="A270" s="965" t="str">
        <x:v>§6.1.2</x:v>
      </x:c>
      <x:c r="B270" s="965" t="str">
        <x:v>Hanteringsavgifter för avfall inlämnat på återvinningscentral</x:v>
      </x:c>
      <x:c r="C270" s="965" t="str">
        <x:v>Isolering utan innehåll av asbest</x:v>
      </x:c>
      <x:c r="D270" s="965"/>
      <x:c r="E270" s="965" t="str">
        <x:v>kr/ton</x:v>
      </x:c>
      <x:c r="F270" s="989"/>
      <x:c r="G270" s="996" t="str">
        <x:f>IF($F270&lt;&gt;"",$F270,IFERROR(_xlfn.XLOOKUP(ROW(),Taxa_Saknas!$H:$H,Taxa_Saknas!$G:$G),""))</x:f>
      </x:c>
      <x:c r="H270" s="1003" t="e">
        <x:f>IF($F270&lt;&gt;"",IFERROR(_xlfn.XLOOKUP($F270,Taxa_från_edp!$B:$B,Taxa_från_edp!C:C),""),"")</x:f>
      </x:c>
      <x:c r="I270" s="1004" t="e">
        <x:f>IF($F270&lt;&gt;"",IFERROR(_xlfn.XLOOKUP($F270,Taxa_från_edp!$B:$B,Taxa_från_edp!G:G),""),"")</x:f>
      </x:c>
      <x:c r="J270" s="1005" t="e">
        <x:f>IF($F270&lt;&gt;"",IFERROR(_xlfn.XLOOKUP($F270,Taxa_från_edp!$B:$B,Taxa_från_edp!K:K),""),"")</x:f>
      </x:c>
      <x:c r="K270" s="1016"/>
      <x:c r="L270" s="1022"/>
      <x:c r="M270" s="1029" t="str">
        <x:f>IFERROR(IF(J270&lt;&gt;"",J270*1.25,IF(K270&lt;&gt;"",K270*1.25,"")),"")</x:f>
      </x:c>
      <x:c r="N270" s="1030" t="str">
        <x:f>IFERROR(IF(J270&lt;&gt;"",L270*J270,IF(K270&lt;&gt;"",L270*K270,"")),"")</x:f>
      </x:c>
    </x:row>
    <x:row r="271" s="54" customFormat="1" ht="30" customHeight="1">
      <x:c r="A271" s="965" t="str">
        <x:v>§6.1.2</x:v>
      </x:c>
      <x:c r="B271" s="965" t="str">
        <x:v>Hanteringsavgifter för avfall inlämnat på återvinningscentral</x:v>
      </x:c>
      <x:c r="C271" s="965" t="str">
        <x:v>Metallskrot rent</x:v>
      </x:c>
      <x:c r="D271" s="965"/>
      <x:c r="E271" s="965" t="str">
        <x:v>kr/ton</x:v>
      </x:c>
      <x:c r="F271" s="989"/>
      <x:c r="G271" s="996" t="str">
        <x:f>IF($F271&lt;&gt;"",$F271,IFERROR(_xlfn.XLOOKUP(ROW(),Taxa_Saknas!$H:$H,Taxa_Saknas!$G:$G),""))</x:f>
      </x:c>
      <x:c r="H271" s="1003" t="e">
        <x:f>IF($F271&lt;&gt;"",IFERROR(_xlfn.XLOOKUP($F271,Taxa_från_edp!$B:$B,Taxa_från_edp!C:C),""),"")</x:f>
      </x:c>
      <x:c r="I271" s="1004" t="e">
        <x:f>IF($F271&lt;&gt;"",IFERROR(_xlfn.XLOOKUP($F271,Taxa_från_edp!$B:$B,Taxa_från_edp!G:G),""),"")</x:f>
      </x:c>
      <x:c r="J271" s="1005" t="e">
        <x:f>IF($F271&lt;&gt;"",IFERROR(_xlfn.XLOOKUP($F271,Taxa_från_edp!$B:$B,Taxa_från_edp!K:K),""),"")</x:f>
      </x:c>
      <x:c r="K271" s="1016"/>
      <x:c r="L271" s="1022"/>
      <x:c r="M271" s="1029" t="str">
        <x:f>IFERROR(IF(J271&lt;&gt;"",J271*1.25,IF(K271&lt;&gt;"",K271*1.25,"")),"")</x:f>
      </x:c>
      <x:c r="N271" s="1030" t="str">
        <x:f>IFERROR(IF(J271&lt;&gt;"",L271*J271,IF(K271&lt;&gt;"",L271*K271,"")),"")</x:f>
      </x:c>
    </x:row>
    <x:row r="272" s="54" customFormat="1" ht="30" customHeight="1">
      <x:c r="A272" s="965" t="str">
        <x:v>§6.1.2</x:v>
      </x:c>
      <x:c r="B272" s="965" t="str">
        <x:v>Hanteringsavgifter för avfall inlämnat på återvinningscentral</x:v>
      </x:c>
      <x:c r="C272" s="965" t="str">
        <x:v>Trädgårdsavfall</x:v>
      </x:c>
      <x:c r="D272" s="965"/>
      <x:c r="E272" s="965" t="str">
        <x:v>kr/ton</x:v>
      </x:c>
      <x:c r="F272" s="989"/>
      <x:c r="G272" s="996" t="str">
        <x:f>IF($F272&lt;&gt;"",$F272,IFERROR(_xlfn.XLOOKUP(ROW(),Taxa_Saknas!$H:$H,Taxa_Saknas!$G:$G),""))</x:f>
      </x:c>
      <x:c r="H272" s="1003" t="e">
        <x:f>IF($F272&lt;&gt;"",IFERROR(_xlfn.XLOOKUP($F272,Taxa_från_edp!$B:$B,Taxa_från_edp!C:C),""),"")</x:f>
      </x:c>
      <x:c r="I272" s="1004" t="e">
        <x:f>IF($F272&lt;&gt;"",IFERROR(_xlfn.XLOOKUP($F272,Taxa_från_edp!$B:$B,Taxa_från_edp!G:G),""),"")</x:f>
      </x:c>
      <x:c r="J272" s="1005" t="e">
        <x:f>IF($F272&lt;&gt;"",IFERROR(_xlfn.XLOOKUP($F272,Taxa_från_edp!$B:$B,Taxa_från_edp!K:K),""),"")</x:f>
      </x:c>
      <x:c r="K272" s="1016"/>
      <x:c r="L272" s="1022"/>
      <x:c r="M272" s="1029" t="str">
        <x:f>IFERROR(IF(J272&lt;&gt;"",J272*1.25,IF(K272&lt;&gt;"",K272*1.25,"")),"")</x:f>
      </x:c>
      <x:c r="N272" s="1030" t="str">
        <x:f>IFERROR(IF(J272&lt;&gt;"",L272*J272,IF(K272&lt;&gt;"",L272*K272,"")),"")</x:f>
      </x:c>
    </x:row>
    <x:row r="273" s="54" customFormat="1" ht="30" customHeight="1">
      <x:c r="A273" s="965" t="str">
        <x:v>§6.1.2</x:v>
      </x:c>
      <x:c r="B273" s="965" t="str">
        <x:v>Hanteringsavgifter för avfall inlämnat på återvinningscentral</x:v>
      </x:c>
      <x:c r="C273" s="965" t="str">
        <x:v>Kvistar och grenar</x:v>
      </x:c>
      <x:c r="D273" s="965"/>
      <x:c r="E273" s="965" t="str">
        <x:v>kr/ton</x:v>
      </x:c>
      <x:c r="F273" s="989"/>
      <x:c r="G273" s="996" t="str">
        <x:f>IF($F273&lt;&gt;"",$F273,IFERROR(_xlfn.XLOOKUP(ROW(),Taxa_Saknas!$H:$H,Taxa_Saknas!$G:$G),""))</x:f>
      </x:c>
      <x:c r="H273" s="1003" t="e">
        <x:f>IF($F273&lt;&gt;"",IFERROR(_xlfn.XLOOKUP($F273,Taxa_från_edp!$B:$B,Taxa_från_edp!C:C),""),"")</x:f>
      </x:c>
      <x:c r="I273" s="1004" t="e">
        <x:f>IF($F273&lt;&gt;"",IFERROR(_xlfn.XLOOKUP($F273,Taxa_från_edp!$B:$B,Taxa_från_edp!G:G),""),"")</x:f>
      </x:c>
      <x:c r="J273" s="1005" t="e">
        <x:f>IF($F273&lt;&gt;"",IFERROR(_xlfn.XLOOKUP($F273,Taxa_från_edp!$B:$B,Taxa_från_edp!K:K),""),"")</x:f>
      </x:c>
      <x:c r="K273" s="1016"/>
      <x:c r="L273" s="1022"/>
      <x:c r="M273" s="1029" t="str">
        <x:f>IFERROR(IF(J273&lt;&gt;"",J273*1.25,IF(K273&lt;&gt;"",K273*1.25,"")),"")</x:f>
      </x:c>
      <x:c r="N273" s="1030" t="str">
        <x:f>IFERROR(IF(J273&lt;&gt;"",L273*J273,IF(K273&lt;&gt;"",L273*K273,"")),"")</x:f>
      </x:c>
    </x:row>
    <x:row r="274" s="54" customFormat="1" ht="30" customHeight="1">
      <x:c r="A274" s="965" t="str">
        <x:v>§6.1.2</x:v>
      </x:c>
      <x:c r="B274" s="965" t="str">
        <x:v>Hanteringsavgifter för avfall inlämnat på återvinningscentral</x:v>
      </x:c>
      <x:c r="C274" s="965" t="str">
        <x:v>Jord och sten</x:v>
      </x:c>
      <x:c r="D274" s="965"/>
      <x:c r="E274" s="965" t="str">
        <x:v>kr/ton</x:v>
      </x:c>
      <x:c r="F274" s="989"/>
      <x:c r="G274" s="996" t="str">
        <x:f>IF($F274&lt;&gt;"",$F274,IFERROR(_xlfn.XLOOKUP(ROW(),Taxa_Saknas!$H:$H,Taxa_Saknas!$G:$G),""))</x:f>
      </x:c>
      <x:c r="H274" s="1003" t="e">
        <x:f>IF($F274&lt;&gt;"",IFERROR(_xlfn.XLOOKUP($F274,Taxa_från_edp!$B:$B,Taxa_från_edp!C:C),""),"")</x:f>
      </x:c>
      <x:c r="I274" s="1004" t="e">
        <x:f>IF($F274&lt;&gt;"",IFERROR(_xlfn.XLOOKUP($F274,Taxa_från_edp!$B:$B,Taxa_från_edp!G:G),""),"")</x:f>
      </x:c>
      <x:c r="J274" s="1005" t="e">
        <x:f>IF($F274&lt;&gt;"",IFERROR(_xlfn.XLOOKUP($F274,Taxa_från_edp!$B:$B,Taxa_från_edp!K:K),""),"")</x:f>
      </x:c>
      <x:c r="K274" s="1016"/>
      <x:c r="L274" s="1022"/>
      <x:c r="M274" s="1029" t="str">
        <x:f>IFERROR(IF(J274&lt;&gt;"",J274*1.25,IF(K274&lt;&gt;"",K274*1.25,"")),"")</x:f>
      </x:c>
      <x:c r="N274" s="1030" t="str">
        <x:f>IFERROR(IF(J274&lt;&gt;"",L274*J274,IF(K274&lt;&gt;"",L274*K274,"")),"")</x:f>
      </x:c>
    </x:row>
    <x:row r="275" s="54" customFormat="1" ht="30" customHeight="1">
      <x:c r="A275" s="965" t="str">
        <x:v>§6.1.2</x:v>
      </x:c>
      <x:c r="B275" s="965" t="str">
        <x:v>Hanteringsavgifter för avfall inlämnat på återvinningscentral</x:v>
      </x:c>
      <x:c r="C275" s="965" t="str">
        <x:v>Betong</x:v>
      </x:c>
      <x:c r="D275" s="965"/>
      <x:c r="E275" s="965" t="str">
        <x:v>kr/ton</x:v>
      </x:c>
      <x:c r="F275" s="989"/>
      <x:c r="G275" s="996" t="str">
        <x:f>IF($F275&lt;&gt;"",$F275,IFERROR(_xlfn.XLOOKUP(ROW(),Taxa_Saknas!$H:$H,Taxa_Saknas!$G:$G),""))</x:f>
      </x:c>
      <x:c r="H275" s="1003" t="e">
        <x:f>IF($F275&lt;&gt;"",IFERROR(_xlfn.XLOOKUP($F275,Taxa_från_edp!$B:$B,Taxa_från_edp!C:C),""),"")</x:f>
      </x:c>
      <x:c r="I275" s="1004" t="e">
        <x:f>IF($F275&lt;&gt;"",IFERROR(_xlfn.XLOOKUP($F275,Taxa_från_edp!$B:$B,Taxa_från_edp!G:G),""),"")</x:f>
      </x:c>
      <x:c r="J275" s="1005" t="e">
        <x:f>IF($F275&lt;&gt;"",IFERROR(_xlfn.XLOOKUP($F275,Taxa_från_edp!$B:$B,Taxa_från_edp!K:K),""),"")</x:f>
      </x:c>
      <x:c r="K275" s="1016"/>
      <x:c r="L275" s="1022"/>
      <x:c r="M275" s="1029" t="str">
        <x:f>IFERROR(IF(J275&lt;&gt;"",J275*1.25,IF(K275&lt;&gt;"",K275*1.25,"")),"")</x:f>
      </x:c>
      <x:c r="N275" s="1030" t="str">
        <x:f>IFERROR(IF(J275&lt;&gt;"",L275*J275,IF(K275&lt;&gt;"",L275*K275,"")),"")</x:f>
      </x:c>
    </x:row>
    <x:row r="276" s="54" customFormat="1" ht="30" customHeight="1">
      <x:c r="A276" s="965" t="str">
        <x:v>§6.1.2</x:v>
      </x:c>
      <x:c r="B276" s="965" t="str">
        <x:v>Hanteringsavgifter för avfall inlämnat på återvinningscentral</x:v>
      </x:c>
      <x:c r="C276" s="965" t="str">
        <x:v>Asbest</x:v>
      </x:c>
      <x:c r="D276" s="965"/>
      <x:c r="E276" s="965" t="str">
        <x:v>kr/ton</x:v>
      </x:c>
      <x:c r="F276" s="989"/>
      <x:c r="G276" s="996" t="str">
        <x:f>IF($F276&lt;&gt;"",$F276,IFERROR(_xlfn.XLOOKUP(ROW(),Taxa_Saknas!$H:$H,Taxa_Saknas!$G:$G),""))</x:f>
      </x:c>
      <x:c r="H276" s="1003" t="e">
        <x:f>IF($F276&lt;&gt;"",IFERROR(_xlfn.XLOOKUP($F276,Taxa_från_edp!$B:$B,Taxa_från_edp!C:C),""),"")</x:f>
      </x:c>
      <x:c r="I276" s="1004" t="e">
        <x:f>IF($F276&lt;&gt;"",IFERROR(_xlfn.XLOOKUP($F276,Taxa_från_edp!$B:$B,Taxa_från_edp!G:G),""),"")</x:f>
      </x:c>
      <x:c r="J276" s="1005" t="e">
        <x:f>IF($F276&lt;&gt;"",IFERROR(_xlfn.XLOOKUP($F276,Taxa_från_edp!$B:$B,Taxa_från_edp!K:K),""),"")</x:f>
      </x:c>
      <x:c r="K276" s="1016"/>
      <x:c r="L276" s="1022"/>
      <x:c r="M276" s="1029" t="str">
        <x:f>IFERROR(IF(J276&lt;&gt;"",J276*1.25,IF(K276&lt;&gt;"",K276*1.25,"")),"")</x:f>
      </x:c>
      <x:c r="N276" s="1030" t="str">
        <x:f>IFERROR(IF(J276&lt;&gt;"",L276*J276,IF(K276&lt;&gt;"",L276*K276,"")),"")</x:f>
      </x:c>
    </x:row>
    <x:row r="277" s="54" customFormat="1" ht="30" customHeight="1">
      <x:c r="A277" s="965" t="str">
        <x:v>§6.1.2</x:v>
      </x:c>
      <x:c r="B277" s="965" t="str">
        <x:v>Hanteringsavgifter för avfall inlämnat på återvinningscentral</x:v>
      </x:c>
      <x:c r="C277" s="965" t="str">
        <x:v>Elavfall producentansvar (tex lysrör, glödlampor,</x:v>
      </x:c>
      <x:c r="D277" s="965"/>
      <x:c r="E277" s="965" t="str">
        <x:v>kr/ton</x:v>
      </x:c>
      <x:c r="F277" s="989"/>
      <x:c r="G277" s="996" t="str">
        <x:f>IF($F277&lt;&gt;"",$F277,IFERROR(_xlfn.XLOOKUP(ROW(),Taxa_Saknas!$H:$H,Taxa_Saknas!$G:$G),""))</x:f>
      </x:c>
      <x:c r="H277" s="1003" t="e">
        <x:f>IF($F277&lt;&gt;"",IFERROR(_xlfn.XLOOKUP($F277,Taxa_från_edp!$B:$B,Taxa_från_edp!C:C),""),"")</x:f>
      </x:c>
      <x:c r="I277" s="1004" t="e">
        <x:f>IF($F277&lt;&gt;"",IFERROR(_xlfn.XLOOKUP($F277,Taxa_från_edp!$B:$B,Taxa_från_edp!G:G),""),"")</x:f>
      </x:c>
      <x:c r="J277" s="1005" t="e">
        <x:f>IF($F277&lt;&gt;"",IFERROR(_xlfn.XLOOKUP($F277,Taxa_från_edp!$B:$B,Taxa_från_edp!K:K),""),"")</x:f>
      </x:c>
      <x:c r="K277" s="1016"/>
      <x:c r="L277" s="1022"/>
      <x:c r="M277" s="1029" t="str">
        <x:f>IFERROR(IF(J277&lt;&gt;"",J277*1.25,IF(K277&lt;&gt;"",K277*1.25,"")),"")</x:f>
      </x:c>
      <x:c r="N277" s="1030" t="str">
        <x:f>IFERROR(IF(J277&lt;&gt;"",L277*J277,IF(K277&lt;&gt;"",L277*K277,"")),"")</x:f>
      </x:c>
    </x:row>
    <x:row r="278" s="54" customFormat="1" ht="30" customHeight="1">
      <x:c r="A278" s="965" t="str">
        <x:v>§6.1.2</x:v>
      </x:c>
      <x:c r="B278" s="965" t="str">
        <x:v>Hanteringsavgifter för avfall inlämnat på återvinningscentral</x:v>
      </x:c>
      <x:c r="C278" s="965" t="str">
        <x:v>kylsklåp/frys av hushållsmodell)</x:v>
      </x:c>
      <x:c r="D278" s="965"/>
      <x:c r="E278" s="965" t="str">
        <x:v>kr/ton</x:v>
      </x:c>
      <x:c r="F278" s="989"/>
      <x:c r="G278" s="996" t="str">
        <x:f>IF($F278&lt;&gt;"",$F278,IFERROR(_xlfn.XLOOKUP(ROW(),Taxa_Saknas!$H:$H,Taxa_Saknas!$G:$G),""))</x:f>
      </x:c>
      <x:c r="H278" s="1003" t="e">
        <x:f>IF($F278&lt;&gt;"",IFERROR(_xlfn.XLOOKUP($F278,Taxa_från_edp!$B:$B,Taxa_från_edp!C:C),""),"")</x:f>
      </x:c>
      <x:c r="I278" s="1004" t="e">
        <x:f>IF($F278&lt;&gt;"",IFERROR(_xlfn.XLOOKUP($F278,Taxa_från_edp!$B:$B,Taxa_från_edp!G:G),""),"")</x:f>
      </x:c>
      <x:c r="J278" s="1005" t="e">
        <x:f>IF($F278&lt;&gt;"",IFERROR(_xlfn.XLOOKUP($F278,Taxa_från_edp!$B:$B,Taxa_från_edp!K:K),""),"")</x:f>
      </x:c>
      <x:c r="K278" s="1016"/>
      <x:c r="L278" s="1022"/>
      <x:c r="M278" s="1029" t="str">
        <x:f>IFERROR(IF(J278&lt;&gt;"",J278*1.25,IF(K278&lt;&gt;"",K278*1.25,"")),"")</x:f>
      </x:c>
      <x:c r="N278" s="1030" t="str">
        <x:f>IFERROR(IF(J278&lt;&gt;"",L278*J278,IF(K278&lt;&gt;"",L278*K278,"")),"")</x:f>
      </x:c>
    </x:row>
    <x:row r="279" s="54" customFormat="1" ht="30" customHeight="1">
      <x:c r="A279" s="965" t="str">
        <x:v>§6.1.2</x:v>
      </x:c>
      <x:c r="B279" s="965" t="str">
        <x:v>Hanteringsavgifter för avfall inlämnat på återvinningscentral</x:v>
      </x:c>
      <x:c r="C279" s="965" t="str">
        <x:v>Elavfall ej producentansvar (tex ventillationsfläkt, kyldisk)</x:v>
      </x:c>
      <x:c r="D279" s="965"/>
      <x:c r="E279" s="965" t="str">
        <x:v>kr/ton</x:v>
      </x:c>
      <x:c r="F279" s="989"/>
      <x:c r="G279" s="996" t="str">
        <x:f>IF($F279&lt;&gt;"",$F279,IFERROR(_xlfn.XLOOKUP(ROW(),Taxa_Saknas!$H:$H,Taxa_Saknas!$G:$G),""))</x:f>
      </x:c>
      <x:c r="H279" s="1003" t="e">
        <x:f>IF($F279&lt;&gt;"",IFERROR(_xlfn.XLOOKUP($F279,Taxa_från_edp!$B:$B,Taxa_från_edp!C:C),""),"")</x:f>
      </x:c>
      <x:c r="I279" s="1004" t="e">
        <x:f>IF($F279&lt;&gt;"",IFERROR(_xlfn.XLOOKUP($F279,Taxa_från_edp!$B:$B,Taxa_från_edp!G:G),""),"")</x:f>
      </x:c>
      <x:c r="J279" s="1005" t="e">
        <x:f>IF($F279&lt;&gt;"",IFERROR(_xlfn.XLOOKUP($F279,Taxa_från_edp!$B:$B,Taxa_från_edp!K:K),""),"")</x:f>
      </x:c>
      <x:c r="K279" s="1016"/>
      <x:c r="L279" s="1022"/>
      <x:c r="M279" s="1029" t="str">
        <x:f>IFERROR(IF(J279&lt;&gt;"",J279*1.25,IF(K279&lt;&gt;"",K279*1.25,"")),"")</x:f>
      </x:c>
      <x:c r="N279" s="1030" t="str">
        <x:f>IFERROR(IF(J279&lt;&gt;"",L279*J279,IF(K279&lt;&gt;"",L279*K279,"")),"")</x:f>
      </x:c>
    </x:row>
    <x:row r="280" s="54" customFormat="1" ht="30" customHeight="1">
      <x:c r="A280" s="965" t="str">
        <x:v>§6.1.2</x:v>
      </x:c>
      <x:c r="B280" s="965" t="str">
        <x:v>Hanteringsavgifter för avfall inlämnat på återvinningscentral</x:v>
      </x:c>
      <x:c r="C280" s="965" t="str">
        <x:v>Blandat avfall för sortering på ramp (max 2 m3)</x:v>
      </x:c>
      <x:c r="D280" s="965"/>
      <x:c r="E280" s="965" t="str">
        <x:v>kr/fordon</x:v>
      </x:c>
      <x:c r="F280" s="989"/>
      <x:c r="G280" s="996" t="str">
        <x:f>IF($F280&lt;&gt;"",$F280,IFERROR(_xlfn.XLOOKUP(ROW(),Taxa_Saknas!$H:$H,Taxa_Saknas!$G:$G),""))</x:f>
      </x:c>
      <x:c r="H280" s="1003" t="e">
        <x:f>IF($F280&lt;&gt;"",IFERROR(_xlfn.XLOOKUP($F280,Taxa_från_edp!$B:$B,Taxa_från_edp!C:C),""),"")</x:f>
      </x:c>
      <x:c r="I280" s="1004" t="e">
        <x:f>IF($F280&lt;&gt;"",IFERROR(_xlfn.XLOOKUP($F280,Taxa_från_edp!$B:$B,Taxa_från_edp!G:G),""),"")</x:f>
      </x:c>
      <x:c r="J280" s="1005" t="e">
        <x:f>IF($F280&lt;&gt;"",IFERROR(_xlfn.XLOOKUP($F280,Taxa_från_edp!$B:$B,Taxa_från_edp!K:K),""),"")</x:f>
      </x:c>
      <x:c r="K280" s="1016"/>
      <x:c r="L280" s="1022"/>
      <x:c r="M280" s="1029" t="str">
        <x:f>IFERROR(IF(J280&lt;&gt;"",J280*1.25,IF(K280&lt;&gt;"",K280*1.25,"")),"")</x:f>
      </x:c>
      <x:c r="N280" s="1030" t="str">
        <x:f>IFERROR(IF(J280&lt;&gt;"",L280*J280,IF(K280&lt;&gt;"",L280*K280,"")),"")</x:f>
      </x:c>
    </x:row>
    <x:row r="281" s="54" customFormat="1" ht="30" customHeight="1">
      <x:c r="A281" s="965" t="str">
        <x:v>§6.1.2</x:v>
      </x:c>
      <x:c r="B281" s="965" t="str">
        <x:v>Hanteringsavgifter för avfall inlämnat på återvinningscentral</x:v>
      </x:c>
      <x:c r="C281" s="965" t="str">
        <x:v>Oljehaltigt avfall (Spillolja) i dunkar mindre än 10 liter Avfallskod 20 01 26*</x:v>
      </x:c>
      <x:c r="D281" s="965" t="str">
        <x:v>3295</x:v>
      </x:c>
      <x:c r="E281" s="965" t="str">
        <x:v>Kr/l</x:v>
      </x:c>
      <x:c r="F281" s="989"/>
      <x:c r="G281" s="996" t="str">
        <x:f>IF($F281&lt;&gt;"",$F281,IFERROR(_xlfn.XLOOKUP(ROW(),Taxa_Saknas!$H:$H,Taxa_Saknas!$G:$G),""))</x:f>
      </x:c>
      <x:c r="H281" s="1003" t="e">
        <x:f>IF($F281&lt;&gt;"",IFERROR(_xlfn.XLOOKUP($F281,Taxa_från_edp!$B:$B,Taxa_från_edp!C:C),""),"")</x:f>
      </x:c>
      <x:c r="I281" s="1004" t="e">
        <x:f>IF($F281&lt;&gt;"",IFERROR(_xlfn.XLOOKUP($F281,Taxa_från_edp!$B:$B,Taxa_från_edp!G:G),""),"")</x:f>
      </x:c>
      <x:c r="J281" s="1005" t="e">
        <x:f>IF($F281&lt;&gt;"",IFERROR(_xlfn.XLOOKUP($F281,Taxa_från_edp!$B:$B,Taxa_från_edp!K:K),""),"")</x:f>
      </x:c>
      <x:c r="K281" s="1016"/>
      <x:c r="L281" s="1022"/>
      <x:c r="M281" s="1029" t="str">
        <x:f>IFERROR(IF(J281&lt;&gt;"",J281*1.25,IF(K281&lt;&gt;"",K281*1.25,"")),"")</x:f>
      </x:c>
      <x:c r="N281" s="1030" t="str">
        <x:f>IFERROR(IF(J281&lt;&gt;"",L281*J281,IF(K281&lt;&gt;"",L281*K281,"")),"")</x:f>
      </x:c>
    </x:row>
    <x:row r="282" s="54" customFormat="1" ht="30" customHeight="1">
      <x:c r="A282" s="965" t="str">
        <x:v>§6.1.2</x:v>
      </x:c>
      <x:c r="B282" s="965" t="str">
        <x:v>Hanteringsavgifter för avfall inlämnat på återvinningscentral</x:v>
      </x:c>
      <x:c r="C282" s="965" t="str">
        <x:v>Oljehaltigt avfall (Spillolja) i fat och dunkar större än 10 liter Avfallskod 20 01 26*</x:v>
      </x:c>
      <x:c r="D282" s="965" t="str">
        <x:v>3295</x:v>
      </x:c>
      <x:c r="E282" s="965" t="str">
        <x:v>Kr/l</x:v>
      </x:c>
      <x:c r="F282" s="989"/>
      <x:c r="G282" s="996" t="str">
        <x:f>IF($F282&lt;&gt;"",$F282,IFERROR(_xlfn.XLOOKUP(ROW(),Taxa_Saknas!$H:$H,Taxa_Saknas!$G:$G),""))</x:f>
      </x:c>
      <x:c r="H282" s="1003" t="e">
        <x:f>IF($F282&lt;&gt;"",IFERROR(_xlfn.XLOOKUP($F282,Taxa_från_edp!$B:$B,Taxa_från_edp!C:C),""),"")</x:f>
      </x:c>
      <x:c r="I282" s="1004" t="e">
        <x:f>IF($F282&lt;&gt;"",IFERROR(_xlfn.XLOOKUP($F282,Taxa_från_edp!$B:$B,Taxa_från_edp!G:G),""),"")</x:f>
      </x:c>
      <x:c r="J282" s="1005" t="e">
        <x:f>IF($F282&lt;&gt;"",IFERROR(_xlfn.XLOOKUP($F282,Taxa_från_edp!$B:$B,Taxa_från_edp!K:K),""),"")</x:f>
      </x:c>
      <x:c r="K282" s="1016"/>
      <x:c r="L282" s="1022"/>
      <x:c r="M282" s="1029" t="str">
        <x:f>IFERROR(IF(J282&lt;&gt;"",J282*1.25,IF(K282&lt;&gt;"",K282*1.25,"")),"")</x:f>
      </x:c>
      <x:c r="N282" s="1030" t="str">
        <x:f>IFERROR(IF(J282&lt;&gt;"",L282*J282,IF(K282&lt;&gt;"",L282*K282,"")),"")</x:f>
      </x:c>
    </x:row>
    <x:row r="283" s="54" customFormat="1" ht="30" customHeight="1">
      <x:c r="A283" s="965" t="str">
        <x:v>§6.1.2</x:v>
      </x:c>
      <x:c r="B283" s="965" t="str">
        <x:v>Hanteringsavgifter för avfall inlämnat på återvinningscentral</x:v>
      </x:c>
      <x:c r="C283" s="965" t="str">
        <x:v>Förorenad olja (ej PCB) Avfallskod 20 01 26*</x:v>
      </x:c>
      <x:c r="D283" s="965" t="str">
        <x:v>3295</x:v>
      </x:c>
      <x:c r="E283" s="965" t="str">
        <x:v>Kr/Kg</x:v>
      </x:c>
      <x:c r="F283" s="989"/>
      <x:c r="G283" s="996" t="str">
        <x:f>IF($F283&lt;&gt;"",$F283,IFERROR(_xlfn.XLOOKUP(ROW(),Taxa_Saknas!$H:$H,Taxa_Saknas!$G:$G),""))</x:f>
      </x:c>
      <x:c r="H283" s="1003" t="e">
        <x:f>IF($F283&lt;&gt;"",IFERROR(_xlfn.XLOOKUP($F283,Taxa_från_edp!$B:$B,Taxa_från_edp!C:C),""),"")</x:f>
      </x:c>
      <x:c r="I283" s="1004" t="e">
        <x:f>IF($F283&lt;&gt;"",IFERROR(_xlfn.XLOOKUP($F283,Taxa_från_edp!$B:$B,Taxa_från_edp!G:G),""),"")</x:f>
      </x:c>
      <x:c r="J283" s="1005" t="e">
        <x:f>IF($F283&lt;&gt;"",IFERROR(_xlfn.XLOOKUP($F283,Taxa_från_edp!$B:$B,Taxa_från_edp!K:K),""),"")</x:f>
      </x:c>
      <x:c r="K283" s="1016"/>
      <x:c r="L283" s="1022"/>
      <x:c r="M283" s="1029" t="str">
        <x:f>IFERROR(IF(J283&lt;&gt;"",J283*1.25,IF(K283&lt;&gt;"",K283*1.25,"")),"")</x:f>
      </x:c>
      <x:c r="N283" s="1030" t="str">
        <x:f>IFERROR(IF(J283&lt;&gt;"",L283*J283,IF(K283&lt;&gt;"",L283*K283,"")),"")</x:f>
      </x:c>
    </x:row>
    <x:row r="284" s="54" customFormat="1" ht="30" customHeight="1">
      <x:c r="A284" s="965" t="str">
        <x:v>§6.1.2</x:v>
      </x:c>
      <x:c r="B284" s="965" t="str">
        <x:v>Hanteringsavgifter för avfall inlämnat på återvinningscentral</x:v>
      </x:c>
      <x:c r="C284" s="965" t="str">
        <x:v>Förorenad olja innehållande PCB Avfallskod 13 03 01*</x:v>
      </x:c>
      <x:c r="D284" s="965" t="str">
        <x:v>3295</x:v>
      </x:c>
      <x:c r="E284" s="965" t="str">
        <x:v>Kr/Kg</x:v>
      </x:c>
      <x:c r="F284" s="989"/>
      <x:c r="G284" s="996" t="str">
        <x:f>IF($F284&lt;&gt;"",$F284,IFERROR(_xlfn.XLOOKUP(ROW(),Taxa_Saknas!$H:$H,Taxa_Saknas!$G:$G),""))</x:f>
      </x:c>
      <x:c r="H284" s="1003" t="e">
        <x:f>IF($F284&lt;&gt;"",IFERROR(_xlfn.XLOOKUP($F284,Taxa_från_edp!$B:$B,Taxa_från_edp!C:C),""),"")</x:f>
      </x:c>
      <x:c r="I284" s="1004" t="e">
        <x:f>IF($F284&lt;&gt;"",IFERROR(_xlfn.XLOOKUP($F284,Taxa_från_edp!$B:$B,Taxa_från_edp!G:G),""),"")</x:f>
      </x:c>
      <x:c r="J284" s="1005" t="e">
        <x:f>IF($F284&lt;&gt;"",IFERROR(_xlfn.XLOOKUP($F284,Taxa_från_edp!$B:$B,Taxa_från_edp!K:K),""),"")</x:f>
      </x:c>
      <x:c r="K284" s="1016"/>
      <x:c r="L284" s="1022"/>
      <x:c r="M284" s="1029" t="str">
        <x:f>IFERROR(IF(J284&lt;&gt;"",J284*1.25,IF(K284&lt;&gt;"",K284*1.25,"")),"")</x:f>
      </x:c>
      <x:c r="N284" s="1030" t="str">
        <x:f>IFERROR(IF(J284&lt;&gt;"",L284*J284,IF(K284&lt;&gt;"",L284*K284,"")),"")</x:f>
      </x:c>
    </x:row>
    <x:row r="285" s="54" customFormat="1" ht="30" customHeight="1">
      <x:c r="A285" s="965" t="str">
        <x:v>§6.1.2</x:v>
      </x:c>
      <x:c r="B285" s="965" t="str">
        <x:v>Hanteringsavgifter för avfall inlämnat på återvinningscentral</x:v>
      </x:c>
      <x:c r="C285" s="965" t="str">
        <x:v>Bensinrester Avfallskod 13 07 02*</x:v>
      </x:c>
      <x:c r="D285" s="965" t="str">
        <x:v>1203</x:v>
      </x:c>
      <x:c r="E285" s="965" t="str">
        <x:v>Kr/Kg</x:v>
      </x:c>
      <x:c r="F285" s="989"/>
      <x:c r="G285" s="996" t="str">
        <x:f>IF($F285&lt;&gt;"",$F285,IFERROR(_xlfn.XLOOKUP(ROW(),Taxa_Saknas!$H:$H,Taxa_Saknas!$G:$G),""))</x:f>
      </x:c>
      <x:c r="H285" s="1003" t="e">
        <x:f>IF($F285&lt;&gt;"",IFERROR(_xlfn.XLOOKUP($F285,Taxa_från_edp!$B:$B,Taxa_från_edp!C:C),""),"")</x:f>
      </x:c>
      <x:c r="I285" s="1004" t="e">
        <x:f>IF($F285&lt;&gt;"",IFERROR(_xlfn.XLOOKUP($F285,Taxa_från_edp!$B:$B,Taxa_från_edp!G:G),""),"")</x:f>
      </x:c>
      <x:c r="J285" s="1005" t="e">
        <x:f>IF($F285&lt;&gt;"",IFERROR(_xlfn.XLOOKUP($F285,Taxa_från_edp!$B:$B,Taxa_från_edp!K:K),""),"")</x:f>
      </x:c>
      <x:c r="K285" s="1016"/>
      <x:c r="L285" s="1022"/>
      <x:c r="M285" s="1029" t="str">
        <x:f>IFERROR(IF(J285&lt;&gt;"",J285*1.25,IF(K285&lt;&gt;"",K285*1.25,"")),"")</x:f>
      </x:c>
      <x:c r="N285" s="1030" t="str">
        <x:f>IFERROR(IF(J285&lt;&gt;"",L285*J285,IF(K285&lt;&gt;"",L285*K285,"")),"")</x:f>
      </x:c>
    </x:row>
    <x:row r="286" s="54" customFormat="1" ht="30" customHeight="1">
      <x:c r="A286" s="965" t="str">
        <x:v>§6.1.2</x:v>
      </x:c>
      <x:c r="B286" s="965" t="str">
        <x:v>Hanteringsavgifter för avfall inlämnat på återvinningscentral</x:v>
      </x:c>
      <x:c r="C286" s="965" t="str">
        <x:v>Diesel Avfallskod 13 07 01*</x:v>
      </x:c>
      <x:c r="D286" s="965" t="str">
        <x:v>1202</x:v>
      </x:c>
      <x:c r="E286" s="965" t="str">
        <x:v>Kr/Kg</x:v>
      </x:c>
      <x:c r="F286" s="989"/>
      <x:c r="G286" s="996" t="str">
        <x:f>IF($F286&lt;&gt;"",$F286,IFERROR(_xlfn.XLOOKUP(ROW(),Taxa_Saknas!$H:$H,Taxa_Saknas!$G:$G),""))</x:f>
      </x:c>
      <x:c r="H286" s="1003" t="e">
        <x:f>IF($F286&lt;&gt;"",IFERROR(_xlfn.XLOOKUP($F286,Taxa_från_edp!$B:$B,Taxa_från_edp!C:C),""),"")</x:f>
      </x:c>
      <x:c r="I286" s="1004" t="e">
        <x:f>IF($F286&lt;&gt;"",IFERROR(_xlfn.XLOOKUP($F286,Taxa_från_edp!$B:$B,Taxa_från_edp!G:G),""),"")</x:f>
      </x:c>
      <x:c r="J286" s="1005" t="e">
        <x:f>IF($F286&lt;&gt;"",IFERROR(_xlfn.XLOOKUP($F286,Taxa_från_edp!$B:$B,Taxa_från_edp!K:K),""),"")</x:f>
      </x:c>
      <x:c r="K286" s="1016"/>
      <x:c r="L286" s="1022"/>
      <x:c r="M286" s="1029" t="str">
        <x:f>IFERROR(IF(J286&lt;&gt;"",J286*1.25,IF(K286&lt;&gt;"",K286*1.25,"")),"")</x:f>
      </x:c>
      <x:c r="N286" s="1030" t="str">
        <x:f>IFERROR(IF(J286&lt;&gt;"",L286*J286,IF(K286&lt;&gt;"",L286*K286,"")),"")</x:f>
      </x:c>
    </x:row>
    <x:row r="287" s="54" customFormat="1" ht="30" customHeight="1">
      <x:c r="A287" s="965" t="str">
        <x:v>§6.1.2</x:v>
      </x:c>
      <x:c r="B287" s="965" t="str">
        <x:v>Hanteringsavgifter för avfall inlämnat på återvinningscentral</x:v>
      </x:c>
      <x:c r="C287" s="965" t="str">
        <x:v>Oljefilter Avfallskod 16 01 07*</x:v>
      </x:c>
      <x:c r="D287" s="965" t="str">
        <x:v>3295</x:v>
      </x:c>
      <x:c r="E287" s="965" t="str">
        <x:v>Kr/Kg</x:v>
      </x:c>
      <x:c r="F287" s="989"/>
      <x:c r="G287" s="996" t="str">
        <x:f>IF($F287&lt;&gt;"",$F287,IFERROR(_xlfn.XLOOKUP(ROW(),Taxa_Saknas!$H:$H,Taxa_Saknas!$G:$G),""))</x:f>
      </x:c>
      <x:c r="H287" s="1003" t="e">
        <x:f>IF($F287&lt;&gt;"",IFERROR(_xlfn.XLOOKUP($F287,Taxa_från_edp!$B:$B,Taxa_från_edp!C:C),""),"")</x:f>
      </x:c>
      <x:c r="I287" s="1004" t="e">
        <x:f>IF($F287&lt;&gt;"",IFERROR(_xlfn.XLOOKUP($F287,Taxa_från_edp!$B:$B,Taxa_från_edp!G:G),""),"")</x:f>
      </x:c>
      <x:c r="J287" s="1005" t="e">
        <x:f>IF($F287&lt;&gt;"",IFERROR(_xlfn.XLOOKUP($F287,Taxa_från_edp!$B:$B,Taxa_från_edp!K:K),""),"")</x:f>
      </x:c>
      <x:c r="K287" s="1016"/>
      <x:c r="L287" s="1022"/>
      <x:c r="M287" s="1029" t="str">
        <x:f>IFERROR(IF(J287&lt;&gt;"",J287*1.25,IF(K287&lt;&gt;"",K287*1.25,"")),"")</x:f>
      </x:c>
      <x:c r="N287" s="1030" t="str">
        <x:f>IFERROR(IF(J287&lt;&gt;"",L287*J287,IF(K287&lt;&gt;"",L287*K287,"")),"")</x:f>
      </x:c>
    </x:row>
    <x:row r="288" s="54" customFormat="1" ht="30" customHeight="1">
      <x:c r="A288" s="965" t="str">
        <x:v>§6.1.2</x:v>
      </x:c>
      <x:c r="B288" s="965" t="str">
        <x:v>Hanteringsavgifter för avfall inlämnat på återvinningscentral</x:v>
      </x:c>
      <x:c r="C288" s="965" t="str">
        <x:v>Färg, lack och lim lösningsbaserat Avfallskod 20 01 27*</x:v>
      </x:c>
      <x:c r="D288" s="965" t="str">
        <x:v>1263</x:v>
      </x:c>
      <x:c r="E288" s="965" t="str">
        <x:v>Kr/Kg</x:v>
      </x:c>
      <x:c r="F288" s="989"/>
      <x:c r="G288" s="996" t="str">
        <x:f>IF($F288&lt;&gt;"",$F288,IFERROR(_xlfn.XLOOKUP(ROW(),Taxa_Saknas!$H:$H,Taxa_Saknas!$G:$G),""))</x:f>
      </x:c>
      <x:c r="H288" s="1003" t="e">
        <x:f>IF($F288&lt;&gt;"",IFERROR(_xlfn.XLOOKUP($F288,Taxa_från_edp!$B:$B,Taxa_från_edp!C:C),""),"")</x:f>
      </x:c>
      <x:c r="I288" s="1004" t="e">
        <x:f>IF($F288&lt;&gt;"",IFERROR(_xlfn.XLOOKUP($F288,Taxa_från_edp!$B:$B,Taxa_från_edp!G:G),""),"")</x:f>
      </x:c>
      <x:c r="J288" s="1005" t="e">
        <x:f>IF($F288&lt;&gt;"",IFERROR(_xlfn.XLOOKUP($F288,Taxa_från_edp!$B:$B,Taxa_från_edp!K:K),""),"")</x:f>
      </x:c>
      <x:c r="K288" s="1016"/>
      <x:c r="L288" s="1022"/>
      <x:c r="M288" s="1029" t="str">
        <x:f>IFERROR(IF(J288&lt;&gt;"",J288*1.25,IF(K288&lt;&gt;"",K288*1.25,"")),"")</x:f>
      </x:c>
      <x:c r="N288" s="1030" t="str">
        <x:f>IFERROR(IF(J288&lt;&gt;"",L288*J288,IF(K288&lt;&gt;"",L288*K288,"")),"")</x:f>
      </x:c>
    </x:row>
    <x:row r="289" s="54" customFormat="1" ht="30" customHeight="1">
      <x:c r="A289" s="965" t="str">
        <x:v>§6.1.2</x:v>
      </x:c>
      <x:c r="B289" s="965" t="str">
        <x:v>Hanteringsavgifter för avfall inlämnat på återvinningscentral</x:v>
      </x:c>
      <x:c r="C289" s="965" t="str">
        <x:v>Aerosoler, färg, lack och lim Avfallskod 20 01 27*</x:v>
      </x:c>
      <x:c r="D289" s="965" t="str">
        <x:v>1950</x:v>
      </x:c>
      <x:c r="E289" s="965" t="str">
        <x:v>Kr/Kg</x:v>
      </x:c>
      <x:c r="F289" s="989"/>
      <x:c r="G289" s="996" t="str">
        <x:f>IF($F289&lt;&gt;"",$F289,IFERROR(_xlfn.XLOOKUP(ROW(),Taxa_Saknas!$H:$H,Taxa_Saknas!$G:$G),""))</x:f>
      </x:c>
      <x:c r="H289" s="1003" t="e">
        <x:f>IF($F289&lt;&gt;"",IFERROR(_xlfn.XLOOKUP($F289,Taxa_från_edp!$B:$B,Taxa_från_edp!C:C),""),"")</x:f>
      </x:c>
      <x:c r="I289" s="1004" t="e">
        <x:f>IF($F289&lt;&gt;"",IFERROR(_xlfn.XLOOKUP($F289,Taxa_från_edp!$B:$B,Taxa_från_edp!G:G),""),"")</x:f>
      </x:c>
      <x:c r="J289" s="1005" t="e">
        <x:f>IF($F289&lt;&gt;"",IFERROR(_xlfn.XLOOKUP($F289,Taxa_från_edp!$B:$B,Taxa_från_edp!K:K),""),"")</x:f>
      </x:c>
      <x:c r="K289" s="1016"/>
      <x:c r="L289" s="1022"/>
      <x:c r="M289" s="1029" t="str">
        <x:f>IFERROR(IF(J289&lt;&gt;"",J289*1.25,IF(K289&lt;&gt;"",K289*1.25,"")),"")</x:f>
      </x:c>
      <x:c r="N289" s="1030" t="str">
        <x:f>IFERROR(IF(J289&lt;&gt;"",L289*J289,IF(K289&lt;&gt;"",L289*K289,"")),"")</x:f>
      </x:c>
    </x:row>
    <x:row r="290" s="54" customFormat="1" ht="30" customHeight="1">
      <x:c r="A290" s="965" t="str">
        <x:v>§6.1.2</x:v>
      </x:c>
      <x:c r="B290" s="965" t="str">
        <x:v>Hanteringsavgifter för avfall inlämnat på återvinningscentral</x:v>
      </x:c>
      <x:c r="C290" s="965" t="str">
        <x:v>Färg, lack och lim vattenbaserad Avfallskod 20 01 28</x:v>
      </x:c>
      <x:c r="D290" s="965"/>
      <x:c r="E290" s="965" t="str">
        <x:v>Kr/Kg</x:v>
      </x:c>
      <x:c r="F290" s="989"/>
      <x:c r="G290" s="996" t="str">
        <x:f>IF($F290&lt;&gt;"",$F290,IFERROR(_xlfn.XLOOKUP(ROW(),Taxa_Saknas!$H:$H,Taxa_Saknas!$G:$G),""))</x:f>
      </x:c>
      <x:c r="H290" s="1003" t="e">
        <x:f>IF($F290&lt;&gt;"",IFERROR(_xlfn.XLOOKUP($F290,Taxa_från_edp!$B:$B,Taxa_från_edp!C:C),""),"")</x:f>
      </x:c>
      <x:c r="I290" s="1004" t="e">
        <x:f>IF($F290&lt;&gt;"",IFERROR(_xlfn.XLOOKUP($F290,Taxa_från_edp!$B:$B,Taxa_från_edp!G:G),""),"")</x:f>
      </x:c>
      <x:c r="J290" s="1005" t="e">
        <x:f>IF($F290&lt;&gt;"",IFERROR(_xlfn.XLOOKUP($F290,Taxa_från_edp!$B:$B,Taxa_från_edp!K:K),""),"")</x:f>
      </x:c>
      <x:c r="K290" s="1016"/>
      <x:c r="L290" s="1022"/>
      <x:c r="M290" s="1029" t="str">
        <x:f>IFERROR(IF(J290&lt;&gt;"",J290*1.25,IF(K290&lt;&gt;"",K290*1.25,"")),"")</x:f>
      </x:c>
      <x:c r="N290" s="1030" t="str">
        <x:f>IFERROR(IF(J290&lt;&gt;"",L290*J290,IF(K290&lt;&gt;"",L290*K290,"")),"")</x:f>
      </x:c>
    </x:row>
    <x:row r="291" s="54" customFormat="1" ht="30" customHeight="1">
      <x:c r="A291" s="965" t="str">
        <x:v>§6.1.2</x:v>
      </x:c>
      <x:c r="B291" s="965" t="str">
        <x:v>Hanteringsavgifter för avfall inlämnat på återvinningscentral</x:v>
      </x:c>
      <x:c r="C291" s="965" t="str">
        <x:v>Alkaliskt flytande avfall Avfallskod 20 01 29*</x:v>
      </x:c>
      <x:c r="D291" s="965" t="str">
        <x:v>3266</x:v>
      </x:c>
      <x:c r="E291" s="965" t="str">
        <x:v>Kr/Kg</x:v>
      </x:c>
      <x:c r="F291" s="989"/>
      <x:c r="G291" s="996" t="str">
        <x:f>IF($F291&lt;&gt;"",$F291,IFERROR(_xlfn.XLOOKUP(ROW(),Taxa_Saknas!$H:$H,Taxa_Saknas!$G:$G),""))</x:f>
      </x:c>
      <x:c r="H291" s="1003" t="e">
        <x:f>IF($F291&lt;&gt;"",IFERROR(_xlfn.XLOOKUP($F291,Taxa_från_edp!$B:$B,Taxa_från_edp!C:C),""),"")</x:f>
      </x:c>
      <x:c r="I291" s="1004" t="e">
        <x:f>IF($F291&lt;&gt;"",IFERROR(_xlfn.XLOOKUP($F291,Taxa_från_edp!$B:$B,Taxa_från_edp!G:G),""),"")</x:f>
      </x:c>
      <x:c r="J291" s="1005" t="e">
        <x:f>IF($F291&lt;&gt;"",IFERROR(_xlfn.XLOOKUP($F291,Taxa_från_edp!$B:$B,Taxa_från_edp!K:K),""),"")</x:f>
      </x:c>
      <x:c r="K291" s="1016"/>
      <x:c r="L291" s="1022"/>
      <x:c r="M291" s="1029" t="str">
        <x:f>IFERROR(IF(J291&lt;&gt;"",J291*1.25,IF(K291&lt;&gt;"",K291*1.25,"")),"")</x:f>
      </x:c>
      <x:c r="N291" s="1030" t="str">
        <x:f>IFERROR(IF(J291&lt;&gt;"",L291*J291,IF(K291&lt;&gt;"",L291*K291,"")),"")</x:f>
      </x:c>
    </x:row>
    <x:row r="292" s="54" customFormat="1" ht="30" customHeight="1">
      <x:c r="A292" s="965" t="str">
        <x:v>§6.1.2</x:v>
      </x:c>
      <x:c r="B292" s="965" t="str">
        <x:v>Hanteringsavgifter för avfall inlämnat på återvinningscentral</x:v>
      </x:c>
      <x:c r="C292" s="965" t="str">
        <x:v>Alkaliskt avfall fast Avfallskod 20 01 15*</x:v>
      </x:c>
      <x:c r="D292" s="965" t="str">
        <x:v>3262</x:v>
      </x:c>
      <x:c r="E292" s="965" t="str">
        <x:v>Kr/Kg</x:v>
      </x:c>
      <x:c r="F292" s="989"/>
      <x:c r="G292" s="996" t="str">
        <x:f>IF($F292&lt;&gt;"",$F292,IFERROR(_xlfn.XLOOKUP(ROW(),Taxa_Saknas!$H:$H,Taxa_Saknas!$G:$G),""))</x:f>
      </x:c>
      <x:c r="H292" s="1003" t="e">
        <x:f>IF($F292&lt;&gt;"",IFERROR(_xlfn.XLOOKUP($F292,Taxa_från_edp!$B:$B,Taxa_från_edp!C:C),""),"")</x:f>
      </x:c>
      <x:c r="I292" s="1004" t="e">
        <x:f>IF($F292&lt;&gt;"",IFERROR(_xlfn.XLOOKUP($F292,Taxa_från_edp!$B:$B,Taxa_från_edp!G:G),""),"")</x:f>
      </x:c>
      <x:c r="J292" s="1005" t="e">
        <x:f>IF($F292&lt;&gt;"",IFERROR(_xlfn.XLOOKUP($F292,Taxa_från_edp!$B:$B,Taxa_från_edp!K:K),""),"")</x:f>
      </x:c>
      <x:c r="K292" s="1016"/>
      <x:c r="L292" s="1022"/>
      <x:c r="M292" s="1029" t="str">
        <x:f>IFERROR(IF(J292&lt;&gt;"",J292*1.25,IF(K292&lt;&gt;"",K292*1.25,"")),"")</x:f>
      </x:c>
      <x:c r="N292" s="1030" t="str">
        <x:f>IFERROR(IF(J292&lt;&gt;"",L292*J292,IF(K292&lt;&gt;"",L292*K292,"")),"")</x:f>
      </x:c>
    </x:row>
    <x:row r="293" s="54" customFormat="1" ht="30" customHeight="1">
      <x:c r="A293" s="965" t="str">
        <x:v>§6.1.2</x:v>
      </x:c>
      <x:c r="B293" s="965" t="str">
        <x:v>Hanteringsavgifter för avfall inlämnat på återvinningscentral</x:v>
      </x:c>
      <x:c r="C293" s="965" t="str">
        <x:v>Lösningsmedel Avfallskod 20 01 13*</x:v>
      </x:c>
      <x:c r="D293" s="965" t="str">
        <x:v>1993</x:v>
      </x:c>
      <x:c r="E293" s="965" t="str">
        <x:v>Kr/Kg</x:v>
      </x:c>
      <x:c r="F293" s="989"/>
      <x:c r="G293" s="996" t="str">
        <x:f>IF($F293&lt;&gt;"",$F293,IFERROR(_xlfn.XLOOKUP(ROW(),Taxa_Saknas!$H:$H,Taxa_Saknas!$G:$G),""))</x:f>
      </x:c>
      <x:c r="H293" s="1003" t="e">
        <x:f>IF($F293&lt;&gt;"",IFERROR(_xlfn.XLOOKUP($F293,Taxa_från_edp!$B:$B,Taxa_från_edp!C:C),""),"")</x:f>
      </x:c>
      <x:c r="I293" s="1004" t="e">
        <x:f>IF($F293&lt;&gt;"",IFERROR(_xlfn.XLOOKUP($F293,Taxa_från_edp!$B:$B,Taxa_från_edp!G:G),""),"")</x:f>
      </x:c>
      <x:c r="J293" s="1005" t="e">
        <x:f>IF($F293&lt;&gt;"",IFERROR(_xlfn.XLOOKUP($F293,Taxa_från_edp!$B:$B,Taxa_från_edp!K:K),""),"")</x:f>
      </x:c>
      <x:c r="K293" s="1016"/>
      <x:c r="L293" s="1022"/>
      <x:c r="M293" s="1029" t="str">
        <x:f>IFERROR(IF(J293&lt;&gt;"",J293*1.25,IF(K293&lt;&gt;"",K293*1.25,"")),"")</x:f>
      </x:c>
      <x:c r="N293" s="1030" t="str">
        <x:f>IFERROR(IF(J293&lt;&gt;"",L293*J293,IF(K293&lt;&gt;"",L293*K293,"")),"")</x:f>
      </x:c>
    </x:row>
    <x:row r="294" s="54" customFormat="1" ht="30" customHeight="1">
      <x:c r="A294" s="965" t="str">
        <x:v>§6.1.2</x:v>
      </x:c>
      <x:c r="B294" s="965" t="str">
        <x:v>Hanteringsavgifter för avfall inlämnat på återvinningscentral</x:v>
      </x:c>
      <x:c r="C294" s="965" t="str">
        <x:v>Smittförande avfall Avfallskod 18 01 03*</x:v>
      </x:c>
      <x:c r="D294" s="965" t="str">
        <x:v>3291</x:v>
      </x:c>
      <x:c r="E294" s="965" t="str">
        <x:v>Kr/Kg</x:v>
      </x:c>
      <x:c r="F294" s="989"/>
      <x:c r="G294" s="996" t="str">
        <x:f>IF($F294&lt;&gt;"",$F294,IFERROR(_xlfn.XLOOKUP(ROW(),Taxa_Saknas!$H:$H,Taxa_Saknas!$G:$G),""))</x:f>
      </x:c>
      <x:c r="H294" s="1003" t="e">
        <x:f>IF($F294&lt;&gt;"",IFERROR(_xlfn.XLOOKUP($F294,Taxa_från_edp!$B:$B,Taxa_från_edp!C:C),""),"")</x:f>
      </x:c>
      <x:c r="I294" s="1004" t="e">
        <x:f>IF($F294&lt;&gt;"",IFERROR(_xlfn.XLOOKUP($F294,Taxa_från_edp!$B:$B,Taxa_från_edp!G:G),""),"")</x:f>
      </x:c>
      <x:c r="J294" s="1005" t="e">
        <x:f>IF($F294&lt;&gt;"",IFERROR(_xlfn.XLOOKUP($F294,Taxa_från_edp!$B:$B,Taxa_från_edp!K:K),""),"")</x:f>
      </x:c>
      <x:c r="K294" s="1016"/>
      <x:c r="L294" s="1022"/>
      <x:c r="M294" s="1029" t="str">
        <x:f>IFERROR(IF(J294&lt;&gt;"",J294*1.25,IF(K294&lt;&gt;"",K294*1.25,"")),"")</x:f>
      </x:c>
      <x:c r="N294" s="1030" t="str">
        <x:f>IFERROR(IF(J294&lt;&gt;"",L294*J294,IF(K294&lt;&gt;"",L294*K294,"")),"")</x:f>
      </x:c>
    </x:row>
    <x:row r="295" s="54" customFormat="1" ht="30" customHeight="1">
      <x:c r="A295" s="965" t="str">
        <x:v>§6.1.2</x:v>
      </x:c>
      <x:c r="B295" s="965" t="str">
        <x:v>Hanteringsavgifter för avfall inlämnat på återvinningscentral</x:v>
      </x:c>
      <x:c r="C295" s="965" t="str">
        <x:v>Bekämpningsmedel Flytande Avfallskod 20 01 19*</x:v>
      </x:c>
      <x:c r="D295" s="965" t="str">
        <x:v>2903</x:v>
      </x:c>
      <x:c r="E295" s="965" t="str">
        <x:v>Kr/Kg</x:v>
      </x:c>
      <x:c r="F295" s="989"/>
      <x:c r="G295" s="996" t="str">
        <x:f>IF($F295&lt;&gt;"",$F295,IFERROR(_xlfn.XLOOKUP(ROW(),Taxa_Saknas!$H:$H,Taxa_Saknas!$G:$G),""))</x:f>
      </x:c>
      <x:c r="H295" s="1003" t="e">
        <x:f>IF($F295&lt;&gt;"",IFERROR(_xlfn.XLOOKUP($F295,Taxa_från_edp!$B:$B,Taxa_från_edp!C:C),""),"")</x:f>
      </x:c>
      <x:c r="I295" s="1004" t="e">
        <x:f>IF($F295&lt;&gt;"",IFERROR(_xlfn.XLOOKUP($F295,Taxa_från_edp!$B:$B,Taxa_från_edp!G:G),""),"")</x:f>
      </x:c>
      <x:c r="J295" s="1005" t="e">
        <x:f>IF($F295&lt;&gt;"",IFERROR(_xlfn.XLOOKUP($F295,Taxa_från_edp!$B:$B,Taxa_från_edp!K:K),""),"")</x:f>
      </x:c>
      <x:c r="K295" s="1016"/>
      <x:c r="L295" s="1022"/>
      <x:c r="M295" s="1029" t="str">
        <x:f>IFERROR(IF(J295&lt;&gt;"",J295*1.25,IF(K295&lt;&gt;"",K295*1.25,"")),"")</x:f>
      </x:c>
      <x:c r="N295" s="1030" t="str">
        <x:f>IFERROR(IF(J295&lt;&gt;"",L295*J295,IF(K295&lt;&gt;"",L295*K295,"")),"")</x:f>
      </x:c>
    </x:row>
    <x:row r="296" s="54" customFormat="1" ht="30" customHeight="1">
      <x:c r="A296" s="965" t="str">
        <x:v>§6.1.2</x:v>
      </x:c>
      <x:c r="B296" s="965" t="str">
        <x:v>Hanteringsavgifter för avfall inlämnat på återvinningscentral</x:v>
      </x:c>
      <x:c r="C296" s="965" t="str">
        <x:v>Bekämpningsmedel Fast Avfallskod 20 01 19*</x:v>
      </x:c>
      <x:c r="D296" s="965" t="str">
        <x:v>2588</x:v>
      </x:c>
      <x:c r="E296" s="965" t="str">
        <x:v>Kr/Kg</x:v>
      </x:c>
      <x:c r="F296" s="989"/>
      <x:c r="G296" s="996" t="str">
        <x:f>IF($F296&lt;&gt;"",$F296,IFERROR(_xlfn.XLOOKUP(ROW(),Taxa_Saknas!$H:$H,Taxa_Saknas!$G:$G),""))</x:f>
      </x:c>
      <x:c r="H296" s="1003" t="e">
        <x:f>IF($F296&lt;&gt;"",IFERROR(_xlfn.XLOOKUP($F296,Taxa_från_edp!$B:$B,Taxa_från_edp!C:C),""),"")</x:f>
      </x:c>
      <x:c r="I296" s="1004" t="e">
        <x:f>IF($F296&lt;&gt;"",IFERROR(_xlfn.XLOOKUP($F296,Taxa_från_edp!$B:$B,Taxa_från_edp!G:G),""),"")</x:f>
      </x:c>
      <x:c r="J296" s="1005" t="e">
        <x:f>IF($F296&lt;&gt;"",IFERROR(_xlfn.XLOOKUP($F296,Taxa_från_edp!$B:$B,Taxa_från_edp!K:K),""),"")</x:f>
      </x:c>
      <x:c r="K296" s="1016"/>
      <x:c r="L296" s="1022"/>
      <x:c r="M296" s="1029" t="str">
        <x:f>IFERROR(IF(J296&lt;&gt;"",J296*1.25,IF(K296&lt;&gt;"",K296*1.25,"")),"")</x:f>
      </x:c>
      <x:c r="N296" s="1030" t="str">
        <x:f>IFERROR(IF(J296&lt;&gt;"",L296*J296,IF(K296&lt;&gt;"",L296*K296,"")),"")</x:f>
      </x:c>
    </x:row>
    <x:row r="297" s="54" customFormat="1" ht="30" customHeight="1">
      <x:c r="A297" s="965" t="str">
        <x:v>§6.1.2</x:v>
      </x:c>
      <x:c r="B297" s="965" t="str">
        <x:v>Hanteringsavgifter för avfall inlämnat på återvinningscentral</x:v>
      </x:c>
      <x:c r="C297" s="965" t="str">
        <x:v>Bekämpningsmedel aerosoler Avfallskod 20 01 19*</x:v>
      </x:c>
      <x:c r="D297" s="965" t="str">
        <x:v>1950</x:v>
      </x:c>
      <x:c r="E297" s="965" t="str">
        <x:v>Kr/Kg</x:v>
      </x:c>
      <x:c r="F297" s="989"/>
      <x:c r="G297" s="996" t="str">
        <x:f>IF($F297&lt;&gt;"",$F297,IFERROR(_xlfn.XLOOKUP(ROW(),Taxa_Saknas!$H:$H,Taxa_Saknas!$G:$G),""))</x:f>
      </x:c>
      <x:c r="H297" s="1003" t="e">
        <x:f>IF($F297&lt;&gt;"",IFERROR(_xlfn.XLOOKUP($F297,Taxa_från_edp!$B:$B,Taxa_från_edp!C:C),""),"")</x:f>
      </x:c>
      <x:c r="I297" s="1004" t="e">
        <x:f>IF($F297&lt;&gt;"",IFERROR(_xlfn.XLOOKUP($F297,Taxa_från_edp!$B:$B,Taxa_från_edp!G:G),""),"")</x:f>
      </x:c>
      <x:c r="J297" s="1005" t="e">
        <x:f>IF($F297&lt;&gt;"",IFERROR(_xlfn.XLOOKUP($F297,Taxa_från_edp!$B:$B,Taxa_från_edp!K:K),""),"")</x:f>
      </x:c>
      <x:c r="K297" s="1016"/>
      <x:c r="L297" s="1022"/>
      <x:c r="M297" s="1029" t="str">
        <x:f>IFERROR(IF(J297&lt;&gt;"",J297*1.25,IF(K297&lt;&gt;"",K297*1.25,"")),"")</x:f>
      </x:c>
      <x:c r="N297" s="1030" t="str">
        <x:f>IFERROR(IF(J297&lt;&gt;"",L297*J297,IF(K297&lt;&gt;"",L297*K297,"")),"")</x:f>
      </x:c>
    </x:row>
    <x:row r="298" s="54" customFormat="1" ht="30" customHeight="1">
      <x:c r="A298" s="965" t="str">
        <x:v>§6.1.2</x:v>
      </x:c>
      <x:c r="B298" s="965" t="str">
        <x:v>Hanteringsavgifter för avfall inlämnat på återvinningscentral</x:v>
      </x:c>
      <x:c r="C298" s="965" t="str">
        <x:v>Giftig oorganisk vätska Avfallskod 16 05 06*</x:v>
      </x:c>
      <x:c r="D298" s="965" t="str">
        <x:v>3287</x:v>
      </x:c>
      <x:c r="E298" s="965" t="str">
        <x:v>Kr/Kg</x:v>
      </x:c>
      <x:c r="F298" s="989"/>
      <x:c r="G298" s="996" t="str">
        <x:f>IF($F298&lt;&gt;"",$F298,IFERROR(_xlfn.XLOOKUP(ROW(),Taxa_Saknas!$H:$H,Taxa_Saknas!$G:$G),""))</x:f>
      </x:c>
      <x:c r="H298" s="1003" t="e">
        <x:f>IF($F298&lt;&gt;"",IFERROR(_xlfn.XLOOKUP($F298,Taxa_från_edp!$B:$B,Taxa_från_edp!C:C),""),"")</x:f>
      </x:c>
      <x:c r="I298" s="1004" t="e">
        <x:f>IF($F298&lt;&gt;"",IFERROR(_xlfn.XLOOKUP($F298,Taxa_från_edp!$B:$B,Taxa_från_edp!G:G),""),"")</x:f>
      </x:c>
      <x:c r="J298" s="1005" t="e">
        <x:f>IF($F298&lt;&gt;"",IFERROR(_xlfn.XLOOKUP($F298,Taxa_från_edp!$B:$B,Taxa_från_edp!K:K),""),"")</x:f>
      </x:c>
      <x:c r="K298" s="1016"/>
      <x:c r="L298" s="1022"/>
      <x:c r="M298" s="1029" t="str">
        <x:f>IFERROR(IF(J298&lt;&gt;"",J298*1.25,IF(K298&lt;&gt;"",K298*1.25,"")),"")</x:f>
      </x:c>
      <x:c r="N298" s="1030" t="str">
        <x:f>IFERROR(IF(J298&lt;&gt;"",L298*J298,IF(K298&lt;&gt;"",L298*K298,"")),"")</x:f>
      </x:c>
    </x:row>
    <x:row r="299" s="54" customFormat="1" ht="30" customHeight="1">
      <x:c r="A299" s="965" t="str">
        <x:v>§6.1.2</x:v>
      </x:c>
      <x:c r="B299" s="965" t="str">
        <x:v>Hanteringsavgifter för avfall inlämnat på återvinningscentral</x:v>
      </x:c>
      <x:c r="C299" s="965" t="str">
        <x:v>Giftig organisk vätska Avfallskod 16 05 06*</x:v>
      </x:c>
      <x:c r="D299" s="965" t="str">
        <x:v>2810</x:v>
      </x:c>
      <x:c r="E299" s="965" t="str">
        <x:v>Kr/Kg</x:v>
      </x:c>
      <x:c r="F299" s="989"/>
      <x:c r="G299" s="996" t="str">
        <x:f>IF($F299&lt;&gt;"",$F299,IFERROR(_xlfn.XLOOKUP(ROW(),Taxa_Saknas!$H:$H,Taxa_Saknas!$G:$G),""))</x:f>
      </x:c>
      <x:c r="H299" s="1003" t="e">
        <x:f>IF($F299&lt;&gt;"",IFERROR(_xlfn.XLOOKUP($F299,Taxa_från_edp!$B:$B,Taxa_från_edp!C:C),""),"")</x:f>
      </x:c>
      <x:c r="I299" s="1004" t="e">
        <x:f>IF($F299&lt;&gt;"",IFERROR(_xlfn.XLOOKUP($F299,Taxa_från_edp!$B:$B,Taxa_från_edp!G:G),""),"")</x:f>
      </x:c>
      <x:c r="J299" s="1005" t="e">
        <x:f>IF($F299&lt;&gt;"",IFERROR(_xlfn.XLOOKUP($F299,Taxa_från_edp!$B:$B,Taxa_från_edp!K:K),""),"")</x:f>
      </x:c>
      <x:c r="K299" s="1016"/>
      <x:c r="L299" s="1022"/>
      <x:c r="M299" s="1029" t="str">
        <x:f>IFERROR(IF(J299&lt;&gt;"",J299*1.25,IF(K299&lt;&gt;"",K299*1.25,"")),"")</x:f>
      </x:c>
      <x:c r="N299" s="1030" t="str">
        <x:f>IFERROR(IF(J299&lt;&gt;"",L299*J299,IF(K299&lt;&gt;"",L299*K299,"")),"")</x:f>
      </x:c>
    </x:row>
    <x:row r="300" s="54" customFormat="1" ht="30" customHeight="1">
      <x:c r="A300" s="965" t="str">
        <x:v>§6.1.2</x:v>
      </x:c>
      <x:c r="B300" s="965" t="str">
        <x:v>Hanteringsavgifter för avfall inlämnat på återvinningscentral</x:v>
      </x:c>
      <x:c r="C300" s="965" t="str">
        <x:v>Surt organisk vätska ämne Avfallskod 20 01 14*</x:v>
      </x:c>
      <x:c r="D300" s="965" t="str">
        <x:v>3265</x:v>
      </x:c>
      <x:c r="E300" s="965" t="str">
        <x:v>Kr/Kg</x:v>
      </x:c>
      <x:c r="F300" s="989"/>
      <x:c r="G300" s="996" t="str">
        <x:f>IF($F300&lt;&gt;"",$F300,IFERROR(_xlfn.XLOOKUP(ROW(),Taxa_Saknas!$H:$H,Taxa_Saknas!$G:$G),""))</x:f>
      </x:c>
      <x:c r="H300" s="1003" t="e">
        <x:f>IF($F300&lt;&gt;"",IFERROR(_xlfn.XLOOKUP($F300,Taxa_från_edp!$B:$B,Taxa_från_edp!C:C),""),"")</x:f>
      </x:c>
      <x:c r="I300" s="1004" t="e">
        <x:f>IF($F300&lt;&gt;"",IFERROR(_xlfn.XLOOKUP($F300,Taxa_från_edp!$B:$B,Taxa_från_edp!G:G),""),"")</x:f>
      </x:c>
      <x:c r="J300" s="1005" t="e">
        <x:f>IF($F300&lt;&gt;"",IFERROR(_xlfn.XLOOKUP($F300,Taxa_från_edp!$B:$B,Taxa_från_edp!K:K),""),"")</x:f>
      </x:c>
      <x:c r="K300" s="1016"/>
      <x:c r="L300" s="1022"/>
      <x:c r="M300" s="1029" t="str">
        <x:f>IFERROR(IF(J300&lt;&gt;"",J300*1.25,IF(K300&lt;&gt;"",K300*1.25,"")),"")</x:f>
      </x:c>
      <x:c r="N300" s="1030" t="str">
        <x:f>IFERROR(IF(J300&lt;&gt;"",L300*J300,IF(K300&lt;&gt;"",L300*K300,"")),"")</x:f>
      </x:c>
    </x:row>
    <x:row r="301" s="54" customFormat="1" ht="30" customHeight="1">
      <x:c r="A301" s="965" t="str">
        <x:v>§6.1.2</x:v>
      </x:c>
      <x:c r="B301" s="965" t="str">
        <x:v>Hanteringsavgifter för avfall inlämnat på återvinningscentral</x:v>
      </x:c>
      <x:c r="C301" s="965" t="str">
        <x:v>Surt organisk fast ämne Avfallskod 20 01 14*</x:v>
      </x:c>
      <x:c r="D301" s="965" t="str">
        <x:v>3261</x:v>
      </x:c>
      <x:c r="E301" s="965" t="str">
        <x:v>Kr/Kg</x:v>
      </x:c>
      <x:c r="F301" s="989"/>
      <x:c r="G301" s="996" t="str">
        <x:f>IF($F301&lt;&gt;"",$F301,IFERROR(_xlfn.XLOOKUP(ROW(),Taxa_Saknas!$H:$H,Taxa_Saknas!$G:$G),""))</x:f>
      </x:c>
      <x:c r="H301" s="1003" t="e">
        <x:f>IF($F301&lt;&gt;"",IFERROR(_xlfn.XLOOKUP($F301,Taxa_från_edp!$B:$B,Taxa_från_edp!C:C),""),"")</x:f>
      </x:c>
      <x:c r="I301" s="1004" t="e">
        <x:f>IF($F301&lt;&gt;"",IFERROR(_xlfn.XLOOKUP($F301,Taxa_från_edp!$B:$B,Taxa_från_edp!G:G),""),"")</x:f>
      </x:c>
      <x:c r="J301" s="1005" t="e">
        <x:f>IF($F301&lt;&gt;"",IFERROR(_xlfn.XLOOKUP($F301,Taxa_från_edp!$B:$B,Taxa_från_edp!K:K),""),"")</x:f>
      </x:c>
      <x:c r="K301" s="1016"/>
      <x:c r="L301" s="1022"/>
      <x:c r="M301" s="1029" t="str">
        <x:f>IFERROR(IF(J301&lt;&gt;"",J301*1.25,IF(K301&lt;&gt;"",K301*1.25,"")),"")</x:f>
      </x:c>
      <x:c r="N301" s="1030" t="str">
        <x:f>IFERROR(IF(J301&lt;&gt;"",L301*J301,IF(K301&lt;&gt;"",L301*K301,"")),"")</x:f>
      </x:c>
    </x:row>
    <x:row r="302" s="54" customFormat="1" ht="30" customHeight="1">
      <x:c r="A302" s="965" t="str">
        <x:v>§6.1.2</x:v>
      </x:c>
      <x:c r="B302" s="965" t="str">
        <x:v>Hanteringsavgifter för avfall inlämnat på återvinningscentral</x:v>
      </x:c>
      <x:c r="C302" s="965" t="str">
        <x:v>Surt oorganiskt fast ämne Avfallskod 20 01 14*</x:v>
      </x:c>
      <x:c r="D302" s="965" t="str">
        <x:v>3260</x:v>
      </x:c>
      <x:c r="E302" s="965" t="str">
        <x:v>Kr/Kg</x:v>
      </x:c>
      <x:c r="F302" s="989"/>
      <x:c r="G302" s="996" t="str">
        <x:f>IF($F302&lt;&gt;"",$F302,IFERROR(_xlfn.XLOOKUP(ROW(),Taxa_Saknas!$H:$H,Taxa_Saknas!$G:$G),""))</x:f>
      </x:c>
      <x:c r="H302" s="1003" t="e">
        <x:f>IF($F302&lt;&gt;"",IFERROR(_xlfn.XLOOKUP($F302,Taxa_från_edp!$B:$B,Taxa_från_edp!C:C),""),"")</x:f>
      </x:c>
      <x:c r="I302" s="1004" t="e">
        <x:f>IF($F302&lt;&gt;"",IFERROR(_xlfn.XLOOKUP($F302,Taxa_från_edp!$B:$B,Taxa_från_edp!G:G),""),"")</x:f>
      </x:c>
      <x:c r="J302" s="1005" t="e">
        <x:f>IF($F302&lt;&gt;"",IFERROR(_xlfn.XLOOKUP($F302,Taxa_från_edp!$B:$B,Taxa_från_edp!K:K),""),"")</x:f>
      </x:c>
      <x:c r="K302" s="1016"/>
      <x:c r="L302" s="1022"/>
      <x:c r="M302" s="1029" t="str">
        <x:f>IFERROR(IF(J302&lt;&gt;"",J302*1.25,IF(K302&lt;&gt;"",K302*1.25,"")),"")</x:f>
      </x:c>
      <x:c r="N302" s="1030" t="str">
        <x:f>IFERROR(IF(J302&lt;&gt;"",L302*J302,IF(K302&lt;&gt;"",L302*K302,"")),"")</x:f>
      </x:c>
    </x:row>
    <x:row r="303" s="54" customFormat="1" ht="30" customHeight="1">
      <x:c r="A303" s="965" t="str">
        <x:v>§6.1.2</x:v>
      </x:c>
      <x:c r="B303" s="965" t="str">
        <x:v>Hanteringsavgifter för avfall inlämnat på återvinningscentral</x:v>
      </x:c>
      <x:c r="C303" s="965" t="str">
        <x:v>Surt oorganisk vätska Avfallskod 20 01 14*</x:v>
      </x:c>
      <x:c r="D303" s="965" t="str">
        <x:v>3264</x:v>
      </x:c>
      <x:c r="E303" s="965" t="str">
        <x:v>Kr/Kg</x:v>
      </x:c>
      <x:c r="F303" s="989"/>
      <x:c r="G303" s="996" t="str">
        <x:f>IF($F303&lt;&gt;"",$F303,IFERROR(_xlfn.XLOOKUP(ROW(),Taxa_Saknas!$H:$H,Taxa_Saknas!$G:$G),""))</x:f>
      </x:c>
      <x:c r="H303" s="1003" t="e">
        <x:f>IF($F303&lt;&gt;"",IFERROR(_xlfn.XLOOKUP($F303,Taxa_från_edp!$B:$B,Taxa_från_edp!C:C),""),"")</x:f>
      </x:c>
      <x:c r="I303" s="1004" t="e">
        <x:f>IF($F303&lt;&gt;"",IFERROR(_xlfn.XLOOKUP($F303,Taxa_från_edp!$B:$B,Taxa_från_edp!G:G),""),"")</x:f>
      </x:c>
      <x:c r="J303" s="1005" t="e">
        <x:f>IF($F303&lt;&gt;"",IFERROR(_xlfn.XLOOKUP($F303,Taxa_från_edp!$B:$B,Taxa_från_edp!K:K),""),"")</x:f>
      </x:c>
      <x:c r="K303" s="1016"/>
      <x:c r="L303" s="1022"/>
      <x:c r="M303" s="1029" t="str">
        <x:f>IFERROR(IF(J303&lt;&gt;"",J303*1.25,IF(K303&lt;&gt;"",K303*1.25,"")),"")</x:f>
      </x:c>
      <x:c r="N303" s="1030" t="str">
        <x:f>IFERROR(IF(J303&lt;&gt;"",L303*J303,IF(K303&lt;&gt;"",L303*K303,"")),"")</x:f>
      </x:c>
    </x:row>
    <x:row r="304" s="54" customFormat="1" ht="30" customHeight="1">
      <x:c r="A304" s="965" t="str">
        <x:v>§6.1.2</x:v>
      </x:c>
      <x:c r="B304" s="965" t="str">
        <x:v>Hanteringsavgifter för avfall inlämnat på återvinningscentral</x:v>
      </x:c>
      <x:c r="C304" s="965" t="str">
        <x:v>Svavelsyra Avfallskod 20 01 14*</x:v>
      </x:c>
      <x:c r="D304" s="965" t="str">
        <x:v>1832</x:v>
      </x:c>
      <x:c r="E304" s="965" t="str">
        <x:v>Kr/Kg</x:v>
      </x:c>
      <x:c r="F304" s="989"/>
      <x:c r="G304" s="996" t="str">
        <x:f>IF($F304&lt;&gt;"",$F304,IFERROR(_xlfn.XLOOKUP(ROW(),Taxa_Saknas!$H:$H,Taxa_Saknas!$G:$G),""))</x:f>
      </x:c>
      <x:c r="H304" s="1003" t="e">
        <x:f>IF($F304&lt;&gt;"",IFERROR(_xlfn.XLOOKUP($F304,Taxa_från_edp!$B:$B,Taxa_från_edp!C:C),""),"")</x:f>
      </x:c>
      <x:c r="I304" s="1004" t="e">
        <x:f>IF($F304&lt;&gt;"",IFERROR(_xlfn.XLOOKUP($F304,Taxa_från_edp!$B:$B,Taxa_från_edp!G:G),""),"")</x:f>
      </x:c>
      <x:c r="J304" s="1005" t="e">
        <x:f>IF($F304&lt;&gt;"",IFERROR(_xlfn.XLOOKUP($F304,Taxa_från_edp!$B:$B,Taxa_från_edp!K:K),""),"")</x:f>
      </x:c>
      <x:c r="K304" s="1016"/>
      <x:c r="L304" s="1022"/>
      <x:c r="M304" s="1029" t="str">
        <x:f>IFERROR(IF(J304&lt;&gt;"",J304*1.25,IF(K304&lt;&gt;"",K304*1.25,"")),"")</x:f>
      </x:c>
      <x:c r="N304" s="1030" t="str">
        <x:f>IFERROR(IF(J304&lt;&gt;"",L304*J304,IF(K304&lt;&gt;"",L304*K304,"")),"")</x:f>
      </x:c>
    </x:row>
    <x:row r="305" s="54" customFormat="1" ht="30" customHeight="1">
      <x:c r="A305" s="965" t="str">
        <x:v>§6.1.2</x:v>
      </x:c>
      <x:c r="B305" s="965" t="str">
        <x:v>Hanteringsavgifter för avfall inlämnat på återvinningscentral</x:v>
      </x:c>
      <x:c r="C305" s="965" t="str">
        <x:v>Salpetersyra Avfallskod 20 01 14*</x:v>
      </x:c>
      <x:c r="D305" s="965" t="str">
        <x:v>2031</x:v>
      </x:c>
      <x:c r="E305" s="965" t="str">
        <x:v>Kr/Kg</x:v>
      </x:c>
      <x:c r="F305" s="989"/>
      <x:c r="G305" s="996" t="str">
        <x:f>IF($F305&lt;&gt;"",$F305,IFERROR(_xlfn.XLOOKUP(ROW(),Taxa_Saknas!$H:$H,Taxa_Saknas!$G:$G),""))</x:f>
      </x:c>
      <x:c r="H305" s="1003" t="e">
        <x:f>IF($F305&lt;&gt;"",IFERROR(_xlfn.XLOOKUP($F305,Taxa_från_edp!$B:$B,Taxa_från_edp!C:C),""),"")</x:f>
      </x:c>
      <x:c r="I305" s="1004" t="e">
        <x:f>IF($F305&lt;&gt;"",IFERROR(_xlfn.XLOOKUP($F305,Taxa_från_edp!$B:$B,Taxa_från_edp!G:G),""),"")</x:f>
      </x:c>
      <x:c r="J305" s="1005" t="e">
        <x:f>IF($F305&lt;&gt;"",IFERROR(_xlfn.XLOOKUP($F305,Taxa_från_edp!$B:$B,Taxa_från_edp!K:K),""),"")</x:f>
      </x:c>
      <x:c r="K305" s="1016"/>
      <x:c r="L305" s="1022"/>
      <x:c r="M305" s="1029" t="str">
        <x:f>IFERROR(IF(J305&lt;&gt;"",J305*1.25,IF(K305&lt;&gt;"",K305*1.25,"")),"")</x:f>
      </x:c>
      <x:c r="N305" s="1030" t="str">
        <x:f>IFERROR(IF(J305&lt;&gt;"",L305*J305,IF(K305&lt;&gt;"",L305*K305,"")),"")</x:f>
      </x:c>
    </x:row>
    <x:row r="306" s="54" customFormat="1" ht="30" customHeight="1">
      <x:c r="A306" s="965" t="str">
        <x:v>§6.1.2</x:v>
      </x:c>
      <x:c r="B306" s="965" t="str">
        <x:v>Hanteringsavgifter för avfall inlämnat på återvinningscentral</x:v>
      </x:c>
      <x:c r="C306" s="965" t="str">
        <x:v>Fluorvätesyra Avfallskod 20 01 14*</x:v>
      </x:c>
      <x:c r="D306" s="965" t="str">
        <x:v>1790</x:v>
      </x:c>
      <x:c r="E306" s="965" t="str">
        <x:v>Kr/Kg</x:v>
      </x:c>
      <x:c r="F306" s="989"/>
      <x:c r="G306" s="996" t="str">
        <x:f>IF($F306&lt;&gt;"",$F306,IFERROR(_xlfn.XLOOKUP(ROW(),Taxa_Saknas!$H:$H,Taxa_Saknas!$G:$G),""))</x:f>
      </x:c>
      <x:c r="H306" s="1003" t="e">
        <x:f>IF($F306&lt;&gt;"",IFERROR(_xlfn.XLOOKUP($F306,Taxa_från_edp!$B:$B,Taxa_från_edp!C:C),""),"")</x:f>
      </x:c>
      <x:c r="I306" s="1004" t="e">
        <x:f>IF($F306&lt;&gt;"",IFERROR(_xlfn.XLOOKUP($F306,Taxa_från_edp!$B:$B,Taxa_från_edp!G:G),""),"")</x:f>
      </x:c>
      <x:c r="J306" s="1005" t="e">
        <x:f>IF($F306&lt;&gt;"",IFERROR(_xlfn.XLOOKUP($F306,Taxa_från_edp!$B:$B,Taxa_från_edp!K:K),""),"")</x:f>
      </x:c>
      <x:c r="K306" s="1016"/>
      <x:c r="L306" s="1022"/>
      <x:c r="M306" s="1029" t="str">
        <x:f>IFERROR(IF(J306&lt;&gt;"",J306*1.25,IF(K306&lt;&gt;"",K306*1.25,"")),"")</x:f>
      </x:c>
      <x:c r="N306" s="1030" t="str">
        <x:f>IFERROR(IF(J306&lt;&gt;"",L306*J306,IF(K306&lt;&gt;"",L306*K306,"")),"")</x:f>
      </x:c>
    </x:row>
    <x:row r="307" s="54" customFormat="1" ht="30" customHeight="1">
      <x:c r="A307" s="965" t="str">
        <x:v>§6.1.2</x:v>
      </x:c>
      <x:c r="B307" s="965" t="str">
        <x:v>Hanteringsavgifter för avfall inlämnat på återvinningscentral</x:v>
      </x:c>
      <x:c r="C307" s="965" t="str">
        <x:v>Basiskt organiskt fast ämne/flytande Avfallskod 20 01 15*</x:v>
      </x:c>
      <x:c r="D307" s="965" t="str">
        <x:v>3263</x:v>
      </x:c>
      <x:c r="E307" s="965" t="str">
        <x:v>Kr/Kg</x:v>
      </x:c>
      <x:c r="F307" s="989"/>
      <x:c r="G307" s="996" t="str">
        <x:f>IF($F307&lt;&gt;"",$F307,IFERROR(_xlfn.XLOOKUP(ROW(),Taxa_Saknas!$H:$H,Taxa_Saknas!$G:$G),""))</x:f>
      </x:c>
      <x:c r="H307" s="1003" t="e">
        <x:f>IF($F307&lt;&gt;"",IFERROR(_xlfn.XLOOKUP($F307,Taxa_från_edp!$B:$B,Taxa_från_edp!C:C),""),"")</x:f>
      </x:c>
      <x:c r="I307" s="1004" t="e">
        <x:f>IF($F307&lt;&gt;"",IFERROR(_xlfn.XLOOKUP($F307,Taxa_från_edp!$B:$B,Taxa_från_edp!G:G),""),"")</x:f>
      </x:c>
      <x:c r="J307" s="1005" t="e">
        <x:f>IF($F307&lt;&gt;"",IFERROR(_xlfn.XLOOKUP($F307,Taxa_från_edp!$B:$B,Taxa_från_edp!K:K),""),"")</x:f>
      </x:c>
      <x:c r="K307" s="1016"/>
      <x:c r="L307" s="1022"/>
      <x:c r="M307" s="1029" t="str">
        <x:f>IFERROR(IF(J307&lt;&gt;"",J307*1.25,IF(K307&lt;&gt;"",K307*1.25,"")),"")</x:f>
      </x:c>
      <x:c r="N307" s="1030" t="str">
        <x:f>IFERROR(IF(J307&lt;&gt;"",L307*J307,IF(K307&lt;&gt;"",L307*K307,"")),"")</x:f>
      </x:c>
    </x:row>
    <x:row r="308" s="54" customFormat="1" ht="30" customHeight="1">
      <x:c r="A308" s="965" t="str">
        <x:v>§6.1.2</x:v>
      </x:c>
      <x:c r="B308" s="965" t="str">
        <x:v>Hanteringsavgifter för avfall inlämnat på återvinningscentral</x:v>
      </x:c>
      <x:c r="C308" s="965" t="str">
        <x:v>Ammoniaklösning Avfallskod 20 01 15*</x:v>
      </x:c>
      <x:c r="D308" s="965" t="str">
        <x:v>2672</x:v>
      </x:c>
      <x:c r="E308" s="965" t="str">
        <x:v>Kr/Kg</x:v>
      </x:c>
      <x:c r="F308" s="989"/>
      <x:c r="G308" s="996" t="str">
        <x:f>IF($F308&lt;&gt;"",$F308,IFERROR(_xlfn.XLOOKUP(ROW(),Taxa_Saknas!$H:$H,Taxa_Saknas!$G:$G),""))</x:f>
      </x:c>
      <x:c r="H308" s="1003" t="e">
        <x:f>IF($F308&lt;&gt;"",IFERROR(_xlfn.XLOOKUP($F308,Taxa_från_edp!$B:$B,Taxa_från_edp!C:C),""),"")</x:f>
      </x:c>
      <x:c r="I308" s="1004" t="e">
        <x:f>IF($F308&lt;&gt;"",IFERROR(_xlfn.XLOOKUP($F308,Taxa_från_edp!$B:$B,Taxa_från_edp!G:G),""),"")</x:f>
      </x:c>
      <x:c r="J308" s="1005" t="e">
        <x:f>IF($F308&lt;&gt;"",IFERROR(_xlfn.XLOOKUP($F308,Taxa_från_edp!$B:$B,Taxa_från_edp!K:K),""),"")</x:f>
      </x:c>
      <x:c r="K308" s="1016"/>
      <x:c r="L308" s="1022"/>
      <x:c r="M308" s="1029" t="str">
        <x:f>IFERROR(IF(J308&lt;&gt;"",J308*1.25,IF(K308&lt;&gt;"",K308*1.25,"")),"")</x:f>
      </x:c>
      <x:c r="N308" s="1030" t="str">
        <x:f>IFERROR(IF(J308&lt;&gt;"",L308*J308,IF(K308&lt;&gt;"",L308*K308,"")),"")</x:f>
      </x:c>
    </x:row>
    <x:row r="309" s="54" customFormat="1" ht="30" customHeight="1">
      <x:c r="A309" s="965" t="str">
        <x:v>§6.1.2</x:v>
      </x:c>
      <x:c r="B309" s="965" t="str">
        <x:v>Hanteringsavgifter för avfall inlämnat på återvinningscentral</x:v>
      </x:c>
      <x:c r="C309" s="965" t="str">
        <x:v>Rengöringsmedel Avfallskod 20 01 29*</x:v>
      </x:c>
      <x:c r="D309" s="965" t="str">
        <x:v>2903</x:v>
      </x:c>
      <x:c r="E309" s="965" t="str">
        <x:v>Kr/Kg</x:v>
      </x:c>
      <x:c r="F309" s="989"/>
      <x:c r="G309" s="996" t="str">
        <x:f>IF($F309&lt;&gt;"",$F309,IFERROR(_xlfn.XLOOKUP(ROW(),Taxa_Saknas!$H:$H,Taxa_Saknas!$G:$G),""))</x:f>
      </x:c>
      <x:c r="H309" s="1003" t="e">
        <x:f>IF($F309&lt;&gt;"",IFERROR(_xlfn.XLOOKUP($F309,Taxa_från_edp!$B:$B,Taxa_från_edp!C:C),""),"")</x:f>
      </x:c>
      <x:c r="I309" s="1004" t="e">
        <x:f>IF($F309&lt;&gt;"",IFERROR(_xlfn.XLOOKUP($F309,Taxa_från_edp!$B:$B,Taxa_från_edp!G:G),""),"")</x:f>
      </x:c>
      <x:c r="J309" s="1005" t="e">
        <x:f>IF($F309&lt;&gt;"",IFERROR(_xlfn.XLOOKUP($F309,Taxa_från_edp!$B:$B,Taxa_från_edp!K:K),""),"")</x:f>
      </x:c>
      <x:c r="K309" s="1016"/>
      <x:c r="L309" s="1022"/>
      <x:c r="M309" s="1029" t="str">
        <x:f>IFERROR(IF(J309&lt;&gt;"",J309*1.25,IF(K309&lt;&gt;"",K309*1.25,"")),"")</x:f>
      </x:c>
      <x:c r="N309" s="1030" t="str">
        <x:f>IFERROR(IF(J309&lt;&gt;"",L309*J309,IF(K309&lt;&gt;"",L309*K309,"")),"")</x:f>
      </x:c>
    </x:row>
    <x:row r="310" s="54" customFormat="1" ht="30" customHeight="1">
      <x:c r="A310" s="965" t="str">
        <x:v>§6.1.2</x:v>
      </x:c>
      <x:c r="B310" s="965" t="str">
        <x:v>Hanteringsavgifter för avfall inlämnat på återvinningscentral</x:v>
      </x:c>
      <x:c r="C310" s="965" t="str">
        <x:v>Väteperoxid Avfallskod 20 01 13*</x:v>
      </x:c>
      <x:c r="D310" s="965" t="str">
        <x:v>2014</x:v>
      </x:c>
      <x:c r="E310" s="965" t="str">
        <x:v>Kr/Kg</x:v>
      </x:c>
      <x:c r="F310" s="989"/>
      <x:c r="G310" s="996" t="str">
        <x:f>IF($F310&lt;&gt;"",$F310,IFERROR(_xlfn.XLOOKUP(ROW(),Taxa_Saknas!$H:$H,Taxa_Saknas!$G:$G),""))</x:f>
      </x:c>
      <x:c r="H310" s="1003" t="e">
        <x:f>IF($F310&lt;&gt;"",IFERROR(_xlfn.XLOOKUP($F310,Taxa_från_edp!$B:$B,Taxa_från_edp!C:C),""),"")</x:f>
      </x:c>
      <x:c r="I310" s="1004" t="e">
        <x:f>IF($F310&lt;&gt;"",IFERROR(_xlfn.XLOOKUP($F310,Taxa_från_edp!$B:$B,Taxa_från_edp!G:G),""),"")</x:f>
      </x:c>
      <x:c r="J310" s="1005" t="e">
        <x:f>IF($F310&lt;&gt;"",IFERROR(_xlfn.XLOOKUP($F310,Taxa_från_edp!$B:$B,Taxa_från_edp!K:K),""),"")</x:f>
      </x:c>
      <x:c r="K310" s="1016"/>
      <x:c r="L310" s="1022"/>
      <x:c r="M310" s="1029" t="str">
        <x:f>IFERROR(IF(J310&lt;&gt;"",J310*1.25,IF(K310&lt;&gt;"",K310*1.25,"")),"")</x:f>
      </x:c>
      <x:c r="N310" s="1030" t="str">
        <x:f>IFERROR(IF(J310&lt;&gt;"",L310*J310,IF(K310&lt;&gt;"",L310*K310,"")),"")</x:f>
      </x:c>
    </x:row>
    <x:row r="311" s="54" customFormat="1" ht="30" customHeight="1">
      <x:c r="A311" s="965" t="str">
        <x:v>§6.1.2</x:v>
      </x:c>
      <x:c r="B311" s="965" t="str">
        <x:v>Hanteringsavgifter för avfall inlämnat på återvinningscentral</x:v>
      </x:c>
      <x:c r="C311" s="965" t="str">
        <x:v>Glykolspill Avfallskod 16 01 14*</x:v>
      </x:c>
      <x:c r="D311" s="965"/>
      <x:c r="E311" s="965" t="str">
        <x:v>Kr/Kg</x:v>
      </x:c>
      <x:c r="F311" s="989"/>
      <x:c r="G311" s="996" t="str">
        <x:f>IF($F311&lt;&gt;"",$F311,IFERROR(_xlfn.XLOOKUP(ROW(),Taxa_Saknas!$H:$H,Taxa_Saknas!$G:$G),""))</x:f>
      </x:c>
      <x:c r="H311" s="1003" t="e">
        <x:f>IF($F311&lt;&gt;"",IFERROR(_xlfn.XLOOKUP($F311,Taxa_från_edp!$B:$B,Taxa_från_edp!C:C),""),"")</x:f>
      </x:c>
      <x:c r="I311" s="1004" t="e">
        <x:f>IF($F311&lt;&gt;"",IFERROR(_xlfn.XLOOKUP($F311,Taxa_från_edp!$B:$B,Taxa_från_edp!G:G),""),"")</x:f>
      </x:c>
      <x:c r="J311" s="1005" t="e">
        <x:f>IF($F311&lt;&gt;"",IFERROR(_xlfn.XLOOKUP($F311,Taxa_från_edp!$B:$B,Taxa_från_edp!K:K),""),"")</x:f>
      </x:c>
      <x:c r="K311" s="1016"/>
      <x:c r="L311" s="1022"/>
      <x:c r="M311" s="1029" t="str">
        <x:f>IFERROR(IF(J311&lt;&gt;"",J311*1.25,IF(K311&lt;&gt;"",K311*1.25,"")),"")</x:f>
      </x:c>
      <x:c r="N311" s="1030" t="str">
        <x:f>IFERROR(IF(J311&lt;&gt;"",L311*J311,IF(K311&lt;&gt;"",L311*K311,"")),"")</x:f>
      </x:c>
    </x:row>
    <x:row r="312" s="54" customFormat="1" ht="30" customHeight="1">
      <x:c r="A312" s="965" t="str">
        <x:v>§6.1.2</x:v>
      </x:c>
      <x:c r="B312" s="965" t="str">
        <x:v>Hanteringsavgifter för avfall inlämnat på återvinningscentral</x:v>
      </x:c>
      <x:c r="C312" s="965" t="str">
        <x:v>Härdare dibenzoylperoxid Avfallskod 20 01 27*</x:v>
      </x:c>
      <x:c r="D312" s="965" t="str">
        <x:v>3106</x:v>
      </x:c>
      <x:c r="E312" s="965" t="str">
        <x:v>Kr/Kg</x:v>
      </x:c>
      <x:c r="F312" s="989"/>
      <x:c r="G312" s="996" t="str">
        <x:f>IF($F312&lt;&gt;"",$F312,IFERROR(_xlfn.XLOOKUP(ROW(),Taxa_Saknas!$H:$H,Taxa_Saknas!$G:$G),""))</x:f>
      </x:c>
      <x:c r="H312" s="1003" t="e">
        <x:f>IF($F312&lt;&gt;"",IFERROR(_xlfn.XLOOKUP($F312,Taxa_från_edp!$B:$B,Taxa_från_edp!C:C),""),"")</x:f>
      </x:c>
      <x:c r="I312" s="1004" t="e">
        <x:f>IF($F312&lt;&gt;"",IFERROR(_xlfn.XLOOKUP($F312,Taxa_från_edp!$B:$B,Taxa_från_edp!G:G),""),"")</x:f>
      </x:c>
      <x:c r="J312" s="1005" t="e">
        <x:f>IF($F312&lt;&gt;"",IFERROR(_xlfn.XLOOKUP($F312,Taxa_från_edp!$B:$B,Taxa_från_edp!K:K),""),"")</x:f>
      </x:c>
      <x:c r="K312" s="1016"/>
      <x:c r="L312" s="1022"/>
      <x:c r="M312" s="1029" t="str">
        <x:f>IFERROR(IF(J312&lt;&gt;"",J312*1.25,IF(K312&lt;&gt;"",K312*1.25,"")),"")</x:f>
      </x:c>
      <x:c r="N312" s="1030" t="str">
        <x:f>IFERROR(IF(J312&lt;&gt;"",L312*J312,IF(K312&lt;&gt;"",L312*K312,"")),"")</x:f>
      </x:c>
    </x:row>
    <x:row r="313" s="54" customFormat="1" ht="30" customHeight="1">
      <x:c r="A313" s="965" t="str">
        <x:v>§6.1.2</x:v>
      </x:c>
      <x:c r="B313" s="965" t="str">
        <x:v>Hanteringsavgifter för avfall inlämnat på återvinningscentral</x:v>
      </x:c>
      <x:c r="C313" s="965" t="str">
        <x:v>Härdare metyletylketonperoxid Avfallskod 20 01 27*</x:v>
      </x:c>
      <x:c r="D313" s="965" t="str">
        <x:v>3105</x:v>
      </x:c>
      <x:c r="E313" s="965" t="str">
        <x:v>Kr/Kg</x:v>
      </x:c>
      <x:c r="F313" s="989"/>
      <x:c r="G313" s="996" t="str">
        <x:f>IF($F313&lt;&gt;"",$F313,IFERROR(_xlfn.XLOOKUP(ROW(),Taxa_Saknas!$H:$H,Taxa_Saknas!$G:$G),""))</x:f>
      </x:c>
      <x:c r="H313" s="1003" t="e">
        <x:f>IF($F313&lt;&gt;"",IFERROR(_xlfn.XLOOKUP($F313,Taxa_från_edp!$B:$B,Taxa_från_edp!C:C),""),"")</x:f>
      </x:c>
      <x:c r="I313" s="1004" t="e">
        <x:f>IF($F313&lt;&gt;"",IFERROR(_xlfn.XLOOKUP($F313,Taxa_från_edp!$B:$B,Taxa_från_edp!G:G),""),"")</x:f>
      </x:c>
      <x:c r="J313" s="1005" t="e">
        <x:f>IF($F313&lt;&gt;"",IFERROR(_xlfn.XLOOKUP($F313,Taxa_från_edp!$B:$B,Taxa_från_edp!K:K),""),"")</x:f>
      </x:c>
      <x:c r="K313" s="1016"/>
      <x:c r="L313" s="1022"/>
      <x:c r="M313" s="1029" t="str">
        <x:f>IFERROR(IF(J313&lt;&gt;"",J313*1.25,IF(K313&lt;&gt;"",K313*1.25,"")),"")</x:f>
      </x:c>
      <x:c r="N313" s="1030" t="str">
        <x:f>IFERROR(IF(J313&lt;&gt;"",L313*J313,IF(K313&lt;&gt;"",L313*K313,"")),"")</x:f>
      </x:c>
    </x:row>
    <x:row r="314" s="54" customFormat="1" ht="30" customHeight="1">
      <x:c r="A314" s="965" t="str">
        <x:v>§6.1.2</x:v>
      </x:c>
      <x:c r="B314" s="965" t="str">
        <x:v>Hanteringsavgifter för avfall inlämnat på återvinningscentral</x:v>
      </x:c>
      <x:c r="C314" s="965" t="str">
        <x:v>Fotokemikalier Avfallskod 20 01 17*</x:v>
      </x:c>
      <x:c r="D314" s="965"/>
      <x:c r="E314" s="965" t="str">
        <x:v>Kr/Kg</x:v>
      </x:c>
      <x:c r="F314" s="989"/>
      <x:c r="G314" s="996" t="str">
        <x:f>IF($F314&lt;&gt;"",$F314,IFERROR(_xlfn.XLOOKUP(ROW(),Taxa_Saknas!$H:$H,Taxa_Saknas!$G:$G),""))</x:f>
      </x:c>
      <x:c r="H314" s="1003" t="e">
        <x:f>IF($F314&lt;&gt;"",IFERROR(_xlfn.XLOOKUP($F314,Taxa_från_edp!$B:$B,Taxa_från_edp!C:C),""),"")</x:f>
      </x:c>
      <x:c r="I314" s="1004" t="e">
        <x:f>IF($F314&lt;&gt;"",IFERROR(_xlfn.XLOOKUP($F314,Taxa_från_edp!$B:$B,Taxa_från_edp!G:G),""),"")</x:f>
      </x:c>
      <x:c r="J314" s="1005" t="e">
        <x:f>IF($F314&lt;&gt;"",IFERROR(_xlfn.XLOOKUP($F314,Taxa_från_edp!$B:$B,Taxa_från_edp!K:K),""),"")</x:f>
      </x:c>
      <x:c r="K314" s="1016"/>
      <x:c r="L314" s="1022"/>
      <x:c r="M314" s="1029" t="str">
        <x:f>IFERROR(IF(J314&lt;&gt;"",J314*1.25,IF(K314&lt;&gt;"",K314*1.25,"")),"")</x:f>
      </x:c>
      <x:c r="N314" s="1030" t="str">
        <x:f>IFERROR(IF(J314&lt;&gt;"",L314*J314,IF(K314&lt;&gt;"",L314*K314,"")),"")</x:f>
      </x:c>
    </x:row>
    <x:row r="315" s="54" customFormat="1" ht="30" customHeight="1">
      <x:c r="A315" s="965" t="str">
        <x:v>§6.1.2</x:v>
      </x:c>
      <x:c r="B315" s="965" t="str">
        <x:v>Hanteringsavgifter för avfall inlämnat på återvinningscentral</x:v>
      </x:c>
      <x:c r="C315" s="965" t="str">
        <x:v>Avfall med kvicksilverinnehåll Avfallskod 20 01 21*</x:v>
      </x:c>
      <x:c r="D315" s="965" t="str">
        <x:v>2809</x:v>
      </x:c>
      <x:c r="E315" s="965" t="str">
        <x:v>Kr/Kg</x:v>
      </x:c>
      <x:c r="F315" s="989"/>
      <x:c r="G315" s="996" t="str">
        <x:f>IF($F315&lt;&gt;"",$F315,IFERROR(_xlfn.XLOOKUP(ROW(),Taxa_Saknas!$H:$H,Taxa_Saknas!$G:$G),""))</x:f>
      </x:c>
      <x:c r="H315" s="1003" t="e">
        <x:f>IF($F315&lt;&gt;"",IFERROR(_xlfn.XLOOKUP($F315,Taxa_från_edp!$B:$B,Taxa_från_edp!C:C),""),"")</x:f>
      </x:c>
      <x:c r="I315" s="1004" t="e">
        <x:f>IF($F315&lt;&gt;"",IFERROR(_xlfn.XLOOKUP($F315,Taxa_från_edp!$B:$B,Taxa_från_edp!G:G),""),"")</x:f>
      </x:c>
      <x:c r="J315" s="1005" t="e">
        <x:f>IF($F315&lt;&gt;"",IFERROR(_xlfn.XLOOKUP($F315,Taxa_från_edp!$B:$B,Taxa_från_edp!K:K),""),"")</x:f>
      </x:c>
      <x:c r="K315" s="1016"/>
      <x:c r="L315" s="1022"/>
      <x:c r="M315" s="1029" t="str">
        <x:f>IFERROR(IF(J315&lt;&gt;"",J315*1.25,IF(K315&lt;&gt;"",K315*1.25,"")),"")</x:f>
      </x:c>
      <x:c r="N315" s="1030" t="str">
        <x:f>IFERROR(IF(J315&lt;&gt;"",L315*J315,IF(K315&lt;&gt;"",L315*K315,"")),"")</x:f>
      </x:c>
    </x:row>
    <x:row r="316" s="54" customFormat="1" ht="30" customHeight="1">
      <x:c r="A316" s="965" t="str">
        <x:v>§6.1.2</x:v>
      </x:c>
      <x:c r="B316" s="965" t="str">
        <x:v>Hanteringsavgifter för avfall inlämnat på återvinningscentral</x:v>
      </x:c>
      <x:c r="C316" s="965" t="str">
        <x:v>Kvicksilver i föremål Avfallskod 20 01 21*</x:v>
      </x:c>
      <x:c r="D316" s="965" t="str">
        <x:v>3506</x:v>
      </x:c>
      <x:c r="E316" s="965" t="str">
        <x:v>Kr/Kg</x:v>
      </x:c>
      <x:c r="F316" s="989"/>
      <x:c r="G316" s="996" t="str">
        <x:f>IF($F316&lt;&gt;"",$F316,IFERROR(_xlfn.XLOOKUP(ROW(),Taxa_Saknas!$H:$H,Taxa_Saknas!$G:$G),""))</x:f>
      </x:c>
      <x:c r="H316" s="1003" t="e">
        <x:f>IF($F316&lt;&gt;"",IFERROR(_xlfn.XLOOKUP($F316,Taxa_från_edp!$B:$B,Taxa_från_edp!C:C),""),"")</x:f>
      </x:c>
      <x:c r="I316" s="1004" t="e">
        <x:f>IF($F316&lt;&gt;"",IFERROR(_xlfn.XLOOKUP($F316,Taxa_från_edp!$B:$B,Taxa_från_edp!G:G),""),"")</x:f>
      </x:c>
      <x:c r="J316" s="1005" t="e">
        <x:f>IF($F316&lt;&gt;"",IFERROR(_xlfn.XLOOKUP($F316,Taxa_från_edp!$B:$B,Taxa_från_edp!K:K),""),"")</x:f>
      </x:c>
      <x:c r="K316" s="1016"/>
      <x:c r="L316" s="1022"/>
      <x:c r="M316" s="1029" t="str">
        <x:f>IFERROR(IF(J316&lt;&gt;"",J316*1.25,IF(K316&lt;&gt;"",K316*1.25,"")),"")</x:f>
      </x:c>
      <x:c r="N316" s="1030" t="str">
        <x:f>IFERROR(IF(J316&lt;&gt;"",L316*J316,IF(K316&lt;&gt;"",L316*K316,"")),"")</x:f>
      </x:c>
    </x:row>
    <x:row r="317" s="54" customFormat="1" ht="30" customHeight="1">
      <x:c r="A317" s="965" t="str">
        <x:v>§6.1.2</x:v>
      </x:c>
      <x:c r="B317" s="965" t="str">
        <x:v>Hanteringsavgifter för avfall inlämnat på återvinningscentral</x:v>
      </x:c>
      <x:c r="C317" s="965" t="str">
        <x:v>Småkemikalier, ej Hg-haltiga Avfallskod 16 05 06*</x:v>
      </x:c>
      <x:c r="D317" s="965" t="str">
        <x:v>3286</x:v>
      </x:c>
      <x:c r="E317" s="965" t="str">
        <x:v>Kr/Kg</x:v>
      </x:c>
      <x:c r="F317" s="989"/>
      <x:c r="G317" s="996" t="str">
        <x:f>IF($F317&lt;&gt;"",$F317,IFERROR(_xlfn.XLOOKUP(ROW(),Taxa_Saknas!$H:$H,Taxa_Saknas!$G:$G),""))</x:f>
      </x:c>
      <x:c r="H317" s="1003" t="e">
        <x:f>IF($F317&lt;&gt;"",IFERROR(_xlfn.XLOOKUP($F317,Taxa_från_edp!$B:$B,Taxa_från_edp!C:C),""),"")</x:f>
      </x:c>
      <x:c r="I317" s="1004" t="e">
        <x:f>IF($F317&lt;&gt;"",IFERROR(_xlfn.XLOOKUP($F317,Taxa_från_edp!$B:$B,Taxa_från_edp!G:G),""),"")</x:f>
      </x:c>
      <x:c r="J317" s="1005" t="e">
        <x:f>IF($F317&lt;&gt;"",IFERROR(_xlfn.XLOOKUP($F317,Taxa_från_edp!$B:$B,Taxa_från_edp!K:K),""),"")</x:f>
      </x:c>
      <x:c r="K317" s="1016"/>
      <x:c r="L317" s="1022"/>
      <x:c r="M317" s="1029" t="str">
        <x:f>IFERROR(IF(J317&lt;&gt;"",J317*1.25,IF(K317&lt;&gt;"",K317*1.25,"")),"")</x:f>
      </x:c>
      <x:c r="N317" s="1030" t="str">
        <x:f>IFERROR(IF(J317&lt;&gt;"",L317*J317,IF(K317&lt;&gt;"",L317*K317,"")),"")</x:f>
      </x:c>
    </x:row>
    <x:row r="318" s="54" customFormat="1" ht="30" customHeight="1">
      <x:c r="A318" s="965" t="str">
        <x:v>§6.1.2</x:v>
      </x:c>
      <x:c r="B318" s="965" t="str">
        <x:v>Hanteringsavgifter för avfall inlämnat på återvinningscentral</x:v>
      </x:c>
      <x:c r="C318" s="965" t="str">
        <x:v>Förpackningar, tömda ej rengjorda Avfallskod 15 01 10*</x:v>
      </x:c>
      <x:c r="D318" s="965"/>
      <x:c r="E318" s="965" t="str">
        <x:v>Kr/Kg</x:v>
      </x:c>
      <x:c r="F318" s="989"/>
      <x:c r="G318" s="996" t="str">
        <x:f>IF($F318&lt;&gt;"",$F318,IFERROR(_xlfn.XLOOKUP(ROW(),Taxa_Saknas!$H:$H,Taxa_Saknas!$G:$G),""))</x:f>
      </x:c>
      <x:c r="H318" s="1003" t="e">
        <x:f>IF($F318&lt;&gt;"",IFERROR(_xlfn.XLOOKUP($F318,Taxa_från_edp!$B:$B,Taxa_från_edp!C:C),""),"")</x:f>
      </x:c>
      <x:c r="I318" s="1004" t="e">
        <x:f>IF($F318&lt;&gt;"",IFERROR(_xlfn.XLOOKUP($F318,Taxa_från_edp!$B:$B,Taxa_från_edp!G:G),""),"")</x:f>
      </x:c>
      <x:c r="J318" s="1005" t="e">
        <x:f>IF($F318&lt;&gt;"",IFERROR(_xlfn.XLOOKUP($F318,Taxa_från_edp!$B:$B,Taxa_från_edp!K:K),""),"")</x:f>
      </x:c>
      <x:c r="K318" s="1016"/>
      <x:c r="L318" s="1022"/>
      <x:c r="M318" s="1029" t="str">
        <x:f>IFERROR(IF(J318&lt;&gt;"",J318*1.25,IF(K318&lt;&gt;"",K318*1.25,"")),"")</x:f>
      </x:c>
      <x:c r="N318" s="1030" t="str">
        <x:f>IFERROR(IF(J318&lt;&gt;"",L318*J318,IF(K318&lt;&gt;"",L318*K318,"")),"")</x:f>
      </x:c>
    </x:row>
    <x:row r="319" s="54" customFormat="1" ht="30" customHeight="1">
      <x:c r="A319" s="965" t="str">
        <x:v>§6.1.2</x:v>
      </x:c>
      <x:c r="B319" s="965" t="str">
        <x:v>Hanteringsavgifter för avfall inlämnat på återvinningscentral</x:v>
      </x:c>
      <x:c r="C319" s="965" t="str">
        <x:v>Toner/färgpatroner Avfallskod 08 03 07</x:v>
      </x:c>
      <x:c r="D319" s="965"/>
      <x:c r="E319" s="965" t="str">
        <x:v>Kr/Kg</x:v>
      </x:c>
      <x:c r="F319" s="989"/>
      <x:c r="G319" s="996" t="str">
        <x:f>IF($F319&lt;&gt;"",$F319,IFERROR(_xlfn.XLOOKUP(ROW(),Taxa_Saknas!$H:$H,Taxa_Saknas!$G:$G),""))</x:f>
      </x:c>
      <x:c r="H319" s="1003" t="e">
        <x:f>IF($F319&lt;&gt;"",IFERROR(_xlfn.XLOOKUP($F319,Taxa_från_edp!$B:$B,Taxa_från_edp!C:C),""),"")</x:f>
      </x:c>
      <x:c r="I319" s="1004" t="e">
        <x:f>IF($F319&lt;&gt;"",IFERROR(_xlfn.XLOOKUP($F319,Taxa_från_edp!$B:$B,Taxa_från_edp!G:G),""),"")</x:f>
      </x:c>
      <x:c r="J319" s="1005" t="e">
        <x:f>IF($F319&lt;&gt;"",IFERROR(_xlfn.XLOOKUP($F319,Taxa_från_edp!$B:$B,Taxa_från_edp!K:K),""),"")</x:f>
      </x:c>
      <x:c r="K319" s="1016"/>
      <x:c r="L319" s="1022"/>
      <x:c r="M319" s="1029" t="str">
        <x:f>IFERROR(IF(J319&lt;&gt;"",J319*1.25,IF(K319&lt;&gt;"",K319*1.25,"")),"")</x:f>
      </x:c>
      <x:c r="N319" s="1030" t="str">
        <x:f>IFERROR(IF(J319&lt;&gt;"",L319*J319,IF(K319&lt;&gt;"",L319*K319,"")),"")</x:f>
      </x:c>
    </x:row>
    <x:row r="320" s="54" customFormat="1" ht="30" customHeight="1">
      <x:c r="A320" s="965" t="str">
        <x:v>§6.1.2</x:v>
      </x:c>
      <x:c r="B320" s="965" t="str">
        <x:v>Hanteringsavgifter för avfall inlämnat på återvinningscentral</x:v>
      </x:c>
      <x:c r="C320" s="965" t="str">
        <x:v>Oxiderande fast ämnen/vätska Avfallskod 16 05 04*</x:v>
      </x:c>
      <x:c r="D320" s="965" t="str">
        <x:v>1479</x:v>
      </x:c>
      <x:c r="E320" s="965" t="str">
        <x:v>Kr/Kg</x:v>
      </x:c>
      <x:c r="F320" s="989"/>
      <x:c r="G320" s="996" t="str">
        <x:f>IF($F320&lt;&gt;"",$F320,IFERROR(_xlfn.XLOOKUP(ROW(),Taxa_Saknas!$H:$H,Taxa_Saknas!$G:$G),""))</x:f>
      </x:c>
      <x:c r="H320" s="1003" t="e">
        <x:f>IF($F320&lt;&gt;"",IFERROR(_xlfn.XLOOKUP($F320,Taxa_från_edp!$B:$B,Taxa_från_edp!C:C),""),"")</x:f>
      </x:c>
      <x:c r="I320" s="1004" t="e">
        <x:f>IF($F320&lt;&gt;"",IFERROR(_xlfn.XLOOKUP($F320,Taxa_från_edp!$B:$B,Taxa_från_edp!G:G),""),"")</x:f>
      </x:c>
      <x:c r="J320" s="1005" t="e">
        <x:f>IF($F320&lt;&gt;"",IFERROR(_xlfn.XLOOKUP($F320,Taxa_från_edp!$B:$B,Taxa_från_edp!K:K),""),"")</x:f>
      </x:c>
      <x:c r="K320" s="1016"/>
      <x:c r="L320" s="1022"/>
      <x:c r="M320" s="1029" t="str">
        <x:f>IFERROR(IF(J320&lt;&gt;"",J320*1.25,IF(K320&lt;&gt;"",K320*1.25,"")),"")</x:f>
      </x:c>
      <x:c r="N320" s="1030" t="str">
        <x:f>IFERROR(IF(J320&lt;&gt;"",L320*J320,IF(K320&lt;&gt;"",L320*K320,"")),"")</x:f>
      </x:c>
    </x:row>
    <x:row r="321" s="54" customFormat="1" ht="30" customHeight="1">
      <x:c r="A321" s="965" t="str">
        <x:v>§6.1.2</x:v>
      </x:c>
      <x:c r="B321" s="965" t="str">
        <x:v>Hanteringsavgifter för avfall inlämnat på återvinningscentral</x:v>
      </x:c>
      <x:c r="C321" s="965" t="str">
        <x:v>Klorex Avfallskod 16 05 04*</x:v>
      </x:c>
      <x:c r="D321" s="965" t="str">
        <x:v>1495</x:v>
      </x:c>
      <x:c r="E321" s="965" t="str">
        <x:v>Kr/Kg</x:v>
      </x:c>
      <x:c r="F321" s="989"/>
      <x:c r="G321" s="996" t="str">
        <x:f>IF($F321&lt;&gt;"",$F321,IFERROR(_xlfn.XLOOKUP(ROW(),Taxa_Saknas!$H:$H,Taxa_Saknas!$G:$G),""))</x:f>
      </x:c>
      <x:c r="H321" s="1003" t="e">
        <x:f>IF($F321&lt;&gt;"",IFERROR(_xlfn.XLOOKUP($F321,Taxa_från_edp!$B:$B,Taxa_från_edp!C:C),""),"")</x:f>
      </x:c>
      <x:c r="I321" s="1004" t="e">
        <x:f>IF($F321&lt;&gt;"",IFERROR(_xlfn.XLOOKUP($F321,Taxa_från_edp!$B:$B,Taxa_från_edp!G:G),""),"")</x:f>
      </x:c>
      <x:c r="J321" s="1005" t="e">
        <x:f>IF($F321&lt;&gt;"",IFERROR(_xlfn.XLOOKUP($F321,Taxa_från_edp!$B:$B,Taxa_från_edp!K:K),""),"")</x:f>
      </x:c>
      <x:c r="K321" s="1016"/>
      <x:c r="L321" s="1022"/>
      <x:c r="M321" s="1029" t="str">
        <x:f>IFERROR(IF(J321&lt;&gt;"",J321*1.25,IF(K321&lt;&gt;"",K321*1.25,"")),"")</x:f>
      </x:c>
      <x:c r="N321" s="1030" t="str">
        <x:f>IFERROR(IF(J321&lt;&gt;"",L321*J321,IF(K321&lt;&gt;"",L321*K321,"")),"")</x:f>
      </x:c>
    </x:row>
    <x:row r="322" s="54" customFormat="1" ht="30" customHeight="1">
      <x:c r="A322" s="965" t="str">
        <x:v>§6.1.2</x:v>
      </x:c>
      <x:c r="B322" s="965" t="str">
        <x:v>Hanteringsavgifter för avfall inlämnat på återvinningscentral</x:v>
      </x:c>
      <x:c r="C322" s="965" t="str">
        <x:v>Aerosoler isocyanat/bekämpningsmedel/ugnsrengöring Avfallskod 16 05 04*</x:v>
      </x:c>
      <x:c r="D322" s="965" t="str">
        <x:v>1950</x:v>
      </x:c>
      <x:c r="E322" s="965" t="str">
        <x:v>Kr/Kg</x:v>
      </x:c>
      <x:c r="F322" s="989"/>
      <x:c r="G322" s="996" t="str">
        <x:f>IF($F322&lt;&gt;"",$F322,IFERROR(_xlfn.XLOOKUP(ROW(),Taxa_Saknas!$H:$H,Taxa_Saknas!$G:$G),""))</x:f>
      </x:c>
      <x:c r="H322" s="1003" t="e">
        <x:f>IF($F322&lt;&gt;"",IFERROR(_xlfn.XLOOKUP($F322,Taxa_från_edp!$B:$B,Taxa_från_edp!C:C),""),"")</x:f>
      </x:c>
      <x:c r="I322" s="1004" t="e">
        <x:f>IF($F322&lt;&gt;"",IFERROR(_xlfn.XLOOKUP($F322,Taxa_från_edp!$B:$B,Taxa_från_edp!G:G),""),"")</x:f>
      </x:c>
      <x:c r="J322" s="1005" t="e">
        <x:f>IF($F322&lt;&gt;"",IFERROR(_xlfn.XLOOKUP($F322,Taxa_från_edp!$B:$B,Taxa_från_edp!K:K),""),"")</x:f>
      </x:c>
      <x:c r="K322" s="1016"/>
      <x:c r="L322" s="1022"/>
      <x:c r="M322" s="1029" t="str">
        <x:f>IFERROR(IF(J322&lt;&gt;"",J322*1.25,IF(K322&lt;&gt;"",K322*1.25,"")),"")</x:f>
      </x:c>
      <x:c r="N322" s="1030" t="str">
        <x:f>IFERROR(IF(J322&lt;&gt;"",L322*J322,IF(K322&lt;&gt;"",L322*K322,"")),"")</x:f>
      </x:c>
    </x:row>
    <x:row r="323" s="54" customFormat="1" ht="30" customHeight="1">
      <x:c r="A323" s="965" t="str">
        <x:v>§6.1.2</x:v>
      </x:c>
      <x:c r="B323" s="965" t="str">
        <x:v>Hanteringsavgifter för avfall inlämnat på återvinningscentral</x:v>
      </x:c>
      <x:c r="C323" s="965" t="str">
        <x:v>Tändare Avfallskod 16 05 04*</x:v>
      </x:c>
      <x:c r="D323" s="965" t="str">
        <x:v>1057</x:v>
      </x:c>
      <x:c r="E323" s="965" t="str">
        <x:v>Kr/Kg</x:v>
      </x:c>
      <x:c r="F323" s="989"/>
      <x:c r="G323" s="996" t="str">
        <x:f>IF($F323&lt;&gt;"",$F323,IFERROR(_xlfn.XLOOKUP(ROW(),Taxa_Saknas!$H:$H,Taxa_Saknas!$G:$G),""))</x:f>
      </x:c>
      <x:c r="H323" s="1003" t="e">
        <x:f>IF($F323&lt;&gt;"",IFERROR(_xlfn.XLOOKUP($F323,Taxa_från_edp!$B:$B,Taxa_från_edp!C:C),""),"")</x:f>
      </x:c>
      <x:c r="I323" s="1004" t="e">
        <x:f>IF($F323&lt;&gt;"",IFERROR(_xlfn.XLOOKUP($F323,Taxa_från_edp!$B:$B,Taxa_från_edp!G:G),""),"")</x:f>
      </x:c>
      <x:c r="J323" s="1005" t="e">
        <x:f>IF($F323&lt;&gt;"",IFERROR(_xlfn.XLOOKUP($F323,Taxa_från_edp!$B:$B,Taxa_från_edp!K:K),""),"")</x:f>
      </x:c>
      <x:c r="K323" s="1016"/>
      <x:c r="L323" s="1022"/>
      <x:c r="M323" s="1029" t="str">
        <x:f>IFERROR(IF(J323&lt;&gt;"",J323*1.25,IF(K323&lt;&gt;"",K323*1.25,"")),"")</x:f>
      </x:c>
      <x:c r="N323" s="1030" t="str">
        <x:f>IFERROR(IF(J323&lt;&gt;"",L323*J323,IF(K323&lt;&gt;"",L323*K323,"")),"")</x:f>
      </x:c>
    </x:row>
    <x:row r="324" s="54" customFormat="1" ht="30" customHeight="1">
      <x:c r="A324" s="965" t="str">
        <x:v>§6.1.2</x:v>
      </x:c>
      <x:c r="B324" s="965" t="str">
        <x:v>Hanteringsavgifter för avfall inlämnat på återvinningscentral</x:v>
      </x:c>
      <x:c r="C324" s="965" t="str">
        <x:v>Engångsgasol Avfallskod 16 05 04*</x:v>
      </x:c>
      <x:c r="D324" s="965" t="str">
        <x:v>2037</x:v>
      </x:c>
      <x:c r="E324" s="965" t="str">
        <x:v>Kr/Kg</x:v>
      </x:c>
      <x:c r="F324" s="989"/>
      <x:c r="G324" s="996" t="str">
        <x:f>IF($F324&lt;&gt;"",$F324,IFERROR(_xlfn.XLOOKUP(ROW(),Taxa_Saknas!$H:$H,Taxa_Saknas!$G:$G),""))</x:f>
      </x:c>
      <x:c r="H324" s="1003" t="e">
        <x:f>IF($F324&lt;&gt;"",IFERROR(_xlfn.XLOOKUP($F324,Taxa_från_edp!$B:$B,Taxa_från_edp!C:C),""),"")</x:f>
      </x:c>
      <x:c r="I324" s="1004" t="e">
        <x:f>IF($F324&lt;&gt;"",IFERROR(_xlfn.XLOOKUP($F324,Taxa_från_edp!$B:$B,Taxa_från_edp!G:G),""),"")</x:f>
      </x:c>
      <x:c r="J324" s="1005" t="e">
        <x:f>IF($F324&lt;&gt;"",IFERROR(_xlfn.XLOOKUP($F324,Taxa_från_edp!$B:$B,Taxa_från_edp!K:K),""),"")</x:f>
      </x:c>
      <x:c r="K324" s="1016"/>
      <x:c r="L324" s="1022"/>
      <x:c r="M324" s="1029" t="str">
        <x:f>IFERROR(IF(J324&lt;&gt;"",J324*1.25,IF(K324&lt;&gt;"",K324*1.25,"")),"")</x:f>
      </x:c>
      <x:c r="N324" s="1030" t="str">
        <x:f>IFERROR(IF(J324&lt;&gt;"",L324*J324,IF(K324&lt;&gt;"",L324*K324,"")),"")</x:f>
      </x:c>
    </x:row>
    <x:row r="325" s="54" customFormat="1" ht="30" customHeight="1">
      <x:c r="A325" s="965" t="str">
        <x:v>§6.1.2</x:v>
      </x:c>
      <x:c r="B325" s="965" t="str">
        <x:v>Hanteringsavgifter för avfall inlämnat på återvinningscentral</x:v>
      </x:c>
      <x:c r="C325" s="965" t="str">
        <x:v>Brandsläckare Avfallskod 16 05 04*</x:v>
      </x:c>
      <x:c r="D325" s="965" t="str">
        <x:v>1044</x:v>
      </x:c>
      <x:c r="E325" s="965" t="str">
        <x:v>Kr/Kg</x:v>
      </x:c>
      <x:c r="F325" s="989"/>
      <x:c r="G325" s="996" t="str">
        <x:f>IF($F325&lt;&gt;"",$F325,IFERROR(_xlfn.XLOOKUP(ROW(),Taxa_Saknas!$H:$H,Taxa_Saknas!$G:$G),""))</x:f>
      </x:c>
      <x:c r="H325" s="1003" t="e">
        <x:f>IF($F325&lt;&gt;"",IFERROR(_xlfn.XLOOKUP($F325,Taxa_från_edp!$B:$B,Taxa_från_edp!C:C),""),"")</x:f>
      </x:c>
      <x:c r="I325" s="1004" t="e">
        <x:f>IF($F325&lt;&gt;"",IFERROR(_xlfn.XLOOKUP($F325,Taxa_från_edp!$B:$B,Taxa_från_edp!G:G),""),"")</x:f>
      </x:c>
      <x:c r="J325" s="1005" t="e">
        <x:f>IF($F325&lt;&gt;"",IFERROR(_xlfn.XLOOKUP($F325,Taxa_från_edp!$B:$B,Taxa_från_edp!K:K),""),"")</x:f>
      </x:c>
      <x:c r="K325" s="1016"/>
      <x:c r="L325" s="1022"/>
      <x:c r="M325" s="1029" t="str">
        <x:f>IFERROR(IF(J325&lt;&gt;"",J325*1.25,IF(K325&lt;&gt;"",K325*1.25,"")),"")</x:f>
      </x:c>
      <x:c r="N325" s="1030" t="str">
        <x:f>IFERROR(IF(J325&lt;&gt;"",L325*J325,IF(K325&lt;&gt;"",L325*K325,"")),"")</x:f>
      </x:c>
    </x:row>
    <x:row r="326" s="54" customFormat="1" ht="30" customHeight="1">
      <x:c r="A326" s="965" t="str">
        <x:v>§6.1.2</x:v>
      </x:c>
      <x:c r="B326" s="965" t="str">
        <x:v>Hanteringsavgifter för avfall inlämnat på återvinningscentral</x:v>
      </x:c>
      <x:c r="C326" s="965" t="str">
        <x:v>Koldioxid Avfallskod 16 05 04*</x:v>
      </x:c>
      <x:c r="D326" s="965" t="str">
        <x:v>1013</x:v>
      </x:c>
      <x:c r="E326" s="965" t="str">
        <x:v>Kr/Kg</x:v>
      </x:c>
      <x:c r="F326" s="989"/>
      <x:c r="G326" s="996" t="str">
        <x:f>IF($F326&lt;&gt;"",$F326,IFERROR(_xlfn.XLOOKUP(ROW(),Taxa_Saknas!$H:$H,Taxa_Saknas!$G:$G),""))</x:f>
      </x:c>
      <x:c r="H326" s="1003" t="e">
        <x:f>IF($F326&lt;&gt;"",IFERROR(_xlfn.XLOOKUP($F326,Taxa_från_edp!$B:$B,Taxa_från_edp!C:C),""),"")</x:f>
      </x:c>
      <x:c r="I326" s="1004" t="e">
        <x:f>IF($F326&lt;&gt;"",IFERROR(_xlfn.XLOOKUP($F326,Taxa_från_edp!$B:$B,Taxa_från_edp!G:G),""),"")</x:f>
      </x:c>
      <x:c r="J326" s="1005" t="e">
        <x:f>IF($F326&lt;&gt;"",IFERROR(_xlfn.XLOOKUP($F326,Taxa_från_edp!$B:$B,Taxa_från_edp!K:K),""),"")</x:f>
      </x:c>
      <x:c r="K326" s="1016"/>
      <x:c r="L326" s="1022"/>
      <x:c r="M326" s="1029" t="str">
        <x:f>IFERROR(IF(J326&lt;&gt;"",J326*1.25,IF(K326&lt;&gt;"",K326*1.25,"")),"")</x:f>
      </x:c>
      <x:c r="N326" s="1030" t="str">
        <x:f>IFERROR(IF(J326&lt;&gt;"",L326*J326,IF(K326&lt;&gt;"",L326*K326,"")),"")</x:f>
      </x:c>
    </x:row>
    <x:row r="327" s="54" customFormat="1" ht="30" customHeight="1">
      <x:c r="A327" s="965" t="str">
        <x:v>§6.1.2</x:v>
      </x:c>
      <x:c r="B327" s="965" t="str">
        <x:v>Hanteringsavgifter för avfall inlämnat på återvinningscentral</x:v>
      </x:c>
      <x:c r="C327" s="965" t="str">
        <x:v>Gasol Avfallskod 16 05 04*</x:v>
      </x:c>
      <x:c r="D327" s="965" t="str">
        <x:v>1965</x:v>
      </x:c>
      <x:c r="E327" s="965" t="str">
        <x:v>Kr/Kg</x:v>
      </x:c>
      <x:c r="F327" s="989"/>
      <x:c r="G327" s="996" t="str">
        <x:f>IF($F327&lt;&gt;"",$F327,IFERROR(_xlfn.XLOOKUP(ROW(),Taxa_Saknas!$H:$H,Taxa_Saknas!$G:$G),""))</x:f>
      </x:c>
      <x:c r="H327" s="1003" t="e">
        <x:f>IF($F327&lt;&gt;"",IFERROR(_xlfn.XLOOKUP($F327,Taxa_från_edp!$B:$B,Taxa_från_edp!C:C),""),"")</x:f>
      </x:c>
      <x:c r="I327" s="1004" t="e">
        <x:f>IF($F327&lt;&gt;"",IFERROR(_xlfn.XLOOKUP($F327,Taxa_från_edp!$B:$B,Taxa_från_edp!G:G),""),"")</x:f>
      </x:c>
      <x:c r="J327" s="1005" t="e">
        <x:f>IF($F327&lt;&gt;"",IFERROR(_xlfn.XLOOKUP($F327,Taxa_från_edp!$B:$B,Taxa_från_edp!K:K),""),"")</x:f>
      </x:c>
      <x:c r="K327" s="1016"/>
      <x:c r="L327" s="1022"/>
      <x:c r="M327" s="1029" t="str">
        <x:f>IFERROR(IF(J327&lt;&gt;"",J327*1.25,IF(K327&lt;&gt;"",K327*1.25,"")),"")</x:f>
      </x:c>
      <x:c r="N327" s="1030" t="str">
        <x:f>IFERROR(IF(J327&lt;&gt;"",L327*J327,IF(K327&lt;&gt;"",L327*K327,"")),"")</x:f>
      </x:c>
    </x:row>
    <x:row r="328" s="54" customFormat="1" ht="30" customHeight="1">
      <x:c r="A328" s="965" t="str">
        <x:v>§6.1.2</x:v>
      </x:c>
      <x:c r="B328" s="965" t="str">
        <x:v>Hanteringsavgifter för avfall inlämnat på återvinningscentral</x:v>
      </x:c>
      <x:c r="C328" s="965" t="str">
        <x:v>Helium Avfallskod 16 05 04*</x:v>
      </x:c>
      <x:c r="D328" s="965" t="str">
        <x:v>1046</x:v>
      </x:c>
      <x:c r="E328" s="965" t="str">
        <x:v>Kr/Kg</x:v>
      </x:c>
      <x:c r="F328" s="989"/>
      <x:c r="G328" s="996" t="str">
        <x:f>IF($F328&lt;&gt;"",$F328,IFERROR(_xlfn.XLOOKUP(ROW(),Taxa_Saknas!$H:$H,Taxa_Saknas!$G:$G),""))</x:f>
      </x:c>
      <x:c r="H328" s="1003" t="e">
        <x:f>IF($F328&lt;&gt;"",IFERROR(_xlfn.XLOOKUP($F328,Taxa_från_edp!$B:$B,Taxa_från_edp!C:C),""),"")</x:f>
      </x:c>
      <x:c r="I328" s="1004" t="e">
        <x:f>IF($F328&lt;&gt;"",IFERROR(_xlfn.XLOOKUP($F328,Taxa_från_edp!$B:$B,Taxa_från_edp!G:G),""),"")</x:f>
      </x:c>
      <x:c r="J328" s="1005" t="e">
        <x:f>IF($F328&lt;&gt;"",IFERROR(_xlfn.XLOOKUP($F328,Taxa_från_edp!$B:$B,Taxa_från_edp!K:K),""),"")</x:f>
      </x:c>
      <x:c r="K328" s="1016"/>
      <x:c r="L328" s="1022"/>
      <x:c r="M328" s="1029" t="str">
        <x:f>IFERROR(IF(J328&lt;&gt;"",J328*1.25,IF(K328&lt;&gt;"",K328*1.25,"")),"")</x:f>
      </x:c>
      <x:c r="N328" s="1030" t="str">
        <x:f>IFERROR(IF(J328&lt;&gt;"",L328*J328,IF(K328&lt;&gt;"",L328*K328,"")),"")</x:f>
      </x:c>
    </x:row>
    <x:row r="329" s="54" customFormat="1" ht="30" customHeight="1">
      <x:c r="A329" s="965" t="str">
        <x:v>§6.1.2</x:v>
      </x:c>
      <x:c r="B329" s="965" t="str">
        <x:v>Hanteringsavgifter för avfall inlämnat på återvinningscentral</x:v>
      </x:c>
      <x:c r="C329" s="965" t="str">
        <x:v>Syrgas Avfallskod 16 05 04*</x:v>
      </x:c>
      <x:c r="D329" s="965" t="str">
        <x:v>1072</x:v>
      </x:c>
      <x:c r="E329" s="965" t="str">
        <x:v>Kr/Kg</x:v>
      </x:c>
      <x:c r="F329" s="989"/>
      <x:c r="G329" s="996" t="str">
        <x:f>IF($F329&lt;&gt;"",$F329,IFERROR(_xlfn.XLOOKUP(ROW(),Taxa_Saknas!$H:$H,Taxa_Saknas!$G:$G),""))</x:f>
      </x:c>
      <x:c r="H329" s="1003" t="e">
        <x:f>IF($F329&lt;&gt;"",IFERROR(_xlfn.XLOOKUP($F329,Taxa_från_edp!$B:$B,Taxa_från_edp!C:C),""),"")</x:f>
      </x:c>
      <x:c r="I329" s="1004" t="e">
        <x:f>IF($F329&lt;&gt;"",IFERROR(_xlfn.XLOOKUP($F329,Taxa_från_edp!$B:$B,Taxa_från_edp!G:G),""),"")</x:f>
      </x:c>
      <x:c r="J329" s="1005" t="e">
        <x:f>IF($F329&lt;&gt;"",IFERROR(_xlfn.XLOOKUP($F329,Taxa_från_edp!$B:$B,Taxa_från_edp!K:K),""),"")</x:f>
      </x:c>
      <x:c r="K329" s="1016"/>
      <x:c r="L329" s="1022"/>
      <x:c r="M329" s="1029" t="str">
        <x:f>IFERROR(IF(J329&lt;&gt;"",J329*1.25,IF(K329&lt;&gt;"",K329*1.25,"")),"")</x:f>
      </x:c>
      <x:c r="N329" s="1030" t="str">
        <x:f>IFERROR(IF(J329&lt;&gt;"",L329*J329,IF(K329&lt;&gt;"",L329*K329,"")),"")</x:f>
      </x:c>
    </x:row>
    <x:row r="330" s="54" customFormat="1" ht="30" customHeight="1">
      <x:c r="A330" s="965" t="str">
        <x:v>§6.1.2</x:v>
      </x:c>
      <x:c r="B330" s="965" t="str">
        <x:v>Hanteringsavgifter för avfall inlämnat på återvinningscentral</x:v>
      </x:c>
      <x:c r="C330" s="965" t="str">
        <x:v>Halon Avfallskod 16 05 04*</x:v>
      </x:c>
      <x:c r="D330" s="965" t="str">
        <x:v>1009</x:v>
      </x:c>
      <x:c r="E330" s="965" t="str">
        <x:v>Kr/Kg</x:v>
      </x:c>
      <x:c r="F330" s="993"/>
      <x:c r="G330" s="1000" t="str">
        <x:f>IF($F330&lt;&gt;"",$F330,IFERROR(_xlfn.XLOOKUP(ROW(),Taxa_Saknas!$H:$H,Taxa_Saknas!$G:$G),""))</x:f>
      </x:c>
      <x:c r="H330" s="1012" t="e">
        <x:f>IF($F330&lt;&gt;"",IFERROR(_xlfn.XLOOKUP($F330,Taxa_från_edp!$B:$B,Taxa_från_edp!C:C),""),"")</x:f>
      </x:c>
      <x:c r="I330" s="1013" t="e">
        <x:f>IF($F330&lt;&gt;"",IFERROR(_xlfn.XLOOKUP($F330,Taxa_från_edp!$B:$B,Taxa_från_edp!G:G),""),"")</x:f>
      </x:c>
      <x:c r="J330" s="1013" t="e">
        <x:f>IF($F330&lt;&gt;"",IFERROR(_xlfn.XLOOKUP($F330,Taxa_från_edp!$B:$B,Taxa_från_edp!K:K),""),"")</x:f>
      </x:c>
      <x:c r="K330" s="1019"/>
      <x:c r="L330" s="1025"/>
      <x:c r="M330" s="1029" t="str">
        <x:f>IFERROR(IF(J330&lt;&gt;"",J330*1.25,IF(K330&lt;&gt;"",K330*1.25,"")),"")</x:f>
      </x:c>
      <x:c r="N330" s="1030" t="str">
        <x:f>IFERROR(IF(J330&lt;&gt;"",L330*J330,IF(K330&lt;&gt;"",L330*K330,"")),"")</x:f>
      </x:c>
    </x:row>
    <x:row r="331" s="54" customFormat="1" ht="30" customHeight="1">
      <x:c r="A331" s="965" t="str">
        <x:v>§6.1.2</x:v>
      </x:c>
      <x:c r="B331" s="965" t="str">
        <x:v>Hanteringsavgifter för avfall inlämnat på återvinningscentral</x:v>
      </x:c>
      <x:c r="C331" s="965" t="str">
        <x:v>Absorbermedel, filtermaterial Avfallskod 15 02 02*</x:v>
      </x:c>
      <x:c r="D331" s="965" t="str">
        <x:v>1993</x:v>
      </x:c>
      <x:c r="E331" s="965" t="str">
        <x:v>Kr/Kg</x:v>
      </x:c>
      <x:c r="F331" s="993"/>
      <x:c r="G331" s="1000" t="str">
        <x:f>IF($F331&lt;&gt;"",$F331,IFERROR(_xlfn.XLOOKUP(ROW(),Taxa_Saknas!$H:$H,Taxa_Saknas!$G:$G),""))</x:f>
      </x:c>
      <x:c r="H331" s="1012" t="e">
        <x:f>IF($F331&lt;&gt;"",IFERROR(_xlfn.XLOOKUP($F331,Taxa_från_edp!$B:$B,Taxa_från_edp!C:C),""),"")</x:f>
      </x:c>
      <x:c r="I331" s="1013" t="e">
        <x:f>IF($F331&lt;&gt;"",IFERROR(_xlfn.XLOOKUP($F331,Taxa_från_edp!$B:$B,Taxa_från_edp!G:G),""),"")</x:f>
      </x:c>
      <x:c r="J331" s="1013" t="e">
        <x:f>IF($F331&lt;&gt;"",IFERROR(_xlfn.XLOOKUP($F331,Taxa_från_edp!$B:$B,Taxa_från_edp!K:K),""),"")</x:f>
      </x:c>
      <x:c r="K331" s="1019"/>
      <x:c r="L331" s="1025"/>
      <x:c r="M331" s="1029" t="str">
        <x:f>IFERROR(IF(J331&lt;&gt;"",J331*1.25,IF(K331&lt;&gt;"",K331*1.25,"")),"")</x:f>
      </x:c>
      <x:c r="N331" s="1030" t="str">
        <x:f>IFERROR(IF(J331&lt;&gt;"",L331*J331,IF(K331&lt;&gt;"",L331*K331,"")),"")</x:f>
      </x:c>
    </x:row>
    <x:row r="332" s="54" customFormat="1" ht="30" customHeight="1">
      <x:c r="A332" s="965" t="str">
        <x:v>§6.1.2</x:v>
      </x:c>
      <x:c r="B332" s="965" t="str">
        <x:v>Hanteringsavgifter för avfall inlämnat på återvinningscentral</x:v>
      </x:c>
      <x:c r="C332" s="965" t="str">
        <x:v>Cytotoxiska/Cytostatika Avfallskod 20 01 31*</x:v>
      </x:c>
      <x:c r="D332" s="965" t="str">
        <x:v>3249</x:v>
      </x:c>
      <x:c r="E332" s="965" t="str">
        <x:v>Kr/Kg</x:v>
      </x:c>
      <x:c r="F332" s="993"/>
      <x:c r="G332" s="1000" t="str">
        <x:f>IF($F332&lt;&gt;"",$F332,IFERROR(_xlfn.XLOOKUP(ROW(),Taxa_Saknas!$H:$H,Taxa_Saknas!$G:$G),""))</x:f>
      </x:c>
      <x:c r="H332" s="1012" t="e">
        <x:f>IF($F332&lt;&gt;"",IFERROR(_xlfn.XLOOKUP($F332,Taxa_från_edp!$B:$B,Taxa_från_edp!C:C),""),"")</x:f>
      </x:c>
      <x:c r="I332" s="1013" t="e">
        <x:f>IF($F332&lt;&gt;"",IFERROR(_xlfn.XLOOKUP($F332,Taxa_från_edp!$B:$B,Taxa_från_edp!G:G),""),"")</x:f>
      </x:c>
      <x:c r="J332" s="1013" t="e">
        <x:f>IF($F332&lt;&gt;"",IFERROR(_xlfn.XLOOKUP($F332,Taxa_från_edp!$B:$B,Taxa_från_edp!K:K),""),"")</x:f>
      </x:c>
      <x:c r="K332" s="1019"/>
      <x:c r="L332" s="1025"/>
      <x:c r="M332" s="1029" t="str">
        <x:f>IFERROR(IF(J332&lt;&gt;"",J332*1.25,IF(K332&lt;&gt;"",K332*1.25,"")),"")</x:f>
      </x:c>
      <x:c r="N332" s="1030" t="str">
        <x:f>IFERROR(IF(J332&lt;&gt;"",L332*J332,IF(K332&lt;&gt;"",L332*K332,"")),"")</x:f>
      </x:c>
    </x:row>
    <x:row r="333" s="54" customFormat="1" ht="30" customHeight="1">
      <x:c r="A333" s="965" t="str">
        <x:v>§6.1.2</x:v>
      </x:c>
      <x:c r="B333" s="965" t="str">
        <x:v>Hanteringsavgifter för avfall inlämnat på återvinningscentral</x:v>
      </x:c>
      <x:c r="C333" s="965" t="str">
        <x:v>Isocyanater Avfallskod 20 01 27*</x:v>
      </x:c>
      <x:c r="D333" s="965" t="str">
        <x:v>3080</x:v>
      </x:c>
      <x:c r="E333" s="965" t="str">
        <x:v>Kr/Kg</x:v>
      </x:c>
      <x:c r="F333" s="993"/>
      <x:c r="G333" s="1000" t="str">
        <x:f>IF($F333&lt;&gt;"",$F333,IFERROR(_xlfn.XLOOKUP(ROW(),Taxa_Saknas!$H:$H,Taxa_Saknas!$G:$G),""))</x:f>
      </x:c>
      <x:c r="H333" s="1012" t="e">
        <x:f>IF($F333&lt;&gt;"",IFERROR(_xlfn.XLOOKUP($F333,Taxa_från_edp!$B:$B,Taxa_från_edp!C:C),""),"")</x:f>
      </x:c>
      <x:c r="I333" s="1013" t="e">
        <x:f>IF($F333&lt;&gt;"",IFERROR(_xlfn.XLOOKUP($F333,Taxa_från_edp!$B:$B,Taxa_från_edp!G:G),""),"")</x:f>
      </x:c>
      <x:c r="J333" s="1013" t="e">
        <x:f>IF($F333&lt;&gt;"",IFERROR(_xlfn.XLOOKUP($F333,Taxa_från_edp!$B:$B,Taxa_från_edp!K:K),""),"")</x:f>
      </x:c>
      <x:c r="K333" s="1019"/>
      <x:c r="L333" s="1025"/>
      <x:c r="M333" s="1029" t="str">
        <x:f>IFERROR(IF(J333&lt;&gt;"",J333*1.25,IF(K333&lt;&gt;"",K333*1.25,"")),"")</x:f>
      </x:c>
      <x:c r="N333" s="1030" t="str">
        <x:f>IFERROR(IF(J333&lt;&gt;"",L333*J333,IF(K333&lt;&gt;"",L333*K333,"")),"")</x:f>
      </x:c>
    </x:row>
    <x:row r="334" s="54" customFormat="1" ht="30" customHeight="1">
      <x:c r="A334" s="965" t="str">
        <x:v>§6.1.2</x:v>
      </x:c>
      <x:c r="B334" s="965" t="str">
        <x:v>Hanteringsavgifter för avfall inlämnat på återvinningscentral</x:v>
      </x:c>
      <x:c r="C334" s="965" t="str">
        <x:v>Tensider, flytande, alkaliskt FA Avfallskod 20 01 29*</x:v>
      </x:c>
      <x:c r="D334" s="965" t="str">
        <x:v>1304</x:v>
      </x:c>
      <x:c r="E334" s="965" t="str">
        <x:v>Kr/Kg</x:v>
      </x:c>
      <x:c r="F334" s="993"/>
      <x:c r="G334" s="1000" t="str">
        <x:f>IF($F334&lt;&gt;"",$F334,IFERROR(_xlfn.XLOOKUP(ROW(),Taxa_Saknas!$H:$H,Taxa_Saknas!$G:$G),""))</x:f>
      </x:c>
      <x:c r="H334" s="1012" t="e">
        <x:f>IF($F334&lt;&gt;"",IFERROR(_xlfn.XLOOKUP($F334,Taxa_från_edp!$B:$B,Taxa_från_edp!C:C),""),"")</x:f>
      </x:c>
      <x:c r="I334" s="1013" t="e">
        <x:f>IF($F334&lt;&gt;"",IFERROR(_xlfn.XLOOKUP($F334,Taxa_från_edp!$B:$B,Taxa_från_edp!G:G),""),"")</x:f>
      </x:c>
      <x:c r="J334" s="1013" t="e">
        <x:f>IF($F334&lt;&gt;"",IFERROR(_xlfn.XLOOKUP($F334,Taxa_från_edp!$B:$B,Taxa_från_edp!K:K),""),"")</x:f>
      </x:c>
      <x:c r="K334" s="1019"/>
      <x:c r="L334" s="1025"/>
      <x:c r="M334" s="1029" t="str">
        <x:f>IFERROR(IF(J334&lt;&gt;"",J334*1.25,IF(K334&lt;&gt;"",K334*1.25,"")),"")</x:f>
      </x:c>
      <x:c r="N334" s="1030" t="str">
        <x:f>IFERROR(IF(J334&lt;&gt;"",L334*J334,IF(K334&lt;&gt;"",L334*K334,"")),"")</x:f>
      </x:c>
    </x:row>
    <x:row r="335" s="54" customFormat="1" ht="30" customHeight="1">
      <x:c r="A335" s="965" t="str">
        <x:v>§6.1.2</x:v>
      </x:c>
      <x:c r="B335" s="965" t="str">
        <x:v>Hanteringsavgifter för avfall inlämnat på återvinningscentral</x:v>
      </x:c>
      <x:c r="C335" s="965" t="str">
        <x:v>Oxidationsmedel, flytande Avfallskod 16 09 04*</x:v>
      </x:c>
      <x:c r="D335" s="965" t="str">
        <x:v>1497</x:v>
      </x:c>
      <x:c r="E335" s="965" t="str">
        <x:v>Kr/Kg</x:v>
      </x:c>
      <x:c r="F335" s="993"/>
      <x:c r="G335" s="1000" t="str">
        <x:f>IF($F335&lt;&gt;"",$F335,IFERROR(_xlfn.XLOOKUP(ROW(),Taxa_Saknas!$H:$H,Taxa_Saknas!$G:$G),""))</x:f>
      </x:c>
      <x:c r="H335" s="1012" t="e">
        <x:f>IF($F335&lt;&gt;"",IFERROR(_xlfn.XLOOKUP($F335,Taxa_från_edp!$B:$B,Taxa_från_edp!C:C),""),"")</x:f>
      </x:c>
      <x:c r="I335" s="1013" t="e">
        <x:f>IF($F335&lt;&gt;"",IFERROR(_xlfn.XLOOKUP($F335,Taxa_från_edp!$B:$B,Taxa_från_edp!G:G),""),"")</x:f>
      </x:c>
      <x:c r="J335" s="1013" t="e">
        <x:f>IF($F335&lt;&gt;"",IFERROR(_xlfn.XLOOKUP($F335,Taxa_från_edp!$B:$B,Taxa_från_edp!K:K),""),"")</x:f>
      </x:c>
      <x:c r="K335" s="1019"/>
      <x:c r="L335" s="1025"/>
      <x:c r="M335" s="1029" t="str">
        <x:f>IFERROR(IF(J335&lt;&gt;"",J335*1.25,IF(K335&lt;&gt;"",K335*1.25,"")),"")</x:f>
      </x:c>
      <x:c r="N335" s="1030" t="str">
        <x:f>IFERROR(IF(J335&lt;&gt;"",L335*J335,IF(K335&lt;&gt;"",L335*K335,"")),"")</x:f>
      </x:c>
    </x:row>
    <x:row r="336" s="54" customFormat="1" ht="30" customHeight="1">
      <x:c r="A336" s="965" t="str">
        <x:v>§6.1.2</x:v>
      </x:c>
      <x:c r="B336" s="965" t="str">
        <x:v>Hanteringsavgifter för avfall inlämnat på återvinningscentral</x:v>
      </x:c>
      <x:c r="C336" s="965" t="str">
        <x:v>Explosiva komponenter Avfallskod 16 01 01*</x:v>
      </x:c>
      <x:c r="D336" s="965" t="str">
        <x:v>12</x:v>
      </x:c>
      <x:c r="E336" s="965" t="str">
        <x:v>Kr/Kg</x:v>
      </x:c>
      <x:c r="F336" s="993"/>
      <x:c r="G336" s="1000" t="str">
        <x:f>IF($F336&lt;&gt;"",$F336,IFERROR(_xlfn.XLOOKUP(ROW(),Taxa_Saknas!$H:$H,Taxa_Saknas!$G:$G),""))</x:f>
      </x:c>
      <x:c r="H336" s="1012" t="e">
        <x:f>IF($F336&lt;&gt;"",IFERROR(_xlfn.XLOOKUP($F336,Taxa_från_edp!$B:$B,Taxa_från_edp!C:C),""),"")</x:f>
      </x:c>
      <x:c r="I336" s="1013" t="e">
        <x:f>IF($F336&lt;&gt;"",IFERROR(_xlfn.XLOOKUP($F336,Taxa_från_edp!$B:$B,Taxa_från_edp!G:G),""),"")</x:f>
      </x:c>
      <x:c r="J336" s="1013" t="e">
        <x:f>IF($F336&lt;&gt;"",IFERROR(_xlfn.XLOOKUP($F336,Taxa_från_edp!$B:$B,Taxa_från_edp!K:K),""),"")</x:f>
      </x:c>
      <x:c r="K336" s="1019"/>
      <x:c r="L336" s="1025"/>
      <x:c r="M336" s="1029" t="str">
        <x:f>IFERROR(IF(J336&lt;&gt;"",J336*1.25,IF(K336&lt;&gt;"",K336*1.25,"")),"")</x:f>
      </x:c>
      <x:c r="N336" s="1030" t="str">
        <x:f>IFERROR(IF(J336&lt;&gt;"",L336*J336,IF(K336&lt;&gt;"",L336*K336,"")),"")</x:f>
      </x:c>
    </x:row>
    <x:row r="337" s="54" customFormat="1" ht="30" customHeight="1">
      <x:c r="A337" s="965" t="str">
        <x:v>§6.1.2</x:v>
      </x:c>
      <x:c r="B337" s="965" t="str">
        <x:v>Hanteringsavgifter för avfall inlämnat på återvinningscentral</x:v>
      </x:c>
      <x:c r="C337" s="965" t="str">
        <x:v>Kasserad ammunition och fyverkerier Avfallskod 16 04 02*</x:v>
      </x:c>
      <x:c r="D337" s="965" t="str">
        <x:v>333</x:v>
      </x:c>
      <x:c r="E337" s="965" t="str">
        <x:v>Kr/Kg</x:v>
      </x:c>
      <x:c r="F337" s="993"/>
      <x:c r="G337" s="1000" t="str">
        <x:f>IF($F337&lt;&gt;"",$F337,IFERROR(_xlfn.XLOOKUP(ROW(),Taxa_Saknas!$H:$H,Taxa_Saknas!$G:$G),""))</x:f>
      </x:c>
      <x:c r="H337" s="1012" t="e">
        <x:f>IF($F337&lt;&gt;"",IFERROR(_xlfn.XLOOKUP($F337,Taxa_från_edp!$B:$B,Taxa_från_edp!C:C),""),"")</x:f>
      </x:c>
      <x:c r="I337" s="1013" t="e">
        <x:f>IF($F337&lt;&gt;"",IFERROR(_xlfn.XLOOKUP($F337,Taxa_från_edp!$B:$B,Taxa_från_edp!G:G),""),"")</x:f>
      </x:c>
      <x:c r="J337" s="1013" t="e">
        <x:f>IF($F337&lt;&gt;"",IFERROR(_xlfn.XLOOKUP($F337,Taxa_från_edp!$B:$B,Taxa_från_edp!K:K),""),"")</x:f>
      </x:c>
      <x:c r="K337" s="1019"/>
      <x:c r="L337" s="1025"/>
      <x:c r="M337" s="1029" t="str">
        <x:f>IFERROR(IF(J337&lt;&gt;"",J337*1.25,IF(K337&lt;&gt;"",K337*1.25,"")),"")</x:f>
      </x:c>
      <x:c r="N337" s="1030" t="str">
        <x:f>IFERROR(IF(J337&lt;&gt;"",L337*J337,IF(K337&lt;&gt;"",L337*K337,"")),"")</x:f>
      </x:c>
    </x:row>
    <x:row r="338" s="54" customFormat="1" ht="30" customHeight="1">
      <x:c r="A338" s="965" t="str">
        <x:v>§6.1.2</x:v>
      </x:c>
      <x:c r="B338" s="965" t="str">
        <x:v>Hanteringsavgifter för avfall inlämnat på återvinningscentral</x:v>
      </x:c>
      <x:c r="C338" s="965" t="str">
        <x:v>Kasserad ammunition och fyverkerier Avfallskod 16 04 01*</x:v>
      </x:c>
      <x:c r="D338" s="965" t="str">
        <x:v>12</x:v>
      </x:c>
      <x:c r="E338" s="965" t="str">
        <x:v>Kr/Kg</x:v>
      </x:c>
      <x:c r="F338" s="993"/>
      <x:c r="G338" s="1000" t="str">
        <x:f>IF($F338&lt;&gt;"",$F338,IFERROR(_xlfn.XLOOKUP(ROW(),Taxa_Saknas!$H:$H,Taxa_Saknas!$G:$G),""))</x:f>
      </x:c>
      <x:c r="H338" s="1012" t="e">
        <x:f>IF($F338&lt;&gt;"",IFERROR(_xlfn.XLOOKUP($F338,Taxa_från_edp!$B:$B,Taxa_från_edp!C:C),""),"")</x:f>
      </x:c>
      <x:c r="I338" s="1013" t="e">
        <x:f>IF($F338&lt;&gt;"",IFERROR(_xlfn.XLOOKUP($F338,Taxa_från_edp!$B:$B,Taxa_från_edp!G:G),""),"")</x:f>
      </x:c>
      <x:c r="J338" s="1013" t="e">
        <x:f>IF($F338&lt;&gt;"",IFERROR(_xlfn.XLOOKUP($F338,Taxa_från_edp!$B:$B,Taxa_från_edp!K:K),""),"")</x:f>
      </x:c>
      <x:c r="K338" s="1019"/>
      <x:c r="L338" s="1025"/>
      <x:c r="M338" s="1029" t="str">
        <x:f>IFERROR(IF(J338&lt;&gt;"",J338*1.25,IF(K338&lt;&gt;"",K338*1.25,"")),"")</x:f>
      </x:c>
      <x:c r="N338" s="1030" t="str">
        <x:f>IFERROR(IF(J338&lt;&gt;"",L338*J338,IF(K338&lt;&gt;"",L338*K338,"")),"")</x:f>
      </x:c>
    </x:row>
    <x:row r="339" s="54" customFormat="1" ht="30" customHeight="1">
      <x:c r="A339" s="965" t="str">
        <x:v>§6.1.2</x:v>
      </x:c>
      <x:c r="B339" s="965" t="str">
        <x:v>Hanteringsavgifter för avfall inlämnat på återvinningscentral</x:v>
      </x:c>
      <x:c r="C339" s="965" t="str">
        <x:v>Gödsel Avfallskod 02 01 06</x:v>
      </x:c>
      <x:c r="D339" s="965" t="str">
        <x:v>1043</x:v>
      </x:c>
      <x:c r="E339" s="965" t="str">
        <x:v>Kr/Kg</x:v>
      </x:c>
      <x:c r="F339" s="993"/>
      <x:c r="G339" s="1000" t="str">
        <x:f>IF($F339&lt;&gt;"",$F339,IFERROR(_xlfn.XLOOKUP(ROW(),Taxa_Saknas!$H:$H,Taxa_Saknas!$G:$G),""))</x:f>
      </x:c>
      <x:c r="H339" s="1012" t="e">
        <x:f>IF($F339&lt;&gt;"",IFERROR(_xlfn.XLOOKUP($F339,Taxa_från_edp!$B:$B,Taxa_från_edp!C:C),""),"")</x:f>
      </x:c>
      <x:c r="I339" s="1013" t="e">
        <x:f>IF($F339&lt;&gt;"",IFERROR(_xlfn.XLOOKUP($F339,Taxa_från_edp!$B:$B,Taxa_från_edp!G:G),""),"")</x:f>
      </x:c>
      <x:c r="J339" s="1013" t="e">
        <x:f>IF($F339&lt;&gt;"",IFERROR(_xlfn.XLOOKUP($F339,Taxa_från_edp!$B:$B,Taxa_från_edp!K:K),""),"")</x:f>
      </x:c>
      <x:c r="K339" s="1019"/>
      <x:c r="L339" s="1025"/>
      <x:c r="M339" s="1029" t="str">
        <x:f>IFERROR(IF(J339&lt;&gt;"",J339*1.25,IF(K339&lt;&gt;"",K339*1.25,"")),"")</x:f>
      </x:c>
      <x:c r="N339" s="1030" t="str">
        <x:f>IFERROR(IF(J339&lt;&gt;"",L339*J339,IF(K339&lt;&gt;"",L339*K339,"")),"")</x:f>
      </x:c>
    </x:row>
    <x:row r="340" s="54" customFormat="1" ht="30" customHeight="1">
      <x:c r="A340" s="965" t="str">
        <x:v>§6.1.2</x:v>
      </x:c>
      <x:c r="B340" s="965" t="str">
        <x:v>Hanteringsavgifter för avfall inlämnat på återvinningscentral</x:v>
      </x:c>
      <x:c r="C340" s="965" t="str">
        <x:v>Oljeemulsion, emballerat Avfallskod 12 01 09*</x:v>
      </x:c>
      <x:c r="D340" s="965" t="str">
        <x:v>1202</x:v>
      </x:c>
      <x:c r="E340" s="965" t="str">
        <x:v>Kr/Kg</x:v>
      </x:c>
      <x:c r="F340" s="993"/>
      <x:c r="G340" s="1000" t="str">
        <x:f>IF($F340&lt;&gt;"",$F340,IFERROR(_xlfn.XLOOKUP(ROW(),Taxa_Saknas!$H:$H,Taxa_Saknas!$G:$G),""))</x:f>
      </x:c>
      <x:c r="H340" s="1012" t="e">
        <x:f>IF($F340&lt;&gt;"",IFERROR(_xlfn.XLOOKUP($F340,Taxa_från_edp!$B:$B,Taxa_från_edp!C:C),""),"")</x:f>
      </x:c>
      <x:c r="I340" s="1013" t="e">
        <x:f>IF($F340&lt;&gt;"",IFERROR(_xlfn.XLOOKUP($F340,Taxa_från_edp!$B:$B,Taxa_från_edp!G:G),""),"")</x:f>
      </x:c>
      <x:c r="J340" s="1013" t="e">
        <x:f>IF($F340&lt;&gt;"",IFERROR(_xlfn.XLOOKUP($F340,Taxa_från_edp!$B:$B,Taxa_från_edp!K:K),""),"")</x:f>
      </x:c>
      <x:c r="K340" s="1019"/>
      <x:c r="L340" s="1025"/>
      <x:c r="M340" s="1029" t="str">
        <x:f>IFERROR(IF(J340&lt;&gt;"",J340*1.25,IF(K340&lt;&gt;"",K340*1.25,"")),"")</x:f>
      </x:c>
      <x:c r="N340" s="1030" t="str">
        <x:f>IFERROR(IF(J340&lt;&gt;"",L340*J340,IF(K340&lt;&gt;"",L340*K340,"")),"")</x:f>
      </x:c>
    </x:row>
    <x:row r="341" s="54" customFormat="1" ht="30" customHeight="1">
      <x:c r="A341" s="965" t="str">
        <x:v>§6.1.2</x:v>
      </x:c>
      <x:c r="B341" s="965" t="str">
        <x:v>Hanteringsavgifter för avfall inlämnat på återvinningscentral</x:v>
      </x:c>
      <x:c r="C341" s="965" t="str">
        <x:v>Oljeavfall, fast osortrat emballage Avfallskod 15 02 02*</x:v>
      </x:c>
      <x:c r="D341" s="965" t="str">
        <x:v>1202</x:v>
      </x:c>
      <x:c r="E341" s="965" t="str">
        <x:v>Kr/Kg</x:v>
      </x:c>
      <x:c r="F341" s="993"/>
      <x:c r="G341" s="1000" t="str">
        <x:f>IF($F341&lt;&gt;"",$F341,IFERROR(_xlfn.XLOOKUP(ROW(),Taxa_Saknas!$H:$H,Taxa_Saknas!$G:$G),""))</x:f>
      </x:c>
      <x:c r="H341" s="1012" t="e">
        <x:f>IF($F341&lt;&gt;"",IFERROR(_xlfn.XLOOKUP($F341,Taxa_från_edp!$B:$B,Taxa_från_edp!C:C),""),"")</x:f>
      </x:c>
      <x:c r="I341" s="1013" t="e">
        <x:f>IF($F341&lt;&gt;"",IFERROR(_xlfn.XLOOKUP($F341,Taxa_från_edp!$B:$B,Taxa_från_edp!G:G),""),"")</x:f>
      </x:c>
      <x:c r="J341" s="1013" t="e">
        <x:f>IF($F341&lt;&gt;"",IFERROR(_xlfn.XLOOKUP($F341,Taxa_från_edp!$B:$B,Taxa_från_edp!K:K),""),"")</x:f>
      </x:c>
      <x:c r="K341" s="1019"/>
      <x:c r="L341" s="1025"/>
      <x:c r="M341" s="1029" t="str">
        <x:f>IFERROR(IF(J341&lt;&gt;"",J341*1.25,IF(K341&lt;&gt;"",K341*1.25,"")),"")</x:f>
      </x:c>
      <x:c r="N341" s="1030" t="str">
        <x:f>IFERROR(IF(J341&lt;&gt;"",L341*J341,IF(K341&lt;&gt;"",L341*K341,"")),"")</x:f>
      </x:c>
    </x:row>
    <x:row r="342" s="54" customFormat="1" ht="30" customHeight="1">
      <x:c r="A342" s="965" t="str">
        <x:v>§6.1.2</x:v>
      </x:c>
      <x:c r="B342" s="965" t="str">
        <x:v>Hanteringsavgifter för avfall inlämnat på återvinningscentral</x:v>
      </x:c>
      <x:c r="C342" s="965" t="str">
        <x:v>Oljevskiljarslam Avfallskod 13 05 08*</x:v>
      </x:c>
      <x:c r="D342" s="965" t="str">
        <x:v>3295</x:v>
      </x:c>
      <x:c r="E342" s="965" t="str">
        <x:v>Kr/Kg</x:v>
      </x:c>
      <x:c r="F342" s="993"/>
      <x:c r="G342" s="1000" t="str">
        <x:f>IF($F342&lt;&gt;"",$F342,IFERROR(_xlfn.XLOOKUP(ROW(),Taxa_Saknas!$H:$H,Taxa_Saknas!$G:$G),""))</x:f>
      </x:c>
      <x:c r="H342" s="1012" t="e">
        <x:f>IF($F342&lt;&gt;"",IFERROR(_xlfn.XLOOKUP($F342,Taxa_från_edp!$B:$B,Taxa_från_edp!C:C),""),"")</x:f>
      </x:c>
      <x:c r="I342" s="1013" t="e">
        <x:f>IF($F342&lt;&gt;"",IFERROR(_xlfn.XLOOKUP($F342,Taxa_från_edp!$B:$B,Taxa_från_edp!G:G),""),"")</x:f>
      </x:c>
      <x:c r="J342" s="1013" t="e">
        <x:f>IF($F342&lt;&gt;"",IFERROR(_xlfn.XLOOKUP($F342,Taxa_från_edp!$B:$B,Taxa_från_edp!K:K),""),"")</x:f>
      </x:c>
      <x:c r="K342" s="1019"/>
      <x:c r="L342" s="1025"/>
      <x:c r="M342" s="1029" t="str">
        <x:f>IFERROR(IF(J342&lt;&gt;"",J342*1.25,IF(K342&lt;&gt;"",K342*1.25,"")),"")</x:f>
      </x:c>
      <x:c r="N342" s="1030" t="str">
        <x:f>IFERROR(IF(J342&lt;&gt;"",L342*J342,IF(K342&lt;&gt;"",L342*K342,"")),"")</x:f>
      </x:c>
    </x:row>
    <x:row r="343" s="54" customFormat="1" ht="30" customHeight="1">
      <x:c r="A343" s="965" t="str">
        <x:v>§6.1.2</x:v>
      </x:c>
      <x:c r="B343" s="965" t="str">
        <x:v>Hanteringsavgifter för avfall inlämnat på återvinningscentral</x:v>
      </x:c>
      <x:c r="C343" s="965" t="str">
        <x:v>Asbest, emballerad Avfallskod 17 06 01*</x:v>
      </x:c>
      <x:c r="D343" s="965" t="str">
        <x:v>2212</x:v>
      </x:c>
      <x:c r="E343" s="965" t="str">
        <x:v>Kr/Kg</x:v>
      </x:c>
      <x:c r="F343" s="993"/>
      <x:c r="G343" s="1000" t="str">
        <x:f>IF($F343&lt;&gt;"",$F343,IFERROR(_xlfn.XLOOKUP(ROW(),Taxa_Saknas!$H:$H,Taxa_Saknas!$G:$G),""))</x:f>
      </x:c>
      <x:c r="H343" s="1012" t="e">
        <x:f>IF($F343&lt;&gt;"",IFERROR(_xlfn.XLOOKUP($F343,Taxa_från_edp!$B:$B,Taxa_från_edp!C:C),""),"")</x:f>
      </x:c>
      <x:c r="I343" s="1013" t="e">
        <x:f>IF($F343&lt;&gt;"",IFERROR(_xlfn.XLOOKUP($F343,Taxa_från_edp!$B:$B,Taxa_från_edp!G:G),""),"")</x:f>
      </x:c>
      <x:c r="J343" s="1013" t="e">
        <x:f>IF($F343&lt;&gt;"",IFERROR(_xlfn.XLOOKUP($F343,Taxa_från_edp!$B:$B,Taxa_från_edp!K:K),""),"")</x:f>
      </x:c>
      <x:c r="K343" s="1019"/>
      <x:c r="L343" s="1025"/>
      <x:c r="M343" s="1029" t="str">
        <x:f>IFERROR(IF(J343&lt;&gt;"",J343*1.25,IF(K343&lt;&gt;"",K343*1.25,"")),"")</x:f>
      </x:c>
      <x:c r="N343" s="1030" t="str">
        <x:f>IFERROR(IF(J343&lt;&gt;"",L343*J343,IF(K343&lt;&gt;"",L343*K343,"")),"")</x:f>
      </x:c>
    </x:row>
    <x:row r="344" s="54" customFormat="1" ht="30" customHeight="1">
      <x:c r="A344" s="965" t="str">
        <x:v>§6.1.2</x:v>
      </x:c>
      <x:c r="B344" s="965" t="str">
        <x:v>Hanteringsavgifter för avfall inlämnat på återvinningscentral</x:v>
      </x:c>
      <x:c r="C344" s="965" t="str">
        <x:v>Hydraulslang, med och utan koppling Avfallskod 13 08 99*</x:v>
      </x:c>
      <x:c r="D344" s="965" t="str">
        <x:v>3106</x:v>
      </x:c>
      <x:c r="E344" s="965" t="str">
        <x:v>Kr/Kg</x:v>
      </x:c>
      <x:c r="F344" s="993"/>
      <x:c r="G344" s="1000" t="str">
        <x:f>IF($F344&lt;&gt;"",$F344,IFERROR(_xlfn.XLOOKUP(ROW(),Taxa_Saknas!$H:$H,Taxa_Saknas!$G:$G),""))</x:f>
      </x:c>
      <x:c r="H344" s="1012" t="e">
        <x:f>IF($F344&lt;&gt;"",IFERROR(_xlfn.XLOOKUP($F344,Taxa_från_edp!$B:$B,Taxa_från_edp!C:C),""),"")</x:f>
      </x:c>
      <x:c r="I344" s="1013" t="e">
        <x:f>IF($F344&lt;&gt;"",IFERROR(_xlfn.XLOOKUP($F344,Taxa_från_edp!$B:$B,Taxa_från_edp!G:G),""),"")</x:f>
      </x:c>
      <x:c r="J344" s="1013" t="e">
        <x:f>IF($F344&lt;&gt;"",IFERROR(_xlfn.XLOOKUP($F344,Taxa_från_edp!$B:$B,Taxa_från_edp!K:K),""),"")</x:f>
      </x:c>
      <x:c r="K344" s="1019"/>
      <x:c r="L344" s="1025"/>
      <x:c r="M344" s="1029" t="str">
        <x:f>IFERROR(IF(J344&lt;&gt;"",J344*1.25,IF(K344&lt;&gt;"",K344*1.25,"")),"")</x:f>
      </x:c>
      <x:c r="N344" s="1030" t="str">
        <x:f>IFERROR(IF(J344&lt;&gt;"",L344*J344,IF(K344&lt;&gt;"",L344*K344,"")),"")</x:f>
      </x:c>
    </x:row>
    <x:row r="345" s="54" customFormat="1" ht="30" customHeight="1">
      <x:c r="A345" s="965" t="str">
        <x:v>§6.1.2</x:v>
      </x:c>
      <x:c r="B345" s="965" t="str">
        <x:v>Hanteringsavgifter för avfall inlämnat på återvinningscentral</x:v>
      </x:c>
      <x:c r="C345" s="965" t="str">
        <x:v>Bromsvätska Avfallskod 16 01 13*</x:v>
      </x:c>
      <x:c r="D345" s="965"/>
      <x:c r="E345" s="965" t="str">
        <x:v>Kr/Kg</x:v>
      </x:c>
      <x:c r="F345" s="993"/>
      <x:c r="G345" s="1000" t="str">
        <x:f>IF($F345&lt;&gt;"",$F345,IFERROR(_xlfn.XLOOKUP(ROW(),Taxa_Saknas!$H:$H,Taxa_Saknas!$G:$G),""))</x:f>
      </x:c>
      <x:c r="H345" s="1012" t="e">
        <x:f>IF($F345&lt;&gt;"",IFERROR(_xlfn.XLOOKUP($F345,Taxa_från_edp!$B:$B,Taxa_från_edp!C:C),""),"")</x:f>
      </x:c>
      <x:c r="I345" s="1013" t="e">
        <x:f>IF($F345&lt;&gt;"",IFERROR(_xlfn.XLOOKUP($F345,Taxa_från_edp!$B:$B,Taxa_från_edp!G:G),""),"")</x:f>
      </x:c>
      <x:c r="J345" s="1013" t="e">
        <x:f>IF($F345&lt;&gt;"",IFERROR(_xlfn.XLOOKUP($F345,Taxa_från_edp!$B:$B,Taxa_från_edp!K:K),""),"")</x:f>
      </x:c>
      <x:c r="K345" s="1019"/>
      <x:c r="L345" s="1025"/>
      <x:c r="M345" s="1029" t="str">
        <x:f>IFERROR(IF(J345&lt;&gt;"",J345*1.25,IF(K345&lt;&gt;"",K345*1.25,"")),"")</x:f>
      </x:c>
      <x:c r="N345" s="1030" t="str">
        <x:f>IFERROR(IF(J345&lt;&gt;"",L345*J345,IF(K345&lt;&gt;"",L345*K345,"")),"")</x:f>
      </x:c>
    </x:row>
    <x:row r="346" s="54" customFormat="1" ht="30" customHeight="1">
      <x:c r="A346" s="965" t="str">
        <x:v>§6.1.2</x:v>
      </x:c>
      <x:c r="B346" s="965" t="str">
        <x:v>Hanteringsavgifter för avfall inlämnat på återvinningscentral</x:v>
      </x:c>
      <x:c r="C346" s="965" t="str">
        <x:v>Transformatorer och kondensatorer som innehåller PCB Avfallskod 16 02 09*</x:v>
      </x:c>
      <x:c r="D346" s="965" t="str">
        <x:v>3295</x:v>
      </x:c>
      <x:c r="E346" s="965" t="str">
        <x:v>Kr/Kg</x:v>
      </x:c>
      <x:c r="F346" s="993"/>
      <x:c r="G346" s="1000" t="str">
        <x:f>IF($F346&lt;&gt;"",$F346,IFERROR(_xlfn.XLOOKUP(ROW(),Taxa_Saknas!$H:$H,Taxa_Saknas!$G:$G),""))</x:f>
      </x:c>
      <x:c r="H346" s="1012" t="e">
        <x:f>IF($F346&lt;&gt;"",IFERROR(_xlfn.XLOOKUP($F346,Taxa_från_edp!$B:$B,Taxa_från_edp!C:C),""),"")</x:f>
      </x:c>
      <x:c r="I346" s="1013" t="e">
        <x:f>IF($F346&lt;&gt;"",IFERROR(_xlfn.XLOOKUP($F346,Taxa_från_edp!$B:$B,Taxa_från_edp!G:G),""),"")</x:f>
      </x:c>
      <x:c r="J346" s="1013" t="e">
        <x:f>IF($F346&lt;&gt;"",IFERROR(_xlfn.XLOOKUP($F346,Taxa_från_edp!$B:$B,Taxa_från_edp!K:K),""),"")</x:f>
      </x:c>
      <x:c r="K346" s="1019"/>
      <x:c r="L346" s="1025"/>
      <x:c r="M346" s="1029" t="str">
        <x:f>IFERROR(IF(J346&lt;&gt;"",J346*1.25,IF(K346&lt;&gt;"",K346*1.25,"")),"")</x:f>
      </x:c>
      <x:c r="N346" s="1030" t="str">
        <x:f>IFERROR(IF(J346&lt;&gt;"",L346*J346,IF(K346&lt;&gt;"",L346*K346,"")),"")</x:f>
      </x:c>
    </x:row>
    <x:row r="347" s="54" customFormat="1" ht="30" customHeight="1">
      <x:c r="A347" s="965" t="str">
        <x:v>§6.1.2</x:v>
      </x:c>
      <x:c r="B347" s="965" t="str">
        <x:v>Hanteringsavgifter för avfall inlämnat på återvinningscentral</x:v>
      </x:c>
      <x:c r="C347" s="965" t="str">
        <x:v>Rökdetektorer, Innehållande Am 241 Avfallskod 20 01 35*</x:v>
      </x:c>
      <x:c r="D347" s="965" t="str">
        <x:v>2911</x:v>
      </x:c>
      <x:c r="E347" s="965" t="str">
        <x:v>Kr/Kg</x:v>
      </x:c>
      <x:c r="F347" s="993"/>
      <x:c r="G347" s="1000" t="str">
        <x:f>IF($F347&lt;&gt;"",$F347,IFERROR(_xlfn.XLOOKUP(ROW(),Taxa_Saknas!$H:$H,Taxa_Saknas!$G:$G),""))</x:f>
      </x:c>
      <x:c r="H347" s="1012" t="e">
        <x:f>IF($F347&lt;&gt;"",IFERROR(_xlfn.XLOOKUP($F347,Taxa_från_edp!$B:$B,Taxa_från_edp!C:C),""),"")</x:f>
      </x:c>
      <x:c r="I347" s="1013" t="e">
        <x:f>IF($F347&lt;&gt;"",IFERROR(_xlfn.XLOOKUP($F347,Taxa_från_edp!$B:$B,Taxa_från_edp!G:G),""),"")</x:f>
      </x:c>
      <x:c r="J347" s="1013" t="e">
        <x:f>IF($F347&lt;&gt;"",IFERROR(_xlfn.XLOOKUP($F347,Taxa_från_edp!$B:$B,Taxa_från_edp!K:K),""),"")</x:f>
      </x:c>
      <x:c r="K347" s="1019"/>
      <x:c r="L347" s="1025"/>
      <x:c r="M347" s="1029" t="str">
        <x:f>IFERROR(IF(J347&lt;&gt;"",J347*1.25,IF(K347&lt;&gt;"",K347*1.25,"")),"")</x:f>
      </x:c>
      <x:c r="N347" s="1030" t="str">
        <x:f>IFERROR(IF(J347&lt;&gt;"",L347*J347,IF(K347&lt;&gt;"",L347*K347,"")),"")</x:f>
      </x:c>
    </x:row>
    <x:row r="348" s="54" customFormat="1" ht="30" customHeight="1">
      <x:c r="A348" s="965" t="str">
        <x:v>§6.1.2</x:v>
      </x:c>
      <x:c r="B348" s="965" t="str">
        <x:v>Hanteringsavgifter för avfall inlämnat på återvinningscentral</x:v>
      </x:c>
      <x:c r="C348" s="965" t="str">
        <x:v>Rökdetektorer, innehållande andra isotoper än Am 241 Avfallskod 20 01 35*</x:v>
      </x:c>
      <x:c r="D348" s="965" t="str">
        <x:v>2911</x:v>
      </x:c>
      <x:c r="E348" s="965" t="str">
        <x:v>Kr/Kg</x:v>
      </x:c>
      <x:c r="F348" s="993"/>
      <x:c r="G348" s="1000" t="str">
        <x:f>IF($F348&lt;&gt;"",$F348,IFERROR(_xlfn.XLOOKUP(ROW(),Taxa_Saknas!$H:$H,Taxa_Saknas!$G:$G),""))</x:f>
      </x:c>
      <x:c r="H348" s="1012" t="e">
        <x:f>IF($F348&lt;&gt;"",IFERROR(_xlfn.XLOOKUP($F348,Taxa_från_edp!$B:$B,Taxa_från_edp!C:C),""),"")</x:f>
      </x:c>
      <x:c r="I348" s="1013" t="e">
        <x:f>IF($F348&lt;&gt;"",IFERROR(_xlfn.XLOOKUP($F348,Taxa_från_edp!$B:$B,Taxa_från_edp!G:G),""),"")</x:f>
      </x:c>
      <x:c r="J348" s="1013" t="e">
        <x:f>IF($F348&lt;&gt;"",IFERROR(_xlfn.XLOOKUP($F348,Taxa_från_edp!$B:$B,Taxa_från_edp!K:K),""),"")</x:f>
      </x:c>
      <x:c r="K348" s="1019"/>
      <x:c r="L348" s="1025"/>
      <x:c r="M348" s="1029" t="str">
        <x:f>IFERROR(IF(J348&lt;&gt;"",J348*1.25,IF(K348&lt;&gt;"",K348*1.25,"")),"")</x:f>
      </x:c>
      <x:c r="N348" s="1030" t="str">
        <x:f>IFERROR(IF(J348&lt;&gt;"",L348*J348,IF(K348&lt;&gt;"",L348*K348,"")),"")</x:f>
      </x:c>
    </x:row>
    <x:row r="349" s="54" customFormat="1" ht="30" customHeight="1">
      <x:c r="A349" s="965" t="str">
        <x:v>§6.1.2</x:v>
      </x:c>
      <x:c r="B349" s="965" t="str">
        <x:v>Hanteringsavgifter för avfall inlämnat på återvinningscentral</x:v>
      </x:c>
      <x:c r="C349" s="965" t="str">
        <x:v>Gasol, blå programmet Avfallskod 16 05 04*</x:v>
      </x:c>
      <x:c r="D349" s="965"/>
      <x:c r="E349" s="965" t="str">
        <x:v>Kr/Kg</x:v>
      </x:c>
      <x:c r="F349" s="993"/>
      <x:c r="G349" s="1000" t="str">
        <x:f>IF($F349&lt;&gt;"",$F349,IFERROR(_xlfn.XLOOKUP(ROW(),Taxa_Saknas!$H:$H,Taxa_Saknas!$G:$G),""))</x:f>
      </x:c>
      <x:c r="H349" s="1012" t="e">
        <x:f>IF($F349&lt;&gt;"",IFERROR(_xlfn.XLOOKUP($F349,Taxa_från_edp!$B:$B,Taxa_från_edp!C:C),""),"")</x:f>
      </x:c>
      <x:c r="I349" s="1013" t="e">
        <x:f>IF($F349&lt;&gt;"",IFERROR(_xlfn.XLOOKUP($F349,Taxa_från_edp!$B:$B,Taxa_från_edp!G:G),""),"")</x:f>
      </x:c>
      <x:c r="J349" s="1013" t="e">
        <x:f>IF($F349&lt;&gt;"",IFERROR(_xlfn.XLOOKUP($F349,Taxa_från_edp!$B:$B,Taxa_från_edp!K:K),""),"")</x:f>
      </x:c>
      <x:c r="K349" s="1019"/>
      <x:c r="L349" s="1025"/>
      <x:c r="M349" s="1029" t="str">
        <x:f>IFERROR(IF(J349&lt;&gt;"",J349*1.25,IF(K349&lt;&gt;"",K349*1.25,"")),"")</x:f>
      </x:c>
      <x:c r="N349" s="1030" t="str">
        <x:f>IFERROR(IF(J349&lt;&gt;"",L349*J349,IF(K349&lt;&gt;"",L349*K349,"")),"")</x:f>
      </x:c>
    </x:row>
    <x:row r="350" s="54" customFormat="1" ht="30" customHeight="1">
      <x:c r="A350" s="965" t="str">
        <x:v>§6.1.2</x:v>
      </x:c>
      <x:c r="B350" s="965" t="str">
        <x:v>Hanteringsavgifter för avfall inlämnat på återvinningscentral</x:v>
      </x:c>
      <x:c r="C350" s="965" t="str">
        <x:v>Halongaser Avfallskod 16 05 04*</x:v>
      </x:c>
      <x:c r="D350" s="965"/>
      <x:c r="E350" s="965" t="str">
        <x:v>Kr/Kg</x:v>
      </x:c>
      <x:c r="F350" s="993"/>
      <x:c r="G350" s="1000" t="str">
        <x:f>IF($F350&lt;&gt;"",$F350,IFERROR(_xlfn.XLOOKUP(ROW(),Taxa_Saknas!$H:$H,Taxa_Saknas!$G:$G),""))</x:f>
      </x:c>
      <x:c r="H350" s="1012" t="e">
        <x:f>IF($F350&lt;&gt;"",IFERROR(_xlfn.XLOOKUP($F350,Taxa_från_edp!$B:$B,Taxa_från_edp!C:C),""),"")</x:f>
      </x:c>
      <x:c r="I350" s="1013" t="e">
        <x:f>IF($F350&lt;&gt;"",IFERROR(_xlfn.XLOOKUP($F350,Taxa_från_edp!$B:$B,Taxa_från_edp!G:G),""),"")</x:f>
      </x:c>
      <x:c r="J350" s="1013" t="e">
        <x:f>IF($F350&lt;&gt;"",IFERROR(_xlfn.XLOOKUP($F350,Taxa_från_edp!$B:$B,Taxa_från_edp!K:K),""),"")</x:f>
      </x:c>
      <x:c r="K350" s="1019"/>
      <x:c r="L350" s="1025"/>
      <x:c r="M350" s="1029" t="str">
        <x:f>IFERROR(IF(J350&lt;&gt;"",J350*1.25,IF(K350&lt;&gt;"",K350*1.25,"")),"")</x:f>
      </x:c>
      <x:c r="N350" s="1030" t="str">
        <x:f>IFERROR(IF(J350&lt;&gt;"",L350*J350,IF(K350&lt;&gt;"",L350*K350,"")),"")</x:f>
      </x:c>
    </x:row>
    <x:row r="351" s="54" customFormat="1" ht="30" customHeight="1">
      <x:c r="A351" s="965" t="str">
        <x:v>§6.1.2</x:v>
      </x:c>
      <x:c r="B351" s="965" t="str">
        <x:v>Hanteringsavgifter för avfall inlämnat på återvinningscentral</x:v>
      </x:c>
      <x:c r="C351" s="965" t="str">
        <x:v>Tryckinpregnerat virke Avfallskod 17 02 04*</x:v>
      </x:c>
      <x:c r="D351" s="965"/>
      <x:c r="E351" s="965" t="str">
        <x:v>Kr/Kg</x:v>
      </x:c>
      <x:c r="F351" s="993"/>
      <x:c r="G351" s="1000" t="str">
        <x:f>IF($F351&lt;&gt;"",$F351,IFERROR(_xlfn.XLOOKUP(ROW(),Taxa_Saknas!$H:$H,Taxa_Saknas!$G:$G),""))</x:f>
      </x:c>
      <x:c r="H351" s="1012" t="e">
        <x:f>IF($F351&lt;&gt;"",IFERROR(_xlfn.XLOOKUP($F351,Taxa_från_edp!$B:$B,Taxa_från_edp!C:C),""),"")</x:f>
      </x:c>
      <x:c r="I351" s="1013" t="e">
        <x:f>IF($F351&lt;&gt;"",IFERROR(_xlfn.XLOOKUP($F351,Taxa_från_edp!$B:$B,Taxa_från_edp!G:G),""),"")</x:f>
      </x:c>
      <x:c r="J351" s="1013" t="e">
        <x:f>IF($F351&lt;&gt;"",IFERROR(_xlfn.XLOOKUP($F351,Taxa_från_edp!$B:$B,Taxa_från_edp!K:K),""),"")</x:f>
      </x:c>
      <x:c r="K351" s="1019"/>
      <x:c r="L351" s="1025"/>
      <x:c r="M351" s="1029" t="str">
        <x:f>IFERROR(IF(J351&lt;&gt;"",J351*1.25,IF(K351&lt;&gt;"",K351*1.25,"")),"")</x:f>
      </x:c>
      <x:c r="N351" s="1030" t="str">
        <x:f>IFERROR(IF(J351&lt;&gt;"",L351*J351,IF(K351&lt;&gt;"",L351*K351,"")),"")</x:f>
      </x:c>
    </x:row>
    <x:row r="352" s="54" customFormat="1" ht="30" customHeight="1">
      <x:c r="A352" s="965" t="str">
        <x:v>§6.1.2</x:v>
      </x:c>
      <x:c r="B352" s="965" t="str">
        <x:v>Hanteringsavgifter för avfall inlämnat på återvinningscentral</x:v>
      </x:c>
      <x:c r="C352" s="965" t="str">
        <x:v>Saknade uppgifter om avfallsslag, startavgift första fraktionen (Kemist)</x:v>
      </x:c>
      <x:c r="D352" s="965"/>
      <x:c r="E352" s="965" t="str">
        <x:v>st</x:v>
      </x:c>
      <x:c r="F352" s="993"/>
      <x:c r="G352" s="1000" t="str">
        <x:f>IF($F352&lt;&gt;"",$F352,IFERROR(_xlfn.XLOOKUP(ROW(),Taxa_Saknas!$H:$H,Taxa_Saknas!$G:$G),""))</x:f>
      </x:c>
      <x:c r="H352" s="1012" t="e">
        <x:f>IF($F352&lt;&gt;"",IFERROR(_xlfn.XLOOKUP($F352,Taxa_från_edp!$B:$B,Taxa_från_edp!C:C),""),"")</x:f>
      </x:c>
      <x:c r="I352" s="1013" t="e">
        <x:f>IF($F352&lt;&gt;"",IFERROR(_xlfn.XLOOKUP($F352,Taxa_från_edp!$B:$B,Taxa_från_edp!G:G),""),"")</x:f>
      </x:c>
      <x:c r="J352" s="1013" t="e">
        <x:f>IF($F352&lt;&gt;"",IFERROR(_xlfn.XLOOKUP($F352,Taxa_från_edp!$B:$B,Taxa_från_edp!K:K),""),"")</x:f>
      </x:c>
      <x:c r="K352" s="1019"/>
      <x:c r="L352" s="1025"/>
      <x:c r="M352" s="1029" t="str">
        <x:f>IFERROR(IF(J352&lt;&gt;"",J352*1.25,IF(K352&lt;&gt;"",K352*1.25,"")),"")</x:f>
      </x:c>
      <x:c r="N352" s="1030" t="str">
        <x:f>IFERROR(IF(J352&lt;&gt;"",L352*J352,IF(K352&lt;&gt;"",L352*K352,"")),"")</x:f>
      </x:c>
    </x:row>
    <x:row r="353" s="54" customFormat="1" ht="30" customHeight="1">
      <x:c r="A353" s="965" t="str">
        <x:v>§6.1.2</x:v>
      </x:c>
      <x:c r="B353" s="965" t="str">
        <x:v>Hanteringsavgifter för avfall inlämnat på återvinningscentral</x:v>
      </x:c>
      <x:c r="C353" s="965" t="str">
        <x:v>Efterföljande fraktioner</x:v>
      </x:c>
      <x:c r="D353" s="965"/>
      <x:c r="E353" s="965" t="str">
        <x:v>st</x:v>
      </x:c>
      <x:c r="F353" s="993"/>
      <x:c r="G353" s="1000" t="str">
        <x:f>IF($F353&lt;&gt;"",$F353,IFERROR(_xlfn.XLOOKUP(ROW(),Taxa_Saknas!$H:$H,Taxa_Saknas!$G:$G),""))</x:f>
      </x:c>
      <x:c r="H353" s="1012" t="e">
        <x:f>IF($F353&lt;&gt;"",IFERROR(_xlfn.XLOOKUP($F353,Taxa_från_edp!$B:$B,Taxa_från_edp!C:C),""),"")</x:f>
      </x:c>
      <x:c r="I353" s="1013" t="e">
        <x:f>IF($F353&lt;&gt;"",IFERROR(_xlfn.XLOOKUP($F353,Taxa_från_edp!$B:$B,Taxa_från_edp!G:G),""),"")</x:f>
      </x:c>
      <x:c r="J353" s="1013" t="e">
        <x:f>IF($F353&lt;&gt;"",IFERROR(_xlfn.XLOOKUP($F353,Taxa_från_edp!$B:$B,Taxa_från_edp!K:K),""),"")</x:f>
      </x:c>
      <x:c r="K353" s="1019"/>
      <x:c r="L353" s="1025"/>
      <x:c r="M353" s="1029" t="str">
        <x:f>IFERROR(IF(J353&lt;&gt;"",J353*1.25,IF(K353&lt;&gt;"",K353*1.25,"")),"")</x:f>
      </x:c>
      <x:c r="N353" s="1030" t="str">
        <x:f>IFERROR(IF(J353&lt;&gt;"",L353*J353,IF(K353&lt;&gt;"",L353*K353,"")),"")</x:f>
      </x:c>
    </x:row>
    <x:row r="354" s="54" customFormat="1" ht="30" customHeight="1">
      <x:c r="A354" s="965" t="str">
        <x:v>§6.1.2</x:v>
      </x:c>
      <x:c r="B354" s="965" t="str">
        <x:v>Hanteringsavgifter för avfall inlämnat på återvinningscentral</x:v>
      </x:c>
      <x:c r="C354" s="965" t="str">
        <x:v>Administrativ rapporteringsavgift</x:v>
      </x:c>
      <x:c r="D354" s="965"/>
      <x:c r="E354" s="965" t="str">
        <x:v>st</x:v>
      </x:c>
      <x:c r="F354" s="993"/>
      <x:c r="G354" s="1000" t="str">
        <x:f>IF($F354&lt;&gt;"",$F354,IFERROR(_xlfn.XLOOKUP(ROW(),Taxa_Saknas!$H:$H,Taxa_Saknas!$G:$G),""))</x:f>
      </x:c>
      <x:c r="H354" s="1012" t="e">
        <x:f>IF($F354&lt;&gt;"",IFERROR(_xlfn.XLOOKUP($F354,Taxa_från_edp!$B:$B,Taxa_från_edp!C:C),""),"")</x:f>
      </x:c>
      <x:c r="I354" s="1013" t="e">
        <x:f>IF($F354&lt;&gt;"",IFERROR(_xlfn.XLOOKUP($F354,Taxa_från_edp!$B:$B,Taxa_från_edp!G:G),""),"")</x:f>
      </x:c>
      <x:c r="J354" s="1013" t="e">
        <x:f>IF($F354&lt;&gt;"",IFERROR(_xlfn.XLOOKUP($F354,Taxa_från_edp!$B:$B,Taxa_från_edp!K:K),""),"")</x:f>
      </x:c>
      <x:c r="K354" s="1019"/>
      <x:c r="L354" s="1025"/>
      <x:c r="M354" s="1029" t="str">
        <x:f>IFERROR(IF(J354&lt;&gt;"",J354*1.25,IF(K354&lt;&gt;"",K354*1.25,"")),"")</x:f>
      </x:c>
      <x:c r="N354" s="1030" t="str">
        <x:f>IFERROR(IF(J354&lt;&gt;"",L354*J354,IF(K354&lt;&gt;"",L354*K354,"")),"")</x:f>
      </x:c>
    </x:row>
    <x:row r="355" s="54" customFormat="1" ht="30" customHeight="1">
      <x:c r="A355" s="965" t="str">
        <x:v>§6.1.2</x:v>
      </x:c>
      <x:c r="B355" s="965" t="str">
        <x:v>Hanteringsavgifter för avfall inlämnat på återvinningscentral</x:v>
      </x:c>
      <x:c r="C355" s="965" t="str">
        <x:v>Metallskrot rent</x:v>
      </x:c>
      <x:c r="D355" s="965"/>
      <x:c r="E355" s="965" t="str">
        <x:v>kr</x:v>
      </x:c>
      <x:c r="F355" s="993"/>
      <x:c r="G355" s="1000" t="str">
        <x:f>IF($F355&lt;&gt;"",$F355,IFERROR(_xlfn.XLOOKUP(ROW(),Taxa_Saknas!$H:$H,Taxa_Saknas!$G:$G),""))</x:f>
      </x:c>
      <x:c r="H355" s="1012" t="e">
        <x:f>IF($F355&lt;&gt;"",IFERROR(_xlfn.XLOOKUP($F355,Taxa_från_edp!$B:$B,Taxa_från_edp!C:C),""),"")</x:f>
      </x:c>
      <x:c r="I355" s="1013" t="e">
        <x:f>IF($F355&lt;&gt;"",IFERROR(_xlfn.XLOOKUP($F355,Taxa_från_edp!$B:$B,Taxa_från_edp!G:G),""),"")</x:f>
      </x:c>
      <x:c r="J355" s="1013" t="e">
        <x:f>IF($F355&lt;&gt;"",IFERROR(_xlfn.XLOOKUP($F355,Taxa_från_edp!$B:$B,Taxa_från_edp!K:K),""),"")</x:f>
      </x:c>
      <x:c r="K355" s="1019"/>
      <x:c r="L355" s="1025"/>
      <x:c r="M355" s="1029" t="str">
        <x:f>IFERROR(IF(J355&lt;&gt;"",J355*1.25,IF(K355&lt;&gt;"",K355*1.25,"")),"")</x:f>
      </x:c>
      <x:c r="N355" s="1030" t="str">
        <x:f>IFERROR(IF(J355&lt;&gt;"",L355*J355,IF(K355&lt;&gt;"",L355*K355,"")),"")</x:f>
      </x:c>
    </x:row>
    <x:row r="356" s="54" customFormat="1" ht="30" customHeight="1">
      <x:c r="A356" s="965" t="str">
        <x:v>§6.1.2</x:v>
      </x:c>
      <x:c r="B356" s="965" t="str">
        <x:v>Hanteringsavgifter för avfall inlämnat på återvinningscentral</x:v>
      </x:c>
      <x:c r="C356" s="965" t="str">
        <x:v>Trädgårdsavfall</x:v>
      </x:c>
      <x:c r="D356" s="965"/>
      <x:c r="E356" s="965" t="str">
        <x:v>kr</x:v>
      </x:c>
      <x:c r="F356" s="993"/>
      <x:c r="G356" s="1000" t="str">
        <x:f>IF($F356&lt;&gt;"",$F356,IFERROR(_xlfn.XLOOKUP(ROW(),Taxa_Saknas!$H:$H,Taxa_Saknas!$G:$G),""))</x:f>
      </x:c>
      <x:c r="H356" s="1012" t="e">
        <x:f>IF($F356&lt;&gt;"",IFERROR(_xlfn.XLOOKUP($F356,Taxa_från_edp!$B:$B,Taxa_från_edp!C:C),""),"")</x:f>
      </x:c>
      <x:c r="I356" s="1013" t="e">
        <x:f>IF($F356&lt;&gt;"",IFERROR(_xlfn.XLOOKUP($F356,Taxa_från_edp!$B:$B,Taxa_från_edp!G:G),""),"")</x:f>
      </x:c>
      <x:c r="J356" s="1013" t="e">
        <x:f>IF($F356&lt;&gt;"",IFERROR(_xlfn.XLOOKUP($F356,Taxa_från_edp!$B:$B,Taxa_från_edp!K:K),""),"")</x:f>
      </x:c>
      <x:c r="K356" s="1019"/>
      <x:c r="L356" s="1025"/>
      <x:c r="M356" s="1029" t="str">
        <x:f>IFERROR(IF(J356&lt;&gt;"",J356*1.25,IF(K356&lt;&gt;"",K356*1.25,"")),"")</x:f>
      </x:c>
      <x:c r="N356" s="1030" t="str">
        <x:f>IFERROR(IF(J356&lt;&gt;"",L356*J356,IF(K356&lt;&gt;"",L356*K356,"")),"")</x:f>
      </x:c>
    </x:row>
    <x:row r="357" s="54" customFormat="1" ht="30" customHeight="1">
      <x:c r="A357" s="965" t="str">
        <x:v>§6.1.2</x:v>
      </x:c>
      <x:c r="B357" s="965" t="str">
        <x:v>Hanteringsavgifter för avfall inlämnat på återvinningscentral</x:v>
      </x:c>
      <x:c r="C357" s="965" t="str">
        <x:v>Kvistar och grenar</x:v>
      </x:c>
      <x:c r="D357" s="965"/>
      <x:c r="E357" s="965" t="str">
        <x:v>kr</x:v>
      </x:c>
      <x:c r="F357" s="993"/>
      <x:c r="G357" s="1000" t="str">
        <x:f>IF($F357&lt;&gt;"",$F357,IFERROR(_xlfn.XLOOKUP(ROW(),Taxa_Saknas!$H:$H,Taxa_Saknas!$G:$G),""))</x:f>
      </x:c>
      <x:c r="H357" s="1012" t="e">
        <x:f>IF($F357&lt;&gt;"",IFERROR(_xlfn.XLOOKUP($F357,Taxa_från_edp!$B:$B,Taxa_från_edp!C:C),""),"")</x:f>
      </x:c>
      <x:c r="I357" s="1013" t="e">
        <x:f>IF($F357&lt;&gt;"",IFERROR(_xlfn.XLOOKUP($F357,Taxa_från_edp!$B:$B,Taxa_från_edp!G:G),""),"")</x:f>
      </x:c>
      <x:c r="J357" s="1013" t="e">
        <x:f>IF($F357&lt;&gt;"",IFERROR(_xlfn.XLOOKUP($F357,Taxa_från_edp!$B:$B,Taxa_från_edp!K:K),""),"")</x:f>
      </x:c>
      <x:c r="K357" s="1019"/>
      <x:c r="L357" s="1025"/>
      <x:c r="M357" s="1029" t="str">
        <x:f>IFERROR(IF(J357&lt;&gt;"",J357*1.25,IF(K357&lt;&gt;"",K357*1.25,"")),"")</x:f>
      </x:c>
      <x:c r="N357" s="1030" t="str">
        <x:f>IFERROR(IF(J357&lt;&gt;"",L357*J357,IF(K357&lt;&gt;"",L357*K357,"")),"")</x:f>
      </x:c>
    </x:row>
    <x:row r="358" s="54" customFormat="1" ht="30" customHeight="1">
      <x:c r="A358" s="965" t="str">
        <x:v>§6.1.2</x:v>
      </x:c>
      <x:c r="B358" s="965" t="str">
        <x:v>Hanteringsavgifter för avfall inlämnat på återvinningscentral</x:v>
      </x:c>
      <x:c r="C358" s="965" t="str">
        <x:v>Jord och sten</x:v>
      </x:c>
      <x:c r="D358" s="965"/>
      <x:c r="E358" s="965" t="str">
        <x:v>kr</x:v>
      </x:c>
      <x:c r="F358" s="993"/>
      <x:c r="G358" s="1000" t="str">
        <x:f>IF($F358&lt;&gt;"",$F358,IFERROR(_xlfn.XLOOKUP(ROW(),Taxa_Saknas!$H:$H,Taxa_Saknas!$G:$G),""))</x:f>
      </x:c>
      <x:c r="H358" s="1012" t="e">
        <x:f>IF($F358&lt;&gt;"",IFERROR(_xlfn.XLOOKUP($F358,Taxa_från_edp!$B:$B,Taxa_från_edp!C:C),""),"")</x:f>
      </x:c>
      <x:c r="I358" s="1013" t="e">
        <x:f>IF($F358&lt;&gt;"",IFERROR(_xlfn.XLOOKUP($F358,Taxa_från_edp!$B:$B,Taxa_från_edp!G:G),""),"")</x:f>
      </x:c>
      <x:c r="J358" s="1013" t="e">
        <x:f>IF($F358&lt;&gt;"",IFERROR(_xlfn.XLOOKUP($F358,Taxa_från_edp!$B:$B,Taxa_från_edp!K:K),""),"")</x:f>
      </x:c>
      <x:c r="K358" s="1019"/>
      <x:c r="L358" s="1025"/>
      <x:c r="M358" s="1029" t="str">
        <x:f>IFERROR(IF(J358&lt;&gt;"",J358*1.25,IF(K358&lt;&gt;"",K358*1.25,"")),"")</x:f>
      </x:c>
      <x:c r="N358" s="1030" t="str">
        <x:f>IFERROR(IF(J358&lt;&gt;"",L358*J358,IF(K358&lt;&gt;"",L358*K358,"")),"")</x:f>
      </x:c>
    </x:row>
    <x:row r="359">
      <x:c r="A359" s="965" t="str">
        <x:v>§6.1.2</x:v>
      </x:c>
      <x:c r="B359" s="965" t="str">
        <x:v>Hanteringsavgifter för avfall inlämnat på återvinningscentral</x:v>
      </x:c>
      <x:c r="C359" s="965" t="str">
        <x:v>Betong</x:v>
      </x:c>
      <x:c r="D359" s="965"/>
      <x:c r="E359" s="965" t="str">
        <x:v>kr</x:v>
      </x:c>
      <x:c r="F359" s="994"/>
      <x:c r="G359" s="1001" t="str">
        <x:f>IF($F359&lt;&gt;"",$F359,IFERROR(_xlfn.XLOOKUP(ROW(),Taxa_Saknas!$H:$H,Taxa_Saknas!$G:$G),""))</x:f>
      </x:c>
      <x:c r="H359" s="1014" t="e">
        <x:f>IF($F359&lt;&gt;"",IFERROR(_xlfn.XLOOKUP($F359,Taxa_från_edp!$B:$B,Taxa_från_edp!C:C),""),"")</x:f>
      </x:c>
      <x:c r="I359" s="1015" t="e">
        <x:f>IF($F359&lt;&gt;"",IFERROR(_xlfn.XLOOKUP($F359,Taxa_från_edp!$B:$B,Taxa_från_edp!G:G),""),"")</x:f>
      </x:c>
      <x:c r="J359" s="1015" t="e">
        <x:f>IF($F359&lt;&gt;"",IFERROR(_xlfn.XLOOKUP($F359,Taxa_från_edp!$B:$B,Taxa_från_edp!K:K),""),"")</x:f>
      </x:c>
      <x:c r="K359" s="1020"/>
      <x:c r="L359" s="1026"/>
      <x:c r="M359" s="1029" t="str">
        <x:f>IFERROR(IF(J359&lt;&gt;"",J359*1.25,IF(K359&lt;&gt;"",K359*1.25,"")),"")</x:f>
      </x:c>
      <x:c r="N359" s="1030" t="str">
        <x:f>IFERROR(IF(J359&lt;&gt;"",L359*J359,IF(K359&lt;&gt;"",L359*K359,"")),"")</x:f>
      </x:c>
    </x:row>
    <x:row r="360" s="54" customFormat="1" ht="30" customHeight="1">
      <x:c r="A360" s="965" t="str">
        <x:v>§6.1.2</x:v>
      </x:c>
      <x:c r="B360" s="965" t="str">
        <x:v>Hanteringsavgifter för avfall inlämnat på återvinningscentral</x:v>
      </x:c>
      <x:c r="C360" s="965" t="str">
        <x:v>Asbest</x:v>
      </x:c>
      <x:c r="D360" s="965"/>
      <x:c r="E360" s="965" t="str">
        <x:v>kr</x:v>
      </x:c>
      <x:c r="F360" s="994"/>
      <x:c r="G360" s="1001" t="str">
        <x:f>IF($F360&lt;&gt;"",$F360,IFERROR(_xlfn.XLOOKUP(ROW(),Taxa_Saknas!$H:$H,Taxa_Saknas!$G:$G),""))</x:f>
      </x:c>
      <x:c r="H360" s="1014" t="e">
        <x:f>IF($F360&lt;&gt;"",IFERROR(_xlfn.XLOOKUP($F360,Taxa_från_edp!$B:$B,Taxa_från_edp!C:C),""),"")</x:f>
      </x:c>
      <x:c r="I360" s="1015" t="e">
        <x:f>IF($F360&lt;&gt;"",IFERROR(_xlfn.XLOOKUP($F360,Taxa_från_edp!$B:$B,Taxa_från_edp!G:G),""),"")</x:f>
      </x:c>
      <x:c r="J360" s="1015" t="e">
        <x:f>IF($F360&lt;&gt;"",IFERROR(_xlfn.XLOOKUP($F360,Taxa_från_edp!$B:$B,Taxa_från_edp!K:K),""),"")</x:f>
      </x:c>
      <x:c r="K360" s="1020"/>
      <x:c r="L360" s="1026"/>
      <x:c r="M360" s="1029" t="str">
        <x:f>IFERROR(IF(J360&lt;&gt;"",J360*1.25,IF(K360&lt;&gt;"",K360*1.25,"")),"")</x:f>
      </x:c>
      <x:c r="N360" s="1030" t="str">
        <x:f>IFERROR(IF(J360&lt;&gt;"",L360*J360,IF(K360&lt;&gt;"",L360*K360,"")),"")</x:f>
      </x:c>
    </x:row>
    <x:row r="361">
      <x:c r="A361" s="965" t="str">
        <x:v>§6.1.2</x:v>
      </x:c>
      <x:c r="B361" s="965" t="str">
        <x:v>Hanteringsavgifter för avfall inlämnat på återvinningscentral</x:v>
      </x:c>
      <x:c r="C361" s="965" t="str">
        <x:v>Blandat avfall för sortering på ramp (max 2 m3)</x:v>
      </x:c>
      <x:c r="D361" s="965"/>
      <x:c r="E361" s="965" t="str">
        <x:v>kr</x:v>
      </x:c>
      <x:c r="F361" s="993"/>
      <x:c r="G361" s="1000" t="str">
        <x:f>IF($F361&lt;&gt;"",$F361,IFERROR(_xlfn.XLOOKUP(ROW(),Taxa_Saknas!$H:$H,Taxa_Saknas!$G:$G),""))</x:f>
      </x:c>
      <x:c r="H361" s="1012" t="e">
        <x:f>IF($F361&lt;&gt;"",IFERROR(_xlfn.XLOOKUP($F361,Taxa_från_edp!$B:$B,Taxa_från_edp!C:C),""),"")</x:f>
      </x:c>
      <x:c r="I361" s="1013" t="e">
        <x:f>IF($F361&lt;&gt;"",IFERROR(_xlfn.XLOOKUP($F361,Taxa_från_edp!$B:$B,Taxa_från_edp!G:G),""),"")</x:f>
      </x:c>
      <x:c r="J361" s="1013" t="e">
        <x:f>IF($F361&lt;&gt;"",IFERROR(_xlfn.XLOOKUP($F361,Taxa_från_edp!$B:$B,Taxa_från_edp!K:K),""),"")</x:f>
      </x:c>
      <x:c r="K361" s="1019"/>
      <x:c r="L361" s="1025"/>
      <x:c r="M361" s="1029" t="str">
        <x:f>IFERROR(IF(J361&lt;&gt;"",J361*1.25,IF(K361&lt;&gt;"",K361*1.25,"")),"")</x:f>
      </x:c>
      <x:c r="N361" s="1030" t="str">
        <x:f>IFERROR(IF(J361&lt;&gt;"",L361*J361,IF(K361&lt;&gt;"",L361*K361,"")),"")</x:f>
      </x:c>
    </x:row>
    <x:row r="362" ht="22" customHeight="1">
      <x:c r="A362" s="975" t="str">
        <x:v>§6.1.2</x:v>
      </x:c>
      <x:c r="B362" s="980"/>
      <x:c r="C362" s="980"/>
      <x:c r="D362" s="980"/>
      <x:c r="E362" s="981"/>
      <x:c r="F362" s="975"/>
      <x:c r="G362" s="980" t="str">
        <x:f>IF($F362&lt;&gt;"",$F362,IFERROR(_xlfn.XLOOKUP(ROW(),Taxa_Saknas!$H:$H,Taxa_Saknas!$G:$G),""))</x:f>
      </x:c>
      <x:c r="H362" s="980" t="e">
        <x:f>IF($F362&lt;&gt;"",IFERROR(_xlfn.XLOOKUP($F362,Taxa_från_edp!$B:$B,Taxa_från_edp!C:C),""),"")</x:f>
      </x:c>
      <x:c r="I362" s="983" t="e">
        <x:f>IF($F362&lt;&gt;"",IFERROR(_xlfn.XLOOKUP($F362,Taxa_från_edp!$B:$B,Taxa_från_edp!G:G),""),"")</x:f>
      </x:c>
      <x:c r="J362" s="983" t="e">
        <x:f>IF($F362&lt;&gt;"",IFERROR(_xlfn.XLOOKUP($F362,Taxa_från_edp!$B:$B,Taxa_från_edp!K:K),""),"")</x:f>
      </x:c>
      <x:c r="K362" s="983"/>
      <x:c r="L362" s="983"/>
      <x:c r="M362" s="976" t="str">
        <x:f>IFERROR(IF(J362&lt;&gt;"",J362*1.25,IF(K362&lt;&gt;"",K362*1.25,"")),"")</x:f>
      </x:c>
      <x:c r="N362" s="977" t="str">
        <x:f>IFERROR(IF(J362&lt;&gt;"",L362*J362,IF(K362&lt;&gt;"",L362*K362,"")),"")</x:f>
      </x:c>
    </x:row>
    <x:row r="363" ht="22" customHeight="1">
      <x:c r="A363" s="975" t="str">
        <x:v>§6.1.3 Hyra av container</x:v>
      </x:c>
      <x:c r="B363" s="980"/>
      <x:c r="C363" s="980"/>
      <x:c r="D363" s="980"/>
      <x:c r="E363" s="981"/>
      <x:c r="F363" s="975"/>
      <x:c r="G363" s="980" t="str">
        <x:f>IF($F363&lt;&gt;"",$F363,IFERROR(_xlfn.XLOOKUP(ROW(),Taxa_Saknas!$H:$H,Taxa_Saknas!$G:$G),""))</x:f>
      </x:c>
      <x:c r="H363" s="980" t="e">
        <x:f>IF($F363&lt;&gt;"",IFERROR(_xlfn.XLOOKUP($F363,Taxa_från_edp!$B:$B,Taxa_från_edp!C:C),""),"")</x:f>
      </x:c>
      <x:c r="I363" s="983" t="e">
        <x:f>IF($F363&lt;&gt;"",IFERROR(_xlfn.XLOOKUP($F363,Taxa_från_edp!$B:$B,Taxa_från_edp!G:G),""),"")</x:f>
      </x:c>
      <x:c r="J363" s="983" t="e">
        <x:f>IF($F363&lt;&gt;"",IFERROR(_xlfn.XLOOKUP($F363,Taxa_från_edp!$B:$B,Taxa_från_edp!K:K),""),"")</x:f>
      </x:c>
      <x:c r="K363" s="983"/>
      <x:c r="L363" s="983"/>
      <x:c r="M363" s="976" t="str">
        <x:f>IFERROR(IF(J363&lt;&gt;"",J363*1.25,IF(K363&lt;&gt;"",K363*1.25,"")),"")</x:f>
      </x:c>
      <x:c r="N363" s="977" t="str">
        <x:f>IFERROR(IF(J363&lt;&gt;"",L363*J363,IF(K363&lt;&gt;"",L363*K363,"")),"")</x:f>
      </x:c>
    </x:row>
    <x:row r="364">
      <x:c r="A364" s="965" t="str">
        <x:v>§6.1.3</x:v>
      </x:c>
      <x:c r="B364" s="965" t="str">
        <x:v>Hyra av container</x:v>
      </x:c>
      <x:c r="C364" s="965" t="str">
        <x:v>Container 3 m3</x:v>
      </x:c>
      <x:c r="D364" s="965"/>
      <x:c r="E364" s="965" t="str">
        <x:v>st/dygn</x:v>
      </x:c>
      <x:c r="F364" s="994"/>
      <x:c r="G364" s="1001" t="str">
        <x:f>IF($F364&lt;&gt;"",$F364,IFERROR(_xlfn.XLOOKUP(ROW(),Taxa_Saknas!$H:$H,Taxa_Saknas!$G:$G),""))</x:f>
      </x:c>
      <x:c r="H364" s="1014" t="e">
        <x:f>IF($F364&lt;&gt;"",IFERROR(_xlfn.XLOOKUP($F364,Taxa_från_edp!$B:$B,Taxa_från_edp!C:C),""),"")</x:f>
      </x:c>
      <x:c r="I364" s="1015" t="e">
        <x:f>IF($F364&lt;&gt;"",IFERROR(_xlfn.XLOOKUP($F364,Taxa_från_edp!$B:$B,Taxa_från_edp!G:G),""),"")</x:f>
      </x:c>
      <x:c r="J364" s="1015" t="e">
        <x:f>IF($F364&lt;&gt;"",IFERROR(_xlfn.XLOOKUP($F364,Taxa_från_edp!$B:$B,Taxa_från_edp!K:K),""),"")</x:f>
      </x:c>
      <x:c r="K364" s="1020"/>
      <x:c r="L364" s="1026"/>
      <x:c r="M364" s="1029" t="str">
        <x:f>IFERROR(IF(J364&lt;&gt;"",J364*1.25,IF(K364&lt;&gt;"",K364*1.25,"")),"")</x:f>
      </x:c>
      <x:c r="N364" s="1030" t="str">
        <x:f>IFERROR(IF(J364&lt;&gt;"",L364*J364,IF(K364&lt;&gt;"",L364*K364,"")),"")</x:f>
      </x:c>
    </x:row>
    <x:row r="365" s="54" customFormat="1" ht="45" customHeight="1">
      <x:c r="A365" s="965" t="str">
        <x:v>§6.1.3</x:v>
      </x:c>
      <x:c r="B365" s="965" t="str">
        <x:v>Hyra av container</x:v>
      </x:c>
      <x:c r="C365" s="965" t="str">
        <x:v>Container 5 m3</x:v>
      </x:c>
      <x:c r="D365" s="965"/>
      <x:c r="E365" s="965" t="str">
        <x:v>st/dygn</x:v>
      </x:c>
      <x:c r="F365" s="994"/>
      <x:c r="G365" s="1001" t="str">
        <x:f>IF($F365&lt;&gt;"",$F365,IFERROR(_xlfn.XLOOKUP(ROW(),Taxa_Saknas!$H:$H,Taxa_Saknas!$G:$G),""))</x:f>
      </x:c>
      <x:c r="H365" s="1014" t="e">
        <x:f>IF($F365&lt;&gt;"",IFERROR(_xlfn.XLOOKUP($F365,Taxa_från_edp!$B:$B,Taxa_från_edp!C:C),""),"")</x:f>
      </x:c>
      <x:c r="I365" s="1015" t="e">
        <x:f>IF($F365&lt;&gt;"",IFERROR(_xlfn.XLOOKUP($F365,Taxa_från_edp!$B:$B,Taxa_från_edp!G:G),""),"")</x:f>
      </x:c>
      <x:c r="J365" s="1015" t="e">
        <x:f>IF($F365&lt;&gt;"",IFERROR(_xlfn.XLOOKUP($F365,Taxa_från_edp!$B:$B,Taxa_från_edp!K:K),""),"")</x:f>
      </x:c>
      <x:c r="K365" s="1020"/>
      <x:c r="L365" s="1026"/>
      <x:c r="M365" s="1029" t="str">
        <x:f>IFERROR(IF(J365&lt;&gt;"",J365*1.25,IF(K365&lt;&gt;"",K365*1.25,"")),"")</x:f>
      </x:c>
      <x:c r="N365" s="1030" t="str">
        <x:f>IFERROR(IF(J365&lt;&gt;"",L365*J365,IF(K365&lt;&gt;"",L365*K365,"")),"")</x:f>
      </x:c>
    </x:row>
    <x:row r="366">
      <x:c r="A366" s="965" t="str">
        <x:v>§6.1.3</x:v>
      </x:c>
      <x:c r="B366" s="965" t="str">
        <x:v>Hyra av container</x:v>
      </x:c>
      <x:c r="C366" s="965" t="str">
        <x:v>Container 8 m3</x:v>
      </x:c>
      <x:c r="D366" s="965"/>
      <x:c r="E366" s="965" t="str">
        <x:v>st/dygn</x:v>
      </x:c>
      <x:c r="F366" s="993"/>
      <x:c r="G366" s="1000" t="str">
        <x:f>IF($F366&lt;&gt;"",$F366,IFERROR(_xlfn.XLOOKUP(ROW(),Taxa_Saknas!$H:$H,Taxa_Saknas!$G:$G),""))</x:f>
      </x:c>
      <x:c r="H366" s="1012" t="e">
        <x:f>IF($F366&lt;&gt;"",IFERROR(_xlfn.XLOOKUP($F366,Taxa_från_edp!$B:$B,Taxa_från_edp!C:C),""),"")</x:f>
      </x:c>
      <x:c r="I366" s="1013" t="e">
        <x:f>IF($F366&lt;&gt;"",IFERROR(_xlfn.XLOOKUP($F366,Taxa_från_edp!$B:$B,Taxa_från_edp!G:G),""),"")</x:f>
      </x:c>
      <x:c r="J366" s="1013" t="e">
        <x:f>IF($F366&lt;&gt;"",IFERROR(_xlfn.XLOOKUP($F366,Taxa_från_edp!$B:$B,Taxa_från_edp!K:K),""),"")</x:f>
      </x:c>
      <x:c r="K366" s="1019"/>
      <x:c r="L366" s="1025"/>
      <x:c r="M366" s="1029" t="str">
        <x:f>IFERROR(IF(J366&lt;&gt;"",J366*1.25,IF(K366&lt;&gt;"",K366*1.25,"")),"")</x:f>
      </x:c>
      <x:c r="N366" s="1030" t="str">
        <x:f>IFERROR(IF(J366&lt;&gt;"",L366*J366,IF(K366&lt;&gt;"",L366*K366,"")),"")</x:f>
      </x:c>
    </x:row>
    <x:row r="367" ht="22" customHeight="1">
      <x:c r="A367" s="975" t="str">
        <x:v>§6.1.3</x:v>
      </x:c>
      <x:c r="B367" s="980"/>
      <x:c r="C367" s="980"/>
      <x:c r="D367" s="980"/>
      <x:c r="E367" s="981"/>
      <x:c r="F367" s="975"/>
      <x:c r="G367" s="980" t="str">
        <x:f>IF($F367&lt;&gt;"",$F367,IFERROR(_xlfn.XLOOKUP(ROW(),Taxa_Saknas!$H:$H,Taxa_Saknas!$G:$G),""))</x:f>
      </x:c>
      <x:c r="H367" s="980" t="e">
        <x:f>IF($F367&lt;&gt;"",IFERROR(_xlfn.XLOOKUP($F367,Taxa_från_edp!$B:$B,Taxa_från_edp!C:C),""),"")</x:f>
      </x:c>
      <x:c r="I367" s="983" t="e">
        <x:f>IF($F367&lt;&gt;"",IFERROR(_xlfn.XLOOKUP($F367,Taxa_från_edp!$B:$B,Taxa_från_edp!G:G),""),"")</x:f>
      </x:c>
      <x:c r="J367" s="983" t="e">
        <x:f>IF($F367&lt;&gt;"",IFERROR(_xlfn.XLOOKUP($F367,Taxa_från_edp!$B:$B,Taxa_från_edp!K:K),""),"")</x:f>
      </x:c>
      <x:c r="K367" s="983"/>
      <x:c r="L367" s="983"/>
      <x:c r="M367" s="976" t="str">
        <x:f>IFERROR(IF(J367&lt;&gt;"",J367*1.25,IF(K367&lt;&gt;"",K367*1.25,"")),"")</x:f>
      </x:c>
      <x:c r="N367" s="977" t="str">
        <x:f>IFERROR(IF(J367&lt;&gt;"",L367*J367,IF(K367&lt;&gt;"",L367*K367,"")),"")</x:f>
      </x:c>
    </x:row>
    <x:row r="368" ht="22" customHeight="1">
      <x:c r="A368" s="979" t="str">
        <x:v>§6.1.4 Tillägg och avgifter</x:v>
      </x:c>
      <x:c r="B368" s="976"/>
      <x:c r="C368" s="976"/>
      <x:c r="D368" s="976"/>
      <x:c r="E368" s="977"/>
      <x:c r="F368" s="979"/>
      <x:c r="G368" s="976" t="str">
        <x:f>IF($F368&lt;&gt;"",$F368,IFERROR(_xlfn.XLOOKUP(ROW(),Taxa_Saknas!$H:$H,Taxa_Saknas!$G:$G),""))</x:f>
      </x:c>
      <x:c r="H368" s="976" t="e">
        <x:f>IF($F368&lt;&gt;"",IFERROR(_xlfn.XLOOKUP($F368,Taxa_från_edp!$B:$B,Taxa_från_edp!C:C),""),"")</x:f>
      </x:c>
      <x:c r="I368" s="976" t="e">
        <x:f>IF($F368&lt;&gt;"",IFERROR(_xlfn.XLOOKUP($F368,Taxa_från_edp!$B:$B,Taxa_från_edp!G:G),""),"")</x:f>
      </x:c>
      <x:c r="J368" s="976" t="e">
        <x:f>IF($F368&lt;&gt;"",IFERROR(_xlfn.XLOOKUP($F368,Taxa_från_edp!$B:$B,Taxa_från_edp!K:K),""),"")</x:f>
      </x:c>
      <x:c r="K368" s="976"/>
      <x:c r="L368" s="976"/>
      <x:c r="M368" s="976" t="str">
        <x:f>IFERROR(IF(J368&lt;&gt;"",J368*1.25,IF(K368&lt;&gt;"",K368*1.25,"")),"")</x:f>
      </x:c>
      <x:c r="N368" s="977" t="str">
        <x:f>IFERROR(IF(J368&lt;&gt;"",L368*J368,IF(K368&lt;&gt;"",L368*K368,"")),"")</x:f>
      </x:c>
    </x:row>
    <x:row r="369">
      <x:c r="A369" s="969" t="str">
        <x:v>§6.1.4</x:v>
      </x:c>
      <x:c r="B369" s="969" t="str">
        <x:v>Tillägg och avgifter</x:v>
      </x:c>
      <x:c r="C369" s="969" t="str">
        <x:v>Administrativ rapporteringsavgift</x:v>
      </x:c>
      <x:c r="D369" s="969"/>
      <x:c r="E369" s="969" t="str">
        <x:v>st/tillfälle</x:v>
      </x:c>
      <x:c r="F369" s="991"/>
      <x:c r="G369" s="998" t="str">
        <x:f>IF($F369&lt;&gt;"",$F369,IFERROR(_xlfn.XLOOKUP(ROW(),Taxa_Saknas!$H:$H,Taxa_Saknas!$G:$G),""))</x:f>
      </x:c>
      <x:c r="H369" s="1008" t="e">
        <x:f>IF($F369&lt;&gt;"",IFERROR(_xlfn.XLOOKUP($F369,Taxa_från_edp!$B:$B,Taxa_från_edp!C:C),""),"")</x:f>
      </x:c>
      <x:c r="I369" s="1008" t="e">
        <x:f>IF($F369&lt;&gt;"",IFERROR(_xlfn.XLOOKUP($F369,Taxa_från_edp!$B:$B,Taxa_från_edp!G:G),""),"")</x:f>
      </x:c>
      <x:c r="J369" s="1008" t="e">
        <x:f>IF($F369&lt;&gt;"",IFERROR(_xlfn.XLOOKUP($F369,Taxa_från_edp!$B:$B,Taxa_från_edp!K:K),""),"")</x:f>
      </x:c>
      <x:c r="K369" s="998"/>
      <x:c r="L369" s="991"/>
      <x:c r="M369" s="1029" t="str">
        <x:f>IFERROR(IF(J369&lt;&gt;"",J369*1.25,IF(K369&lt;&gt;"",K369*1.25,"")),"")</x:f>
      </x:c>
      <x:c r="N369" s="1030" t="str">
        <x:f>IFERROR(IF(J369&lt;&gt;"",L369*J369,IF(K369&lt;&gt;"",L369*K369,"")),"")</x:f>
      </x:c>
    </x:row>
    <x:row r="370" ht="22" customHeight="1">
      <x:c r="A370" s="979" t="str">
        <x:v>§6.1.4</x:v>
      </x:c>
      <x:c r="B370" s="976"/>
      <x:c r="C370" s="976"/>
      <x:c r="D370" s="976"/>
      <x:c r="E370" s="977"/>
      <x:c r="F370" s="979"/>
      <x:c r="G370" s="976" t="str">
        <x:f>IF($F370&lt;&gt;"",$F370,IFERROR(_xlfn.XLOOKUP(ROW(),Taxa_Saknas!$H:$H,Taxa_Saknas!$G:$G),""))</x:f>
      </x:c>
      <x:c r="H370" s="976" t="e">
        <x:f>IF($F370&lt;&gt;"",IFERROR(_xlfn.XLOOKUP($F370,Taxa_från_edp!$B:$B,Taxa_från_edp!C:C),""),"")</x:f>
      </x:c>
      <x:c r="I370" s="976" t="e">
        <x:f>IF($F370&lt;&gt;"",IFERROR(_xlfn.XLOOKUP($F370,Taxa_från_edp!$B:$B,Taxa_från_edp!G:G),""),"")</x:f>
      </x:c>
      <x:c r="J370" s="976" t="e">
        <x:f>IF($F370&lt;&gt;"",IFERROR(_xlfn.XLOOKUP($F370,Taxa_från_edp!$B:$B,Taxa_från_edp!K:K),""),"")</x:f>
      </x:c>
      <x:c r="K370" s="976"/>
      <x:c r="L370" s="976"/>
      <x:c r="M370" s="976" t="str">
        <x:f>IFERROR(IF(J370&lt;&gt;"",J370*1.25,IF(K370&lt;&gt;"",K370*1.25,"")),"")</x:f>
      </x:c>
      <x:c r="N370" s="977" t="str">
        <x:f>IFERROR(IF(J370&lt;&gt;"",L370*J370,IF(K370&lt;&gt;"",L370*K370,"")),"")</x:f>
      </x:c>
    </x:row>
  </x:sheetData>
  <x:mergeCells>
    <x:mergeCell ref="A183:L183"/>
    <x:mergeCell ref="A84:L84"/>
    <x:mergeCell ref="A163:L163"/>
    <x:mergeCell ref="A101:L101"/>
    <x:mergeCell ref="A213:L213"/>
    <x:mergeCell ref="A175:L175"/>
    <x:mergeCell ref="A151:L151"/>
    <x:mergeCell ref="A116:L116"/>
    <x:mergeCell ref="B2:L2"/>
    <x:mergeCell ref="A234:L234"/>
    <x:mergeCell ref="A22:L22"/>
    <x:mergeCell ref="B1:L1"/>
    <x:mergeCell ref="A28:L28"/>
    <x:mergeCell ref="A143:L143"/>
    <x:mergeCell ref="A226:L226"/>
    <x:mergeCell ref="A6:E6"/>
    <x:mergeCell ref="A16:E16"/>
    <x:mergeCell ref="A17:E17"/>
    <x:mergeCell ref="A23:E23"/>
    <x:mergeCell ref="A24:E24"/>
    <x:mergeCell ref="A30:E30"/>
    <x:mergeCell ref="A31:E31"/>
    <x:mergeCell ref="A38:E38"/>
    <x:mergeCell ref="A39:E39"/>
    <x:mergeCell ref="A70:E70"/>
    <x:mergeCell ref="A71:E71"/>
    <x:mergeCell ref="A87:E87"/>
    <x:mergeCell ref="A88:E88"/>
    <x:mergeCell ref="A104:E104"/>
    <x:mergeCell ref="A105:E105"/>
    <x:mergeCell ref="A107:E107"/>
    <x:mergeCell ref="A109:E109"/>
    <x:mergeCell ref="A110:E110"/>
    <x:mergeCell ref="A113:E113"/>
    <x:mergeCell ref="A114:E114"/>
    <x:mergeCell ref="A115:E115"/>
    <x:mergeCell ref="A117:E117"/>
    <x:mergeCell ref="A118:E118"/>
    <x:mergeCell ref="A119:E119"/>
    <x:mergeCell ref="A122:E122"/>
    <x:mergeCell ref="A125:E125"/>
    <x:mergeCell ref="A126:E126"/>
    <x:mergeCell ref="A129:E129"/>
    <x:mergeCell ref="A130:E130"/>
    <x:mergeCell ref="A132:E132"/>
    <x:mergeCell ref="A133:E133"/>
    <x:mergeCell ref="A137:E137"/>
    <x:mergeCell ref="A138:E138"/>
    <x:mergeCell ref="A141:E141"/>
    <x:mergeCell ref="A142:E142"/>
    <x:mergeCell ref="A146:E146"/>
    <x:mergeCell ref="A148:E148"/>
    <x:mergeCell ref="A149:E149"/>
    <x:mergeCell ref="A154:E154"/>
    <x:mergeCell ref="A155:E155"/>
    <x:mergeCell ref="A156:E156"/>
    <x:mergeCell ref="A159:E159"/>
    <x:mergeCell ref="A160:E160"/>
    <x:mergeCell ref="A161:E161"/>
    <x:mergeCell ref="A164:E164"/>
    <x:mergeCell ref="A165:E165"/>
    <x:mergeCell ref="A166:E166"/>
    <x:mergeCell ref="A170:E170"/>
    <x:mergeCell ref="A171:E171"/>
    <x:mergeCell ref="A176:E176"/>
    <x:mergeCell ref="A177:E177"/>
    <x:mergeCell ref="A178:E178"/>
    <x:mergeCell ref="A184:E184"/>
    <x:mergeCell ref="A185:E185"/>
    <x:mergeCell ref="A186:E186"/>
    <x:mergeCell ref="A189:E189"/>
    <x:mergeCell ref="A197:E197"/>
    <x:mergeCell ref="A198:E198"/>
    <x:mergeCell ref="A201:E201"/>
    <x:mergeCell ref="A206:E206"/>
    <x:mergeCell ref="A207:E207"/>
    <x:mergeCell ref="A209:E209"/>
    <x:mergeCell ref="A210:E210"/>
    <x:mergeCell ref="A215:E215"/>
    <x:mergeCell ref="A216:E216"/>
    <x:mergeCell ref="A221:E221"/>
    <x:mergeCell ref="A222:E222"/>
    <x:mergeCell ref="A229:E229"/>
    <x:mergeCell ref="A230:E230"/>
    <x:mergeCell ref="A237:E237"/>
    <x:mergeCell ref="A243:E243"/>
    <x:mergeCell ref="A244:E244"/>
    <x:mergeCell ref="A251:E251"/>
    <x:mergeCell ref="A252:E252"/>
    <x:mergeCell ref="A257:E257"/>
    <x:mergeCell ref="A258:E258"/>
    <x:mergeCell ref="A362:E362"/>
    <x:mergeCell ref="A363:E363"/>
    <x:mergeCell ref="A367:E367"/>
    <x:mergeCell ref="A368:E368"/>
    <x:mergeCell ref="A370:E370"/>
  </x:mergeCells>
  <x:dataValidations count="2">
    <x:dataValidation type="list" allowBlank="1" showDropDown="0" showInputMessage="0" showErrorMessage="0" sqref="F7:F367">
      <x:formula1>Taxa_från_edp!$B$2:$B$371</x:formula1>
    </x:dataValidation>
    <x:dataValidation type="list" sqref="F7:F370">
      <x:formula1>Taxa_från_edp!$B$2:$B$371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2" width="23.140625" style="54" customWidth="1"/>
  </x:cols>
  <x:sheetData>
    <x:row r="1">
      <x:c r="A1" s="837" t="inlineStr">
        <x:is>
          <x:t xml:space="preserve">Paragraf</x:t>
        </x:is>
      </x:c>
      <x:c r="B1" s="838" t="inlineStr">
        <x:is>
          <x:t xml:space="preserve">Paragrafnamn</x:t>
        </x:is>
      </x:c>
      <x:c r="C1" s="838" t="inlineStr">
        <x:is>
          <x:t xml:space="preserve">Taxapunkt</x:t>
        </x:is>
      </x:c>
      <x:c r="D1" s="838" t="inlineStr">
        <x:is>
          <x:t xml:space="preserve">Variant</x:t>
        </x:is>
      </x:c>
      <x:c r="E1" s="838" t="inlineStr">
        <x:is>
          <x:t xml:space="preserve">Enhet</x:t>
        </x:is>
      </x:c>
      <x:c r="F1" s="838" t="inlineStr">
        <x:is>
          <x:t xml:space="preserve">Taxakod</x:t>
        </x:is>
      </x:c>
      <x:c r="G1" s="838" t="inlineStr">
        <x:is>
          <x:t xml:space="preserve">Taxabeskrivning</x:t>
        </x:is>
      </x:c>
      <x:c r="H1" s="838" t="inlineStr">
        <x:is>
          <x:t xml:space="preserve">Faktor</x:t>
        </x:is>
      </x:c>
      <x:c r="I1" s="838" t="inlineStr">
        <x:is>
          <x:t xml:space="preserve">Aktuellt pris (exkl m)</x:t>
        </x:is>
      </x:c>
      <x:c r="J1" s="838" t="inlineStr">
        <x:is>
          <x:t xml:space="preserve">Antal</x:t>
        </x:is>
      </x:c>
      <x:c r="K1" s="838" t="inlineStr">
        <x:is>
          <x:t xml:space="preserve">Pris (kr)</x:t>
        </x:is>
      </x:c>
      <x:c r="L1" s="839" t="inlineStr">
        <x:is>
          <x:t xml:space="preserve">Intäkt (kr)</x:t>
        </x:is>
      </x:c>
    </x:row>
    <x:row r="2">
      <x:c r="A2" s="773" t="str">
        <x:f>Taxepunkter!A7</x:f>
        <x:v>§2.1</x:v>
      </x:c>
      <x:c r="B2" s="767" t="str">
        <x:f>Taxepunkter!B7</x:f>
        <x:v>Grundavgift</x:v>
      </x:c>
      <x:c r="C2" s="767" t="str">
        <x:f>Taxepunkter!C7</x:f>
        <x:v>En- och tvåbostadshus</x:v>
      </x:c>
      <x:c r="D2" s="767" t="n">
        <x:f>Taxepunkter!D7</x:f>
        <x:v>0</x:v>
      </x:c>
      <x:c r="E2" s="767" t="str">
        <x:f>Taxepunkter!E7</x:f>
        <x:v>st/år</x:v>
      </x:c>
      <x:c r="F2" s="767" t="str">
        <x:f>Taxepunkter!F7</x:f>
        <x:v>GRUNDSMÅ</x:v>
      </x:c>
      <x:c r="G2" s="767" t="str">
        <x:f>Taxepunkter!G7</x:f>
        <x:v>GRUNDSMÅ</x:v>
      </x:c>
      <x:c r="H2" s="767" t="e">
        <x:f>Taxepunkter!H7</x:f>
      </x:c>
      <x:c r="I2" s="767" t="e">
        <x:f>Taxepunkter!I7</x:f>
      </x:c>
      <x:c r="J2" s="767" t="e">
        <x:f>Taxepunkter!J7</x:f>
      </x:c>
      <x:c r="K2" s="767" t="n">
        <x:f>Taxepunkter!K7</x:f>
        <x:v>0</x:v>
      </x:c>
      <x:c r="L2" s="774" t="n">
        <x:f>Taxepunkter!L7</x:f>
        <x:v>0</x:v>
      </x:c>
    </x:row>
    <x:row r="3">
      <x:c r="A3" s="773" t="str">
        <x:f>Taxepunkter!A8</x:f>
        <x:v>§2.1</x:v>
      </x:c>
      <x:c r="B3" s="767" t="str">
        <x:f>Taxepunkter!B8</x:f>
        <x:v>Grundavgift</x:v>
      </x:c>
      <x:c r="C3" s="767" t="str">
        <x:f>Taxepunkter!C8</x:f>
        <x:v>Fritidshus</x:v>
      </x:c>
      <x:c r="D3" s="767" t="n">
        <x:f>Taxepunkter!D8</x:f>
        <x:v>0</x:v>
      </x:c>
      <x:c r="E3" s="767" t="str">
        <x:f>Taxepunkter!E8</x:f>
        <x:v>st/år</x:v>
      </x:c>
      <x:c r="F3" s="767" t="str">
        <x:f>Taxepunkter!F8</x:f>
        <x:v>GRUNDFRI</x:v>
      </x:c>
      <x:c r="G3" s="767" t="str">
        <x:f>Taxepunkter!G8</x:f>
        <x:v>GRUNDFRI</x:v>
      </x:c>
      <x:c r="H3" s="767" t="e">
        <x:f>Taxepunkter!H8</x:f>
      </x:c>
      <x:c r="I3" s="767" t="e">
        <x:f>Taxepunkter!I8</x:f>
      </x:c>
      <x:c r="J3" s="767" t="e">
        <x:f>Taxepunkter!J8</x:f>
      </x:c>
      <x:c r="K3" s="767" t="n">
        <x:f>Taxepunkter!K8</x:f>
        <x:v>0</x:v>
      </x:c>
      <x:c r="L3" s="774" t="n">
        <x:f>Taxepunkter!L8</x:f>
        <x:v>0</x:v>
      </x:c>
    </x:row>
    <x:row r="4">
      <x:c r="A4" s="773" t="str">
        <x:f>Taxepunkter!A9</x:f>
        <x:v>§2.1</x:v>
      </x:c>
      <x:c r="B4" s="767" t="str">
        <x:f>Taxepunkter!B9</x:f>
        <x:v>Grundavgift</x:v>
      </x:c>
      <x:c r="C4" s="767" t="str">
        <x:f>Taxepunkter!C9</x:f>
        <x:v>Verksamhet</x:v>
      </x:c>
      <x:c r="D4" s="767" t="n">
        <x:f>Taxepunkter!D9</x:f>
        <x:v>0</x:v>
      </x:c>
      <x:c r="E4" s="767" t="str">
        <x:f>Taxepunkter!E9</x:f>
        <x:v>st/år</x:v>
      </x:c>
      <x:c r="F4" s="767" t="str">
        <x:f>Taxepunkter!F9</x:f>
        <x:v>GRUNDVHT</x:v>
      </x:c>
      <x:c r="G4" s="767" t="str">
        <x:f>Taxepunkter!G9</x:f>
        <x:v>GRUNDVHT</x:v>
      </x:c>
      <x:c r="H4" s="767" t="e">
        <x:f>Taxepunkter!H9</x:f>
      </x:c>
      <x:c r="I4" s="767" t="e">
        <x:f>Taxepunkter!I9</x:f>
      </x:c>
      <x:c r="J4" s="767" t="e">
        <x:f>Taxepunkter!J9</x:f>
      </x:c>
      <x:c r="K4" s="767" t="n">
        <x:f>Taxepunkter!K9</x:f>
        <x:v>0</x:v>
      </x:c>
      <x:c r="L4" s="774" t="n">
        <x:f>Taxepunkter!L9</x:f>
        <x:v>0</x:v>
      </x:c>
    </x:row>
    <x:row r="5">
      <x:c r="A5" s="773" t="str">
        <x:f>Taxepunkter!A10</x:f>
        <x:v>§2.1</x:v>
      </x:c>
      <x:c r="B5" s="767" t="str">
        <x:f>Taxepunkter!B10</x:f>
        <x:v>Grundavgift</x:v>
      </x:c>
      <x:c r="C5" s="767" t="str">
        <x:f>Taxepunkter!C10</x:f>
        <x:v>Lägenhet i flerbostadshus</x:v>
      </x:c>
      <x:c r="D5" s="767" t="n">
        <x:f>Taxepunkter!D10</x:f>
        <x:v>0</x:v>
      </x:c>
      <x:c r="E5" s="767" t="str">
        <x:f>Taxepunkter!E10</x:f>
        <x:v>st/år</x:v>
      </x:c>
      <x:c r="F5" s="767" t="str">
        <x:f>Taxepunkter!F10</x:f>
        <x:v>GRUNDFLB</x:v>
      </x:c>
      <x:c r="G5" s="767" t="str">
        <x:f>Taxepunkter!G10</x:f>
        <x:v>GRUNDFLB</x:v>
      </x:c>
      <x:c r="H5" s="767" t="e">
        <x:f>Taxepunkter!H10</x:f>
      </x:c>
      <x:c r="I5" s="767" t="e">
        <x:f>Taxepunkter!I10</x:f>
      </x:c>
      <x:c r="J5" s="767" t="e">
        <x:f>Taxepunkter!J10</x:f>
      </x:c>
      <x:c r="K5" s="767" t="n">
        <x:f>Taxepunkter!K10</x:f>
        <x:v>0</x:v>
      </x:c>
      <x:c r="L5" s="774" t="n">
        <x:f>Taxepunkter!L10</x:f>
        <x:v>0</x:v>
      </x:c>
    </x:row>
    <x:row r="6">
      <x:c r="A6" s="773" t="str">
        <x:f>Taxepunkter!A11</x:f>
        <x:v>§2.1</x:v>
      </x:c>
      <x:c r="B6" s="767" t="str">
        <x:f>Taxepunkter!B11</x:f>
        <x:v>Grundavgift</x:v>
      </x:c>
      <x:c r="C6" s="767" t="str">
        <x:f>Taxepunkter!C11</x:f>
        <x:v>Lägenhet för specialändamål</x:v>
      </x:c>
      <x:c r="D6" s="767" t="n">
        <x:f>Taxepunkter!D11</x:f>
        <x:v>0</x:v>
      </x:c>
      <x:c r="E6" s="767" t="str">
        <x:f>Taxepunkter!E11</x:f>
        <x:v>st/år</x:v>
      </x:c>
      <x:c r="F6" s="767" t="n">
        <x:f>Taxepunkter!F11</x:f>
        <x:v>0</x:v>
      </x:c>
      <x:c r="G6" s="767" t="str">
        <x:f>Taxepunkter!G11</x:f>
        <x:v>GRUNDSPEC</x:v>
      </x:c>
      <x:c r="H6" s="767" t="e">
        <x:f>Taxepunkter!H11</x:f>
      </x:c>
      <x:c r="I6" s="767" t="e">
        <x:f>Taxepunkter!I11</x:f>
      </x:c>
      <x:c r="J6" s="767" t="e">
        <x:f>Taxepunkter!J11</x:f>
      </x:c>
      <x:c r="K6" s="767" t="n">
        <x:f>Taxepunkter!K11</x:f>
        <x:v>0</x:v>
      </x:c>
      <x:c r="L6" s="774" t="n">
        <x:f>Taxepunkter!L11</x:f>
        <x:v>0</x:v>
      </x:c>
    </x:row>
    <x:row r="7">
      <x:c r="A7" s="773" t="str">
        <x:f>Taxepunkter!A12</x:f>
        <x:v>§2.1</x:v>
      </x:c>
      <x:c r="B7" s="767" t="str">
        <x:f>Taxepunkter!B12</x:f>
        <x:v>Grundavgift</x:v>
      </x:c>
      <x:c r="C7" s="767" t="str">
        <x:f>Taxepunkter!C12</x:f>
        <x:v>Anläggning</x:v>
      </x:c>
      <x:c r="D7" s="767" t="n">
        <x:f>Taxepunkter!D12</x:f>
        <x:v>0</x:v>
      </x:c>
      <x:c r="E7" s="767" t="str">
        <x:f>Taxepunkter!E12</x:f>
        <x:v>st/år</x:v>
      </x:c>
      <x:c r="F7" s="767" t="n">
        <x:f>Taxepunkter!F12</x:f>
        <x:v>0</x:v>
      </x:c>
      <x:c r="G7" s="767" t="str">
        <x:f>Taxepunkter!G12</x:f>
        <x:v>GRUNDANL</x:v>
      </x:c>
      <x:c r="H7" s="767" t="e">
        <x:f>Taxepunkter!H12</x:f>
      </x:c>
      <x:c r="I7" s="767" t="e">
        <x:f>Taxepunkter!I12</x:f>
      </x:c>
      <x:c r="J7" s="767" t="e">
        <x:f>Taxepunkter!J12</x:f>
      </x:c>
      <x:c r="K7" s="767" t="n">
        <x:f>Taxepunkter!K12</x:f>
        <x:v>0</x:v>
      </x:c>
      <x:c r="L7" s="774" t="n">
        <x:f>Taxepunkter!L12</x:f>
        <x:v>0</x:v>
      </x:c>
    </x:row>
    <x:row r="8">
      <x:c r="A8" s="773" t="str">
        <x:f>Taxepunkter!A13</x:f>
        <x:v>§2.1</x:v>
      </x:c>
      <x:c r="B8" s="767" t="str">
        <x:f>Taxepunkter!B13</x:f>
        <x:v>Grundavgift</x:v>
      </x:c>
      <x:c r="C8" s="767" t="str">
        <x:f>Taxepunkter!C13</x:f>
        <x:v>Säsongsbaserad uppställningsplats</x:v>
      </x:c>
      <x:c r="D8" s="767" t="n">
        <x:f>Taxepunkter!D13</x:f>
        <x:v>0</x:v>
      </x:c>
      <x:c r="E8" s="767" t="str">
        <x:f>Taxepunkter!E13</x:f>
        <x:v>st/år</x:v>
      </x:c>
      <x:c r="F8" s="767" t="n">
        <x:f>Taxepunkter!F13</x:f>
        <x:v>0</x:v>
      </x:c>
      <x:c r="G8" s="767" t="str">
        <x:f>Taxepunkter!G13</x:f>
        <x:v>GRUNDSÄS</x:v>
      </x:c>
      <x:c r="H8" s="767" t="e">
        <x:f>Taxepunkter!H13</x:f>
      </x:c>
      <x:c r="I8" s="767" t="e">
        <x:f>Taxepunkter!I13</x:f>
      </x:c>
      <x:c r="J8" s="767" t="e">
        <x:f>Taxepunkter!J13</x:f>
      </x:c>
      <x:c r="K8" s="767" t="n">
        <x:f>Taxepunkter!K13</x:f>
        <x:v>0</x:v>
      </x:c>
      <x:c r="L8" s="774" t="n">
        <x:f>Taxepunkter!L13</x:f>
        <x:v>0</x:v>
      </x:c>
    </x:row>
    <x:row r="9">
      <x:c r="A9" s="773" t="str">
        <x:f>Taxepunkter!A14</x:f>
        <x:v>§2.1</x:v>
      </x:c>
      <x:c r="B9" s="767" t="str">
        <x:f>Taxepunkter!B14</x:f>
        <x:v>Grundavgift</x:v>
      </x:c>
      <x:c r="C9" s="767" t="str">
        <x:f>Taxepunkter!C14</x:f>
        <x:v>Campingstuga/-lägenhet</x:v>
      </x:c>
      <x:c r="D9" s="767" t="n">
        <x:f>Taxepunkter!D14</x:f>
        <x:v>0</x:v>
      </x:c>
      <x:c r="E9" s="767" t="str">
        <x:f>Taxepunkter!E14</x:f>
        <x:v>st/år</x:v>
      </x:c>
      <x:c r="F9" s="767" t="n">
        <x:f>Taxepunkter!F14</x:f>
        <x:v>0</x:v>
      </x:c>
      <x:c r="G9" s="767" t="str">
        <x:f>Taxepunkter!G14</x:f>
        <x:v>GRUNDCAMP</x:v>
      </x:c>
      <x:c r="H9" s="767" t="e">
        <x:f>Taxepunkter!H14</x:f>
      </x:c>
      <x:c r="I9" s="767" t="e">
        <x:f>Taxepunkter!I14</x:f>
      </x:c>
      <x:c r="J9" s="767" t="e">
        <x:f>Taxepunkter!J14</x:f>
      </x:c>
      <x:c r="K9" s="767" t="n">
        <x:f>Taxepunkter!K14</x:f>
        <x:v>0</x:v>
      </x:c>
      <x:c r="L9" s="774" t="n">
        <x:f>Taxepunkter!L14</x:f>
        <x:v>0</x:v>
      </x:c>
    </x:row>
    <x:row r="10">
      <x:c r="A10" s="773" t="str">
        <x:f>Taxepunkter!A15</x:f>
        <x:v>§2.1</x:v>
      </x:c>
      <x:c r="B10" s="767" t="str">
        <x:f>Taxepunkter!B15</x:f>
        <x:v>Grundavgift</x:v>
      </x:c>
      <x:c r="C10" s="767" t="str">
        <x:f>Taxepunkter!C15</x:f>
        <x:v>Administrativ avgift vid beviljad dispens om uppehåll i hämtning eller eget omhändertagande av avfall under kommunalt ansvar</x:v>
      </x:c>
      <x:c r="D10" s="767" t="n">
        <x:f>Taxepunkter!D15</x:f>
        <x:v>0</x:v>
      </x:c>
      <x:c r="E10" s="767" t="str">
        <x:f>Taxepunkter!E15</x:f>
        <x:v>st/år</x:v>
      </x:c>
      <x:c r="F10" s="767" t="n">
        <x:f>Taxepunkter!F15</x:f>
        <x:v>0</x:v>
      </x:c>
      <x:c r="G10" s="767" t="str">
        <x:f>Taxepunkter!G15</x:f>
        <x:v>ADMINDISP</x:v>
      </x:c>
      <x:c r="H10" s="767" t="e">
        <x:f>Taxepunkter!H15</x:f>
      </x:c>
      <x:c r="I10" s="767" t="e">
        <x:f>Taxepunkter!I15</x:f>
      </x:c>
      <x:c r="J10" s="767" t="e">
        <x:f>Taxepunkter!J15</x:f>
      </x:c>
      <x:c r="K10" s="767" t="n">
        <x:f>Taxepunkter!K15</x:f>
        <x:v>0</x:v>
      </x:c>
      <x:c r="L10" s="774" t="n">
        <x:f>Taxepunkter!L15</x:f>
        <x:v>0</x:v>
      </x:c>
    </x:row>
    <x:row r="11">
      <x:c r="A11" s="773" t="str">
        <x:f>Taxepunkter!A17</x:f>
        <x:v>§2.2.1 Hämtningsavgift per år för en- och tvåbostadshus</x:v>
      </x:c>
      <x:c r="B11" s="767" t="n">
        <x:f>Taxepunkter!B17</x:f>
        <x:v>0</x:v>
      </x:c>
      <x:c r="C11" s="767" t="n">
        <x:f>Taxepunkter!C17</x:f>
        <x:v>0</x:v>
      </x:c>
      <x:c r="D11" s="767" t="n">
        <x:f>Taxepunkter!D17</x:f>
        <x:v>0</x:v>
      </x:c>
      <x:c r="E11" s="767" t="n">
        <x:f>Taxepunkter!E17</x:f>
        <x:v>0</x:v>
      </x:c>
      <x:c r="F11" s="767" t="n">
        <x:f>Taxepunkter!F17</x:f>
        <x:v>0</x:v>
      </x:c>
      <x:c r="G11" s="767" t="str">
        <x:f>Taxepunkter!G17</x:f>
      </x:c>
      <x:c r="H11" s="767" t="e">
        <x:f>Taxepunkter!H17</x:f>
      </x:c>
      <x:c r="I11" s="767" t="e">
        <x:f>Taxepunkter!I17</x:f>
      </x:c>
      <x:c r="J11" s="767" t="e">
        <x:f>Taxepunkter!J17</x:f>
      </x:c>
      <x:c r="K11" s="767" t="n">
        <x:f>Taxepunkter!K17</x:f>
        <x:v>0</x:v>
      </x:c>
      <x:c r="L11" s="774" t="n">
        <x:f>Taxepunkter!L17</x:f>
        <x:v>0</x:v>
      </x:c>
    </x:row>
    <x:row r="12">
      <x:c r="A12" s="773" t="str">
        <x:f>Taxepunkter!A18</x:f>
        <x:v>§2.2.1</x:v>
      </x:c>
      <x:c r="B12" s="767" t="str">
        <x:f>Taxepunkter!B18</x:f>
        <x:v>Hämtningsavgift per år för en- och tvåbostadshus</x:v>
      </x:c>
      <x:c r="C12" s="767" t="str">
        <x:f>Taxepunkter!C18</x:f>
        <x:v>Kärl 240 l (mat-/restavfall)</x:v>
      </x:c>
      <x:c r="D12" s="767" t="str">
        <x:f>Taxepunkter!D18</x:f>
        <x:v>Hämtning var 14:e dag</x:v>
      </x:c>
      <x:c r="E12" s="767" t="str">
        <x:f>Taxepunkter!E18</x:f>
        <x:v>st/år</x:v>
      </x:c>
      <x:c r="F12" s="767" t="str">
        <x:f>Taxepunkter!F18</x:f>
        <x:v>KÄ240RM26</x:v>
      </x:c>
      <x:c r="G12" s="767" t="str">
        <x:f>Taxepunkter!G18</x:f>
        <x:v>KÄ240RM26</x:v>
      </x:c>
      <x:c r="H12" s="767" t="e">
        <x:f>Taxepunkter!H18</x:f>
      </x:c>
      <x:c r="I12" s="767" t="e">
        <x:f>Taxepunkter!I18</x:f>
      </x:c>
      <x:c r="J12" s="767" t="e">
        <x:f>Taxepunkter!J18</x:f>
      </x:c>
      <x:c r="K12" s="767" t="n">
        <x:f>Taxepunkter!K18</x:f>
        <x:v>0</x:v>
      </x:c>
      <x:c r="L12" s="774" t="n">
        <x:f>Taxepunkter!L18</x:f>
        <x:v>0</x:v>
      </x:c>
    </x:row>
    <x:row r="13">
      <x:c r="A13" s="773" t="str">
        <x:f>Taxepunkter!A20</x:f>
        <x:v>§2.2.1</x:v>
      </x:c>
      <x:c r="B13" s="767" t="str">
        <x:f>Taxepunkter!B20</x:f>
        <x:v>Hämtningsavgift per år för en- och tvåbostadshus</x:v>
      </x:c>
      <x:c r="C13" s="767" t="str">
        <x:f>Taxepunkter!C20</x:f>
        <x:v>Extrakärl 190 l (restavfall)</x:v>
      </x:c>
      <x:c r="D13" s="767" t="str">
        <x:f>Taxepunkter!D20</x:f>
        <x:v>Hämtning var 14:e dag</x:v>
      </x:c>
      <x:c r="E13" s="767" t="str">
        <x:f>Taxepunkter!E20</x:f>
        <x:v>st/år</x:v>
      </x:c>
      <x:c r="F13" s="767" t="str">
        <x:f>Taxepunkter!F20</x:f>
        <x:v>KÄ190XRM26</x:v>
      </x:c>
      <x:c r="G13" s="767" t="str">
        <x:f>Taxepunkter!G20</x:f>
        <x:v>KÄ190XRM26</x:v>
      </x:c>
      <x:c r="H13" s="767" t="e">
        <x:f>Taxepunkter!H20</x:f>
      </x:c>
      <x:c r="I13" s="767" t="e">
        <x:f>Taxepunkter!I20</x:f>
      </x:c>
      <x:c r="J13" s="767" t="e">
        <x:f>Taxepunkter!J20</x:f>
      </x:c>
      <x:c r="K13" s="767" t="n">
        <x:f>Taxepunkter!K20</x:f>
        <x:v>0</x:v>
      </x:c>
      <x:c r="L13" s="774" t="n">
        <x:f>Taxepunkter!L20</x:f>
        <x:v>0</x:v>
      </x:c>
    </x:row>
    <x:row r="14">
      <x:c r="A14" s="773" t="str">
        <x:f>Taxepunkter!A21</x:f>
        <x:v>§2.2.1</x:v>
      </x:c>
      <x:c r="B14" s="767" t="str">
        <x:f>Taxepunkter!B21</x:f>
        <x:v>Hämtningsavgift per år för en- och tvåbostadshus</x:v>
      </x:c>
      <x:c r="C14" s="767" t="str">
        <x:f>Taxepunkter!C21</x:f>
        <x:v>Extrakärl 190 l (restavfall)</x:v>
      </x:c>
      <x:c r="D14" s="767" t="str">
        <x:f>Taxepunkter!D21</x:f>
        <x:v>Hämtning månadsvis</x:v>
      </x:c>
      <x:c r="E14" s="767" t="str">
        <x:f>Taxepunkter!E21</x:f>
        <x:v>st/år</x:v>
      </x:c>
      <x:c r="F14" s="767" t="n">
        <x:f>Taxepunkter!F21</x:f>
        <x:v>0</x:v>
      </x:c>
      <x:c r="G14" s="767" t="str">
        <x:f>Taxepunkter!G21</x:f>
        <x:v>KÄ190XRM12</x:v>
      </x:c>
      <x:c r="H14" s="767" t="e">
        <x:f>Taxepunkter!H21</x:f>
      </x:c>
      <x:c r="I14" s="767" t="e">
        <x:f>Taxepunkter!I21</x:f>
      </x:c>
      <x:c r="J14" s="767" t="e">
        <x:f>Taxepunkter!J21</x:f>
      </x:c>
      <x:c r="K14" s="767" t="n">
        <x:f>Taxepunkter!K21</x:f>
        <x:v>0</x:v>
      </x:c>
      <x:c r="L14" s="774" t="n">
        <x:f>Taxepunkter!L21</x:f>
        <x:v>0</x:v>
      </x:c>
    </x:row>
    <x:row r="15">
      <x:c r="A15" s="773" t="str">
        <x:f>Taxepunkter!A23</x:f>
        <x:v>§2.2.1</x:v>
      </x:c>
      <x:c r="B15" s="767" t="n">
        <x:f>Taxepunkter!B23</x:f>
        <x:v>0</x:v>
      </x:c>
      <x:c r="C15" s="767" t="n">
        <x:f>Taxepunkter!C23</x:f>
        <x:v>0</x:v>
      </x:c>
      <x:c r="D15" s="767" t="n">
        <x:f>Taxepunkter!D23</x:f>
        <x:v>0</x:v>
      </x:c>
      <x:c r="E15" s="767" t="n">
        <x:f>Taxepunkter!E23</x:f>
        <x:v>0</x:v>
      </x:c>
      <x:c r="F15" s="767" t="n">
        <x:f>Taxepunkter!F23</x:f>
        <x:v>0</x:v>
      </x:c>
      <x:c r="G15" s="767" t="str">
        <x:f>Taxepunkter!G23</x:f>
      </x:c>
      <x:c r="H15" s="767" t="e">
        <x:f>Taxepunkter!H23</x:f>
      </x:c>
      <x:c r="I15" s="767" t="e">
        <x:f>Taxepunkter!I23</x:f>
      </x:c>
      <x:c r="J15" s="767" t="e">
        <x:f>Taxepunkter!J23</x:f>
      </x:c>
      <x:c r="K15" s="767" t="n">
        <x:f>Taxepunkter!K23</x:f>
        <x:v>0</x:v>
      </x:c>
      <x:c r="L15" s="774" t="n">
        <x:f>Taxepunkter!L23</x:f>
        <x:v>0</x:v>
      </x:c>
    </x:row>
    <x:row r="16">
      <x:c r="A16" s="773" t="str">
        <x:f>Taxepunkter!A24</x:f>
        <x:v>§2.2.2 Hämtningsavgift per år för fritidshus</x:v>
      </x:c>
      <x:c r="B16" s="767" t="n">
        <x:f>Taxepunkter!B24</x:f>
        <x:v>0</x:v>
      </x:c>
      <x:c r="C16" s="767" t="n">
        <x:f>Taxepunkter!C24</x:f>
        <x:v>0</x:v>
      </x:c>
      <x:c r="D16" s="767" t="n">
        <x:f>Taxepunkter!D24</x:f>
        <x:v>0</x:v>
      </x:c>
      <x:c r="E16" s="767" t="n">
        <x:f>Taxepunkter!E24</x:f>
        <x:v>0</x:v>
      </x:c>
      <x:c r="F16" s="767" t="n">
        <x:f>Taxepunkter!F24</x:f>
        <x:v>0</x:v>
      </x:c>
      <x:c r="G16" s="767" t="str">
        <x:f>Taxepunkter!G24</x:f>
      </x:c>
      <x:c r="H16" s="767" t="e">
        <x:f>Taxepunkter!H24</x:f>
      </x:c>
      <x:c r="I16" s="767" t="e">
        <x:f>Taxepunkter!I24</x:f>
      </x:c>
      <x:c r="J16" s="767" t="e">
        <x:f>Taxepunkter!J24</x:f>
      </x:c>
      <x:c r="K16" s="767" t="n">
        <x:f>Taxepunkter!K24</x:f>
        <x:v>0</x:v>
      </x:c>
      <x:c r="L16" s="774" t="n">
        <x:f>Taxepunkter!L24</x:f>
        <x:v>0</x:v>
      </x:c>
    </x:row>
    <x:row r="17">
      <x:c r="A17" s="773" t="str">
        <x:f>Taxepunkter!A25</x:f>
        <x:v>§2.2.2</x:v>
      </x:c>
      <x:c r="B17" s="767" t="str">
        <x:f>Taxepunkter!B25</x:f>
        <x:v>Hämtningsavgift per år för fritidshus</x:v>
      </x:c>
      <x:c r="C17" s="767" t="str">
        <x:f>Taxepunkter!C25</x:f>
        <x:v>Kärl 240 l (mat-/restavfall)</x:v>
      </x:c>
      <x:c r="D17" s="767" t="str">
        <x:f>Taxepunkter!D25</x:f>
        <x:v>Hämtning var 14:e dag</x:v>
      </x:c>
      <x:c r="E17" s="767" t="str">
        <x:f>Taxepunkter!E25</x:f>
        <x:v>st/år</x:v>
      </x:c>
      <x:c r="F17" s="767" t="str">
        <x:f>Taxepunkter!F25</x:f>
        <x:v>KÄ240RM26FRI</x:v>
      </x:c>
      <x:c r="G17" s="767" t="str">
        <x:f>Taxepunkter!G25</x:f>
        <x:v>KÄ240RM26FRI</x:v>
      </x:c>
      <x:c r="H17" s="767" t="e">
        <x:f>Taxepunkter!H25</x:f>
      </x:c>
      <x:c r="I17" s="767" t="e">
        <x:f>Taxepunkter!I25</x:f>
      </x:c>
      <x:c r="J17" s="767" t="e">
        <x:f>Taxepunkter!J25</x:f>
      </x:c>
      <x:c r="K17" s="767" t="n">
        <x:f>Taxepunkter!K25</x:f>
        <x:v>0</x:v>
      </x:c>
      <x:c r="L17" s="774" t="n">
        <x:f>Taxepunkter!L25</x:f>
        <x:v>0</x:v>
      </x:c>
    </x:row>
    <x:row r="18">
      <x:c r="A18" s="773" t="str">
        <x:f>Taxepunkter!A26</x:f>
        <x:v>§2.2.2</x:v>
      </x:c>
      <x:c r="B18" s="767" t="str">
        <x:f>Taxepunkter!B26</x:f>
        <x:v>Hämtningsavgift per år för fritidshus</x:v>
      </x:c>
      <x:c r="C18" s="767" t="str">
        <x:f>Taxepunkter!C26</x:f>
        <x:v>Kärl 240 l (mat-/restavfall)</x:v>
      </x:c>
      <x:c r="D18" s="767" t="str">
        <x:f>Taxepunkter!D26</x:f>
        <x:v>Hämtning månadsvis</x:v>
      </x:c>
      <x:c r="E18" s="767" t="str">
        <x:f>Taxepunkter!E26</x:f>
        <x:v>st/år</x:v>
      </x:c>
      <x:c r="F18" s="767" t="n">
        <x:f>Taxepunkter!F26</x:f>
        <x:v>0</x:v>
      </x:c>
      <x:c r="G18" s="767" t="str">
        <x:f>Taxepunkter!G26</x:f>
        <x:v>KÄ240RM12FRI</x:v>
      </x:c>
      <x:c r="H18" s="767" t="e">
        <x:f>Taxepunkter!H26</x:f>
      </x:c>
      <x:c r="I18" s="767" t="e">
        <x:f>Taxepunkter!I26</x:f>
      </x:c>
      <x:c r="J18" s="767" t="e">
        <x:f>Taxepunkter!J26</x:f>
      </x:c>
      <x:c r="K18" s="767" t="n">
        <x:f>Taxepunkter!K26</x:f>
        <x:v>0</x:v>
      </x:c>
      <x:c r="L18" s="774" t="n">
        <x:f>Taxepunkter!L26</x:f>
        <x:v>0</x:v>
      </x:c>
    </x:row>
    <x:row r="19">
      <x:c r="A19" s="773" t="str">
        <x:f>Taxepunkter!A27</x:f>
        <x:v>§2.2.2</x:v>
      </x:c>
      <x:c r="B19" s="767" t="str">
        <x:f>Taxepunkter!B27</x:f>
        <x:v>Hämtningsavgift per år för fritidshus</x:v>
      </x:c>
      <x:c r="C19" s="767" t="str">
        <x:f>Taxepunkter!C27</x:f>
        <x:v>Extrakärl 190 l (restavfall)</x:v>
      </x:c>
      <x:c r="D19" s="767" t="str">
        <x:f>Taxepunkter!D27</x:f>
        <x:v>Hämtning var 14:e dag</x:v>
      </x:c>
      <x:c r="E19" s="767" t="str">
        <x:f>Taxepunkter!E27</x:f>
        <x:v>st/år</x:v>
      </x:c>
      <x:c r="F19" s="767" t="n">
        <x:f>Taxepunkter!F27</x:f>
        <x:v>0</x:v>
      </x:c>
      <x:c r="G19" s="767" t="str">
        <x:f>Taxepunkter!G27</x:f>
        <x:v>KÄ190XRM26FRI</x:v>
      </x:c>
      <x:c r="H19" s="767" t="e">
        <x:f>Taxepunkter!H27</x:f>
      </x:c>
      <x:c r="I19" s="767" t="e">
        <x:f>Taxepunkter!I27</x:f>
      </x:c>
      <x:c r="J19" s="767" t="e">
        <x:f>Taxepunkter!J27</x:f>
      </x:c>
      <x:c r="K19" s="767" t="n">
        <x:f>Taxepunkter!K27</x:f>
        <x:v>0</x:v>
      </x:c>
      <x:c r="L19" s="774" t="n">
        <x:f>Taxepunkter!L27</x:f>
        <x:v>0</x:v>
      </x:c>
    </x:row>
    <x:row r="20">
      <x:c r="A20" s="773" t="str">
        <x:f>Taxepunkter!A29</x:f>
        <x:v>§2.2.2</x:v>
      </x:c>
      <x:c r="B20" s="767" t="str">
        <x:f>Taxepunkter!B29</x:f>
        <x:v>Hämtningsavgift per år för fritidshus</x:v>
      </x:c>
      <x:c r="C20" s="767" t="str">
        <x:f>Taxepunkter!C29</x:f>
        <x:v>Kärl 370 l (papper-/plastförpackningar)</x:v>
      </x:c>
      <x:c r="D20" s="767" t="str">
        <x:f>Taxepunkter!D29</x:f>
        <x:v>Kostnadsfritt</x:v>
      </x:c>
      <x:c r="E20" s="767" t="str">
        <x:f>Taxepunkter!E29</x:f>
        <x:v>st/år</x:v>
      </x:c>
      <x:c r="F20" s="767" t="n">
        <x:f>Taxepunkter!F29</x:f>
        <x:v>0</x:v>
      </x:c>
      <x:c r="G20" s="767" t="str">
        <x:f>Taxepunkter!G29</x:f>
        <x:v>KÄ370FPFRI</x:v>
      </x:c>
      <x:c r="H20" s="767" t="e">
        <x:f>Taxepunkter!H29</x:f>
      </x:c>
      <x:c r="I20" s="767" t="e">
        <x:f>Taxepunkter!I29</x:f>
      </x:c>
      <x:c r="J20" s="767" t="e">
        <x:f>Taxepunkter!J29</x:f>
      </x:c>
      <x:c r="K20" s="767" t="n">
        <x:f>Taxepunkter!K29</x:f>
        <x:v>0</x:v>
      </x:c>
      <x:c r="L20" s="774" t="n">
        <x:f>Taxepunkter!L29</x:f>
        <x:v>0</x:v>
      </x:c>
    </x:row>
    <x:row r="21">
      <x:c r="A21" s="773" t="str">
        <x:f>Taxepunkter!A30</x:f>
        <x:v>§2.2.2</x:v>
      </x:c>
      <x:c r="B21" s="767" t="n">
        <x:f>Taxepunkter!B30</x:f>
        <x:v>0</x:v>
      </x:c>
      <x:c r="C21" s="767" t="n">
        <x:f>Taxepunkter!C30</x:f>
        <x:v>0</x:v>
      </x:c>
      <x:c r="D21" s="767" t="n">
        <x:f>Taxepunkter!D30</x:f>
        <x:v>0</x:v>
      </x:c>
      <x:c r="E21" s="767" t="n">
        <x:f>Taxepunkter!E30</x:f>
        <x:v>0</x:v>
      </x:c>
      <x:c r="F21" s="767" t="n">
        <x:f>Taxepunkter!F30</x:f>
        <x:v>0</x:v>
      </x:c>
      <x:c r="G21" s="767" t="str">
        <x:f>Taxepunkter!G30</x:f>
      </x:c>
      <x:c r="H21" s="767" t="e">
        <x:f>Taxepunkter!H30</x:f>
      </x:c>
      <x:c r="I21" s="767" t="e">
        <x:f>Taxepunkter!I30</x:f>
      </x:c>
      <x:c r="J21" s="767" t="e">
        <x:f>Taxepunkter!J30</x:f>
      </x:c>
      <x:c r="K21" s="767" t="n">
        <x:f>Taxepunkter!K30</x:f>
        <x:v>0</x:v>
      </x:c>
      <x:c r="L21" s="774" t="n">
        <x:f>Taxepunkter!L30</x:f>
        <x:v>0</x:v>
      </x:c>
    </x:row>
    <x:row r="22">
      <x:c r="A22" s="773" t="str">
        <x:f>Taxepunkter!A31</x:f>
        <x:v>§2.2.3 Gemensam uppsamlingsplats inom hämtningsområde X</x:v>
      </x:c>
      <x:c r="B22" s="767" t="n">
        <x:f>Taxepunkter!B31</x:f>
        <x:v>0</x:v>
      </x:c>
      <x:c r="C22" s="767" t="n">
        <x:f>Taxepunkter!C31</x:f>
        <x:v>0</x:v>
      </x:c>
      <x:c r="D22" s="767" t="n">
        <x:f>Taxepunkter!D31</x:f>
        <x:v>0</x:v>
      </x:c>
      <x:c r="E22" s="767" t="n">
        <x:f>Taxepunkter!E31</x:f>
        <x:v>0</x:v>
      </x:c>
      <x:c r="F22" s="767" t="n">
        <x:f>Taxepunkter!F31</x:f>
        <x:v>0</x:v>
      </x:c>
      <x:c r="G22" s="767" t="str">
        <x:f>Taxepunkter!G31</x:f>
      </x:c>
      <x:c r="H22" s="767" t="e">
        <x:f>Taxepunkter!H31</x:f>
      </x:c>
      <x:c r="I22" s="767" t="e">
        <x:f>Taxepunkter!I31</x:f>
      </x:c>
      <x:c r="J22" s="767" t="e">
        <x:f>Taxepunkter!J31</x:f>
      </x:c>
      <x:c r="K22" s="767" t="n">
        <x:f>Taxepunkter!K31</x:f>
        <x:v>0</x:v>
      </x:c>
      <x:c r="L22" s="774" t="n">
        <x:f>Taxepunkter!L31</x:f>
        <x:v>0</x:v>
      </x:c>
    </x:row>
    <x:row r="23">
      <x:c r="A23" s="773" t="str">
        <x:f>Taxepunkter!A32</x:f>
        <x:v>§2.2.3</x:v>
      </x:c>
      <x:c r="B23" s="767" t="str">
        <x:f>Taxepunkter!B32</x:f>
        <x:v>Gemensam uppsamlingsplats inom hämtningsområde X</x:v>
      </x:c>
      <x:c r="C23" s="767" t="str">
        <x:f>Taxepunkter!C32</x:f>
        <x:v>Gemensam uppsamlingsplats för mat-/restavfall</x:v>
      </x:c>
      <x:c r="D23" s="767" t="n">
        <x:f>Taxepunkter!D32</x:f>
        <x:v>0</x:v>
      </x:c>
      <x:c r="E23" s="767" t="str">
        <x:f>Taxepunkter!E32</x:f>
        <x:v>st/år</x:v>
      </x:c>
      <x:c r="F23" s="767" t="str">
        <x:f>Taxepunkter!F32</x:f>
        <x:v>GEMUPPFRI</x:v>
      </x:c>
      <x:c r="G23" s="767" t="str">
        <x:f>Taxepunkter!G32</x:f>
        <x:v>GEMUPPFRI</x:v>
      </x:c>
      <x:c r="H23" s="767" t="e">
        <x:f>Taxepunkter!H32</x:f>
      </x:c>
      <x:c r="I23" s="767" t="e">
        <x:f>Taxepunkter!I32</x:f>
      </x:c>
      <x:c r="J23" s="767" t="e">
        <x:f>Taxepunkter!J32</x:f>
      </x:c>
      <x:c r="K23" s="767" t="n">
        <x:f>Taxepunkter!K32</x:f>
        <x:v>0</x:v>
      </x:c>
      <x:c r="L23" s="774" t="n">
        <x:f>Taxepunkter!L32</x:f>
        <x:v>0</x:v>
      </x:c>
    </x:row>
    <x:row r="24">
      <x:c r="A24" s="773" t="str">
        <x:f>Taxepunkter!A33</x:f>
        <x:v>§2.2.3</x:v>
      </x:c>
      <x:c r="B24" s="767" t="str">
        <x:f>Taxepunkter!B33</x:f>
        <x:v>Gemensam uppsamlingsplats inom hämtningsområde X</x:v>
      </x:c>
      <x:c r="C24" s="767" t="str">
        <x:f>Taxepunkter!C33</x:f>
        <x:v>Gemensam uppsamlingsplats för förpackningar</x:v>
      </x:c>
      <x:c r="D24" s="767" t="str">
        <x:f>Taxepunkter!D33</x:f>
        <x:v>Kostnadsfritt</x:v>
      </x:c>
      <x:c r="E24" s="767" t="str">
        <x:f>Taxepunkter!E33</x:f>
        <x:v>st/år</x:v>
      </x:c>
      <x:c r="F24" s="767" t="str">
        <x:f>Taxepunkter!F33</x:f>
        <x:v>GEMUPPFRI</x:v>
      </x:c>
      <x:c r="G24" s="767" t="str">
        <x:f>Taxepunkter!G33</x:f>
        <x:v>GEMUPPFRI</x:v>
      </x:c>
      <x:c r="H24" s="767" t="e">
        <x:f>Taxepunkter!H33</x:f>
      </x:c>
      <x:c r="I24" s="767" t="e">
        <x:f>Taxepunkter!I33</x:f>
      </x:c>
      <x:c r="J24" s="767" t="e">
        <x:f>Taxepunkter!J33</x:f>
      </x:c>
      <x:c r="K24" s="767" t="n">
        <x:f>Taxepunkter!K33</x:f>
        <x:v>0</x:v>
      </x:c>
      <x:c r="L24" s="774" t="n">
        <x:f>Taxepunkter!L33</x:f>
        <x:v>0</x:v>
      </x:c>
    </x:row>
    <x:row r="25">
      <x:c r="A25" s="773" t="str">
        <x:f>Taxepunkter!A34</x:f>
        <x:v>§2.2.3</x:v>
      </x:c>
      <x:c r="B25" s="767" t="str">
        <x:f>Taxepunkter!B34</x:f>
        <x:v>Gemensam uppsamlingsplats inom hämtningsområde X</x:v>
      </x:c>
      <x:c r="C25" s="767" t="str">
        <x:f>Taxepunkter!C34</x:f>
        <x:v>Extra digital licens (årskostnad)</x:v>
      </x:c>
      <x:c r="D25" s="767" t="n">
        <x:f>Taxepunkter!D34</x:f>
        <x:v>0</x:v>
      </x:c>
      <x:c r="E25" s="767" t="str">
        <x:f>Taxepunkter!E34</x:f>
        <x:v>st/år</x:v>
      </x:c>
      <x:c r="F25" s="767" t="str">
        <x:f>Taxepunkter!F34</x:f>
        <x:v>GEMUPPEXTRAFRI</x:v>
      </x:c>
      <x:c r="G25" s="767" t="str">
        <x:f>Taxepunkter!G34</x:f>
        <x:v>GEMUPPEXTRAFRI</x:v>
      </x:c>
      <x:c r="H25" s="767" t="e">
        <x:f>Taxepunkter!H34</x:f>
      </x:c>
      <x:c r="I25" s="767" t="e">
        <x:f>Taxepunkter!I34</x:f>
      </x:c>
      <x:c r="J25" s="767" t="e">
        <x:f>Taxepunkter!J34</x:f>
      </x:c>
      <x:c r="K25" s="767" t="n">
        <x:f>Taxepunkter!K34</x:f>
        <x:v>0</x:v>
      </x:c>
      <x:c r="L25" s="774" t="n">
        <x:f>Taxepunkter!L34</x:f>
        <x:v>0</x:v>
      </x:c>
    </x:row>
    <x:row r="26">
      <x:c r="A26" s="773" t="str">
        <x:f>Taxepunkter!A35</x:f>
        <x:v>§2.2.3</x:v>
      </x:c>
      <x:c r="B26" s="767" t="str">
        <x:f>Taxepunkter!B35</x:f>
        <x:v>Gemensam uppsamlingsplats inom hämtningsområde X</x:v>
      </x:c>
      <x:c r="C26" s="767" t="str">
        <x:f>Taxepunkter!C35</x:f>
        <x:v>Fysisk nyckel, kallad fob (engångskostnad)</x:v>
      </x:c>
      <x:c r="D26" s="767" t="n">
        <x:f>Taxepunkter!D35</x:f>
        <x:v>0</x:v>
      </x:c>
      <x:c r="E26" s="767" t="str">
        <x:f>Taxepunkter!E35</x:f>
        <x:v>st/tillfälle</x:v>
      </x:c>
      <x:c r="F26" s="767" t="str">
        <x:f>Taxepunkter!F35</x:f>
        <x:v>FOBFRI</x:v>
      </x:c>
      <x:c r="G26" s="767" t="str">
        <x:f>Taxepunkter!G35</x:f>
        <x:v>FOBFRI</x:v>
      </x:c>
      <x:c r="H26" s="767" t="e">
        <x:f>Taxepunkter!H35</x:f>
      </x:c>
      <x:c r="I26" s="767" t="e">
        <x:f>Taxepunkter!I35</x:f>
      </x:c>
      <x:c r="J26" s="767" t="e">
        <x:f>Taxepunkter!J35</x:f>
      </x:c>
      <x:c r="K26" s="767" t="n">
        <x:f>Taxepunkter!K35</x:f>
        <x:v>0</x:v>
      </x:c>
      <x:c r="L26" s="774" t="n">
        <x:f>Taxepunkter!L35</x:f>
        <x:v>0</x:v>
      </x:c>
    </x:row>
    <x:row r="27">
      <x:c r="A27" s="773" t="str">
        <x:f>Taxepunkter!A36</x:f>
        <x:v>§2.2.3</x:v>
      </x:c>
      <x:c r="B27" s="767" t="str">
        <x:f>Taxepunkter!B36</x:f>
        <x:v>Gemensam uppsamlingsplats inom hämtningsområde X</x:v>
      </x:c>
      <x:c r="C27" s="767" t="str">
        <x:f>Taxepunkter!C36</x:f>
        <x:v>Byte av telefonnummer kopplat till licens</x:v>
      </x:c>
      <x:c r="D27" s="767" t="n">
        <x:f>Taxepunkter!D36</x:f>
        <x:v>0</x:v>
      </x:c>
      <x:c r="E27" s="767" t="str">
        <x:f>Taxepunkter!E36</x:f>
        <x:v>st/tillfälle</x:v>
      </x:c>
      <x:c r="F27" s="767" t="n">
        <x:f>Taxepunkter!F36</x:f>
        <x:v>0</x:v>
      </x:c>
      <x:c r="G27" s="767" t="str">
        <x:f>Taxepunkter!G36</x:f>
        <x:v>GEMUPPBYTE</x:v>
      </x:c>
      <x:c r="H27" s="767" t="e">
        <x:f>Taxepunkter!H36</x:f>
      </x:c>
      <x:c r="I27" s="767" t="e">
        <x:f>Taxepunkter!I36</x:f>
      </x:c>
      <x:c r="J27" s="767" t="e">
        <x:f>Taxepunkter!J36</x:f>
      </x:c>
      <x:c r="K27" s="767" t="n">
        <x:f>Taxepunkter!K36</x:f>
        <x:v>0</x:v>
      </x:c>
      <x:c r="L27" s="774" t="n">
        <x:f>Taxepunkter!L36</x:f>
        <x:v>0</x:v>
      </x:c>
    </x:row>
    <x:row r="28">
      <x:c r="A28" s="773" t="str">
        <x:f>Taxepunkter!A37</x:f>
        <x:v>§2.2.3</x:v>
      </x:c>
      <x:c r="B28" s="767" t="str">
        <x:f>Taxepunkter!B37</x:f>
        <x:v>Gemensam uppsamlingsplats inom hämtningsområde X</x:v>
      </x:c>
      <x:c r="C28" s="767" t="str">
        <x:f>Taxepunkter!C37</x:f>
        <x:v>Kostnad för öppning av behållare</x:v>
      </x:c>
      <x:c r="D28" s="767" t="n">
        <x:f>Taxepunkter!D37</x:f>
        <x:v>0</x:v>
      </x:c>
      <x:c r="E28" s="767" t="str">
        <x:f>Taxepunkter!E37</x:f>
        <x:v>st/tillfälle</x:v>
      </x:c>
      <x:c r="F28" s="767" t="n">
        <x:f>Taxepunkter!F37</x:f>
        <x:v>0</x:v>
      </x:c>
      <x:c r="G28" s="767" t="str">
        <x:f>Taxepunkter!G37</x:f>
        <x:v>GEMUPPÖPP</x:v>
      </x:c>
      <x:c r="H28" s="767" t="e">
        <x:f>Taxepunkter!H37</x:f>
      </x:c>
      <x:c r="I28" s="767" t="e">
        <x:f>Taxepunkter!I37</x:f>
      </x:c>
      <x:c r="J28" s="767" t="e">
        <x:f>Taxepunkter!J37</x:f>
      </x:c>
      <x:c r="K28" s="767" t="n">
        <x:f>Taxepunkter!K37</x:f>
        <x:v>0</x:v>
      </x:c>
      <x:c r="L28" s="774" t="n">
        <x:f>Taxepunkter!L37</x:f>
        <x:v>0</x:v>
      </x:c>
    </x:row>
    <x:row r="29">
      <x:c r="A29" s="773" t="str">
        <x:f>Taxepunkter!A38</x:f>
        <x:v>§2.2.3</x:v>
      </x:c>
      <x:c r="B29" s="767" t="n">
        <x:f>Taxepunkter!B38</x:f>
        <x:v>0</x:v>
      </x:c>
      <x:c r="C29" s="767" t="n">
        <x:f>Taxepunkter!C38</x:f>
        <x:v>0</x:v>
      </x:c>
      <x:c r="D29" s="767" t="n">
        <x:f>Taxepunkter!D38</x:f>
        <x:v>0</x:v>
      </x:c>
      <x:c r="E29" s="767" t="n">
        <x:f>Taxepunkter!E38</x:f>
        <x:v>0</x:v>
      </x:c>
      <x:c r="F29" s="767" t="n">
        <x:f>Taxepunkter!F38</x:f>
        <x:v>0</x:v>
      </x:c>
      <x:c r="G29" s="767" t="str">
        <x:f>Taxepunkter!G38</x:f>
      </x:c>
      <x:c r="H29" s="767" t="e">
        <x:f>Taxepunkter!H38</x:f>
      </x:c>
      <x:c r="I29" s="767" t="e">
        <x:f>Taxepunkter!I38</x:f>
      </x:c>
      <x:c r="J29" s="767" t="e">
        <x:f>Taxepunkter!J38</x:f>
      </x:c>
      <x:c r="K29" s="767" t="n">
        <x:f>Taxepunkter!K38</x:f>
        <x:v>0</x:v>
      </x:c>
      <x:c r="L29" s="774" t="n">
        <x:f>Taxepunkter!L38</x:f>
        <x:v>0</x:v>
      </x:c>
    </x:row>
    <x:row r="30">
      <x:c r="A30" s="773" t="str">
        <x:f>Taxepunkter!A39</x:f>
        <x:v>§2.2.4 Hämtningsavgift per år för flerbostadshus</x:v>
      </x:c>
      <x:c r="B30" s="767" t="n">
        <x:f>Taxepunkter!B39</x:f>
        <x:v>0</x:v>
      </x:c>
      <x:c r="C30" s="767" t="n">
        <x:f>Taxepunkter!C39</x:f>
        <x:v>0</x:v>
      </x:c>
      <x:c r="D30" s="767" t="n">
        <x:f>Taxepunkter!D39</x:f>
        <x:v>0</x:v>
      </x:c>
      <x:c r="E30" s="767" t="n">
        <x:f>Taxepunkter!E39</x:f>
        <x:v>0</x:v>
      </x:c>
      <x:c r="F30" s="767" t="n">
        <x:f>Taxepunkter!F39</x:f>
        <x:v>0</x:v>
      </x:c>
      <x:c r="G30" s="767" t="str">
        <x:f>Taxepunkter!G39</x:f>
      </x:c>
      <x:c r="H30" s="767" t="e">
        <x:f>Taxepunkter!H39</x:f>
      </x:c>
      <x:c r="I30" s="767" t="e">
        <x:f>Taxepunkter!I39</x:f>
      </x:c>
      <x:c r="J30" s="767" t="e">
        <x:f>Taxepunkter!J39</x:f>
      </x:c>
      <x:c r="K30" s="767" t="n">
        <x:f>Taxepunkter!K39</x:f>
        <x:v>0</x:v>
      </x:c>
      <x:c r="L30" s="774" t="n">
        <x:f>Taxepunkter!L39</x:f>
        <x:v>0</x:v>
      </x:c>
    </x:row>
    <x:row r="31">
      <x:c r="A31" s="773" t="str">
        <x:f>Taxepunkter!A40</x:f>
        <x:v>§2.2.4</x:v>
      </x:c>
      <x:c r="B31" s="767" t="str">
        <x:f>Taxepunkter!B40</x:f>
        <x:v>Hämtningsavgift per år för flerbostadshus</x:v>
      </x:c>
      <x:c r="C31" s="767" t="str">
        <x:f>Taxepunkter!C40</x:f>
        <x:v>Kärl 240 l (mat-/restavfall)</x:v>
      </x:c>
      <x:c r="D31" s="767" t="str">
        <x:f>Taxepunkter!D40</x:f>
        <x:v>Hämtning varje vecka</x:v>
      </x:c>
      <x:c r="E31" s="767" t="str">
        <x:f>Taxepunkter!E40</x:f>
        <x:v>st/år</x:v>
      </x:c>
      <x:c r="F31" s="767" t="str">
        <x:f>Taxepunkter!F40</x:f>
        <x:v>KÄ240RM52FV</x:v>
      </x:c>
      <x:c r="G31" s="767" t="str">
        <x:f>Taxepunkter!G40</x:f>
        <x:v>KÄ240RM52FV</x:v>
      </x:c>
      <x:c r="H31" s="767" t="e">
        <x:f>Taxepunkter!H40</x:f>
      </x:c>
      <x:c r="I31" s="767" t="e">
        <x:f>Taxepunkter!I40</x:f>
      </x:c>
      <x:c r="J31" s="767" t="e">
        <x:f>Taxepunkter!J40</x:f>
      </x:c>
      <x:c r="K31" s="767" t="n">
        <x:f>Taxepunkter!K40</x:f>
        <x:v>0</x:v>
      </x:c>
      <x:c r="L31" s="774" t="n">
        <x:f>Taxepunkter!L40</x:f>
        <x:v>0</x:v>
      </x:c>
    </x:row>
    <x:row r="32">
      <x:c r="A32" s="773" t="str">
        <x:f>Taxepunkter!A41</x:f>
        <x:v>§2.2.4</x:v>
      </x:c>
      <x:c r="B32" s="767" t="str">
        <x:f>Taxepunkter!B41</x:f>
        <x:v>Hämtningsavgift per år för flerbostadshus</x:v>
      </x:c>
      <x:c r="C32" s="767" t="str">
        <x:f>Taxepunkter!C41</x:f>
        <x:v>Kärl 240 l (mat-/restavfall)</x:v>
      </x:c>
      <x:c r="D32" s="767" t="str">
        <x:f>Taxepunkter!D41</x:f>
        <x:v>Hämtning var 14:e dag</x:v>
      </x:c>
      <x:c r="E32" s="767" t="str">
        <x:f>Taxepunkter!E41</x:f>
        <x:v>st/år</x:v>
      </x:c>
      <x:c r="F32" s="767" t="str">
        <x:f>Taxepunkter!F41</x:f>
        <x:v>KÄ240RM26FV</x:v>
      </x:c>
      <x:c r="G32" s="767" t="str">
        <x:f>Taxepunkter!G41</x:f>
        <x:v>KÄ240RM26FV</x:v>
      </x:c>
      <x:c r="H32" s="767" t="e">
        <x:f>Taxepunkter!H41</x:f>
      </x:c>
      <x:c r="I32" s="767" t="e">
        <x:f>Taxepunkter!I41</x:f>
      </x:c>
      <x:c r="J32" s="767" t="e">
        <x:f>Taxepunkter!J41</x:f>
      </x:c>
      <x:c r="K32" s="767" t="n">
        <x:f>Taxepunkter!K41</x:f>
        <x:v>0</x:v>
      </x:c>
      <x:c r="L32" s="774" t="n">
        <x:f>Taxepunkter!L41</x:f>
        <x:v>0</x:v>
      </x:c>
    </x:row>
    <x:row r="33">
      <x:c r="A33" s="773" t="str">
        <x:f>Taxepunkter!A42</x:f>
        <x:v>§2.2.4</x:v>
      </x:c>
      <x:c r="B33" s="767" t="str">
        <x:f>Taxepunkter!B42</x:f>
        <x:v>Hämtningsavgift per år för flerbostadshus</x:v>
      </x:c>
      <x:c r="C33" s="767" t="str">
        <x:f>Taxepunkter!C42</x:f>
        <x:v>Kärl 240 l (mat-/restavfall)</x:v>
      </x:c>
      <x:c r="D33" s="767" t="str">
        <x:f>Taxepunkter!D42</x:f>
        <x:v>Hämtning månadsvis</x:v>
      </x:c>
      <x:c r="E33" s="767" t="str">
        <x:f>Taxepunkter!E42</x:f>
        <x:v>st/år</x:v>
      </x:c>
      <x:c r="F33" s="767" t="n">
        <x:f>Taxepunkter!F42</x:f>
        <x:v>0</x:v>
      </x:c>
      <x:c r="G33" s="767" t="str">
        <x:f>Taxepunkter!G42</x:f>
        <x:v>KÄ240RM12FV</x:v>
      </x:c>
      <x:c r="H33" s="767" t="e">
        <x:f>Taxepunkter!H42</x:f>
      </x:c>
      <x:c r="I33" s="767" t="e">
        <x:f>Taxepunkter!I42</x:f>
      </x:c>
      <x:c r="J33" s="767" t="e">
        <x:f>Taxepunkter!J42</x:f>
      </x:c>
      <x:c r="K33" s="767" t="n">
        <x:f>Taxepunkter!K42</x:f>
        <x:v>0</x:v>
      </x:c>
      <x:c r="L33" s="774" t="n">
        <x:f>Taxepunkter!L42</x:f>
        <x:v>0</x:v>
      </x:c>
    </x:row>
    <x:row r="34">
      <x:c r="A34" s="773" t="str">
        <x:f>Taxepunkter!A43</x:f>
        <x:v>§2.2.4</x:v>
      </x:c>
      <x:c r="B34" s="767" t="str">
        <x:f>Taxepunkter!B43</x:f>
        <x:v>Hämtningsavgift per år för flerbostadshus</x:v>
      </x:c>
      <x:c r="C34" s="767" t="str">
        <x:f>Taxepunkter!C43</x:f>
        <x:v>Kärl 370 l (restavfall)</x:v>
      </x:c>
      <x:c r="D34" s="767" t="str">
        <x:f>Taxepunkter!D43</x:f>
        <x:v>Hämtning varje vecka</x:v>
      </x:c>
      <x:c r="E34" s="767" t="str">
        <x:f>Taxepunkter!E43</x:f>
        <x:v>st/år</x:v>
      </x:c>
      <x:c r="F34" s="767" t="str">
        <x:f>Taxepunkter!F43</x:f>
        <x:v>KÄ370RE52FV</x:v>
      </x:c>
      <x:c r="G34" s="767" t="str">
        <x:f>Taxepunkter!G43</x:f>
        <x:v>KÄ370RE52FV</x:v>
      </x:c>
      <x:c r="H34" s="767" t="e">
        <x:f>Taxepunkter!H43</x:f>
      </x:c>
      <x:c r="I34" s="767" t="e">
        <x:f>Taxepunkter!I43</x:f>
      </x:c>
      <x:c r="J34" s="767" t="e">
        <x:f>Taxepunkter!J43</x:f>
      </x:c>
      <x:c r="K34" s="767" t="n">
        <x:f>Taxepunkter!K43</x:f>
        <x:v>0</x:v>
      </x:c>
      <x:c r="L34" s="774" t="n">
        <x:f>Taxepunkter!L43</x:f>
        <x:v>0</x:v>
      </x:c>
    </x:row>
    <x:row r="35">
      <x:c r="A35" s="773" t="str">
        <x:f>Taxepunkter!A44</x:f>
        <x:v>§2.2.4</x:v>
      </x:c>
      <x:c r="B35" s="767" t="str">
        <x:f>Taxepunkter!B44</x:f>
        <x:v>Hämtningsavgift per år för flerbostadshus</x:v>
      </x:c>
      <x:c r="C35" s="767" t="str">
        <x:f>Taxepunkter!C44</x:f>
        <x:v>Kärl 370 l (restavfall)</x:v>
      </x:c>
      <x:c r="D35" s="767" t="str">
        <x:f>Taxepunkter!D44</x:f>
        <x:v>Hämtning var 14:e dag</x:v>
      </x:c>
      <x:c r="E35" s="767" t="str">
        <x:f>Taxepunkter!E44</x:f>
        <x:v>st/år</x:v>
      </x:c>
      <x:c r="F35" s="767" t="str">
        <x:f>Taxepunkter!F44</x:f>
        <x:v>KÄ370RE26FV</x:v>
      </x:c>
      <x:c r="G35" s="767" t="str">
        <x:f>Taxepunkter!G44</x:f>
        <x:v>KÄ370RE26FV</x:v>
      </x:c>
      <x:c r="H35" s="767" t="e">
        <x:f>Taxepunkter!H44</x:f>
      </x:c>
      <x:c r="I35" s="767" t="e">
        <x:f>Taxepunkter!I44</x:f>
      </x:c>
      <x:c r="J35" s="767" t="e">
        <x:f>Taxepunkter!J44</x:f>
      </x:c>
      <x:c r="K35" s="767" t="n">
        <x:f>Taxepunkter!K44</x:f>
        <x:v>0</x:v>
      </x:c>
      <x:c r="L35" s="774" t="n">
        <x:f>Taxepunkter!L44</x:f>
        <x:v>0</x:v>
      </x:c>
    </x:row>
    <x:row r="36">
      <x:c r="A36" s="773" t="str">
        <x:f>Taxepunkter!A45</x:f>
        <x:v>§2.2.4</x:v>
      </x:c>
      <x:c r="B36" s="767" t="str">
        <x:f>Taxepunkter!B45</x:f>
        <x:v>Hämtningsavgift per år för flerbostadshus</x:v>
      </x:c>
      <x:c r="C36" s="767" t="str">
        <x:f>Taxepunkter!C45</x:f>
        <x:v>Kärl 370 l (restavfall)</x:v>
      </x:c>
      <x:c r="D36" s="767" t="str">
        <x:f>Taxepunkter!D45</x:f>
        <x:v>Hämtning månadsvis</x:v>
      </x:c>
      <x:c r="E36" s="767" t="str">
        <x:f>Taxepunkter!E45</x:f>
        <x:v>st/år</x:v>
      </x:c>
      <x:c r="F36" s="767" t="n">
        <x:f>Taxepunkter!F45</x:f>
        <x:v>0</x:v>
      </x:c>
      <x:c r="G36" s="767" t="str">
        <x:f>Taxepunkter!G45</x:f>
        <x:v>KÄ370RE12FV</x:v>
      </x:c>
      <x:c r="H36" s="767" t="e">
        <x:f>Taxepunkter!H45</x:f>
      </x:c>
      <x:c r="I36" s="767" t="e">
        <x:f>Taxepunkter!I45</x:f>
      </x:c>
      <x:c r="J36" s="767" t="e">
        <x:f>Taxepunkter!J45</x:f>
      </x:c>
      <x:c r="K36" s="767" t="n">
        <x:f>Taxepunkter!K45</x:f>
        <x:v>0</x:v>
      </x:c>
      <x:c r="L36" s="774" t="n">
        <x:f>Taxepunkter!L45</x:f>
        <x:v>0</x:v>
      </x:c>
    </x:row>
    <x:row r="37">
      <x:c r="A37" s="773" t="str">
        <x:f>Taxepunkter!A46</x:f>
        <x:v>§2.2.4</x:v>
      </x:c>
      <x:c r="B37" s="767" t="str">
        <x:f>Taxepunkter!B46</x:f>
        <x:v>Hämtningsavgift per år för flerbostadshus</x:v>
      </x:c>
      <x:c r="C37" s="767" t="str">
        <x:f>Taxepunkter!C46</x:f>
        <x:v>Kärl 660 l (restavfall)</x:v>
      </x:c>
      <x:c r="D37" s="767" t="str">
        <x:f>Taxepunkter!D46</x:f>
        <x:v>Hämtning varje vecka</x:v>
      </x:c>
      <x:c r="E37" s="767" t="str">
        <x:f>Taxepunkter!E46</x:f>
        <x:v>st/år</x:v>
      </x:c>
      <x:c r="F37" s="767" t="str">
        <x:f>Taxepunkter!F46</x:f>
        <x:v>KÄ660RE52FV</x:v>
      </x:c>
      <x:c r="G37" s="767" t="str">
        <x:f>Taxepunkter!G46</x:f>
        <x:v>KÄ660RE52FV</x:v>
      </x:c>
      <x:c r="H37" s="767" t="e">
        <x:f>Taxepunkter!H46</x:f>
      </x:c>
      <x:c r="I37" s="767" t="e">
        <x:f>Taxepunkter!I46</x:f>
      </x:c>
      <x:c r="J37" s="767" t="e">
        <x:f>Taxepunkter!J46</x:f>
      </x:c>
      <x:c r="K37" s="767" t="n">
        <x:f>Taxepunkter!K46</x:f>
        <x:v>0</x:v>
      </x:c>
      <x:c r="L37" s="774" t="n">
        <x:f>Taxepunkter!L46</x:f>
        <x:v>0</x:v>
      </x:c>
    </x:row>
    <x:row r="38">
      <x:c r="A38" s="773" t="str">
        <x:f>Taxepunkter!A47</x:f>
        <x:v>§2.2.4</x:v>
      </x:c>
      <x:c r="B38" s="767" t="str">
        <x:f>Taxepunkter!B47</x:f>
        <x:v>Hämtningsavgift per år för flerbostadshus</x:v>
      </x:c>
      <x:c r="C38" s="767" t="str">
        <x:f>Taxepunkter!C47</x:f>
        <x:v>Kärl 660 l (restavfall)</x:v>
      </x:c>
      <x:c r="D38" s="767" t="str">
        <x:f>Taxepunkter!D47</x:f>
        <x:v>Hämtning var 14:e dag</x:v>
      </x:c>
      <x:c r="E38" s="767" t="str">
        <x:f>Taxepunkter!E47</x:f>
        <x:v>st/år</x:v>
      </x:c>
      <x:c r="F38" s="767" t="str">
        <x:f>Taxepunkter!F47</x:f>
        <x:v>KÄ660RE26FV</x:v>
      </x:c>
      <x:c r="G38" s="767" t="str">
        <x:f>Taxepunkter!G47</x:f>
        <x:v>KÄ660RE26FV</x:v>
      </x:c>
      <x:c r="H38" s="767" t="e">
        <x:f>Taxepunkter!H47</x:f>
      </x:c>
      <x:c r="I38" s="767" t="e">
        <x:f>Taxepunkter!I47</x:f>
      </x:c>
      <x:c r="J38" s="767" t="e">
        <x:f>Taxepunkter!J47</x:f>
      </x:c>
      <x:c r="K38" s="767" t="n">
        <x:f>Taxepunkter!K47</x:f>
        <x:v>0</x:v>
      </x:c>
      <x:c r="L38" s="774" t="n">
        <x:f>Taxepunkter!L47</x:f>
        <x:v>0</x:v>
      </x:c>
    </x:row>
    <x:row r="39">
      <x:c r="A39" s="773" t="str">
        <x:f>Taxepunkter!A48</x:f>
        <x:v>§2.2.4</x:v>
      </x:c>
      <x:c r="B39" s="767" t="str">
        <x:f>Taxepunkter!B48</x:f>
        <x:v>Hämtningsavgift per år för flerbostadshus</x:v>
      </x:c>
      <x:c r="C39" s="767" t="str">
        <x:f>Taxepunkter!C48</x:f>
        <x:v>Kärl 660 l (restavfall)</x:v>
      </x:c>
      <x:c r="D39" s="767" t="str">
        <x:f>Taxepunkter!D48</x:f>
        <x:v>Hämtning månadsvis</x:v>
      </x:c>
      <x:c r="E39" s="767" t="str">
        <x:f>Taxepunkter!E48</x:f>
        <x:v>st/år</x:v>
      </x:c>
      <x:c r="F39" s="767" t="n">
        <x:f>Taxepunkter!F48</x:f>
        <x:v>0</x:v>
      </x:c>
      <x:c r="G39" s="767" t="str">
        <x:f>Taxepunkter!G48</x:f>
        <x:v>KÄ660RE12FV</x:v>
      </x:c>
      <x:c r="H39" s="767" t="e">
        <x:f>Taxepunkter!H48</x:f>
      </x:c>
      <x:c r="I39" s="767" t="e">
        <x:f>Taxepunkter!I48</x:f>
      </x:c>
      <x:c r="J39" s="767" t="e">
        <x:f>Taxepunkter!J48</x:f>
      </x:c>
      <x:c r="K39" s="767" t="n">
        <x:f>Taxepunkter!K48</x:f>
        <x:v>0</x:v>
      </x:c>
      <x:c r="L39" s="774" t="n">
        <x:f>Taxepunkter!L48</x:f>
        <x:v>0</x:v>
      </x:c>
    </x:row>
    <x:row r="40">
      <x:c r="A40" s="773" t="str">
        <x:f>Taxepunkter!A49</x:f>
        <x:v>§2.2.4</x:v>
      </x:c>
      <x:c r="B40" s="767" t="str">
        <x:f>Taxepunkter!B49</x:f>
        <x:v>Hämtningsavgift per år för flerbostadshus</x:v>
      </x:c>
      <x:c r="C40" s="767" t="str">
        <x:f>Taxepunkter!C49</x:f>
        <x:v>Kärl 140 l (matavfall)</x:v>
      </x:c>
      <x:c r="D40" s="767" t="str">
        <x:f>Taxepunkter!D49</x:f>
        <x:v>Hämtning varje vecka</x:v>
      </x:c>
      <x:c r="E40" s="767" t="str">
        <x:f>Taxepunkter!E49</x:f>
        <x:v>st/år</x:v>
      </x:c>
      <x:c r="F40" s="767" t="str">
        <x:f>Taxepunkter!F49</x:f>
        <x:v>KÄ140MA52FV</x:v>
      </x:c>
      <x:c r="G40" s="767" t="str">
        <x:f>Taxepunkter!G49</x:f>
        <x:v>KÄ140MA52FV</x:v>
      </x:c>
      <x:c r="H40" s="767" t="e">
        <x:f>Taxepunkter!H49</x:f>
      </x:c>
      <x:c r="I40" s="767" t="e">
        <x:f>Taxepunkter!I49</x:f>
      </x:c>
      <x:c r="J40" s="767" t="e">
        <x:f>Taxepunkter!J49</x:f>
      </x:c>
      <x:c r="K40" s="767" t="n">
        <x:f>Taxepunkter!K49</x:f>
        <x:v>0</x:v>
      </x:c>
      <x:c r="L40" s="774" t="n">
        <x:f>Taxepunkter!L49</x:f>
        <x:v>0</x:v>
      </x:c>
    </x:row>
    <x:row r="41">
      <x:c r="A41" s="773" t="str">
        <x:f>Taxepunkter!A50</x:f>
        <x:v>§2.2.4</x:v>
      </x:c>
      <x:c r="B41" s="767" t="str">
        <x:f>Taxepunkter!B50</x:f>
        <x:v>Hämtningsavgift per år för flerbostadshus</x:v>
      </x:c>
      <x:c r="C41" s="767" t="str">
        <x:f>Taxepunkter!C50</x:f>
        <x:v>Kärl 140 l (matavfall)</x:v>
      </x:c>
      <x:c r="D41" s="767" t="str">
        <x:f>Taxepunkter!D50</x:f>
        <x:v>Hämtning var 14:e dag</x:v>
      </x:c>
      <x:c r="E41" s="767" t="str">
        <x:f>Taxepunkter!E50</x:f>
        <x:v>st/år</x:v>
      </x:c>
      <x:c r="F41" s="767" t="str">
        <x:f>Taxepunkter!F50</x:f>
        <x:v>KÄ140MA26FV</x:v>
      </x:c>
      <x:c r="G41" s="767" t="str">
        <x:f>Taxepunkter!G50</x:f>
        <x:v>KÄ140MA26FV</x:v>
      </x:c>
      <x:c r="H41" s="767" t="e">
        <x:f>Taxepunkter!H50</x:f>
      </x:c>
      <x:c r="I41" s="767" t="e">
        <x:f>Taxepunkter!I50</x:f>
      </x:c>
      <x:c r="J41" s="767" t="e">
        <x:f>Taxepunkter!J50</x:f>
      </x:c>
      <x:c r="K41" s="767" t="n">
        <x:f>Taxepunkter!K50</x:f>
        <x:v>0</x:v>
      </x:c>
      <x:c r="L41" s="774" t="n">
        <x:f>Taxepunkter!L50</x:f>
        <x:v>0</x:v>
      </x:c>
    </x:row>
    <x:row r="42">
      <x:c r="A42" s="773" t="str">
        <x:f>Taxepunkter!A51</x:f>
        <x:v>§2.2.4</x:v>
      </x:c>
      <x:c r="B42" s="767" t="str">
        <x:f>Taxepunkter!B51</x:f>
        <x:v>Hämtningsavgift per år för flerbostadshus</x:v>
      </x:c>
      <x:c r="C42" s="767" t="str">
        <x:f>Taxepunkter!C51</x:f>
        <x:v>Kärl 140 l (matavfall)</x:v>
      </x:c>
      <x:c r="D42" s="767" t="str">
        <x:f>Taxepunkter!D51</x:f>
        <x:v>Hämtning månadsvis</x:v>
      </x:c>
      <x:c r="E42" s="767" t="str">
        <x:f>Taxepunkter!E51</x:f>
        <x:v>st/år</x:v>
      </x:c>
      <x:c r="F42" s="767" t="n">
        <x:f>Taxepunkter!F51</x:f>
        <x:v>0</x:v>
      </x:c>
      <x:c r="G42" s="767" t="str">
        <x:f>Taxepunkter!G51</x:f>
        <x:v>KÄ140MA12FV</x:v>
      </x:c>
      <x:c r="H42" s="767" t="e">
        <x:f>Taxepunkter!H51</x:f>
      </x:c>
      <x:c r="I42" s="767" t="e">
        <x:f>Taxepunkter!I51</x:f>
      </x:c>
      <x:c r="J42" s="767" t="e">
        <x:f>Taxepunkter!J51</x:f>
      </x:c>
      <x:c r="K42" s="767" t="n">
        <x:f>Taxepunkter!K51</x:f>
        <x:v>0</x:v>
      </x:c>
      <x:c r="L42" s="774" t="n">
        <x:f>Taxepunkter!L51</x:f>
        <x:v>0</x:v>
      </x:c>
    </x:row>
    <x:row r="43">
      <x:c r="A43" s="773" t="str">
        <x:f>Taxepunkter!A52</x:f>
        <x:v>§2.2.4</x:v>
      </x:c>
      <x:c r="B43" s="767" t="str">
        <x:f>Taxepunkter!B52</x:f>
        <x:v>Hämtningsavgift per år för flerbostadshus</x:v>
      </x:c>
      <x:c r="C43" s="767" t="str">
        <x:f>Taxepunkter!C52</x:f>
        <x:v>Kärl 190 l (förpackningar)</x:v>
      </x:c>
      <x:c r="D43" s="767" t="str">
        <x:f>Taxepunkter!D52</x:f>
        <x:v>Hämtning varje vecka</x:v>
      </x:c>
      <x:c r="E43" s="767" t="str">
        <x:f>Taxepunkter!E52</x:f>
        <x:v>st/år</x:v>
      </x:c>
      <x:c r="F43" s="767" t="n">
        <x:f>Taxepunkter!F52</x:f>
        <x:v>0</x:v>
      </x:c>
      <x:c r="G43" s="767" t="str">
        <x:f>Taxepunkter!G52</x:f>
        <x:v>KÄ190FP52FV</x:v>
      </x:c>
      <x:c r="H43" s="767" t="e">
        <x:f>Taxepunkter!H52</x:f>
      </x:c>
      <x:c r="I43" s="767" t="e">
        <x:f>Taxepunkter!I52</x:f>
      </x:c>
      <x:c r="J43" s="767" t="e">
        <x:f>Taxepunkter!J52</x:f>
      </x:c>
      <x:c r="K43" s="767" t="n">
        <x:f>Taxepunkter!K52</x:f>
        <x:v>0</x:v>
      </x:c>
      <x:c r="L43" s="774" t="n">
        <x:f>Taxepunkter!L52</x:f>
        <x:v>0</x:v>
      </x:c>
    </x:row>
    <x:row r="44">
      <x:c r="A44" s="773" t="str">
        <x:f>Taxepunkter!A53</x:f>
        <x:v>§2.2.4</x:v>
      </x:c>
      <x:c r="B44" s="767" t="str">
        <x:f>Taxepunkter!B53</x:f>
        <x:v>Hämtningsavgift per år för flerbostadshus</x:v>
      </x:c>
      <x:c r="C44" s="767" t="str">
        <x:f>Taxepunkter!C53</x:f>
        <x:v>Kärl 190 l (förpackningar)</x:v>
      </x:c>
      <x:c r="D44" s="767" t="str">
        <x:f>Taxepunkter!D53</x:f>
        <x:v>Hämtning var 14:e dag</x:v>
      </x:c>
      <x:c r="E44" s="767" t="str">
        <x:f>Taxepunkter!E53</x:f>
        <x:v>st/år</x:v>
      </x:c>
      <x:c r="F44" s="767" t="n">
        <x:f>Taxepunkter!F53</x:f>
        <x:v>0</x:v>
      </x:c>
      <x:c r="G44" s="767" t="str">
        <x:f>Taxepunkter!G53</x:f>
        <x:v>KÄ190FP26FV</x:v>
      </x:c>
      <x:c r="H44" s="767" t="e">
        <x:f>Taxepunkter!H53</x:f>
      </x:c>
      <x:c r="I44" s="767" t="e">
        <x:f>Taxepunkter!I53</x:f>
      </x:c>
      <x:c r="J44" s="767" t="e">
        <x:f>Taxepunkter!J53</x:f>
      </x:c>
      <x:c r="K44" s="767" t="n">
        <x:f>Taxepunkter!K53</x:f>
        <x:v>0</x:v>
      </x:c>
      <x:c r="L44" s="774" t="n">
        <x:f>Taxepunkter!L53</x:f>
        <x:v>0</x:v>
      </x:c>
    </x:row>
    <x:row r="45">
      <x:c r="A45" s="773" t="str">
        <x:f>Taxepunkter!A54</x:f>
        <x:v>§2.2.4</x:v>
      </x:c>
      <x:c r="B45" s="767" t="str">
        <x:f>Taxepunkter!B54</x:f>
        <x:v>Hämtningsavgift per år för flerbostadshus</x:v>
      </x:c>
      <x:c r="C45" s="767" t="str">
        <x:f>Taxepunkter!C54</x:f>
        <x:v>Kärl 190 l (förpackningar)</x:v>
      </x:c>
      <x:c r="D45" s="767" t="str">
        <x:f>Taxepunkter!D54</x:f>
        <x:v>Hämtning månadsvis</x:v>
      </x:c>
      <x:c r="E45" s="767" t="str">
        <x:f>Taxepunkter!E54</x:f>
        <x:v>st/år</x:v>
      </x:c>
      <x:c r="F45" s="767" t="n">
        <x:f>Taxepunkter!F54</x:f>
        <x:v>0</x:v>
      </x:c>
      <x:c r="G45" s="767" t="str">
        <x:f>Taxepunkter!G54</x:f>
        <x:v>KÄ190FP12FV</x:v>
      </x:c>
      <x:c r="H45" s="767" t="e">
        <x:f>Taxepunkter!H54</x:f>
      </x:c>
      <x:c r="I45" s="767" t="e">
        <x:f>Taxepunkter!I54</x:f>
      </x:c>
      <x:c r="J45" s="767" t="e">
        <x:f>Taxepunkter!J54</x:f>
      </x:c>
      <x:c r="K45" s="767" t="n">
        <x:f>Taxepunkter!K54</x:f>
        <x:v>0</x:v>
      </x:c>
      <x:c r="L45" s="774" t="n">
        <x:f>Taxepunkter!L54</x:f>
        <x:v>0</x:v>
      </x:c>
    </x:row>
    <x:row r="46">
      <x:c r="A46" s="773" t="str">
        <x:f>Taxepunkter!A55</x:f>
        <x:v>§2.2.4</x:v>
      </x:c>
      <x:c r="B46" s="767" t="str">
        <x:f>Taxepunkter!B55</x:f>
        <x:v>Hämtningsavgift per år för flerbostadshus</x:v>
      </x:c>
      <x:c r="C46" s="767" t="str">
        <x:f>Taxepunkter!C55</x:f>
        <x:v>Kärl 370 l (förpackningar)</x:v>
      </x:c>
      <x:c r="D46" s="767" t="str">
        <x:f>Taxepunkter!D55</x:f>
        <x:v>Hämtning varje vecka</x:v>
      </x:c>
      <x:c r="E46" s="767" t="str">
        <x:f>Taxepunkter!E55</x:f>
        <x:v>st/år</x:v>
      </x:c>
      <x:c r="F46" s="767" t="n">
        <x:f>Taxepunkter!F55</x:f>
        <x:v>0</x:v>
      </x:c>
      <x:c r="G46" s="767" t="str">
        <x:f>Taxepunkter!G55</x:f>
        <x:v>KÄ370FP52FV</x:v>
      </x:c>
      <x:c r="H46" s="767" t="e">
        <x:f>Taxepunkter!H55</x:f>
      </x:c>
      <x:c r="I46" s="767" t="e">
        <x:f>Taxepunkter!I55</x:f>
      </x:c>
      <x:c r="J46" s="767" t="e">
        <x:f>Taxepunkter!J55</x:f>
      </x:c>
      <x:c r="K46" s="767" t="n">
        <x:f>Taxepunkter!K55</x:f>
        <x:v>0</x:v>
      </x:c>
      <x:c r="L46" s="774" t="n">
        <x:f>Taxepunkter!L55</x:f>
        <x:v>0</x:v>
      </x:c>
    </x:row>
    <x:row r="47">
      <x:c r="A47" s="773" t="str">
        <x:f>Taxepunkter!A56</x:f>
        <x:v>§2.2.4</x:v>
      </x:c>
      <x:c r="B47" s="767" t="str">
        <x:f>Taxepunkter!B56</x:f>
        <x:v>Hämtningsavgift per år för flerbostadshus</x:v>
      </x:c>
      <x:c r="C47" s="767" t="str">
        <x:f>Taxepunkter!C56</x:f>
        <x:v>Kärl 370 l (förpackningar)</x:v>
      </x:c>
      <x:c r="D47" s="767" t="str">
        <x:f>Taxepunkter!D56</x:f>
        <x:v>Hämtning var 14:e dag</x:v>
      </x:c>
      <x:c r="E47" s="767" t="str">
        <x:f>Taxepunkter!E56</x:f>
        <x:v>st/år</x:v>
      </x:c>
      <x:c r="F47" s="767" t="n">
        <x:f>Taxepunkter!F56</x:f>
        <x:v>0</x:v>
      </x:c>
      <x:c r="G47" s="767" t="str">
        <x:f>Taxepunkter!G56</x:f>
        <x:v>KÄ370FP26FV</x:v>
      </x:c>
      <x:c r="H47" s="767" t="e">
        <x:f>Taxepunkter!H56</x:f>
      </x:c>
      <x:c r="I47" s="767" t="e">
        <x:f>Taxepunkter!I56</x:f>
      </x:c>
      <x:c r="J47" s="767" t="e">
        <x:f>Taxepunkter!J56</x:f>
      </x:c>
      <x:c r="K47" s="767" t="n">
        <x:f>Taxepunkter!K56</x:f>
        <x:v>0</x:v>
      </x:c>
      <x:c r="L47" s="774" t="n">
        <x:f>Taxepunkter!L56</x:f>
        <x:v>0</x:v>
      </x:c>
    </x:row>
    <x:row r="48">
      <x:c r="A48" s="773" t="str">
        <x:f>Taxepunkter!A57</x:f>
        <x:v>§2.2.4</x:v>
      </x:c>
      <x:c r="B48" s="767" t="str">
        <x:f>Taxepunkter!B57</x:f>
        <x:v>Hämtningsavgift per år för flerbostadshus</x:v>
      </x:c>
      <x:c r="C48" s="767" t="str">
        <x:f>Taxepunkter!C57</x:f>
        <x:v>Kärl 370 l (förpackningar)</x:v>
      </x:c>
      <x:c r="D48" s="767" t="str">
        <x:f>Taxepunkter!D57</x:f>
        <x:v>Hämtning månadsvis</x:v>
      </x:c>
      <x:c r="E48" s="767" t="str">
        <x:f>Taxepunkter!E57</x:f>
        <x:v>st/år</x:v>
      </x:c>
      <x:c r="F48" s="767" t="n">
        <x:f>Taxepunkter!F57</x:f>
        <x:v>0</x:v>
      </x:c>
      <x:c r="G48" s="767" t="str">
        <x:f>Taxepunkter!G57</x:f>
        <x:v>KÄ370FP12FV</x:v>
      </x:c>
      <x:c r="H48" s="767" t="e">
        <x:f>Taxepunkter!H57</x:f>
      </x:c>
      <x:c r="I48" s="767" t="e">
        <x:f>Taxepunkter!I57</x:f>
      </x:c>
      <x:c r="J48" s="767" t="e">
        <x:f>Taxepunkter!J57</x:f>
      </x:c>
      <x:c r="K48" s="767" t="n">
        <x:f>Taxepunkter!K57</x:f>
        <x:v>0</x:v>
      </x:c>
      <x:c r="L48" s="774" t="n">
        <x:f>Taxepunkter!L57</x:f>
        <x:v>0</x:v>
      </x:c>
    </x:row>
    <x:row r="49">
      <x:c r="A49" s="773" t="str">
        <x:f>Taxepunkter!A59</x:f>
        <x:v>§2.2.4</x:v>
      </x:c>
      <x:c r="B49" s="767" t="str">
        <x:f>Taxepunkter!B59</x:f>
        <x:v>Hämtningsavgift per år för flerbostadshus</x:v>
      </x:c>
      <x:c r="C49" s="767" t="str">
        <x:f>Taxepunkter!C59</x:f>
        <x:v>Kärl 660 l (förpackningar)</x:v>
      </x:c>
      <x:c r="D49" s="767" t="str">
        <x:f>Taxepunkter!D59</x:f>
        <x:v>Hämtning var 14:e dag</x:v>
      </x:c>
      <x:c r="E49" s="767" t="str">
        <x:f>Taxepunkter!E59</x:f>
        <x:v>st/år</x:v>
      </x:c>
      <x:c r="F49" s="767" t="n">
        <x:f>Taxepunkter!F59</x:f>
        <x:v>0</x:v>
      </x:c>
      <x:c r="G49" s="767" t="str">
        <x:f>Taxepunkter!G59</x:f>
        <x:v>KÄ660FP26FV</x:v>
      </x:c>
      <x:c r="H49" s="767" t="e">
        <x:f>Taxepunkter!H59</x:f>
      </x:c>
      <x:c r="I49" s="767" t="e">
        <x:f>Taxepunkter!I59</x:f>
      </x:c>
      <x:c r="J49" s="767" t="e">
        <x:f>Taxepunkter!J59</x:f>
      </x:c>
      <x:c r="K49" s="767" t="n">
        <x:f>Taxepunkter!K59</x:f>
        <x:v>0</x:v>
      </x:c>
      <x:c r="L49" s="774" t="n">
        <x:f>Taxepunkter!L59</x:f>
        <x:v>0</x:v>
      </x:c>
    </x:row>
    <x:row r="50">
      <x:c r="A50" s="773" t="str">
        <x:f>Taxepunkter!A60</x:f>
        <x:v>§2.2.4</x:v>
      </x:c>
      <x:c r="B50" s="767" t="str">
        <x:f>Taxepunkter!B60</x:f>
        <x:v>Hämtningsavgift per år för flerbostadshus</x:v>
      </x:c>
      <x:c r="C50" s="767" t="str">
        <x:f>Taxepunkter!C60</x:f>
        <x:v>Kärl 660 l (förpackningar)</x:v>
      </x:c>
      <x:c r="D50" s="767" t="str">
        <x:f>Taxepunkter!D60</x:f>
        <x:v>Hämtning månadsvis</x:v>
      </x:c>
      <x:c r="E50" s="767" t="str">
        <x:f>Taxepunkter!E60</x:f>
        <x:v>st/år</x:v>
      </x:c>
      <x:c r="F50" s="767" t="n">
        <x:f>Taxepunkter!F60</x:f>
        <x:v>0</x:v>
      </x:c>
      <x:c r="G50" s="767" t="str">
        <x:f>Taxepunkter!G60</x:f>
        <x:v>KÄ660FP12FV</x:v>
      </x:c>
      <x:c r="H50" s="767" t="e">
        <x:f>Taxepunkter!H60</x:f>
      </x:c>
      <x:c r="I50" s="767" t="e">
        <x:f>Taxepunkter!I60</x:f>
      </x:c>
      <x:c r="J50" s="767" t="e">
        <x:f>Taxepunkter!J60</x:f>
      </x:c>
      <x:c r="K50" s="767" t="n">
        <x:f>Taxepunkter!K60</x:f>
        <x:v>0</x:v>
      </x:c>
      <x:c r="L50" s="774" t="n">
        <x:f>Taxepunkter!L60</x:f>
        <x:v>0</x:v>
      </x:c>
    </x:row>
    <x:row r="51">
      <x:c r="A51" s="773" t="str">
        <x:f>Taxepunkter!A61</x:f>
        <x:v>§2.2.4</x:v>
      </x:c>
      <x:c r="B51" s="767" t="str">
        <x:f>Taxepunkter!B61</x:f>
        <x:v>Hämtningsavgift per år för flerbostadshus</x:v>
      </x:c>
      <x:c r="C51" s="767" t="str">
        <x:f>Taxepunkter!C61</x:f>
        <x:v>Kärl 190 l (tidningar och returpapper)</x:v>
      </x:c>
      <x:c r="D51" s="767" t="str">
        <x:f>Taxepunkter!D61</x:f>
        <x:v>Hämtning varje vecka</x:v>
      </x:c>
      <x:c r="E51" s="767" t="str">
        <x:f>Taxepunkter!E61</x:f>
        <x:v>st/år</x:v>
      </x:c>
      <x:c r="F51" s="767" t="n">
        <x:f>Taxepunkter!F61</x:f>
        <x:v>0</x:v>
      </x:c>
      <x:c r="G51" s="767" t="str">
        <x:f>Taxepunkter!G61</x:f>
        <x:v>KÄ190TI52FV</x:v>
      </x:c>
      <x:c r="H51" s="767" t="e">
        <x:f>Taxepunkter!H61</x:f>
      </x:c>
      <x:c r="I51" s="767" t="e">
        <x:f>Taxepunkter!I61</x:f>
      </x:c>
      <x:c r="J51" s="767" t="e">
        <x:f>Taxepunkter!J61</x:f>
      </x:c>
      <x:c r="K51" s="767" t="n">
        <x:f>Taxepunkter!K61</x:f>
        <x:v>0</x:v>
      </x:c>
      <x:c r="L51" s="774" t="n">
        <x:f>Taxepunkter!L61</x:f>
        <x:v>0</x:v>
      </x:c>
    </x:row>
    <x:row r="52">
      <x:c r="A52" s="773" t="str">
        <x:f>Taxepunkter!A62</x:f>
        <x:v>§2.2.4</x:v>
      </x:c>
      <x:c r="B52" s="767" t="str">
        <x:f>Taxepunkter!B62</x:f>
        <x:v>Hämtningsavgift per år för flerbostadshus</x:v>
      </x:c>
      <x:c r="C52" s="767" t="str">
        <x:f>Taxepunkter!C62</x:f>
        <x:v>Kärl 190 l (tidningar och returpapper)</x:v>
      </x:c>
      <x:c r="D52" s="767" t="str">
        <x:f>Taxepunkter!D62</x:f>
        <x:v>Hämtning var 14:e dag</x:v>
      </x:c>
      <x:c r="E52" s="767" t="str">
        <x:f>Taxepunkter!E62</x:f>
        <x:v>st/år</x:v>
      </x:c>
      <x:c r="F52" s="767" t="n">
        <x:f>Taxepunkter!F62</x:f>
        <x:v>0</x:v>
      </x:c>
      <x:c r="G52" s="767" t="str">
        <x:f>Taxepunkter!G62</x:f>
        <x:v>KÄ190TI26FV</x:v>
      </x:c>
      <x:c r="H52" s="767" t="e">
        <x:f>Taxepunkter!H62</x:f>
      </x:c>
      <x:c r="I52" s="767" t="e">
        <x:f>Taxepunkter!I62</x:f>
      </x:c>
      <x:c r="J52" s="767" t="e">
        <x:f>Taxepunkter!J62</x:f>
      </x:c>
      <x:c r="K52" s="767" t="n">
        <x:f>Taxepunkter!K62</x:f>
        <x:v>0</x:v>
      </x:c>
      <x:c r="L52" s="774" t="n">
        <x:f>Taxepunkter!L62</x:f>
        <x:v>0</x:v>
      </x:c>
    </x:row>
    <x:row r="53">
      <x:c r="A53" s="773" t="str">
        <x:f>Taxepunkter!A63</x:f>
        <x:v>§2.2.4</x:v>
      </x:c>
      <x:c r="B53" s="767" t="str">
        <x:f>Taxepunkter!B63</x:f>
        <x:v>Hämtningsavgift per år för flerbostadshus</x:v>
      </x:c>
      <x:c r="C53" s="767" t="str">
        <x:f>Taxepunkter!C63</x:f>
        <x:v>Kärl 190 l (tidningar och returpapper)</x:v>
      </x:c>
      <x:c r="D53" s="767" t="str">
        <x:f>Taxepunkter!D63</x:f>
        <x:v>Hämtning månadsvis</x:v>
      </x:c>
      <x:c r="E53" s="767" t="str">
        <x:f>Taxepunkter!E63</x:f>
        <x:v>st/år</x:v>
      </x:c>
      <x:c r="F53" s="767" t="n">
        <x:f>Taxepunkter!F63</x:f>
        <x:v>0</x:v>
      </x:c>
      <x:c r="G53" s="767" t="str">
        <x:f>Taxepunkter!G63</x:f>
        <x:v>KÄ190TI12FV</x:v>
      </x:c>
      <x:c r="H53" s="767" t="e">
        <x:f>Taxepunkter!H63</x:f>
      </x:c>
      <x:c r="I53" s="767" t="e">
        <x:f>Taxepunkter!I63</x:f>
      </x:c>
      <x:c r="J53" s="767" t="e">
        <x:f>Taxepunkter!J63</x:f>
      </x:c>
      <x:c r="K53" s="767" t="n">
        <x:f>Taxepunkter!K63</x:f>
        <x:v>0</x:v>
      </x:c>
      <x:c r="L53" s="774" t="n">
        <x:f>Taxepunkter!L63</x:f>
        <x:v>0</x:v>
      </x:c>
    </x:row>
    <x:row r="54">
      <x:c r="A54" s="773" t="str">
        <x:f>Taxepunkter!A64</x:f>
        <x:v>§2.2.4</x:v>
      </x:c>
      <x:c r="B54" s="767" t="str">
        <x:f>Taxepunkter!B64</x:f>
        <x:v>Hämtningsavgift per år för flerbostadshus</x:v>
      </x:c>
      <x:c r="C54" s="767" t="str">
        <x:f>Taxepunkter!C64</x:f>
        <x:v>Kärl 370 l (tidningar och returpapper)</x:v>
      </x:c>
      <x:c r="D54" s="767" t="str">
        <x:f>Taxepunkter!D64</x:f>
        <x:v>Hämtning varje vecka</x:v>
      </x:c>
      <x:c r="E54" s="767" t="str">
        <x:f>Taxepunkter!E64</x:f>
        <x:v>st/år</x:v>
      </x:c>
      <x:c r="F54" s="767" t="n">
        <x:f>Taxepunkter!F64</x:f>
        <x:v>0</x:v>
      </x:c>
      <x:c r="G54" s="767" t="str">
        <x:f>Taxepunkter!G64</x:f>
        <x:v>KÄ370TI52FV</x:v>
      </x:c>
      <x:c r="H54" s="767" t="e">
        <x:f>Taxepunkter!H64</x:f>
      </x:c>
      <x:c r="I54" s="767" t="e">
        <x:f>Taxepunkter!I64</x:f>
      </x:c>
      <x:c r="J54" s="767" t="e">
        <x:f>Taxepunkter!J64</x:f>
      </x:c>
      <x:c r="K54" s="767" t="n">
        <x:f>Taxepunkter!K64</x:f>
        <x:v>0</x:v>
      </x:c>
      <x:c r="L54" s="774" t="n">
        <x:f>Taxepunkter!L64</x:f>
        <x:v>0</x:v>
      </x:c>
    </x:row>
    <x:row r="55">
      <x:c r="A55" s="773" t="str">
        <x:f>Taxepunkter!A65</x:f>
        <x:v>§2.2.4</x:v>
      </x:c>
      <x:c r="B55" s="767" t="str">
        <x:f>Taxepunkter!B65</x:f>
        <x:v>Hämtningsavgift per år för flerbostadshus</x:v>
      </x:c>
      <x:c r="C55" s="767" t="str">
        <x:f>Taxepunkter!C65</x:f>
        <x:v>Kärl 370 l (tidningar och returpapper)</x:v>
      </x:c>
      <x:c r="D55" s="767" t="str">
        <x:f>Taxepunkter!D65</x:f>
        <x:v>Hämtning var 14:e dag</x:v>
      </x:c>
      <x:c r="E55" s="767" t="str">
        <x:f>Taxepunkter!E65</x:f>
        <x:v>st/år</x:v>
      </x:c>
      <x:c r="F55" s="767" t="n">
        <x:f>Taxepunkter!F65</x:f>
        <x:v>0</x:v>
      </x:c>
      <x:c r="G55" s="767" t="str">
        <x:f>Taxepunkter!G65</x:f>
        <x:v>KÄ370TI26FV</x:v>
      </x:c>
      <x:c r="H55" s="767" t="e">
        <x:f>Taxepunkter!H65</x:f>
      </x:c>
      <x:c r="I55" s="767" t="e">
        <x:f>Taxepunkter!I65</x:f>
      </x:c>
      <x:c r="J55" s="767" t="e">
        <x:f>Taxepunkter!J65</x:f>
      </x:c>
      <x:c r="K55" s="767" t="n">
        <x:f>Taxepunkter!K65</x:f>
        <x:v>0</x:v>
      </x:c>
      <x:c r="L55" s="774" t="n">
        <x:f>Taxepunkter!L65</x:f>
        <x:v>0</x:v>
      </x:c>
    </x:row>
    <x:row r="56">
      <x:c r="A56" s="773" t="str">
        <x:f>Taxepunkter!A66</x:f>
        <x:v>§2.2.4</x:v>
      </x:c>
      <x:c r="B56" s="767" t="str">
        <x:f>Taxepunkter!B66</x:f>
        <x:v>Hämtningsavgift per år för flerbostadshus</x:v>
      </x:c>
      <x:c r="C56" s="767" t="str">
        <x:f>Taxepunkter!C66</x:f>
        <x:v>Kärl 370 l (tidningar och returpapper)</x:v>
      </x:c>
      <x:c r="D56" s="767" t="str">
        <x:f>Taxepunkter!D66</x:f>
        <x:v>Hämtning månadsvis</x:v>
      </x:c>
      <x:c r="E56" s="767" t="str">
        <x:f>Taxepunkter!E66</x:f>
        <x:v>st/år</x:v>
      </x:c>
      <x:c r="F56" s="767" t="n">
        <x:f>Taxepunkter!F66</x:f>
        <x:v>0</x:v>
      </x:c>
      <x:c r="G56" s="767" t="str">
        <x:f>Taxepunkter!G66</x:f>
        <x:v>KÄ370TI12FV</x:v>
      </x:c>
      <x:c r="H56" s="767" t="e">
        <x:f>Taxepunkter!H66</x:f>
      </x:c>
      <x:c r="I56" s="767" t="e">
        <x:f>Taxepunkter!I66</x:f>
      </x:c>
      <x:c r="J56" s="767" t="e">
        <x:f>Taxepunkter!J66</x:f>
      </x:c>
      <x:c r="K56" s="767" t="n">
        <x:f>Taxepunkter!K66</x:f>
        <x:v>0</x:v>
      </x:c>
      <x:c r="L56" s="774" t="n">
        <x:f>Taxepunkter!L66</x:f>
        <x:v>0</x:v>
      </x:c>
    </x:row>
    <x:row r="57">
      <x:c r="A57" s="773" t="str">
        <x:f>Taxepunkter!A67</x:f>
        <x:v>§2.2.4</x:v>
      </x:c>
      <x:c r="B57" s="767" t="str">
        <x:f>Taxepunkter!B67</x:f>
        <x:v>Hämtningsavgift per år för flerbostadshus</x:v>
      </x:c>
      <x:c r="C57" s="767" t="str">
        <x:f>Taxepunkter!C67</x:f>
        <x:v>Bottentömmande behållare (mat-/restavfall, förpackningar)</x:v>
      </x:c>
      <x:c r="D57" s="767" t="str">
        <x:f>Taxepunkter!D67</x:f>
        <x:v>Avgift per tömning</x:v>
      </x:c>
      <x:c r="E57" s="767" t="str">
        <x:f>Taxepunkter!E67</x:f>
        <x:v>st/tömning</x:v>
      </x:c>
      <x:c r="F57" s="767" t="n">
        <x:f>Taxepunkter!F67</x:f>
        <x:v>0</x:v>
      </x:c>
      <x:c r="G57" s="767" t="str">
        <x:f>Taxepunkter!G67</x:f>
        <x:v>MBRMFPFV</x:v>
      </x:c>
      <x:c r="H57" s="767" t="e">
        <x:f>Taxepunkter!H67</x:f>
      </x:c>
      <x:c r="I57" s="767" t="e">
        <x:f>Taxepunkter!I67</x:f>
      </x:c>
      <x:c r="J57" s="767" t="e">
        <x:f>Taxepunkter!J67</x:f>
      </x:c>
      <x:c r="K57" s="767" t="n">
        <x:f>Taxepunkter!K67</x:f>
        <x:v>0</x:v>
      </x:c>
      <x:c r="L57" s="774" t="n">
        <x:f>Taxepunkter!L67</x:f>
        <x:v>0</x:v>
      </x:c>
    </x:row>
    <x:row r="58">
      <x:c r="A58" s="773" t="str">
        <x:f>Taxepunkter!A68</x:f>
        <x:v>§2.2.4</x:v>
      </x:c>
      <x:c r="B58" s="767" t="str">
        <x:f>Taxepunkter!B68</x:f>
        <x:v>Hämtningsavgift per år för flerbostadshus</x:v>
      </x:c>
      <x:c r="C58" s="767" t="str">
        <x:f>Taxepunkter!C68</x:f>
        <x:v>Bottentömmande behållare (mat-/restavfall, förpackningar)</x:v>
      </x:c>
      <x:c r="D58" s="767" t="str">
        <x:f>Taxepunkter!D68</x:f>
        <x:v>Tillägg för två tömningar per vecka</x:v>
      </x:c>
      <x:c r="E58" s="767" t="str">
        <x:f>Taxepunkter!E68</x:f>
        <x:v>st/tömning</x:v>
      </x:c>
      <x:c r="F58" s="767" t="n">
        <x:f>Taxepunkter!F68</x:f>
        <x:v>0</x:v>
      </x:c>
      <x:c r="G58" s="767" t="str">
        <x:f>Taxepunkter!G68</x:f>
        <x:v>MBRMFP2VFV</x:v>
      </x:c>
      <x:c r="H58" s="767" t="e">
        <x:f>Taxepunkter!H68</x:f>
      </x:c>
      <x:c r="I58" s="767" t="e">
        <x:f>Taxepunkter!I68</x:f>
      </x:c>
      <x:c r="J58" s="767" t="e">
        <x:f>Taxepunkter!J68</x:f>
      </x:c>
      <x:c r="K58" s="767" t="n">
        <x:f>Taxepunkter!K68</x:f>
        <x:v>0</x:v>
      </x:c>
      <x:c r="L58" s="774" t="n">
        <x:f>Taxepunkter!L68</x:f>
        <x:v>0</x:v>
      </x:c>
    </x:row>
    <x:row r="59">
      <x:c r="A59" s="773" t="str">
        <x:f>Taxepunkter!A69</x:f>
        <x:v>§2.2.4</x:v>
      </x:c>
      <x:c r="B59" s="767" t="str">
        <x:f>Taxepunkter!B69</x:f>
        <x:v>Hämtningsavgift per år för flerbostadshus</x:v>
      </x:c>
      <x:c r="C59" s="767" t="str">
        <x:f>Taxepunkter!C69</x:f>
        <x:v>Gemensam uppsamlingsplats för mat-/restavfall, förpackningar</x:v>
      </x:c>
      <x:c r="D59" s="767" t="str">
        <x:f>Taxepunkter!D69</x:f>
        <x:v>Avgift per lägenhet</x:v>
      </x:c>
      <x:c r="E59" s="767" t="str">
        <x:f>Taxepunkter!E69</x:f>
        <x:v>lägenhet/år</x:v>
      </x:c>
      <x:c r="F59" s="767" t="n">
        <x:f>Taxepunkter!F69</x:f>
        <x:v>0</x:v>
      </x:c>
      <x:c r="G59" s="767" t="str">
        <x:f>Taxepunkter!G69</x:f>
        <x:v>GEMUPPMRFPFLB</x:v>
      </x:c>
      <x:c r="H59" s="767" t="e">
        <x:f>Taxepunkter!H69</x:f>
      </x:c>
      <x:c r="I59" s="767" t="e">
        <x:f>Taxepunkter!I69</x:f>
      </x:c>
      <x:c r="J59" s="767" t="e">
        <x:f>Taxepunkter!J69</x:f>
      </x:c>
      <x:c r="K59" s="767" t="n">
        <x:f>Taxepunkter!K69</x:f>
        <x:v>0</x:v>
      </x:c>
      <x:c r="L59" s="774" t="n">
        <x:f>Taxepunkter!L69</x:f>
        <x:v>0</x:v>
      </x:c>
    </x:row>
    <x:row r="60">
      <x:c r="A60" s="773" t="str">
        <x:f>Taxepunkter!A70</x:f>
        <x:v>§2.2.4</x:v>
      </x:c>
      <x:c r="B60" s="767" t="n">
        <x:f>Taxepunkter!B70</x:f>
        <x:v>0</x:v>
      </x:c>
      <x:c r="C60" s="767" t="n">
        <x:f>Taxepunkter!C70</x:f>
        <x:v>0</x:v>
      </x:c>
      <x:c r="D60" s="767" t="n">
        <x:f>Taxepunkter!D70</x:f>
        <x:v>0</x:v>
      </x:c>
      <x:c r="E60" s="767" t="n">
        <x:f>Taxepunkter!E70</x:f>
        <x:v>0</x:v>
      </x:c>
      <x:c r="F60" s="767" t="n">
        <x:f>Taxepunkter!F70</x:f>
        <x:v>0</x:v>
      </x:c>
      <x:c r="G60" s="767" t="str">
        <x:f>Taxepunkter!G70</x:f>
      </x:c>
      <x:c r="H60" s="767" t="e">
        <x:f>Taxepunkter!H70</x:f>
      </x:c>
      <x:c r="I60" s="767" t="e">
        <x:f>Taxepunkter!I70</x:f>
      </x:c>
      <x:c r="J60" s="767" t="e">
        <x:f>Taxepunkter!J70</x:f>
      </x:c>
      <x:c r="K60" s="767" t="n">
        <x:f>Taxepunkter!K70</x:f>
        <x:v>0</x:v>
      </x:c>
      <x:c r="L60" s="774" t="n">
        <x:f>Taxepunkter!L70</x:f>
        <x:v>0</x:v>
      </x:c>
    </x:row>
    <x:row r="61">
      <x:c r="A61" s="773" t="str">
        <x:f>Taxepunkter!A71</x:f>
        <x:v>§2.2.5 Hämtningsavgift per år för verksamheter</x:v>
      </x:c>
      <x:c r="B61" s="767" t="n">
        <x:f>Taxepunkter!B71</x:f>
        <x:v>0</x:v>
      </x:c>
      <x:c r="C61" s="767" t="n">
        <x:f>Taxepunkter!C71</x:f>
        <x:v>0</x:v>
      </x:c>
      <x:c r="D61" s="767" t="n">
        <x:f>Taxepunkter!D71</x:f>
        <x:v>0</x:v>
      </x:c>
      <x:c r="E61" s="767" t="n">
        <x:f>Taxepunkter!E71</x:f>
        <x:v>0</x:v>
      </x:c>
      <x:c r="F61" s="767" t="n">
        <x:f>Taxepunkter!F71</x:f>
        <x:v>0</x:v>
      </x:c>
      <x:c r="G61" s="767" t="str">
        <x:f>Taxepunkter!G71</x:f>
      </x:c>
      <x:c r="H61" s="767" t="e">
        <x:f>Taxepunkter!H71</x:f>
      </x:c>
      <x:c r="I61" s="767" t="e">
        <x:f>Taxepunkter!I71</x:f>
      </x:c>
      <x:c r="J61" s="767" t="e">
        <x:f>Taxepunkter!J71</x:f>
      </x:c>
      <x:c r="K61" s="767" t="n">
        <x:f>Taxepunkter!K71</x:f>
        <x:v>0</x:v>
      </x:c>
      <x:c r="L61" s="774" t="n">
        <x:f>Taxepunkter!L71</x:f>
        <x:v>0</x:v>
      </x:c>
    </x:row>
    <x:row r="62">
      <x:c r="A62" s="773" t="str">
        <x:f>Taxepunkter!A73</x:f>
        <x:v>§2.2.5</x:v>
      </x:c>
      <x:c r="B62" s="767" t="str">
        <x:f>Taxepunkter!B73</x:f>
        <x:v>Hämtningsavgift per år för verksamheter</x:v>
      </x:c>
      <x:c r="C62" s="767" t="str">
        <x:f>Taxepunkter!C73</x:f>
        <x:v>Kärl 240 l (mat-/restavfall)</x:v>
      </x:c>
      <x:c r="D62" s="767" t="str">
        <x:f>Taxepunkter!D73</x:f>
        <x:v>Hämtning var 14:e dag</x:v>
      </x:c>
      <x:c r="E62" s="767" t="str">
        <x:f>Taxepunkter!E73</x:f>
        <x:v>st/år</x:v>
      </x:c>
      <x:c r="F62" s="767" t="str">
        <x:f>Taxepunkter!F73</x:f>
        <x:v>KÄ240RM26FV</x:v>
      </x:c>
      <x:c r="G62" s="767" t="str">
        <x:f>Taxepunkter!G73</x:f>
        <x:v>KÄ240RM26FV</x:v>
      </x:c>
      <x:c r="H62" s="767" t="e">
        <x:f>Taxepunkter!H73</x:f>
      </x:c>
      <x:c r="I62" s="767" t="e">
        <x:f>Taxepunkter!I73</x:f>
      </x:c>
      <x:c r="J62" s="767" t="e">
        <x:f>Taxepunkter!J73</x:f>
      </x:c>
      <x:c r="K62" s="767" t="n">
        <x:f>Taxepunkter!K73</x:f>
        <x:v>0</x:v>
      </x:c>
      <x:c r="L62" s="774" t="n">
        <x:f>Taxepunkter!L73</x:f>
        <x:v>0</x:v>
      </x:c>
    </x:row>
    <x:row r="63">
      <x:c r="A63" s="773" t="str">
        <x:f>Taxepunkter!A74</x:f>
        <x:v>§2.2.5</x:v>
      </x:c>
      <x:c r="B63" s="767" t="str">
        <x:f>Taxepunkter!B74</x:f>
        <x:v>Hämtningsavgift per år för verksamheter</x:v>
      </x:c>
      <x:c r="C63" s="767" t="str">
        <x:f>Taxepunkter!C74</x:f>
        <x:v>Kärl 240 l (mat-/restavfall)</x:v>
      </x:c>
      <x:c r="D63" s="767" t="str">
        <x:f>Taxepunkter!D74</x:f>
        <x:v>Hämtning månadsvis</x:v>
      </x:c>
      <x:c r="E63" s="767" t="str">
        <x:f>Taxepunkter!E74</x:f>
        <x:v>st/år</x:v>
      </x:c>
      <x:c r="F63" s="767" t="n">
        <x:f>Taxepunkter!F74</x:f>
        <x:v>0</x:v>
      </x:c>
      <x:c r="G63" s="767" t="str">
        <x:f>Taxepunkter!G74</x:f>
        <x:v>KÄ240RM12FV</x:v>
      </x:c>
      <x:c r="H63" s="767" t="e">
        <x:f>Taxepunkter!H74</x:f>
      </x:c>
      <x:c r="I63" s="767" t="e">
        <x:f>Taxepunkter!I74</x:f>
      </x:c>
      <x:c r="J63" s="767" t="e">
        <x:f>Taxepunkter!J74</x:f>
      </x:c>
      <x:c r="K63" s="767" t="n">
        <x:f>Taxepunkter!K74</x:f>
        <x:v>0</x:v>
      </x:c>
      <x:c r="L63" s="774" t="n">
        <x:f>Taxepunkter!L74</x:f>
        <x:v>0</x:v>
      </x:c>
    </x:row>
    <x:row r="64">
      <x:c r="A64" s="773" t="str">
        <x:f>Taxepunkter!A75</x:f>
        <x:v>§2.2.5</x:v>
      </x:c>
      <x:c r="B64" s="767" t="str">
        <x:f>Taxepunkter!B75</x:f>
        <x:v>Hämtningsavgift per år för verksamheter</x:v>
      </x:c>
      <x:c r="C64" s="767" t="str">
        <x:f>Taxepunkter!C75</x:f>
        <x:v>Kärl 370 l (restavfall)</x:v>
      </x:c>
      <x:c r="D64" s="767" t="str">
        <x:f>Taxepunkter!D75</x:f>
        <x:v>Hämtning varje vecka</x:v>
      </x:c>
      <x:c r="E64" s="767" t="str">
        <x:f>Taxepunkter!E75</x:f>
        <x:v>st/år</x:v>
      </x:c>
      <x:c r="F64" s="767" t="str">
        <x:f>Taxepunkter!F75</x:f>
        <x:v>KÄ370RE52FV</x:v>
      </x:c>
      <x:c r="G64" s="767" t="str">
        <x:f>Taxepunkter!G75</x:f>
        <x:v>KÄ370RE52FV</x:v>
      </x:c>
      <x:c r="H64" s="767" t="e">
        <x:f>Taxepunkter!H75</x:f>
      </x:c>
      <x:c r="I64" s="767" t="e">
        <x:f>Taxepunkter!I75</x:f>
      </x:c>
      <x:c r="J64" s="767" t="e">
        <x:f>Taxepunkter!J75</x:f>
      </x:c>
      <x:c r="K64" s="767" t="n">
        <x:f>Taxepunkter!K75</x:f>
        <x:v>0</x:v>
      </x:c>
      <x:c r="L64" s="774" t="n">
        <x:f>Taxepunkter!L75</x:f>
        <x:v>0</x:v>
      </x:c>
    </x:row>
    <x:row r="65">
      <x:c r="A65" s="773" t="str">
        <x:f>Taxepunkter!A77</x:f>
        <x:v>§2.2.5</x:v>
      </x:c>
      <x:c r="B65" s="767" t="str">
        <x:f>Taxepunkter!B77</x:f>
        <x:v>Hämtningsavgift per år för verksamheter</x:v>
      </x:c>
      <x:c r="C65" s="767" t="str">
        <x:f>Taxepunkter!C77</x:f>
        <x:v>Kärl 370 l (restavfall)</x:v>
      </x:c>
      <x:c r="D65" s="767" t="str">
        <x:f>Taxepunkter!D77</x:f>
        <x:v>Hämtning månadsvis</x:v>
      </x:c>
      <x:c r="E65" s="767" t="str">
        <x:f>Taxepunkter!E77</x:f>
        <x:v>st/år</x:v>
      </x:c>
      <x:c r="F65" s="767" t="n">
        <x:f>Taxepunkter!F77</x:f>
        <x:v>0</x:v>
      </x:c>
      <x:c r="G65" s="767" t="str">
        <x:f>Taxepunkter!G77</x:f>
        <x:v>KÄ370RE12FV</x:v>
      </x:c>
      <x:c r="H65" s="767" t="e">
        <x:f>Taxepunkter!H77</x:f>
      </x:c>
      <x:c r="I65" s="767" t="e">
        <x:f>Taxepunkter!I77</x:f>
      </x:c>
      <x:c r="J65" s="767" t="e">
        <x:f>Taxepunkter!J77</x:f>
      </x:c>
      <x:c r="K65" s="767" t="n">
        <x:f>Taxepunkter!K77</x:f>
        <x:v>0</x:v>
      </x:c>
      <x:c r="L65" s="774" t="n">
        <x:f>Taxepunkter!L77</x:f>
        <x:v>0</x:v>
      </x:c>
    </x:row>
    <x:row r="66">
      <x:c r="A66" s="773" t="str">
        <x:f>Taxepunkter!A78</x:f>
        <x:v>§2.2.5</x:v>
      </x:c>
      <x:c r="B66" s="767" t="str">
        <x:f>Taxepunkter!B78</x:f>
        <x:v>Hämtningsavgift per år för verksamheter</x:v>
      </x:c>
      <x:c r="C66" s="767" t="str">
        <x:f>Taxepunkter!C78</x:f>
        <x:v>Kärl 660 l (restavfall)</x:v>
      </x:c>
      <x:c r="D66" s="767" t="str">
        <x:f>Taxepunkter!D78</x:f>
        <x:v>Hämtning varje vecka</x:v>
      </x:c>
      <x:c r="E66" s="767" t="str">
        <x:f>Taxepunkter!E78</x:f>
        <x:v>st/år</x:v>
      </x:c>
      <x:c r="F66" s="767" t="str">
        <x:f>Taxepunkter!F78</x:f>
        <x:v>KÄ660RE52FV</x:v>
      </x:c>
      <x:c r="G66" s="767" t="str">
        <x:f>Taxepunkter!G78</x:f>
        <x:v>KÄ660RE52FV</x:v>
      </x:c>
      <x:c r="H66" s="767" t="e">
        <x:f>Taxepunkter!H78</x:f>
      </x:c>
      <x:c r="I66" s="767" t="e">
        <x:f>Taxepunkter!I78</x:f>
      </x:c>
      <x:c r="J66" s="767" t="e">
        <x:f>Taxepunkter!J78</x:f>
      </x:c>
      <x:c r="K66" s="767" t="n">
        <x:f>Taxepunkter!K78</x:f>
        <x:v>0</x:v>
      </x:c>
      <x:c r="L66" s="774" t="n">
        <x:f>Taxepunkter!L78</x:f>
        <x:v>0</x:v>
      </x:c>
    </x:row>
    <x:row r="67">
      <x:c r="A67" s="773" t="str">
        <x:f>Taxepunkter!A80</x:f>
        <x:v>§2.2.5</x:v>
      </x:c>
      <x:c r="B67" s="767" t="str">
        <x:f>Taxepunkter!B80</x:f>
        <x:v>Hämtningsavgift per år för verksamheter</x:v>
      </x:c>
      <x:c r="C67" s="767" t="str">
        <x:f>Taxepunkter!C80</x:f>
        <x:v>Kärl 660 l (restavfall)</x:v>
      </x:c>
      <x:c r="D67" s="767" t="str">
        <x:f>Taxepunkter!D80</x:f>
        <x:v>Hämtning månadsvis</x:v>
      </x:c>
      <x:c r="E67" s="767" t="str">
        <x:f>Taxepunkter!E80</x:f>
        <x:v>st/år</x:v>
      </x:c>
      <x:c r="F67" s="767" t="n">
        <x:f>Taxepunkter!F80</x:f>
        <x:v>0</x:v>
      </x:c>
      <x:c r="G67" s="767" t="str">
        <x:f>Taxepunkter!G80</x:f>
        <x:v>KÄ660RE12FV</x:v>
      </x:c>
      <x:c r="H67" s="767" t="e">
        <x:f>Taxepunkter!H80</x:f>
      </x:c>
      <x:c r="I67" s="767" t="e">
        <x:f>Taxepunkter!I80</x:f>
      </x:c>
      <x:c r="J67" s="767" t="e">
        <x:f>Taxepunkter!J80</x:f>
      </x:c>
      <x:c r="K67" s="767" t="n">
        <x:f>Taxepunkter!K80</x:f>
        <x:v>0</x:v>
      </x:c>
      <x:c r="L67" s="774" t="n">
        <x:f>Taxepunkter!L80</x:f>
        <x:v>0</x:v>
      </x:c>
    </x:row>
    <x:row r="68">
      <x:c r="A68" s="773" t="str">
        <x:f>Taxepunkter!A81</x:f>
        <x:v>§2.2.5</x:v>
      </x:c>
      <x:c r="B68" s="767" t="str">
        <x:f>Taxepunkter!B81</x:f>
        <x:v>Hämtningsavgift per år för verksamheter</x:v>
      </x:c>
      <x:c r="C68" s="767" t="str">
        <x:f>Taxepunkter!C81</x:f>
        <x:v>Kärl 140 l (matavfall)</x:v>
      </x:c>
      <x:c r="D68" s="767" t="str">
        <x:f>Taxepunkter!D81</x:f>
        <x:v>Hämtning varje vecka</x:v>
      </x:c>
      <x:c r="E68" s="767" t="str">
        <x:f>Taxepunkter!E81</x:f>
        <x:v>st/år</x:v>
      </x:c>
      <x:c r="F68" s="767" t="str">
        <x:f>Taxepunkter!F81</x:f>
        <x:v>KÄ140MA52FV</x:v>
      </x:c>
      <x:c r="G68" s="767" t="str">
        <x:f>Taxepunkter!G81</x:f>
        <x:v>KÄ140MA52FV</x:v>
      </x:c>
      <x:c r="H68" s="767" t="e">
        <x:f>Taxepunkter!H81</x:f>
      </x:c>
      <x:c r="I68" s="767" t="e">
        <x:f>Taxepunkter!I81</x:f>
      </x:c>
      <x:c r="J68" s="767" t="e">
        <x:f>Taxepunkter!J81</x:f>
      </x:c>
      <x:c r="K68" s="767" t="n">
        <x:f>Taxepunkter!K81</x:f>
        <x:v>0</x:v>
      </x:c>
      <x:c r="L68" s="774" t="n">
        <x:f>Taxepunkter!L81</x:f>
        <x:v>0</x:v>
      </x:c>
    </x:row>
    <x:row r="69">
      <x:c r="A69" s="773" t="str">
        <x:f>Taxepunkter!A83</x:f>
        <x:v>§2.2.5</x:v>
      </x:c>
      <x:c r="B69" s="767" t="str">
        <x:f>Taxepunkter!B83</x:f>
        <x:v>Hämtningsavgift per år för verksamheter</x:v>
      </x:c>
      <x:c r="C69" s="767" t="str">
        <x:f>Taxepunkter!C83</x:f>
        <x:v>Kärl 140 l (matavfall)</x:v>
      </x:c>
      <x:c r="D69" s="767" t="str">
        <x:f>Taxepunkter!D83</x:f>
        <x:v>Hämtning månadsvis</x:v>
      </x:c>
      <x:c r="E69" s="767" t="str">
        <x:f>Taxepunkter!E83</x:f>
        <x:v>st/år</x:v>
      </x:c>
      <x:c r="F69" s="767" t="n">
        <x:f>Taxepunkter!F83</x:f>
        <x:v>0</x:v>
      </x:c>
      <x:c r="G69" s="767" t="str">
        <x:f>Taxepunkter!G83</x:f>
        <x:v>KÄ140MA12FV</x:v>
      </x:c>
      <x:c r="H69" s="767" t="e">
        <x:f>Taxepunkter!H83</x:f>
      </x:c>
      <x:c r="I69" s="767" t="e">
        <x:f>Taxepunkter!I83</x:f>
      </x:c>
      <x:c r="J69" s="767" t="e">
        <x:f>Taxepunkter!J83</x:f>
      </x:c>
      <x:c r="K69" s="767" t="n">
        <x:f>Taxepunkter!K83</x:f>
        <x:v>0</x:v>
      </x:c>
      <x:c r="L69" s="774" t="n">
        <x:f>Taxepunkter!L83</x:f>
        <x:v>0</x:v>
      </x:c>
    </x:row>
    <x:row r="70">
      <x:c r="A70" s="773" t="str">
        <x:f>Taxepunkter!A85</x:f>
        <x:v>§2.2.5</x:v>
      </x:c>
      <x:c r="B70" s="767" t="str">
        <x:f>Taxepunkter!B85</x:f>
        <x:v>Hämtningsavgift per år för verksamheter</x:v>
      </x:c>
      <x:c r="C70" s="767" t="str">
        <x:f>Taxepunkter!C85</x:f>
        <x:v>Lastväxlarflak (restavfall)</x:v>
      </x:c>
      <x:c r="D70" s="767" t="str">
        <x:f>Taxepunkter!D85</x:f>
        <x:v>Avgift per tömning</x:v>
      </x:c>
      <x:c r="E70" s="767" t="str">
        <x:f>Taxepunkter!E85</x:f>
        <x:v>st/tömning</x:v>
      </x:c>
      <x:c r="F70" s="767" t="n">
        <x:f>Taxepunkter!F85</x:f>
        <x:v>0</x:v>
      </x:c>
      <x:c r="G70" s="767" t="str">
        <x:f>Taxepunkter!G85</x:f>
        <x:v>LVREFV</x:v>
      </x:c>
      <x:c r="H70" s="767" t="e">
        <x:f>Taxepunkter!H85</x:f>
      </x:c>
      <x:c r="I70" s="767" t="e">
        <x:f>Taxepunkter!I85</x:f>
      </x:c>
      <x:c r="J70" s="767" t="e">
        <x:f>Taxepunkter!J85</x:f>
      </x:c>
      <x:c r="K70" s="767" t="n">
        <x:f>Taxepunkter!K85</x:f>
        <x:v>0</x:v>
      </x:c>
      <x:c r="L70" s="774" t="n">
        <x:f>Taxepunkter!L85</x:f>
        <x:v>0</x:v>
      </x:c>
    </x:row>
    <x:row r="71">
      <x:c r="A71" s="773" t="str">
        <x:f>Taxepunkter!A86</x:f>
        <x:v>§2.2.5</x:v>
      </x:c>
      <x:c r="B71" s="767" t="str">
        <x:f>Taxepunkter!B86</x:f>
        <x:v>Hämtningsavgift per år för verksamheter</x:v>
      </x:c>
      <x:c r="C71" s="767" t="str">
        <x:f>Taxepunkter!C86</x:f>
        <x:v>Bottentömmande behållare (mat-/restavfall)</x:v>
      </x:c>
      <x:c r="D71" s="767" t="str">
        <x:f>Taxepunkter!D86</x:f>
        <x:v>Tillägg för två tömningar per vecka</x:v>
      </x:c>
      <x:c r="E71" s="767" t="str">
        <x:f>Taxepunkter!E86</x:f>
        <x:v>st/tömning</x:v>
      </x:c>
      <x:c r="F71" s="767" t="n">
        <x:f>Taxepunkter!F86</x:f>
        <x:v>0</x:v>
      </x:c>
      <x:c r="G71" s="767" t="str">
        <x:f>Taxepunkter!G86</x:f>
        <x:v>MBRM2VFV</x:v>
      </x:c>
      <x:c r="H71" s="767" t="e">
        <x:f>Taxepunkter!H86</x:f>
      </x:c>
      <x:c r="I71" s="767" t="e">
        <x:f>Taxepunkter!I86</x:f>
      </x:c>
      <x:c r="J71" s="767" t="e">
        <x:f>Taxepunkter!J86</x:f>
      </x:c>
      <x:c r="K71" s="767" t="n">
        <x:f>Taxepunkter!K86</x:f>
        <x:v>0</x:v>
      </x:c>
      <x:c r="L71" s="774" t="n">
        <x:f>Taxepunkter!L86</x:f>
        <x:v>0</x:v>
      </x:c>
    </x:row>
    <x:row r="72">
      <x:c r="A72" s="773" t="str">
        <x:f>Taxepunkter!A87</x:f>
        <x:v>§2.2.5</x:v>
      </x:c>
      <x:c r="B72" s="767" t="n">
        <x:f>Taxepunkter!B87</x:f>
        <x:v>0</x:v>
      </x:c>
      <x:c r="C72" s="767" t="n">
        <x:f>Taxepunkter!C87</x:f>
        <x:v>0</x:v>
      </x:c>
      <x:c r="D72" s="767" t="n">
        <x:f>Taxepunkter!D87</x:f>
        <x:v>0</x:v>
      </x:c>
      <x:c r="E72" s="767" t="n">
        <x:f>Taxepunkter!E87</x:f>
        <x:v>0</x:v>
      </x:c>
      <x:c r="F72" s="767" t="n">
        <x:f>Taxepunkter!F87</x:f>
        <x:v>0</x:v>
      </x:c>
      <x:c r="G72" s="767" t="str">
        <x:f>Taxepunkter!G87</x:f>
      </x:c>
      <x:c r="H72" s="767" t="e">
        <x:f>Taxepunkter!H87</x:f>
      </x:c>
      <x:c r="I72" s="767" t="e">
        <x:f>Taxepunkter!I87</x:f>
      </x:c>
      <x:c r="J72" s="767" t="e">
        <x:f>Taxepunkter!J87</x:f>
      </x:c>
      <x:c r="K72" s="767" t="n">
        <x:f>Taxepunkter!K87</x:f>
        <x:v>0</x:v>
      </x:c>
      <x:c r="L72" s="774" t="n">
        <x:f>Taxepunkter!L87</x:f>
        <x:v>0</x:v>
      </x:c>
    </x:row>
    <x:row r="73">
      <x:c r="A73" s="773" t="str">
        <x:f>Taxepunkter!A88</x:f>
        <x:v>§2.2.6 Hämtningsavgift per år för verksamhet inom detaljhandeln med beviljad hantering av kommunalt avfall</x:v>
      </x:c>
      <x:c r="B73" s="767" t="n">
        <x:f>Taxepunkter!B88</x:f>
        <x:v>0</x:v>
      </x:c>
      <x:c r="C73" s="767" t="n">
        <x:f>Taxepunkter!C88</x:f>
        <x:v>0</x:v>
      </x:c>
      <x:c r="D73" s="767" t="n">
        <x:f>Taxepunkter!D88</x:f>
        <x:v>0</x:v>
      </x:c>
      <x:c r="E73" s="767" t="n">
        <x:f>Taxepunkter!E88</x:f>
        <x:v>0</x:v>
      </x:c>
      <x:c r="F73" s="767" t="n">
        <x:f>Taxepunkter!F88</x:f>
        <x:v>0</x:v>
      </x:c>
      <x:c r="G73" s="767" t="str">
        <x:f>Taxepunkter!G88</x:f>
      </x:c>
      <x:c r="H73" s="767" t="e">
        <x:f>Taxepunkter!H88</x:f>
      </x:c>
      <x:c r="I73" s="767" t="e">
        <x:f>Taxepunkter!I88</x:f>
      </x:c>
      <x:c r="J73" s="767" t="e">
        <x:f>Taxepunkter!J88</x:f>
      </x:c>
      <x:c r="K73" s="767" t="n">
        <x:f>Taxepunkter!K88</x:f>
        <x:v>0</x:v>
      </x:c>
      <x:c r="L73" s="774" t="n">
        <x:f>Taxepunkter!L88</x:f>
        <x:v>0</x:v>
      </x:c>
    </x:row>
    <x:row r="74">
      <x:c r="A74" s="773" t="str">
        <x:f>Taxepunkter!A89</x:f>
        <x:v>§2.2.6</x:v>
      </x:c>
      <x:c r="B74" s="767" t="str">
        <x:f>Taxepunkter!B89</x:f>
        <x:v>Hämtningsavgift per år för verksamhet inom detaljhandeln med beviljad hantering av kommunalt avfall</x:v>
      </x:c>
      <x:c r="C74" s="767" t="str">
        <x:f>Taxepunkter!C89</x:f>
        <x:v>Kärl 240 l (mat-/restavfall)</x:v>
      </x:c>
      <x:c r="D74" s="767" t="str">
        <x:f>Taxepunkter!D89</x:f>
        <x:v>Hämtning varje vecka</x:v>
      </x:c>
      <x:c r="E74" s="767" t="str">
        <x:f>Taxepunkter!E89</x:f>
        <x:v>st/år</x:v>
      </x:c>
      <x:c r="F74" s="767" t="n">
        <x:f>Taxepunkter!F89</x:f>
        <x:v>0</x:v>
      </x:c>
      <x:c r="G74" s="767" t="str">
        <x:f>Taxepunkter!G89</x:f>
        <x:v>KÄ240RM52DH</x:v>
      </x:c>
      <x:c r="H74" s="767" t="e">
        <x:f>Taxepunkter!H89</x:f>
      </x:c>
      <x:c r="I74" s="767" t="e">
        <x:f>Taxepunkter!I89</x:f>
      </x:c>
      <x:c r="J74" s="767" t="e">
        <x:f>Taxepunkter!J89</x:f>
      </x:c>
      <x:c r="K74" s="767" t="n">
        <x:f>Taxepunkter!K89</x:f>
        <x:v>0</x:v>
      </x:c>
      <x:c r="L74" s="774" t="n">
        <x:f>Taxepunkter!L89</x:f>
        <x:v>0</x:v>
      </x:c>
    </x:row>
    <x:row r="75">
      <x:c r="A75" s="773" t="str">
        <x:f>Taxepunkter!A90</x:f>
        <x:v>§2.2.6</x:v>
      </x:c>
      <x:c r="B75" s="767" t="str">
        <x:f>Taxepunkter!B90</x:f>
        <x:v>Hämtningsavgift per år för verksamhet inom detaljhandeln med beviljad hantering av kommunalt avfall</x:v>
      </x:c>
      <x:c r="C75" s="767" t="str">
        <x:f>Taxepunkter!C90</x:f>
        <x:v>Kärl 240 l (mat-/restavfall)</x:v>
      </x:c>
      <x:c r="D75" s="767" t="str">
        <x:f>Taxepunkter!D90</x:f>
        <x:v>Hämtning var 14:e dag</x:v>
      </x:c>
      <x:c r="E75" s="767" t="str">
        <x:f>Taxepunkter!E90</x:f>
        <x:v>st/år</x:v>
      </x:c>
      <x:c r="F75" s="767" t="n">
        <x:f>Taxepunkter!F90</x:f>
        <x:v>0</x:v>
      </x:c>
      <x:c r="G75" s="767" t="str">
        <x:f>Taxepunkter!G90</x:f>
        <x:v>KÄ240RM26DH</x:v>
      </x:c>
      <x:c r="H75" s="767" t="e">
        <x:f>Taxepunkter!H90</x:f>
      </x:c>
      <x:c r="I75" s="767" t="e">
        <x:f>Taxepunkter!I90</x:f>
      </x:c>
      <x:c r="J75" s="767" t="e">
        <x:f>Taxepunkter!J90</x:f>
      </x:c>
      <x:c r="K75" s="767" t="n">
        <x:f>Taxepunkter!K90</x:f>
        <x:v>0</x:v>
      </x:c>
      <x:c r="L75" s="774" t="n">
        <x:f>Taxepunkter!L90</x:f>
        <x:v>0</x:v>
      </x:c>
    </x:row>
    <x:row r="76">
      <x:c r="A76" s="773" t="str">
        <x:f>Taxepunkter!A92</x:f>
        <x:v>§2.2.6</x:v>
      </x:c>
      <x:c r="B76" s="767" t="str">
        <x:f>Taxepunkter!B92</x:f>
        <x:v>Hämtningsavgift per år för verksamhet inom detaljhandeln med beviljad hantering av kommunalt avfall</x:v>
      </x:c>
      <x:c r="C76" s="767" t="str">
        <x:f>Taxepunkter!C92</x:f>
        <x:v>Kärl 370 l (restavfall)</x:v>
      </x:c>
      <x:c r="D76" s="767" t="str">
        <x:f>Taxepunkter!D92</x:f>
        <x:v>Hämtning varje vecka</x:v>
      </x:c>
      <x:c r="E76" s="767" t="str">
        <x:f>Taxepunkter!E92</x:f>
        <x:v>st/år</x:v>
      </x:c>
      <x:c r="F76" s="767" t="n">
        <x:f>Taxepunkter!F92</x:f>
        <x:v>0</x:v>
      </x:c>
      <x:c r="G76" s="767" t="str">
        <x:f>Taxepunkter!G92</x:f>
        <x:v>KÄ370RE52DH</x:v>
      </x:c>
      <x:c r="H76" s="767" t="e">
        <x:f>Taxepunkter!H92</x:f>
      </x:c>
      <x:c r="I76" s="767" t="e">
        <x:f>Taxepunkter!I92</x:f>
      </x:c>
      <x:c r="J76" s="767" t="e">
        <x:f>Taxepunkter!J92</x:f>
      </x:c>
      <x:c r="K76" s="767" t="n">
        <x:f>Taxepunkter!K92</x:f>
        <x:v>0</x:v>
      </x:c>
      <x:c r="L76" s="774" t="n">
        <x:f>Taxepunkter!L92</x:f>
        <x:v>0</x:v>
      </x:c>
    </x:row>
    <x:row r="77">
      <x:c r="A77" s="773" t="str">
        <x:f>Taxepunkter!A93</x:f>
        <x:v>§2.2.6</x:v>
      </x:c>
      <x:c r="B77" s="767" t="str">
        <x:f>Taxepunkter!B93</x:f>
        <x:v>Hämtningsavgift per år för verksamhet inom detaljhandeln med beviljad hantering av kommunalt avfall</x:v>
      </x:c>
      <x:c r="C77" s="767" t="str">
        <x:f>Taxepunkter!C93</x:f>
        <x:v>Kärl 370 l (restavfall)</x:v>
      </x:c>
      <x:c r="D77" s="767" t="str">
        <x:f>Taxepunkter!D93</x:f>
        <x:v>Hämtning var 14:e dag</x:v>
      </x:c>
      <x:c r="E77" s="767" t="str">
        <x:f>Taxepunkter!E93</x:f>
        <x:v>st/år</x:v>
      </x:c>
      <x:c r="F77" s="767" t="n">
        <x:f>Taxepunkter!F93</x:f>
        <x:v>0</x:v>
      </x:c>
      <x:c r="G77" s="767" t="str">
        <x:f>Taxepunkter!G93</x:f>
        <x:v>KÄ370RE26DH</x:v>
      </x:c>
      <x:c r="H77" s="767" t="e">
        <x:f>Taxepunkter!H93</x:f>
      </x:c>
      <x:c r="I77" s="767" t="e">
        <x:f>Taxepunkter!I93</x:f>
      </x:c>
      <x:c r="J77" s="767" t="e">
        <x:f>Taxepunkter!J93</x:f>
      </x:c>
      <x:c r="K77" s="767" t="n">
        <x:f>Taxepunkter!K93</x:f>
        <x:v>0</x:v>
      </x:c>
      <x:c r="L77" s="774" t="n">
        <x:f>Taxepunkter!L93</x:f>
        <x:v>0</x:v>
      </x:c>
    </x:row>
    <x:row r="78">
      <x:c r="A78" s="773" t="str">
        <x:f>Taxepunkter!A95</x:f>
        <x:v>§2.2.6</x:v>
      </x:c>
      <x:c r="B78" s="767" t="str">
        <x:f>Taxepunkter!B95</x:f>
        <x:v>Hämtningsavgift per år för verksamhet inom detaljhandeln med beviljad hantering av kommunalt avfall</x:v>
      </x:c>
      <x:c r="C78" s="767" t="str">
        <x:f>Taxepunkter!C95</x:f>
        <x:v>Kärl 660 l (restavfall)</x:v>
      </x:c>
      <x:c r="D78" s="767" t="str">
        <x:f>Taxepunkter!D95</x:f>
        <x:v>Hämtning varje vecka</x:v>
      </x:c>
      <x:c r="E78" s="767" t="str">
        <x:f>Taxepunkter!E95</x:f>
        <x:v>st/år</x:v>
      </x:c>
      <x:c r="F78" s="767" t="n">
        <x:f>Taxepunkter!F95</x:f>
        <x:v>0</x:v>
      </x:c>
      <x:c r="G78" s="767" t="str">
        <x:f>Taxepunkter!G95</x:f>
        <x:v>KÄ660RE52DH</x:v>
      </x:c>
      <x:c r="H78" s="767" t="e">
        <x:f>Taxepunkter!H95</x:f>
      </x:c>
      <x:c r="I78" s="767" t="e">
        <x:f>Taxepunkter!I95</x:f>
      </x:c>
      <x:c r="J78" s="767" t="e">
        <x:f>Taxepunkter!J95</x:f>
      </x:c>
      <x:c r="K78" s="767" t="n">
        <x:f>Taxepunkter!K95</x:f>
        <x:v>0</x:v>
      </x:c>
      <x:c r="L78" s="774" t="n">
        <x:f>Taxepunkter!L95</x:f>
        <x:v>0</x:v>
      </x:c>
    </x:row>
    <x:row r="79">
      <x:c r="A79" s="773" t="str">
        <x:f>Taxepunkter!A96</x:f>
        <x:v>§2.2.6</x:v>
      </x:c>
      <x:c r="B79" s="767" t="str">
        <x:f>Taxepunkter!B96</x:f>
        <x:v>Hämtningsavgift per år för verksamhet inom detaljhandeln med beviljad hantering av kommunalt avfall</x:v>
      </x:c>
      <x:c r="C79" s="767" t="str">
        <x:f>Taxepunkter!C96</x:f>
        <x:v>Kärl 660 l (restavfall)</x:v>
      </x:c>
      <x:c r="D79" s="767" t="str">
        <x:f>Taxepunkter!D96</x:f>
        <x:v>Hämtning var 14:e dag</x:v>
      </x:c>
      <x:c r="E79" s="767" t="str">
        <x:f>Taxepunkter!E96</x:f>
        <x:v>st/år</x:v>
      </x:c>
      <x:c r="F79" s="767" t="n">
        <x:f>Taxepunkter!F96</x:f>
        <x:v>0</x:v>
      </x:c>
      <x:c r="G79" s="767" t="str">
        <x:f>Taxepunkter!G96</x:f>
        <x:v>KÄ660RE26DH</x:v>
      </x:c>
      <x:c r="H79" s="767" t="e">
        <x:f>Taxepunkter!H96</x:f>
      </x:c>
      <x:c r="I79" s="767" t="e">
        <x:f>Taxepunkter!I96</x:f>
      </x:c>
      <x:c r="J79" s="767" t="e">
        <x:f>Taxepunkter!J96</x:f>
      </x:c>
      <x:c r="K79" s="767" t="n">
        <x:f>Taxepunkter!K96</x:f>
        <x:v>0</x:v>
      </x:c>
      <x:c r="L79" s="774" t="n">
        <x:f>Taxepunkter!L96</x:f>
        <x:v>0</x:v>
      </x:c>
    </x:row>
    <x:row r="80">
      <x:c r="A80" s="773" t="str">
        <x:f>Taxepunkter!A98</x:f>
        <x:v>§2.2.6</x:v>
      </x:c>
      <x:c r="B80" s="767" t="str">
        <x:f>Taxepunkter!B98</x:f>
        <x:v>Hämtningsavgift per år för verksamhet inom detaljhandeln med beviljad hantering av kommunalt avfall</x:v>
      </x:c>
      <x:c r="C80" s="767" t="str">
        <x:f>Taxepunkter!C98</x:f>
        <x:v>Kärl 140 l (matavfall)</x:v>
      </x:c>
      <x:c r="D80" s="767" t="str">
        <x:f>Taxepunkter!D98</x:f>
        <x:v>Hämtning varje vecka</x:v>
      </x:c>
      <x:c r="E80" s="767" t="str">
        <x:f>Taxepunkter!E98</x:f>
        <x:v>st/år</x:v>
      </x:c>
      <x:c r="F80" s="767" t="n">
        <x:f>Taxepunkter!F98</x:f>
        <x:v>0</x:v>
      </x:c>
      <x:c r="G80" s="767" t="str">
        <x:f>Taxepunkter!G98</x:f>
        <x:v>KÄ140MA52DH</x:v>
      </x:c>
      <x:c r="H80" s="767" t="e">
        <x:f>Taxepunkter!H98</x:f>
      </x:c>
      <x:c r="I80" s="767" t="e">
        <x:f>Taxepunkter!I98</x:f>
      </x:c>
      <x:c r="J80" s="767" t="e">
        <x:f>Taxepunkter!J98</x:f>
      </x:c>
      <x:c r="K80" s="767" t="n">
        <x:f>Taxepunkter!K98</x:f>
        <x:v>0</x:v>
      </x:c>
      <x:c r="L80" s="774" t="n">
        <x:f>Taxepunkter!L98</x:f>
        <x:v>0</x:v>
      </x:c>
    </x:row>
    <x:row r="81">
      <x:c r="A81" s="773" t="str">
        <x:f>Taxepunkter!A99</x:f>
        <x:v>§2.2.6</x:v>
      </x:c>
      <x:c r="B81" s="767" t="str">
        <x:f>Taxepunkter!B99</x:f>
        <x:v>Hämtningsavgift per år för verksamhet inom detaljhandeln med beviljad hantering av kommunalt avfall</x:v>
      </x:c>
      <x:c r="C81" s="767" t="str">
        <x:f>Taxepunkter!C99</x:f>
        <x:v>Kärl 140 l (matavfall)</x:v>
      </x:c>
      <x:c r="D81" s="767" t="str">
        <x:f>Taxepunkter!D99</x:f>
        <x:v>Hämtning var 14:e dag</x:v>
      </x:c>
      <x:c r="E81" s="767" t="str">
        <x:f>Taxepunkter!E99</x:f>
        <x:v>st/år</x:v>
      </x:c>
      <x:c r="F81" s="767" t="n">
        <x:f>Taxepunkter!F99</x:f>
        <x:v>0</x:v>
      </x:c>
      <x:c r="G81" s="767" t="str">
        <x:f>Taxepunkter!G99</x:f>
        <x:v>KÄ140MA26DH</x:v>
      </x:c>
      <x:c r="H81" s="767" t="e">
        <x:f>Taxepunkter!H99</x:f>
      </x:c>
      <x:c r="I81" s="767" t="e">
        <x:f>Taxepunkter!I99</x:f>
      </x:c>
      <x:c r="J81" s="767" t="e">
        <x:f>Taxepunkter!J99</x:f>
      </x:c>
      <x:c r="K81" s="767" t="n">
        <x:f>Taxepunkter!K99</x:f>
        <x:v>0</x:v>
      </x:c>
      <x:c r="L81" s="774" t="n">
        <x:f>Taxepunkter!L99</x:f>
        <x:v>0</x:v>
      </x:c>
    </x:row>
    <x:row r="82">
      <x:c r="A82" s="773" t="str">
        <x:f>Taxepunkter!A100</x:f>
        <x:v>§2.2.6</x:v>
      </x:c>
      <x:c r="B82" s="767" t="str">
        <x:f>Taxepunkter!B100</x:f>
        <x:v>Hämtningsavgift per år för verksamhet inom detaljhandeln med beviljad hantering av kommunalt avfall</x:v>
      </x:c>
      <x:c r="C82" s="767" t="str">
        <x:f>Taxepunkter!C100</x:f>
        <x:v>Kärl 140 l (matavfall)</x:v>
      </x:c>
      <x:c r="D82" s="767" t="str">
        <x:f>Taxepunkter!D100</x:f>
        <x:v>Hämtning månadsvis</x:v>
      </x:c>
      <x:c r="E82" s="767" t="str">
        <x:f>Taxepunkter!E100</x:f>
        <x:v>st/år</x:v>
      </x:c>
      <x:c r="F82" s="767" t="n">
        <x:f>Taxepunkter!F100</x:f>
        <x:v>0</x:v>
      </x:c>
      <x:c r="G82" s="767" t="str">
        <x:f>Taxepunkter!G100</x:f>
        <x:v>KÄ140MA12DH</x:v>
      </x:c>
      <x:c r="H82" s="767" t="e">
        <x:f>Taxepunkter!H100</x:f>
      </x:c>
      <x:c r="I82" s="767" t="e">
        <x:f>Taxepunkter!I100</x:f>
      </x:c>
      <x:c r="J82" s="767" t="e">
        <x:f>Taxepunkter!J100</x:f>
      </x:c>
      <x:c r="K82" s="767" t="n">
        <x:f>Taxepunkter!K100</x:f>
        <x:v>0</x:v>
      </x:c>
      <x:c r="L82" s="774" t="n">
        <x:f>Taxepunkter!L100</x:f>
        <x:v>0</x:v>
      </x:c>
    </x:row>
    <x:row r="83">
      <x:c r="A83" s="773" t="str">
        <x:f>Taxepunkter!A102</x:f>
        <x:v>§2.2.6</x:v>
      </x:c>
      <x:c r="B83" s="767" t="str">
        <x:f>Taxepunkter!B102</x:f>
        <x:v>Hämtningsavgift per år för verksamhet inom detaljhandeln med beviljad hantering av kommunalt avfall</x:v>
      </x:c>
      <x:c r="C83" s="767" t="str">
        <x:f>Taxepunkter!C102</x:f>
        <x:v>Lastväxlarflak (restavfall)</x:v>
      </x:c>
      <x:c r="D83" s="767" t="str">
        <x:f>Taxepunkter!D102</x:f>
        <x:v>Avgift per tömning</x:v>
      </x:c>
      <x:c r="E83" s="767" t="str">
        <x:f>Taxepunkter!E102</x:f>
        <x:v>st/tömning</x:v>
      </x:c>
      <x:c r="F83" s="767" t="n">
        <x:f>Taxepunkter!F102</x:f>
        <x:v>0</x:v>
      </x:c>
      <x:c r="G83" s="767" t="str">
        <x:f>Taxepunkter!G102</x:f>
        <x:v>LVREDH</x:v>
      </x:c>
      <x:c r="H83" s="767" t="e">
        <x:f>Taxepunkter!H102</x:f>
      </x:c>
      <x:c r="I83" s="767" t="e">
        <x:f>Taxepunkter!I102</x:f>
      </x:c>
      <x:c r="J83" s="767" t="e">
        <x:f>Taxepunkter!J102</x:f>
      </x:c>
      <x:c r="K83" s="767" t="n">
        <x:f>Taxepunkter!K102</x:f>
        <x:v>0</x:v>
      </x:c>
      <x:c r="L83" s="774" t="n">
        <x:f>Taxepunkter!L102</x:f>
        <x:v>0</x:v>
      </x:c>
    </x:row>
    <x:row r="84">
      <x:c r="A84" s="773" t="str">
        <x:f>Taxepunkter!A103</x:f>
        <x:v>§2.2.6</x:v>
      </x:c>
      <x:c r="B84" s="767" t="str">
        <x:f>Taxepunkter!B103</x:f>
        <x:v>Hämtningsavgift per år för verksamhet inom detaljhandeln med beviljad hantering av kommunalt avfall</x:v>
      </x:c>
      <x:c r="C84" s="767" t="str">
        <x:f>Taxepunkter!C103</x:f>
        <x:v>Bottentömmande behållare (mat-/restavfall)</x:v>
      </x:c>
      <x:c r="D84" s="767" t="str">
        <x:f>Taxepunkter!D103</x:f>
        <x:v>Tillägg för två tömningar per vecka</x:v>
      </x:c>
      <x:c r="E84" s="767" t="str">
        <x:f>Taxepunkter!E103</x:f>
        <x:v>st/tömning</x:v>
      </x:c>
      <x:c r="F84" s="767" t="n">
        <x:f>Taxepunkter!F103</x:f>
        <x:v>0</x:v>
      </x:c>
      <x:c r="G84" s="767" t="str">
        <x:f>Taxepunkter!G103</x:f>
        <x:v>MBRM2VDH</x:v>
      </x:c>
      <x:c r="H84" s="767" t="e">
        <x:f>Taxepunkter!H103</x:f>
      </x:c>
      <x:c r="I84" s="767" t="e">
        <x:f>Taxepunkter!I103</x:f>
      </x:c>
      <x:c r="J84" s="767" t="e">
        <x:f>Taxepunkter!J103</x:f>
      </x:c>
      <x:c r="K84" s="767" t="n">
        <x:f>Taxepunkter!K103</x:f>
        <x:v>0</x:v>
      </x:c>
      <x:c r="L84" s="774" t="n">
        <x:f>Taxepunkter!L103</x:f>
        <x:v>0</x:v>
      </x:c>
    </x:row>
    <x:row r="85">
      <x:c r="A85" s="773" t="str">
        <x:f>Taxepunkter!A105</x:f>
        <x:v>§2.2.7 Verksamheter med beviljad hantering av förbrukat matfett, kontorspapper eller returpapper</x:v>
      </x:c>
      <x:c r="B85" s="767" t="n">
        <x:f>Taxepunkter!B105</x:f>
        <x:v>0</x:v>
      </x:c>
      <x:c r="C85" s="767" t="n">
        <x:f>Taxepunkter!C105</x:f>
        <x:v>0</x:v>
      </x:c>
      <x:c r="D85" s="767" t="n">
        <x:f>Taxepunkter!D105</x:f>
        <x:v>0</x:v>
      </x:c>
      <x:c r="E85" s="767" t="n">
        <x:f>Taxepunkter!E105</x:f>
        <x:v>0</x:v>
      </x:c>
      <x:c r="F85" s="767" t="n">
        <x:f>Taxepunkter!F105</x:f>
        <x:v>0</x:v>
      </x:c>
      <x:c r="G85" s="767" t="str">
        <x:f>Taxepunkter!G105</x:f>
      </x:c>
      <x:c r="H85" s="767" t="e">
        <x:f>Taxepunkter!H105</x:f>
      </x:c>
      <x:c r="I85" s="767" t="e">
        <x:f>Taxepunkter!I105</x:f>
      </x:c>
      <x:c r="J85" s="767" t="e">
        <x:f>Taxepunkter!J105</x:f>
      </x:c>
      <x:c r="K85" s="767" t="n">
        <x:f>Taxepunkter!K105</x:f>
        <x:v>0</x:v>
      </x:c>
      <x:c r="L85" s="774" t="n">
        <x:f>Taxepunkter!L105</x:f>
        <x:v>0</x:v>
      </x:c>
    </x:row>
    <x:row r="86">
      <x:c r="A86" s="773" t="str">
        <x:f>Taxepunkter!A106</x:f>
        <x:v>§2.2.7</x:v>
      </x:c>
      <x:c r="B86" s="767" t="str">
        <x:f>Taxepunkter!B106</x:f>
        <x:v>Verksamheter med beviljad hantering av förbrukat matfett, kontorspapper eller returpapper</x:v>
      </x:c>
      <x:c r="C86" s="767" t="str">
        <x:f>Taxepunkter!C106</x:f>
        <x:v>Kärl 140 l (kontors-/returpapper)</x:v>
      </x:c>
      <x:c r="D86" s="767" t="n">
        <x:f>Taxepunkter!D106</x:f>
        <x:v>0</x:v>
      </x:c>
      <x:c r="E86" s="767" t="str">
        <x:f>Taxepunkter!E106</x:f>
        <x:v>st/år</x:v>
      </x:c>
      <x:c r="F86" s="767" t="n">
        <x:f>Taxepunkter!F106</x:f>
        <x:v>0</x:v>
      </x:c>
      <x:c r="G86" s="767" t="str">
        <x:f>Taxepunkter!G106</x:f>
        <x:v>KÄ140TI</x:v>
      </x:c>
      <x:c r="H86" s="767" t="e">
        <x:f>Taxepunkter!H106</x:f>
      </x:c>
      <x:c r="I86" s="767" t="e">
        <x:f>Taxepunkter!I106</x:f>
      </x:c>
      <x:c r="J86" s="767" t="e">
        <x:f>Taxepunkter!J106</x:f>
      </x:c>
      <x:c r="K86" s="767" t="n">
        <x:f>Taxepunkter!K106</x:f>
        <x:v>0</x:v>
      </x:c>
      <x:c r="L86" s="774" t="n">
        <x:f>Taxepunkter!L106</x:f>
        <x:v>0</x:v>
      </x:c>
    </x:row>
    <x:row r="87">
      <x:c r="A87" s="773" t="str">
        <x:f>Taxepunkter!A107</x:f>
        <x:v>§2.2.7</x:v>
      </x:c>
      <x:c r="B87" s="767" t="str">
        <x:f>Taxepunkter!B107</x:f>
        <x:v>Verksamheter med beviljad hantering av förbrukat matfett, kontorspapper eller returpapper</x:v>
      </x:c>
      <x:c r="C87" s="767" t="str">
        <x:f>Taxepunkter!C107</x:f>
        <x:v>Egen överlämning av förbrukat kontors-/returpapper enligt anvisning</x:v>
      </x:c>
      <x:c r="D87" s="767" t="n">
        <x:f>Taxepunkter!D107</x:f>
        <x:v>0</x:v>
      </x:c>
      <x:c r="E87" s="767" t="str">
        <x:f>Taxepunkter!E107</x:f>
        <x:v>st/år</x:v>
      </x:c>
      <x:c r="F87" s="767" t="n">
        <x:f>Taxepunkter!F107</x:f>
        <x:v>0</x:v>
      </x:c>
      <x:c r="G87" s="767" t="str">
        <x:f>Taxepunkter!G107</x:f>
        <x:v>EGENKONTRET</x:v>
      </x:c>
      <x:c r="H87" s="767" t="e">
        <x:f>Taxepunkter!H107</x:f>
      </x:c>
      <x:c r="I87" s="767" t="e">
        <x:f>Taxepunkter!I107</x:f>
      </x:c>
      <x:c r="J87" s="767" t="e">
        <x:f>Taxepunkter!J107</x:f>
      </x:c>
      <x:c r="K87" s="767" t="n">
        <x:f>Taxepunkter!K107</x:f>
        <x:v>0</x:v>
      </x:c>
      <x:c r="L87" s="774" t="n">
        <x:f>Taxepunkter!L107</x:f>
        <x:v>0</x:v>
      </x:c>
    </x:row>
    <x:row r="88">
      <x:c r="A88" s="773" t="str">
        <x:f>Taxepunkter!A108</x:f>
        <x:v>§2.2.7</x:v>
      </x:c>
      <x:c r="B88" s="767" t="str">
        <x:f>Taxepunkter!B108</x:f>
        <x:v>Verksamheter med beviljad hantering av förbrukat matfett, kontorspapper eller returpapper</x:v>
      </x:c>
      <x:c r="C88" s="767" t="str">
        <x:f>Taxepunkter!C108</x:f>
        <x:v>Egen överlämning av förbrukat matfett enligt anvisning</x:v>
      </x:c>
      <x:c r="D88" s="767" t="n">
        <x:f>Taxepunkter!D108</x:f>
        <x:v>0</x:v>
      </x:c>
      <x:c r="E88" s="767" t="str">
        <x:f>Taxepunkter!E108</x:f>
        <x:v>st/år</x:v>
      </x:c>
      <x:c r="F88" s="767" t="n">
        <x:f>Taxepunkter!F108</x:f>
        <x:v>0</x:v>
      </x:c>
      <x:c r="G88" s="767" t="str">
        <x:f>Taxepunkter!G108</x:f>
        <x:v>EGENMATFETT</x:v>
      </x:c>
      <x:c r="H88" s="767" t="e">
        <x:f>Taxepunkter!H108</x:f>
      </x:c>
      <x:c r="I88" s="767" t="e">
        <x:f>Taxepunkter!I108</x:f>
      </x:c>
      <x:c r="J88" s="767" t="e">
        <x:f>Taxepunkter!J108</x:f>
      </x:c>
      <x:c r="K88" s="767" t="n">
        <x:f>Taxepunkter!K108</x:f>
        <x:v>0</x:v>
      </x:c>
      <x:c r="L88" s="774" t="n">
        <x:f>Taxepunkter!L108</x:f>
        <x:v>0</x:v>
      </x:c>
    </x:row>
    <x:row r="89">
      <x:c r="A89" s="773" t="str">
        <x:f>Taxepunkter!A109</x:f>
        <x:v>§2.2.7</x:v>
      </x:c>
      <x:c r="B89" s="767" t="n">
        <x:f>Taxepunkter!B109</x:f>
        <x:v>0</x:v>
      </x:c>
      <x:c r="C89" s="767" t="n">
        <x:f>Taxepunkter!C109</x:f>
        <x:v>0</x:v>
      </x:c>
      <x:c r="D89" s="767" t="n">
        <x:f>Taxepunkter!D109</x:f>
        <x:v>0</x:v>
      </x:c>
      <x:c r="E89" s="767" t="n">
        <x:f>Taxepunkter!E109</x:f>
        <x:v>0</x:v>
      </x:c>
      <x:c r="F89" s="767" t="n">
        <x:f>Taxepunkter!F109</x:f>
        <x:v>0</x:v>
      </x:c>
      <x:c r="G89" s="767" t="str">
        <x:f>Taxepunkter!G109</x:f>
      </x:c>
      <x:c r="H89" s="767" t="e">
        <x:f>Taxepunkter!H109</x:f>
      </x:c>
      <x:c r="I89" s="767" t="e">
        <x:f>Taxepunkter!I109</x:f>
      </x:c>
      <x:c r="J89" s="767" t="e">
        <x:f>Taxepunkter!J109</x:f>
      </x:c>
      <x:c r="K89" s="767" t="n">
        <x:f>Taxepunkter!K109</x:f>
        <x:v>0</x:v>
      </x:c>
      <x:c r="L89" s="774" t="n">
        <x:f>Taxepunkter!L109</x:f>
        <x:v>0</x:v>
      </x:c>
    </x:row>
    <x:row r="90">
      <x:c r="A90" s="773" t="str">
        <x:f>Taxepunkter!A111</x:f>
        <x:v>§2.3</x:v>
      </x:c>
      <x:c r="B90" s="767" t="str">
        <x:f>Taxepunkter!B111</x:f>
        <x:v>Rörlig avgift (gäller ej gemensam uppsamlingsplats)</x:v>
      </x:c>
      <x:c r="C90" s="767" t="str">
        <x:f>Taxepunkter!C111</x:f>
        <x:v>Viktavgift matavfall</x:v>
      </x:c>
      <x:c r="D90" s="767" t="n">
        <x:f>Taxepunkter!D111</x:f>
        <x:v>0</x:v>
      </x:c>
      <x:c r="E90" s="767" t="str">
        <x:f>Taxepunkter!E111</x:f>
        <x:v>kr/kg</x:v>
      </x:c>
      <x:c r="F90" s="767" t="n">
        <x:f>Taxepunkter!F111</x:f>
        <x:v>0</x:v>
      </x:c>
      <x:c r="G90" s="767" t="str">
        <x:f>Taxepunkter!G111</x:f>
      </x:c>
      <x:c r="H90" s="767" t="e">
        <x:f>Taxepunkter!H111</x:f>
      </x:c>
      <x:c r="I90" s="767" t="e">
        <x:f>Taxepunkter!I111</x:f>
      </x:c>
      <x:c r="J90" s="767" t="e">
        <x:f>Taxepunkter!J111</x:f>
      </x:c>
      <x:c r="K90" s="767" t="n">
        <x:f>Taxepunkter!K111</x:f>
        <x:v>0</x:v>
      </x:c>
      <x:c r="L90" s="774" t="n">
        <x:f>Taxepunkter!L111</x:f>
        <x:v>0</x:v>
      </x:c>
    </x:row>
    <x:row r="91">
      <x:c r="A91" s="773" t="str">
        <x:f>Taxepunkter!A112</x:f>
        <x:v>§2.3</x:v>
      </x:c>
      <x:c r="B91" s="767" t="str">
        <x:f>Taxepunkter!B112</x:f>
        <x:v>Rörlig avgift (gäller ej gemensam uppsamlingsplats)</x:v>
      </x:c>
      <x:c r="C91" s="767" t="str">
        <x:f>Taxepunkter!C112</x:f>
        <x:v>Viktavgift restavfall</x:v>
      </x:c>
      <x:c r="D91" s="767" t="n">
        <x:f>Taxepunkter!D112</x:f>
        <x:v>0</x:v>
      </x:c>
      <x:c r="E91" s="767" t="str">
        <x:f>Taxepunkter!E112</x:f>
        <x:v>kr/kg</x:v>
      </x:c>
      <x:c r="F91" s="767" t="n">
        <x:f>Taxepunkter!F112</x:f>
        <x:v>0</x:v>
      </x:c>
      <x:c r="G91" s="767" t="str">
        <x:f>Taxepunkter!G112</x:f>
      </x:c>
      <x:c r="H91" s="767" t="e">
        <x:f>Taxepunkter!H112</x:f>
      </x:c>
      <x:c r="I91" s="767" t="e">
        <x:f>Taxepunkter!I112</x:f>
      </x:c>
      <x:c r="J91" s="767" t="e">
        <x:f>Taxepunkter!J112</x:f>
      </x:c>
      <x:c r="K91" s="767" t="n">
        <x:f>Taxepunkter!K112</x:f>
        <x:v>0</x:v>
      </x:c>
      <x:c r="L91" s="774" t="n">
        <x:f>Taxepunkter!L112</x:f>
        <x:v>0</x:v>
      </x:c>
    </x:row>
    <x:row r="92">
      <x:c r="A92" s="773" t="str">
        <x:f>Taxepunkter!A113</x:f>
        <x:v>§2.3</x:v>
      </x:c>
      <x:c r="B92" s="767" t="n">
        <x:f>Taxepunkter!B113</x:f>
        <x:v>0</x:v>
      </x:c>
      <x:c r="C92" s="767" t="n">
        <x:f>Taxepunkter!C113</x:f>
        <x:v>0</x:v>
      </x:c>
      <x:c r="D92" s="767" t="n">
        <x:f>Taxepunkter!D113</x:f>
        <x:v>0</x:v>
      </x:c>
      <x:c r="E92" s="767" t="n">
        <x:f>Taxepunkter!E113</x:f>
        <x:v>0</x:v>
      </x:c>
      <x:c r="F92" s="767" t="n">
        <x:f>Taxepunkter!F113</x:f>
        <x:v>0</x:v>
      </x:c>
      <x:c r="G92" s="767" t="str">
        <x:f>Taxepunkter!G113</x:f>
      </x:c>
      <x:c r="H92" s="767" t="e">
        <x:f>Taxepunkter!H113</x:f>
      </x:c>
      <x:c r="I92" s="767" t="e">
        <x:f>Taxepunkter!I113</x:f>
      </x:c>
      <x:c r="J92" s="767" t="e">
        <x:f>Taxepunkter!J113</x:f>
      </x:c>
      <x:c r="K92" s="767" t="n">
        <x:f>Taxepunkter!K113</x:f>
        <x:v>0</x:v>
      </x:c>
      <x:c r="L92" s="774" t="n">
        <x:f>Taxepunkter!L113</x:f>
        <x:v>0</x:v>
      </x:c>
    </x:row>
    <x:row r="93">
      <x:c r="A93" s="773" t="str">
        <x:f>Taxepunkter!A114</x:f>
        <x:v>§2.3</x:v>
      </x:c>
      <x:c r="B93" s="767" t="n">
        <x:f>Taxepunkter!B114</x:f>
        <x:v>0</x:v>
      </x:c>
      <x:c r="C93" s="767" t="n">
        <x:f>Taxepunkter!C114</x:f>
        <x:v>0</x:v>
      </x:c>
      <x:c r="D93" s="767" t="n">
        <x:f>Taxepunkter!D114</x:f>
        <x:v>0</x:v>
      </x:c>
      <x:c r="E93" s="767" t="n">
        <x:f>Taxepunkter!E114</x:f>
        <x:v>0</x:v>
      </x:c>
      <x:c r="F93" s="767" t="n">
        <x:f>Taxepunkter!F114</x:f>
        <x:v>0</x:v>
      </x:c>
      <x:c r="G93" s="767" t="str">
        <x:f>Taxepunkter!G114</x:f>
      </x:c>
      <x:c r="H93" s="767" t="e">
        <x:f>Taxepunkter!H114</x:f>
      </x:c>
      <x:c r="I93" s="767" t="e">
        <x:f>Taxepunkter!I114</x:f>
      </x:c>
      <x:c r="J93" s="767" t="e">
        <x:f>Taxepunkter!J114</x:f>
      </x:c>
      <x:c r="K93" s="767" t="n">
        <x:f>Taxepunkter!K114</x:f>
        <x:v>0</x:v>
      </x:c>
      <x:c r="L93" s="774" t="n">
        <x:f>Taxepunkter!L114</x:f>
        <x:v>0</x:v>
      </x:c>
    </x:row>
    <x:row r="94">
      <x:c r="A94" s="773" t="str">
        <x:f>Taxepunkter!A115</x:f>
        <x:v>§2.4.1 Fakturaavgift</x:v>
      </x:c>
      <x:c r="B94" s="767" t="n">
        <x:f>Taxepunkter!B115</x:f>
        <x:v>0</x:v>
      </x:c>
      <x:c r="C94" s="767" t="n">
        <x:f>Taxepunkter!C115</x:f>
        <x:v>0</x:v>
      </x:c>
      <x:c r="D94" s="767" t="n">
        <x:f>Taxepunkter!D115</x:f>
        <x:v>0</x:v>
      </x:c>
      <x:c r="E94" s="767" t="n">
        <x:f>Taxepunkter!E115</x:f>
        <x:v>0</x:v>
      </x:c>
      <x:c r="F94" s="767" t="n">
        <x:f>Taxepunkter!F115</x:f>
        <x:v>0</x:v>
      </x:c>
      <x:c r="G94" s="767" t="str">
        <x:f>Taxepunkter!G115</x:f>
      </x:c>
      <x:c r="H94" s="767" t="e">
        <x:f>Taxepunkter!H115</x:f>
      </x:c>
      <x:c r="I94" s="767" t="e">
        <x:f>Taxepunkter!I115</x:f>
      </x:c>
      <x:c r="J94" s="767" t="e">
        <x:f>Taxepunkter!J115</x:f>
      </x:c>
      <x:c r="K94" s="767" t="n">
        <x:f>Taxepunkter!K115</x:f>
        <x:v>0</x:v>
      </x:c>
      <x:c r="L94" s="774" t="n">
        <x:f>Taxepunkter!L115</x:f>
        <x:v>0</x:v>
      </x:c>
    </x:row>
    <x:row r="95">
      <x:c r="A95" s="773" t="str">
        <x:f>Taxepunkter!A117</x:f>
        <x:v>§2.4.1</x:v>
      </x:c>
      <x:c r="B95" s="767" t="n">
        <x:f>Taxepunkter!B117</x:f>
        <x:v>0</x:v>
      </x:c>
      <x:c r="C95" s="767" t="n">
        <x:f>Taxepunkter!C117</x:f>
        <x:v>0</x:v>
      </x:c>
      <x:c r="D95" s="767" t="n">
        <x:f>Taxepunkter!D117</x:f>
        <x:v>0</x:v>
      </x:c>
      <x:c r="E95" s="767" t="n">
        <x:f>Taxepunkter!E117</x:f>
        <x:v>0</x:v>
      </x:c>
      <x:c r="F95" s="767" t="n">
        <x:f>Taxepunkter!F117</x:f>
        <x:v>0</x:v>
      </x:c>
      <x:c r="G95" s="767" t="str">
        <x:f>Taxepunkter!G117</x:f>
      </x:c>
      <x:c r="H95" s="767" t="e">
        <x:f>Taxepunkter!H117</x:f>
      </x:c>
      <x:c r="I95" s="767" t="e">
        <x:f>Taxepunkter!I117</x:f>
      </x:c>
      <x:c r="J95" s="767" t="e">
        <x:f>Taxepunkter!J117</x:f>
      </x:c>
      <x:c r="K95" s="767" t="n">
        <x:f>Taxepunkter!K117</x:f>
        <x:v>0</x:v>
      </x:c>
      <x:c r="L95" s="774" t="n">
        <x:f>Taxepunkter!L117</x:f>
        <x:v>0</x:v>
      </x:c>
    </x:row>
    <x:row r="96">
      <x:c r="A96" s="773" t="str">
        <x:f>Taxepunkter!A118</x:f>
        <x:v>§2.4.2 Överviktsavgift kärl</x:v>
      </x:c>
      <x:c r="B96" s="767" t="n">
        <x:f>Taxepunkter!B118</x:f>
        <x:v>0</x:v>
      </x:c>
      <x:c r="C96" s="767" t="n">
        <x:f>Taxepunkter!C118</x:f>
        <x:v>0</x:v>
      </x:c>
      <x:c r="D96" s="767" t="n">
        <x:f>Taxepunkter!D118</x:f>
        <x:v>0</x:v>
      </x:c>
      <x:c r="E96" s="767" t="n">
        <x:f>Taxepunkter!E118</x:f>
        <x:v>0</x:v>
      </x:c>
      <x:c r="F96" s="767" t="n">
        <x:f>Taxepunkter!F118</x:f>
        <x:v>0</x:v>
      </x:c>
      <x:c r="G96" s="767" t="str">
        <x:f>Taxepunkter!G118</x:f>
      </x:c>
      <x:c r="H96" s="767" t="e">
        <x:f>Taxepunkter!H118</x:f>
      </x:c>
      <x:c r="I96" s="767" t="e">
        <x:f>Taxepunkter!I118</x:f>
      </x:c>
      <x:c r="J96" s="767" t="e">
        <x:f>Taxepunkter!J118</x:f>
      </x:c>
      <x:c r="K96" s="767" t="n">
        <x:f>Taxepunkter!K118</x:f>
        <x:v>0</x:v>
      </x:c>
      <x:c r="L96" s="774" t="n">
        <x:f>Taxepunkter!L118</x:f>
        <x:v>0</x:v>
      </x:c>
    </x:row>
    <x:row r="97">
      <x:c r="A97" s="773" t="str">
        <x:f>Taxepunkter!A120</x:f>
        <x:v>§2.4.2</x:v>
      </x:c>
      <x:c r="B97" s="767" t="str">
        <x:f>Taxepunkter!B120</x:f>
        <x:v>Överviktsavgift kärl</x:v>
      </x:c>
      <x:c r="C97" s="767" t="str">
        <x:f>Taxepunkter!C120</x:f>
        <x:v>Delat kärl 240 l restavfall</x:v>
      </x:c>
      <x:c r="D97" s="767" t="str">
        <x:f>Taxepunkter!D120</x:f>
        <x:v>Över 40 kg</x:v>
      </x:c>
      <x:c r="E97" s="767" t="str">
        <x:f>Taxepunkter!E120</x:f>
        <x:v>kr/kg</x:v>
      </x:c>
      <x:c r="F97" s="767" t="n">
        <x:f>Taxepunkter!F120</x:f>
        <x:v>0</x:v>
      </x:c>
      <x:c r="G97" s="767" t="str">
        <x:f>Taxepunkter!G120</x:f>
      </x:c>
      <x:c r="H97" s="767" t="e">
        <x:f>Taxepunkter!H120</x:f>
      </x:c>
      <x:c r="I97" s="767" t="e">
        <x:f>Taxepunkter!I120</x:f>
      </x:c>
      <x:c r="J97" s="767" t="e">
        <x:f>Taxepunkter!J120</x:f>
      </x:c>
      <x:c r="K97" s="767" t="n">
        <x:f>Taxepunkter!K120</x:f>
        <x:v>0</x:v>
      </x:c>
      <x:c r="L97" s="774" t="n">
        <x:f>Taxepunkter!L120</x:f>
        <x:v>0</x:v>
      </x:c>
    </x:row>
    <x:row r="98">
      <x:c r="A98" s="773" t="str">
        <x:f>Taxepunkter!A121</x:f>
        <x:v>§2.4.2</x:v>
      </x:c>
      <x:c r="B98" s="767" t="str">
        <x:f>Taxepunkter!B121</x:f>
        <x:v>Överviktsavgift kärl</x:v>
      </x:c>
      <x:c r="C98" s="767" t="str">
        <x:f>Taxepunkter!C121</x:f>
        <x:v>Extra kärl 140 l matavfall</x:v>
      </x:c>
      <x:c r="D98" s="767" t="str">
        <x:f>Taxepunkter!D121</x:f>
        <x:v>Över 60 kg</x:v>
      </x:c>
      <x:c r="E98" s="767" t="str">
        <x:f>Taxepunkter!E121</x:f>
        <x:v>kr/kg</x:v>
      </x:c>
      <x:c r="F98" s="767" t="n">
        <x:f>Taxepunkter!F121</x:f>
        <x:v>0</x:v>
      </x:c>
      <x:c r="G98" s="767" t="str">
        <x:f>Taxepunkter!G121</x:f>
      </x:c>
      <x:c r="H98" s="767" t="e">
        <x:f>Taxepunkter!H121</x:f>
      </x:c>
      <x:c r="I98" s="767" t="e">
        <x:f>Taxepunkter!I121</x:f>
      </x:c>
      <x:c r="J98" s="767" t="e">
        <x:f>Taxepunkter!J121</x:f>
      </x:c>
      <x:c r="K98" s="767" t="n">
        <x:f>Taxepunkter!K121</x:f>
        <x:v>0</x:v>
      </x:c>
      <x:c r="L98" s="774" t="n">
        <x:f>Taxepunkter!L121</x:f>
        <x:v>0</x:v>
      </x:c>
    </x:row>
    <x:row r="99">
      <x:c r="A99" s="773" t="str">
        <x:f>Taxepunkter!A122</x:f>
        <x:v>§2.4.2</x:v>
      </x:c>
      <x:c r="B99" s="767" t="n">
        <x:f>Taxepunkter!B122</x:f>
        <x:v>0</x:v>
      </x:c>
      <x:c r="C99" s="767" t="n">
        <x:f>Taxepunkter!C122</x:f>
        <x:v>0</x:v>
      </x:c>
      <x:c r="D99" s="767" t="n">
        <x:f>Taxepunkter!D122</x:f>
        <x:v>0</x:v>
      </x:c>
      <x:c r="E99" s="767" t="n">
        <x:f>Taxepunkter!E122</x:f>
        <x:v>0</x:v>
      </x:c>
      <x:c r="F99" s="767" t="n">
        <x:f>Taxepunkter!F122</x:f>
        <x:v>0</x:v>
      </x:c>
      <x:c r="G99" s="767" t="str">
        <x:f>Taxepunkter!G122</x:f>
      </x:c>
      <x:c r="H99" s="767" t="e">
        <x:f>Taxepunkter!H122</x:f>
      </x:c>
      <x:c r="I99" s="767" t="e">
        <x:f>Taxepunkter!I122</x:f>
      </x:c>
      <x:c r="J99" s="767" t="e">
        <x:f>Taxepunkter!J122</x:f>
      </x:c>
      <x:c r="K99" s="767" t="n">
        <x:f>Taxepunkter!K122</x:f>
        <x:v>0</x:v>
      </x:c>
      <x:c r="L99" s="774" t="n">
        <x:f>Taxepunkter!L122</x:f>
        <x:v>0</x:v>
      </x:c>
    </x:row>
    <x:row r="100">
      <x:c r="A100" s="773" t="str">
        <x:f>Taxepunkter!A123</x:f>
        <x:v>§2.4.2</x:v>
      </x:c>
      <x:c r="B100" s="767" t="str">
        <x:f>Taxepunkter!B123</x:f>
        <x:v>Överviktsavgift kärl</x:v>
      </x:c>
      <x:c r="C100" s="767" t="str">
        <x:f>Taxepunkter!C123</x:f>
        <x:v>Kärl 370 l restavfall</x:v>
      </x:c>
      <x:c r="D100" s="767" t="str">
        <x:f>Taxepunkter!D123</x:f>
        <x:v>Över 60 kg</x:v>
      </x:c>
      <x:c r="E100" s="767" t="str">
        <x:f>Taxepunkter!E123</x:f>
        <x:v>kr/kg</x:v>
      </x:c>
      <x:c r="F100" s="767" t="n">
        <x:f>Taxepunkter!F123</x:f>
        <x:v>0</x:v>
      </x:c>
      <x:c r="G100" s="767" t="str">
        <x:f>Taxepunkter!G123</x:f>
      </x:c>
      <x:c r="H100" s="767" t="e">
        <x:f>Taxepunkter!H123</x:f>
      </x:c>
      <x:c r="I100" s="767" t="e">
        <x:f>Taxepunkter!I123</x:f>
      </x:c>
      <x:c r="J100" s="767" t="e">
        <x:f>Taxepunkter!J123</x:f>
      </x:c>
      <x:c r="K100" s="767" t="n">
        <x:f>Taxepunkter!K123</x:f>
        <x:v>0</x:v>
      </x:c>
      <x:c r="L100" s="774" t="n">
        <x:f>Taxepunkter!L123</x:f>
        <x:v>0</x:v>
      </x:c>
    </x:row>
    <x:row r="101">
      <x:c r="A101" s="773" t="str">
        <x:f>Taxepunkter!A124</x:f>
        <x:v>§2.4.2</x:v>
      </x:c>
      <x:c r="B101" s="767" t="str">
        <x:f>Taxepunkter!B124</x:f>
        <x:v>Överviktsavgift kärl</x:v>
      </x:c>
      <x:c r="C101" s="767" t="str">
        <x:f>Taxepunkter!C124</x:f>
        <x:v>Kärl 660 l restavfall</x:v>
      </x:c>
      <x:c r="D101" s="767" t="str">
        <x:f>Taxepunkter!D124</x:f>
        <x:v>Över 100 kg</x:v>
      </x:c>
      <x:c r="E101" s="767" t="str">
        <x:f>Taxepunkter!E124</x:f>
        <x:v>kr/kg</x:v>
      </x:c>
      <x:c r="F101" s="767" t="n">
        <x:f>Taxepunkter!F124</x:f>
        <x:v>0</x:v>
      </x:c>
      <x:c r="G101" s="767" t="str">
        <x:f>Taxepunkter!G124</x:f>
      </x:c>
      <x:c r="H101" s="767" t="e">
        <x:f>Taxepunkter!H124</x:f>
      </x:c>
      <x:c r="I101" s="767" t="e">
        <x:f>Taxepunkter!I124</x:f>
      </x:c>
      <x:c r="J101" s="767" t="e">
        <x:f>Taxepunkter!J124</x:f>
      </x:c>
      <x:c r="K101" s="767" t="n">
        <x:f>Taxepunkter!K124</x:f>
        <x:v>0</x:v>
      </x:c>
      <x:c r="L101" s="774" t="n">
        <x:f>Taxepunkter!L124</x:f>
        <x:v>0</x:v>
      </x:c>
    </x:row>
    <x:row r="102">
      <x:c r="A102" s="773" t="str">
        <x:f>Taxepunkter!A125</x:f>
        <x:v>§2.4.2</x:v>
      </x:c>
      <x:c r="B102" s="767" t="n">
        <x:f>Taxepunkter!B125</x:f>
        <x:v>0</x:v>
      </x:c>
      <x:c r="C102" s="767" t="n">
        <x:f>Taxepunkter!C125</x:f>
        <x:v>0</x:v>
      </x:c>
      <x:c r="D102" s="767" t="n">
        <x:f>Taxepunkter!D125</x:f>
        <x:v>0</x:v>
      </x:c>
      <x:c r="E102" s="767" t="n">
        <x:f>Taxepunkter!E125</x:f>
        <x:v>0</x:v>
      </x:c>
      <x:c r="F102" s="767" t="n">
        <x:f>Taxepunkter!F125</x:f>
        <x:v>0</x:v>
      </x:c>
      <x:c r="G102" s="767" t="str">
        <x:f>Taxepunkter!G125</x:f>
      </x:c>
      <x:c r="H102" s="767" t="e">
        <x:f>Taxepunkter!H125</x:f>
      </x:c>
      <x:c r="I102" s="767" t="e">
        <x:f>Taxepunkter!I125</x:f>
      </x:c>
      <x:c r="J102" s="767" t="e">
        <x:f>Taxepunkter!J125</x:f>
      </x:c>
      <x:c r="K102" s="767" t="n">
        <x:f>Taxepunkter!K125</x:f>
        <x:v>0</x:v>
      </x:c>
      <x:c r="L102" s="774" t="n">
        <x:f>Taxepunkter!L125</x:f>
        <x:v>0</x:v>
      </x:c>
    </x:row>
    <x:row r="103">
      <x:c r="A103" s="773" t="str">
        <x:f>Taxepunkter!A126</x:f>
        <x:v>§2.4.3 Överfull behållare</x:v>
      </x:c>
      <x:c r="B103" s="767" t="n">
        <x:f>Taxepunkter!B126</x:f>
        <x:v>0</x:v>
      </x:c>
      <x:c r="C103" s="767" t="n">
        <x:f>Taxepunkter!C126</x:f>
        <x:v>0</x:v>
      </x:c>
      <x:c r="D103" s="767" t="n">
        <x:f>Taxepunkter!D126</x:f>
        <x:v>0</x:v>
      </x:c>
      <x:c r="E103" s="767" t="n">
        <x:f>Taxepunkter!E126</x:f>
        <x:v>0</x:v>
      </x:c>
      <x:c r="F103" s="767" t="n">
        <x:f>Taxepunkter!F126</x:f>
        <x:v>0</x:v>
      </x:c>
      <x:c r="G103" s="767" t="str">
        <x:f>Taxepunkter!G126</x:f>
      </x:c>
      <x:c r="H103" s="767" t="e">
        <x:f>Taxepunkter!H126</x:f>
      </x:c>
      <x:c r="I103" s="767" t="e">
        <x:f>Taxepunkter!I126</x:f>
      </x:c>
      <x:c r="J103" s="767" t="e">
        <x:f>Taxepunkter!J126</x:f>
      </x:c>
      <x:c r="K103" s="767" t="n">
        <x:f>Taxepunkter!K126</x:f>
        <x:v>0</x:v>
      </x:c>
      <x:c r="L103" s="774" t="n">
        <x:f>Taxepunkter!L126</x:f>
        <x:v>0</x:v>
      </x:c>
    </x:row>
    <x:row r="104">
      <x:c r="A104" s="773" t="str">
        <x:f>Taxepunkter!A127</x:f>
        <x:v>§2.4.3</x:v>
      </x:c>
      <x:c r="B104" s="767" t="str">
        <x:f>Taxepunkter!B127</x:f>
        <x:v>Överfull behållare</x:v>
      </x:c>
      <x:c r="C104" s="767" t="str">
        <x:f>Taxepunkter!C127</x:f>
        <x:v>Överfullt kärl</x:v>
      </x:c>
      <x:c r="D104" s="767" t="n">
        <x:f>Taxepunkter!D127</x:f>
        <x:v>0</x:v>
      </x:c>
      <x:c r="E104" s="767" t="str">
        <x:f>Taxepunkter!E127</x:f>
        <x:v>st/tillfälle/behållare</x:v>
      </x:c>
      <x:c r="F104" s="767" t="n">
        <x:f>Taxepunkter!F127</x:f>
        <x:v>0</x:v>
      </x:c>
      <x:c r="G104" s="767" t="str">
        <x:f>Taxepunkter!G127</x:f>
      </x:c>
      <x:c r="H104" s="767" t="e">
        <x:f>Taxepunkter!H127</x:f>
      </x:c>
      <x:c r="I104" s="767" t="e">
        <x:f>Taxepunkter!I127</x:f>
      </x:c>
      <x:c r="J104" s="767" t="e">
        <x:f>Taxepunkter!J127</x:f>
      </x:c>
      <x:c r="K104" s="767" t="n">
        <x:f>Taxepunkter!K127</x:f>
        <x:v>0</x:v>
      </x:c>
      <x:c r="L104" s="774" t="n">
        <x:f>Taxepunkter!L127</x:f>
        <x:v>0</x:v>
      </x:c>
    </x:row>
    <x:row r="105">
      <x:c r="A105" s="773" t="str">
        <x:f>Taxepunkter!A128</x:f>
        <x:v>§2.4.3</x:v>
      </x:c>
      <x:c r="B105" s="767" t="str">
        <x:f>Taxepunkter!B128</x:f>
        <x:v>Överfull behållare</x:v>
      </x:c>
      <x:c r="C105" s="767" t="str">
        <x:f>Taxepunkter!C128</x:f>
        <x:v>Överfull bottentömmande behållare</x:v>
      </x:c>
      <x:c r="D105" s="767" t="n">
        <x:f>Taxepunkter!D128</x:f>
        <x:v>0</x:v>
      </x:c>
      <x:c r="E105" s="767" t="str">
        <x:f>Taxepunkter!E128</x:f>
        <x:v>st/tillfälle/behållare</x:v>
      </x:c>
      <x:c r="F105" s="767" t="n">
        <x:f>Taxepunkter!F128</x:f>
        <x:v>0</x:v>
      </x:c>
      <x:c r="G105" s="767" t="str">
        <x:f>Taxepunkter!G128</x:f>
      </x:c>
      <x:c r="H105" s="767" t="e">
        <x:f>Taxepunkter!H128</x:f>
      </x:c>
      <x:c r="I105" s="767" t="e">
        <x:f>Taxepunkter!I128</x:f>
      </x:c>
      <x:c r="J105" s="767" t="e">
        <x:f>Taxepunkter!J128</x:f>
      </x:c>
      <x:c r="K105" s="767" t="n">
        <x:f>Taxepunkter!K128</x:f>
        <x:v>0</x:v>
      </x:c>
      <x:c r="L105" s="774" t="n">
        <x:f>Taxepunkter!L128</x:f>
        <x:v>0</x:v>
      </x:c>
    </x:row>
    <x:row r="106">
      <x:c r="A106" s="773" t="str">
        <x:f>Taxepunkter!A129</x:f>
        <x:v>§2.4.3</x:v>
      </x:c>
      <x:c r="B106" s="767" t="n">
        <x:f>Taxepunkter!B129</x:f>
        <x:v>0</x:v>
      </x:c>
      <x:c r="C106" s="767" t="n">
        <x:f>Taxepunkter!C129</x:f>
        <x:v>0</x:v>
      </x:c>
      <x:c r="D106" s="767" t="n">
        <x:f>Taxepunkter!D129</x:f>
        <x:v>0</x:v>
      </x:c>
      <x:c r="E106" s="767" t="n">
        <x:f>Taxepunkter!E129</x:f>
        <x:v>0</x:v>
      </x:c>
      <x:c r="F106" s="767" t="n">
        <x:f>Taxepunkter!F129</x:f>
        <x:v>0</x:v>
      </x:c>
      <x:c r="G106" s="767" t="str">
        <x:f>Taxepunkter!G129</x:f>
      </x:c>
      <x:c r="H106" s="767" t="e">
        <x:f>Taxepunkter!H129</x:f>
      </x:c>
      <x:c r="I106" s="767" t="e">
        <x:f>Taxepunkter!I129</x:f>
      </x:c>
      <x:c r="J106" s="767" t="e">
        <x:f>Taxepunkter!J129</x:f>
      </x:c>
      <x:c r="K106" s="767" t="n">
        <x:f>Taxepunkter!K129</x:f>
        <x:v>0</x:v>
      </x:c>
      <x:c r="L106" s="774" t="n">
        <x:f>Taxepunkter!L129</x:f>
        <x:v>0</x:v>
      </x:c>
    </x:row>
    <x:row r="107">
      <x:c r="A107" s="773" t="str">
        <x:f>Taxepunkter!A130</x:f>
        <x:v>§2.4.4 Byte av trasigt kärl</x:v>
      </x:c>
      <x:c r="B107" s="767" t="n">
        <x:f>Taxepunkter!B130</x:f>
        <x:v>0</x:v>
      </x:c>
      <x:c r="C107" s="767" t="n">
        <x:f>Taxepunkter!C130</x:f>
        <x:v>0</x:v>
      </x:c>
      <x:c r="D107" s="767" t="n">
        <x:f>Taxepunkter!D130</x:f>
        <x:v>0</x:v>
      </x:c>
      <x:c r="E107" s="767" t="n">
        <x:f>Taxepunkter!E130</x:f>
        <x:v>0</x:v>
      </x:c>
      <x:c r="F107" s="767" t="n">
        <x:f>Taxepunkter!F130</x:f>
        <x:v>0</x:v>
      </x:c>
      <x:c r="G107" s="767" t="str">
        <x:f>Taxepunkter!G130</x:f>
      </x:c>
      <x:c r="H107" s="767" t="e">
        <x:f>Taxepunkter!H130</x:f>
      </x:c>
      <x:c r="I107" s="767" t="e">
        <x:f>Taxepunkter!I130</x:f>
      </x:c>
      <x:c r="J107" s="767" t="e">
        <x:f>Taxepunkter!J130</x:f>
      </x:c>
      <x:c r="K107" s="767" t="n">
        <x:f>Taxepunkter!K130</x:f>
        <x:v>0</x:v>
      </x:c>
      <x:c r="L107" s="774" t="n">
        <x:f>Taxepunkter!L130</x:f>
        <x:v>0</x:v>
      </x:c>
    </x:row>
    <x:row r="108">
      <x:c r="A108" s="773" t="str">
        <x:f>Taxepunkter!A131</x:f>
        <x:v>§2.4.4</x:v>
      </x:c>
      <x:c r="B108" s="767" t="str">
        <x:f>Taxepunkter!B131</x:f>
        <x:v>Byte av trasigt kärl</x:v>
      </x:c>
      <x:c r="C108" s="767" t="str">
        <x:f>Taxepunkter!C131</x:f>
        <x:v>Byte av trasigt kärl vid oaktsamhet</x:v>
      </x:c>
      <x:c r="D108" s="767" t="n">
        <x:f>Taxepunkter!D131</x:f>
        <x:v>0</x:v>
      </x:c>
      <x:c r="E108" s="767" t="str">
        <x:f>Taxepunkter!E131</x:f>
        <x:v>st/kärl</x:v>
      </x:c>
      <x:c r="F108" s="767" t="n">
        <x:f>Taxepunkter!F131</x:f>
        <x:v>0</x:v>
      </x:c>
      <x:c r="G108" s="767" t="str">
        <x:f>Taxepunkter!G131</x:f>
      </x:c>
      <x:c r="H108" s="767" t="e">
        <x:f>Taxepunkter!H131</x:f>
      </x:c>
      <x:c r="I108" s="767" t="e">
        <x:f>Taxepunkter!I131</x:f>
      </x:c>
      <x:c r="J108" s="767" t="e">
        <x:f>Taxepunkter!J131</x:f>
      </x:c>
      <x:c r="K108" s="767" t="n">
        <x:f>Taxepunkter!K131</x:f>
        <x:v>0</x:v>
      </x:c>
      <x:c r="L108" s="774" t="n">
        <x:f>Taxepunkter!L131</x:f>
        <x:v>0</x:v>
      </x:c>
    </x:row>
    <x:row r="109">
      <x:c r="A109" s="773" t="str">
        <x:f>Taxepunkter!A132</x:f>
        <x:v>§2.4.4</x:v>
      </x:c>
      <x:c r="B109" s="767" t="n">
        <x:f>Taxepunkter!B132</x:f>
        <x:v>0</x:v>
      </x:c>
      <x:c r="C109" s="767" t="n">
        <x:f>Taxepunkter!C132</x:f>
        <x:v>0</x:v>
      </x:c>
      <x:c r="D109" s="767" t="n">
        <x:f>Taxepunkter!D132</x:f>
        <x:v>0</x:v>
      </x:c>
      <x:c r="E109" s="767" t="n">
        <x:f>Taxepunkter!E132</x:f>
        <x:v>0</x:v>
      </x:c>
      <x:c r="F109" s="767" t="n">
        <x:f>Taxepunkter!F132</x:f>
        <x:v>0</x:v>
      </x:c>
      <x:c r="G109" s="767" t="str">
        <x:f>Taxepunkter!G132</x:f>
      </x:c>
      <x:c r="H109" s="767" t="e">
        <x:f>Taxepunkter!H132</x:f>
      </x:c>
      <x:c r="I109" s="767" t="e">
        <x:f>Taxepunkter!I132</x:f>
      </x:c>
      <x:c r="J109" s="767" t="e">
        <x:f>Taxepunkter!J132</x:f>
      </x:c>
      <x:c r="K109" s="767" t="n">
        <x:f>Taxepunkter!K132</x:f>
        <x:v>0</x:v>
      </x:c>
      <x:c r="L109" s="774" t="n">
        <x:f>Taxepunkter!L132</x:f>
        <x:v>0</x:v>
      </x:c>
    </x:row>
    <x:row r="110">
      <x:c r="A110" s="773" t="str">
        <x:f>Taxepunkter!A133</x:f>
        <x:v>§2.4.5 Byte av abonnemang</x:v>
      </x:c>
      <x:c r="B110" s="767" t="n">
        <x:f>Taxepunkter!B133</x:f>
        <x:v>0</x:v>
      </x:c>
      <x:c r="C110" s="767" t="n">
        <x:f>Taxepunkter!C133</x:f>
        <x:v>0</x:v>
      </x:c>
      <x:c r="D110" s="767" t="n">
        <x:f>Taxepunkter!D133</x:f>
        <x:v>0</x:v>
      </x:c>
      <x:c r="E110" s="767" t="n">
        <x:f>Taxepunkter!E133</x:f>
        <x:v>0</x:v>
      </x:c>
      <x:c r="F110" s="767" t="n">
        <x:f>Taxepunkter!F133</x:f>
        <x:v>0</x:v>
      </x:c>
      <x:c r="G110" s="767" t="str">
        <x:f>Taxepunkter!G133</x:f>
      </x:c>
      <x:c r="H110" s="767" t="e">
        <x:f>Taxepunkter!H133</x:f>
      </x:c>
      <x:c r="I110" s="767" t="e">
        <x:f>Taxepunkter!I133</x:f>
      </x:c>
      <x:c r="J110" s="767" t="e">
        <x:f>Taxepunkter!J133</x:f>
      </x:c>
      <x:c r="K110" s="767" t="n">
        <x:f>Taxepunkter!K133</x:f>
        <x:v>0</x:v>
      </x:c>
      <x:c r="L110" s="774" t="n">
        <x:f>Taxepunkter!L133</x:f>
        <x:v>0</x:v>
      </x:c>
    </x:row>
    <x:row r="111">
      <x:c r="A111" s="773" t="str">
        <x:f>Taxepunkter!A134</x:f>
        <x:v>§2.4.5</x:v>
      </x:c>
      <x:c r="B111" s="767" t="str">
        <x:f>Taxepunkter!B134</x:f>
        <x:v>Byte av abonnemang</x:v>
      </x:c>
      <x:c r="C111" s="767" t="str">
        <x:f>Taxepunkter!C134</x:f>
        <x:v>Byte/återtag av kärl en (1) ggr/år</x:v>
      </x:c>
      <x:c r="D111" s="767" t="str">
        <x:f>Taxepunkter!D134</x:f>
        <x:v>140–240 liter</x:v>
      </x:c>
      <x:c r="E111" s="767" t="str">
        <x:f>Taxepunkter!E134</x:f>
        <x:v>st/kärl</x:v>
      </x:c>
      <x:c r="F111" s="767" t="n">
        <x:f>Taxepunkter!F134</x:f>
        <x:v>0</x:v>
      </x:c>
      <x:c r="G111" s="767" t="str">
        <x:f>Taxepunkter!G134</x:f>
      </x:c>
      <x:c r="H111" s="767" t="e">
        <x:f>Taxepunkter!H134</x:f>
      </x:c>
      <x:c r="I111" s="767" t="e">
        <x:f>Taxepunkter!I134</x:f>
      </x:c>
      <x:c r="J111" s="767" t="e">
        <x:f>Taxepunkter!J134</x:f>
      </x:c>
      <x:c r="K111" s="767" t="n">
        <x:f>Taxepunkter!K134</x:f>
        <x:v>0</x:v>
      </x:c>
      <x:c r="L111" s="774" t="n">
        <x:f>Taxepunkter!L134</x:f>
        <x:v>0</x:v>
      </x:c>
    </x:row>
    <x:row r="112">
      <x:c r="A112" s="773" t="str">
        <x:f>Taxepunkter!A135</x:f>
        <x:v>§2.4.5</x:v>
      </x:c>
      <x:c r="B112" s="767" t="str">
        <x:f>Taxepunkter!B135</x:f>
        <x:v>Byte av abonnemang</x:v>
      </x:c>
      <x:c r="C112" s="767" t="str">
        <x:f>Taxepunkter!C135</x:f>
        <x:v>Byte/återtag av kärl en (1) ggr/år</x:v>
      </x:c>
      <x:c r="D112" s="767" t="str">
        <x:f>Taxepunkter!D135</x:f>
        <x:v>370–660 liter</x:v>
      </x:c>
      <x:c r="E112" s="767" t="str">
        <x:f>Taxepunkter!E135</x:f>
        <x:v>st/kärl</x:v>
      </x:c>
      <x:c r="F112" s="767" t="n">
        <x:f>Taxepunkter!F135</x:f>
        <x:v>0</x:v>
      </x:c>
      <x:c r="G112" s="767" t="str">
        <x:f>Taxepunkter!G135</x:f>
      </x:c>
      <x:c r="H112" s="767" t="e">
        <x:f>Taxepunkter!H135</x:f>
      </x:c>
      <x:c r="I112" s="767" t="e">
        <x:f>Taxepunkter!I135</x:f>
      </x:c>
      <x:c r="J112" s="767" t="e">
        <x:f>Taxepunkter!J135</x:f>
      </x:c>
      <x:c r="K112" s="767" t="n">
        <x:f>Taxepunkter!K135</x:f>
        <x:v>0</x:v>
      </x:c>
      <x:c r="L112" s="774" t="n">
        <x:f>Taxepunkter!L135</x:f>
        <x:v>0</x:v>
      </x:c>
    </x:row>
    <x:row r="113">
      <x:c r="A113" s="773" t="str">
        <x:f>Taxepunkter!A136</x:f>
        <x:v>§2.4.5</x:v>
      </x:c>
      <x:c r="B113" s="767" t="str">
        <x:f>Taxepunkter!B136</x:f>
        <x:v>Byte av abonnemang</x:v>
      </x:c>
      <x:c r="C113" s="767" t="str">
        <x:f>Taxepunkter!C136</x:f>
        <x:v>Ytterligare byte av kärl under kalenderåret</x:v>
      </x:c>
      <x:c r="D113" s="767" t="n">
        <x:f>Taxepunkter!D136</x:f>
        <x:v>0</x:v>
      </x:c>
      <x:c r="E113" s="767" t="str">
        <x:f>Taxepunkter!E136</x:f>
        <x:v>st/kärl</x:v>
      </x:c>
      <x:c r="F113" s="767" t="n">
        <x:f>Taxepunkter!F136</x:f>
        <x:v>0</x:v>
      </x:c>
      <x:c r="G113" s="767" t="str">
        <x:f>Taxepunkter!G136</x:f>
      </x:c>
      <x:c r="H113" s="767" t="e">
        <x:f>Taxepunkter!H136</x:f>
      </x:c>
      <x:c r="I113" s="767" t="e">
        <x:f>Taxepunkter!I136</x:f>
      </x:c>
      <x:c r="J113" s="767" t="e">
        <x:f>Taxepunkter!J136</x:f>
      </x:c>
      <x:c r="K113" s="767" t="n">
        <x:f>Taxepunkter!K136</x:f>
        <x:v>0</x:v>
      </x:c>
      <x:c r="L113" s="774" t="n">
        <x:f>Taxepunkter!L136</x:f>
        <x:v>0</x:v>
      </x:c>
    </x:row>
    <x:row r="114">
      <x:c r="A114" s="773" t="str">
        <x:f>Taxepunkter!A137</x:f>
        <x:v>§2.4.5</x:v>
      </x:c>
      <x:c r="B114" s="767" t="n">
        <x:f>Taxepunkter!B137</x:f>
        <x:v>0</x:v>
      </x:c>
      <x:c r="C114" s="767" t="n">
        <x:f>Taxepunkter!C137</x:f>
        <x:v>0</x:v>
      </x:c>
      <x:c r="D114" s="767" t="n">
        <x:f>Taxepunkter!D137</x:f>
        <x:v>0</x:v>
      </x:c>
      <x:c r="E114" s="767" t="n">
        <x:f>Taxepunkter!E137</x:f>
        <x:v>0</x:v>
      </x:c>
      <x:c r="F114" s="767" t="n">
        <x:f>Taxepunkter!F137</x:f>
        <x:v>0</x:v>
      </x:c>
      <x:c r="G114" s="767" t="str">
        <x:f>Taxepunkter!G137</x:f>
      </x:c>
      <x:c r="H114" s="767" t="e">
        <x:f>Taxepunkter!H137</x:f>
      </x:c>
      <x:c r="I114" s="767" t="e">
        <x:f>Taxepunkter!I137</x:f>
      </x:c>
      <x:c r="J114" s="767" t="e">
        <x:f>Taxepunkter!J137</x:f>
      </x:c>
      <x:c r="K114" s="767" t="n">
        <x:f>Taxepunkter!K137</x:f>
        <x:v>0</x:v>
      </x:c>
      <x:c r="L114" s="774" t="n">
        <x:f>Taxepunkter!L137</x:f>
        <x:v>0</x:v>
      </x:c>
    </x:row>
    <x:row r="115">
      <x:c r="A115" s="773" t="str">
        <x:f>Taxepunkter!A138</x:f>
        <x:v>§2.4.6 Felsorteringsavgift</x:v>
      </x:c>
      <x:c r="B115" s="767" t="n">
        <x:f>Taxepunkter!B138</x:f>
        <x:v>0</x:v>
      </x:c>
      <x:c r="C115" s="767" t="n">
        <x:f>Taxepunkter!C138</x:f>
        <x:v>0</x:v>
      </x:c>
      <x:c r="D115" s="767" t="n">
        <x:f>Taxepunkter!D138</x:f>
        <x:v>0</x:v>
      </x:c>
      <x:c r="E115" s="767" t="n">
        <x:f>Taxepunkter!E138</x:f>
        <x:v>0</x:v>
      </x:c>
      <x:c r="F115" s="767" t="n">
        <x:f>Taxepunkter!F138</x:f>
        <x:v>0</x:v>
      </x:c>
      <x:c r="G115" s="767" t="str">
        <x:f>Taxepunkter!G138</x:f>
      </x:c>
      <x:c r="H115" s="767" t="e">
        <x:f>Taxepunkter!H138</x:f>
      </x:c>
      <x:c r="I115" s="767" t="e">
        <x:f>Taxepunkter!I138</x:f>
      </x:c>
      <x:c r="J115" s="767" t="e">
        <x:f>Taxepunkter!J138</x:f>
      </x:c>
      <x:c r="K115" s="767" t="n">
        <x:f>Taxepunkter!K138</x:f>
        <x:v>0</x:v>
      </x:c>
      <x:c r="L115" s="774" t="n">
        <x:f>Taxepunkter!L138</x:f>
        <x:v>0</x:v>
      </x:c>
    </x:row>
    <x:row r="116">
      <x:c r="A116" s="773" t="str">
        <x:f>Taxepunkter!A139</x:f>
        <x:v>§2.4.6</x:v>
      </x:c>
      <x:c r="B116" s="767" t="str">
        <x:f>Taxepunkter!B139</x:f>
        <x:v>Felsorteringsavgift</x:v>
      </x:c>
      <x:c r="C116" s="767" t="str">
        <x:f>Taxepunkter!C139</x:f>
        <x:v>Kärl</x:v>
      </x:c>
      <x:c r="D116" s="767" t="n">
        <x:f>Taxepunkter!D139</x:f>
        <x:v>0</x:v>
      </x:c>
      <x:c r="E116" s="767" t="str">
        <x:f>Taxepunkter!E139</x:f>
        <x:v>st/tillfälle</x:v>
      </x:c>
      <x:c r="F116" s="767" t="n">
        <x:f>Taxepunkter!F139</x:f>
        <x:v>0</x:v>
      </x:c>
      <x:c r="G116" s="767" t="str">
        <x:f>Taxepunkter!G139</x:f>
      </x:c>
      <x:c r="H116" s="767" t="e">
        <x:f>Taxepunkter!H139</x:f>
      </x:c>
      <x:c r="I116" s="767" t="e">
        <x:f>Taxepunkter!I139</x:f>
      </x:c>
      <x:c r="J116" s="767" t="e">
        <x:f>Taxepunkter!J139</x:f>
      </x:c>
      <x:c r="K116" s="767" t="n">
        <x:f>Taxepunkter!K139</x:f>
        <x:v>0</x:v>
      </x:c>
      <x:c r="L116" s="774" t="n">
        <x:f>Taxepunkter!L139</x:f>
        <x:v>0</x:v>
      </x:c>
    </x:row>
    <x:row r="117">
      <x:c r="A117" s="773" t="str">
        <x:f>Taxepunkter!A140</x:f>
        <x:v>§2.4.6</x:v>
      </x:c>
      <x:c r="B117" s="767" t="str">
        <x:f>Taxepunkter!B140</x:f>
        <x:v>Felsorteringsavgift</x:v>
      </x:c>
      <x:c r="C117" s="767" t="str">
        <x:f>Taxepunkter!C140</x:f>
        <x:v>Bottentömmande behållare</x:v>
      </x:c>
      <x:c r="D117" s="767" t="n">
        <x:f>Taxepunkter!D140</x:f>
        <x:v>0</x:v>
      </x:c>
      <x:c r="E117" s="767" t="str">
        <x:f>Taxepunkter!E140</x:f>
        <x:v>st/tillfälle</x:v>
      </x:c>
      <x:c r="F117" s="767" t="n">
        <x:f>Taxepunkter!F140</x:f>
        <x:v>0</x:v>
      </x:c>
      <x:c r="G117" s="767" t="str">
        <x:f>Taxepunkter!G140</x:f>
      </x:c>
      <x:c r="H117" s="767" t="e">
        <x:f>Taxepunkter!H140</x:f>
      </x:c>
      <x:c r="I117" s="767" t="e">
        <x:f>Taxepunkter!I140</x:f>
      </x:c>
      <x:c r="J117" s="767" t="e">
        <x:f>Taxepunkter!J140</x:f>
      </x:c>
      <x:c r="K117" s="767" t="n">
        <x:f>Taxepunkter!K140</x:f>
        <x:v>0</x:v>
      </x:c>
      <x:c r="L117" s="774" t="n">
        <x:f>Taxepunkter!L140</x:f>
        <x:v>0</x:v>
      </x:c>
    </x:row>
    <x:row r="118">
      <x:c r="A118" s="773" t="str">
        <x:f>Taxepunkter!A141</x:f>
        <x:v>§2.4.6</x:v>
      </x:c>
      <x:c r="B118" s="767" t="n">
        <x:f>Taxepunkter!B141</x:f>
        <x:v>0</x:v>
      </x:c>
      <x:c r="C118" s="767" t="n">
        <x:f>Taxepunkter!C141</x:f>
        <x:v>0</x:v>
      </x:c>
      <x:c r="D118" s="767" t="n">
        <x:f>Taxepunkter!D141</x:f>
        <x:v>0</x:v>
      </x:c>
      <x:c r="E118" s="767" t="n">
        <x:f>Taxepunkter!E141</x:f>
        <x:v>0</x:v>
      </x:c>
      <x:c r="F118" s="767" t="n">
        <x:f>Taxepunkter!F141</x:f>
        <x:v>0</x:v>
      </x:c>
      <x:c r="G118" s="767" t="str">
        <x:f>Taxepunkter!G141</x:f>
      </x:c>
      <x:c r="H118" s="767" t="e">
        <x:f>Taxepunkter!H141</x:f>
      </x:c>
      <x:c r="I118" s="767" t="e">
        <x:f>Taxepunkter!I141</x:f>
      </x:c>
      <x:c r="J118" s="767" t="e">
        <x:f>Taxepunkter!J141</x:f>
      </x:c>
      <x:c r="K118" s="767" t="n">
        <x:f>Taxepunkter!K141</x:f>
        <x:v>0</x:v>
      </x:c>
      <x:c r="L118" s="774" t="n">
        <x:f>Taxepunkter!L141</x:f>
        <x:v>0</x:v>
      </x:c>
    </x:row>
    <x:row r="119">
      <x:c r="A119" s="773" t="str">
        <x:f>Taxepunkter!A142</x:f>
        <x:v>§2.4.7 Dragväg och avfallsutrymmen</x:v>
      </x:c>
      <x:c r="B119" s="767" t="n">
        <x:f>Taxepunkter!B142</x:f>
        <x:v>0</x:v>
      </x:c>
      <x:c r="C119" s="767" t="n">
        <x:f>Taxepunkter!C142</x:f>
        <x:v>0</x:v>
      </x:c>
      <x:c r="D119" s="767" t="n">
        <x:f>Taxepunkter!D142</x:f>
        <x:v>0</x:v>
      </x:c>
      <x:c r="E119" s="767" t="n">
        <x:f>Taxepunkter!E142</x:f>
        <x:v>0</x:v>
      </x:c>
      <x:c r="F119" s="767" t="n">
        <x:f>Taxepunkter!F142</x:f>
        <x:v>0</x:v>
      </x:c>
      <x:c r="G119" s="767" t="str">
        <x:f>Taxepunkter!G142</x:f>
      </x:c>
      <x:c r="H119" s="767" t="e">
        <x:f>Taxepunkter!H142</x:f>
      </x:c>
      <x:c r="I119" s="767" t="e">
        <x:f>Taxepunkter!I142</x:f>
      </x:c>
      <x:c r="J119" s="767" t="e">
        <x:f>Taxepunkter!J142</x:f>
      </x:c>
      <x:c r="K119" s="767" t="n">
        <x:f>Taxepunkter!K142</x:f>
        <x:v>0</x:v>
      </x:c>
      <x:c r="L119" s="774" t="n">
        <x:f>Taxepunkter!L142</x:f>
        <x:v>0</x:v>
      </x:c>
    </x:row>
    <x:row r="120">
      <x:c r="A120" s="773" t="str">
        <x:f>Taxepunkter!A144</x:f>
        <x:v>§2.4.7</x:v>
      </x:c>
      <x:c r="B120" s="767" t="str">
        <x:f>Taxepunkter!B144</x:f>
        <x:v>Dragväg och avfallsutrymmen</x:v>
      </x:c>
      <x:c r="C120" s="767" t="str">
        <x:f>Taxepunkter!C144</x:f>
        <x:v>Kärl 140-660 L</x:v>
      </x:c>
      <x:c r="D120" s="767" t="str">
        <x:f>Taxepunkter!D144</x:f>
        <x:v>10-20</x:v>
      </x:c>
      <x:c r="E120" s="767" t="str">
        <x:f>Taxepunkter!E144</x:f>
        <x:v>st/år</x:v>
      </x:c>
      <x:c r="F120" s="767" t="n">
        <x:f>Taxepunkter!F144</x:f>
        <x:v>0</x:v>
      </x:c>
      <x:c r="G120" s="767" t="str">
        <x:f>Taxepunkter!G144</x:f>
      </x:c>
      <x:c r="H120" s="767" t="e">
        <x:f>Taxepunkter!H144</x:f>
      </x:c>
      <x:c r="I120" s="767" t="e">
        <x:f>Taxepunkter!I144</x:f>
      </x:c>
      <x:c r="J120" s="767" t="e">
        <x:f>Taxepunkter!J144</x:f>
      </x:c>
      <x:c r="K120" s="767" t="n">
        <x:f>Taxepunkter!K144</x:f>
        <x:v>0</x:v>
      </x:c>
      <x:c r="L120" s="774" t="n">
        <x:f>Taxepunkter!L144</x:f>
        <x:v>0</x:v>
      </x:c>
    </x:row>
    <x:row r="121">
      <x:c r="A121" s="773" t="str">
        <x:f>Taxepunkter!A145</x:f>
        <x:v>§2.4.7</x:v>
      </x:c>
      <x:c r="B121" s="767" t="str">
        <x:f>Taxepunkter!B145</x:f>
        <x:v>Dragväg och avfallsutrymmen</x:v>
      </x:c>
      <x:c r="C121" s="767" t="str">
        <x:f>Taxepunkter!C145</x:f>
        <x:v>Kärl 140-660 L</x:v>
      </x:c>
      <x:c r="D121" s="767" t="str">
        <x:f>Taxepunkter!D145</x:f>
        <x:v>20-30</x:v>
      </x:c>
      <x:c r="E121" s="767" t="str">
        <x:f>Taxepunkter!E145</x:f>
        <x:v>st/år</x:v>
      </x:c>
      <x:c r="F121" s="767" t="n">
        <x:f>Taxepunkter!F145</x:f>
        <x:v>0</x:v>
      </x:c>
      <x:c r="G121" s="767" t="str">
        <x:f>Taxepunkter!G145</x:f>
      </x:c>
      <x:c r="H121" s="767" t="e">
        <x:f>Taxepunkter!H145</x:f>
      </x:c>
      <x:c r="I121" s="767" t="e">
        <x:f>Taxepunkter!I145</x:f>
      </x:c>
      <x:c r="J121" s="767" t="e">
        <x:f>Taxepunkter!J145</x:f>
      </x:c>
      <x:c r="K121" s="767" t="n">
        <x:f>Taxepunkter!K145</x:f>
        <x:v>0</x:v>
      </x:c>
      <x:c r="L121" s="774" t="n">
        <x:f>Taxepunkter!L145</x:f>
        <x:v>0</x:v>
      </x:c>
    </x:row>
    <x:row r="122">
      <x:c r="A122" s="773" t="str">
        <x:f>Taxepunkter!A147</x:f>
        <x:v>§2.4.7</x:v>
      </x:c>
      <x:c r="B122" s="767" t="str">
        <x:f>Taxepunkter!B147</x:f>
        <x:v>Dragväg och avfallsutrymmen</x:v>
      </x:c>
      <x:c r="C122" s="767" t="str">
        <x:f>Taxepunkter!C147</x:f>
        <x:v>Låst dörr, med kod</x:v>
      </x:c>
      <x:c r="D122" s="767" t="n">
        <x:f>Taxepunkter!D147</x:f>
        <x:v>0</x:v>
      </x:c>
      <x:c r="E122" s="767" t="str">
        <x:f>Taxepunkter!E147</x:f>
        <x:v>st/år</x:v>
      </x:c>
      <x:c r="F122" s="767" t="n">
        <x:f>Taxepunkter!F147</x:f>
        <x:v>0</x:v>
      </x:c>
      <x:c r="G122" s="767" t="str">
        <x:f>Taxepunkter!G147</x:f>
      </x:c>
      <x:c r="H122" s="767" t="e">
        <x:f>Taxepunkter!H147</x:f>
      </x:c>
      <x:c r="I122" s="767" t="e">
        <x:f>Taxepunkter!I147</x:f>
      </x:c>
      <x:c r="J122" s="767" t="e">
        <x:f>Taxepunkter!J147</x:f>
      </x:c>
      <x:c r="K122" s="767" t="n">
        <x:f>Taxepunkter!K147</x:f>
        <x:v>0</x:v>
      </x:c>
      <x:c r="L122" s="774" t="n">
        <x:f>Taxepunkter!L147</x:f>
        <x:v>0</x:v>
      </x:c>
    </x:row>
    <x:row r="123">
      <x:c r="A123" s="773" t="str">
        <x:f>Taxepunkter!A148</x:f>
        <x:v>§2.4.7</x:v>
      </x:c>
      <x:c r="B123" s="767" t="n">
        <x:f>Taxepunkter!B148</x:f>
        <x:v>0</x:v>
      </x:c>
      <x:c r="C123" s="767" t="n">
        <x:f>Taxepunkter!C148</x:f>
        <x:v>0</x:v>
      </x:c>
      <x:c r="D123" s="767" t="n">
        <x:f>Taxepunkter!D148</x:f>
        <x:v>0</x:v>
      </x:c>
      <x:c r="E123" s="767" t="n">
        <x:f>Taxepunkter!E148</x:f>
        <x:v>0</x:v>
      </x:c>
      <x:c r="F123" s="767" t="n">
        <x:f>Taxepunkter!F148</x:f>
        <x:v>0</x:v>
      </x:c>
      <x:c r="G123" s="767" t="str">
        <x:f>Taxepunkter!G148</x:f>
      </x:c>
      <x:c r="H123" s="767" t="e">
        <x:f>Taxepunkter!H148</x:f>
      </x:c>
      <x:c r="I123" s="767" t="e">
        <x:f>Taxepunkter!I148</x:f>
      </x:c>
      <x:c r="J123" s="767" t="e">
        <x:f>Taxepunkter!J148</x:f>
      </x:c>
      <x:c r="K123" s="767" t="n">
        <x:f>Taxepunkter!K148</x:f>
        <x:v>0</x:v>
      </x:c>
      <x:c r="L123" s="774" t="n">
        <x:f>Taxepunkter!L148</x:f>
        <x:v>0</x:v>
      </x:c>
    </x:row>
    <x:row r="124">
      <x:c r="A124" s="773" t="str">
        <x:f>Taxepunkter!A149</x:f>
        <x:v>§2.4.8 Evenemang och andra tillfälliga händelser</x:v>
      </x:c>
      <x:c r="B124" s="767" t="n">
        <x:f>Taxepunkter!B149</x:f>
        <x:v>0</x:v>
      </x:c>
      <x:c r="C124" s="767" t="n">
        <x:f>Taxepunkter!C149</x:f>
        <x:v>0</x:v>
      </x:c>
      <x:c r="D124" s="767" t="n">
        <x:f>Taxepunkter!D149</x:f>
        <x:v>0</x:v>
      </x:c>
      <x:c r="E124" s="767" t="n">
        <x:f>Taxepunkter!E149</x:f>
        <x:v>0</x:v>
      </x:c>
      <x:c r="F124" s="767" t="n">
        <x:f>Taxepunkter!F149</x:f>
        <x:v>0</x:v>
      </x:c>
      <x:c r="G124" s="767" t="str">
        <x:f>Taxepunkter!G149</x:f>
      </x:c>
      <x:c r="H124" s="767" t="e">
        <x:f>Taxepunkter!H149</x:f>
      </x:c>
      <x:c r="I124" s="767" t="e">
        <x:f>Taxepunkter!I149</x:f>
      </x:c>
      <x:c r="J124" s="767" t="e">
        <x:f>Taxepunkter!J149</x:f>
      </x:c>
      <x:c r="K124" s="767" t="n">
        <x:f>Taxepunkter!K149</x:f>
        <x:v>0</x:v>
      </x:c>
      <x:c r="L124" s="774" t="n">
        <x:f>Taxepunkter!L149</x:f>
        <x:v>0</x:v>
      </x:c>
    </x:row>
    <x:row r="125">
      <x:c r="A125" s="773" t="str">
        <x:f>Taxepunkter!A150</x:f>
        <x:v>§2.4.8</x:v>
      </x:c>
      <x:c r="B125" s="767" t="str">
        <x:f>Taxepunkter!B150</x:f>
        <x:v>Evenemang och andra tillfälliga händelser</x:v>
      </x:c>
      <x:c r="C125" s="767" t="str">
        <x:f>Taxepunkter!C150</x:f>
        <x:v>Kärl 140 l matavfall</x:v>
      </x:c>
      <x:c r="D125" s="767" t="n">
        <x:f>Taxepunkter!D150</x:f>
        <x:v>0</x:v>
      </x:c>
      <x:c r="E125" s="767" t="str">
        <x:f>Taxepunkter!E150</x:f>
        <x:v>st/period</x:v>
      </x:c>
      <x:c r="F125" s="767" t="n">
        <x:f>Taxepunkter!F150</x:f>
        <x:v>0</x:v>
      </x:c>
      <x:c r="G125" s="767" t="str">
        <x:f>Taxepunkter!G150</x:f>
      </x:c>
      <x:c r="H125" s="767" t="e">
        <x:f>Taxepunkter!H150</x:f>
      </x:c>
      <x:c r="I125" s="767" t="e">
        <x:f>Taxepunkter!I150</x:f>
      </x:c>
      <x:c r="J125" s="767" t="e">
        <x:f>Taxepunkter!J150</x:f>
      </x:c>
      <x:c r="K125" s="767" t="n">
        <x:f>Taxepunkter!K150</x:f>
        <x:v>0</x:v>
      </x:c>
      <x:c r="L125" s="774" t="n">
        <x:f>Taxepunkter!L150</x:f>
        <x:v>0</x:v>
      </x:c>
    </x:row>
    <x:row r="126">
      <x:c r="A126" s="773" t="str">
        <x:f>Taxepunkter!A152</x:f>
        <x:v>§2.4.8</x:v>
      </x:c>
      <x:c r="B126" s="767" t="str">
        <x:f>Taxepunkter!B152</x:f>
        <x:v>Evenemang och andra tillfälliga händelser</x:v>
      </x:c>
      <x:c r="C126" s="767" t="str">
        <x:f>Taxepunkter!C152</x:f>
        <x:v>Kärl 370 l restavfall</x:v>
      </x:c>
      <x:c r="D126" s="767" t="n">
        <x:f>Taxepunkter!D152</x:f>
        <x:v>0</x:v>
      </x:c>
      <x:c r="E126" s="767" t="str">
        <x:f>Taxepunkter!E152</x:f>
        <x:v>st/period</x:v>
      </x:c>
      <x:c r="F126" s="767" t="n">
        <x:f>Taxepunkter!F152</x:f>
        <x:v>0</x:v>
      </x:c>
      <x:c r="G126" s="767" t="str">
        <x:f>Taxepunkter!G152</x:f>
      </x:c>
      <x:c r="H126" s="767" t="e">
        <x:f>Taxepunkter!H152</x:f>
      </x:c>
      <x:c r="I126" s="767" t="e">
        <x:f>Taxepunkter!I152</x:f>
      </x:c>
      <x:c r="J126" s="767" t="e">
        <x:f>Taxepunkter!J152</x:f>
      </x:c>
      <x:c r="K126" s="767" t="n">
        <x:f>Taxepunkter!K152</x:f>
        <x:v>0</x:v>
      </x:c>
      <x:c r="L126" s="774" t="n">
        <x:f>Taxepunkter!L152</x:f>
        <x:v>0</x:v>
      </x:c>
    </x:row>
    <x:row r="127">
      <x:c r="A127" s="773" t="str">
        <x:f>Taxepunkter!A153</x:f>
        <x:v>§2.4.8</x:v>
      </x:c>
      <x:c r="B127" s="767" t="str">
        <x:f>Taxepunkter!B153</x:f>
        <x:v>Evenemang och andra tillfälliga händelser</x:v>
      </x:c>
      <x:c r="C127" s="767" t="str">
        <x:f>Taxepunkter!C153</x:f>
        <x:v>Kärl 660 l restavfall</x:v>
      </x:c>
      <x:c r="D127" s="767" t="n">
        <x:f>Taxepunkter!D153</x:f>
        <x:v>0</x:v>
      </x:c>
      <x:c r="E127" s="767" t="str">
        <x:f>Taxepunkter!E153</x:f>
        <x:v>st/period</x:v>
      </x:c>
      <x:c r="F127" s="767" t="n">
        <x:f>Taxepunkter!F153</x:f>
        <x:v>0</x:v>
      </x:c>
      <x:c r="G127" s="767" t="str">
        <x:f>Taxepunkter!G153</x:f>
      </x:c>
      <x:c r="H127" s="767" t="e">
        <x:f>Taxepunkter!H153</x:f>
      </x:c>
      <x:c r="I127" s="767" t="e">
        <x:f>Taxepunkter!I153</x:f>
      </x:c>
      <x:c r="J127" s="767" t="e">
        <x:f>Taxepunkter!J153</x:f>
      </x:c>
      <x:c r="K127" s="767" t="n">
        <x:f>Taxepunkter!K153</x:f>
        <x:v>0</x:v>
      </x:c>
      <x:c r="L127" s="774" t="n">
        <x:f>Taxepunkter!L153</x:f>
        <x:v>0</x:v>
      </x:c>
    </x:row>
    <x:row r="128">
      <x:c r="A128" s="773" t="str">
        <x:f>Taxepunkter!A154</x:f>
        <x:v>§2.4.8</x:v>
      </x:c>
      <x:c r="B128" s="767" t="n">
        <x:f>Taxepunkter!B154</x:f>
        <x:v>0</x:v>
      </x:c>
      <x:c r="C128" s="767" t="n">
        <x:f>Taxepunkter!C154</x:f>
        <x:v>0</x:v>
      </x:c>
      <x:c r="D128" s="767" t="n">
        <x:f>Taxepunkter!D154</x:f>
        <x:v>0</x:v>
      </x:c>
      <x:c r="E128" s="767" t="n">
        <x:f>Taxepunkter!E154</x:f>
        <x:v>0</x:v>
      </x:c>
      <x:c r="F128" s="767" t="n">
        <x:f>Taxepunkter!F154</x:f>
        <x:v>0</x:v>
      </x:c>
      <x:c r="G128" s="767" t="str">
        <x:f>Taxepunkter!G154</x:f>
      </x:c>
      <x:c r="H128" s="767" t="e">
        <x:f>Taxepunkter!H154</x:f>
      </x:c>
      <x:c r="I128" s="767" t="e">
        <x:f>Taxepunkter!I154</x:f>
      </x:c>
      <x:c r="J128" s="767" t="e">
        <x:f>Taxepunkter!J154</x:f>
      </x:c>
      <x:c r="K128" s="767" t="n">
        <x:f>Taxepunkter!K154</x:f>
        <x:v>0</x:v>
      </x:c>
      <x:c r="L128" s="774" t="n">
        <x:f>Taxepunkter!L154</x:f>
        <x:v>0</x:v>
      </x:c>
    </x:row>
    <x:row r="129">
      <x:c r="A129" s="773" t="str">
        <x:f>Taxepunkter!A155</x:f>
        <x:v>§2.4.8</x:v>
      </x:c>
      <x:c r="B129" s="767" t="n">
        <x:f>Taxepunkter!B155</x:f>
        <x:v>0</x:v>
      </x:c>
      <x:c r="C129" s="767" t="n">
        <x:f>Taxepunkter!C155</x:f>
        <x:v>0</x:v>
      </x:c>
      <x:c r="D129" s="767" t="n">
        <x:f>Taxepunkter!D155</x:f>
        <x:v>0</x:v>
      </x:c>
      <x:c r="E129" s="767" t="n">
        <x:f>Taxepunkter!E155</x:f>
        <x:v>0</x:v>
      </x:c>
      <x:c r="F129" s="767" t="n">
        <x:f>Taxepunkter!F155</x:f>
        <x:v>0</x:v>
      </x:c>
      <x:c r="G129" s="767" t="str">
        <x:f>Taxepunkter!G155</x:f>
      </x:c>
      <x:c r="H129" s="767" t="e">
        <x:f>Taxepunkter!H155</x:f>
      </x:c>
      <x:c r="I129" s="767" t="e">
        <x:f>Taxepunkter!I155</x:f>
      </x:c>
      <x:c r="J129" s="767" t="e">
        <x:f>Taxepunkter!J155</x:f>
      </x:c>
      <x:c r="K129" s="767" t="n">
        <x:f>Taxepunkter!K155</x:f>
        <x:v>0</x:v>
      </x:c>
      <x:c r="L129" s="774" t="n">
        <x:f>Taxepunkter!L155</x:f>
        <x:v>0</x:v>
      </x:c>
    </x:row>
    <x:row r="130">
      <x:c r="A130" s="773" t="str">
        <x:f>Taxepunkter!A157</x:f>
        <x:v>§2.4.9</x:v>
      </x:c>
      <x:c r="B130" s="767" t="str">
        <x:f>Taxepunkter!B157</x:f>
        <x:v>Budning av mat- och restavfall</x:v>
      </x:c>
      <x:c r="C130" s="767" t="str">
        <x:f>Taxepunkter!C157</x:f>
        <x:v>Sidlastande fordon</x:v>
      </x:c>
      <x:c r="D130" s="767" t="n">
        <x:f>Taxepunkter!D157</x:f>
        <x:v>0</x:v>
      </x:c>
      <x:c r="E130" s="767" t="str">
        <x:f>Taxepunkter!E157</x:f>
        <x:v>st/tillfälle</x:v>
      </x:c>
      <x:c r="F130" s="767" t="n">
        <x:f>Taxepunkter!F157</x:f>
        <x:v>0</x:v>
      </x:c>
      <x:c r="G130" s="767" t="str">
        <x:f>Taxepunkter!G157</x:f>
      </x:c>
      <x:c r="H130" s="767" t="e">
        <x:f>Taxepunkter!H157</x:f>
      </x:c>
      <x:c r="I130" s="767" t="e">
        <x:f>Taxepunkter!I157</x:f>
      </x:c>
      <x:c r="J130" s="767" t="e">
        <x:f>Taxepunkter!J157</x:f>
      </x:c>
      <x:c r="K130" s="767" t="n">
        <x:f>Taxepunkter!K157</x:f>
        <x:v>0</x:v>
      </x:c>
      <x:c r="L130" s="774" t="n">
        <x:f>Taxepunkter!L157</x:f>
        <x:v>0</x:v>
      </x:c>
    </x:row>
    <x:row r="131">
      <x:c r="A131" s="773" t="str">
        <x:f>Taxepunkter!A158</x:f>
        <x:v>§2.4.9</x:v>
      </x:c>
      <x:c r="B131" s="767" t="str">
        <x:f>Taxepunkter!B158</x:f>
        <x:v>Budning av mat- och restavfall</x:v>
      </x:c>
      <x:c r="C131" s="767" t="str">
        <x:f>Taxepunkter!C158</x:f>
        <x:v>Bottentömmande fordon</x:v>
      </x:c>
      <x:c r="D131" s="767" t="n">
        <x:f>Taxepunkter!D158</x:f>
        <x:v>0</x:v>
      </x:c>
      <x:c r="E131" s="767" t="str">
        <x:f>Taxepunkter!E158</x:f>
        <x:v>st/tillfälle</x:v>
      </x:c>
      <x:c r="F131" s="767" t="n">
        <x:f>Taxepunkter!F158</x:f>
        <x:v>0</x:v>
      </x:c>
      <x:c r="G131" s="767" t="str">
        <x:f>Taxepunkter!G158</x:f>
      </x:c>
      <x:c r="H131" s="767" t="e">
        <x:f>Taxepunkter!H158</x:f>
      </x:c>
      <x:c r="I131" s="767" t="e">
        <x:f>Taxepunkter!I158</x:f>
      </x:c>
      <x:c r="J131" s="767" t="e">
        <x:f>Taxepunkter!J158</x:f>
      </x:c>
      <x:c r="K131" s="767" t="n">
        <x:f>Taxepunkter!K158</x:f>
        <x:v>0</x:v>
      </x:c>
      <x:c r="L131" s="774" t="n">
        <x:f>Taxepunkter!L158</x:f>
        <x:v>0</x:v>
      </x:c>
    </x:row>
    <x:row r="132">
      <x:c r="A132" s="773" t="str">
        <x:f>Taxepunkter!A159</x:f>
        <x:v>§2.4.9</x:v>
      </x:c>
      <x:c r="B132" s="767" t="n">
        <x:f>Taxepunkter!B159</x:f>
        <x:v>0</x:v>
      </x:c>
      <x:c r="C132" s="767" t="n">
        <x:f>Taxepunkter!C159</x:f>
        <x:v>0</x:v>
      </x:c>
      <x:c r="D132" s="767" t="n">
        <x:f>Taxepunkter!D159</x:f>
        <x:v>0</x:v>
      </x:c>
      <x:c r="E132" s="767" t="n">
        <x:f>Taxepunkter!E159</x:f>
        <x:v>0</x:v>
      </x:c>
      <x:c r="F132" s="767" t="n">
        <x:f>Taxepunkter!F159</x:f>
        <x:v>0</x:v>
      </x:c>
      <x:c r="G132" s="767" t="str">
        <x:f>Taxepunkter!G159</x:f>
      </x:c>
      <x:c r="H132" s="767" t="e">
        <x:f>Taxepunkter!H159</x:f>
      </x:c>
      <x:c r="I132" s="767" t="e">
        <x:f>Taxepunkter!I159</x:f>
      </x:c>
      <x:c r="J132" s="767" t="e">
        <x:f>Taxepunkter!J159</x:f>
      </x:c>
      <x:c r="K132" s="767" t="n">
        <x:f>Taxepunkter!K159</x:f>
        <x:v>0</x:v>
      </x:c>
      <x:c r="L132" s="774" t="n">
        <x:f>Taxepunkter!L159</x:f>
        <x:v>0</x:v>
      </x:c>
    </x:row>
    <x:row r="133">
      <x:c r="A133" s="773" t="str">
        <x:f>Taxepunkter!A160</x:f>
        <x:v>§2.4.9</x:v>
      </x:c>
      <x:c r="B133" s="767" t="n">
        <x:f>Taxepunkter!B160</x:f>
        <x:v>0</x:v>
      </x:c>
      <x:c r="C133" s="767" t="n">
        <x:f>Taxepunkter!C160</x:f>
        <x:v>0</x:v>
      </x:c>
      <x:c r="D133" s="767" t="n">
        <x:f>Taxepunkter!D160</x:f>
        <x:v>0</x:v>
      </x:c>
      <x:c r="E133" s="767" t="n">
        <x:f>Taxepunkter!E160</x:f>
        <x:v>0</x:v>
      </x:c>
      <x:c r="F133" s="767" t="n">
        <x:f>Taxepunkter!F160</x:f>
        <x:v>0</x:v>
      </x:c>
      <x:c r="G133" s="767" t="str">
        <x:f>Taxepunkter!G160</x:f>
      </x:c>
      <x:c r="H133" s="767" t="e">
        <x:f>Taxepunkter!H160</x:f>
      </x:c>
      <x:c r="I133" s="767" t="e">
        <x:f>Taxepunkter!I160</x:f>
      </x:c>
      <x:c r="J133" s="767" t="e">
        <x:f>Taxepunkter!J160</x:f>
      </x:c>
      <x:c r="K133" s="767" t="n">
        <x:f>Taxepunkter!K160</x:f>
        <x:v>0</x:v>
      </x:c>
      <x:c r="L133" s="774" t="n">
        <x:f>Taxepunkter!L160</x:f>
        <x:v>0</x:v>
      </x:c>
    </x:row>
    <x:row r="134">
      <x:c r="A134" s="773" t="str">
        <x:f>Taxepunkter!A161</x:f>
        <x:v>§2.4.10 Betalsäck och akutsäck</x:v>
      </x:c>
      <x:c r="B134" s="767" t="n">
        <x:f>Taxepunkter!B161</x:f>
        <x:v>0</x:v>
      </x:c>
      <x:c r="C134" s="767" t="n">
        <x:f>Taxepunkter!C161</x:f>
        <x:v>0</x:v>
      </x:c>
      <x:c r="D134" s="767" t="n">
        <x:f>Taxepunkter!D161</x:f>
        <x:v>0</x:v>
      </x:c>
      <x:c r="E134" s="767" t="n">
        <x:f>Taxepunkter!E161</x:f>
        <x:v>0</x:v>
      </x:c>
      <x:c r="F134" s="767" t="n">
        <x:f>Taxepunkter!F161</x:f>
        <x:v>0</x:v>
      </x:c>
      <x:c r="G134" s="767" t="str">
        <x:f>Taxepunkter!G161</x:f>
      </x:c>
      <x:c r="H134" s="767" t="e">
        <x:f>Taxepunkter!H161</x:f>
      </x:c>
      <x:c r="I134" s="767" t="e">
        <x:f>Taxepunkter!I161</x:f>
      </x:c>
      <x:c r="J134" s="767" t="e">
        <x:f>Taxepunkter!J161</x:f>
      </x:c>
      <x:c r="K134" s="767" t="n">
        <x:f>Taxepunkter!K161</x:f>
        <x:v>0</x:v>
      </x:c>
      <x:c r="L134" s="774" t="n">
        <x:f>Taxepunkter!L161</x:f>
        <x:v>0</x:v>
      </x:c>
    </x:row>
    <x:row r="135">
      <x:c r="A135" s="773" t="str">
        <x:f>Taxepunkter!A162</x:f>
        <x:v>§2.4.10</x:v>
      </x:c>
      <x:c r="B135" s="767" t="str">
        <x:f>Taxepunkter!B162</x:f>
        <x:v>Betalsäck och akutsäck</x:v>
      </x:c>
      <x:c r="C135" s="767" t="str">
        <x:f>Taxepunkter!C162</x:f>
        <x:v>Betalsäck</x:v>
      </x:c>
      <x:c r="D135" s="767" t="n">
        <x:f>Taxepunkter!D162</x:f>
        <x:v>0</x:v>
      </x:c>
      <x:c r="E135" s="767" t="str">
        <x:f>Taxepunkter!E162</x:f>
        <x:v>st/säck</x:v>
      </x:c>
      <x:c r="F135" s="767" t="n">
        <x:f>Taxepunkter!F162</x:f>
        <x:v>0</x:v>
      </x:c>
      <x:c r="G135" s="767" t="str">
        <x:f>Taxepunkter!G162</x:f>
      </x:c>
      <x:c r="H135" s="767" t="e">
        <x:f>Taxepunkter!H162</x:f>
      </x:c>
      <x:c r="I135" s="767" t="e">
        <x:f>Taxepunkter!I162</x:f>
      </x:c>
      <x:c r="J135" s="767" t="e">
        <x:f>Taxepunkter!J162</x:f>
      </x:c>
      <x:c r="K135" s="767" t="n">
        <x:f>Taxepunkter!K162</x:f>
        <x:v>0</x:v>
      </x:c>
      <x:c r="L135" s="774" t="n">
        <x:f>Taxepunkter!L162</x:f>
        <x:v>0</x:v>
      </x:c>
    </x:row>
    <x:row r="136">
      <x:c r="A136" s="773" t="str">
        <x:f>Taxepunkter!A164</x:f>
        <x:v>§2.4.10</x:v>
      </x:c>
      <x:c r="B136" s="767" t="n">
        <x:f>Taxepunkter!B164</x:f>
        <x:v>0</x:v>
      </x:c>
      <x:c r="C136" s="767" t="n">
        <x:f>Taxepunkter!C164</x:f>
        <x:v>0</x:v>
      </x:c>
      <x:c r="D136" s="767" t="n">
        <x:f>Taxepunkter!D164</x:f>
        <x:v>0</x:v>
      </x:c>
      <x:c r="E136" s="767" t="n">
        <x:f>Taxepunkter!E164</x:f>
        <x:v>0</x:v>
      </x:c>
      <x:c r="F136" s="767" t="n">
        <x:f>Taxepunkter!F164</x:f>
        <x:v>0</x:v>
      </x:c>
      <x:c r="G136" s="767" t="str">
        <x:f>Taxepunkter!G164</x:f>
      </x:c>
      <x:c r="H136" s="767" t="e">
        <x:f>Taxepunkter!H164</x:f>
      </x:c>
      <x:c r="I136" s="767" t="e">
        <x:f>Taxepunkter!I164</x:f>
      </x:c>
      <x:c r="J136" s="767" t="e">
        <x:f>Taxepunkter!J164</x:f>
      </x:c>
      <x:c r="K136" s="767" t="n">
        <x:f>Taxepunkter!K164</x:f>
        <x:v>0</x:v>
      </x:c>
      <x:c r="L136" s="774" t="n">
        <x:f>Taxepunkter!L164</x:f>
        <x:v>0</x:v>
      </x:c>
    </x:row>
    <x:row r="137">
      <x:c r="A137" s="773" t="str">
        <x:f>Taxepunkter!A165</x:f>
        <x:v>§2.4.11 Tillbehör</x:v>
      </x:c>
      <x:c r="B137" s="767" t="n">
        <x:f>Taxepunkter!B165</x:f>
        <x:v>0</x:v>
      </x:c>
      <x:c r="C137" s="767" t="n">
        <x:f>Taxepunkter!C165</x:f>
        <x:v>0</x:v>
      </x:c>
      <x:c r="D137" s="767" t="n">
        <x:f>Taxepunkter!D165</x:f>
        <x:v>0</x:v>
      </x:c>
      <x:c r="E137" s="767" t="n">
        <x:f>Taxepunkter!E165</x:f>
        <x:v>0</x:v>
      </x:c>
      <x:c r="F137" s="767" t="n">
        <x:f>Taxepunkter!F165</x:f>
        <x:v>0</x:v>
      </x:c>
      <x:c r="G137" s="767" t="str">
        <x:f>Taxepunkter!G165</x:f>
      </x:c>
      <x:c r="H137" s="767" t="e">
        <x:f>Taxepunkter!H165</x:f>
      </x:c>
      <x:c r="I137" s="767" t="e">
        <x:f>Taxepunkter!I165</x:f>
      </x:c>
      <x:c r="J137" s="767" t="e">
        <x:f>Taxepunkter!J165</x:f>
      </x:c>
      <x:c r="K137" s="767" t="n">
        <x:f>Taxepunkter!K165</x:f>
        <x:v>0</x:v>
      </x:c>
      <x:c r="L137" s="774" t="n">
        <x:f>Taxepunkter!L165</x:f>
        <x:v>0</x:v>
      </x:c>
    </x:row>
    <x:row r="138">
      <x:c r="A138" s="773" t="str">
        <x:f>Taxepunkter!A166</x:f>
        <x:v>§2.4.11</x:v>
      </x:c>
      <x:c r="B138" s="767" t="n">
        <x:f>Taxepunkter!B166</x:f>
        <x:v>0</x:v>
      </x:c>
      <x:c r="C138" s="767" t="n">
        <x:f>Taxepunkter!C166</x:f>
        <x:v>0</x:v>
      </x:c>
      <x:c r="D138" s="767" t="n">
        <x:f>Taxepunkter!D166</x:f>
        <x:v>0</x:v>
      </x:c>
      <x:c r="E138" s="767" t="n">
        <x:f>Taxepunkter!E166</x:f>
        <x:v>0</x:v>
      </x:c>
      <x:c r="F138" s="767" t="n">
        <x:f>Taxepunkter!F166</x:f>
        <x:v>0</x:v>
      </x:c>
      <x:c r="G138" s="767" t="str">
        <x:f>Taxepunkter!G166</x:f>
      </x:c>
      <x:c r="H138" s="767" t="e">
        <x:f>Taxepunkter!H166</x:f>
      </x:c>
      <x:c r="I138" s="767" t="e">
        <x:f>Taxepunkter!I166</x:f>
      </x:c>
      <x:c r="J138" s="767" t="e">
        <x:f>Taxepunkter!J166</x:f>
      </x:c>
      <x:c r="K138" s="767" t="n">
        <x:f>Taxepunkter!K166</x:f>
        <x:v>0</x:v>
      </x:c>
      <x:c r="L138" s="774" t="n">
        <x:f>Taxepunkter!L166</x:f>
        <x:v>0</x:v>
      </x:c>
    </x:row>
    <x:row r="139">
      <x:c r="A139" s="773" t="str">
        <x:f>Taxepunkter!A167</x:f>
        <x:v>§2.4.11</x:v>
      </x:c>
      <x:c r="B139" s="767" t="str">
        <x:f>Taxepunkter!B167</x:f>
        <x:v>Tillbehör</x:v>
      </x:c>
      <x:c r="C139" s="767" t="str">
        <x:f>Taxepunkter!C167</x:f>
        <x:v>Matavfallspåsar 22 L</x:v>
      </x:c>
      <x:c r="D139" s="767" t="n">
        <x:f>Taxepunkter!D167</x:f>
        <x:v>0</x:v>
      </x:c>
      <x:c r="E139" s="767" t="str">
        <x:f>Taxepunkter!E167</x:f>
        <x:v>bunt</x:v>
      </x:c>
      <x:c r="F139" s="767" t="n">
        <x:f>Taxepunkter!F167</x:f>
        <x:v>0</x:v>
      </x:c>
      <x:c r="G139" s="767" t="str">
        <x:f>Taxepunkter!G167</x:f>
      </x:c>
      <x:c r="H139" s="767" t="e">
        <x:f>Taxepunkter!H167</x:f>
      </x:c>
      <x:c r="I139" s="767" t="e">
        <x:f>Taxepunkter!I167</x:f>
      </x:c>
      <x:c r="J139" s="767" t="e">
        <x:f>Taxepunkter!J167</x:f>
      </x:c>
      <x:c r="K139" s="767" t="n">
        <x:f>Taxepunkter!K167</x:f>
        <x:v>0</x:v>
      </x:c>
      <x:c r="L139" s="774" t="n">
        <x:f>Taxepunkter!L167</x:f>
        <x:v>0</x:v>
      </x:c>
    </x:row>
    <x:row r="140">
      <x:c r="A140" s="773" t="str">
        <x:f>Taxepunkter!A168</x:f>
        <x:v>§2.4.11</x:v>
      </x:c>
      <x:c r="B140" s="767" t="str">
        <x:f>Taxepunkter!B168</x:f>
        <x:v>Tillbehör</x:v>
      </x:c>
      <x:c r="C140" s="767" t="str">
        <x:f>Taxepunkter!C168</x:f>
        <x:v>Gravitationslås till kärl</x:v>
      </x:c>
      <x:c r="D140" s="767" t="n">
        <x:f>Taxepunkter!D168</x:f>
        <x:v>0</x:v>
      </x:c>
      <x:c r="E140" s="767" t="str">
        <x:f>Taxepunkter!E168</x:f>
        <x:v>st</x:v>
      </x:c>
      <x:c r="F140" s="767" t="n">
        <x:f>Taxepunkter!F168</x:f>
        <x:v>0</x:v>
      </x:c>
      <x:c r="G140" s="767" t="str">
        <x:f>Taxepunkter!G168</x:f>
      </x:c>
      <x:c r="H140" s="767" t="e">
        <x:f>Taxepunkter!H168</x:f>
      </x:c>
      <x:c r="I140" s="767" t="e">
        <x:f>Taxepunkter!I168</x:f>
      </x:c>
      <x:c r="J140" s="767" t="e">
        <x:f>Taxepunkter!J168</x:f>
      </x:c>
      <x:c r="K140" s="767" t="n">
        <x:f>Taxepunkter!K168</x:f>
        <x:v>0</x:v>
      </x:c>
      <x:c r="L140" s="774" t="n">
        <x:f>Taxepunkter!L168</x:f>
        <x:v>0</x:v>
      </x:c>
    </x:row>
    <x:row r="141">
      <x:c r="A141" s="773" t="str">
        <x:f>Taxepunkter!A169</x:f>
        <x:v>§2.4.11</x:v>
      </x:c>
      <x:c r="B141" s="767" t="str">
        <x:f>Taxepunkter!B169</x:f>
        <x:v>Tillbehör</x:v>
      </x:c>
      <x:c r="C141" s="767" t="str">
        <x:f>Taxepunkter!C169</x:f>
        <x:v>Extra nyckel till gravitationslås</x:v>
      </x:c>
      <x:c r="D141" s="767" t="n">
        <x:f>Taxepunkter!D169</x:f>
        <x:v>0</x:v>
      </x:c>
      <x:c r="E141" s="767" t="str">
        <x:f>Taxepunkter!E169</x:f>
        <x:v>st</x:v>
      </x:c>
      <x:c r="F141" s="767" t="n">
        <x:f>Taxepunkter!F169</x:f>
        <x:v>0</x:v>
      </x:c>
      <x:c r="G141" s="767" t="str">
        <x:f>Taxepunkter!G169</x:f>
      </x:c>
      <x:c r="H141" s="767" t="e">
        <x:f>Taxepunkter!H169</x:f>
      </x:c>
      <x:c r="I141" s="767" t="e">
        <x:f>Taxepunkter!I169</x:f>
      </x:c>
      <x:c r="J141" s="767" t="e">
        <x:f>Taxepunkter!J169</x:f>
      </x:c>
      <x:c r="K141" s="767" t="n">
        <x:f>Taxepunkter!K169</x:f>
        <x:v>0</x:v>
      </x:c>
      <x:c r="L141" s="774" t="n">
        <x:f>Taxepunkter!L169</x:f>
        <x:v>0</x:v>
      </x:c>
    </x:row>
    <x:row r="142">
      <x:c r="A142" s="773" t="str">
        <x:f>Taxepunkter!A170</x:f>
        <x:v>§2.4.11</x:v>
      </x:c>
      <x:c r="B142" s="767" t="n">
        <x:f>Taxepunkter!B170</x:f>
        <x:v>0</x:v>
      </x:c>
      <x:c r="C142" s="767" t="n">
        <x:f>Taxepunkter!C170</x:f>
        <x:v>0</x:v>
      </x:c>
      <x:c r="D142" s="767" t="n">
        <x:f>Taxepunkter!D170</x:f>
        <x:v>0</x:v>
      </x:c>
      <x:c r="E142" s="767" t="n">
        <x:f>Taxepunkter!E170</x:f>
        <x:v>0</x:v>
      </x:c>
      <x:c r="F142" s="767" t="n">
        <x:f>Taxepunkter!F170</x:f>
        <x:v>0</x:v>
      </x:c>
      <x:c r="G142" s="767" t="str">
        <x:f>Taxepunkter!G170</x:f>
      </x:c>
      <x:c r="H142" s="767" t="e">
        <x:f>Taxepunkter!H170</x:f>
      </x:c>
      <x:c r="I142" s="767" t="e">
        <x:f>Taxepunkter!I170</x:f>
      </x:c>
      <x:c r="J142" s="767" t="e">
        <x:f>Taxepunkter!J170</x:f>
      </x:c>
      <x:c r="K142" s="767" t="n">
        <x:f>Taxepunkter!K170</x:f>
        <x:v>0</x:v>
      </x:c>
      <x:c r="L142" s="774" t="n">
        <x:f>Taxepunkter!L170</x:f>
        <x:v>0</x:v>
      </x:c>
    </x:row>
    <x:row r="143">
      <x:c r="A143" s="773" t="str">
        <x:f>Taxepunkter!A171</x:f>
        <x:v>§2.5.1 Budning för fastighetsnära hämtning av kommunalt avfall</x:v>
      </x:c>
      <x:c r="B143" s="767" t="n">
        <x:f>Taxepunkter!B171</x:f>
        <x:v>0</x:v>
      </x:c>
      <x:c r="C143" s="767" t="n">
        <x:f>Taxepunkter!C171</x:f>
        <x:v>0</x:v>
      </x:c>
      <x:c r="D143" s="767" t="n">
        <x:f>Taxepunkter!D171</x:f>
        <x:v>0</x:v>
      </x:c>
      <x:c r="E143" s="767" t="n">
        <x:f>Taxepunkter!E171</x:f>
        <x:v>0</x:v>
      </x:c>
      <x:c r="F143" s="767" t="n">
        <x:f>Taxepunkter!F171</x:f>
        <x:v>0</x:v>
      </x:c>
      <x:c r="G143" s="767" t="str">
        <x:f>Taxepunkter!G171</x:f>
      </x:c>
      <x:c r="H143" s="767" t="e">
        <x:f>Taxepunkter!H171</x:f>
      </x:c>
      <x:c r="I143" s="767" t="e">
        <x:f>Taxepunkter!I171</x:f>
      </x:c>
      <x:c r="J143" s="767" t="e">
        <x:f>Taxepunkter!J171</x:f>
      </x:c>
      <x:c r="K143" s="767" t="n">
        <x:f>Taxepunkter!K171</x:f>
        <x:v>0</x:v>
      </x:c>
      <x:c r="L143" s="774" t="n">
        <x:f>Taxepunkter!L171</x:f>
        <x:v>0</x:v>
      </x:c>
    </x:row>
    <x:row r="144">
      <x:c r="A144" s="773" t="str">
        <x:f>Taxepunkter!A172</x:f>
        <x:v>§2.5.1</x:v>
      </x:c>
      <x:c r="B144" s="767" t="str">
        <x:f>Taxepunkter!B172</x:f>
        <x:v>Budning för fastighetsnära hämtning av kommunalt avfall</x:v>
      </x:c>
      <x:c r="C144" s="767" t="str">
        <x:f>Taxepunkter!C172</x:f>
        <x:v>Kommunalt avfall</x:v>
      </x:c>
      <x:c r="D144" s="767" t="n">
        <x:f>Taxepunkter!D172</x:f>
        <x:v>0</x:v>
      </x:c>
      <x:c r="E144" s="767" t="str">
        <x:f>Taxepunkter!E172</x:f>
        <x:v>st/tillfälle</x:v>
      </x:c>
      <x:c r="F144" s="767" t="n">
        <x:f>Taxepunkter!F172</x:f>
        <x:v>0</x:v>
      </x:c>
      <x:c r="G144" s="767" t="str">
        <x:f>Taxepunkter!G172</x:f>
      </x:c>
      <x:c r="H144" s="767" t="e">
        <x:f>Taxepunkter!H172</x:f>
      </x:c>
      <x:c r="I144" s="767" t="e">
        <x:f>Taxepunkter!I172</x:f>
      </x:c>
      <x:c r="J144" s="767" t="e">
        <x:f>Taxepunkter!J172</x:f>
      </x:c>
      <x:c r="K144" s="767" t="n">
        <x:f>Taxepunkter!K172</x:f>
        <x:v>0</x:v>
      </x:c>
      <x:c r="L144" s="774" t="n">
        <x:f>Taxepunkter!L172</x:f>
        <x:v>0</x:v>
      </x:c>
    </x:row>
    <x:row r="145">
      <x:c r="A145" s="773" t="str">
        <x:f>Taxepunkter!A173</x:f>
        <x:v>§2.5.1</x:v>
      </x:c>
      <x:c r="B145" s="767" t="str">
        <x:f>Taxepunkter!B173</x:f>
        <x:v>Budning för fastighetsnära hämtning av kommunalt avfall</x:v>
      </x:c>
      <x:c r="C145" s="767" t="str">
        <x:f>Taxepunkter!C173</x:f>
        <x:v>Farligt avfall (ej uppmärkt)</x:v>
      </x:c>
      <x:c r="D145" s="767" t="n">
        <x:f>Taxepunkter!D173</x:f>
        <x:v>0</x:v>
      </x:c>
      <x:c r="E145" s="767" t="str">
        <x:f>Taxepunkter!E173</x:f>
        <x:v>st/tillfälle</x:v>
      </x:c>
      <x:c r="F145" s="767" t="n">
        <x:f>Taxepunkter!F173</x:f>
        <x:v>0</x:v>
      </x:c>
      <x:c r="G145" s="767" t="str">
        <x:f>Taxepunkter!G173</x:f>
      </x:c>
      <x:c r="H145" s="767" t="e">
        <x:f>Taxepunkter!H173</x:f>
      </x:c>
      <x:c r="I145" s="767" t="e">
        <x:f>Taxepunkter!I173</x:f>
      </x:c>
      <x:c r="J145" s="767" t="e">
        <x:f>Taxepunkter!J173</x:f>
      </x:c>
      <x:c r="K145" s="767" t="n">
        <x:f>Taxepunkter!K173</x:f>
        <x:v>0</x:v>
      </x:c>
      <x:c r="L145" s="774" t="n">
        <x:f>Taxepunkter!L173</x:f>
        <x:v>0</x:v>
      </x:c>
    </x:row>
    <x:row r="146">
      <x:c r="A146" s="773" t="str">
        <x:f>Taxepunkter!A174</x:f>
        <x:v>§2.5.1</x:v>
      </x:c>
      <x:c r="B146" s="767" t="str">
        <x:f>Taxepunkter!B174</x:f>
        <x:v>Budning för fastighetsnära hämtning av kommunalt avfall</x:v>
      </x:c>
      <x:c r="C146" s="767" t="str">
        <x:f>Taxepunkter!C174</x:f>
        <x:v>Farligt avfall (uppmärkt)</x:v>
      </x:c>
      <x:c r="D146" s="767" t="n">
        <x:f>Taxepunkter!D174</x:f>
        <x:v>0</x:v>
      </x:c>
      <x:c r="E146" s="767" t="str">
        <x:f>Taxepunkter!E174</x:f>
        <x:v>st/tillfälle</x:v>
      </x:c>
      <x:c r="F146" s="767" t="n">
        <x:f>Taxepunkter!F174</x:f>
        <x:v>0</x:v>
      </x:c>
      <x:c r="G146" s="767" t="str">
        <x:f>Taxepunkter!G174</x:f>
      </x:c>
      <x:c r="H146" s="767" t="e">
        <x:f>Taxepunkter!H174</x:f>
      </x:c>
      <x:c r="I146" s="767" t="e">
        <x:f>Taxepunkter!I174</x:f>
      </x:c>
      <x:c r="J146" s="767" t="e">
        <x:f>Taxepunkter!J174</x:f>
      </x:c>
      <x:c r="K146" s="767" t="n">
        <x:f>Taxepunkter!K174</x:f>
        <x:v>0</x:v>
      </x:c>
      <x:c r="L146" s="774" t="n">
        <x:f>Taxepunkter!L174</x:f>
        <x:v>0</x:v>
      </x:c>
    </x:row>
    <x:row r="147">
      <x:c r="A147" s="773" t="str">
        <x:f>Taxepunkter!A176</x:f>
        <x:v>§2.5.1</x:v>
      </x:c>
      <x:c r="B147" s="767" t="n">
        <x:f>Taxepunkter!B176</x:f>
        <x:v>0</x:v>
      </x:c>
      <x:c r="C147" s="767" t="n">
        <x:f>Taxepunkter!C176</x:f>
        <x:v>0</x:v>
      </x:c>
      <x:c r="D147" s="767" t="n">
        <x:f>Taxepunkter!D176</x:f>
        <x:v>0</x:v>
      </x:c>
      <x:c r="E147" s="767" t="n">
        <x:f>Taxepunkter!E176</x:f>
        <x:v>0</x:v>
      </x:c>
      <x:c r="F147" s="767" t="n">
        <x:f>Taxepunkter!F176</x:f>
        <x:v>0</x:v>
      </x:c>
      <x:c r="G147" s="767" t="str">
        <x:f>Taxepunkter!G176</x:f>
      </x:c>
      <x:c r="H147" s="767" t="e">
        <x:f>Taxepunkter!H176</x:f>
      </x:c>
      <x:c r="I147" s="767" t="e">
        <x:f>Taxepunkter!I176</x:f>
      </x:c>
      <x:c r="J147" s="767" t="e">
        <x:f>Taxepunkter!J176</x:f>
      </x:c>
      <x:c r="K147" s="767" t="n">
        <x:f>Taxepunkter!K176</x:f>
        <x:v>0</x:v>
      </x:c>
      <x:c r="L147" s="774" t="n">
        <x:f>Taxepunkter!L176</x:f>
        <x:v>0</x:v>
      </x:c>
    </x:row>
    <x:row r="148">
      <x:c r="A148" s="773" t="str">
        <x:f>Taxepunkter!A177</x:f>
        <x:v>§3.1 Ordinarie tömning slam</x:v>
      </x:c>
      <x:c r="B148" s="767" t="n">
        <x:f>Taxepunkter!B177</x:f>
        <x:v>0</x:v>
      </x:c>
      <x:c r="C148" s="767" t="n">
        <x:f>Taxepunkter!C177</x:f>
        <x:v>0</x:v>
      </x:c>
      <x:c r="D148" s="767" t="n">
        <x:f>Taxepunkter!D177</x:f>
        <x:v>0</x:v>
      </x:c>
      <x:c r="E148" s="767" t="n">
        <x:f>Taxepunkter!E177</x:f>
        <x:v>0</x:v>
      </x:c>
      <x:c r="F148" s="767" t="n">
        <x:f>Taxepunkter!F177</x:f>
        <x:v>0</x:v>
      </x:c>
      <x:c r="G148" s="767" t="str">
        <x:f>Taxepunkter!G177</x:f>
      </x:c>
      <x:c r="H148" s="767" t="e">
        <x:f>Taxepunkter!H177</x:f>
      </x:c>
      <x:c r="I148" s="767" t="e">
        <x:f>Taxepunkter!I177</x:f>
      </x:c>
      <x:c r="J148" s="767" t="e">
        <x:f>Taxepunkter!J177</x:f>
      </x:c>
      <x:c r="K148" s="767" t="n">
        <x:f>Taxepunkter!K177</x:f>
        <x:v>0</x:v>
      </x:c>
      <x:c r="L148" s="774" t="n">
        <x:f>Taxepunkter!L177</x:f>
        <x:v>0</x:v>
      </x:c>
    </x:row>
    <x:row r="149">
      <x:c r="A149" s="773" t="str">
        <x:f>Taxepunkter!A178</x:f>
        <x:v>§3.1</x:v>
      </x:c>
      <x:c r="B149" s="767" t="n">
        <x:f>Taxepunkter!B178</x:f>
        <x:v>0</x:v>
      </x:c>
      <x:c r="C149" s="767" t="n">
        <x:f>Taxepunkter!C178</x:f>
        <x:v>0</x:v>
      </x:c>
      <x:c r="D149" s="767" t="n">
        <x:f>Taxepunkter!D178</x:f>
        <x:v>0</x:v>
      </x:c>
      <x:c r="E149" s="767" t="n">
        <x:f>Taxepunkter!E178</x:f>
        <x:v>0</x:v>
      </x:c>
      <x:c r="F149" s="767" t="n">
        <x:f>Taxepunkter!F178</x:f>
        <x:v>0</x:v>
      </x:c>
      <x:c r="G149" s="767" t="str">
        <x:f>Taxepunkter!G178</x:f>
      </x:c>
      <x:c r="H149" s="767" t="e">
        <x:f>Taxepunkter!H178</x:f>
      </x:c>
      <x:c r="I149" s="767" t="e">
        <x:f>Taxepunkter!I178</x:f>
      </x:c>
      <x:c r="J149" s="767" t="e">
        <x:f>Taxepunkter!J178</x:f>
      </x:c>
      <x:c r="K149" s="767" t="n">
        <x:f>Taxepunkter!K178</x:f>
        <x:v>0</x:v>
      </x:c>
      <x:c r="L149" s="774" t="n">
        <x:f>Taxepunkter!L178</x:f>
        <x:v>0</x:v>
      </x:c>
    </x:row>
    <x:row r="150">
      <x:c r="A150" s="773" t="str">
        <x:f>Taxepunkter!A179</x:f>
        <x:v>§3.1</x:v>
      </x:c>
      <x:c r="B150" s="767" t="str">
        <x:f>Taxepunkter!B179</x:f>
        <x:v>Ordinarie tömning slam</x:v>
      </x:c>
      <x:c r="C150" s="767" t="str">
        <x:f>Taxepunkter!C179</x:f>
        <x:v>Mellan 3 m3 och 6 m3</x:v>
      </x:c>
      <x:c r="D150" s="767" t="n">
        <x:f>Taxepunkter!D179</x:f>
        <x:v>0</x:v>
      </x:c>
      <x:c r="E150" s="767" t="str">
        <x:f>Taxepunkter!E179</x:f>
        <x:v>kr/tömning</x:v>
      </x:c>
      <x:c r="F150" s="767" t="n">
        <x:f>Taxepunkter!F179</x:f>
        <x:v>0</x:v>
      </x:c>
      <x:c r="G150" s="767" t="str">
        <x:f>Taxepunkter!G179</x:f>
      </x:c>
      <x:c r="H150" s="767" t="e">
        <x:f>Taxepunkter!H179</x:f>
      </x:c>
      <x:c r="I150" s="767" t="e">
        <x:f>Taxepunkter!I179</x:f>
      </x:c>
      <x:c r="J150" s="767" t="e">
        <x:f>Taxepunkter!J179</x:f>
      </x:c>
      <x:c r="K150" s="767" t="n">
        <x:f>Taxepunkter!K179</x:f>
        <x:v>0</x:v>
      </x:c>
      <x:c r="L150" s="774" t="n">
        <x:f>Taxepunkter!L179</x:f>
        <x:v>0</x:v>
      </x:c>
    </x:row>
    <x:row r="151">
      <x:c r="A151" s="773" t="str">
        <x:f>Taxepunkter!A180</x:f>
        <x:v>§3.1</x:v>
      </x:c>
      <x:c r="B151" s="767" t="str">
        <x:f>Taxepunkter!B180</x:f>
        <x:v>Ordinarie tömning slam</x:v>
      </x:c>
      <x:c r="C151" s="767" t="str">
        <x:f>Taxepunkter!C180</x:f>
        <x:v>Mellan 6 m3 och 9 m3</x:v>
      </x:c>
      <x:c r="D151" s="767" t="n">
        <x:f>Taxepunkter!D180</x:f>
        <x:v>0</x:v>
      </x:c>
      <x:c r="E151" s="767" t="str">
        <x:f>Taxepunkter!E180</x:f>
        <x:v>kr/tömning</x:v>
      </x:c>
      <x:c r="F151" s="767" t="n">
        <x:f>Taxepunkter!F180</x:f>
        <x:v>0</x:v>
      </x:c>
      <x:c r="G151" s="767" t="str">
        <x:f>Taxepunkter!G180</x:f>
      </x:c>
      <x:c r="H151" s="767" t="e">
        <x:f>Taxepunkter!H180</x:f>
      </x:c>
      <x:c r="I151" s="767" t="e">
        <x:f>Taxepunkter!I180</x:f>
      </x:c>
      <x:c r="J151" s="767" t="e">
        <x:f>Taxepunkter!J180</x:f>
      </x:c>
      <x:c r="K151" s="767" t="n">
        <x:f>Taxepunkter!K180</x:f>
        <x:v>0</x:v>
      </x:c>
      <x:c r="L151" s="774" t="n">
        <x:f>Taxepunkter!L180</x:f>
        <x:v>0</x:v>
      </x:c>
    </x:row>
    <x:row r="152">
      <x:c r="A152" s="773" t="str">
        <x:f>Taxepunkter!A181</x:f>
        <x:v>§3.1</x:v>
      </x:c>
      <x:c r="B152" s="767" t="str">
        <x:f>Taxepunkter!B181</x:f>
        <x:v>Ordinarie tömning slam</x:v>
      </x:c>
      <x:c r="C152" s="767" t="str">
        <x:f>Taxepunkter!C181</x:f>
        <x:v>Tillägg per m3 över 9 m3</x:v>
      </x:c>
      <x:c r="D152" s="767" t="n">
        <x:f>Taxepunkter!D181</x:f>
        <x:v>0</x:v>
      </x:c>
      <x:c r="E152" s="767" t="str">
        <x:f>Taxepunkter!E181</x:f>
        <x:v>kr/m3</x:v>
      </x:c>
      <x:c r="F152" s="767" t="n">
        <x:f>Taxepunkter!F181</x:f>
        <x:v>0</x:v>
      </x:c>
      <x:c r="G152" s="767" t="str">
        <x:f>Taxepunkter!G181</x:f>
      </x:c>
      <x:c r="H152" s="767" t="e">
        <x:f>Taxepunkter!H181</x:f>
      </x:c>
      <x:c r="I152" s="767" t="e">
        <x:f>Taxepunkter!I181</x:f>
      </x:c>
      <x:c r="J152" s="767" t="e">
        <x:f>Taxepunkter!J181</x:f>
      </x:c>
      <x:c r="K152" s="767" t="n">
        <x:f>Taxepunkter!K181</x:f>
        <x:v>0</x:v>
      </x:c>
      <x:c r="L152" s="774" t="n">
        <x:f>Taxepunkter!L181</x:f>
        <x:v>0</x:v>
      </x:c>
    </x:row>
    <x:row r="153">
      <x:c r="A153" s="773" t="str">
        <x:f>Taxepunkter!A182</x:f>
        <x:v>§3.1</x:v>
      </x:c>
      <x:c r="B153" s="767" t="str">
        <x:f>Taxepunkter!B182</x:f>
        <x:v>Ordinarie tömning slam</x:v>
      </x:c>
      <x:c r="C153" s="767" t="str">
        <x:f>Taxepunkter!C182</x:f>
        <x:v>Bad-, disk- och tvättbrunn upp till 3 m3</x:v>
      </x:c>
      <x:c r="D153" s="767" t="n">
        <x:f>Taxepunkter!D182</x:f>
        <x:v>0</x:v>
      </x:c>
      <x:c r="E153" s="767" t="str">
        <x:f>Taxepunkter!E182</x:f>
        <x:v>kr/tömning</x:v>
      </x:c>
      <x:c r="F153" s="767" t="n">
        <x:f>Taxepunkter!F182</x:f>
        <x:v>0</x:v>
      </x:c>
      <x:c r="G153" s="767" t="str">
        <x:f>Taxepunkter!G182</x:f>
      </x:c>
      <x:c r="H153" s="767" t="e">
        <x:f>Taxepunkter!H182</x:f>
      </x:c>
      <x:c r="I153" s="767" t="e">
        <x:f>Taxepunkter!I182</x:f>
      </x:c>
      <x:c r="J153" s="767" t="e">
        <x:f>Taxepunkter!J182</x:f>
      </x:c>
      <x:c r="K153" s="767" t="n">
        <x:f>Taxepunkter!K182</x:f>
        <x:v>0</x:v>
      </x:c>
      <x:c r="L153" s="774" t="n">
        <x:f>Taxepunkter!L182</x:f>
        <x:v>0</x:v>
      </x:c>
    </x:row>
    <x:row r="154">
      <x:c r="A154" s="773" t="str">
        <x:f>Taxepunkter!A184</x:f>
        <x:v>§3.1</x:v>
      </x:c>
      <x:c r="B154" s="767" t="n">
        <x:f>Taxepunkter!B184</x:f>
        <x:v>0</x:v>
      </x:c>
      <x:c r="C154" s="767" t="n">
        <x:f>Taxepunkter!C184</x:f>
        <x:v>0</x:v>
      </x:c>
      <x:c r="D154" s="767" t="n">
        <x:f>Taxepunkter!D184</x:f>
        <x:v>0</x:v>
      </x:c>
      <x:c r="E154" s="767" t="n">
        <x:f>Taxepunkter!E184</x:f>
        <x:v>0</x:v>
      </x:c>
      <x:c r="F154" s="767" t="n">
        <x:f>Taxepunkter!F184</x:f>
        <x:v>0</x:v>
      </x:c>
      <x:c r="G154" s="767" t="str">
        <x:f>Taxepunkter!G184</x:f>
      </x:c>
      <x:c r="H154" s="767" t="e">
        <x:f>Taxepunkter!H184</x:f>
      </x:c>
      <x:c r="I154" s="767" t="e">
        <x:f>Taxepunkter!I184</x:f>
      </x:c>
      <x:c r="J154" s="767" t="e">
        <x:f>Taxepunkter!J184</x:f>
      </x:c>
      <x:c r="K154" s="767" t="n">
        <x:f>Taxepunkter!K184</x:f>
        <x:v>0</x:v>
      </x:c>
      <x:c r="L154" s="774" t="n">
        <x:f>Taxepunkter!L184</x:f>
        <x:v>0</x:v>
      </x:c>
    </x:row>
    <x:row r="155">
      <x:c r="A155" s="773" t="str">
        <x:f>Taxepunkter!A185</x:f>
        <x:v>§3.2 Tilläggstjänster slam</x:v>
      </x:c>
      <x:c r="B155" s="767" t="n">
        <x:f>Taxepunkter!B185</x:f>
        <x:v>0</x:v>
      </x:c>
      <x:c r="C155" s="767" t="n">
        <x:f>Taxepunkter!C185</x:f>
        <x:v>0</x:v>
      </x:c>
      <x:c r="D155" s="767" t="n">
        <x:f>Taxepunkter!D185</x:f>
        <x:v>0</x:v>
      </x:c>
      <x:c r="E155" s="767" t="n">
        <x:f>Taxepunkter!E185</x:f>
        <x:v>0</x:v>
      </x:c>
      <x:c r="F155" s="767" t="n">
        <x:f>Taxepunkter!F185</x:f>
        <x:v>0</x:v>
      </x:c>
      <x:c r="G155" s="767" t="str">
        <x:f>Taxepunkter!G185</x:f>
      </x:c>
      <x:c r="H155" s="767" t="e">
        <x:f>Taxepunkter!H185</x:f>
      </x:c>
      <x:c r="I155" s="767" t="e">
        <x:f>Taxepunkter!I185</x:f>
      </x:c>
      <x:c r="J155" s="767" t="e">
        <x:f>Taxepunkter!J185</x:f>
      </x:c>
      <x:c r="K155" s="767" t="n">
        <x:f>Taxepunkter!K185</x:f>
        <x:v>0</x:v>
      </x:c>
      <x:c r="L155" s="774" t="n">
        <x:f>Taxepunkter!L185</x:f>
        <x:v>0</x:v>
      </x:c>
    </x:row>
    <x:row r="156">
      <x:c r="A156" s="773" t="str">
        <x:f>Taxepunkter!A187</x:f>
        <x:v>§3.2</x:v>
      </x:c>
      <x:c r="B156" s="767" t="str">
        <x:f>Taxepunkter!B187</x:f>
        <x:v>Tilläggstjänster slam</x:v>
      </x:c>
      <x:c r="C156" s="767" t="str">
        <x:f>Taxepunkter!C187</x:f>
        <x:v>Dragning av extra slang vid 25-35 m</x:v>
      </x:c>
      <x:c r="D156" s="767" t="n">
        <x:f>Taxepunkter!D187</x:f>
        <x:v>0</x:v>
      </x:c>
      <x:c r="E156" s="767" t="str">
        <x:f>Taxepunkter!E187</x:f>
        <x:v>kr/tillfälle</x:v>
      </x:c>
      <x:c r="F156" s="767" t="n">
        <x:f>Taxepunkter!F187</x:f>
        <x:v>0</x:v>
      </x:c>
      <x:c r="G156" s="767" t="str">
        <x:f>Taxepunkter!G187</x:f>
      </x:c>
      <x:c r="H156" s="767" t="e">
        <x:f>Taxepunkter!H187</x:f>
      </x:c>
      <x:c r="I156" s="767" t="e">
        <x:f>Taxepunkter!I187</x:f>
      </x:c>
      <x:c r="J156" s="767" t="e">
        <x:f>Taxepunkter!J187</x:f>
      </x:c>
      <x:c r="K156" s="767" t="n">
        <x:f>Taxepunkter!K187</x:f>
        <x:v>0</x:v>
      </x:c>
      <x:c r="L156" s="774" t="n">
        <x:f>Taxepunkter!L187</x:f>
        <x:v>0</x:v>
      </x:c>
    </x:row>
    <x:row r="157">
      <x:c r="A157" s="773" t="str">
        <x:f>Taxepunkter!A188</x:f>
        <x:v>§3.2</x:v>
      </x:c>
      <x:c r="B157" s="767" t="str">
        <x:f>Taxepunkter!B188</x:f>
        <x:v>Tilläggstjänster slam</x:v>
      </x:c>
      <x:c r="C157" s="767" t="str">
        <x:f>Taxepunkter!C188</x:f>
        <x:v>Dragning av extra slang vid 36-45 m</x:v>
      </x:c>
      <x:c r="D157" s="767" t="n">
        <x:f>Taxepunkter!D188</x:f>
        <x:v>0</x:v>
      </x:c>
      <x:c r="E157" s="767" t="str">
        <x:f>Taxepunkter!E188</x:f>
        <x:v>kr/tillfälle</x:v>
      </x:c>
      <x:c r="F157" s="767" t="n">
        <x:f>Taxepunkter!F188</x:f>
        <x:v>0</x:v>
      </x:c>
      <x:c r="G157" s="767" t="str">
        <x:f>Taxepunkter!G188</x:f>
      </x:c>
      <x:c r="H157" s="767" t="e">
        <x:f>Taxepunkter!H188</x:f>
      </x:c>
      <x:c r="I157" s="767" t="e">
        <x:f>Taxepunkter!I188</x:f>
      </x:c>
      <x:c r="J157" s="767" t="e">
        <x:f>Taxepunkter!J188</x:f>
      </x:c>
      <x:c r="K157" s="767" t="n">
        <x:f>Taxepunkter!K188</x:f>
        <x:v>0</x:v>
      </x:c>
      <x:c r="L157" s="774" t="n">
        <x:f>Taxepunkter!L188</x:f>
        <x:v>0</x:v>
      </x:c>
    </x:row>
    <x:row r="158">
      <x:c r="A158" s="773" t="str">
        <x:f>Taxepunkter!A189</x:f>
        <x:v>§3.2</x:v>
      </x:c>
      <x:c r="B158" s="767" t="n">
        <x:f>Taxepunkter!B189</x:f>
        <x:v>0</x:v>
      </x:c>
      <x:c r="C158" s="767" t="n">
        <x:f>Taxepunkter!C189</x:f>
        <x:v>0</x:v>
      </x:c>
      <x:c r="D158" s="767" t="n">
        <x:f>Taxepunkter!D189</x:f>
        <x:v>0</x:v>
      </x:c>
      <x:c r="E158" s="767" t="n">
        <x:f>Taxepunkter!E189</x:f>
        <x:v>0</x:v>
      </x:c>
      <x:c r="F158" s="767" t="n">
        <x:f>Taxepunkter!F189</x:f>
        <x:v>0</x:v>
      </x:c>
      <x:c r="G158" s="767" t="str">
        <x:f>Taxepunkter!G189</x:f>
      </x:c>
      <x:c r="H158" s="767" t="e">
        <x:f>Taxepunkter!H189</x:f>
      </x:c>
      <x:c r="I158" s="767" t="e">
        <x:f>Taxepunkter!I189</x:f>
      </x:c>
      <x:c r="J158" s="767" t="e">
        <x:f>Taxepunkter!J189</x:f>
      </x:c>
      <x:c r="K158" s="767" t="n">
        <x:f>Taxepunkter!K189</x:f>
        <x:v>0</x:v>
      </x:c>
      <x:c r="L158" s="774" t="n">
        <x:f>Taxepunkter!L189</x:f>
        <x:v>0</x:v>
      </x:c>
    </x:row>
    <x:row r="159">
      <x:c r="A159" s="773" t="str">
        <x:f>Taxepunkter!A190</x:f>
        <x:v>§3.2</x:v>
      </x:c>
      <x:c r="B159" s="767" t="str">
        <x:f>Taxepunkter!B190</x:f>
        <x:v>Tilläggstjänster slam</x:v>
      </x:c>
      <x:c r="C159" s="767" t="str">
        <x:f>Taxepunkter!C190</x:f>
        <x:v>Hantering av brunnslock som väger 15-25 kg</x:v>
      </x:c>
      <x:c r="D159" s="767" t="n">
        <x:f>Taxepunkter!D190</x:f>
        <x:v>0</x:v>
      </x:c>
      <x:c r="E159" s="767" t="str">
        <x:f>Taxepunkter!E190</x:f>
        <x:v>kr/tillfälle</x:v>
      </x:c>
      <x:c r="F159" s="767" t="n">
        <x:f>Taxepunkter!F190</x:f>
        <x:v>0</x:v>
      </x:c>
      <x:c r="G159" s="767" t="str">
        <x:f>Taxepunkter!G190</x:f>
      </x:c>
      <x:c r="H159" s="767" t="e">
        <x:f>Taxepunkter!H190</x:f>
      </x:c>
      <x:c r="I159" s="767" t="e">
        <x:f>Taxepunkter!I190</x:f>
      </x:c>
      <x:c r="J159" s="767" t="e">
        <x:f>Taxepunkter!J190</x:f>
      </x:c>
      <x:c r="K159" s="767" t="n">
        <x:f>Taxepunkter!K190</x:f>
        <x:v>0</x:v>
      </x:c>
      <x:c r="L159" s="774" t="n">
        <x:f>Taxepunkter!L190</x:f>
        <x:v>0</x:v>
      </x:c>
    </x:row>
    <x:row r="160">
      <x:c r="A160" s="773" t="str">
        <x:f>Taxepunkter!A191</x:f>
        <x:v>§3.2</x:v>
      </x:c>
      <x:c r="B160" s="767" t="str">
        <x:f>Taxepunkter!B191</x:f>
        <x:v>Tilläggstjänster slam</x:v>
      </x:c>
      <x:c r="C160" s="767" t="str">
        <x:f>Taxepunkter!C191</x:f>
        <x:v>Krav på information om tömningstid</x:v>
      </x:c>
      <x:c r="D160" s="767" t="n">
        <x:f>Taxepunkter!D191</x:f>
        <x:v>0</x:v>
      </x:c>
      <x:c r="E160" s="767" t="str">
        <x:f>Taxepunkter!E191</x:f>
        <x:v>kr/tillfälle</x:v>
      </x:c>
      <x:c r="F160" s="767" t="n">
        <x:f>Taxepunkter!F191</x:f>
        <x:v>0</x:v>
      </x:c>
      <x:c r="G160" s="767" t="str">
        <x:f>Taxepunkter!G191</x:f>
      </x:c>
      <x:c r="H160" s="767" t="e">
        <x:f>Taxepunkter!H191</x:f>
      </x:c>
      <x:c r="I160" s="767" t="e">
        <x:f>Taxepunkter!I191</x:f>
      </x:c>
      <x:c r="J160" s="767" t="e">
        <x:f>Taxepunkter!J191</x:f>
      </x:c>
      <x:c r="K160" s="767" t="n">
        <x:f>Taxepunkter!K191</x:f>
        <x:v>0</x:v>
      </x:c>
      <x:c r="L160" s="774" t="n">
        <x:f>Taxepunkter!L191</x:f>
        <x:v>0</x:v>
      </x:c>
    </x:row>
    <x:row r="161">
      <x:c r="A161" s="773" t="str">
        <x:f>Taxepunkter!A192</x:f>
        <x:v>§3.2</x:v>
      </x:c>
      <x:c r="B161" s="767" t="str">
        <x:f>Taxepunkter!B192</x:f>
        <x:v>Tilläggstjänster slam</x:v>
      </x:c>
      <x:c r="C161" s="767" t="str">
        <x:f>Taxepunkter!C192</x:f>
        <x:v>Krav på närvaro vid specificerad tömningstid</x:v>
      </x:c>
      <x:c r="D161" s="767" t="n">
        <x:f>Taxepunkter!D192</x:f>
        <x:v>0</x:v>
      </x:c>
      <x:c r="E161" s="767" t="str">
        <x:f>Taxepunkter!E192</x:f>
        <x:v>kr/tillfälle</x:v>
      </x:c>
      <x:c r="F161" s="767" t="n">
        <x:f>Taxepunkter!F192</x:f>
        <x:v>0</x:v>
      </x:c>
      <x:c r="G161" s="767" t="str">
        <x:f>Taxepunkter!G192</x:f>
      </x:c>
      <x:c r="H161" s="767" t="e">
        <x:f>Taxepunkter!H192</x:f>
      </x:c>
      <x:c r="I161" s="767" t="e">
        <x:f>Taxepunkter!I192</x:f>
      </x:c>
      <x:c r="J161" s="767" t="e">
        <x:f>Taxepunkter!J192</x:f>
      </x:c>
      <x:c r="K161" s="767" t="n">
        <x:f>Taxepunkter!K192</x:f>
        <x:v>0</x:v>
      </x:c>
      <x:c r="L161" s="774" t="n">
        <x:f>Taxepunkter!L192</x:f>
        <x:v>0</x:v>
      </x:c>
    </x:row>
    <x:row r="162">
      <x:c r="A162" s="773" t="str">
        <x:f>Taxepunkter!A193</x:f>
        <x:v>§3.2</x:v>
      </x:c>
      <x:c r="B162" s="767" t="str">
        <x:f>Taxepunkter!B193</x:f>
        <x:v>Tilläggstjänster slam</x:v>
      </x:c>
      <x:c r="C162" s="767" t="str">
        <x:f>Taxepunkter!C193</x:f>
        <x:v>Hantering av kod för kodlås vid slamtömning</x:v>
      </x:c>
      <x:c r="D162" s="767" t="n">
        <x:f>Taxepunkter!D193</x:f>
        <x:v>0</x:v>
      </x:c>
      <x:c r="E162" s="767" t="str">
        <x:f>Taxepunkter!E193</x:f>
        <x:v>kr/tillfälle</x:v>
      </x:c>
      <x:c r="F162" s="767" t="n">
        <x:f>Taxepunkter!F193</x:f>
        <x:v>0</x:v>
      </x:c>
      <x:c r="G162" s="767" t="str">
        <x:f>Taxepunkter!G193</x:f>
      </x:c>
      <x:c r="H162" s="767" t="e">
        <x:f>Taxepunkter!H193</x:f>
      </x:c>
      <x:c r="I162" s="767" t="e">
        <x:f>Taxepunkter!I193</x:f>
      </x:c>
      <x:c r="J162" s="767" t="e">
        <x:f>Taxepunkter!J193</x:f>
      </x:c>
      <x:c r="K162" s="767" t="n">
        <x:f>Taxepunkter!K193</x:f>
        <x:v>0</x:v>
      </x:c>
      <x:c r="L162" s="774" t="n">
        <x:f>Taxepunkter!L193</x:f>
        <x:v>0</x:v>
      </x:c>
    </x:row>
    <x:row r="163">
      <x:c r="A163" s="773" t="str">
        <x:f>Taxepunkter!A194</x:f>
        <x:v>§3.2</x:v>
      </x:c>
      <x:c r="B163" s="767" t="str">
        <x:f>Taxepunkter!B194</x:f>
        <x:v>Tilläggstjänster slam</x:v>
      </x:c>
      <x:c r="C163" s="767" t="str">
        <x:f>Taxepunkter!C194</x:f>
        <x:v>Hetvattentvätt med spolbil, timersättning</x:v>
      </x:c>
      <x:c r="D163" s="767" t="n">
        <x:f>Taxepunkter!D194</x:f>
        <x:v>0</x:v>
      </x:c>
      <x:c r="E163" s="767" t="str">
        <x:f>Taxepunkter!E194</x:f>
        <x:v>kr/tillfälle</x:v>
      </x:c>
      <x:c r="F163" s="767" t="n">
        <x:f>Taxepunkter!F194</x:f>
        <x:v>0</x:v>
      </x:c>
      <x:c r="G163" s="767" t="str">
        <x:f>Taxepunkter!G194</x:f>
      </x:c>
      <x:c r="H163" s="767" t="e">
        <x:f>Taxepunkter!H194</x:f>
      </x:c>
      <x:c r="I163" s="767" t="e">
        <x:f>Taxepunkter!I194</x:f>
      </x:c>
      <x:c r="J163" s="767" t="e">
        <x:f>Taxepunkter!J194</x:f>
      </x:c>
      <x:c r="K163" s="767" t="n">
        <x:f>Taxepunkter!K194</x:f>
        <x:v>0</x:v>
      </x:c>
      <x:c r="L163" s="774" t="n">
        <x:f>Taxepunkter!L194</x:f>
        <x:v>0</x:v>
      </x:c>
    </x:row>
    <x:row r="164">
      <x:c r="A164" s="773" t="str">
        <x:f>Taxepunkter!A195</x:f>
        <x:v>§3.2</x:v>
      </x:c>
      <x:c r="B164" s="767" t="str">
        <x:f>Taxepunkter!B195</x:f>
        <x:v>Tilläggstjänster slam</x:v>
      </x:c>
      <x:c r="C164" s="767" t="str">
        <x:f>Taxepunkter!C195</x:f>
        <x:v>Avgift om tömning ej kan utföras pga. hinder, bristande transportväg, betonglock, lock tyngre än 25 kg eller vägran</x:v>
      </x:c>
      <x:c r="D164" s="767" t="n">
        <x:f>Taxepunkter!D195</x:f>
        <x:v>0</x:v>
      </x:c>
      <x:c r="E164" s="767" t="str">
        <x:f>Taxepunkter!E195</x:f>
        <x:v>kr/tillfälle</x:v>
      </x:c>
      <x:c r="F164" s="767" t="n">
        <x:f>Taxepunkter!F195</x:f>
        <x:v>0</x:v>
      </x:c>
      <x:c r="G164" s="767" t="str">
        <x:f>Taxepunkter!G195</x:f>
      </x:c>
      <x:c r="H164" s="767" t="e">
        <x:f>Taxepunkter!H195</x:f>
      </x:c>
      <x:c r="I164" s="767" t="e">
        <x:f>Taxepunkter!I195</x:f>
      </x:c>
      <x:c r="J164" s="767" t="e">
        <x:f>Taxepunkter!J195</x:f>
      </x:c>
      <x:c r="K164" s="767" t="n">
        <x:f>Taxepunkter!K195</x:f>
        <x:v>0</x:v>
      </x:c>
      <x:c r="L164" s="774" t="n">
        <x:f>Taxepunkter!L195</x:f>
        <x:v>0</x:v>
      </x:c>
    </x:row>
    <x:row r="165">
      <x:c r="A165" s="773" t="str">
        <x:f>Taxepunkter!A196</x:f>
        <x:v>§3.2</x:v>
      </x:c>
      <x:c r="B165" s="767" t="str">
        <x:f>Taxepunkter!B196</x:f>
        <x:v>Tilläggstjänster slam</x:v>
      </x:c>
      <x:c r="C165" s="767" t="str">
        <x:f>Taxepunkter!C196</x:f>
        <x:v>Tömning av extra tank/brunn i samband med ordinarie/budad tömning upp till 5 m3</x:v>
      </x:c>
      <x:c r="D165" s="767" t="n">
        <x:f>Taxepunkter!D196</x:f>
        <x:v>0</x:v>
      </x:c>
      <x:c r="E165" s="767" t="str">
        <x:f>Taxepunkter!E196</x:f>
        <x:v>kr/tillfälle</x:v>
      </x:c>
      <x:c r="F165" s="767" t="n">
        <x:f>Taxepunkter!F196</x:f>
        <x:v>0</x:v>
      </x:c>
      <x:c r="G165" s="767" t="str">
        <x:f>Taxepunkter!G196</x:f>
      </x:c>
      <x:c r="H165" s="767" t="e">
        <x:f>Taxepunkter!H196</x:f>
      </x:c>
      <x:c r="I165" s="767" t="e">
        <x:f>Taxepunkter!I196</x:f>
      </x:c>
      <x:c r="J165" s="767" t="e">
        <x:f>Taxepunkter!J196</x:f>
      </x:c>
      <x:c r="K165" s="767" t="n">
        <x:f>Taxepunkter!K196</x:f>
        <x:v>0</x:v>
      </x:c>
      <x:c r="L165" s="774" t="n">
        <x:f>Taxepunkter!L196</x:f>
        <x:v>0</x:v>
      </x:c>
    </x:row>
    <x:row r="166">
      <x:c r="A166" s="773" t="str">
        <x:f>Taxepunkter!A197</x:f>
        <x:v>§3.2</x:v>
      </x:c>
      <x:c r="B166" s="767" t="n">
        <x:f>Taxepunkter!B197</x:f>
        <x:v>0</x:v>
      </x:c>
      <x:c r="C166" s="767" t="n">
        <x:f>Taxepunkter!C197</x:f>
        <x:v>0</x:v>
      </x:c>
      <x:c r="D166" s="767" t="n">
        <x:f>Taxepunkter!D197</x:f>
        <x:v>0</x:v>
      </x:c>
      <x:c r="E166" s="767" t="n">
        <x:f>Taxepunkter!E197</x:f>
        <x:v>0</x:v>
      </x:c>
      <x:c r="F166" s="767" t="n">
        <x:f>Taxepunkter!F197</x:f>
        <x:v>0</x:v>
      </x:c>
      <x:c r="G166" s="767" t="str">
        <x:f>Taxepunkter!G197</x:f>
      </x:c>
      <x:c r="H166" s="767" t="e">
        <x:f>Taxepunkter!H197</x:f>
      </x:c>
      <x:c r="I166" s="767" t="e">
        <x:f>Taxepunkter!I197</x:f>
      </x:c>
      <x:c r="J166" s="767" t="e">
        <x:f>Taxepunkter!J197</x:f>
      </x:c>
      <x:c r="K166" s="767" t="n">
        <x:f>Taxepunkter!K197</x:f>
        <x:v>0</x:v>
      </x:c>
      <x:c r="L166" s="774" t="n">
        <x:f>Taxepunkter!L197</x:f>
        <x:v>0</x:v>
      </x:c>
    </x:row>
    <x:row r="167">
      <x:c r="A167" s="773" t="str">
        <x:f>Taxepunkter!A199</x:f>
        <x:v>§3.3</x:v>
      </x:c>
      <x:c r="B167" s="767" t="str">
        <x:f>Taxepunkter!B199</x:f>
        <x:v>Övriga avgifter och tillägg slam</x:v>
      </x:c>
      <x:c r="C167" s="767" t="str">
        <x:f>Taxepunkter!C199</x:f>
        <x:v>Budning inom ordinarie tömningsperiod (1 maj- 31 oktober)</x:v>
      </x:c>
      <x:c r="D167" s="767" t="str">
        <x:f>Taxepunkter!D199</x:f>
        <x:v>Inom 24 timmar</x:v>
      </x:c>
      <x:c r="E167" s="767" t="str">
        <x:f>Taxepunkter!E199</x:f>
        <x:v>kr/tillfälle</x:v>
      </x:c>
      <x:c r="F167" s="767" t="n">
        <x:f>Taxepunkter!F199</x:f>
        <x:v>0</x:v>
      </x:c>
      <x:c r="G167" s="767" t="str">
        <x:f>Taxepunkter!G199</x:f>
      </x:c>
      <x:c r="H167" s="767" t="e">
        <x:f>Taxepunkter!H199</x:f>
      </x:c>
      <x:c r="I167" s="767" t="e">
        <x:f>Taxepunkter!I199</x:f>
      </x:c>
      <x:c r="J167" s="767" t="e">
        <x:f>Taxepunkter!J199</x:f>
      </x:c>
      <x:c r="K167" s="767" t="n">
        <x:f>Taxepunkter!K199</x:f>
        <x:v>0</x:v>
      </x:c>
      <x:c r="L167" s="774" t="n">
        <x:f>Taxepunkter!L199</x:f>
        <x:v>0</x:v>
      </x:c>
    </x:row>
    <x:row r="168">
      <x:c r="A168" s="773" t="str">
        <x:f>Taxepunkter!A200</x:f>
        <x:v>§3.3</x:v>
      </x:c>
      <x:c r="B168" s="767" t="str">
        <x:f>Taxepunkter!B200</x:f>
        <x:v>Övriga avgifter och tillägg slam</x:v>
      </x:c>
      <x:c r="C168" s="767" t="str">
        <x:f>Taxepunkter!C200</x:f>
        <x:v>Budning utanför ordinarie tömningsperiod (1 nov – 30 april)</x:v>
      </x:c>
      <x:c r="D168" s="767" t="str">
        <x:f>Taxepunkter!D200</x:f>
        <x:v>Inom 24 timmar</x:v>
      </x:c>
      <x:c r="E168" s="767" t="str">
        <x:f>Taxepunkter!E200</x:f>
        <x:v>kr/tillfälle</x:v>
      </x:c>
      <x:c r="F168" s="767" t="n">
        <x:f>Taxepunkter!F200</x:f>
        <x:v>0</x:v>
      </x:c>
      <x:c r="G168" s="767" t="str">
        <x:f>Taxepunkter!G200</x:f>
      </x:c>
      <x:c r="H168" s="767" t="e">
        <x:f>Taxepunkter!H200</x:f>
      </x:c>
      <x:c r="I168" s="767" t="e">
        <x:f>Taxepunkter!I200</x:f>
      </x:c>
      <x:c r="J168" s="767" t="e">
        <x:f>Taxepunkter!J200</x:f>
      </x:c>
      <x:c r="K168" s="767" t="n">
        <x:f>Taxepunkter!K200</x:f>
        <x:v>0</x:v>
      </x:c>
      <x:c r="L168" s="774" t="n">
        <x:f>Taxepunkter!L200</x:f>
        <x:v>0</x:v>
      </x:c>
    </x:row>
    <x:row r="169">
      <x:c r="A169" s="773" t="str">
        <x:f>Taxepunkter!A201</x:f>
        <x:v>§3.3</x:v>
      </x:c>
      <x:c r="B169" s="767" t="n">
        <x:f>Taxepunkter!B201</x:f>
        <x:v>0</x:v>
      </x:c>
      <x:c r="C169" s="767" t="n">
        <x:f>Taxepunkter!C201</x:f>
        <x:v>0</x:v>
      </x:c>
      <x:c r="D169" s="767" t="n">
        <x:f>Taxepunkter!D201</x:f>
        <x:v>0</x:v>
      </x:c>
      <x:c r="E169" s="767" t="n">
        <x:f>Taxepunkter!E201</x:f>
        <x:v>0</x:v>
      </x:c>
      <x:c r="F169" s="767" t="n">
        <x:f>Taxepunkter!F201</x:f>
        <x:v>0</x:v>
      </x:c>
      <x:c r="G169" s="767" t="str">
        <x:f>Taxepunkter!G201</x:f>
      </x:c>
      <x:c r="H169" s="767" t="e">
        <x:f>Taxepunkter!H201</x:f>
      </x:c>
      <x:c r="I169" s="767" t="e">
        <x:f>Taxepunkter!I201</x:f>
      </x:c>
      <x:c r="J169" s="767" t="e">
        <x:f>Taxepunkter!J201</x:f>
      </x:c>
      <x:c r="K169" s="767" t="n">
        <x:f>Taxepunkter!K201</x:f>
        <x:v>0</x:v>
      </x:c>
      <x:c r="L169" s="774" t="n">
        <x:f>Taxepunkter!L201</x:f>
        <x:v>0</x:v>
      </x:c>
    </x:row>
    <x:row r="170">
      <x:c r="A170" s="773" t="str">
        <x:f>Taxepunkter!A202</x:f>
        <x:v>§3.3</x:v>
      </x:c>
      <x:c r="B170" s="767" t="str">
        <x:f>Taxepunkter!B202</x:f>
        <x:v>Övriga avgifter och tillägg slam</x:v>
      </x:c>
      <x:c r="C170" s="767" t="str">
        <x:f>Taxepunkter!C202</x:f>
        <x:v>Budning utanför ordinarie tömningsperiod (1 nov – 30 april)</x:v>
      </x:c>
      <x:c r="D170" s="767" t="str">
        <x:f>Taxepunkter!D202</x:f>
        <x:v>Inom 7 arbetsdagar</x:v>
      </x:c>
      <x:c r="E170" s="767" t="str">
        <x:f>Taxepunkter!E202</x:f>
        <x:v>kr/tillfälle</x:v>
      </x:c>
      <x:c r="F170" s="767" t="n">
        <x:f>Taxepunkter!F202</x:f>
        <x:v>0</x:v>
      </x:c>
      <x:c r="G170" s="767" t="str">
        <x:f>Taxepunkter!G202</x:f>
      </x:c>
      <x:c r="H170" s="767" t="e">
        <x:f>Taxepunkter!H202</x:f>
      </x:c>
      <x:c r="I170" s="767" t="e">
        <x:f>Taxepunkter!I202</x:f>
      </x:c>
      <x:c r="J170" s="767" t="e">
        <x:f>Taxepunkter!J202</x:f>
      </x:c>
      <x:c r="K170" s="767" t="n">
        <x:f>Taxepunkter!K202</x:f>
        <x:v>0</x:v>
      </x:c>
      <x:c r="L170" s="774" t="n">
        <x:f>Taxepunkter!L202</x:f>
        <x:v>0</x:v>
      </x:c>
    </x:row>
    <x:row r="171">
      <x:c r="A171" s="773" t="str">
        <x:f>Taxepunkter!A203</x:f>
        <x:v>§3.3</x:v>
      </x:c>
      <x:c r="B171" s="767" t="str">
        <x:f>Taxepunkter!B203</x:f>
        <x:v>Övriga avgifter och tillägg slam</x:v>
      </x:c>
      <x:c r="C171" s="767" t="str">
        <x:f>Taxepunkter!C203</x:f>
        <x:v>Tömning av toalettvagnar eller liknande</x:v>
      </x:c>
      <x:c r="D171" s="767" t="n">
        <x:f>Taxepunkter!D203</x:f>
        <x:v>0</x:v>
      </x:c>
      <x:c r="E171" s="767" t="str">
        <x:f>Taxepunkter!E203</x:f>
        <x:v>kr/tillfälle</x:v>
      </x:c>
      <x:c r="F171" s="767" t="n">
        <x:f>Taxepunkter!F203</x:f>
        <x:v>0</x:v>
      </x:c>
      <x:c r="G171" s="767" t="str">
        <x:f>Taxepunkter!G203</x:f>
      </x:c>
      <x:c r="H171" s="767" t="e">
        <x:f>Taxepunkter!H203</x:f>
      </x:c>
      <x:c r="I171" s="767" t="e">
        <x:f>Taxepunkter!I203</x:f>
      </x:c>
      <x:c r="J171" s="767" t="e">
        <x:f>Taxepunkter!J203</x:f>
      </x:c>
      <x:c r="K171" s="767" t="n">
        <x:f>Taxepunkter!K203</x:f>
        <x:v>0</x:v>
      </x:c>
      <x:c r="L171" s="774" t="n">
        <x:f>Taxepunkter!L203</x:f>
        <x:v>0</x:v>
      </x:c>
    </x:row>
    <x:row r="172">
      <x:c r="A172" s="773" t="str">
        <x:f>Taxepunkter!A204</x:f>
        <x:v>§3.3</x:v>
      </x:c>
      <x:c r="B172" s="767" t="str">
        <x:f>Taxepunkter!B204</x:f>
        <x:v>Övriga avgifter och tillägg slam</x:v>
      </x:c>
      <x:c r="C172" s="767" t="str">
        <x:f>Taxepunkter!C204</x:f>
        <x:v>Framkörningsavgift då ordinarie tömning inte skett på grund av hinder, abonnenten vägrar, bristfällig väg eller annat</x:v>
      </x:c>
      <x:c r="D172" s="767" t="n">
        <x:f>Taxepunkter!D204</x:f>
        <x:v>0</x:v>
      </x:c>
      <x:c r="E172" s="767" t="str">
        <x:f>Taxepunkter!E204</x:f>
        <x:v>kr/tillfälle</x:v>
      </x:c>
      <x:c r="F172" s="767" t="n">
        <x:f>Taxepunkter!F204</x:f>
        <x:v>0</x:v>
      </x:c>
      <x:c r="G172" s="767" t="str">
        <x:f>Taxepunkter!G204</x:f>
      </x:c>
      <x:c r="H172" s="767" t="e">
        <x:f>Taxepunkter!H204</x:f>
      </x:c>
      <x:c r="I172" s="767" t="e">
        <x:f>Taxepunkter!I204</x:f>
      </x:c>
      <x:c r="J172" s="767" t="e">
        <x:f>Taxepunkter!J204</x:f>
      </x:c>
      <x:c r="K172" s="767" t="n">
        <x:f>Taxepunkter!K204</x:f>
        <x:v>0</x:v>
      </x:c>
      <x:c r="L172" s="774" t="n">
        <x:f>Taxepunkter!L204</x:f>
        <x:v>0</x:v>
      </x:c>
    </x:row>
    <x:row r="173">
      <x:c r="A173" s="773" t="str">
        <x:f>Taxepunkter!A205</x:f>
        <x:v>§3.3</x:v>
      </x:c>
      <x:c r="B173" s="767" t="str">
        <x:f>Taxepunkter!B205</x:f>
        <x:v>Övriga avgifter och tillägg slam</x:v>
      </x:c>
      <x:c r="C173" s="767" t="str">
        <x:f>Taxepunkter!C205</x:f>
        <x:v>Sen anmälan om förändringar av tömningsintervall. Om förändring, nyanmälan eller avbokning av slamtömning meddelas efter 1 april innevarande år.</x:v>
      </x:c>
      <x:c r="D173" s="767" t="n">
        <x:f>Taxepunkter!D205</x:f>
        <x:v>0</x:v>
      </x:c>
      <x:c r="E173" s="767" t="str">
        <x:f>Taxepunkter!E205</x:f>
        <x:v>kr/tillfälle</x:v>
      </x:c>
      <x:c r="F173" s="767" t="n">
        <x:f>Taxepunkter!F205</x:f>
        <x:v>0</x:v>
      </x:c>
      <x:c r="G173" s="767" t="str">
        <x:f>Taxepunkter!G205</x:f>
      </x:c>
      <x:c r="H173" s="767" t="e">
        <x:f>Taxepunkter!H205</x:f>
      </x:c>
      <x:c r="I173" s="767" t="e">
        <x:f>Taxepunkter!I205</x:f>
      </x:c>
      <x:c r="J173" s="767" t="e">
        <x:f>Taxepunkter!J205</x:f>
      </x:c>
      <x:c r="K173" s="767" t="n">
        <x:f>Taxepunkter!K205</x:f>
        <x:v>0</x:v>
      </x:c>
      <x:c r="L173" s="774" t="n">
        <x:f>Taxepunkter!L205</x:f>
        <x:v>0</x:v>
      </x:c>
    </x:row>
    <x:row r="174">
      <x:c r="A174" s="773" t="str">
        <x:f>Taxepunkter!A207</x:f>
        <x:v>§3.4 Latrinbehållare</x:v>
      </x:c>
      <x:c r="B174" s="767" t="n">
        <x:f>Taxepunkter!B207</x:f>
        <x:v>0</x:v>
      </x:c>
      <x:c r="C174" s="767" t="n">
        <x:f>Taxepunkter!C207</x:f>
        <x:v>0</x:v>
      </x:c>
      <x:c r="D174" s="767" t="n">
        <x:f>Taxepunkter!D207</x:f>
        <x:v>0</x:v>
      </x:c>
      <x:c r="E174" s="767" t="n">
        <x:f>Taxepunkter!E207</x:f>
        <x:v>0</x:v>
      </x:c>
      <x:c r="F174" s="767" t="n">
        <x:f>Taxepunkter!F207</x:f>
        <x:v>0</x:v>
      </x:c>
      <x:c r="G174" s="767" t="str">
        <x:f>Taxepunkter!G207</x:f>
      </x:c>
      <x:c r="H174" s="767" t="e">
        <x:f>Taxepunkter!H207</x:f>
      </x:c>
      <x:c r="I174" s="767" t="e">
        <x:f>Taxepunkter!I207</x:f>
      </x:c>
      <x:c r="J174" s="767" t="e">
        <x:f>Taxepunkter!J207</x:f>
      </x:c>
      <x:c r="K174" s="767" t="n">
        <x:f>Taxepunkter!K207</x:f>
        <x:v>0</x:v>
      </x:c>
      <x:c r="L174" s="774" t="n">
        <x:f>Taxepunkter!L207</x:f>
        <x:v>0</x:v>
      </x:c>
    </x:row>
    <x:row r="175">
      <x:c r="A175" s="773" t="str">
        <x:f>Taxepunkter!A208</x:f>
        <x:v>§3.4</x:v>
      </x:c>
      <x:c r="B175" s="767" t="str">
        <x:f>Taxepunkter!B208</x:f>
        <x:v>Latrinbehållare</x:v>
      </x:c>
      <x:c r="C175" s="767" t="str">
        <x:f>Taxepunkter!C208</x:f>
        <x:v>Latrinbehållare 37 liter inkl. mottagning och behandling</x:v>
      </x:c>
      <x:c r="D175" s="767" t="n">
        <x:f>Taxepunkter!D208</x:f>
        <x:v>0</x:v>
      </x:c>
      <x:c r="E175" s="767" t="str">
        <x:f>Taxepunkter!E208</x:f>
        <x:v>st</x:v>
      </x:c>
      <x:c r="F175" s="767" t="n">
        <x:f>Taxepunkter!F208</x:f>
        <x:v>0</x:v>
      </x:c>
      <x:c r="G175" s="767" t="str">
        <x:f>Taxepunkter!G208</x:f>
      </x:c>
      <x:c r="H175" s="767" t="e">
        <x:f>Taxepunkter!H208</x:f>
      </x:c>
      <x:c r="I175" s="767" t="e">
        <x:f>Taxepunkter!I208</x:f>
      </x:c>
      <x:c r="J175" s="767" t="e">
        <x:f>Taxepunkter!J208</x:f>
      </x:c>
      <x:c r="K175" s="767" t="n">
        <x:f>Taxepunkter!K208</x:f>
        <x:v>0</x:v>
      </x:c>
      <x:c r="L175" s="774" t="n">
        <x:f>Taxepunkter!L208</x:f>
        <x:v>0</x:v>
      </x:c>
    </x:row>
    <x:row r="176">
      <x:c r="A176" s="773" t="str">
        <x:f>Taxepunkter!A209</x:f>
        <x:v>§3.4</x:v>
      </x:c>
      <x:c r="B176" s="767" t="n">
        <x:f>Taxepunkter!B209</x:f>
        <x:v>0</x:v>
      </x:c>
      <x:c r="C176" s="767" t="n">
        <x:f>Taxepunkter!C209</x:f>
        <x:v>0</x:v>
      </x:c>
      <x:c r="D176" s="767" t="n">
        <x:f>Taxepunkter!D209</x:f>
        <x:v>0</x:v>
      </x:c>
      <x:c r="E176" s="767" t="n">
        <x:f>Taxepunkter!E209</x:f>
        <x:v>0</x:v>
      </x:c>
      <x:c r="F176" s="767" t="n">
        <x:f>Taxepunkter!F209</x:f>
        <x:v>0</x:v>
      </x:c>
      <x:c r="G176" s="767" t="str">
        <x:f>Taxepunkter!G209</x:f>
      </x:c>
      <x:c r="H176" s="767" t="e">
        <x:f>Taxepunkter!H209</x:f>
      </x:c>
      <x:c r="I176" s="767" t="e">
        <x:f>Taxepunkter!I209</x:f>
      </x:c>
      <x:c r="J176" s="767" t="e">
        <x:f>Taxepunkter!J209</x:f>
      </x:c>
      <x:c r="K176" s="767" t="n">
        <x:f>Taxepunkter!K209</x:f>
        <x:v>0</x:v>
      </x:c>
      <x:c r="L176" s="774" t="n">
        <x:f>Taxepunkter!L209</x:f>
        <x:v>0</x:v>
      </x:c>
    </x:row>
    <x:row r="177">
      <x:c r="A177" s="773" t="str">
        <x:f>Taxepunkter!A210</x:f>
        <x:v>§4.1 Budad hämtning fosforfilter</x:v>
      </x:c>
      <x:c r="B177" s="767" t="n">
        <x:f>Taxepunkter!B210</x:f>
        <x:v>0</x:v>
      </x:c>
      <x:c r="C177" s="767" t="n">
        <x:f>Taxepunkter!C210</x:f>
        <x:v>0</x:v>
      </x:c>
      <x:c r="D177" s="767" t="n">
        <x:f>Taxepunkter!D210</x:f>
        <x:v>0</x:v>
      </x:c>
      <x:c r="E177" s="767" t="n">
        <x:f>Taxepunkter!E210</x:f>
        <x:v>0</x:v>
      </x:c>
      <x:c r="F177" s="767" t="n">
        <x:f>Taxepunkter!F210</x:f>
        <x:v>0</x:v>
      </x:c>
      <x:c r="G177" s="767" t="str">
        <x:f>Taxepunkter!G210</x:f>
      </x:c>
      <x:c r="H177" s="767" t="e">
        <x:f>Taxepunkter!H210</x:f>
      </x:c>
      <x:c r="I177" s="767" t="e">
        <x:f>Taxepunkter!I210</x:f>
      </x:c>
      <x:c r="J177" s="767" t="e">
        <x:f>Taxepunkter!J210</x:f>
      </x:c>
      <x:c r="K177" s="767" t="n">
        <x:f>Taxepunkter!K210</x:f>
        <x:v>0</x:v>
      </x:c>
      <x:c r="L177" s="774" t="n">
        <x:f>Taxepunkter!L210</x:f>
        <x:v>0</x:v>
      </x:c>
    </x:row>
    <x:row r="178">
      <x:c r="A178" s="773" t="str">
        <x:f>Taxepunkter!A211</x:f>
        <x:v>§4.1</x:v>
      </x:c>
      <x:c r="B178" s="767" t="str">
        <x:f>Taxepunkter!B211</x:f>
        <x:v>Budad hämtning fosforfilter</x:v>
      </x:c>
      <x:c r="C178" s="767" t="str">
        <x:f>Taxepunkter!C211</x:f>
        <x:v>Filtermassor upp till 500 kg</x:v>
      </x:c>
      <x:c r="D178" s="767" t="str">
        <x:f>Taxepunkter!D211</x:f>
        <x:v>Budad hämtning inom sju (7) arbetsdagar</x:v>
      </x:c>
      <x:c r="E178" s="767" t="str">
        <x:f>Taxepunkter!E211</x:f>
        <x:v>kr/tillfälle</x:v>
      </x:c>
      <x:c r="F178" s="767" t="n">
        <x:f>Taxepunkter!F211</x:f>
        <x:v>0</x:v>
      </x:c>
      <x:c r="G178" s="767" t="str">
        <x:f>Taxepunkter!G211</x:f>
      </x:c>
      <x:c r="H178" s="767" t="e">
        <x:f>Taxepunkter!H211</x:f>
      </x:c>
      <x:c r="I178" s="767" t="e">
        <x:f>Taxepunkter!I211</x:f>
      </x:c>
      <x:c r="J178" s="767" t="e">
        <x:f>Taxepunkter!J211</x:f>
      </x:c>
      <x:c r="K178" s="767" t="n">
        <x:f>Taxepunkter!K211</x:f>
        <x:v>0</x:v>
      </x:c>
      <x:c r="L178" s="774" t="n">
        <x:f>Taxepunkter!L211</x:f>
        <x:v>0</x:v>
      </x:c>
    </x:row>
    <x:row r="179">
      <x:c r="A179" s="773" t="str">
        <x:f>Taxepunkter!A212</x:f>
        <x:v>§4.1</x:v>
      </x:c>
      <x:c r="B179" s="767" t="str">
        <x:f>Taxepunkter!B212</x:f>
        <x:v>Budad hämtning fosforfilter</x:v>
      </x:c>
      <x:c r="C179" s="767" t="str">
        <x:f>Taxepunkter!C212</x:f>
        <x:v>Filtermassor 500-1000 kg</x:v>
      </x:c>
      <x:c r="D179" s="767" t="str">
        <x:f>Taxepunkter!D212</x:f>
        <x:v>Budad hämtning inom sju (7) arbetsdagar</x:v>
      </x:c>
      <x:c r="E179" s="767" t="str">
        <x:f>Taxepunkter!E212</x:f>
        <x:v>kr/tillfälle</x:v>
      </x:c>
      <x:c r="F179" s="767" t="n">
        <x:f>Taxepunkter!F212</x:f>
        <x:v>0</x:v>
      </x:c>
      <x:c r="G179" s="767" t="str">
        <x:f>Taxepunkter!G212</x:f>
      </x:c>
      <x:c r="H179" s="767" t="e">
        <x:f>Taxepunkter!H212</x:f>
      </x:c>
      <x:c r="I179" s="767" t="e">
        <x:f>Taxepunkter!I212</x:f>
      </x:c>
      <x:c r="J179" s="767" t="e">
        <x:f>Taxepunkter!J212</x:f>
      </x:c>
      <x:c r="K179" s="767" t="n">
        <x:f>Taxepunkter!K212</x:f>
        <x:v>0</x:v>
      </x:c>
      <x:c r="L179" s="774" t="n">
        <x:f>Taxepunkter!L212</x:f>
        <x:v>0</x:v>
      </x:c>
    </x:row>
    <x:row r="180">
      <x:c r="A180" s="773" t="str">
        <x:f>Taxepunkter!A214</x:f>
        <x:v>§4.1</x:v>
      </x:c>
      <x:c r="B180" s="767" t="str">
        <x:f>Taxepunkter!B214</x:f>
        <x:v>Budad hämtning fosforfilter</x:v>
      </x:c>
      <x:c r="C180" s="767" t="str">
        <x:f>Taxepunkter!C214</x:f>
        <x:v>Filtermassor 500-1000 kg</x:v>
      </x:c>
      <x:c r="D180" s="767" t="str">
        <x:f>Taxepunkter!D214</x:f>
        <x:v>Tillägg för transport och behandlingskostnad</x:v>
      </x:c>
      <x:c r="E180" s="767" t="str">
        <x:f>Taxepunkter!E214</x:f>
        <x:v>kr/tillfälle</x:v>
      </x:c>
      <x:c r="F180" s="767" t="n">
        <x:f>Taxepunkter!F214</x:f>
        <x:v>0</x:v>
      </x:c>
      <x:c r="G180" s="767" t="str">
        <x:f>Taxepunkter!G214</x:f>
      </x:c>
      <x:c r="H180" s="767" t="e">
        <x:f>Taxepunkter!H214</x:f>
      </x:c>
      <x:c r="I180" s="767" t="e">
        <x:f>Taxepunkter!I214</x:f>
      </x:c>
      <x:c r="J180" s="767" t="e">
        <x:f>Taxepunkter!J214</x:f>
      </x:c>
      <x:c r="K180" s="767" t="n">
        <x:f>Taxepunkter!K214</x:f>
        <x:v>0</x:v>
      </x:c>
      <x:c r="L180" s="774" t="n">
        <x:f>Taxepunkter!L214</x:f>
        <x:v>0</x:v>
      </x:c>
    </x:row>
    <x:row r="181">
      <x:c r="A181" s="773" t="str">
        <x:f>Taxepunkter!A215</x:f>
        <x:v>§4.1</x:v>
      </x:c>
      <x:c r="B181" s="767" t="n">
        <x:f>Taxepunkter!B215</x:f>
        <x:v>0</x:v>
      </x:c>
      <x:c r="C181" s="767" t="n">
        <x:f>Taxepunkter!C215</x:f>
        <x:v>0</x:v>
      </x:c>
      <x:c r="D181" s="767" t="n">
        <x:f>Taxepunkter!D215</x:f>
        <x:v>0</x:v>
      </x:c>
      <x:c r="E181" s="767" t="n">
        <x:f>Taxepunkter!E215</x:f>
        <x:v>0</x:v>
      </x:c>
      <x:c r="F181" s="767" t="n">
        <x:f>Taxepunkter!F215</x:f>
        <x:v>0</x:v>
      </x:c>
      <x:c r="G181" s="767" t="str">
        <x:f>Taxepunkter!G215</x:f>
      </x:c>
      <x:c r="H181" s="767" t="e">
        <x:f>Taxepunkter!H215</x:f>
      </x:c>
      <x:c r="I181" s="767" t="e">
        <x:f>Taxepunkter!I215</x:f>
      </x:c>
      <x:c r="J181" s="767" t="e">
        <x:f>Taxepunkter!J215</x:f>
      </x:c>
      <x:c r="K181" s="767" t="n">
        <x:f>Taxepunkter!K215</x:f>
        <x:v>0</x:v>
      </x:c>
      <x:c r="L181" s="774" t="n">
        <x:f>Taxepunkter!L215</x:f>
        <x:v>0</x:v>
      </x:c>
    </x:row>
    <x:row r="182">
      <x:c r="A182" s="773" t="str">
        <x:f>Taxepunkter!A216</x:f>
        <x:v>§4.2 Tilläggstjänster fosforfilter</x:v>
      </x:c>
      <x:c r="B182" s="767" t="n">
        <x:f>Taxepunkter!B216</x:f>
        <x:v>0</x:v>
      </x:c>
      <x:c r="C182" s="767" t="n">
        <x:f>Taxepunkter!C216</x:f>
        <x:v>0</x:v>
      </x:c>
      <x:c r="D182" s="767" t="n">
        <x:f>Taxepunkter!D216</x:f>
        <x:v>0</x:v>
      </x:c>
      <x:c r="E182" s="767" t="n">
        <x:f>Taxepunkter!E216</x:f>
        <x:v>0</x:v>
      </x:c>
      <x:c r="F182" s="767" t="n">
        <x:f>Taxepunkter!F216</x:f>
        <x:v>0</x:v>
      </x:c>
      <x:c r="G182" s="767" t="str">
        <x:f>Taxepunkter!G216</x:f>
      </x:c>
      <x:c r="H182" s="767" t="e">
        <x:f>Taxepunkter!H216</x:f>
      </x:c>
      <x:c r="I182" s="767" t="e">
        <x:f>Taxepunkter!I216</x:f>
      </x:c>
      <x:c r="J182" s="767" t="e">
        <x:f>Taxepunkter!J216</x:f>
      </x:c>
      <x:c r="K182" s="767" t="n">
        <x:f>Taxepunkter!K216</x:f>
        <x:v>0</x:v>
      </x:c>
      <x:c r="L182" s="774" t="n">
        <x:f>Taxepunkter!L216</x:f>
        <x:v>0</x:v>
      </x:c>
    </x:row>
    <x:row r="183">
      <x:c r="A183" s="773" t="str">
        <x:f>Taxepunkter!A217</x:f>
        <x:v>§4.2</x:v>
      </x:c>
      <x:c r="B183" s="767" t="str">
        <x:f>Taxepunkter!B217</x:f>
        <x:v>Tilläggstjänster fosforfilter</x:v>
      </x:c>
      <x:c r="C183" s="767" t="str">
        <x:f>Taxepunkter!C217</x:f>
        <x:v>Krav på information om hämtningstid</x:v>
      </x:c>
      <x:c r="D183" s="767" t="n">
        <x:f>Taxepunkter!D217</x:f>
        <x:v>0</x:v>
      </x:c>
      <x:c r="E183" s="767" t="str">
        <x:f>Taxepunkter!E217</x:f>
        <x:v>kr/tillfälle</x:v>
      </x:c>
      <x:c r="F183" s="767" t="n">
        <x:f>Taxepunkter!F217</x:f>
        <x:v>0</x:v>
      </x:c>
      <x:c r="G183" s="767" t="str">
        <x:f>Taxepunkter!G217</x:f>
      </x:c>
      <x:c r="H183" s="767" t="e">
        <x:f>Taxepunkter!H217</x:f>
      </x:c>
      <x:c r="I183" s="767" t="e">
        <x:f>Taxepunkter!I217</x:f>
      </x:c>
      <x:c r="J183" s="767" t="e">
        <x:f>Taxepunkter!J217</x:f>
      </x:c>
      <x:c r="K183" s="767" t="n">
        <x:f>Taxepunkter!K217</x:f>
        <x:v>0</x:v>
      </x:c>
      <x:c r="L183" s="774" t="n">
        <x:f>Taxepunkter!L217</x:f>
        <x:v>0</x:v>
      </x:c>
    </x:row>
    <x:row r="184">
      <x:c r="A184" s="773" t="str">
        <x:f>Taxepunkter!A218</x:f>
        <x:v>§4.2</x:v>
      </x:c>
      <x:c r="B184" s="767" t="str">
        <x:f>Taxepunkter!B218</x:f>
        <x:v>Tilläggstjänster fosforfilter</x:v>
      </x:c>
      <x:c r="C184" s="767" t="str">
        <x:f>Taxepunkter!C218</x:f>
        <x:v>Krav på närvaro vid specificerad hämtningstid</x:v>
      </x:c>
      <x:c r="D184" s="767" t="n">
        <x:f>Taxepunkter!D218</x:f>
        <x:v>0</x:v>
      </x:c>
      <x:c r="E184" s="767" t="str">
        <x:f>Taxepunkter!E218</x:f>
        <x:v>kr/tillfälle</x:v>
      </x:c>
      <x:c r="F184" s="767" t="n">
        <x:f>Taxepunkter!F218</x:f>
        <x:v>0</x:v>
      </x:c>
      <x:c r="G184" s="767" t="str">
        <x:f>Taxepunkter!G218</x:f>
      </x:c>
      <x:c r="H184" s="767" t="e">
        <x:f>Taxepunkter!H218</x:f>
      </x:c>
      <x:c r="I184" s="767" t="e">
        <x:f>Taxepunkter!I218</x:f>
      </x:c>
      <x:c r="J184" s="767" t="e">
        <x:f>Taxepunkter!J218</x:f>
      </x:c>
      <x:c r="K184" s="767" t="n">
        <x:f>Taxepunkter!K218</x:f>
        <x:v>0</x:v>
      </x:c>
      <x:c r="L184" s="774" t="n">
        <x:f>Taxepunkter!L218</x:f>
        <x:v>0</x:v>
      </x:c>
    </x:row>
    <x:row r="185">
      <x:c r="A185" s="773" t="str">
        <x:f>Taxepunkter!A219</x:f>
        <x:v>§4.2</x:v>
      </x:c>
      <x:c r="B185" s="767" t="str">
        <x:f>Taxepunkter!B219</x:f>
        <x:v>Tilläggstjänster fosforfilter</x:v>
      </x:c>
      <x:c r="C185" s="767" t="str">
        <x:f>Taxepunkter!C219</x:f>
        <x:v>Hantering av kod för kodlås</x:v>
      </x:c>
      <x:c r="D185" s="767" t="n">
        <x:f>Taxepunkter!D219</x:f>
        <x:v>0</x:v>
      </x:c>
      <x:c r="E185" s="767" t="str">
        <x:f>Taxepunkter!E219</x:f>
        <x:v>kr/tillfälle</x:v>
      </x:c>
      <x:c r="F185" s="767" t="n">
        <x:f>Taxepunkter!F219</x:f>
        <x:v>0</x:v>
      </x:c>
      <x:c r="G185" s="767" t="str">
        <x:f>Taxepunkter!G219</x:f>
      </x:c>
      <x:c r="H185" s="767" t="e">
        <x:f>Taxepunkter!H219</x:f>
      </x:c>
      <x:c r="I185" s="767" t="e">
        <x:f>Taxepunkter!I219</x:f>
      </x:c>
      <x:c r="J185" s="767" t="e">
        <x:f>Taxepunkter!J219</x:f>
      </x:c>
      <x:c r="K185" s="767" t="n">
        <x:f>Taxepunkter!K219</x:f>
        <x:v>0</x:v>
      </x:c>
      <x:c r="L185" s="774" t="n">
        <x:f>Taxepunkter!L219</x:f>
        <x:v>0</x:v>
      </x:c>
    </x:row>
    <x:row r="186">
      <x:c r="A186" s="773" t="str">
        <x:f>Taxepunkter!A220</x:f>
        <x:v>§4.2</x:v>
      </x:c>
      <x:c r="B186" s="767" t="str">
        <x:f>Taxepunkter!B220</x:f>
        <x:v>Tilläggstjänster fosforfilter</x:v>
      </x:c>
      <x:c r="C186" s="767" t="str">
        <x:f>Taxepunkter!C220</x:f>
        <x:v>Avgift om hämtning ej kan utföras pga hinder, bristande väg eller vägran</x:v>
      </x:c>
      <x:c r="D186" s="767" t="n">
        <x:f>Taxepunkter!D220</x:f>
        <x:v>0</x:v>
      </x:c>
      <x:c r="E186" s="767" t="str">
        <x:f>Taxepunkter!E220</x:f>
        <x:v>kr/tillfälle</x:v>
      </x:c>
      <x:c r="F186" s="767" t="n">
        <x:f>Taxepunkter!F220</x:f>
        <x:v>0</x:v>
      </x:c>
      <x:c r="G186" s="767" t="str">
        <x:f>Taxepunkter!G220</x:f>
      </x:c>
      <x:c r="H186" s="767" t="e">
        <x:f>Taxepunkter!H220</x:f>
      </x:c>
      <x:c r="I186" s="767" t="e">
        <x:f>Taxepunkter!I220</x:f>
      </x:c>
      <x:c r="J186" s="767" t="e">
        <x:f>Taxepunkter!J220</x:f>
      </x:c>
      <x:c r="K186" s="767" t="n">
        <x:f>Taxepunkter!K220</x:f>
        <x:v>0</x:v>
      </x:c>
      <x:c r="L186" s="774" t="n">
        <x:f>Taxepunkter!L220</x:f>
        <x:v>0</x:v>
      </x:c>
    </x:row>
    <x:row r="187">
      <x:c r="A187" s="773" t="str">
        <x:f>Taxepunkter!A221</x:f>
        <x:v>§4.2</x:v>
      </x:c>
      <x:c r="B187" s="767" t="n">
        <x:f>Taxepunkter!B221</x:f>
        <x:v>0</x:v>
      </x:c>
      <x:c r="C187" s="767" t="n">
        <x:f>Taxepunkter!C221</x:f>
        <x:v>0</x:v>
      </x:c>
      <x:c r="D187" s="767" t="n">
        <x:f>Taxepunkter!D221</x:f>
        <x:v>0</x:v>
      </x:c>
      <x:c r="E187" s="767" t="n">
        <x:f>Taxepunkter!E221</x:f>
        <x:v>0</x:v>
      </x:c>
      <x:c r="F187" s="767" t="n">
        <x:f>Taxepunkter!F221</x:f>
        <x:v>0</x:v>
      </x:c>
      <x:c r="G187" s="767" t="str">
        <x:f>Taxepunkter!G221</x:f>
      </x:c>
      <x:c r="H187" s="767" t="e">
        <x:f>Taxepunkter!H221</x:f>
      </x:c>
      <x:c r="I187" s="767" t="e">
        <x:f>Taxepunkter!I221</x:f>
      </x:c>
      <x:c r="J187" s="767" t="e">
        <x:f>Taxepunkter!J221</x:f>
      </x:c>
      <x:c r="K187" s="767" t="n">
        <x:f>Taxepunkter!K221</x:f>
        <x:v>0</x:v>
      </x:c>
      <x:c r="L187" s="774" t="n">
        <x:f>Taxepunkter!L221</x:f>
        <x:v>0</x:v>
      </x:c>
    </x:row>
    <x:row r="188">
      <x:c r="A188" s="773" t="str">
        <x:f>Taxepunkter!A222</x:f>
        <x:v>§5.1 Ordinarie tömning av fettavskiljare</x:v>
      </x:c>
      <x:c r="B188" s="767" t="n">
        <x:f>Taxepunkter!B222</x:f>
        <x:v>0</x:v>
      </x:c>
      <x:c r="C188" s="767" t="n">
        <x:f>Taxepunkter!C222</x:f>
        <x:v>0</x:v>
      </x:c>
      <x:c r="D188" s="767" t="n">
        <x:f>Taxepunkter!D222</x:f>
        <x:v>0</x:v>
      </x:c>
      <x:c r="E188" s="767" t="n">
        <x:f>Taxepunkter!E222</x:f>
        <x:v>0</x:v>
      </x:c>
      <x:c r="F188" s="767" t="n">
        <x:f>Taxepunkter!F222</x:f>
        <x:v>0</x:v>
      </x:c>
      <x:c r="G188" s="767" t="str">
        <x:f>Taxepunkter!G222</x:f>
      </x:c>
      <x:c r="H188" s="767" t="e">
        <x:f>Taxepunkter!H222</x:f>
      </x:c>
      <x:c r="I188" s="767" t="e">
        <x:f>Taxepunkter!I222</x:f>
      </x:c>
      <x:c r="J188" s="767" t="e">
        <x:f>Taxepunkter!J222</x:f>
      </x:c>
      <x:c r="K188" s="767" t="n">
        <x:f>Taxepunkter!K222</x:f>
        <x:v>0</x:v>
      </x:c>
      <x:c r="L188" s="774" t="n">
        <x:f>Taxepunkter!L222</x:f>
        <x:v>0</x:v>
      </x:c>
    </x:row>
    <x:row r="189">
      <x:c r="A189" s="773" t="str">
        <x:f>Taxepunkter!A223</x:f>
        <x:v>§5.1</x:v>
      </x:c>
      <x:c r="B189" s="767" t="str">
        <x:f>Taxepunkter!B223</x:f>
        <x:v>Ordinarie tömning av fettavskiljare</x:v>
      </x:c>
      <x:c r="C189" s="767" t="str">
        <x:f>Taxepunkter!C223</x:f>
        <x:v>Upp till 3 m3</x:v>
      </x:c>
      <x:c r="D189" s="767" t="str">
        <x:f>Taxepunkter!D223</x:f>
        <x:v>Tömning, transport och behandling av fettavskiljare/tank enligt anmält tömningsintervall</x:v>
      </x:c>
      <x:c r="E189" s="767" t="str">
        <x:f>Taxepunkter!E223</x:f>
        <x:v>kr/tillfälle</x:v>
      </x:c>
      <x:c r="F189" s="767" t="n">
        <x:f>Taxepunkter!F223</x:f>
        <x:v>0</x:v>
      </x:c>
      <x:c r="G189" s="767" t="str">
        <x:f>Taxepunkter!G223</x:f>
      </x:c>
      <x:c r="H189" s="767" t="e">
        <x:f>Taxepunkter!H223</x:f>
      </x:c>
      <x:c r="I189" s="767" t="e">
        <x:f>Taxepunkter!I223</x:f>
      </x:c>
      <x:c r="J189" s="767" t="e">
        <x:f>Taxepunkter!J223</x:f>
      </x:c>
      <x:c r="K189" s="767" t="n">
        <x:f>Taxepunkter!K223</x:f>
        <x:v>0</x:v>
      </x:c>
      <x:c r="L189" s="774" t="n">
        <x:f>Taxepunkter!L223</x:f>
        <x:v>0</x:v>
      </x:c>
    </x:row>
    <x:row r="190">
      <x:c r="A190" s="773" t="str">
        <x:f>Taxepunkter!A224</x:f>
        <x:v>§5.1</x:v>
      </x:c>
      <x:c r="B190" s="767" t="str">
        <x:f>Taxepunkter!B224</x:f>
        <x:v>Ordinarie tömning av fettavskiljare</x:v>
      </x:c>
      <x:c r="C190" s="767" t="str">
        <x:f>Taxepunkter!C224</x:f>
        <x:v>Mellan 3 m3 och 6 m3</x:v>
      </x:c>
      <x:c r="D190" s="767" t="str">
        <x:f>Taxepunkter!D224</x:f>
        <x:v>Tömning, transport och behandling av fettavskiljare/tank enligt anmält tömningsintervall</x:v>
      </x:c>
      <x:c r="E190" s="767" t="str">
        <x:f>Taxepunkter!E224</x:f>
        <x:v>kr/tillfälle</x:v>
      </x:c>
      <x:c r="F190" s="767" t="n">
        <x:f>Taxepunkter!F224</x:f>
        <x:v>0</x:v>
      </x:c>
      <x:c r="G190" s="767" t="str">
        <x:f>Taxepunkter!G224</x:f>
      </x:c>
      <x:c r="H190" s="767" t="e">
        <x:f>Taxepunkter!H224</x:f>
      </x:c>
      <x:c r="I190" s="767" t="e">
        <x:f>Taxepunkter!I224</x:f>
      </x:c>
      <x:c r="J190" s="767" t="e">
        <x:f>Taxepunkter!J224</x:f>
      </x:c>
      <x:c r="K190" s="767" t="n">
        <x:f>Taxepunkter!K224</x:f>
        <x:v>0</x:v>
      </x:c>
      <x:c r="L190" s="774" t="n">
        <x:f>Taxepunkter!L224</x:f>
        <x:v>0</x:v>
      </x:c>
    </x:row>
    <x:row r="191">
      <x:c r="A191" s="773" t="str">
        <x:f>Taxepunkter!A225</x:f>
        <x:v>§5.1</x:v>
      </x:c>
      <x:c r="B191" s="767" t="str">
        <x:f>Taxepunkter!B225</x:f>
        <x:v>Ordinarie tömning av fettavskiljare</x:v>
      </x:c>
      <x:c r="C191" s="767" t="str">
        <x:f>Taxepunkter!C225</x:f>
        <x:v>Över 6 m3</x:v>
      </x:c>
      <x:c r="D191" s="767" t="str">
        <x:f>Taxepunkter!D225</x:f>
        <x:v>Tömning, transport och behandling av fettavskiljare/tank enligt anmält tömningsintervall</x:v>
      </x:c>
      <x:c r="E191" s="767" t="str">
        <x:f>Taxepunkter!E225</x:f>
        <x:v>kr/tillfälle</x:v>
      </x:c>
      <x:c r="F191" s="767" t="n">
        <x:f>Taxepunkter!F225</x:f>
        <x:v>0</x:v>
      </x:c>
      <x:c r="G191" s="767" t="str">
        <x:f>Taxepunkter!G225</x:f>
      </x:c>
      <x:c r="H191" s="767" t="e">
        <x:f>Taxepunkter!H225</x:f>
      </x:c>
      <x:c r="I191" s="767" t="e">
        <x:f>Taxepunkter!I225</x:f>
      </x:c>
      <x:c r="J191" s="767" t="e">
        <x:f>Taxepunkter!J225</x:f>
      </x:c>
      <x:c r="K191" s="767" t="n">
        <x:f>Taxepunkter!K225</x:f>
        <x:v>0</x:v>
      </x:c>
      <x:c r="L191" s="774" t="n">
        <x:f>Taxepunkter!L225</x:f>
        <x:v>0</x:v>
      </x:c>
    </x:row>
    <x:row r="192">
      <x:c r="A192" s="773" t="str">
        <x:f>Taxepunkter!A227</x:f>
        <x:v>§5.1</x:v>
      </x:c>
      <x:c r="B192" s="767" t="str">
        <x:f>Taxepunkter!B227</x:f>
        <x:v>Ordinarie tömning av fettavskiljare</x:v>
      </x:c>
      <x:c r="C192" s="767" t="str">
        <x:f>Taxepunkter!C227</x:f>
        <x:v>Mellan 3 m3 och 6 m3</x:v>
      </x:c>
      <x:c r="D192" s="767" t="str">
        <x:f>Taxepunkter!D227</x:f>
        <x:v>Tillägg för transport och behandlingskostnad</x:v>
      </x:c>
      <x:c r="E192" s="767" t="str">
        <x:f>Taxepunkter!E227</x:f>
        <x:v>kr/tillfälle</x:v>
      </x:c>
      <x:c r="F192" s="767" t="n">
        <x:f>Taxepunkter!F227</x:f>
        <x:v>0</x:v>
      </x:c>
      <x:c r="G192" s="767" t="str">
        <x:f>Taxepunkter!G227</x:f>
      </x:c>
      <x:c r="H192" s="767" t="e">
        <x:f>Taxepunkter!H227</x:f>
      </x:c>
      <x:c r="I192" s="767" t="e">
        <x:f>Taxepunkter!I227</x:f>
      </x:c>
      <x:c r="J192" s="767" t="e">
        <x:f>Taxepunkter!J227</x:f>
      </x:c>
      <x:c r="K192" s="767" t="n">
        <x:f>Taxepunkter!K227</x:f>
        <x:v>0</x:v>
      </x:c>
      <x:c r="L192" s="774" t="n">
        <x:f>Taxepunkter!L227</x:f>
        <x:v>0</x:v>
      </x:c>
    </x:row>
    <x:row r="193">
      <x:c r="A193" s="773" t="str">
        <x:f>Taxepunkter!A228</x:f>
        <x:v>§5.1</x:v>
      </x:c>
      <x:c r="B193" s="767" t="str">
        <x:f>Taxepunkter!B228</x:f>
        <x:v>Ordinarie tömning av fettavskiljare</x:v>
      </x:c>
      <x:c r="C193" s="767" t="str">
        <x:f>Taxepunkter!C228</x:f>
        <x:v>Över 6 m3</x:v>
      </x:c>
      <x:c r="D193" s="767" t="str">
        <x:f>Taxepunkter!D228</x:f>
        <x:v>Tillägg för transport och behandlingskostnad</x:v>
      </x:c>
      <x:c r="E193" s="767" t="str">
        <x:f>Taxepunkter!E228</x:f>
        <x:v>kr/tillfälle</x:v>
      </x:c>
      <x:c r="F193" s="767" t="n">
        <x:f>Taxepunkter!F228</x:f>
        <x:v>0</x:v>
      </x:c>
      <x:c r="G193" s="767" t="str">
        <x:f>Taxepunkter!G228</x:f>
      </x:c>
      <x:c r="H193" s="767" t="e">
        <x:f>Taxepunkter!H228</x:f>
      </x:c>
      <x:c r="I193" s="767" t="e">
        <x:f>Taxepunkter!I228</x:f>
      </x:c>
      <x:c r="J193" s="767" t="e">
        <x:f>Taxepunkter!J228</x:f>
      </x:c>
      <x:c r="K193" s="767" t="n">
        <x:f>Taxepunkter!K228</x:f>
        <x:v>0</x:v>
      </x:c>
      <x:c r="L193" s="774" t="n">
        <x:f>Taxepunkter!L228</x:f>
        <x:v>0</x:v>
      </x:c>
    </x:row>
    <x:row r="194">
      <x:c r="A194" s="773" t="str">
        <x:f>Taxepunkter!A229</x:f>
        <x:v>§5.1</x:v>
      </x:c>
      <x:c r="B194" s="767" t="n">
        <x:f>Taxepunkter!B229</x:f>
        <x:v>0</x:v>
      </x:c>
      <x:c r="C194" s="767" t="n">
        <x:f>Taxepunkter!C229</x:f>
        <x:v>0</x:v>
      </x:c>
      <x:c r="D194" s="767" t="n">
        <x:f>Taxepunkter!D229</x:f>
        <x:v>0</x:v>
      </x:c>
      <x:c r="E194" s="767" t="n">
        <x:f>Taxepunkter!E229</x:f>
        <x:v>0</x:v>
      </x:c>
      <x:c r="F194" s="767" t="n">
        <x:f>Taxepunkter!F229</x:f>
        <x:v>0</x:v>
      </x:c>
      <x:c r="G194" s="767" t="str">
        <x:f>Taxepunkter!G229</x:f>
      </x:c>
      <x:c r="H194" s="767" t="e">
        <x:f>Taxepunkter!H229</x:f>
      </x:c>
      <x:c r="I194" s="767" t="e">
        <x:f>Taxepunkter!I229</x:f>
      </x:c>
      <x:c r="J194" s="767" t="e">
        <x:f>Taxepunkter!J229</x:f>
      </x:c>
      <x:c r="K194" s="767" t="n">
        <x:f>Taxepunkter!K229</x:f>
        <x:v>0</x:v>
      </x:c>
      <x:c r="L194" s="774" t="n">
        <x:f>Taxepunkter!L229</x:f>
        <x:v>0</x:v>
      </x:c>
    </x:row>
    <x:row r="195">
      <x:c r="A195" s="773" t="str">
        <x:f>Taxepunkter!A230</x:f>
        <x:v>§5.2 Tilläggstjänster fettavskiljare</x:v>
      </x:c>
      <x:c r="B195" s="767" t="n">
        <x:f>Taxepunkter!B230</x:f>
        <x:v>0</x:v>
      </x:c>
      <x:c r="C195" s="767" t="n">
        <x:f>Taxepunkter!C230</x:f>
        <x:v>0</x:v>
      </x:c>
      <x:c r="D195" s="767" t="n">
        <x:f>Taxepunkter!D230</x:f>
        <x:v>0</x:v>
      </x:c>
      <x:c r="E195" s="767" t="n">
        <x:f>Taxepunkter!E230</x:f>
        <x:v>0</x:v>
      </x:c>
      <x:c r="F195" s="767" t="n">
        <x:f>Taxepunkter!F230</x:f>
        <x:v>0</x:v>
      </x:c>
      <x:c r="G195" s="767" t="str">
        <x:f>Taxepunkter!G230</x:f>
      </x:c>
      <x:c r="H195" s="767" t="e">
        <x:f>Taxepunkter!H230</x:f>
      </x:c>
      <x:c r="I195" s="767" t="e">
        <x:f>Taxepunkter!I230</x:f>
      </x:c>
      <x:c r="J195" s="767" t="e">
        <x:f>Taxepunkter!J230</x:f>
      </x:c>
      <x:c r="K195" s="767" t="n">
        <x:f>Taxepunkter!K230</x:f>
        <x:v>0</x:v>
      </x:c>
      <x:c r="L195" s="774" t="n">
        <x:f>Taxepunkter!L230</x:f>
        <x:v>0</x:v>
      </x:c>
    </x:row>
    <x:row r="196">
      <x:c r="A196" s="773" t="str">
        <x:f>Taxepunkter!A231</x:f>
        <x:v>§5.2</x:v>
      </x:c>
      <x:c r="B196" s="767" t="str">
        <x:f>Taxepunkter!B231</x:f>
        <x:v>Tilläggstjänster fettavskiljare</x:v>
      </x:c>
      <x:c r="C196" s="767" t="str">
        <x:f>Taxepunkter!C231</x:f>
        <x:v>Dragning av extra slang vid 5-25 m</x:v>
      </x:c>
      <x:c r="D196" s="767" t="n">
        <x:f>Taxepunkter!D231</x:f>
        <x:v>0</x:v>
      </x:c>
      <x:c r="E196" s="767" t="str">
        <x:f>Taxepunkter!E231</x:f>
        <x:v>kr/tillfälle</x:v>
      </x:c>
      <x:c r="F196" s="767" t="n">
        <x:f>Taxepunkter!F231</x:f>
        <x:v>0</x:v>
      </x:c>
      <x:c r="G196" s="767" t="str">
        <x:f>Taxepunkter!G231</x:f>
      </x:c>
      <x:c r="H196" s="767" t="e">
        <x:f>Taxepunkter!H231</x:f>
      </x:c>
      <x:c r="I196" s="767" t="e">
        <x:f>Taxepunkter!I231</x:f>
      </x:c>
      <x:c r="J196" s="767" t="e">
        <x:f>Taxepunkter!J231</x:f>
      </x:c>
      <x:c r="K196" s="767" t="n">
        <x:f>Taxepunkter!K231</x:f>
        <x:v>0</x:v>
      </x:c>
      <x:c r="L196" s="774" t="n">
        <x:f>Taxepunkter!L231</x:f>
        <x:v>0</x:v>
      </x:c>
    </x:row>
    <x:row r="197">
      <x:c r="A197" s="773" t="str">
        <x:f>Taxepunkter!A232</x:f>
        <x:v>§5.2</x:v>
      </x:c>
      <x:c r="B197" s="767" t="str">
        <x:f>Taxepunkter!B232</x:f>
        <x:v>Tilläggstjänster fettavskiljare</x:v>
      </x:c>
      <x:c r="C197" s="767" t="str">
        <x:f>Taxepunkter!C232</x:f>
        <x:v>Dragning av extra slang vid 25-35 m</x:v>
      </x:c>
      <x:c r="D197" s="767" t="n">
        <x:f>Taxepunkter!D232</x:f>
        <x:v>0</x:v>
      </x:c>
      <x:c r="E197" s="767" t="str">
        <x:f>Taxepunkter!E232</x:f>
        <x:v>kr/tillfälle</x:v>
      </x:c>
      <x:c r="F197" s="767" t="n">
        <x:f>Taxepunkter!F232</x:f>
        <x:v>0</x:v>
      </x:c>
      <x:c r="G197" s="767" t="str">
        <x:f>Taxepunkter!G232</x:f>
      </x:c>
      <x:c r="H197" s="767" t="e">
        <x:f>Taxepunkter!H232</x:f>
      </x:c>
      <x:c r="I197" s="767" t="e">
        <x:f>Taxepunkter!I232</x:f>
      </x:c>
      <x:c r="J197" s="767" t="e">
        <x:f>Taxepunkter!J232</x:f>
      </x:c>
      <x:c r="K197" s="767" t="n">
        <x:f>Taxepunkter!K232</x:f>
        <x:v>0</x:v>
      </x:c>
      <x:c r="L197" s="774" t="n">
        <x:f>Taxepunkter!L232</x:f>
        <x:v>0</x:v>
      </x:c>
    </x:row>
    <x:row r="198">
      <x:c r="A198" s="773" t="str">
        <x:f>Taxepunkter!A233</x:f>
        <x:v>§5.2</x:v>
      </x:c>
      <x:c r="B198" s="767" t="str">
        <x:f>Taxepunkter!B233</x:f>
        <x:v>Tilläggstjänster fettavskiljare</x:v>
      </x:c>
      <x:c r="C198" s="767" t="str">
        <x:f>Taxepunkter!C233</x:f>
        <x:v>Dragning av extra slang vid 36-45 m</x:v>
      </x:c>
      <x:c r="D198" s="767" t="n">
        <x:f>Taxepunkter!D233</x:f>
        <x:v>0</x:v>
      </x:c>
      <x:c r="E198" s="767" t="str">
        <x:f>Taxepunkter!E233</x:f>
        <x:v>kr/tillfälle</x:v>
      </x:c>
      <x:c r="F198" s="767" t="n">
        <x:f>Taxepunkter!F233</x:f>
        <x:v>0</x:v>
      </x:c>
      <x:c r="G198" s="767" t="str">
        <x:f>Taxepunkter!G233</x:f>
      </x:c>
      <x:c r="H198" s="767" t="e">
        <x:f>Taxepunkter!H233</x:f>
      </x:c>
      <x:c r="I198" s="767" t="e">
        <x:f>Taxepunkter!I233</x:f>
      </x:c>
      <x:c r="J198" s="767" t="e">
        <x:f>Taxepunkter!J233</x:f>
      </x:c>
      <x:c r="K198" s="767" t="n">
        <x:f>Taxepunkter!K233</x:f>
        <x:v>0</x:v>
      </x:c>
      <x:c r="L198" s="774" t="n">
        <x:f>Taxepunkter!L233</x:f>
        <x:v>0</x:v>
      </x:c>
    </x:row>
    <x:row r="199">
      <x:c r="A199" s="773" t="str">
        <x:f>Taxepunkter!A235</x:f>
        <x:v>§5.2</x:v>
      </x:c>
      <x:c r="B199" s="767" t="str">
        <x:f>Taxepunkter!B235</x:f>
        <x:v>Tilläggstjänster fettavskiljare</x:v>
      </x:c>
      <x:c r="C199" s="767" t="str">
        <x:f>Taxepunkter!C235</x:f>
        <x:v>Hantering av brunnslock som väger 15-25 kg</x:v>
      </x:c>
      <x:c r="D199" s="767" t="n">
        <x:f>Taxepunkter!D235</x:f>
        <x:v>0</x:v>
      </x:c>
      <x:c r="E199" s="767" t="str">
        <x:f>Taxepunkter!E235</x:f>
        <x:v>kr/tillfälle</x:v>
      </x:c>
      <x:c r="F199" s="767" t="n">
        <x:f>Taxepunkter!F235</x:f>
        <x:v>0</x:v>
      </x:c>
      <x:c r="G199" s="767" t="str">
        <x:f>Taxepunkter!G235</x:f>
      </x:c>
      <x:c r="H199" s="767" t="e">
        <x:f>Taxepunkter!H235</x:f>
      </x:c>
      <x:c r="I199" s="767" t="e">
        <x:f>Taxepunkter!I235</x:f>
      </x:c>
      <x:c r="J199" s="767" t="e">
        <x:f>Taxepunkter!J235</x:f>
      </x:c>
      <x:c r="K199" s="767" t="n">
        <x:f>Taxepunkter!K235</x:f>
        <x:v>0</x:v>
      </x:c>
      <x:c r="L199" s="774" t="n">
        <x:f>Taxepunkter!L235</x:f>
        <x:v>0</x:v>
      </x:c>
    </x:row>
    <x:row r="200">
      <x:c r="A200" s="773" t="str">
        <x:f>Taxepunkter!A236</x:f>
        <x:v>§5.2</x:v>
      </x:c>
      <x:c r="B200" s="767" t="str">
        <x:f>Taxepunkter!B236</x:f>
        <x:v>Tilläggstjänster fettavskiljare</x:v>
      </x:c>
      <x:c r="C200" s="767" t="str">
        <x:f>Taxepunkter!C236</x:f>
        <x:v>Krav på information om tömningstid</x:v>
      </x:c>
      <x:c r="D200" s="767" t="n">
        <x:f>Taxepunkter!D236</x:f>
        <x:v>0</x:v>
      </x:c>
      <x:c r="E200" s="767" t="str">
        <x:f>Taxepunkter!E236</x:f>
        <x:v>kr/tillfälle</x:v>
      </x:c>
      <x:c r="F200" s="767" t="n">
        <x:f>Taxepunkter!F236</x:f>
        <x:v>0</x:v>
      </x:c>
      <x:c r="G200" s="767" t="str">
        <x:f>Taxepunkter!G236</x:f>
      </x:c>
      <x:c r="H200" s="767" t="e">
        <x:f>Taxepunkter!H236</x:f>
      </x:c>
      <x:c r="I200" s="767" t="e">
        <x:f>Taxepunkter!I236</x:f>
      </x:c>
      <x:c r="J200" s="767" t="e">
        <x:f>Taxepunkter!J236</x:f>
      </x:c>
      <x:c r="K200" s="767" t="n">
        <x:f>Taxepunkter!K236</x:f>
        <x:v>0</x:v>
      </x:c>
      <x:c r="L200" s="774" t="n">
        <x:f>Taxepunkter!L236</x:f>
        <x:v>0</x:v>
      </x:c>
    </x:row>
    <x:row r="201">
      <x:c r="A201" s="773" t="str">
        <x:f>Taxepunkter!A237</x:f>
        <x:v>§5.2</x:v>
      </x:c>
      <x:c r="B201" s="767" t="n">
        <x:f>Taxepunkter!B237</x:f>
        <x:v>0</x:v>
      </x:c>
      <x:c r="C201" s="767" t="n">
        <x:f>Taxepunkter!C237</x:f>
        <x:v>0</x:v>
      </x:c>
      <x:c r="D201" s="767" t="n">
        <x:f>Taxepunkter!D237</x:f>
        <x:v>0</x:v>
      </x:c>
      <x:c r="E201" s="767" t="n">
        <x:f>Taxepunkter!E237</x:f>
        <x:v>0</x:v>
      </x:c>
      <x:c r="F201" s="767" t="n">
        <x:f>Taxepunkter!F237</x:f>
        <x:v>0</x:v>
      </x:c>
      <x:c r="G201" s="767" t="str">
        <x:f>Taxepunkter!G237</x:f>
      </x:c>
      <x:c r="H201" s="767" t="e">
        <x:f>Taxepunkter!H237</x:f>
      </x:c>
      <x:c r="I201" s="767" t="e">
        <x:f>Taxepunkter!I237</x:f>
      </x:c>
      <x:c r="J201" s="767" t="e">
        <x:f>Taxepunkter!J237</x:f>
      </x:c>
      <x:c r="K201" s="767" t="n">
        <x:f>Taxepunkter!K237</x:f>
        <x:v>0</x:v>
      </x:c>
      <x:c r="L201" s="774" t="n">
        <x:f>Taxepunkter!L237</x:f>
        <x:v>0</x:v>
      </x:c>
    </x:row>
    <x:row r="202">
      <x:c r="A202" s="773" t="str">
        <x:f>Taxepunkter!A238</x:f>
        <x:v>§5.2</x:v>
      </x:c>
      <x:c r="B202" s="767" t="str">
        <x:f>Taxepunkter!B238</x:f>
        <x:v>Tilläggstjänster fettavskiljare</x:v>
      </x:c>
      <x:c r="C202" s="767" t="str">
        <x:f>Taxepunkter!C238</x:f>
        <x:v>Hantering av kod för kodlås vid tömning</x:v>
      </x:c>
      <x:c r="D202" s="767" t="n">
        <x:f>Taxepunkter!D238</x:f>
        <x:v>0</x:v>
      </x:c>
      <x:c r="E202" s="767" t="str">
        <x:f>Taxepunkter!E238</x:f>
        <x:v>kr/tillfälle</x:v>
      </x:c>
      <x:c r="F202" s="767" t="n">
        <x:f>Taxepunkter!F238</x:f>
        <x:v>0</x:v>
      </x:c>
      <x:c r="G202" s="767" t="str">
        <x:f>Taxepunkter!G238</x:f>
      </x:c>
      <x:c r="H202" s="767" t="e">
        <x:f>Taxepunkter!H238</x:f>
      </x:c>
      <x:c r="I202" s="767" t="e">
        <x:f>Taxepunkter!I238</x:f>
      </x:c>
      <x:c r="J202" s="767" t="e">
        <x:f>Taxepunkter!J238</x:f>
      </x:c>
      <x:c r="K202" s="767" t="n">
        <x:f>Taxepunkter!K238</x:f>
        <x:v>0</x:v>
      </x:c>
      <x:c r="L202" s="774" t="n">
        <x:f>Taxepunkter!L238</x:f>
        <x:v>0</x:v>
      </x:c>
    </x:row>
    <x:row r="203">
      <x:c r="A203" s="773" t="str">
        <x:f>Taxepunkter!A239</x:f>
        <x:v>§5.2</x:v>
      </x:c>
      <x:c r="B203" s="767" t="str">
        <x:f>Taxepunkter!B239</x:f>
        <x:v>Tilläggstjänster fettavskiljare</x:v>
      </x:c>
      <x:c r="C203" s="767" t="str">
        <x:f>Taxepunkter!C239</x:f>
        <x:v>Hetvattentvätt med spolbil, timersättning</x:v>
      </x:c>
      <x:c r="D203" s="767" t="n">
        <x:f>Taxepunkter!D239</x:f>
        <x:v>0</x:v>
      </x:c>
      <x:c r="E203" s="767" t="str">
        <x:f>Taxepunkter!E239</x:f>
        <x:v>kr/tillfälle</x:v>
      </x:c>
      <x:c r="F203" s="767" t="n">
        <x:f>Taxepunkter!F239</x:f>
        <x:v>0</x:v>
      </x:c>
      <x:c r="G203" s="767" t="str">
        <x:f>Taxepunkter!G239</x:f>
      </x:c>
      <x:c r="H203" s="767" t="e">
        <x:f>Taxepunkter!H239</x:f>
      </x:c>
      <x:c r="I203" s="767" t="e">
        <x:f>Taxepunkter!I239</x:f>
      </x:c>
      <x:c r="J203" s="767" t="e">
        <x:f>Taxepunkter!J239</x:f>
      </x:c>
      <x:c r="K203" s="767" t="n">
        <x:f>Taxepunkter!K239</x:f>
        <x:v>0</x:v>
      </x:c>
      <x:c r="L203" s="774" t="n">
        <x:f>Taxepunkter!L239</x:f>
        <x:v>0</x:v>
      </x:c>
    </x:row>
    <x:row r="204">
      <x:c r="A204" s="773" t="str">
        <x:f>Taxepunkter!A240</x:f>
        <x:v>§5.2</x:v>
      </x:c>
      <x:c r="B204" s="767" t="str">
        <x:f>Taxepunkter!B240</x:f>
        <x:v>Tilläggstjänster fettavskiljare</x:v>
      </x:c>
      <x:c r="C204" s="767" t="str">
        <x:f>Taxepunkter!C240</x:f>
        <x:v>Silikontätning per lock</x:v>
      </x:c>
      <x:c r="D204" s="767" t="n">
        <x:f>Taxepunkter!D240</x:f>
        <x:v>0</x:v>
      </x:c>
      <x:c r="E204" s="767" t="str">
        <x:f>Taxepunkter!E240</x:f>
        <x:v>kr/tillfälle</x:v>
      </x:c>
      <x:c r="F204" s="767" t="n">
        <x:f>Taxepunkter!F240</x:f>
        <x:v>0</x:v>
      </x:c>
      <x:c r="G204" s="767" t="str">
        <x:f>Taxepunkter!G240</x:f>
      </x:c>
      <x:c r="H204" s="767" t="e">
        <x:f>Taxepunkter!H240</x:f>
      </x:c>
      <x:c r="I204" s="767" t="e">
        <x:f>Taxepunkter!I240</x:f>
      </x:c>
      <x:c r="J204" s="767" t="e">
        <x:f>Taxepunkter!J240</x:f>
      </x:c>
      <x:c r="K204" s="767" t="n">
        <x:f>Taxepunkter!K240</x:f>
        <x:v>0</x:v>
      </x:c>
      <x:c r="L204" s="774" t="n">
        <x:f>Taxepunkter!L240</x:f>
        <x:v>0</x:v>
      </x:c>
    </x:row>
    <x:row r="205">
      <x:c r="A205" s="773" t="str">
        <x:f>Taxepunkter!A241</x:f>
        <x:v>§5.2</x:v>
      </x:c>
      <x:c r="B205" s="767" t="str">
        <x:f>Taxepunkter!B241</x:f>
        <x:v>Tilläggstjänster fettavskiljare</x:v>
      </x:c>
      <x:c r="C205" s="767" t="str">
        <x:f>Taxepunkter!C241</x:f>
        <x:v>Avgift om tömning ej kan utföras pga hinder, bristande transportväg, betonglock, lock tyngre än 25 kg eller vägran</x:v>
      </x:c>
      <x:c r="D205" s="767" t="n">
        <x:f>Taxepunkter!D241</x:f>
        <x:v>0</x:v>
      </x:c>
      <x:c r="E205" s="767" t="str">
        <x:f>Taxepunkter!E241</x:f>
        <x:v>kr/tillfälle</x:v>
      </x:c>
      <x:c r="F205" s="767" t="n">
        <x:f>Taxepunkter!F241</x:f>
        <x:v>0</x:v>
      </x:c>
      <x:c r="G205" s="767" t="str">
        <x:f>Taxepunkter!G241</x:f>
      </x:c>
      <x:c r="H205" s="767" t="e">
        <x:f>Taxepunkter!H241</x:f>
      </x:c>
      <x:c r="I205" s="767" t="e">
        <x:f>Taxepunkter!I241</x:f>
      </x:c>
      <x:c r="J205" s="767" t="e">
        <x:f>Taxepunkter!J241</x:f>
      </x:c>
      <x:c r="K205" s="767" t="n">
        <x:f>Taxepunkter!K241</x:f>
        <x:v>0</x:v>
      </x:c>
      <x:c r="L205" s="774" t="n">
        <x:f>Taxepunkter!L241</x:f>
        <x:v>0</x:v>
      </x:c>
    </x:row>
    <x:row r="206">
      <x:c r="A206" s="773" t="str">
        <x:f>Taxepunkter!A242</x:f>
        <x:v>§5.2</x:v>
      </x:c>
      <x:c r="B206" s="767" t="str">
        <x:f>Taxepunkter!B242</x:f>
        <x:v>Tilläggstjänster fettavskiljare</x:v>
      </x:c>
      <x:c r="C206" s="767" t="str">
        <x:f>Taxepunkter!C242</x:f>
        <x:v>Tömning av extra tank i samband med ordinarie/budad tömning upp till 5 m3</x:v>
      </x:c>
      <x:c r="D206" s="767" t="n">
        <x:f>Taxepunkter!D242</x:f>
        <x:v>0</x:v>
      </x:c>
      <x:c r="E206" s="767" t="str">
        <x:f>Taxepunkter!E242</x:f>
        <x:v>kr/tillfälle</x:v>
      </x:c>
      <x:c r="F206" s="767" t="n">
        <x:f>Taxepunkter!F242</x:f>
        <x:v>0</x:v>
      </x:c>
      <x:c r="G206" s="767" t="str">
        <x:f>Taxepunkter!G242</x:f>
      </x:c>
      <x:c r="H206" s="767" t="e">
        <x:f>Taxepunkter!H242</x:f>
      </x:c>
      <x:c r="I206" s="767" t="e">
        <x:f>Taxepunkter!I242</x:f>
      </x:c>
      <x:c r="J206" s="767" t="e">
        <x:f>Taxepunkter!J242</x:f>
      </x:c>
      <x:c r="K206" s="767" t="n">
        <x:f>Taxepunkter!K242</x:f>
        <x:v>0</x:v>
      </x:c>
      <x:c r="L206" s="774" t="n">
        <x:f>Taxepunkter!L242</x:f>
        <x:v>0</x:v>
      </x:c>
    </x:row>
    <x:row r="207">
      <x:c r="A207" s="773" t="str">
        <x:f>Taxepunkter!A243</x:f>
        <x:v>§5.2</x:v>
      </x:c>
      <x:c r="B207" s="767" t="n">
        <x:f>Taxepunkter!B243</x:f>
        <x:v>0</x:v>
      </x:c>
      <x:c r="C207" s="767" t="n">
        <x:f>Taxepunkter!C243</x:f>
        <x:v>0</x:v>
      </x:c>
      <x:c r="D207" s="767" t="n">
        <x:f>Taxepunkter!D243</x:f>
        <x:v>0</x:v>
      </x:c>
      <x:c r="E207" s="767" t="n">
        <x:f>Taxepunkter!E243</x:f>
        <x:v>0</x:v>
      </x:c>
      <x:c r="F207" s="767" t="n">
        <x:f>Taxepunkter!F243</x:f>
        <x:v>0</x:v>
      </x:c>
      <x:c r="G207" s="767" t="str">
        <x:f>Taxepunkter!G243</x:f>
      </x:c>
      <x:c r="H207" s="767" t="e">
        <x:f>Taxepunkter!H243</x:f>
      </x:c>
      <x:c r="I207" s="767" t="e">
        <x:f>Taxepunkter!I243</x:f>
      </x:c>
      <x:c r="J207" s="767" t="e">
        <x:f>Taxepunkter!J243</x:f>
      </x:c>
      <x:c r="K207" s="767" t="n">
        <x:f>Taxepunkter!K243</x:f>
        <x:v>0</x:v>
      </x:c>
      <x:c r="L207" s="774" t="n">
        <x:f>Taxepunkter!L243</x:f>
        <x:v>0</x:v>
      </x:c>
    </x:row>
    <x:row r="208">
      <x:c r="A208" s="773" t="str">
        <x:f>Taxepunkter!A244</x:f>
        <x:v>§5.3 Övriga avgifter och tillägg fettavskiljare</x:v>
      </x:c>
      <x:c r="B208" s="767" t="n">
        <x:f>Taxepunkter!B244</x:f>
        <x:v>0</x:v>
      </x:c>
      <x:c r="C208" s="767" t="n">
        <x:f>Taxepunkter!C244</x:f>
        <x:v>0</x:v>
      </x:c>
      <x:c r="D208" s="767" t="n">
        <x:f>Taxepunkter!D244</x:f>
        <x:v>0</x:v>
      </x:c>
      <x:c r="E208" s="767" t="n">
        <x:f>Taxepunkter!E244</x:f>
        <x:v>0</x:v>
      </x:c>
      <x:c r="F208" s="767" t="n">
        <x:f>Taxepunkter!F244</x:f>
        <x:v>0</x:v>
      </x:c>
      <x:c r="G208" s="767" t="str">
        <x:f>Taxepunkter!G244</x:f>
      </x:c>
      <x:c r="H208" s="767" t="e">
        <x:f>Taxepunkter!H244</x:f>
      </x:c>
      <x:c r="I208" s="767" t="e">
        <x:f>Taxepunkter!I244</x:f>
      </x:c>
      <x:c r="J208" s="767" t="e">
        <x:f>Taxepunkter!J244</x:f>
      </x:c>
      <x:c r="K208" s="767" t="n">
        <x:f>Taxepunkter!K244</x:f>
        <x:v>0</x:v>
      </x:c>
      <x:c r="L208" s="774" t="n">
        <x:f>Taxepunkter!L244</x:f>
        <x:v>0</x:v>
      </x:c>
    </x:row>
    <x:row r="209">
      <x:c r="A209" s="773" t="str">
        <x:f>Taxepunkter!A245</x:f>
        <x:v>§5.3</x:v>
      </x:c>
      <x:c r="B209" s="767" t="str">
        <x:f>Taxepunkter!B245</x:f>
        <x:v>Övriga avgifter och tillägg fettavskiljare</x:v>
      </x:c>
      <x:c r="C209" s="767" t="str">
        <x:f>Taxepunkter!C245</x:f>
        <x:v>Budning inom ordinarie tömningsperiod (1 maj- 31 oktober)</x:v>
      </x:c>
      <x:c r="D209" s="767" t="str">
        <x:f>Taxepunkter!D245</x:f>
        <x:v>Inom 48 timmar</x:v>
      </x:c>
      <x:c r="E209" s="767" t="str">
        <x:f>Taxepunkter!E245</x:f>
        <x:v>kr/tillfälle</x:v>
      </x:c>
      <x:c r="F209" s="767" t="n">
        <x:f>Taxepunkter!F245</x:f>
        <x:v>0</x:v>
      </x:c>
      <x:c r="G209" s="767" t="str">
        <x:f>Taxepunkter!G245</x:f>
      </x:c>
      <x:c r="H209" s="767" t="e">
        <x:f>Taxepunkter!H245</x:f>
      </x:c>
      <x:c r="I209" s="767" t="e">
        <x:f>Taxepunkter!I245</x:f>
      </x:c>
      <x:c r="J209" s="767" t="e">
        <x:f>Taxepunkter!J245</x:f>
      </x:c>
      <x:c r="K209" s="767" t="n">
        <x:f>Taxepunkter!K245</x:f>
        <x:v>0</x:v>
      </x:c>
      <x:c r="L209" s="774" t="n">
        <x:f>Taxepunkter!L245</x:f>
        <x:v>0</x:v>
      </x:c>
    </x:row>
    <x:row r="210">
      <x:c r="A210" s="773" t="str">
        <x:f>Taxepunkter!A246</x:f>
        <x:v>§5.3</x:v>
      </x:c>
      <x:c r="B210" s="767" t="str">
        <x:f>Taxepunkter!B246</x:f>
        <x:v>Övriga avgifter och tillägg fettavskiljare</x:v>
      </x:c>
      <x:c r="C210" s="767" t="str">
        <x:f>Taxepunkter!C246</x:f>
        <x:v>Budning utanför ordinarie tömningsperiod</x:v>
      </x:c>
      <x:c r="D210" s="767" t="str">
        <x:f>Taxepunkter!D246</x:f>
        <x:v>Inom 48 timmar</x:v>
      </x:c>
      <x:c r="E210" s="767" t="str">
        <x:f>Taxepunkter!E246</x:f>
        <x:v>kr/tillfälle</x:v>
      </x:c>
      <x:c r="F210" s="767" t="n">
        <x:f>Taxepunkter!F246</x:f>
        <x:v>0</x:v>
      </x:c>
      <x:c r="G210" s="767" t="str">
        <x:f>Taxepunkter!G246</x:f>
      </x:c>
      <x:c r="H210" s="767" t="e">
        <x:f>Taxepunkter!H246</x:f>
      </x:c>
      <x:c r="I210" s="767" t="e">
        <x:f>Taxepunkter!I246</x:f>
      </x:c>
      <x:c r="J210" s="767" t="e">
        <x:f>Taxepunkter!J246</x:f>
      </x:c>
      <x:c r="K210" s="767" t="n">
        <x:f>Taxepunkter!K246</x:f>
        <x:v>0</x:v>
      </x:c>
      <x:c r="L210" s="774" t="n">
        <x:f>Taxepunkter!L246</x:f>
        <x:v>0</x:v>
      </x:c>
    </x:row>
    <x:row r="211">
      <x:c r="A211" s="773" t="str">
        <x:f>Taxepunkter!A247</x:f>
        <x:v>§5.3</x:v>
      </x:c>
      <x:c r="B211" s="767" t="str">
        <x:f>Taxepunkter!B247</x:f>
        <x:v>Övriga avgifter och tillägg fettavskiljare</x:v>
      </x:c>
      <x:c r="C211" s="767" t="str">
        <x:f>Taxepunkter!C247</x:f>
        <x:v>Budning inom ordinarie tömningsperiod (1 maj- 31 oktober)</x:v>
      </x:c>
      <x:c r="D211" s="767" t="str">
        <x:f>Taxepunkter!D247</x:f>
        <x:v>Inom 8 arbetsdagar</x:v>
      </x:c>
      <x:c r="E211" s="767" t="str">
        <x:f>Taxepunkter!E247</x:f>
        <x:v>kr/tillfälle</x:v>
      </x:c>
      <x:c r="F211" s="767" t="n">
        <x:f>Taxepunkter!F247</x:f>
        <x:v>0</x:v>
      </x:c>
      <x:c r="G211" s="767" t="str">
        <x:f>Taxepunkter!G247</x:f>
      </x:c>
      <x:c r="H211" s="767" t="e">
        <x:f>Taxepunkter!H247</x:f>
      </x:c>
      <x:c r="I211" s="767" t="e">
        <x:f>Taxepunkter!I247</x:f>
      </x:c>
      <x:c r="J211" s="767" t="e">
        <x:f>Taxepunkter!J247</x:f>
      </x:c>
      <x:c r="K211" s="767" t="n">
        <x:f>Taxepunkter!K247</x:f>
        <x:v>0</x:v>
      </x:c>
      <x:c r="L211" s="774" t="n">
        <x:f>Taxepunkter!L247</x:f>
        <x:v>0</x:v>
      </x:c>
    </x:row>
    <x:row r="212">
      <x:c r="A212" s="773" t="str">
        <x:f>Taxepunkter!A248</x:f>
        <x:v>§5.3</x:v>
      </x:c>
      <x:c r="B212" s="767" t="str">
        <x:f>Taxepunkter!B248</x:f>
        <x:v>Övriga avgifter och tillägg fettavskiljare</x:v>
      </x:c>
      <x:c r="C212" s="767" t="str">
        <x:f>Taxepunkter!C248</x:f>
        <x:v>Budning utanför ordinarie tömningsperiod</x:v>
      </x:c>
      <x:c r="D212" s="767" t="str">
        <x:f>Taxepunkter!D248</x:f>
        <x:v>Inom 8 arbetsdagar</x:v>
      </x:c>
      <x:c r="E212" s="767" t="str">
        <x:f>Taxepunkter!E248</x:f>
        <x:v>kr/tillfälle</x:v>
      </x:c>
      <x:c r="F212" s="767" t="n">
        <x:f>Taxepunkter!F248</x:f>
        <x:v>0</x:v>
      </x:c>
      <x:c r="G212" s="767" t="str">
        <x:f>Taxepunkter!G248</x:f>
      </x:c>
      <x:c r="H212" s="767" t="e">
        <x:f>Taxepunkter!H248</x:f>
      </x:c>
      <x:c r="I212" s="767" t="e">
        <x:f>Taxepunkter!I248</x:f>
      </x:c>
      <x:c r="J212" s="767" t="e">
        <x:f>Taxepunkter!J248</x:f>
      </x:c>
      <x:c r="K212" s="767" t="n">
        <x:f>Taxepunkter!K248</x:f>
        <x:v>0</x:v>
      </x:c>
      <x:c r="L212" s="774" t="n">
        <x:f>Taxepunkter!L248</x:f>
        <x:v>0</x:v>
      </x:c>
    </x:row>
    <x:row r="213">
      <x:c r="A213" s="773" t="str">
        <x:f>Taxepunkter!A249</x:f>
        <x:v>§5.3</x:v>
      </x:c>
      <x:c r="B213" s="767" t="str">
        <x:f>Taxepunkter!B249</x:f>
        <x:v>Övriga avgifter och tillägg fettavskiljare</x:v>
      </x:c>
      <x:c r="C213" s="767" t="str">
        <x:f>Taxepunkter!C249</x:f>
        <x:v>Framkörningsavgift då ordinarie tömning inte skett på grund av hinder, abonnenten vägrar, bristfällig väg eller annat</x:v>
      </x:c>
      <x:c r="D213" s="767" t="n">
        <x:f>Taxepunkter!D249</x:f>
        <x:v>0</x:v>
      </x:c>
      <x:c r="E213" s="767" t="str">
        <x:f>Taxepunkter!E249</x:f>
        <x:v>kr/tillfälle</x:v>
      </x:c>
      <x:c r="F213" s="767" t="n">
        <x:f>Taxepunkter!F249</x:f>
        <x:v>0</x:v>
      </x:c>
      <x:c r="G213" s="767" t="str">
        <x:f>Taxepunkter!G249</x:f>
      </x:c>
      <x:c r="H213" s="767" t="e">
        <x:f>Taxepunkter!H249</x:f>
      </x:c>
      <x:c r="I213" s="767" t="e">
        <x:f>Taxepunkter!I249</x:f>
      </x:c>
      <x:c r="J213" s="767" t="e">
        <x:f>Taxepunkter!J249</x:f>
      </x:c>
      <x:c r="K213" s="767" t="n">
        <x:f>Taxepunkter!K249</x:f>
        <x:v>0</x:v>
      </x:c>
      <x:c r="L213" s="774" t="n">
        <x:f>Taxepunkter!L249</x:f>
        <x:v>0</x:v>
      </x:c>
    </x:row>
    <x:row r="214">
      <x:c r="A214" s="773" t="str">
        <x:f>Taxepunkter!A250</x:f>
        <x:v>§5.3</x:v>
      </x:c>
      <x:c r="B214" s="767" t="str">
        <x:f>Taxepunkter!B250</x:f>
        <x:v>Övriga avgifter och tillägg fettavskiljare</x:v>
      </x:c>
      <x:c r="C214" s="767" t="str">
        <x:f>Taxepunkter!C250</x:f>
        <x:v>Sen anmälan om förändringar av tömningsintervall. Om förändring, nyanmälan eller avbokning av tömning meddelas efter 1 april innevarande år.</x:v>
      </x:c>
      <x:c r="D214" s="767" t="n">
        <x:f>Taxepunkter!D250</x:f>
        <x:v>0</x:v>
      </x:c>
      <x:c r="E214" s="767" t="str">
        <x:f>Taxepunkter!E250</x:f>
        <x:v>kr/tillfälle</x:v>
      </x:c>
      <x:c r="F214" s="767" t="n">
        <x:f>Taxepunkter!F250</x:f>
        <x:v>0</x:v>
      </x:c>
      <x:c r="G214" s="767" t="str">
        <x:f>Taxepunkter!G250</x:f>
      </x:c>
      <x:c r="H214" s="767" t="e">
        <x:f>Taxepunkter!H250</x:f>
      </x:c>
      <x:c r="I214" s="767" t="e">
        <x:f>Taxepunkter!I250</x:f>
      </x:c>
      <x:c r="J214" s="767" t="e">
        <x:f>Taxepunkter!J250</x:f>
      </x:c>
      <x:c r="K214" s="767" t="n">
        <x:f>Taxepunkter!K250</x:f>
        <x:v>0</x:v>
      </x:c>
      <x:c r="L214" s="774" t="n">
        <x:f>Taxepunkter!L250</x:f>
        <x:v>0</x:v>
      </x:c>
    </x:row>
    <x:row r="215">
      <x:c r="A215" s="773" t="str">
        <x:f>Taxepunkter!A251</x:f>
        <x:v>§5.3</x:v>
      </x:c>
      <x:c r="B215" s="767" t="n">
        <x:f>Taxepunkter!B251</x:f>
        <x:v>0</x:v>
      </x:c>
      <x:c r="C215" s="767" t="n">
        <x:f>Taxepunkter!C251</x:f>
        <x:v>0</x:v>
      </x:c>
      <x:c r="D215" s="767" t="n">
        <x:f>Taxepunkter!D251</x:f>
        <x:v>0</x:v>
      </x:c>
      <x:c r="E215" s="767" t="n">
        <x:f>Taxepunkter!E251</x:f>
        <x:v>0</x:v>
      </x:c>
      <x:c r="F215" s="767" t="n">
        <x:f>Taxepunkter!F251</x:f>
        <x:v>0</x:v>
      </x:c>
      <x:c r="G215" s="767" t="str">
        <x:f>Taxepunkter!G251</x:f>
      </x:c>
      <x:c r="H215" s="767" t="e">
        <x:f>Taxepunkter!H251</x:f>
      </x:c>
      <x:c r="I215" s="767" t="e">
        <x:f>Taxepunkter!I251</x:f>
      </x:c>
      <x:c r="J215" s="767" t="e">
        <x:f>Taxepunkter!J251</x:f>
      </x:c>
      <x:c r="K215" s="767" t="n">
        <x:f>Taxepunkter!K251</x:f>
        <x:v>0</x:v>
      </x:c>
      <x:c r="L215" s="774" t="n">
        <x:f>Taxepunkter!L251</x:f>
        <x:v>0</x:v>
      </x:c>
    </x:row>
    <x:row r="216">
      <x:c r="A216" s="773" t="str">
        <x:f>Taxepunkter!A252</x:f>
        <x:v>§6.1.1 Inpassering på ÅVC</x:v>
      </x:c>
      <x:c r="B216" s="767" t="n">
        <x:f>Taxepunkter!B252</x:f>
        <x:v>0</x:v>
      </x:c>
      <x:c r="C216" s="767" t="n">
        <x:f>Taxepunkter!C252</x:f>
        <x:v>0</x:v>
      </x:c>
      <x:c r="D216" s="767" t="n">
        <x:f>Taxepunkter!D252</x:f>
        <x:v>0</x:v>
      </x:c>
      <x:c r="E216" s="767" t="n">
        <x:f>Taxepunkter!E252</x:f>
        <x:v>0</x:v>
      </x:c>
      <x:c r="F216" s="767" t="n">
        <x:f>Taxepunkter!F252</x:f>
        <x:v>0</x:v>
      </x:c>
      <x:c r="G216" s="767" t="str">
        <x:f>Taxepunkter!G252</x:f>
      </x:c>
      <x:c r="H216" s="767" t="e">
        <x:f>Taxepunkter!H252</x:f>
      </x:c>
      <x:c r="I216" s="767" t="e">
        <x:f>Taxepunkter!I252</x:f>
      </x:c>
      <x:c r="J216" s="767" t="e">
        <x:f>Taxepunkter!J252</x:f>
      </x:c>
      <x:c r="K216" s="767" t="n">
        <x:f>Taxepunkter!K252</x:f>
        <x:v>0</x:v>
      </x:c>
      <x:c r="L216" s="774" t="n">
        <x:f>Taxepunkter!L252</x:f>
        <x:v>0</x:v>
      </x:c>
    </x:row>
    <x:row r="217">
      <x:c r="A217" s="773" t="str">
        <x:f>Taxepunkter!A253</x:f>
        <x:v>§6.1.1</x:v>
      </x:c>
      <x:c r="B217" s="767" t="str">
        <x:f>Taxepunkter!B253</x:f>
        <x:v>Inpassering på ÅVC</x:v>
      </x:c>
      <x:c r="C217" s="767" t="str">
        <x:f>Taxepunkter!C253</x:f>
        <x:v>Verksamheter</x:v>
      </x:c>
      <x:c r="D217" s="767" t="n">
        <x:f>Taxepunkter!D253</x:f>
        <x:v>0</x:v>
      </x:c>
      <x:c r="E217" s="767" t="str">
        <x:f>Taxepunkter!E253</x:f>
        <x:v>kr/besök</x:v>
      </x:c>
      <x:c r="F217" s="767" t="n">
        <x:f>Taxepunkter!F253</x:f>
        <x:v>0</x:v>
      </x:c>
      <x:c r="G217" s="767" t="str">
        <x:f>Taxepunkter!G253</x:f>
      </x:c>
      <x:c r="H217" s="767" t="e">
        <x:f>Taxepunkter!H253</x:f>
      </x:c>
      <x:c r="I217" s="767" t="e">
        <x:f>Taxepunkter!I253</x:f>
      </x:c>
      <x:c r="J217" s="767" t="e">
        <x:f>Taxepunkter!J253</x:f>
      </x:c>
      <x:c r="K217" s="767" t="n">
        <x:f>Taxepunkter!K253</x:f>
        <x:v>0</x:v>
      </x:c>
      <x:c r="L217" s="774" t="n">
        <x:f>Taxepunkter!L253</x:f>
        <x:v>0</x:v>
      </x:c>
    </x:row>
    <x:row r="218">
      <x:c r="A218" s="773" t="str">
        <x:f>Taxepunkter!A254</x:f>
        <x:v>§6.1.1</x:v>
      </x:c>
      <x:c r="B218" s="767" t="str">
        <x:f>Taxepunkter!B254</x:f>
        <x:v>Inpassering på ÅVC</x:v>
      </x:c>
      <x:c r="C218" s="767" t="str">
        <x:f>Taxepunkter!C254</x:f>
        <x:v>Övriga abonnemangstyper</x:v>
      </x:c>
      <x:c r="D218" s="767" t="n">
        <x:f>Taxepunkter!D254</x:f>
        <x:v>0</x:v>
      </x:c>
      <x:c r="E218" s="767" t="str">
        <x:f>Taxepunkter!E254</x:f>
        <x:v>kr/besök</x:v>
      </x:c>
      <x:c r="F218" s="767" t="n">
        <x:f>Taxepunkter!F254</x:f>
        <x:v>0</x:v>
      </x:c>
      <x:c r="G218" s="767" t="str">
        <x:f>Taxepunkter!G254</x:f>
      </x:c>
      <x:c r="H218" s="767" t="e">
        <x:f>Taxepunkter!H254</x:f>
      </x:c>
      <x:c r="I218" s="767" t="e">
        <x:f>Taxepunkter!I254</x:f>
      </x:c>
      <x:c r="J218" s="767" t="e">
        <x:f>Taxepunkter!J254</x:f>
      </x:c>
      <x:c r="K218" s="767" t="n">
        <x:f>Taxepunkter!K254</x:f>
        <x:v>0</x:v>
      </x:c>
      <x:c r="L218" s="774" t="n">
        <x:f>Taxepunkter!L254</x:f>
        <x:v>0</x:v>
      </x:c>
    </x:row>
    <x:row r="219">
      <x:c r="A219" s="773" t="str">
        <x:f>Taxepunkter!A255</x:f>
        <x:v>§6.1.1</x:v>
      </x:c>
      <x:c r="B219" s="767" t="str">
        <x:f>Taxepunkter!B255</x:f>
        <x:v>Inpassering på ÅVC</x:v>
      </x:c>
      <x:c r="C219" s="767" t="str">
        <x:f>Taxepunkter!C255</x:f>
        <x:v>Vågkort</x:v>
      </x:c>
      <x:c r="D219" s="767" t="n">
        <x:f>Taxepunkter!D255</x:f>
        <x:v>0</x:v>
      </x:c>
      <x:c r="E219" s="767" t="str">
        <x:f>Taxepunkter!E255</x:f>
        <x:v>kr/besök</x:v>
      </x:c>
      <x:c r="F219" s="767" t="n">
        <x:f>Taxepunkter!F255</x:f>
        <x:v>0</x:v>
      </x:c>
      <x:c r="G219" s="767" t="str">
        <x:f>Taxepunkter!G255</x:f>
      </x:c>
      <x:c r="H219" s="767" t="e">
        <x:f>Taxepunkter!H255</x:f>
      </x:c>
      <x:c r="I219" s="767" t="e">
        <x:f>Taxepunkter!I255</x:f>
      </x:c>
      <x:c r="J219" s="767" t="e">
        <x:f>Taxepunkter!J255</x:f>
      </x:c>
      <x:c r="K219" s="767" t="n">
        <x:f>Taxepunkter!K255</x:f>
        <x:v>0</x:v>
      </x:c>
      <x:c r="L219" s="774" t="n">
        <x:f>Taxepunkter!L255</x:f>
        <x:v>0</x:v>
      </x:c>
    </x:row>
    <x:row r="220">
      <x:c r="A220" s="773" t="str">
        <x:f>Taxepunkter!A256</x:f>
        <x:v>§6.1.1</x:v>
      </x:c>
      <x:c r="B220" s="767" t="str">
        <x:f>Taxepunkter!B256</x:f>
        <x:v>Inpassering på ÅVC</x:v>
      </x:c>
      <x:c r="C220" s="767" t="str">
        <x:f>Taxepunkter!C256</x:f>
        <x:v>Borttappat vågkort</x:v>
      </x:c>
      <x:c r="D220" s="767" t="n">
        <x:f>Taxepunkter!D256</x:f>
        <x:v>0</x:v>
      </x:c>
      <x:c r="E220" s="767" t="str">
        <x:f>Taxepunkter!E256</x:f>
        <x:v>kr/besök</x:v>
      </x:c>
      <x:c r="F220" s="767" t="n">
        <x:f>Taxepunkter!F256</x:f>
        <x:v>0</x:v>
      </x:c>
      <x:c r="G220" s="767" t="str">
        <x:f>Taxepunkter!G256</x:f>
      </x:c>
      <x:c r="H220" s="767" t="e">
        <x:f>Taxepunkter!H256</x:f>
      </x:c>
      <x:c r="I220" s="767" t="e">
        <x:f>Taxepunkter!I256</x:f>
      </x:c>
      <x:c r="J220" s="767" t="e">
        <x:f>Taxepunkter!J256</x:f>
      </x:c>
      <x:c r="K220" s="767" t="n">
        <x:f>Taxepunkter!K256</x:f>
        <x:v>0</x:v>
      </x:c>
      <x:c r="L220" s="774" t="n">
        <x:f>Taxepunkter!L256</x:f>
        <x:v>0</x:v>
      </x:c>
    </x:row>
    <x:row r="221">
      <x:c r="A221" s="773" t="str">
        <x:f>Taxepunkter!A257</x:f>
        <x:v>§6.1.1</x:v>
      </x:c>
      <x:c r="B221" s="767" t="n">
        <x:f>Taxepunkter!B257</x:f>
        <x:v>0</x:v>
      </x:c>
      <x:c r="C221" s="767" t="n">
        <x:f>Taxepunkter!C257</x:f>
        <x:v>0</x:v>
      </x:c>
      <x:c r="D221" s="767" t="n">
        <x:f>Taxepunkter!D257</x:f>
        <x:v>0</x:v>
      </x:c>
      <x:c r="E221" s="767" t="n">
        <x:f>Taxepunkter!E257</x:f>
        <x:v>0</x:v>
      </x:c>
      <x:c r="F221" s="767" t="n">
        <x:f>Taxepunkter!F257</x:f>
        <x:v>0</x:v>
      </x:c>
      <x:c r="G221" s="767" t="str">
        <x:f>Taxepunkter!G257</x:f>
      </x:c>
      <x:c r="H221" s="767" t="e">
        <x:f>Taxepunkter!H257</x:f>
      </x:c>
      <x:c r="I221" s="767" t="e">
        <x:f>Taxepunkter!I257</x:f>
      </x:c>
      <x:c r="J221" s="767" t="e">
        <x:f>Taxepunkter!J257</x:f>
      </x:c>
      <x:c r="K221" s="767" t="n">
        <x:f>Taxepunkter!K257</x:f>
        <x:v>0</x:v>
      </x:c>
      <x:c r="L221" s="774" t="n">
        <x:f>Taxepunkter!L257</x:f>
        <x:v>0</x:v>
      </x:c>
    </x:row>
    <x:row r="222">
      <x:c r="A222" s="773" t="str">
        <x:f>Taxepunkter!A258</x:f>
        <x:v>§6.1.2 Hanteringsavgifter för avfall inlämnat på återvinningscentral</x:v>
      </x:c>
      <x:c r="B222" s="767" t="n">
        <x:f>Taxepunkter!B258</x:f>
        <x:v>0</x:v>
      </x:c>
      <x:c r="C222" s="767" t="n">
        <x:f>Taxepunkter!C258</x:f>
        <x:v>0</x:v>
      </x:c>
      <x:c r="D222" s="767" t="n">
        <x:f>Taxepunkter!D258</x:f>
        <x:v>0</x:v>
      </x:c>
      <x:c r="E222" s="767" t="n">
        <x:f>Taxepunkter!E258</x:f>
        <x:v>0</x:v>
      </x:c>
      <x:c r="F222" s="767" t="n">
        <x:f>Taxepunkter!F258</x:f>
        <x:v>0</x:v>
      </x:c>
      <x:c r="G222" s="767" t="str">
        <x:f>Taxepunkter!G258</x:f>
      </x:c>
      <x:c r="H222" s="767" t="e">
        <x:f>Taxepunkter!H258</x:f>
      </x:c>
      <x:c r="I222" s="767" t="e">
        <x:f>Taxepunkter!I258</x:f>
      </x:c>
      <x:c r="J222" s="767" t="e">
        <x:f>Taxepunkter!J258</x:f>
      </x:c>
      <x:c r="K222" s="767" t="n">
        <x:f>Taxepunkter!K258</x:f>
        <x:v>0</x:v>
      </x:c>
      <x:c r="L222" s="774" t="n">
        <x:f>Taxepunkter!L258</x:f>
        <x:v>0</x:v>
      </x:c>
    </x:row>
    <x:row r="223">
      <x:c r="A223" s="773" t="str">
        <x:f>Taxepunkter!A259</x:f>
        <x:v>§6.1.2</x:v>
      </x:c>
      <x:c r="B223" s="767" t="str">
        <x:f>Taxepunkter!B259</x:f>
        <x:v>Hanteringsavgifter för avfall inlämnat på återvinningscentral</x:v>
      </x:c>
      <x:c r="C223" s="767" t="str">
        <x:f>Taxepunkter!C259</x:f>
        <x:v>Avfall till energiåtervinning (&lt;20x20x80cm)</x:v>
      </x:c>
      <x:c r="D223" s="767" t="n">
        <x:f>Taxepunkter!D259</x:f>
        <x:v>0</x:v>
      </x:c>
      <x:c r="E223" s="767" t="str">
        <x:f>Taxepunkter!E259</x:f>
        <x:v>kr/ton</x:v>
      </x:c>
      <x:c r="F223" s="767" t="n">
        <x:f>Taxepunkter!F259</x:f>
        <x:v>0</x:v>
      </x:c>
      <x:c r="G223" s="767" t="str">
        <x:f>Taxepunkter!G259</x:f>
      </x:c>
      <x:c r="H223" s="767" t="e">
        <x:f>Taxepunkter!H259</x:f>
      </x:c>
      <x:c r="I223" s="767" t="e">
        <x:f>Taxepunkter!I259</x:f>
      </x:c>
      <x:c r="J223" s="767" t="e">
        <x:f>Taxepunkter!J259</x:f>
      </x:c>
      <x:c r="K223" s="767" t="n">
        <x:f>Taxepunkter!K259</x:f>
        <x:v>0</x:v>
      </x:c>
      <x:c r="L223" s="774" t="n">
        <x:f>Taxepunkter!L259</x:f>
        <x:v>0</x:v>
      </x:c>
    </x:row>
    <x:row r="224">
      <x:c r="A224" s="773" t="str">
        <x:f>Taxepunkter!A260</x:f>
        <x:v>§6.1.2</x:v>
      </x:c>
      <x:c r="B224" s="767" t="str">
        <x:f>Taxepunkter!B260</x:f>
        <x:v>Hanteringsavgifter för avfall inlämnat på återvinningscentral</x:v>
      </x:c>
      <x:c r="C224" s="767" t="str">
        <x:f>Taxepunkter!C260</x:f>
        <x:v>Skrymmande avfall till energiåtervinning (&gt;20x20x80cm)</x:v>
      </x:c>
      <x:c r="D224" s="767" t="n">
        <x:f>Taxepunkter!D260</x:f>
        <x:v>0</x:v>
      </x:c>
      <x:c r="E224" s="767" t="str">
        <x:f>Taxepunkter!E260</x:f>
        <x:v>kr/ton</x:v>
      </x:c>
      <x:c r="F224" s="767" t="n">
        <x:f>Taxepunkter!F260</x:f>
        <x:v>0</x:v>
      </x:c>
      <x:c r="G224" s="767" t="str">
        <x:f>Taxepunkter!G260</x:f>
      </x:c>
      <x:c r="H224" s="767" t="e">
        <x:f>Taxepunkter!H260</x:f>
      </x:c>
      <x:c r="I224" s="767" t="e">
        <x:f>Taxepunkter!I260</x:f>
      </x:c>
      <x:c r="J224" s="767" t="e">
        <x:f>Taxepunkter!J260</x:f>
      </x:c>
      <x:c r="K224" s="767" t="n">
        <x:f>Taxepunkter!K260</x:f>
        <x:v>0</x:v>
      </x:c>
      <x:c r="L224" s="774" t="n">
        <x:f>Taxepunkter!L260</x:f>
        <x:v>0</x:v>
      </x:c>
    </x:row>
    <x:row r="225">
      <x:c r="A225" s="773" t="str">
        <x:f>Taxepunkter!A261</x:f>
        <x:v>§6.1.2</x:v>
      </x:c>
      <x:c r="B225" s="767" t="str">
        <x:f>Taxepunkter!B261</x:f>
        <x:v>Hanteringsavgifter för avfall inlämnat på återvinningscentral</x:v>
      </x:c>
      <x:c r="C225" s="767" t="str">
        <x:f>Taxepunkter!C261</x:f>
        <x:v>Material till sortering (ej innehålla farligt avfall och elavfall)</x:v>
      </x:c>
      <x:c r="D225" s="767" t="n">
        <x:f>Taxepunkter!D261</x:f>
        <x:v>0</x:v>
      </x:c>
      <x:c r="E225" s="767" t="str">
        <x:f>Taxepunkter!E261</x:f>
        <x:v>kr/ton</x:v>
      </x:c>
      <x:c r="F225" s="767" t="n">
        <x:f>Taxepunkter!F261</x:f>
        <x:v>0</x:v>
      </x:c>
      <x:c r="G225" s="767" t="str">
        <x:f>Taxepunkter!G261</x:f>
      </x:c>
      <x:c r="H225" s="767" t="e">
        <x:f>Taxepunkter!H261</x:f>
      </x:c>
      <x:c r="I225" s="767" t="e">
        <x:f>Taxepunkter!I261</x:f>
      </x:c>
      <x:c r="J225" s="767" t="e">
        <x:f>Taxepunkter!J261</x:f>
      </x:c>
      <x:c r="K225" s="767" t="n">
        <x:f>Taxepunkter!K261</x:f>
        <x:v>0</x:v>
      </x:c>
      <x:c r="L225" s="774" t="n">
        <x:f>Taxepunkter!L261</x:f>
        <x:v>0</x:v>
      </x:c>
    </x:row>
    <x:row r="226">
      <x:c r="A226" s="773" t="str">
        <x:f>Taxepunkter!A262</x:f>
        <x:v>§6.1.2</x:v>
      </x:c>
      <x:c r="B226" s="767" t="str">
        <x:f>Taxepunkter!B262</x:f>
        <x:v>Hanteringsavgifter för avfall inlämnat på återvinningscentral</x:v>
      </x:c>
      <x:c r="C226" s="767" t="str">
        <x:f>Taxepunkter!C262</x:f>
        <x:v>Träavfall – obehandlat, utan tapet, plastmatta, tjärpapp</x:v>
      </x:c>
      <x:c r="D226" s="767" t="n">
        <x:f>Taxepunkter!D262</x:f>
        <x:v>0</x:v>
      </x:c>
      <x:c r="E226" s="767" t="str">
        <x:f>Taxepunkter!E262</x:f>
        <x:v>kr/ton</x:v>
      </x:c>
      <x:c r="F226" s="767" t="n">
        <x:f>Taxepunkter!F262</x:f>
        <x:v>0</x:v>
      </x:c>
      <x:c r="G226" s="767" t="str">
        <x:f>Taxepunkter!G262</x:f>
      </x:c>
      <x:c r="H226" s="767" t="e">
        <x:f>Taxepunkter!H262</x:f>
      </x:c>
      <x:c r="I226" s="767" t="e">
        <x:f>Taxepunkter!I262</x:f>
      </x:c>
      <x:c r="J226" s="767" t="e">
        <x:f>Taxepunkter!J262</x:f>
      </x:c>
      <x:c r="K226" s="767" t="n">
        <x:f>Taxepunkter!K262</x:f>
        <x:v>0</x:v>
      </x:c>
      <x:c r="L226" s="774" t="n">
        <x:f>Taxepunkter!L262</x:f>
        <x:v>0</x:v>
      </x:c>
    </x:row>
    <x:row r="227">
      <x:c r="A227" s="773" t="str">
        <x:f>Taxepunkter!A263</x:f>
        <x:v>§6.1.2</x:v>
      </x:c>
      <x:c r="B227" s="767" t="str">
        <x:f>Taxepunkter!B263</x:f>
        <x:v>Hanteringsavgifter för avfall inlämnat på återvinningscentral</x:v>
      </x:c>
      <x:c r="C227" s="767" t="str">
        <x:f>Taxepunkter!C263</x:f>
        <x:v>Träavfall – behandlat, utan tapet, plastmatta, tjärpapp</x:v>
      </x:c>
      <x:c r="D227" s="767" t="n">
        <x:f>Taxepunkter!D263</x:f>
        <x:v>0</x:v>
      </x:c>
      <x:c r="E227" s="767" t="str">
        <x:f>Taxepunkter!E263</x:f>
        <x:v>kr/ton</x:v>
      </x:c>
      <x:c r="F227" s="767" t="n">
        <x:f>Taxepunkter!F263</x:f>
        <x:v>0</x:v>
      </x:c>
      <x:c r="G227" s="767" t="str">
        <x:f>Taxepunkter!G263</x:f>
      </x:c>
      <x:c r="H227" s="767" t="e">
        <x:f>Taxepunkter!H263</x:f>
      </x:c>
      <x:c r="I227" s="767" t="e">
        <x:f>Taxepunkter!I263</x:f>
      </x:c>
      <x:c r="J227" s="767" t="e">
        <x:f>Taxepunkter!J263</x:f>
      </x:c>
      <x:c r="K227" s="767" t="n">
        <x:f>Taxepunkter!K263</x:f>
        <x:v>0</x:v>
      </x:c>
      <x:c r="L227" s="774" t="n">
        <x:f>Taxepunkter!L263</x:f>
        <x:v>0</x:v>
      </x:c>
    </x:row>
    <x:row r="228">
      <x:c r="A228" s="773" t="str">
        <x:f>Taxepunkter!A264</x:f>
        <x:v>§6.1.2</x:v>
      </x:c>
      <x:c r="B228" s="767" t="str">
        <x:f>Taxepunkter!B264</x:f>
        <x:v>Hanteringsavgifter för avfall inlämnat på återvinningscentral</x:v>
      </x:c>
      <x:c r="C228" s="767" t="str">
        <x:f>Taxepunkter!C264</x:f>
        <x:v>Tryckimpregnerat trä (inkl pall)</x:v>
      </x:c>
      <x:c r="D228" s="767" t="n">
        <x:f>Taxepunkter!D264</x:f>
        <x:v>0</x:v>
      </x:c>
      <x:c r="E228" s="767" t="str">
        <x:f>Taxepunkter!E264</x:f>
        <x:v>kr/ton</x:v>
      </x:c>
      <x:c r="F228" s="767" t="n">
        <x:f>Taxepunkter!F264</x:f>
        <x:v>0</x:v>
      </x:c>
      <x:c r="G228" s="767" t="str">
        <x:f>Taxepunkter!G264</x:f>
      </x:c>
      <x:c r="H228" s="767" t="e">
        <x:f>Taxepunkter!H264</x:f>
      </x:c>
      <x:c r="I228" s="767" t="e">
        <x:f>Taxepunkter!I264</x:f>
      </x:c>
      <x:c r="J228" s="767" t="e">
        <x:f>Taxepunkter!J264</x:f>
      </x:c>
      <x:c r="K228" s="767" t="n">
        <x:f>Taxepunkter!K264</x:f>
        <x:v>0</x:v>
      </x:c>
      <x:c r="L228" s="774" t="n">
        <x:f>Taxepunkter!L264</x:f>
        <x:v>0</x:v>
      </x:c>
    </x:row>
    <x:row r="229">
      <x:c r="A229" s="773" t="str">
        <x:f>Taxepunkter!A265</x:f>
        <x:v>§6.1.2</x:v>
      </x:c>
      <x:c r="B229" s="767" t="str">
        <x:f>Taxepunkter!B265</x:f>
        <x:v>Hanteringsavgifter för avfall inlämnat på återvinningscentral</x:v>
      </x:c>
      <x:c r="C229" s="767" t="str">
        <x:f>Taxepunkter!C265</x:f>
        <x:v>Klinker, porslin</x:v>
      </x:c>
      <x:c r="D229" s="767" t="n">
        <x:f>Taxepunkter!D265</x:f>
        <x:v>0</x:v>
      </x:c>
      <x:c r="E229" s="767" t="str">
        <x:f>Taxepunkter!E265</x:f>
        <x:v>kr/ton</x:v>
      </x:c>
      <x:c r="F229" s="767" t="n">
        <x:f>Taxepunkter!F265</x:f>
        <x:v>0</x:v>
      </x:c>
      <x:c r="G229" s="767" t="str">
        <x:f>Taxepunkter!G265</x:f>
      </x:c>
      <x:c r="H229" s="767" t="e">
        <x:f>Taxepunkter!H265</x:f>
      </x:c>
      <x:c r="I229" s="767" t="e">
        <x:f>Taxepunkter!I265</x:f>
      </x:c>
      <x:c r="J229" s="767" t="e">
        <x:f>Taxepunkter!J265</x:f>
      </x:c>
      <x:c r="K229" s="767" t="n">
        <x:f>Taxepunkter!K265</x:f>
        <x:v>0</x:v>
      </x:c>
      <x:c r="L229" s="774" t="n">
        <x:f>Taxepunkter!L265</x:f>
        <x:v>0</x:v>
      </x:c>
    </x:row>
    <x:row r="230">
      <x:c r="A230" s="773" t="str">
        <x:f>Taxepunkter!A266</x:f>
        <x:v>§6.1.2</x:v>
      </x:c>
      <x:c r="B230" s="767" t="str">
        <x:f>Taxepunkter!B266</x:f>
        <x:v>Hanteringsavgifter för avfall inlämnat på återvinningscentral</x:v>
      </x:c>
      <x:c r="C230" s="767" t="str">
        <x:f>Taxepunkter!C266</x:f>
        <x:v>Gips</x:v>
      </x:c>
      <x:c r="D230" s="767" t="n">
        <x:f>Taxepunkter!D266</x:f>
        <x:v>0</x:v>
      </x:c>
      <x:c r="E230" s="767" t="str">
        <x:f>Taxepunkter!E266</x:f>
        <x:v>kr/ton</x:v>
      </x:c>
      <x:c r="F230" s="767" t="n">
        <x:f>Taxepunkter!F266</x:f>
        <x:v>0</x:v>
      </x:c>
      <x:c r="G230" s="767" t="str">
        <x:f>Taxepunkter!G266</x:f>
      </x:c>
      <x:c r="H230" s="767" t="e">
        <x:f>Taxepunkter!H266</x:f>
      </x:c>
      <x:c r="I230" s="767" t="e">
        <x:f>Taxepunkter!I266</x:f>
      </x:c>
      <x:c r="J230" s="767" t="e">
        <x:f>Taxepunkter!J266</x:f>
      </x:c>
      <x:c r="K230" s="767" t="n">
        <x:f>Taxepunkter!K266</x:f>
        <x:v>0</x:v>
      </x:c>
      <x:c r="L230" s="774" t="n">
        <x:f>Taxepunkter!L266</x:f>
        <x:v>0</x:v>
      </x:c>
    </x:row>
    <x:row r="231">
      <x:c r="A231" s="773" t="str">
        <x:f>Taxepunkter!A267</x:f>
        <x:v>§6.1.2</x:v>
      </x:c>
      <x:c r="B231" s="767" t="str">
        <x:f>Taxepunkter!B267</x:f>
        <x:v>Hanteringsavgifter för avfall inlämnat på återvinningscentral</x:v>
      </x:c>
      <x:c r="C231" s="767" t="str">
        <x:f>Taxepunkter!C267</x:f>
        <x:v>Tegel</x:v>
      </x:c>
      <x:c r="D231" s="767" t="n">
        <x:f>Taxepunkter!D267</x:f>
        <x:v>0</x:v>
      </x:c>
      <x:c r="E231" s="767" t="str">
        <x:f>Taxepunkter!E267</x:f>
        <x:v>kr/ton</x:v>
      </x:c>
      <x:c r="F231" s="767" t="n">
        <x:f>Taxepunkter!F267</x:f>
        <x:v>0</x:v>
      </x:c>
      <x:c r="G231" s="767" t="str">
        <x:f>Taxepunkter!G267</x:f>
      </x:c>
      <x:c r="H231" s="767" t="e">
        <x:f>Taxepunkter!H267</x:f>
      </x:c>
      <x:c r="I231" s="767" t="e">
        <x:f>Taxepunkter!I267</x:f>
      </x:c>
      <x:c r="J231" s="767" t="e">
        <x:f>Taxepunkter!J267</x:f>
      </x:c>
      <x:c r="K231" s="767" t="n">
        <x:f>Taxepunkter!K267</x:f>
        <x:v>0</x:v>
      </x:c>
      <x:c r="L231" s="774" t="n">
        <x:f>Taxepunkter!L267</x:f>
        <x:v>0</x:v>
      </x:c>
    </x:row>
    <x:row r="232">
      <x:c r="A232" s="773" t="str">
        <x:f>Taxepunkter!A268</x:f>
        <x:v>§6.1.2</x:v>
      </x:c>
      <x:c r="B232" s="767" t="str">
        <x:f>Taxepunkter!B268</x:f>
        <x:v>Hanteringsavgifter för avfall inlämnat på återvinningscentral</x:v>
      </x:c>
      <x:c r="C232" s="767" t="str">
        <x:f>Taxepunkter!C268</x:f>
        <x:v>Planglas (fönster utan karm)</x:v>
      </x:c>
      <x:c r="D232" s="767" t="n">
        <x:f>Taxepunkter!D268</x:f>
        <x:v>0</x:v>
      </x:c>
      <x:c r="E232" s="767" t="str">
        <x:f>Taxepunkter!E268</x:f>
        <x:v>kr/ton</x:v>
      </x:c>
      <x:c r="F232" s="767" t="n">
        <x:f>Taxepunkter!F268</x:f>
        <x:v>0</x:v>
      </x:c>
      <x:c r="G232" s="767" t="str">
        <x:f>Taxepunkter!G268</x:f>
      </x:c>
      <x:c r="H232" s="767" t="e">
        <x:f>Taxepunkter!H268</x:f>
      </x:c>
      <x:c r="I232" s="767" t="e">
        <x:f>Taxepunkter!I268</x:f>
      </x:c>
      <x:c r="J232" s="767" t="e">
        <x:f>Taxepunkter!J268</x:f>
      </x:c>
      <x:c r="K232" s="767" t="n">
        <x:f>Taxepunkter!K268</x:f>
        <x:v>0</x:v>
      </x:c>
      <x:c r="L232" s="774" t="n">
        <x:f>Taxepunkter!L268</x:f>
        <x:v>0</x:v>
      </x:c>
    </x:row>
    <x:row r="233">
      <x:c r="A233" s="773" t="str">
        <x:f>Taxepunkter!A269</x:f>
        <x:v>§6.1.2</x:v>
      </x:c>
      <x:c r="B233" s="767" t="str">
        <x:f>Taxepunkter!B269</x:f>
        <x:v>Hanteringsavgifter för avfall inlämnat på återvinningscentral</x:v>
      </x:c>
      <x:c r="C233" s="767" t="str">
        <x:f>Taxepunkter!C269</x:f>
        <x:v>Fönster med karm</x:v>
      </x:c>
      <x:c r="D233" s="767" t="n">
        <x:f>Taxepunkter!D269</x:f>
        <x:v>0</x:v>
      </x:c>
      <x:c r="E233" s="767" t="str">
        <x:f>Taxepunkter!E269</x:f>
        <x:v>kr/ton</x:v>
      </x:c>
      <x:c r="F233" s="767" t="n">
        <x:f>Taxepunkter!F269</x:f>
        <x:v>0</x:v>
      </x:c>
      <x:c r="G233" s="767" t="str">
        <x:f>Taxepunkter!G269</x:f>
      </x:c>
      <x:c r="H233" s="767" t="e">
        <x:f>Taxepunkter!H269</x:f>
      </x:c>
      <x:c r="I233" s="767" t="e">
        <x:f>Taxepunkter!I269</x:f>
      </x:c>
      <x:c r="J233" s="767" t="e">
        <x:f>Taxepunkter!J269</x:f>
      </x:c>
      <x:c r="K233" s="767" t="n">
        <x:f>Taxepunkter!K269</x:f>
        <x:v>0</x:v>
      </x:c>
      <x:c r="L233" s="774" t="n">
        <x:f>Taxepunkter!L269</x:f>
        <x:v>0</x:v>
      </x:c>
    </x:row>
    <x:row r="234">
      <x:c r="A234" s="773" t="str">
        <x:f>Taxepunkter!A270</x:f>
        <x:v>§6.1.2</x:v>
      </x:c>
      <x:c r="B234" s="767" t="str">
        <x:f>Taxepunkter!B270</x:f>
        <x:v>Hanteringsavgifter för avfall inlämnat på återvinningscentral</x:v>
      </x:c>
      <x:c r="C234" s="767" t="str">
        <x:f>Taxepunkter!C270</x:f>
        <x:v>Isolering utan innehåll av asbest</x:v>
      </x:c>
      <x:c r="D234" s="767" t="n">
        <x:f>Taxepunkter!D270</x:f>
        <x:v>0</x:v>
      </x:c>
      <x:c r="E234" s="767" t="str">
        <x:f>Taxepunkter!E270</x:f>
        <x:v>kr/ton</x:v>
      </x:c>
      <x:c r="F234" s="767" t="n">
        <x:f>Taxepunkter!F270</x:f>
        <x:v>0</x:v>
      </x:c>
      <x:c r="G234" s="767" t="str">
        <x:f>Taxepunkter!G270</x:f>
      </x:c>
      <x:c r="H234" s="767" t="e">
        <x:f>Taxepunkter!H270</x:f>
      </x:c>
      <x:c r="I234" s="767" t="e">
        <x:f>Taxepunkter!I270</x:f>
      </x:c>
      <x:c r="J234" s="767" t="e">
        <x:f>Taxepunkter!J270</x:f>
      </x:c>
      <x:c r="K234" s="767" t="n">
        <x:f>Taxepunkter!K270</x:f>
        <x:v>0</x:v>
      </x:c>
      <x:c r="L234" s="774" t="n">
        <x:f>Taxepunkter!L270</x:f>
        <x:v>0</x:v>
      </x:c>
    </x:row>
    <x:row r="235">
      <x:c r="A235" s="773" t="str">
        <x:f>Taxepunkter!A271</x:f>
        <x:v>§6.1.2</x:v>
      </x:c>
      <x:c r="B235" s="767" t="str">
        <x:f>Taxepunkter!B271</x:f>
        <x:v>Hanteringsavgifter för avfall inlämnat på återvinningscentral</x:v>
      </x:c>
      <x:c r="C235" s="767" t="str">
        <x:f>Taxepunkter!C271</x:f>
        <x:v>Metallskrot rent</x:v>
      </x:c>
      <x:c r="D235" s="767" t="n">
        <x:f>Taxepunkter!D271</x:f>
        <x:v>0</x:v>
      </x:c>
      <x:c r="E235" s="767" t="str">
        <x:f>Taxepunkter!E271</x:f>
        <x:v>kr/ton</x:v>
      </x:c>
      <x:c r="F235" s="767" t="n">
        <x:f>Taxepunkter!F271</x:f>
        <x:v>0</x:v>
      </x:c>
      <x:c r="G235" s="767" t="str">
        <x:f>Taxepunkter!G271</x:f>
      </x:c>
      <x:c r="H235" s="767" t="e">
        <x:f>Taxepunkter!H271</x:f>
      </x:c>
      <x:c r="I235" s="767" t="e">
        <x:f>Taxepunkter!I271</x:f>
      </x:c>
      <x:c r="J235" s="767" t="e">
        <x:f>Taxepunkter!J271</x:f>
      </x:c>
      <x:c r="K235" s="767" t="n">
        <x:f>Taxepunkter!K271</x:f>
        <x:v>0</x:v>
      </x:c>
      <x:c r="L235" s="774" t="n">
        <x:f>Taxepunkter!L271</x:f>
        <x:v>0</x:v>
      </x:c>
    </x:row>
    <x:row r="236">
      <x:c r="A236" s="773" t="str">
        <x:f>Taxepunkter!A272</x:f>
        <x:v>§6.1.2</x:v>
      </x:c>
      <x:c r="B236" s="767" t="str">
        <x:f>Taxepunkter!B272</x:f>
        <x:v>Hanteringsavgifter för avfall inlämnat på återvinningscentral</x:v>
      </x:c>
      <x:c r="C236" s="767" t="str">
        <x:f>Taxepunkter!C272</x:f>
        <x:v>Trädgårdsavfall</x:v>
      </x:c>
      <x:c r="D236" s="767" t="n">
        <x:f>Taxepunkter!D272</x:f>
        <x:v>0</x:v>
      </x:c>
      <x:c r="E236" s="767" t="str">
        <x:f>Taxepunkter!E272</x:f>
        <x:v>kr/ton</x:v>
      </x:c>
      <x:c r="F236" s="767" t="n">
        <x:f>Taxepunkter!F272</x:f>
        <x:v>0</x:v>
      </x:c>
      <x:c r="G236" s="767" t="str">
        <x:f>Taxepunkter!G272</x:f>
      </x:c>
      <x:c r="H236" s="767" t="e">
        <x:f>Taxepunkter!H272</x:f>
      </x:c>
      <x:c r="I236" s="767" t="e">
        <x:f>Taxepunkter!I272</x:f>
      </x:c>
      <x:c r="J236" s="767" t="e">
        <x:f>Taxepunkter!J272</x:f>
      </x:c>
      <x:c r="K236" s="767" t="n">
        <x:f>Taxepunkter!K272</x:f>
        <x:v>0</x:v>
      </x:c>
      <x:c r="L236" s="774" t="n">
        <x:f>Taxepunkter!L272</x:f>
        <x:v>0</x:v>
      </x:c>
    </x:row>
    <x:row r="237">
      <x:c r="A237" s="773" t="str">
        <x:f>Taxepunkter!A273</x:f>
        <x:v>§6.1.2</x:v>
      </x:c>
      <x:c r="B237" s="767" t="str">
        <x:f>Taxepunkter!B273</x:f>
        <x:v>Hanteringsavgifter för avfall inlämnat på återvinningscentral</x:v>
      </x:c>
      <x:c r="C237" s="767" t="str">
        <x:f>Taxepunkter!C273</x:f>
        <x:v>Kvistar och grenar</x:v>
      </x:c>
      <x:c r="D237" s="767" t="n">
        <x:f>Taxepunkter!D273</x:f>
        <x:v>0</x:v>
      </x:c>
      <x:c r="E237" s="767" t="str">
        <x:f>Taxepunkter!E273</x:f>
        <x:v>kr/ton</x:v>
      </x:c>
      <x:c r="F237" s="767" t="n">
        <x:f>Taxepunkter!F273</x:f>
        <x:v>0</x:v>
      </x:c>
      <x:c r="G237" s="767" t="str">
        <x:f>Taxepunkter!G273</x:f>
      </x:c>
      <x:c r="H237" s="767" t="e">
        <x:f>Taxepunkter!H273</x:f>
      </x:c>
      <x:c r="I237" s="767" t="e">
        <x:f>Taxepunkter!I273</x:f>
      </x:c>
      <x:c r="J237" s="767" t="e">
        <x:f>Taxepunkter!J273</x:f>
      </x:c>
      <x:c r="K237" s="767" t="n">
        <x:f>Taxepunkter!K273</x:f>
        <x:v>0</x:v>
      </x:c>
      <x:c r="L237" s="774" t="n">
        <x:f>Taxepunkter!L273</x:f>
        <x:v>0</x:v>
      </x:c>
    </x:row>
    <x:row r="238">
      <x:c r="A238" s="773" t="str">
        <x:f>Taxepunkter!A274</x:f>
        <x:v>§6.1.2</x:v>
      </x:c>
      <x:c r="B238" s="767" t="str">
        <x:f>Taxepunkter!B274</x:f>
        <x:v>Hanteringsavgifter för avfall inlämnat på återvinningscentral</x:v>
      </x:c>
      <x:c r="C238" s="767" t="str">
        <x:f>Taxepunkter!C274</x:f>
        <x:v>Jord och sten</x:v>
      </x:c>
      <x:c r="D238" s="767" t="n">
        <x:f>Taxepunkter!D274</x:f>
        <x:v>0</x:v>
      </x:c>
      <x:c r="E238" s="767" t="str">
        <x:f>Taxepunkter!E274</x:f>
        <x:v>kr/ton</x:v>
      </x:c>
      <x:c r="F238" s="767" t="n">
        <x:f>Taxepunkter!F274</x:f>
        <x:v>0</x:v>
      </x:c>
      <x:c r="G238" s="767" t="str">
        <x:f>Taxepunkter!G274</x:f>
      </x:c>
      <x:c r="H238" s="767" t="e">
        <x:f>Taxepunkter!H274</x:f>
      </x:c>
      <x:c r="I238" s="767" t="e">
        <x:f>Taxepunkter!I274</x:f>
      </x:c>
      <x:c r="J238" s="767" t="e">
        <x:f>Taxepunkter!J274</x:f>
      </x:c>
      <x:c r="K238" s="767" t="n">
        <x:f>Taxepunkter!K274</x:f>
        <x:v>0</x:v>
      </x:c>
      <x:c r="L238" s="774" t="n">
        <x:f>Taxepunkter!L274</x:f>
        <x:v>0</x:v>
      </x:c>
    </x:row>
    <x:row r="239">
      <x:c r="A239" s="773" t="str">
        <x:f>Taxepunkter!A275</x:f>
        <x:v>§6.1.2</x:v>
      </x:c>
      <x:c r="B239" s="767" t="str">
        <x:f>Taxepunkter!B275</x:f>
        <x:v>Hanteringsavgifter för avfall inlämnat på återvinningscentral</x:v>
      </x:c>
      <x:c r="C239" s="767" t="str">
        <x:f>Taxepunkter!C275</x:f>
        <x:v>Betong</x:v>
      </x:c>
      <x:c r="D239" s="767" t="n">
        <x:f>Taxepunkter!D275</x:f>
        <x:v>0</x:v>
      </x:c>
      <x:c r="E239" s="767" t="str">
        <x:f>Taxepunkter!E275</x:f>
        <x:v>kr/ton</x:v>
      </x:c>
      <x:c r="F239" s="767" t="n">
        <x:f>Taxepunkter!F275</x:f>
        <x:v>0</x:v>
      </x:c>
      <x:c r="G239" s="767" t="str">
        <x:f>Taxepunkter!G275</x:f>
      </x:c>
      <x:c r="H239" s="767" t="e">
        <x:f>Taxepunkter!H275</x:f>
      </x:c>
      <x:c r="I239" s="767" t="e">
        <x:f>Taxepunkter!I275</x:f>
      </x:c>
      <x:c r="J239" s="767" t="e">
        <x:f>Taxepunkter!J275</x:f>
      </x:c>
      <x:c r="K239" s="767" t="n">
        <x:f>Taxepunkter!K275</x:f>
        <x:v>0</x:v>
      </x:c>
      <x:c r="L239" s="774" t="n">
        <x:f>Taxepunkter!L275</x:f>
        <x:v>0</x:v>
      </x:c>
    </x:row>
    <x:row r="240">
      <x:c r="A240" s="773" t="str">
        <x:f>Taxepunkter!A276</x:f>
        <x:v>§6.1.2</x:v>
      </x:c>
      <x:c r="B240" s="767" t="str">
        <x:f>Taxepunkter!B276</x:f>
        <x:v>Hanteringsavgifter för avfall inlämnat på återvinningscentral</x:v>
      </x:c>
      <x:c r="C240" s="767" t="str">
        <x:f>Taxepunkter!C276</x:f>
        <x:v>Asbest</x:v>
      </x:c>
      <x:c r="D240" s="767" t="n">
        <x:f>Taxepunkter!D276</x:f>
        <x:v>0</x:v>
      </x:c>
      <x:c r="E240" s="767" t="str">
        <x:f>Taxepunkter!E276</x:f>
        <x:v>kr/ton</x:v>
      </x:c>
      <x:c r="F240" s="767" t="n">
        <x:f>Taxepunkter!F276</x:f>
        <x:v>0</x:v>
      </x:c>
      <x:c r="G240" s="767" t="str">
        <x:f>Taxepunkter!G276</x:f>
      </x:c>
      <x:c r="H240" s="767" t="e">
        <x:f>Taxepunkter!H276</x:f>
      </x:c>
      <x:c r="I240" s="767" t="e">
        <x:f>Taxepunkter!I276</x:f>
      </x:c>
      <x:c r="J240" s="767" t="e">
        <x:f>Taxepunkter!J276</x:f>
      </x:c>
      <x:c r="K240" s="767" t="n">
        <x:f>Taxepunkter!K276</x:f>
        <x:v>0</x:v>
      </x:c>
      <x:c r="L240" s="774" t="n">
        <x:f>Taxepunkter!L276</x:f>
        <x:v>0</x:v>
      </x:c>
    </x:row>
    <x:row r="241">
      <x:c r="A241" s="773" t="str">
        <x:f>Taxepunkter!A277</x:f>
        <x:v>§6.1.2</x:v>
      </x:c>
      <x:c r="B241" s="767" t="str">
        <x:f>Taxepunkter!B277</x:f>
        <x:v>Hanteringsavgifter för avfall inlämnat på återvinningscentral</x:v>
      </x:c>
      <x:c r="C241" s="767" t="str">
        <x:f>Taxepunkter!C277</x:f>
        <x:v>Elavfall producentansvar (tex lysrör, glödlampor,</x:v>
      </x:c>
      <x:c r="D241" s="767" t="n">
        <x:f>Taxepunkter!D277</x:f>
        <x:v>0</x:v>
      </x:c>
      <x:c r="E241" s="767" t="str">
        <x:f>Taxepunkter!E277</x:f>
        <x:v>kr/ton</x:v>
      </x:c>
      <x:c r="F241" s="767" t="n">
        <x:f>Taxepunkter!F277</x:f>
        <x:v>0</x:v>
      </x:c>
      <x:c r="G241" s="767" t="str">
        <x:f>Taxepunkter!G277</x:f>
      </x:c>
      <x:c r="H241" s="767" t="e">
        <x:f>Taxepunkter!H277</x:f>
      </x:c>
      <x:c r="I241" s="767" t="e">
        <x:f>Taxepunkter!I277</x:f>
      </x:c>
      <x:c r="J241" s="767" t="e">
        <x:f>Taxepunkter!J277</x:f>
      </x:c>
      <x:c r="K241" s="767" t="n">
        <x:f>Taxepunkter!K277</x:f>
        <x:v>0</x:v>
      </x:c>
      <x:c r="L241" s="774" t="n">
        <x:f>Taxepunkter!L277</x:f>
        <x:v>0</x:v>
      </x:c>
    </x:row>
    <x:row r="242">
      <x:c r="A242" s="773" t="str">
        <x:f>Taxepunkter!A278</x:f>
        <x:v>§6.1.2</x:v>
      </x:c>
      <x:c r="B242" s="767" t="str">
        <x:f>Taxepunkter!B278</x:f>
        <x:v>Hanteringsavgifter för avfall inlämnat på återvinningscentral</x:v>
      </x:c>
      <x:c r="C242" s="767" t="str">
        <x:f>Taxepunkter!C278</x:f>
        <x:v>kylsklåp/frys av hushållsmodell)</x:v>
      </x:c>
      <x:c r="D242" s="767" t="n">
        <x:f>Taxepunkter!D278</x:f>
        <x:v>0</x:v>
      </x:c>
      <x:c r="E242" s="767" t="str">
        <x:f>Taxepunkter!E278</x:f>
        <x:v>kr/ton</x:v>
      </x:c>
      <x:c r="F242" s="767" t="n">
        <x:f>Taxepunkter!F278</x:f>
        <x:v>0</x:v>
      </x:c>
      <x:c r="G242" s="767" t="str">
        <x:f>Taxepunkter!G278</x:f>
      </x:c>
      <x:c r="H242" s="767" t="e">
        <x:f>Taxepunkter!H278</x:f>
      </x:c>
      <x:c r="I242" s="767" t="e">
        <x:f>Taxepunkter!I278</x:f>
      </x:c>
      <x:c r="J242" s="767" t="e">
        <x:f>Taxepunkter!J278</x:f>
      </x:c>
      <x:c r="K242" s="767" t="n">
        <x:f>Taxepunkter!K278</x:f>
        <x:v>0</x:v>
      </x:c>
      <x:c r="L242" s="774" t="n">
        <x:f>Taxepunkter!L278</x:f>
        <x:v>0</x:v>
      </x:c>
    </x:row>
    <x:row r="243">
      <x:c r="A243" s="773" t="str">
        <x:f>Taxepunkter!A279</x:f>
        <x:v>§6.1.2</x:v>
      </x:c>
      <x:c r="B243" s="767" t="str">
        <x:f>Taxepunkter!B279</x:f>
        <x:v>Hanteringsavgifter för avfall inlämnat på återvinningscentral</x:v>
      </x:c>
      <x:c r="C243" s="767" t="str">
        <x:f>Taxepunkter!C279</x:f>
        <x:v>Elavfall ej producentansvar (tex ventillationsfläkt, kyldisk)</x:v>
      </x:c>
      <x:c r="D243" s="767" t="n">
        <x:f>Taxepunkter!D279</x:f>
        <x:v>0</x:v>
      </x:c>
      <x:c r="E243" s="767" t="str">
        <x:f>Taxepunkter!E279</x:f>
        <x:v>kr/ton</x:v>
      </x:c>
      <x:c r="F243" s="767" t="n">
        <x:f>Taxepunkter!F279</x:f>
        <x:v>0</x:v>
      </x:c>
      <x:c r="G243" s="767" t="str">
        <x:f>Taxepunkter!G279</x:f>
      </x:c>
      <x:c r="H243" s="767" t="e">
        <x:f>Taxepunkter!H279</x:f>
      </x:c>
      <x:c r="I243" s="767" t="e">
        <x:f>Taxepunkter!I279</x:f>
      </x:c>
      <x:c r="J243" s="767" t="e">
        <x:f>Taxepunkter!J279</x:f>
      </x:c>
      <x:c r="K243" s="767" t="n">
        <x:f>Taxepunkter!K279</x:f>
        <x:v>0</x:v>
      </x:c>
      <x:c r="L243" s="774" t="n">
        <x:f>Taxepunkter!L279</x:f>
        <x:v>0</x:v>
      </x:c>
    </x:row>
    <x:row r="244">
      <x:c r="A244" s="773" t="str">
        <x:f>Taxepunkter!A280</x:f>
        <x:v>§6.1.2</x:v>
      </x:c>
      <x:c r="B244" s="767" t="str">
        <x:f>Taxepunkter!B280</x:f>
        <x:v>Hanteringsavgifter för avfall inlämnat på återvinningscentral</x:v>
      </x:c>
      <x:c r="C244" s="767" t="str">
        <x:f>Taxepunkter!C280</x:f>
        <x:v>Blandat avfall för sortering på ramp (max 2 m3)</x:v>
      </x:c>
      <x:c r="D244" s="767" t="n">
        <x:f>Taxepunkter!D280</x:f>
        <x:v>0</x:v>
      </x:c>
      <x:c r="E244" s="767" t="str">
        <x:f>Taxepunkter!E280</x:f>
        <x:v>kr/fordon</x:v>
      </x:c>
      <x:c r="F244" s="767" t="n">
        <x:f>Taxepunkter!F280</x:f>
        <x:v>0</x:v>
      </x:c>
      <x:c r="G244" s="767" t="str">
        <x:f>Taxepunkter!G280</x:f>
      </x:c>
      <x:c r="H244" s="767" t="e">
        <x:f>Taxepunkter!H280</x:f>
      </x:c>
      <x:c r="I244" s="767" t="e">
        <x:f>Taxepunkter!I280</x:f>
      </x:c>
      <x:c r="J244" s="767" t="e">
        <x:f>Taxepunkter!J280</x:f>
      </x:c>
      <x:c r="K244" s="767" t="n">
        <x:f>Taxepunkter!K280</x:f>
        <x:v>0</x:v>
      </x:c>
      <x:c r="L244" s="774" t="n">
        <x:f>Taxepunkter!L280</x:f>
        <x:v>0</x:v>
      </x:c>
    </x:row>
    <x:row r="245">
      <x:c r="A245" s="773" t="str">
        <x:f>Taxepunkter!A281</x:f>
        <x:v>§6.1.2</x:v>
      </x:c>
      <x:c r="B245" s="767" t="str">
        <x:f>Taxepunkter!B281</x:f>
        <x:v>Hanteringsavgifter för avfall inlämnat på återvinningscentral</x:v>
      </x:c>
      <x:c r="C245" s="767" t="str">
        <x:f>Taxepunkter!C281</x:f>
        <x:v>Oljehaltigt avfall (Spillolja) i dunkar mindre än 10 liter Avfallskod 20 01 26*</x:v>
      </x:c>
      <x:c r="D245" s="767" t="str">
        <x:f>Taxepunkter!D281</x:f>
        <x:v>3295</x:v>
      </x:c>
      <x:c r="E245" s="767" t="str">
        <x:f>Taxepunkter!E281</x:f>
        <x:v>Kr/l</x:v>
      </x:c>
      <x:c r="F245" s="767" t="n">
        <x:f>Taxepunkter!F281</x:f>
        <x:v>0</x:v>
      </x:c>
      <x:c r="G245" s="767" t="str">
        <x:f>Taxepunkter!G281</x:f>
      </x:c>
      <x:c r="H245" s="767" t="e">
        <x:f>Taxepunkter!H281</x:f>
      </x:c>
      <x:c r="I245" s="767" t="e">
        <x:f>Taxepunkter!I281</x:f>
      </x:c>
      <x:c r="J245" s="767" t="e">
        <x:f>Taxepunkter!J281</x:f>
      </x:c>
      <x:c r="K245" s="767" t="n">
        <x:f>Taxepunkter!K281</x:f>
        <x:v>0</x:v>
      </x:c>
      <x:c r="L245" s="774" t="n">
        <x:f>Taxepunkter!L281</x:f>
        <x:v>0</x:v>
      </x:c>
    </x:row>
    <x:row r="246">
      <x:c r="A246" s="773" t="str">
        <x:f>Taxepunkter!A282</x:f>
        <x:v>§6.1.2</x:v>
      </x:c>
      <x:c r="B246" s="767" t="str">
        <x:f>Taxepunkter!B282</x:f>
        <x:v>Hanteringsavgifter för avfall inlämnat på återvinningscentral</x:v>
      </x:c>
      <x:c r="C246" s="767" t="str">
        <x:f>Taxepunkter!C282</x:f>
        <x:v>Oljehaltigt avfall (Spillolja) i fat och dunkar större än 10 liter Avfallskod 20 01 26*</x:v>
      </x:c>
      <x:c r="D246" s="767" t="str">
        <x:f>Taxepunkter!D282</x:f>
        <x:v>3295</x:v>
      </x:c>
      <x:c r="E246" s="767" t="str">
        <x:f>Taxepunkter!E282</x:f>
        <x:v>Kr/l</x:v>
      </x:c>
      <x:c r="F246" s="767" t="n">
        <x:f>Taxepunkter!F282</x:f>
        <x:v>0</x:v>
      </x:c>
      <x:c r="G246" s="767" t="str">
        <x:f>Taxepunkter!G282</x:f>
      </x:c>
      <x:c r="H246" s="767" t="e">
        <x:f>Taxepunkter!H282</x:f>
      </x:c>
      <x:c r="I246" s="767" t="e">
        <x:f>Taxepunkter!I282</x:f>
      </x:c>
      <x:c r="J246" s="767" t="e">
        <x:f>Taxepunkter!J282</x:f>
      </x:c>
      <x:c r="K246" s="767" t="n">
        <x:f>Taxepunkter!K282</x:f>
        <x:v>0</x:v>
      </x:c>
      <x:c r="L246" s="774" t="n">
        <x:f>Taxepunkter!L282</x:f>
        <x:v>0</x:v>
      </x:c>
    </x:row>
    <x:row r="247">
      <x:c r="A247" s="773" t="str">
        <x:f>Taxepunkter!A283</x:f>
        <x:v>§6.1.2</x:v>
      </x:c>
      <x:c r="B247" s="767" t="str">
        <x:f>Taxepunkter!B283</x:f>
        <x:v>Hanteringsavgifter för avfall inlämnat på återvinningscentral</x:v>
      </x:c>
      <x:c r="C247" s="767" t="str">
        <x:f>Taxepunkter!C283</x:f>
        <x:v>Förorenad olja (ej PCB) Avfallskod 20 01 26*</x:v>
      </x:c>
      <x:c r="D247" s="767" t="str">
        <x:f>Taxepunkter!D283</x:f>
        <x:v>3295</x:v>
      </x:c>
      <x:c r="E247" s="767" t="str">
        <x:f>Taxepunkter!E283</x:f>
        <x:v>Kr/Kg</x:v>
      </x:c>
      <x:c r="F247" s="767" t="n">
        <x:f>Taxepunkter!F283</x:f>
        <x:v>0</x:v>
      </x:c>
      <x:c r="G247" s="767" t="str">
        <x:f>Taxepunkter!G283</x:f>
      </x:c>
      <x:c r="H247" s="767" t="e">
        <x:f>Taxepunkter!H283</x:f>
      </x:c>
      <x:c r="I247" s="767" t="e">
        <x:f>Taxepunkter!I283</x:f>
      </x:c>
      <x:c r="J247" s="767" t="e">
        <x:f>Taxepunkter!J283</x:f>
      </x:c>
      <x:c r="K247" s="767" t="n">
        <x:f>Taxepunkter!K283</x:f>
        <x:v>0</x:v>
      </x:c>
      <x:c r="L247" s="774" t="n">
        <x:f>Taxepunkter!L283</x:f>
        <x:v>0</x:v>
      </x:c>
    </x:row>
    <x:row r="248">
      <x:c r="A248" s="773" t="str">
        <x:f>Taxepunkter!A284</x:f>
        <x:v>§6.1.2</x:v>
      </x:c>
      <x:c r="B248" s="767" t="str">
        <x:f>Taxepunkter!B284</x:f>
        <x:v>Hanteringsavgifter för avfall inlämnat på återvinningscentral</x:v>
      </x:c>
      <x:c r="C248" s="767" t="str">
        <x:f>Taxepunkter!C284</x:f>
        <x:v>Förorenad olja innehållande PCB Avfallskod 13 03 01*</x:v>
      </x:c>
      <x:c r="D248" s="767" t="str">
        <x:f>Taxepunkter!D284</x:f>
        <x:v>3295</x:v>
      </x:c>
      <x:c r="E248" s="767" t="str">
        <x:f>Taxepunkter!E284</x:f>
        <x:v>Kr/Kg</x:v>
      </x:c>
      <x:c r="F248" s="767" t="n">
        <x:f>Taxepunkter!F284</x:f>
        <x:v>0</x:v>
      </x:c>
      <x:c r="G248" s="767" t="str">
        <x:f>Taxepunkter!G284</x:f>
      </x:c>
      <x:c r="H248" s="767" t="e">
        <x:f>Taxepunkter!H284</x:f>
      </x:c>
      <x:c r="I248" s="767" t="e">
        <x:f>Taxepunkter!I284</x:f>
      </x:c>
      <x:c r="J248" s="767" t="e">
        <x:f>Taxepunkter!J284</x:f>
      </x:c>
      <x:c r="K248" s="767" t="n">
        <x:f>Taxepunkter!K284</x:f>
        <x:v>0</x:v>
      </x:c>
      <x:c r="L248" s="774" t="n">
        <x:f>Taxepunkter!L284</x:f>
        <x:v>0</x:v>
      </x:c>
    </x:row>
    <x:row r="249">
      <x:c r="A249" s="773" t="str">
        <x:f>Taxepunkter!A285</x:f>
        <x:v>§6.1.2</x:v>
      </x:c>
      <x:c r="B249" s="767" t="str">
        <x:f>Taxepunkter!B285</x:f>
        <x:v>Hanteringsavgifter för avfall inlämnat på återvinningscentral</x:v>
      </x:c>
      <x:c r="C249" s="767" t="str">
        <x:f>Taxepunkter!C285</x:f>
        <x:v>Bensinrester Avfallskod 13 07 02*</x:v>
      </x:c>
      <x:c r="D249" s="767" t="str">
        <x:f>Taxepunkter!D285</x:f>
        <x:v>1203</x:v>
      </x:c>
      <x:c r="E249" s="767" t="str">
        <x:f>Taxepunkter!E285</x:f>
        <x:v>Kr/Kg</x:v>
      </x:c>
      <x:c r="F249" s="767" t="n">
        <x:f>Taxepunkter!F285</x:f>
        <x:v>0</x:v>
      </x:c>
      <x:c r="G249" s="767" t="str">
        <x:f>Taxepunkter!G285</x:f>
      </x:c>
      <x:c r="H249" s="767" t="e">
        <x:f>Taxepunkter!H285</x:f>
      </x:c>
      <x:c r="I249" s="767" t="e">
        <x:f>Taxepunkter!I285</x:f>
      </x:c>
      <x:c r="J249" s="767" t="e">
        <x:f>Taxepunkter!J285</x:f>
      </x:c>
      <x:c r="K249" s="767" t="n">
        <x:f>Taxepunkter!K285</x:f>
        <x:v>0</x:v>
      </x:c>
      <x:c r="L249" s="774" t="n">
        <x:f>Taxepunkter!L285</x:f>
        <x:v>0</x:v>
      </x:c>
    </x:row>
    <x:row r="250">
      <x:c r="A250" s="773" t="str">
        <x:f>Taxepunkter!A286</x:f>
        <x:v>§6.1.2</x:v>
      </x:c>
      <x:c r="B250" s="767" t="str">
        <x:f>Taxepunkter!B286</x:f>
        <x:v>Hanteringsavgifter för avfall inlämnat på återvinningscentral</x:v>
      </x:c>
      <x:c r="C250" s="767" t="str">
        <x:f>Taxepunkter!C286</x:f>
        <x:v>Diesel Avfallskod 13 07 01*</x:v>
      </x:c>
      <x:c r="D250" s="767" t="str">
        <x:f>Taxepunkter!D286</x:f>
        <x:v>1202</x:v>
      </x:c>
      <x:c r="E250" s="767" t="str">
        <x:f>Taxepunkter!E286</x:f>
        <x:v>Kr/Kg</x:v>
      </x:c>
      <x:c r="F250" s="767" t="n">
        <x:f>Taxepunkter!F286</x:f>
        <x:v>0</x:v>
      </x:c>
      <x:c r="G250" s="767" t="str">
        <x:f>Taxepunkter!G286</x:f>
      </x:c>
      <x:c r="H250" s="767" t="e">
        <x:f>Taxepunkter!H286</x:f>
      </x:c>
      <x:c r="I250" s="767" t="e">
        <x:f>Taxepunkter!I286</x:f>
      </x:c>
      <x:c r="J250" s="767" t="e">
        <x:f>Taxepunkter!J286</x:f>
      </x:c>
      <x:c r="K250" s="767" t="n">
        <x:f>Taxepunkter!K286</x:f>
        <x:v>0</x:v>
      </x:c>
      <x:c r="L250" s="774" t="n">
        <x:f>Taxepunkter!L286</x:f>
        <x:v>0</x:v>
      </x:c>
    </x:row>
    <x:row r="251">
      <x:c r="A251" s="773" t="str">
        <x:f>Taxepunkter!A287</x:f>
        <x:v>§6.1.2</x:v>
      </x:c>
      <x:c r="B251" s="767" t="str">
        <x:f>Taxepunkter!B287</x:f>
        <x:v>Hanteringsavgifter för avfall inlämnat på återvinningscentral</x:v>
      </x:c>
      <x:c r="C251" s="767" t="str">
        <x:f>Taxepunkter!C287</x:f>
        <x:v>Oljefilter Avfallskod 16 01 07*</x:v>
      </x:c>
      <x:c r="D251" s="767" t="str">
        <x:f>Taxepunkter!D287</x:f>
        <x:v>3295</x:v>
      </x:c>
      <x:c r="E251" s="767" t="str">
        <x:f>Taxepunkter!E287</x:f>
        <x:v>Kr/Kg</x:v>
      </x:c>
      <x:c r="F251" s="767" t="n">
        <x:f>Taxepunkter!F287</x:f>
        <x:v>0</x:v>
      </x:c>
      <x:c r="G251" s="767" t="str">
        <x:f>Taxepunkter!G287</x:f>
      </x:c>
      <x:c r="H251" s="767" t="e">
        <x:f>Taxepunkter!H287</x:f>
      </x:c>
      <x:c r="I251" s="767" t="e">
        <x:f>Taxepunkter!I287</x:f>
      </x:c>
      <x:c r="J251" s="767" t="e">
        <x:f>Taxepunkter!J287</x:f>
      </x:c>
      <x:c r="K251" s="767" t="n">
        <x:f>Taxepunkter!K287</x:f>
        <x:v>0</x:v>
      </x:c>
      <x:c r="L251" s="774" t="n">
        <x:f>Taxepunkter!L287</x:f>
        <x:v>0</x:v>
      </x:c>
    </x:row>
    <x:row r="252">
      <x:c r="A252" s="773" t="str">
        <x:f>Taxepunkter!A288</x:f>
        <x:v>§6.1.2</x:v>
      </x:c>
      <x:c r="B252" s="767" t="str">
        <x:f>Taxepunkter!B288</x:f>
        <x:v>Hanteringsavgifter för avfall inlämnat på återvinningscentral</x:v>
      </x:c>
      <x:c r="C252" s="767" t="str">
        <x:f>Taxepunkter!C288</x:f>
        <x:v>Färg, lack och lim lösningsbaserat Avfallskod 20 01 27*</x:v>
      </x:c>
      <x:c r="D252" s="767" t="str">
        <x:f>Taxepunkter!D288</x:f>
        <x:v>1263</x:v>
      </x:c>
      <x:c r="E252" s="767" t="str">
        <x:f>Taxepunkter!E288</x:f>
        <x:v>Kr/Kg</x:v>
      </x:c>
      <x:c r="F252" s="767" t="n">
        <x:f>Taxepunkter!F288</x:f>
        <x:v>0</x:v>
      </x:c>
      <x:c r="G252" s="767" t="str">
        <x:f>Taxepunkter!G288</x:f>
      </x:c>
      <x:c r="H252" s="767" t="e">
        <x:f>Taxepunkter!H288</x:f>
      </x:c>
      <x:c r="I252" s="767" t="e">
        <x:f>Taxepunkter!I288</x:f>
      </x:c>
      <x:c r="J252" s="767" t="e">
        <x:f>Taxepunkter!J288</x:f>
      </x:c>
      <x:c r="K252" s="767" t="n">
        <x:f>Taxepunkter!K288</x:f>
        <x:v>0</x:v>
      </x:c>
      <x:c r="L252" s="774" t="n">
        <x:f>Taxepunkter!L288</x:f>
        <x:v>0</x:v>
      </x:c>
    </x:row>
    <x:row r="253">
      <x:c r="A253" s="773" t="str">
        <x:f>Taxepunkter!A289</x:f>
        <x:v>§6.1.2</x:v>
      </x:c>
      <x:c r="B253" s="767" t="str">
        <x:f>Taxepunkter!B289</x:f>
        <x:v>Hanteringsavgifter för avfall inlämnat på återvinningscentral</x:v>
      </x:c>
      <x:c r="C253" s="767" t="str">
        <x:f>Taxepunkter!C289</x:f>
        <x:v>Aerosoler, färg, lack och lim Avfallskod 20 01 27*</x:v>
      </x:c>
      <x:c r="D253" s="767" t="str">
        <x:f>Taxepunkter!D289</x:f>
        <x:v>1950</x:v>
      </x:c>
      <x:c r="E253" s="767" t="str">
        <x:f>Taxepunkter!E289</x:f>
        <x:v>Kr/Kg</x:v>
      </x:c>
      <x:c r="F253" s="767" t="n">
        <x:f>Taxepunkter!F289</x:f>
        <x:v>0</x:v>
      </x:c>
      <x:c r="G253" s="767" t="str">
        <x:f>Taxepunkter!G289</x:f>
      </x:c>
      <x:c r="H253" s="767" t="e">
        <x:f>Taxepunkter!H289</x:f>
      </x:c>
      <x:c r="I253" s="767" t="e">
        <x:f>Taxepunkter!I289</x:f>
      </x:c>
      <x:c r="J253" s="767" t="e">
        <x:f>Taxepunkter!J289</x:f>
      </x:c>
      <x:c r="K253" s="767" t="n">
        <x:f>Taxepunkter!K289</x:f>
        <x:v>0</x:v>
      </x:c>
      <x:c r="L253" s="774" t="n">
        <x:f>Taxepunkter!L289</x:f>
        <x:v>0</x:v>
      </x:c>
    </x:row>
    <x:row r="254">
      <x:c r="A254" s="773" t="str">
        <x:f>Taxepunkter!A290</x:f>
        <x:v>§6.1.2</x:v>
      </x:c>
      <x:c r="B254" s="767" t="str">
        <x:f>Taxepunkter!B290</x:f>
        <x:v>Hanteringsavgifter för avfall inlämnat på återvinningscentral</x:v>
      </x:c>
      <x:c r="C254" s="767" t="str">
        <x:f>Taxepunkter!C290</x:f>
        <x:v>Färg, lack och lim vattenbaserad Avfallskod 20 01 28</x:v>
      </x:c>
      <x:c r="D254" s="767" t="n">
        <x:f>Taxepunkter!D290</x:f>
        <x:v>0</x:v>
      </x:c>
      <x:c r="E254" s="767" t="str">
        <x:f>Taxepunkter!E290</x:f>
        <x:v>Kr/Kg</x:v>
      </x:c>
      <x:c r="F254" s="767" t="n">
        <x:f>Taxepunkter!F290</x:f>
        <x:v>0</x:v>
      </x:c>
      <x:c r="G254" s="767" t="str">
        <x:f>Taxepunkter!G290</x:f>
      </x:c>
      <x:c r="H254" s="767" t="e">
        <x:f>Taxepunkter!H290</x:f>
      </x:c>
      <x:c r="I254" s="767" t="e">
        <x:f>Taxepunkter!I290</x:f>
      </x:c>
      <x:c r="J254" s="767" t="e">
        <x:f>Taxepunkter!J290</x:f>
      </x:c>
      <x:c r="K254" s="767" t="n">
        <x:f>Taxepunkter!K290</x:f>
        <x:v>0</x:v>
      </x:c>
      <x:c r="L254" s="774" t="n">
        <x:f>Taxepunkter!L290</x:f>
        <x:v>0</x:v>
      </x:c>
    </x:row>
    <x:row r="255">
      <x:c r="A255" s="773" t="str">
        <x:f>Taxepunkter!A291</x:f>
        <x:v>§6.1.2</x:v>
      </x:c>
      <x:c r="B255" s="767" t="str">
        <x:f>Taxepunkter!B291</x:f>
        <x:v>Hanteringsavgifter för avfall inlämnat på återvinningscentral</x:v>
      </x:c>
      <x:c r="C255" s="767" t="str">
        <x:f>Taxepunkter!C291</x:f>
        <x:v>Alkaliskt flytande avfall Avfallskod 20 01 29*</x:v>
      </x:c>
      <x:c r="D255" s="767" t="str">
        <x:f>Taxepunkter!D291</x:f>
        <x:v>3266</x:v>
      </x:c>
      <x:c r="E255" s="767" t="str">
        <x:f>Taxepunkter!E291</x:f>
        <x:v>Kr/Kg</x:v>
      </x:c>
      <x:c r="F255" s="767" t="n">
        <x:f>Taxepunkter!F291</x:f>
        <x:v>0</x:v>
      </x:c>
      <x:c r="G255" s="767" t="str">
        <x:f>Taxepunkter!G291</x:f>
      </x:c>
      <x:c r="H255" s="767" t="e">
        <x:f>Taxepunkter!H291</x:f>
      </x:c>
      <x:c r="I255" s="767" t="e">
        <x:f>Taxepunkter!I291</x:f>
      </x:c>
      <x:c r="J255" s="767" t="e">
        <x:f>Taxepunkter!J291</x:f>
      </x:c>
      <x:c r="K255" s="767" t="n">
        <x:f>Taxepunkter!K291</x:f>
        <x:v>0</x:v>
      </x:c>
      <x:c r="L255" s="774" t="n">
        <x:f>Taxepunkter!L291</x:f>
        <x:v>0</x:v>
      </x:c>
    </x:row>
    <x:row r="256">
      <x:c r="A256" s="773" t="str">
        <x:f>Taxepunkter!A292</x:f>
        <x:v>§6.1.2</x:v>
      </x:c>
      <x:c r="B256" s="767" t="str">
        <x:f>Taxepunkter!B292</x:f>
        <x:v>Hanteringsavgifter för avfall inlämnat på återvinningscentral</x:v>
      </x:c>
      <x:c r="C256" s="767" t="str">
        <x:f>Taxepunkter!C292</x:f>
        <x:v>Alkaliskt avfall fast Avfallskod 20 01 15*</x:v>
      </x:c>
      <x:c r="D256" s="767" t="str">
        <x:f>Taxepunkter!D292</x:f>
        <x:v>3262</x:v>
      </x:c>
      <x:c r="E256" s="767" t="str">
        <x:f>Taxepunkter!E292</x:f>
        <x:v>Kr/Kg</x:v>
      </x:c>
      <x:c r="F256" s="767" t="n">
        <x:f>Taxepunkter!F292</x:f>
        <x:v>0</x:v>
      </x:c>
      <x:c r="G256" s="767" t="str">
        <x:f>Taxepunkter!G292</x:f>
      </x:c>
      <x:c r="H256" s="767" t="e">
        <x:f>Taxepunkter!H292</x:f>
      </x:c>
      <x:c r="I256" s="767" t="e">
        <x:f>Taxepunkter!I292</x:f>
      </x:c>
      <x:c r="J256" s="767" t="e">
        <x:f>Taxepunkter!J292</x:f>
      </x:c>
      <x:c r="K256" s="767" t="n">
        <x:f>Taxepunkter!K292</x:f>
        <x:v>0</x:v>
      </x:c>
      <x:c r="L256" s="774" t="n">
        <x:f>Taxepunkter!L292</x:f>
        <x:v>0</x:v>
      </x:c>
    </x:row>
    <x:row r="257">
      <x:c r="A257" s="773" t="str">
        <x:f>Taxepunkter!A293</x:f>
        <x:v>§6.1.2</x:v>
      </x:c>
      <x:c r="B257" s="767" t="str">
        <x:f>Taxepunkter!B293</x:f>
        <x:v>Hanteringsavgifter för avfall inlämnat på återvinningscentral</x:v>
      </x:c>
      <x:c r="C257" s="767" t="str">
        <x:f>Taxepunkter!C293</x:f>
        <x:v>Lösningsmedel Avfallskod 20 01 13*</x:v>
      </x:c>
      <x:c r="D257" s="767" t="str">
        <x:f>Taxepunkter!D293</x:f>
        <x:v>1993</x:v>
      </x:c>
      <x:c r="E257" s="767" t="str">
        <x:f>Taxepunkter!E293</x:f>
        <x:v>Kr/Kg</x:v>
      </x:c>
      <x:c r="F257" s="767" t="n">
        <x:f>Taxepunkter!F293</x:f>
        <x:v>0</x:v>
      </x:c>
      <x:c r="G257" s="767" t="str">
        <x:f>Taxepunkter!G293</x:f>
      </x:c>
      <x:c r="H257" s="767" t="e">
        <x:f>Taxepunkter!H293</x:f>
      </x:c>
      <x:c r="I257" s="767" t="e">
        <x:f>Taxepunkter!I293</x:f>
      </x:c>
      <x:c r="J257" s="767" t="e">
        <x:f>Taxepunkter!J293</x:f>
      </x:c>
      <x:c r="K257" s="767" t="n">
        <x:f>Taxepunkter!K293</x:f>
        <x:v>0</x:v>
      </x:c>
      <x:c r="L257" s="774" t="n">
        <x:f>Taxepunkter!L293</x:f>
        <x:v>0</x:v>
      </x:c>
    </x:row>
    <x:row r="258">
      <x:c r="A258" s="773" t="str">
        <x:f>Taxepunkter!A294</x:f>
        <x:v>§6.1.2</x:v>
      </x:c>
      <x:c r="B258" s="767" t="str">
        <x:f>Taxepunkter!B294</x:f>
        <x:v>Hanteringsavgifter för avfall inlämnat på återvinningscentral</x:v>
      </x:c>
      <x:c r="C258" s="767" t="str">
        <x:f>Taxepunkter!C294</x:f>
        <x:v>Smittförande avfall Avfallskod 18 01 03*</x:v>
      </x:c>
      <x:c r="D258" s="767" t="str">
        <x:f>Taxepunkter!D294</x:f>
        <x:v>3291</x:v>
      </x:c>
      <x:c r="E258" s="767" t="str">
        <x:f>Taxepunkter!E294</x:f>
        <x:v>Kr/Kg</x:v>
      </x:c>
      <x:c r="F258" s="767" t="n">
        <x:f>Taxepunkter!F294</x:f>
        <x:v>0</x:v>
      </x:c>
      <x:c r="G258" s="767" t="str">
        <x:f>Taxepunkter!G294</x:f>
      </x:c>
      <x:c r="H258" s="767" t="e">
        <x:f>Taxepunkter!H294</x:f>
      </x:c>
      <x:c r="I258" s="767" t="e">
        <x:f>Taxepunkter!I294</x:f>
      </x:c>
      <x:c r="J258" s="767" t="e">
        <x:f>Taxepunkter!J294</x:f>
      </x:c>
      <x:c r="K258" s="767" t="n">
        <x:f>Taxepunkter!K294</x:f>
        <x:v>0</x:v>
      </x:c>
      <x:c r="L258" s="774" t="n">
        <x:f>Taxepunkter!L294</x:f>
        <x:v>0</x:v>
      </x:c>
    </x:row>
    <x:row r="259">
      <x:c r="A259" s="773" t="str">
        <x:f>Taxepunkter!A295</x:f>
        <x:v>§6.1.2</x:v>
      </x:c>
      <x:c r="B259" s="767" t="str">
        <x:f>Taxepunkter!B295</x:f>
        <x:v>Hanteringsavgifter för avfall inlämnat på återvinningscentral</x:v>
      </x:c>
      <x:c r="C259" s="767" t="str">
        <x:f>Taxepunkter!C295</x:f>
        <x:v>Bekämpningsmedel Flytande Avfallskod 20 01 19*</x:v>
      </x:c>
      <x:c r="D259" s="767" t="str">
        <x:f>Taxepunkter!D295</x:f>
        <x:v>2903</x:v>
      </x:c>
      <x:c r="E259" s="767" t="str">
        <x:f>Taxepunkter!E295</x:f>
        <x:v>Kr/Kg</x:v>
      </x:c>
      <x:c r="F259" s="767" t="n">
        <x:f>Taxepunkter!F295</x:f>
        <x:v>0</x:v>
      </x:c>
      <x:c r="G259" s="767" t="str">
        <x:f>Taxepunkter!G295</x:f>
      </x:c>
      <x:c r="H259" s="767" t="e">
        <x:f>Taxepunkter!H295</x:f>
      </x:c>
      <x:c r="I259" s="767" t="e">
        <x:f>Taxepunkter!I295</x:f>
      </x:c>
      <x:c r="J259" s="767" t="e">
        <x:f>Taxepunkter!J295</x:f>
      </x:c>
      <x:c r="K259" s="767" t="n">
        <x:f>Taxepunkter!K295</x:f>
        <x:v>0</x:v>
      </x:c>
      <x:c r="L259" s="774" t="n">
        <x:f>Taxepunkter!L295</x:f>
        <x:v>0</x:v>
      </x:c>
    </x:row>
    <x:row r="260">
      <x:c r="A260" s="773" t="str">
        <x:f>Taxepunkter!A296</x:f>
        <x:v>§6.1.2</x:v>
      </x:c>
      <x:c r="B260" s="767" t="str">
        <x:f>Taxepunkter!B296</x:f>
        <x:v>Hanteringsavgifter för avfall inlämnat på återvinningscentral</x:v>
      </x:c>
      <x:c r="C260" s="767" t="str">
        <x:f>Taxepunkter!C296</x:f>
        <x:v>Bekämpningsmedel Fast Avfallskod 20 01 19*</x:v>
      </x:c>
      <x:c r="D260" s="767" t="str">
        <x:f>Taxepunkter!D296</x:f>
        <x:v>2588</x:v>
      </x:c>
      <x:c r="E260" s="767" t="str">
        <x:f>Taxepunkter!E296</x:f>
        <x:v>Kr/Kg</x:v>
      </x:c>
      <x:c r="F260" s="767" t="n">
        <x:f>Taxepunkter!F296</x:f>
        <x:v>0</x:v>
      </x:c>
      <x:c r="G260" s="767" t="str">
        <x:f>Taxepunkter!G296</x:f>
      </x:c>
      <x:c r="H260" s="767" t="e">
        <x:f>Taxepunkter!H296</x:f>
      </x:c>
      <x:c r="I260" s="767" t="e">
        <x:f>Taxepunkter!I296</x:f>
      </x:c>
      <x:c r="J260" s="767" t="e">
        <x:f>Taxepunkter!J296</x:f>
      </x:c>
      <x:c r="K260" s="767" t="n">
        <x:f>Taxepunkter!K296</x:f>
        <x:v>0</x:v>
      </x:c>
      <x:c r="L260" s="774" t="n">
        <x:f>Taxepunkter!L296</x:f>
        <x:v>0</x:v>
      </x:c>
    </x:row>
    <x:row r="261">
      <x:c r="A261" s="773" t="str">
        <x:f>Taxepunkter!A297</x:f>
        <x:v>§6.1.2</x:v>
      </x:c>
      <x:c r="B261" s="767" t="str">
        <x:f>Taxepunkter!B297</x:f>
        <x:v>Hanteringsavgifter för avfall inlämnat på återvinningscentral</x:v>
      </x:c>
      <x:c r="C261" s="767" t="str">
        <x:f>Taxepunkter!C297</x:f>
        <x:v>Bekämpningsmedel aerosoler Avfallskod 20 01 19*</x:v>
      </x:c>
      <x:c r="D261" s="767" t="str">
        <x:f>Taxepunkter!D297</x:f>
        <x:v>1950</x:v>
      </x:c>
      <x:c r="E261" s="767" t="str">
        <x:f>Taxepunkter!E297</x:f>
        <x:v>Kr/Kg</x:v>
      </x:c>
      <x:c r="F261" s="767" t="n">
        <x:f>Taxepunkter!F297</x:f>
        <x:v>0</x:v>
      </x:c>
      <x:c r="G261" s="767" t="str">
        <x:f>Taxepunkter!G297</x:f>
      </x:c>
      <x:c r="H261" s="767" t="e">
        <x:f>Taxepunkter!H297</x:f>
      </x:c>
      <x:c r="I261" s="767" t="e">
        <x:f>Taxepunkter!I297</x:f>
      </x:c>
      <x:c r="J261" s="767" t="e">
        <x:f>Taxepunkter!J297</x:f>
      </x:c>
      <x:c r="K261" s="767" t="n">
        <x:f>Taxepunkter!K297</x:f>
        <x:v>0</x:v>
      </x:c>
      <x:c r="L261" s="774" t="n">
        <x:f>Taxepunkter!L297</x:f>
        <x:v>0</x:v>
      </x:c>
    </x:row>
    <x:row r="262">
      <x:c r="A262" s="773" t="str">
        <x:f>Taxepunkter!A298</x:f>
        <x:v>§6.1.2</x:v>
      </x:c>
      <x:c r="B262" s="767" t="str">
        <x:f>Taxepunkter!B298</x:f>
        <x:v>Hanteringsavgifter för avfall inlämnat på återvinningscentral</x:v>
      </x:c>
      <x:c r="C262" s="767" t="str">
        <x:f>Taxepunkter!C298</x:f>
        <x:v>Giftig oorganisk vätska Avfallskod 16 05 06*</x:v>
      </x:c>
      <x:c r="D262" s="767" t="str">
        <x:f>Taxepunkter!D298</x:f>
        <x:v>3287</x:v>
      </x:c>
      <x:c r="E262" s="767" t="str">
        <x:f>Taxepunkter!E298</x:f>
        <x:v>Kr/Kg</x:v>
      </x:c>
      <x:c r="F262" s="767" t="n">
        <x:f>Taxepunkter!F298</x:f>
        <x:v>0</x:v>
      </x:c>
      <x:c r="G262" s="767" t="str">
        <x:f>Taxepunkter!G298</x:f>
      </x:c>
      <x:c r="H262" s="767" t="e">
        <x:f>Taxepunkter!H298</x:f>
      </x:c>
      <x:c r="I262" s="767" t="e">
        <x:f>Taxepunkter!I298</x:f>
      </x:c>
      <x:c r="J262" s="767" t="e">
        <x:f>Taxepunkter!J298</x:f>
      </x:c>
      <x:c r="K262" s="767" t="n">
        <x:f>Taxepunkter!K298</x:f>
        <x:v>0</x:v>
      </x:c>
      <x:c r="L262" s="774" t="n">
        <x:f>Taxepunkter!L298</x:f>
        <x:v>0</x:v>
      </x:c>
    </x:row>
    <x:row r="263">
      <x:c r="A263" s="773" t="str">
        <x:f>Taxepunkter!A299</x:f>
        <x:v>§6.1.2</x:v>
      </x:c>
      <x:c r="B263" s="767" t="str">
        <x:f>Taxepunkter!B299</x:f>
        <x:v>Hanteringsavgifter för avfall inlämnat på återvinningscentral</x:v>
      </x:c>
      <x:c r="C263" s="767" t="str">
        <x:f>Taxepunkter!C299</x:f>
        <x:v>Giftig organisk vätska Avfallskod 16 05 06*</x:v>
      </x:c>
      <x:c r="D263" s="767" t="str">
        <x:f>Taxepunkter!D299</x:f>
        <x:v>2810</x:v>
      </x:c>
      <x:c r="E263" s="767" t="str">
        <x:f>Taxepunkter!E299</x:f>
        <x:v>Kr/Kg</x:v>
      </x:c>
      <x:c r="F263" s="767" t="n">
        <x:f>Taxepunkter!F299</x:f>
        <x:v>0</x:v>
      </x:c>
      <x:c r="G263" s="767" t="str">
        <x:f>Taxepunkter!G299</x:f>
      </x:c>
      <x:c r="H263" s="767" t="e">
        <x:f>Taxepunkter!H299</x:f>
      </x:c>
      <x:c r="I263" s="767" t="e">
        <x:f>Taxepunkter!I299</x:f>
      </x:c>
      <x:c r="J263" s="767" t="e">
        <x:f>Taxepunkter!J299</x:f>
      </x:c>
      <x:c r="K263" s="767" t="n">
        <x:f>Taxepunkter!K299</x:f>
        <x:v>0</x:v>
      </x:c>
      <x:c r="L263" s="774" t="n">
        <x:f>Taxepunkter!L299</x:f>
        <x:v>0</x:v>
      </x:c>
    </x:row>
    <x:row r="264">
      <x:c r="A264" s="773" t="str">
        <x:f>Taxepunkter!A300</x:f>
        <x:v>§6.1.2</x:v>
      </x:c>
      <x:c r="B264" s="767" t="str">
        <x:f>Taxepunkter!B300</x:f>
        <x:v>Hanteringsavgifter för avfall inlämnat på återvinningscentral</x:v>
      </x:c>
      <x:c r="C264" s="767" t="str">
        <x:f>Taxepunkter!C300</x:f>
        <x:v>Surt organisk vätska ämne Avfallskod 20 01 14*</x:v>
      </x:c>
      <x:c r="D264" s="767" t="str">
        <x:f>Taxepunkter!D300</x:f>
        <x:v>3265</x:v>
      </x:c>
      <x:c r="E264" s="767" t="str">
        <x:f>Taxepunkter!E300</x:f>
        <x:v>Kr/Kg</x:v>
      </x:c>
      <x:c r="F264" s="767" t="n">
        <x:f>Taxepunkter!F300</x:f>
        <x:v>0</x:v>
      </x:c>
      <x:c r="G264" s="767" t="str">
        <x:f>Taxepunkter!G300</x:f>
      </x:c>
      <x:c r="H264" s="767" t="e">
        <x:f>Taxepunkter!H300</x:f>
      </x:c>
      <x:c r="I264" s="767" t="e">
        <x:f>Taxepunkter!I300</x:f>
      </x:c>
      <x:c r="J264" s="767" t="e">
        <x:f>Taxepunkter!J300</x:f>
      </x:c>
      <x:c r="K264" s="767" t="n">
        <x:f>Taxepunkter!K300</x:f>
        <x:v>0</x:v>
      </x:c>
      <x:c r="L264" s="774" t="n">
        <x:f>Taxepunkter!L300</x:f>
        <x:v>0</x:v>
      </x:c>
    </x:row>
    <x:row r="265">
      <x:c r="A265" s="773" t="str">
        <x:f>Taxepunkter!A301</x:f>
        <x:v>§6.1.2</x:v>
      </x:c>
      <x:c r="B265" s="767" t="str">
        <x:f>Taxepunkter!B301</x:f>
        <x:v>Hanteringsavgifter för avfall inlämnat på återvinningscentral</x:v>
      </x:c>
      <x:c r="C265" s="767" t="str">
        <x:f>Taxepunkter!C301</x:f>
        <x:v>Surt organisk fast ämne Avfallskod 20 01 14*</x:v>
      </x:c>
      <x:c r="D265" s="767" t="str">
        <x:f>Taxepunkter!D301</x:f>
        <x:v>3261</x:v>
      </x:c>
      <x:c r="E265" s="767" t="str">
        <x:f>Taxepunkter!E301</x:f>
        <x:v>Kr/Kg</x:v>
      </x:c>
      <x:c r="F265" s="767" t="n">
        <x:f>Taxepunkter!F301</x:f>
        <x:v>0</x:v>
      </x:c>
      <x:c r="G265" s="767" t="str">
        <x:f>Taxepunkter!G301</x:f>
      </x:c>
      <x:c r="H265" s="767" t="e">
        <x:f>Taxepunkter!H301</x:f>
      </x:c>
      <x:c r="I265" s="767" t="e">
        <x:f>Taxepunkter!I301</x:f>
      </x:c>
      <x:c r="J265" s="767" t="e">
        <x:f>Taxepunkter!J301</x:f>
      </x:c>
      <x:c r="K265" s="767" t="n">
        <x:f>Taxepunkter!K301</x:f>
        <x:v>0</x:v>
      </x:c>
      <x:c r="L265" s="774" t="n">
        <x:f>Taxepunkter!L301</x:f>
        <x:v>0</x:v>
      </x:c>
    </x:row>
    <x:row r="266">
      <x:c r="A266" s="773" t="str">
        <x:f>Taxepunkter!A302</x:f>
        <x:v>§6.1.2</x:v>
      </x:c>
      <x:c r="B266" s="767" t="str">
        <x:f>Taxepunkter!B302</x:f>
        <x:v>Hanteringsavgifter för avfall inlämnat på återvinningscentral</x:v>
      </x:c>
      <x:c r="C266" s="767" t="str">
        <x:f>Taxepunkter!C302</x:f>
        <x:v>Surt oorganiskt fast ämne Avfallskod 20 01 14*</x:v>
      </x:c>
      <x:c r="D266" s="767" t="str">
        <x:f>Taxepunkter!D302</x:f>
        <x:v>3260</x:v>
      </x:c>
      <x:c r="E266" s="767" t="str">
        <x:f>Taxepunkter!E302</x:f>
        <x:v>Kr/Kg</x:v>
      </x:c>
      <x:c r="F266" s="767" t="n">
        <x:f>Taxepunkter!F302</x:f>
        <x:v>0</x:v>
      </x:c>
      <x:c r="G266" s="767" t="str">
        <x:f>Taxepunkter!G302</x:f>
      </x:c>
      <x:c r="H266" s="767" t="e">
        <x:f>Taxepunkter!H302</x:f>
      </x:c>
      <x:c r="I266" s="767" t="e">
        <x:f>Taxepunkter!I302</x:f>
      </x:c>
      <x:c r="J266" s="767" t="e">
        <x:f>Taxepunkter!J302</x:f>
      </x:c>
      <x:c r="K266" s="767" t="n">
        <x:f>Taxepunkter!K302</x:f>
        <x:v>0</x:v>
      </x:c>
      <x:c r="L266" s="774" t="n">
        <x:f>Taxepunkter!L302</x:f>
        <x:v>0</x:v>
      </x:c>
    </x:row>
    <x:row r="267">
      <x:c r="A267" s="773" t="str">
        <x:f>Taxepunkter!A303</x:f>
        <x:v>§6.1.2</x:v>
      </x:c>
      <x:c r="B267" s="767" t="str">
        <x:f>Taxepunkter!B303</x:f>
        <x:v>Hanteringsavgifter för avfall inlämnat på återvinningscentral</x:v>
      </x:c>
      <x:c r="C267" s="767" t="str">
        <x:f>Taxepunkter!C303</x:f>
        <x:v>Surt oorganisk vätska Avfallskod 20 01 14*</x:v>
      </x:c>
      <x:c r="D267" s="767" t="str">
        <x:f>Taxepunkter!D303</x:f>
        <x:v>3264</x:v>
      </x:c>
      <x:c r="E267" s="767" t="str">
        <x:f>Taxepunkter!E303</x:f>
        <x:v>Kr/Kg</x:v>
      </x:c>
      <x:c r="F267" s="767" t="n">
        <x:f>Taxepunkter!F303</x:f>
        <x:v>0</x:v>
      </x:c>
      <x:c r="G267" s="767" t="str">
        <x:f>Taxepunkter!G303</x:f>
      </x:c>
      <x:c r="H267" s="767" t="e">
        <x:f>Taxepunkter!H303</x:f>
      </x:c>
      <x:c r="I267" s="767" t="e">
        <x:f>Taxepunkter!I303</x:f>
      </x:c>
      <x:c r="J267" s="767" t="e">
        <x:f>Taxepunkter!J303</x:f>
      </x:c>
      <x:c r="K267" s="767" t="n">
        <x:f>Taxepunkter!K303</x:f>
        <x:v>0</x:v>
      </x:c>
      <x:c r="L267" s="774" t="n">
        <x:f>Taxepunkter!L303</x:f>
        <x:v>0</x:v>
      </x:c>
    </x:row>
    <x:row r="268">
      <x:c r="A268" s="773" t="str">
        <x:f>Taxepunkter!A304</x:f>
        <x:v>§6.1.2</x:v>
      </x:c>
      <x:c r="B268" s="767" t="str">
        <x:f>Taxepunkter!B304</x:f>
        <x:v>Hanteringsavgifter för avfall inlämnat på återvinningscentral</x:v>
      </x:c>
      <x:c r="C268" s="767" t="str">
        <x:f>Taxepunkter!C304</x:f>
        <x:v>Svavelsyra Avfallskod 20 01 14*</x:v>
      </x:c>
      <x:c r="D268" s="767" t="str">
        <x:f>Taxepunkter!D304</x:f>
        <x:v>1832</x:v>
      </x:c>
      <x:c r="E268" s="767" t="str">
        <x:f>Taxepunkter!E304</x:f>
        <x:v>Kr/Kg</x:v>
      </x:c>
      <x:c r="F268" s="767" t="n">
        <x:f>Taxepunkter!F304</x:f>
        <x:v>0</x:v>
      </x:c>
      <x:c r="G268" s="767" t="str">
        <x:f>Taxepunkter!G304</x:f>
      </x:c>
      <x:c r="H268" s="767" t="e">
        <x:f>Taxepunkter!H304</x:f>
      </x:c>
      <x:c r="I268" s="767" t="e">
        <x:f>Taxepunkter!I304</x:f>
      </x:c>
      <x:c r="J268" s="767" t="e">
        <x:f>Taxepunkter!J304</x:f>
      </x:c>
      <x:c r="K268" s="767" t="n">
        <x:f>Taxepunkter!K304</x:f>
        <x:v>0</x:v>
      </x:c>
      <x:c r="L268" s="774" t="n">
        <x:f>Taxepunkter!L304</x:f>
        <x:v>0</x:v>
      </x:c>
    </x:row>
    <x:row r="269">
      <x:c r="A269" s="773" t="str">
        <x:f>Taxepunkter!A305</x:f>
        <x:v>§6.1.2</x:v>
      </x:c>
      <x:c r="B269" s="767" t="str">
        <x:f>Taxepunkter!B305</x:f>
        <x:v>Hanteringsavgifter för avfall inlämnat på återvinningscentral</x:v>
      </x:c>
      <x:c r="C269" s="767" t="str">
        <x:f>Taxepunkter!C305</x:f>
        <x:v>Salpetersyra Avfallskod 20 01 14*</x:v>
      </x:c>
      <x:c r="D269" s="767" t="str">
        <x:f>Taxepunkter!D305</x:f>
        <x:v>2031</x:v>
      </x:c>
      <x:c r="E269" s="767" t="str">
        <x:f>Taxepunkter!E305</x:f>
        <x:v>Kr/Kg</x:v>
      </x:c>
      <x:c r="F269" s="767" t="n">
        <x:f>Taxepunkter!F305</x:f>
        <x:v>0</x:v>
      </x:c>
      <x:c r="G269" s="767" t="str">
        <x:f>Taxepunkter!G305</x:f>
      </x:c>
      <x:c r="H269" s="767" t="e">
        <x:f>Taxepunkter!H305</x:f>
      </x:c>
      <x:c r="I269" s="767" t="e">
        <x:f>Taxepunkter!I305</x:f>
      </x:c>
      <x:c r="J269" s="767" t="e">
        <x:f>Taxepunkter!J305</x:f>
      </x:c>
      <x:c r="K269" s="767" t="n">
        <x:f>Taxepunkter!K305</x:f>
        <x:v>0</x:v>
      </x:c>
      <x:c r="L269" s="774" t="n">
        <x:f>Taxepunkter!L305</x:f>
        <x:v>0</x:v>
      </x:c>
    </x:row>
    <x:row r="270">
      <x:c r="A270" s="773" t="str">
        <x:f>Taxepunkter!A306</x:f>
        <x:v>§6.1.2</x:v>
      </x:c>
      <x:c r="B270" s="767" t="str">
        <x:f>Taxepunkter!B306</x:f>
        <x:v>Hanteringsavgifter för avfall inlämnat på återvinningscentral</x:v>
      </x:c>
      <x:c r="C270" s="767" t="str">
        <x:f>Taxepunkter!C306</x:f>
        <x:v>Fluorvätesyra Avfallskod 20 01 14*</x:v>
      </x:c>
      <x:c r="D270" s="767" t="str">
        <x:f>Taxepunkter!D306</x:f>
        <x:v>1790</x:v>
      </x:c>
      <x:c r="E270" s="767" t="str">
        <x:f>Taxepunkter!E306</x:f>
        <x:v>Kr/Kg</x:v>
      </x:c>
      <x:c r="F270" s="767" t="n">
        <x:f>Taxepunkter!F306</x:f>
        <x:v>0</x:v>
      </x:c>
      <x:c r="G270" s="767" t="str">
        <x:f>Taxepunkter!G306</x:f>
      </x:c>
      <x:c r="H270" s="767" t="e">
        <x:f>Taxepunkter!H306</x:f>
      </x:c>
      <x:c r="I270" s="767" t="e">
        <x:f>Taxepunkter!I306</x:f>
      </x:c>
      <x:c r="J270" s="767" t="e">
        <x:f>Taxepunkter!J306</x:f>
      </x:c>
      <x:c r="K270" s="767" t="n">
        <x:f>Taxepunkter!K306</x:f>
        <x:v>0</x:v>
      </x:c>
      <x:c r="L270" s="774" t="n">
        <x:f>Taxepunkter!L306</x:f>
        <x:v>0</x:v>
      </x:c>
    </x:row>
    <x:row r="271">
      <x:c r="A271" s="773" t="str">
        <x:f>Taxepunkter!A307</x:f>
        <x:v>§6.1.2</x:v>
      </x:c>
      <x:c r="B271" s="767" t="str">
        <x:f>Taxepunkter!B307</x:f>
        <x:v>Hanteringsavgifter för avfall inlämnat på återvinningscentral</x:v>
      </x:c>
      <x:c r="C271" s="767" t="str">
        <x:f>Taxepunkter!C307</x:f>
        <x:v>Basiskt organiskt fast ämne/flytande Avfallskod 20 01 15*</x:v>
      </x:c>
      <x:c r="D271" s="767" t="str">
        <x:f>Taxepunkter!D307</x:f>
        <x:v>3263</x:v>
      </x:c>
      <x:c r="E271" s="767" t="str">
        <x:f>Taxepunkter!E307</x:f>
        <x:v>Kr/Kg</x:v>
      </x:c>
      <x:c r="F271" s="767" t="n">
        <x:f>Taxepunkter!F307</x:f>
        <x:v>0</x:v>
      </x:c>
      <x:c r="G271" s="767" t="str">
        <x:f>Taxepunkter!G307</x:f>
      </x:c>
      <x:c r="H271" s="767" t="e">
        <x:f>Taxepunkter!H307</x:f>
      </x:c>
      <x:c r="I271" s="767" t="e">
        <x:f>Taxepunkter!I307</x:f>
      </x:c>
      <x:c r="J271" s="767" t="e">
        <x:f>Taxepunkter!J307</x:f>
      </x:c>
      <x:c r="K271" s="767" t="n">
        <x:f>Taxepunkter!K307</x:f>
        <x:v>0</x:v>
      </x:c>
      <x:c r="L271" s="774" t="n">
        <x:f>Taxepunkter!L307</x:f>
        <x:v>0</x:v>
      </x:c>
    </x:row>
    <x:row r="272">
      <x:c r="A272" s="773" t="str">
        <x:f>Taxepunkter!A308</x:f>
        <x:v>§6.1.2</x:v>
      </x:c>
      <x:c r="B272" s="767" t="str">
        <x:f>Taxepunkter!B308</x:f>
        <x:v>Hanteringsavgifter för avfall inlämnat på återvinningscentral</x:v>
      </x:c>
      <x:c r="C272" s="767" t="str">
        <x:f>Taxepunkter!C308</x:f>
        <x:v>Ammoniaklösning Avfallskod 20 01 15*</x:v>
      </x:c>
      <x:c r="D272" s="767" t="str">
        <x:f>Taxepunkter!D308</x:f>
        <x:v>2672</x:v>
      </x:c>
      <x:c r="E272" s="767" t="str">
        <x:f>Taxepunkter!E308</x:f>
        <x:v>Kr/Kg</x:v>
      </x:c>
      <x:c r="F272" s="767" t="n">
        <x:f>Taxepunkter!F308</x:f>
        <x:v>0</x:v>
      </x:c>
      <x:c r="G272" s="767" t="str">
        <x:f>Taxepunkter!G308</x:f>
      </x:c>
      <x:c r="H272" s="767" t="e">
        <x:f>Taxepunkter!H308</x:f>
      </x:c>
      <x:c r="I272" s="767" t="e">
        <x:f>Taxepunkter!I308</x:f>
      </x:c>
      <x:c r="J272" s="767" t="e">
        <x:f>Taxepunkter!J308</x:f>
      </x:c>
      <x:c r="K272" s="767" t="n">
        <x:f>Taxepunkter!K308</x:f>
        <x:v>0</x:v>
      </x:c>
      <x:c r="L272" s="774" t="n">
        <x:f>Taxepunkter!L308</x:f>
        <x:v>0</x:v>
      </x:c>
    </x:row>
    <x:row r="273">
      <x:c r="A273" s="773" t="str">
        <x:f>Taxepunkter!A309</x:f>
        <x:v>§6.1.2</x:v>
      </x:c>
      <x:c r="B273" s="767" t="str">
        <x:f>Taxepunkter!B309</x:f>
        <x:v>Hanteringsavgifter för avfall inlämnat på återvinningscentral</x:v>
      </x:c>
      <x:c r="C273" s="767" t="str">
        <x:f>Taxepunkter!C309</x:f>
        <x:v>Rengöringsmedel Avfallskod 20 01 29*</x:v>
      </x:c>
      <x:c r="D273" s="767" t="str">
        <x:f>Taxepunkter!D309</x:f>
        <x:v>2903</x:v>
      </x:c>
      <x:c r="E273" s="767" t="str">
        <x:f>Taxepunkter!E309</x:f>
        <x:v>Kr/Kg</x:v>
      </x:c>
      <x:c r="F273" s="767" t="n">
        <x:f>Taxepunkter!F309</x:f>
        <x:v>0</x:v>
      </x:c>
      <x:c r="G273" s="767" t="str">
        <x:f>Taxepunkter!G309</x:f>
      </x:c>
      <x:c r="H273" s="767" t="e">
        <x:f>Taxepunkter!H309</x:f>
      </x:c>
      <x:c r="I273" s="767" t="e">
        <x:f>Taxepunkter!I309</x:f>
      </x:c>
      <x:c r="J273" s="767" t="e">
        <x:f>Taxepunkter!J309</x:f>
      </x:c>
      <x:c r="K273" s="767" t="n">
        <x:f>Taxepunkter!K309</x:f>
        <x:v>0</x:v>
      </x:c>
      <x:c r="L273" s="774" t="n">
        <x:f>Taxepunkter!L309</x:f>
        <x:v>0</x:v>
      </x:c>
    </x:row>
    <x:row r="274">
      <x:c r="A274" s="773" t="str">
        <x:f>Taxepunkter!A310</x:f>
        <x:v>§6.1.2</x:v>
      </x:c>
      <x:c r="B274" s="767" t="str">
        <x:f>Taxepunkter!B310</x:f>
        <x:v>Hanteringsavgifter för avfall inlämnat på återvinningscentral</x:v>
      </x:c>
      <x:c r="C274" s="767" t="str">
        <x:f>Taxepunkter!C310</x:f>
        <x:v>Väteperoxid Avfallskod 20 01 13*</x:v>
      </x:c>
      <x:c r="D274" s="767" t="str">
        <x:f>Taxepunkter!D310</x:f>
        <x:v>2014</x:v>
      </x:c>
      <x:c r="E274" s="767" t="str">
        <x:f>Taxepunkter!E310</x:f>
        <x:v>Kr/Kg</x:v>
      </x:c>
      <x:c r="F274" s="767" t="n">
        <x:f>Taxepunkter!F310</x:f>
        <x:v>0</x:v>
      </x:c>
      <x:c r="G274" s="767" t="str">
        <x:f>Taxepunkter!G310</x:f>
      </x:c>
      <x:c r="H274" s="767" t="e">
        <x:f>Taxepunkter!H310</x:f>
      </x:c>
      <x:c r="I274" s="767" t="e">
        <x:f>Taxepunkter!I310</x:f>
      </x:c>
      <x:c r="J274" s="767" t="e">
        <x:f>Taxepunkter!J310</x:f>
      </x:c>
      <x:c r="K274" s="767" t="n">
        <x:f>Taxepunkter!K310</x:f>
        <x:v>0</x:v>
      </x:c>
      <x:c r="L274" s="774" t="n">
        <x:f>Taxepunkter!L310</x:f>
        <x:v>0</x:v>
      </x:c>
    </x:row>
    <x:row r="275">
      <x:c r="A275" s="773" t="str">
        <x:f>Taxepunkter!A311</x:f>
        <x:v>§6.1.2</x:v>
      </x:c>
      <x:c r="B275" s="767" t="str">
        <x:f>Taxepunkter!B311</x:f>
        <x:v>Hanteringsavgifter för avfall inlämnat på återvinningscentral</x:v>
      </x:c>
      <x:c r="C275" s="767" t="str">
        <x:f>Taxepunkter!C311</x:f>
        <x:v>Glykolspill Avfallskod 16 01 14*</x:v>
      </x:c>
      <x:c r="D275" s="767" t="n">
        <x:f>Taxepunkter!D311</x:f>
        <x:v>0</x:v>
      </x:c>
      <x:c r="E275" s="767" t="str">
        <x:f>Taxepunkter!E311</x:f>
        <x:v>Kr/Kg</x:v>
      </x:c>
      <x:c r="F275" s="767" t="n">
        <x:f>Taxepunkter!F311</x:f>
        <x:v>0</x:v>
      </x:c>
      <x:c r="G275" s="767" t="str">
        <x:f>Taxepunkter!G311</x:f>
      </x:c>
      <x:c r="H275" s="767" t="e">
        <x:f>Taxepunkter!H311</x:f>
      </x:c>
      <x:c r="I275" s="767" t="e">
        <x:f>Taxepunkter!I311</x:f>
      </x:c>
      <x:c r="J275" s="767" t="e">
        <x:f>Taxepunkter!J311</x:f>
      </x:c>
      <x:c r="K275" s="767" t="n">
        <x:f>Taxepunkter!K311</x:f>
        <x:v>0</x:v>
      </x:c>
      <x:c r="L275" s="774" t="n">
        <x:f>Taxepunkter!L311</x:f>
        <x:v>0</x:v>
      </x:c>
    </x:row>
    <x:row r="276">
      <x:c r="A276" s="773" t="str">
        <x:f>Taxepunkter!A312</x:f>
        <x:v>§6.1.2</x:v>
      </x:c>
      <x:c r="B276" s="767" t="str">
        <x:f>Taxepunkter!B312</x:f>
        <x:v>Hanteringsavgifter för avfall inlämnat på återvinningscentral</x:v>
      </x:c>
      <x:c r="C276" s="767" t="str">
        <x:f>Taxepunkter!C312</x:f>
        <x:v>Härdare dibenzoylperoxid Avfallskod 20 01 27*</x:v>
      </x:c>
      <x:c r="D276" s="767" t="str">
        <x:f>Taxepunkter!D312</x:f>
        <x:v>3106</x:v>
      </x:c>
      <x:c r="E276" s="767" t="str">
        <x:f>Taxepunkter!E312</x:f>
        <x:v>Kr/Kg</x:v>
      </x:c>
      <x:c r="F276" s="767" t="n">
        <x:f>Taxepunkter!F312</x:f>
        <x:v>0</x:v>
      </x:c>
      <x:c r="G276" s="767" t="str">
        <x:f>Taxepunkter!G312</x:f>
      </x:c>
      <x:c r="H276" s="767" t="e">
        <x:f>Taxepunkter!H312</x:f>
      </x:c>
      <x:c r="I276" s="767" t="e">
        <x:f>Taxepunkter!I312</x:f>
      </x:c>
      <x:c r="J276" s="767" t="e">
        <x:f>Taxepunkter!J312</x:f>
      </x:c>
      <x:c r="K276" s="767" t="n">
        <x:f>Taxepunkter!K312</x:f>
        <x:v>0</x:v>
      </x:c>
      <x:c r="L276" s="774" t="n">
        <x:f>Taxepunkter!L312</x:f>
        <x:v>0</x:v>
      </x:c>
    </x:row>
    <x:row r="277">
      <x:c r="A277" s="773" t="str">
        <x:f>Taxepunkter!A313</x:f>
        <x:v>§6.1.2</x:v>
      </x:c>
      <x:c r="B277" s="767" t="str">
        <x:f>Taxepunkter!B313</x:f>
        <x:v>Hanteringsavgifter för avfall inlämnat på återvinningscentral</x:v>
      </x:c>
      <x:c r="C277" s="767" t="str">
        <x:f>Taxepunkter!C313</x:f>
        <x:v>Härdare metyletylketonperoxid Avfallskod 20 01 27*</x:v>
      </x:c>
      <x:c r="D277" s="767" t="str">
        <x:f>Taxepunkter!D313</x:f>
        <x:v>3105</x:v>
      </x:c>
      <x:c r="E277" s="767" t="str">
        <x:f>Taxepunkter!E313</x:f>
        <x:v>Kr/Kg</x:v>
      </x:c>
      <x:c r="F277" s="767" t="n">
        <x:f>Taxepunkter!F313</x:f>
        <x:v>0</x:v>
      </x:c>
      <x:c r="G277" s="767" t="str">
        <x:f>Taxepunkter!G313</x:f>
      </x:c>
      <x:c r="H277" s="767" t="e">
        <x:f>Taxepunkter!H313</x:f>
      </x:c>
      <x:c r="I277" s="767" t="e">
        <x:f>Taxepunkter!I313</x:f>
      </x:c>
      <x:c r="J277" s="767" t="e">
        <x:f>Taxepunkter!J313</x:f>
      </x:c>
      <x:c r="K277" s="767" t="n">
        <x:f>Taxepunkter!K313</x:f>
        <x:v>0</x:v>
      </x:c>
      <x:c r="L277" s="774" t="n">
        <x:f>Taxepunkter!L313</x:f>
        <x:v>0</x:v>
      </x:c>
    </x:row>
    <x:row r="278">
      <x:c r="A278" s="773" t="str">
        <x:f>Taxepunkter!A314</x:f>
        <x:v>§6.1.2</x:v>
      </x:c>
      <x:c r="B278" s="767" t="str">
        <x:f>Taxepunkter!B314</x:f>
        <x:v>Hanteringsavgifter för avfall inlämnat på återvinningscentral</x:v>
      </x:c>
      <x:c r="C278" s="767" t="str">
        <x:f>Taxepunkter!C314</x:f>
        <x:v>Fotokemikalier Avfallskod 20 01 17*</x:v>
      </x:c>
      <x:c r="D278" s="767" t="n">
        <x:f>Taxepunkter!D314</x:f>
        <x:v>0</x:v>
      </x:c>
      <x:c r="E278" s="767" t="str">
        <x:f>Taxepunkter!E314</x:f>
        <x:v>Kr/Kg</x:v>
      </x:c>
      <x:c r="F278" s="767" t="n">
        <x:f>Taxepunkter!F314</x:f>
        <x:v>0</x:v>
      </x:c>
      <x:c r="G278" s="767" t="str">
        <x:f>Taxepunkter!G314</x:f>
      </x:c>
      <x:c r="H278" s="767" t="e">
        <x:f>Taxepunkter!H314</x:f>
      </x:c>
      <x:c r="I278" s="767" t="e">
        <x:f>Taxepunkter!I314</x:f>
      </x:c>
      <x:c r="J278" s="767" t="e">
        <x:f>Taxepunkter!J314</x:f>
      </x:c>
      <x:c r="K278" s="767" t="n">
        <x:f>Taxepunkter!K314</x:f>
        <x:v>0</x:v>
      </x:c>
      <x:c r="L278" s="774" t="n">
        <x:f>Taxepunkter!L314</x:f>
        <x:v>0</x:v>
      </x:c>
    </x:row>
    <x:row r="279">
      <x:c r="A279" s="773" t="str">
        <x:f>Taxepunkter!A315</x:f>
        <x:v>§6.1.2</x:v>
      </x:c>
      <x:c r="B279" s="767" t="str">
        <x:f>Taxepunkter!B315</x:f>
        <x:v>Hanteringsavgifter för avfall inlämnat på återvinningscentral</x:v>
      </x:c>
      <x:c r="C279" s="767" t="str">
        <x:f>Taxepunkter!C315</x:f>
        <x:v>Avfall med kvicksilverinnehåll Avfallskod 20 01 21*</x:v>
      </x:c>
      <x:c r="D279" s="767" t="str">
        <x:f>Taxepunkter!D315</x:f>
        <x:v>2809</x:v>
      </x:c>
      <x:c r="E279" s="767" t="str">
        <x:f>Taxepunkter!E315</x:f>
        <x:v>Kr/Kg</x:v>
      </x:c>
      <x:c r="F279" s="767" t="n">
        <x:f>Taxepunkter!F315</x:f>
        <x:v>0</x:v>
      </x:c>
      <x:c r="G279" s="767" t="str">
        <x:f>Taxepunkter!G315</x:f>
      </x:c>
      <x:c r="H279" s="767" t="e">
        <x:f>Taxepunkter!H315</x:f>
      </x:c>
      <x:c r="I279" s="767" t="e">
        <x:f>Taxepunkter!I315</x:f>
      </x:c>
      <x:c r="J279" s="767" t="e">
        <x:f>Taxepunkter!J315</x:f>
      </x:c>
      <x:c r="K279" s="767" t="n">
        <x:f>Taxepunkter!K315</x:f>
        <x:v>0</x:v>
      </x:c>
      <x:c r="L279" s="774" t="n">
        <x:f>Taxepunkter!L315</x:f>
        <x:v>0</x:v>
      </x:c>
    </x:row>
    <x:row r="280">
      <x:c r="A280" s="773" t="str">
        <x:f>Taxepunkter!A316</x:f>
        <x:v>§6.1.2</x:v>
      </x:c>
      <x:c r="B280" s="767" t="str">
        <x:f>Taxepunkter!B316</x:f>
        <x:v>Hanteringsavgifter för avfall inlämnat på återvinningscentral</x:v>
      </x:c>
      <x:c r="C280" s="767" t="str">
        <x:f>Taxepunkter!C316</x:f>
        <x:v>Kvicksilver i föremål Avfallskod 20 01 21*</x:v>
      </x:c>
      <x:c r="D280" s="767" t="str">
        <x:f>Taxepunkter!D316</x:f>
        <x:v>3506</x:v>
      </x:c>
      <x:c r="E280" s="767" t="str">
        <x:f>Taxepunkter!E316</x:f>
        <x:v>Kr/Kg</x:v>
      </x:c>
      <x:c r="F280" s="767" t="n">
        <x:f>Taxepunkter!F316</x:f>
        <x:v>0</x:v>
      </x:c>
      <x:c r="G280" s="767" t="str">
        <x:f>Taxepunkter!G316</x:f>
      </x:c>
      <x:c r="H280" s="767" t="e">
        <x:f>Taxepunkter!H316</x:f>
      </x:c>
      <x:c r="I280" s="767" t="e">
        <x:f>Taxepunkter!I316</x:f>
      </x:c>
      <x:c r="J280" s="767" t="e">
        <x:f>Taxepunkter!J316</x:f>
      </x:c>
      <x:c r="K280" s="767" t="n">
        <x:f>Taxepunkter!K316</x:f>
        <x:v>0</x:v>
      </x:c>
      <x:c r="L280" s="774" t="n">
        <x:f>Taxepunkter!L316</x:f>
        <x:v>0</x:v>
      </x:c>
    </x:row>
    <x:row r="281">
      <x:c r="A281" s="773" t="str">
        <x:f>Taxepunkter!A317</x:f>
        <x:v>§6.1.2</x:v>
      </x:c>
      <x:c r="B281" s="767" t="str">
        <x:f>Taxepunkter!B317</x:f>
        <x:v>Hanteringsavgifter för avfall inlämnat på återvinningscentral</x:v>
      </x:c>
      <x:c r="C281" s="767" t="str">
        <x:f>Taxepunkter!C317</x:f>
        <x:v>Småkemikalier, ej Hg-haltiga Avfallskod 16 05 06*</x:v>
      </x:c>
      <x:c r="D281" s="767" t="str">
        <x:f>Taxepunkter!D317</x:f>
        <x:v>3286</x:v>
      </x:c>
      <x:c r="E281" s="767" t="str">
        <x:f>Taxepunkter!E317</x:f>
        <x:v>Kr/Kg</x:v>
      </x:c>
      <x:c r="F281" s="767" t="n">
        <x:f>Taxepunkter!F317</x:f>
        <x:v>0</x:v>
      </x:c>
      <x:c r="G281" s="767" t="str">
        <x:f>Taxepunkter!G317</x:f>
      </x:c>
      <x:c r="H281" s="767" t="e">
        <x:f>Taxepunkter!H317</x:f>
      </x:c>
      <x:c r="I281" s="767" t="e">
        <x:f>Taxepunkter!I317</x:f>
      </x:c>
      <x:c r="J281" s="767" t="e">
        <x:f>Taxepunkter!J317</x:f>
      </x:c>
      <x:c r="K281" s="767" t="n">
        <x:f>Taxepunkter!K317</x:f>
        <x:v>0</x:v>
      </x:c>
      <x:c r="L281" s="774" t="n">
        <x:f>Taxepunkter!L317</x:f>
        <x:v>0</x:v>
      </x:c>
    </x:row>
    <x:row r="282">
      <x:c r="A282" s="773" t="str">
        <x:f>Taxepunkter!A318</x:f>
        <x:v>§6.1.2</x:v>
      </x:c>
      <x:c r="B282" s="767" t="str">
        <x:f>Taxepunkter!B318</x:f>
        <x:v>Hanteringsavgifter för avfall inlämnat på återvinningscentral</x:v>
      </x:c>
      <x:c r="C282" s="767" t="str">
        <x:f>Taxepunkter!C318</x:f>
        <x:v>Förpackningar, tömda ej rengjorda Avfallskod 15 01 10*</x:v>
      </x:c>
      <x:c r="D282" s="767" t="n">
        <x:f>Taxepunkter!D318</x:f>
        <x:v>0</x:v>
      </x:c>
      <x:c r="E282" s="767" t="str">
        <x:f>Taxepunkter!E318</x:f>
        <x:v>Kr/Kg</x:v>
      </x:c>
      <x:c r="F282" s="767" t="n">
        <x:f>Taxepunkter!F318</x:f>
        <x:v>0</x:v>
      </x:c>
      <x:c r="G282" s="767" t="str">
        <x:f>Taxepunkter!G318</x:f>
      </x:c>
      <x:c r="H282" s="767" t="e">
        <x:f>Taxepunkter!H318</x:f>
      </x:c>
      <x:c r="I282" s="767" t="e">
        <x:f>Taxepunkter!I318</x:f>
      </x:c>
      <x:c r="J282" s="767" t="e">
        <x:f>Taxepunkter!J318</x:f>
      </x:c>
      <x:c r="K282" s="767" t="n">
        <x:f>Taxepunkter!K318</x:f>
        <x:v>0</x:v>
      </x:c>
      <x:c r="L282" s="774" t="n">
        <x:f>Taxepunkter!L318</x:f>
        <x:v>0</x:v>
      </x:c>
    </x:row>
    <x:row r="283">
      <x:c r="A283" s="773" t="str">
        <x:f>Taxepunkter!A319</x:f>
        <x:v>§6.1.2</x:v>
      </x:c>
      <x:c r="B283" s="767" t="str">
        <x:f>Taxepunkter!B319</x:f>
        <x:v>Hanteringsavgifter för avfall inlämnat på återvinningscentral</x:v>
      </x:c>
      <x:c r="C283" s="767" t="str">
        <x:f>Taxepunkter!C319</x:f>
        <x:v>Toner/färgpatroner Avfallskod 08 03 07</x:v>
      </x:c>
      <x:c r="D283" s="767" t="n">
        <x:f>Taxepunkter!D319</x:f>
        <x:v>0</x:v>
      </x:c>
      <x:c r="E283" s="767" t="str">
        <x:f>Taxepunkter!E319</x:f>
        <x:v>Kr/Kg</x:v>
      </x:c>
      <x:c r="F283" s="767" t="n">
        <x:f>Taxepunkter!F319</x:f>
        <x:v>0</x:v>
      </x:c>
      <x:c r="G283" s="767" t="str">
        <x:f>Taxepunkter!G319</x:f>
      </x:c>
      <x:c r="H283" s="767" t="e">
        <x:f>Taxepunkter!H319</x:f>
      </x:c>
      <x:c r="I283" s="767" t="e">
        <x:f>Taxepunkter!I319</x:f>
      </x:c>
      <x:c r="J283" s="767" t="e">
        <x:f>Taxepunkter!J319</x:f>
      </x:c>
      <x:c r="K283" s="767" t="n">
        <x:f>Taxepunkter!K319</x:f>
        <x:v>0</x:v>
      </x:c>
      <x:c r="L283" s="774" t="n">
        <x:f>Taxepunkter!L319</x:f>
        <x:v>0</x:v>
      </x:c>
    </x:row>
    <x:row r="284">
      <x:c r="A284" s="773" t="str">
        <x:f>Taxepunkter!A320</x:f>
        <x:v>§6.1.2</x:v>
      </x:c>
      <x:c r="B284" s="767" t="str">
        <x:f>Taxepunkter!B320</x:f>
        <x:v>Hanteringsavgifter för avfall inlämnat på återvinningscentral</x:v>
      </x:c>
      <x:c r="C284" s="767" t="str">
        <x:f>Taxepunkter!C320</x:f>
        <x:v>Oxiderande fast ämnen/vätska Avfallskod 16 05 04*</x:v>
      </x:c>
      <x:c r="D284" s="767" t="str">
        <x:f>Taxepunkter!D320</x:f>
        <x:v>1479</x:v>
      </x:c>
      <x:c r="E284" s="767" t="str">
        <x:f>Taxepunkter!E320</x:f>
        <x:v>Kr/Kg</x:v>
      </x:c>
      <x:c r="F284" s="767" t="n">
        <x:f>Taxepunkter!F320</x:f>
        <x:v>0</x:v>
      </x:c>
      <x:c r="G284" s="767" t="str">
        <x:f>Taxepunkter!G320</x:f>
      </x:c>
      <x:c r="H284" s="767" t="e">
        <x:f>Taxepunkter!H320</x:f>
      </x:c>
      <x:c r="I284" s="767" t="e">
        <x:f>Taxepunkter!I320</x:f>
      </x:c>
      <x:c r="J284" s="767" t="e">
        <x:f>Taxepunkter!J320</x:f>
      </x:c>
      <x:c r="K284" s="767" t="n">
        <x:f>Taxepunkter!K320</x:f>
        <x:v>0</x:v>
      </x:c>
      <x:c r="L284" s="774" t="n">
        <x:f>Taxepunkter!L320</x:f>
        <x:v>0</x:v>
      </x:c>
    </x:row>
    <x:row r="285">
      <x:c r="A285" s="773" t="str">
        <x:f>Taxepunkter!A321</x:f>
        <x:v>§6.1.2</x:v>
      </x:c>
      <x:c r="B285" s="767" t="str">
        <x:f>Taxepunkter!B321</x:f>
        <x:v>Hanteringsavgifter för avfall inlämnat på återvinningscentral</x:v>
      </x:c>
      <x:c r="C285" s="767" t="str">
        <x:f>Taxepunkter!C321</x:f>
        <x:v>Klorex Avfallskod 16 05 04*</x:v>
      </x:c>
      <x:c r="D285" s="767" t="str">
        <x:f>Taxepunkter!D321</x:f>
        <x:v>1495</x:v>
      </x:c>
      <x:c r="E285" s="767" t="str">
        <x:f>Taxepunkter!E321</x:f>
        <x:v>Kr/Kg</x:v>
      </x:c>
      <x:c r="F285" s="767" t="n">
        <x:f>Taxepunkter!F321</x:f>
        <x:v>0</x:v>
      </x:c>
      <x:c r="G285" s="767" t="str">
        <x:f>Taxepunkter!G321</x:f>
      </x:c>
      <x:c r="H285" s="767" t="e">
        <x:f>Taxepunkter!H321</x:f>
      </x:c>
      <x:c r="I285" s="767" t="e">
        <x:f>Taxepunkter!I321</x:f>
      </x:c>
      <x:c r="J285" s="767" t="e">
        <x:f>Taxepunkter!J321</x:f>
      </x:c>
      <x:c r="K285" s="767" t="n">
        <x:f>Taxepunkter!K321</x:f>
        <x:v>0</x:v>
      </x:c>
      <x:c r="L285" s="774" t="n">
        <x:f>Taxepunkter!L321</x:f>
        <x:v>0</x:v>
      </x:c>
    </x:row>
    <x:row r="286">
      <x:c r="A286" s="773" t="str">
        <x:f>Taxepunkter!A322</x:f>
        <x:v>§6.1.2</x:v>
      </x:c>
      <x:c r="B286" s="767" t="str">
        <x:f>Taxepunkter!B322</x:f>
        <x:v>Hanteringsavgifter för avfall inlämnat på återvinningscentral</x:v>
      </x:c>
      <x:c r="C286" s="767" t="str">
        <x:f>Taxepunkter!C322</x:f>
        <x:v>Aerosoler isocyanat/bekämpningsmedel/ugnsrengöring Avfallskod 16 05 04*</x:v>
      </x:c>
      <x:c r="D286" s="767" t="str">
        <x:f>Taxepunkter!D322</x:f>
        <x:v>1950</x:v>
      </x:c>
      <x:c r="E286" s="767" t="str">
        <x:f>Taxepunkter!E322</x:f>
        <x:v>Kr/Kg</x:v>
      </x:c>
      <x:c r="F286" s="767" t="n">
        <x:f>Taxepunkter!F322</x:f>
        <x:v>0</x:v>
      </x:c>
      <x:c r="G286" s="767" t="str">
        <x:f>Taxepunkter!G322</x:f>
      </x:c>
      <x:c r="H286" s="767" t="e">
        <x:f>Taxepunkter!H322</x:f>
      </x:c>
      <x:c r="I286" s="767" t="e">
        <x:f>Taxepunkter!I322</x:f>
      </x:c>
      <x:c r="J286" s="767" t="e">
        <x:f>Taxepunkter!J322</x:f>
      </x:c>
      <x:c r="K286" s="767" t="n">
        <x:f>Taxepunkter!K322</x:f>
        <x:v>0</x:v>
      </x:c>
      <x:c r="L286" s="774" t="n">
        <x:f>Taxepunkter!L322</x:f>
        <x:v>0</x:v>
      </x:c>
    </x:row>
    <x:row r="287">
      <x:c r="A287" s="773" t="str">
        <x:f>Taxepunkter!A323</x:f>
        <x:v>§6.1.2</x:v>
      </x:c>
      <x:c r="B287" s="767" t="str">
        <x:f>Taxepunkter!B323</x:f>
        <x:v>Hanteringsavgifter för avfall inlämnat på återvinningscentral</x:v>
      </x:c>
      <x:c r="C287" s="767" t="str">
        <x:f>Taxepunkter!C323</x:f>
        <x:v>Tändare Avfallskod 16 05 04*</x:v>
      </x:c>
      <x:c r="D287" s="767" t="str">
        <x:f>Taxepunkter!D323</x:f>
        <x:v>1057</x:v>
      </x:c>
      <x:c r="E287" s="767" t="str">
        <x:f>Taxepunkter!E323</x:f>
        <x:v>Kr/Kg</x:v>
      </x:c>
      <x:c r="F287" s="767" t="n">
        <x:f>Taxepunkter!F323</x:f>
        <x:v>0</x:v>
      </x:c>
      <x:c r="G287" s="767" t="str">
        <x:f>Taxepunkter!G323</x:f>
      </x:c>
      <x:c r="H287" s="767" t="e">
        <x:f>Taxepunkter!H323</x:f>
      </x:c>
      <x:c r="I287" s="767" t="e">
        <x:f>Taxepunkter!I323</x:f>
      </x:c>
      <x:c r="J287" s="767" t="e">
        <x:f>Taxepunkter!J323</x:f>
      </x:c>
      <x:c r="K287" s="767" t="n">
        <x:f>Taxepunkter!K323</x:f>
        <x:v>0</x:v>
      </x:c>
      <x:c r="L287" s="774" t="n">
        <x:f>Taxepunkter!L323</x:f>
        <x:v>0</x:v>
      </x:c>
    </x:row>
    <x:row r="288">
      <x:c r="A288" s="773" t="str">
        <x:f>Taxepunkter!A324</x:f>
        <x:v>§6.1.2</x:v>
      </x:c>
      <x:c r="B288" s="767" t="str">
        <x:f>Taxepunkter!B324</x:f>
        <x:v>Hanteringsavgifter för avfall inlämnat på återvinningscentral</x:v>
      </x:c>
      <x:c r="C288" s="767" t="str">
        <x:f>Taxepunkter!C324</x:f>
        <x:v>Engångsgasol Avfallskod 16 05 04*</x:v>
      </x:c>
      <x:c r="D288" s="767" t="str">
        <x:f>Taxepunkter!D324</x:f>
        <x:v>2037</x:v>
      </x:c>
      <x:c r="E288" s="767" t="str">
        <x:f>Taxepunkter!E324</x:f>
        <x:v>Kr/Kg</x:v>
      </x:c>
      <x:c r="F288" s="767" t="n">
        <x:f>Taxepunkter!F324</x:f>
        <x:v>0</x:v>
      </x:c>
      <x:c r="G288" s="767" t="str">
        <x:f>Taxepunkter!G324</x:f>
      </x:c>
      <x:c r="H288" s="767" t="e">
        <x:f>Taxepunkter!H324</x:f>
      </x:c>
      <x:c r="I288" s="767" t="e">
        <x:f>Taxepunkter!I324</x:f>
      </x:c>
      <x:c r="J288" s="767" t="e">
        <x:f>Taxepunkter!J324</x:f>
      </x:c>
      <x:c r="K288" s="767" t="n">
        <x:f>Taxepunkter!K324</x:f>
        <x:v>0</x:v>
      </x:c>
      <x:c r="L288" s="774" t="n">
        <x:f>Taxepunkter!L324</x:f>
        <x:v>0</x:v>
      </x:c>
    </x:row>
    <x:row r="289">
      <x:c r="A289" s="773" t="str">
        <x:f>Taxepunkter!A325</x:f>
        <x:v>§6.1.2</x:v>
      </x:c>
      <x:c r="B289" s="767" t="str">
        <x:f>Taxepunkter!B325</x:f>
        <x:v>Hanteringsavgifter för avfall inlämnat på återvinningscentral</x:v>
      </x:c>
      <x:c r="C289" s="767" t="str">
        <x:f>Taxepunkter!C325</x:f>
        <x:v>Brandsläckare Avfallskod 16 05 04*</x:v>
      </x:c>
      <x:c r="D289" s="767" t="str">
        <x:f>Taxepunkter!D325</x:f>
        <x:v>1044</x:v>
      </x:c>
      <x:c r="E289" s="767" t="str">
        <x:f>Taxepunkter!E325</x:f>
        <x:v>Kr/Kg</x:v>
      </x:c>
      <x:c r="F289" s="767" t="n">
        <x:f>Taxepunkter!F325</x:f>
        <x:v>0</x:v>
      </x:c>
      <x:c r="G289" s="767" t="str">
        <x:f>Taxepunkter!G325</x:f>
      </x:c>
      <x:c r="H289" s="767" t="e">
        <x:f>Taxepunkter!H325</x:f>
      </x:c>
      <x:c r="I289" s="767" t="e">
        <x:f>Taxepunkter!I325</x:f>
      </x:c>
      <x:c r="J289" s="767" t="e">
        <x:f>Taxepunkter!J325</x:f>
      </x:c>
      <x:c r="K289" s="767" t="n">
        <x:f>Taxepunkter!K325</x:f>
        <x:v>0</x:v>
      </x:c>
      <x:c r="L289" s="774" t="n">
        <x:f>Taxepunkter!L325</x:f>
        <x:v>0</x:v>
      </x:c>
    </x:row>
    <x:row r="290">
      <x:c r="A290" s="773" t="str">
        <x:f>Taxepunkter!A326</x:f>
        <x:v>§6.1.2</x:v>
      </x:c>
      <x:c r="B290" s="767" t="str">
        <x:f>Taxepunkter!B326</x:f>
        <x:v>Hanteringsavgifter för avfall inlämnat på återvinningscentral</x:v>
      </x:c>
      <x:c r="C290" s="767" t="str">
        <x:f>Taxepunkter!C326</x:f>
        <x:v>Koldioxid Avfallskod 16 05 04*</x:v>
      </x:c>
      <x:c r="D290" s="767" t="str">
        <x:f>Taxepunkter!D326</x:f>
        <x:v>1013</x:v>
      </x:c>
      <x:c r="E290" s="767" t="str">
        <x:f>Taxepunkter!E326</x:f>
        <x:v>Kr/Kg</x:v>
      </x:c>
      <x:c r="F290" s="767" t="n">
        <x:f>Taxepunkter!F326</x:f>
        <x:v>0</x:v>
      </x:c>
      <x:c r="G290" s="767" t="str">
        <x:f>Taxepunkter!G326</x:f>
      </x:c>
      <x:c r="H290" s="767" t="e">
        <x:f>Taxepunkter!H326</x:f>
      </x:c>
      <x:c r="I290" s="767" t="e">
        <x:f>Taxepunkter!I326</x:f>
      </x:c>
      <x:c r="J290" s="767" t="e">
        <x:f>Taxepunkter!J326</x:f>
      </x:c>
      <x:c r="K290" s="767" t="n">
        <x:f>Taxepunkter!K326</x:f>
        <x:v>0</x:v>
      </x:c>
      <x:c r="L290" s="774" t="n">
        <x:f>Taxepunkter!L326</x:f>
        <x:v>0</x:v>
      </x:c>
    </x:row>
    <x:row r="291">
      <x:c r="A291" s="773" t="str">
        <x:f>Taxepunkter!A327</x:f>
        <x:v>§6.1.2</x:v>
      </x:c>
      <x:c r="B291" s="767" t="str">
        <x:f>Taxepunkter!B327</x:f>
        <x:v>Hanteringsavgifter för avfall inlämnat på återvinningscentral</x:v>
      </x:c>
      <x:c r="C291" s="767" t="str">
        <x:f>Taxepunkter!C327</x:f>
        <x:v>Gasol Avfallskod 16 05 04*</x:v>
      </x:c>
      <x:c r="D291" s="767" t="str">
        <x:f>Taxepunkter!D327</x:f>
        <x:v>1965</x:v>
      </x:c>
      <x:c r="E291" s="767" t="str">
        <x:f>Taxepunkter!E327</x:f>
        <x:v>Kr/Kg</x:v>
      </x:c>
      <x:c r="F291" s="767" t="n">
        <x:f>Taxepunkter!F327</x:f>
        <x:v>0</x:v>
      </x:c>
      <x:c r="G291" s="767" t="str">
        <x:f>Taxepunkter!G327</x:f>
      </x:c>
      <x:c r="H291" s="767" t="e">
        <x:f>Taxepunkter!H327</x:f>
      </x:c>
      <x:c r="I291" s="767" t="e">
        <x:f>Taxepunkter!I327</x:f>
      </x:c>
      <x:c r="J291" s="767" t="e">
        <x:f>Taxepunkter!J327</x:f>
      </x:c>
      <x:c r="K291" s="767" t="n">
        <x:f>Taxepunkter!K327</x:f>
        <x:v>0</x:v>
      </x:c>
      <x:c r="L291" s="774" t="n">
        <x:f>Taxepunkter!L327</x:f>
        <x:v>0</x:v>
      </x:c>
    </x:row>
    <x:row r="292">
      <x:c r="A292" s="840" t="str">
        <x:f>Taxepunkter!A328</x:f>
        <x:v>§6.1.2</x:v>
      </x:c>
      <x:c r="B292" s="841" t="str">
        <x:f>Taxepunkter!B328</x:f>
        <x:v>Hanteringsavgifter för avfall inlämnat på återvinningscentral</x:v>
      </x:c>
      <x:c r="C292" s="841" t="str">
        <x:f>Taxepunkter!C328</x:f>
        <x:v>Helium Avfallskod 16 05 04*</x:v>
      </x:c>
      <x:c r="D292" s="841" t="str">
        <x:f>Taxepunkter!D328</x:f>
        <x:v>1046</x:v>
      </x:c>
      <x:c r="E292" s="841" t="str">
        <x:f>Taxepunkter!E328</x:f>
        <x:v>Kr/Kg</x:v>
      </x:c>
      <x:c r="F292" s="841" t="n">
        <x:f>Taxepunkter!F328</x:f>
        <x:v>0</x:v>
      </x:c>
      <x:c r="G292" s="841" t="str">
        <x:f>Taxepunkter!G328</x:f>
      </x:c>
      <x:c r="H292" s="841" t="e">
        <x:f>Taxepunkter!H328</x:f>
      </x:c>
      <x:c r="I292" s="841" t="e">
        <x:f>Taxepunkter!I328</x:f>
      </x:c>
      <x:c r="J292" s="841" t="e">
        <x:f>Taxepunkter!J328</x:f>
      </x:c>
      <x:c r="K292" s="841" t="n">
        <x:f>Taxepunkter!K328</x:f>
        <x:v>0</x:v>
      </x:c>
      <x:c r="L292" s="842" t="n">
        <x:f>Taxepunkter!L328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44" t="inlineStr">
        <x:is>
          <x:t xml:space="preserve">Intäkt per Paragraf och Variant</x:t>
        </x:is>
      </x:c>
      <x:c r="B1" s="845"/>
      <x:c r="C1" s="772"/>
    </x:row>
    <x:row r="2">
      <x:c r="A2" s="773"/>
      <x:c r="B2" s="767"/>
      <x:c r="C2" s="774"/>
    </x:row>
    <x:row r="3">
      <x:c r="A3" s="775" t="inlineStr">
        <x:is>
          <x:t xml:space="preserve">Paragraf</x:t>
        </x:is>
      </x:c>
      <x:c r="B3" s="768" t="inlineStr">
        <x:is>
          <x:t xml:space="preserve">Variant</x:t>
        </x:is>
      </x:c>
      <x:c r="C3" s="846" t="inlineStr">
        <x:is>
          <x:t xml:space="preserve">Total intäkt (kr)</x:t>
        </x:is>
      </x:c>
    </x:row>
    <x:row r="4">
      <x:c r="A4" s="773" t="inlineStr">
        <x:is>
          <x:t xml:space="preserve">§2.2.4</x:t>
        </x:is>
      </x:c>
      <x:c r="B4" s="767" t="inlineStr">
        <x:is>
          <x:t xml:space="preserve">Hämtning Avgift per lägenhet</x:t>
        </x:is>
      </x:c>
      <x:c r="C4" s="776" t="e">
        <x:f>SUMIFS(Taxepunkter_Rådata!K:K,Taxepunkter_Rådata!A:A,"§2.2.4",Taxepunkter_Rådata!D:D,"Hämtning Avgift per lägenhet")</x:f>
      </x:c>
    </x:row>
    <x:row r="5">
      <x:c r="A5" s="773" t="inlineStr">
        <x:is>
          <x:t xml:space="preserve">§2.2.4</x:t>
        </x:is>
      </x:c>
      <x:c r="B5" s="767" t="inlineStr">
        <x:is>
          <x:t xml:space="preserve">Hämtning Avgift per tömning</x:t>
        </x:is>
      </x:c>
      <x:c r="C5" s="776" t="e">
        <x:f>SUMIFS(Taxepunkter_Rådata!K:K,Taxepunkter_Rådata!A:A,"§2.2.4",Taxepunkter_Rådata!D:D,"Hämtning Avgift per tömning")</x:f>
      </x:c>
    </x:row>
    <x:row r="6">
      <x:c r="A6" s="773" t="inlineStr">
        <x:is>
          <x:t xml:space="preserve">§2.2.4</x:t>
        </x:is>
      </x:c>
      <x:c r="B6" s="767" t="inlineStr">
        <x:is>
          <x:t xml:space="preserve">Hämtning månadsvis</x:t>
        </x:is>
      </x:c>
      <x:c r="C6" s="776" t="e">
        <x:f>SUMIFS(Taxepunkter_Rådata!K:K,Taxepunkter_Rådata!A:A,"§2.2.4",Taxepunkter_Rådata!D:D,"Hämtning månadsvis")</x:f>
      </x:c>
    </x:row>
    <x:row r="7">
      <x:c r="A7" s="773" t="inlineStr">
        <x:is>
          <x:t xml:space="preserve">§2.2.4</x:t>
        </x:is>
      </x:c>
      <x:c r="B7" s="767" t="inlineStr">
        <x:is>
          <x:t xml:space="preserve">Hämtning var 14:e dag</x:t>
        </x:is>
      </x:c>
      <x:c r="C7" s="776" t="e">
        <x:f>SUMIFS(Taxepunkter_Rådata!K:K,Taxepunkter_Rådata!A:A,"§2.2.4",Taxepunkter_Rådata!D:D,"Hämtning var 14:e dag")</x:f>
      </x:c>
    </x:row>
    <x:row r="8">
      <x:c r="A8" s="773" t="inlineStr">
        <x:is>
          <x:t xml:space="preserve">§2.2.4</x:t>
        </x:is>
      </x:c>
      <x:c r="B8" s="767" t="inlineStr">
        <x:is>
          <x:t xml:space="preserve">Hämtning varje vecka</x:t>
        </x:is>
      </x:c>
      <x:c r="C8" s="776" t="e">
        <x:f>SUMIFS(Taxepunkter_Rådata!K:K,Taxepunkter_Rådata!A:A,"§2.2.4",Taxepunkter_Rådata!D:D,"Hämtning varje vecka")</x:f>
      </x:c>
    </x:row>
    <x:row r="9">
      <x:c r="A9" s="773" t="inlineStr">
        <x:is>
          <x:t xml:space="preserve">§2.2.5</x:t>
        </x:is>
      </x:c>
      <x:c r="B9" s="767" t="inlineStr">
        <x:is>
          <x:t xml:space="preserve">Hämtning Avgift per tömning</x:t>
        </x:is>
      </x:c>
      <x:c r="C9" s="776" t="e">
        <x:f>SUMIFS(Taxepunkter_Rådata!K:K,Taxepunkter_Rådata!A:A,"§2.2.5",Taxepunkter_Rådata!D:D,"Hämtning Avgift per tömning")</x:f>
      </x:c>
    </x:row>
    <x:row r="10">
      <x:c r="A10" s="773" t="inlineStr">
        <x:is>
          <x:t xml:space="preserve">§2.2.5</x:t>
        </x:is>
      </x:c>
      <x:c r="B10" s="767" t="inlineStr">
        <x:is>
          <x:t xml:space="preserve">Hämtning månadsvis</x:t>
        </x:is>
      </x:c>
      <x:c r="C10" s="776" t="e">
        <x:f>SUMIFS(Taxepunkter_Rådata!K:K,Taxepunkter_Rådata!A:A,"§2.2.5",Taxepunkter_Rådata!D:D,"Hämtning månadsvis")</x:f>
      </x:c>
    </x:row>
    <x:row r="11">
      <x:c r="A11" s="773" t="inlineStr">
        <x:is>
          <x:t xml:space="preserve">§2.2.5</x:t>
        </x:is>
      </x:c>
      <x:c r="B11" s="767" t="inlineStr">
        <x:is>
          <x:t xml:space="preserve">Hämtning var 14:e dag</x:t>
        </x:is>
      </x:c>
      <x:c r="C11" s="776" t="e">
        <x:f>SUMIFS(Taxepunkter_Rådata!K:K,Taxepunkter_Rådata!A:A,"§2.2.5",Taxepunkter_Rådata!D:D,"Hämtning var 14:e dag")</x:f>
      </x:c>
    </x:row>
    <x:row r="12">
      <x:c r="A12" s="773" t="inlineStr">
        <x:is>
          <x:t xml:space="preserve">§2.2.5</x:t>
        </x:is>
      </x:c>
      <x:c r="B12" s="767" t="inlineStr">
        <x:is>
          <x:t xml:space="preserve">Hämtning varje vecka</x:t>
        </x:is>
      </x:c>
      <x:c r="C12" s="776" t="e">
        <x:f>SUMIFS(Taxepunkter_Rådata!K:K,Taxepunkter_Rådata!A:A,"§2.2.5",Taxepunkter_Rådata!D:D,"Hämtning varje vecka")</x:f>
      </x:c>
    </x:row>
    <x:row r="13">
      <x:c r="A13" s="773" t="inlineStr">
        <x:is>
          <x:t xml:space="preserve">§2.6.2</x:t>
        </x:is>
      </x:c>
      <x:c r="B13" s="767" t="inlineStr">
        <x:is>
          <x:t xml:space="preserve">Över 100 kg</x:t>
        </x:is>
      </x:c>
      <x:c r="C13" s="776" t="e">
        <x:f>SUMIFS(Taxepunkter_Rådata!K:K,Taxepunkter_Rådata!A:A,"§2.6.2",Taxepunkter_Rådata!D:D,"Över 100 kg")</x:f>
      </x:c>
    </x:row>
    <x:row r="14">
      <x:c r="A14" s="773" t="inlineStr">
        <x:is>
          <x:t xml:space="preserve">§2.6.2</x:t>
        </x:is>
      </x:c>
      <x:c r="B14" s="767" t="inlineStr">
        <x:is>
          <x:t xml:space="preserve">Över 40 kg</x:t>
        </x:is>
      </x:c>
      <x:c r="C14" s="776" t="e">
        <x:f>SUMIFS(Taxepunkter_Rådata!K:K,Taxepunkter_Rådata!A:A,"§2.6.2",Taxepunkter_Rådata!D:D,"Över 40 kg")</x:f>
      </x:c>
    </x:row>
    <x:row r="15">
      <x:c r="A15" s="773" t="inlineStr">
        <x:is>
          <x:t xml:space="preserve">§2.6.2</x:t>
        </x:is>
      </x:c>
      <x:c r="B15" s="767" t="inlineStr">
        <x:is>
          <x:t xml:space="preserve">Över 60 kg</x:t>
        </x:is>
      </x:c>
      <x:c r="C15" s="776" t="e">
        <x:f>SUMIFS(Taxepunkter_Rådata!K:K,Taxepunkter_Rådata!A:A,"§2.6.2",Taxepunkter_Rådata!D:D,"Över 60 kg")</x:f>
      </x:c>
    </x:row>
    <x:row r="16">
      <x:c r="A16" s="773" t="inlineStr">
        <x:is>
          <x:t xml:space="preserve">§2.6.5</x:t>
        </x:is>
      </x:c>
      <x:c r="B16" s="767" t="inlineStr">
        <x:is>
          <x:t xml:space="preserve">140–240 liter</x:t>
        </x:is>
      </x:c>
      <x:c r="C16" s="776" t="e">
        <x:f>SUMIFS(Taxepunkter_Rådata!K:K,Taxepunkter_Rådata!A:A,"§2.6.5",Taxepunkter_Rådata!D:D,"140–240 liter")</x:f>
      </x:c>
    </x:row>
    <x:row r="17">
      <x:c r="A17" s="773" t="inlineStr">
        <x:is>
          <x:t xml:space="preserve">§2.6.5</x:t>
        </x:is>
      </x:c>
      <x:c r="B17" s="767" t="inlineStr">
        <x:is>
          <x:t xml:space="preserve">370–660 liter</x:t>
        </x:is>
      </x:c>
      <x:c r="C17" s="776" t="e">
        <x:f>SUMIFS(Taxepunkter_Rådata!K:K,Taxepunkter_Rådata!A:A,"§2.6.5",Taxepunkter_Rådata!D:D,"370–660 liter")</x:f>
      </x:c>
    </x:row>
    <x:row r="18">
      <x:c r="A18" s="773" t="inlineStr">
        <x:is>
          <x:t xml:space="preserve">§2.6.7</x:t>
        </x:is>
      </x:c>
      <x:c r="B18" s="767" t="inlineStr">
        <x:is>
          <x:t xml:space="preserve">1,5-10</x:t>
        </x:is>
      </x:c>
      <x:c r="C18" s="776" t="e">
        <x:f>SUMIFS(Taxepunkter_Rådata!K:K,Taxepunkter_Rådata!A:A,"§2.6.7",Taxepunkter_Rådata!D:D,"1,5-10")</x:f>
      </x:c>
    </x:row>
    <x:row r="19">
      <x:c r="A19" s="773" t="inlineStr">
        <x:is>
          <x:t xml:space="preserve">§2.6.7</x:t>
        </x:is>
      </x:c>
      <x:c r="B19" s="767" t="inlineStr">
        <x:is>
          <x:t xml:space="preserve">10-20</x:t>
        </x:is>
      </x:c>
      <x:c r="C19" s="776" t="e">
        <x:f>SUMIFS(Taxepunkter_Rådata!K:K,Taxepunkter_Rådata!A:A,"§2.6.7",Taxepunkter_Rådata!D:D,"10-20")</x:f>
      </x:c>
    </x:row>
    <x:row r="20">
      <x:c r="A20" s="773" t="inlineStr">
        <x:is>
          <x:t xml:space="preserve">§2.6.7</x:t>
        </x:is>
      </x:c>
      <x:c r="B20" s="767" t="inlineStr">
        <x:is>
          <x:t xml:space="preserve">20-30</x:t>
        </x:is>
      </x:c>
      <x:c r="C20" s="776" t="e">
        <x:f>SUMIFS(Taxepunkter_Rådata!K:K,Taxepunkter_Rådata!A:A,"§2.6.7",Taxepunkter_Rådata!D:D,"20-30")</x:f>
      </x:c>
    </x:row>
    <x:row r="21">
      <x:c r="A21" s="773" t="inlineStr">
        <x:is>
          <x:t xml:space="preserve">§3.3</x:t>
        </x:is>
      </x:c>
      <x:c r="B21" s="767" t="inlineStr">
        <x:is>
          <x:t xml:space="preserve">Inom 24 timmar</x:t>
        </x:is>
      </x:c>
      <x:c r="C21" s="776" t="e">
        <x:f>SUMIFS(Taxepunkter_Rådata!K:K,Taxepunkter_Rådata!A:A,"§3.3",Taxepunkter_Rådata!D:D,"Inom 24 timmar")</x:f>
      </x:c>
    </x:row>
    <x:row r="22">
      <x:c r="A22" s="773" t="inlineStr">
        <x:is>
          <x:t xml:space="preserve">§3.3</x:t>
        </x:is>
      </x:c>
      <x:c r="B22" s="767" t="inlineStr">
        <x:is>
          <x:t xml:space="preserve">Inom 7 arbetsdagar</x:t>
        </x:is>
      </x:c>
      <x:c r="C22" s="776" t="e">
        <x:f>SUMIFS(Taxepunkter_Rådata!K:K,Taxepunkter_Rådata!A:A,"§3.3",Taxepunkter_Rådata!D:D,"Inom 7 arbetsdagar")</x:f>
      </x:c>
    </x:row>
    <x:row r="23">
      <x:c r="A23" s="773" t="inlineStr">
        <x:is>
          <x:t xml:space="preserve">§4.1</x:t>
        </x:is>
      </x:c>
      <x:c r="B23" s="767" t="inlineStr">
        <x:is>
          <x:t xml:space="preserve">Inom 7 arbetsdagar</x:t>
        </x:is>
      </x:c>
      <x:c r="C23" s="776" t="e">
        <x:f>SUMIFS(Taxepunkter_Rådata!K:K,Taxepunkter_Rådata!A:A,"§4.1",Taxepunkter_Rådata!D:D,"Inom 7 arbetsdagar")</x:f>
      </x:c>
    </x:row>
    <x:row r="24">
      <x:c r="A24" s="773" t="inlineStr">
        <x:is>
          <x:t xml:space="preserve">§4.3</x:t>
        </x:is>
      </x:c>
      <x:c r="B24" s="767" t="inlineStr">
        <x:is>
          <x:t xml:space="preserve">Inom 24 timmar</x:t>
        </x:is>
      </x:c>
      <x:c r="C24" s="776" t="e">
        <x:f>SUMIFS(Taxepunkter_Rådata!K:K,Taxepunkter_Rådata!A:A,"§4.3",Taxepunkter_Rådata!D:D,"Inom 24 timmar")</x:f>
      </x:c>
    </x:row>
    <x:row r="25">
      <x:c r="A25" s="773" t="inlineStr">
        <x:is>
          <x:t xml:space="preserve">§4.3</x:t>
        </x:is>
      </x:c>
      <x:c r="B25" s="767" t="inlineStr">
        <x:is>
          <x:t xml:space="preserve">Inom 7 arbetsdagar</x:t>
        </x:is>
      </x:c>
      <x:c r="C25" s="776" t="e">
        <x:f>SUMIFS(Taxepunkter_Rådata!K:K,Taxepunkter_Rådata!A:A,"§4.3",Taxepunkter_Rådata!D:D,"Inom 7 arbetsdagar")</x:f>
      </x:c>
    </x:row>
    <x:row r="26">
      <x:c r="A26" s="773" t="inlineStr">
        <x:is>
          <x:t xml:space="preserve">§5.3</x:t>
        </x:is>
      </x:c>
      <x:c r="B26" s="767" t="inlineStr">
        <x:is>
          <x:t xml:space="preserve">Inom 24 timmar</x:t>
        </x:is>
      </x:c>
      <x:c r="C26" s="776" t="e">
        <x:f>SUMIFS(Taxepunkter_Rådata!K:K,Taxepunkter_Rådata!A:A,"§5.3",Taxepunkter_Rådata!D:D,"Inom 24 timmar")</x:f>
      </x:c>
    </x:row>
    <x:row r="27">
      <x:c r="A27" s="773" t="inlineStr">
        <x:is>
          <x:t xml:space="preserve">§5.3</x:t>
        </x:is>
      </x:c>
      <x:c r="B27" s="767" t="inlineStr">
        <x:is>
          <x:t xml:space="preserve">Inom 7 arbetsdagar</x:t>
        </x:is>
      </x:c>
      <x:c r="C27" s="776" t="e">
        <x:f>SUMIFS(Taxepunkter_Rådata!K:K,Taxepunkter_Rådata!A:A,"§5.3",Taxepunkter_Rådata!D:D,"Inom 7 arbetsdagar")</x:f>
      </x:c>
    </x:row>
    <x:row r="28">
      <x:c r="A28" s="773" t="inlineStr">
        <x:is>
          <x:t xml:space="preserve">§6</x:t>
        </x:is>
      </x:c>
      <x:c r="B28" s="767" t="inlineStr">
        <x:is>
          <x:t xml:space="preserve">1009</x:t>
        </x:is>
      </x:c>
      <x:c r="C28" s="776" t="e">
        <x:f>SUMIFS(Taxepunkter_Rådata!K:K,Taxepunkter_Rådata!A:A,"§6",Taxepunkter_Rådata!D:D,"1009")</x:f>
      </x:c>
    </x:row>
    <x:row r="29">
      <x:c r="A29" s="773" t="inlineStr">
        <x:is>
          <x:t xml:space="preserve">§6</x:t>
        </x:is>
      </x:c>
      <x:c r="B29" s="767" t="inlineStr">
        <x:is>
          <x:t xml:space="preserve">1013</x:t>
        </x:is>
      </x:c>
      <x:c r="C29" s="776" t="e">
        <x:f>SUMIFS(Taxepunkter_Rådata!K:K,Taxepunkter_Rådata!A:A,"§6",Taxepunkter_Rådata!D:D,"1013")</x:f>
      </x:c>
    </x:row>
    <x:row r="30">
      <x:c r="A30" s="773" t="inlineStr">
        <x:is>
          <x:t xml:space="preserve">§6</x:t>
        </x:is>
      </x:c>
      <x:c r="B30" s="767" t="inlineStr">
        <x:is>
          <x:t xml:space="preserve">1043</x:t>
        </x:is>
      </x:c>
      <x:c r="C30" s="776" t="e">
        <x:f>SUMIFS(Taxepunkter_Rådata!K:K,Taxepunkter_Rådata!A:A,"§6",Taxepunkter_Rådata!D:D,"1043")</x:f>
      </x:c>
    </x:row>
    <x:row r="31">
      <x:c r="A31" s="773" t="inlineStr">
        <x:is>
          <x:t xml:space="preserve">§6</x:t>
        </x:is>
      </x:c>
      <x:c r="B31" s="767" t="inlineStr">
        <x:is>
          <x:t xml:space="preserve">1044</x:t>
        </x:is>
      </x:c>
      <x:c r="C31" s="776" t="e">
        <x:f>SUMIFS(Taxepunkter_Rådata!K:K,Taxepunkter_Rådata!A:A,"§6",Taxepunkter_Rådata!D:D,"1044")</x:f>
      </x:c>
    </x:row>
    <x:row r="32">
      <x:c r="A32" s="773" t="inlineStr">
        <x:is>
          <x:t xml:space="preserve">§6</x:t>
        </x:is>
      </x:c>
      <x:c r="B32" s="767" t="inlineStr">
        <x:is>
          <x:t xml:space="preserve">1046</x:t>
        </x:is>
      </x:c>
      <x:c r="C32" s="776" t="e">
        <x:f>SUMIFS(Taxepunkter_Rådata!K:K,Taxepunkter_Rådata!A:A,"§6",Taxepunkter_Rådata!D:D,"1046")</x:f>
      </x:c>
    </x:row>
    <x:row r="33">
      <x:c r="A33" s="773" t="inlineStr">
        <x:is>
          <x:t xml:space="preserve">§6</x:t>
        </x:is>
      </x:c>
      <x:c r="B33" s="767" t="inlineStr">
        <x:is>
          <x:t xml:space="preserve">1057</x:t>
        </x:is>
      </x:c>
      <x:c r="C33" s="776" t="e">
        <x:f>SUMIFS(Taxepunkter_Rådata!K:K,Taxepunkter_Rådata!A:A,"§6",Taxepunkter_Rådata!D:D,"1057")</x:f>
      </x:c>
    </x:row>
    <x:row r="34">
      <x:c r="A34" s="773" t="inlineStr">
        <x:is>
          <x:t xml:space="preserve">§6</x:t>
        </x:is>
      </x:c>
      <x:c r="B34" s="767" t="inlineStr">
        <x:is>
          <x:t xml:space="preserve">1072</x:t>
        </x:is>
      </x:c>
      <x:c r="C34" s="776" t="e">
        <x:f>SUMIFS(Taxepunkter_Rådata!K:K,Taxepunkter_Rådata!A:A,"§6",Taxepunkter_Rådata!D:D,"1072")</x:f>
      </x:c>
    </x:row>
    <x:row r="35">
      <x:c r="A35" s="773" t="inlineStr">
        <x:is>
          <x:t xml:space="preserve">§6</x:t>
        </x:is>
      </x:c>
      <x:c r="B35" s="767" t="inlineStr">
        <x:is>
          <x:t xml:space="preserve">12</x:t>
        </x:is>
      </x:c>
      <x:c r="C35" s="776" t="e">
        <x:f>SUMIFS(Taxepunkter_Rådata!K:K,Taxepunkter_Rådata!A:A,"§6",Taxepunkter_Rådata!D:D,"12")</x:f>
      </x:c>
    </x:row>
    <x:row r="36">
      <x:c r="A36" s="773" t="inlineStr">
        <x:is>
          <x:t xml:space="preserve">§6</x:t>
        </x:is>
      </x:c>
      <x:c r="B36" s="767" t="inlineStr">
        <x:is>
          <x:t xml:space="preserve">1202</x:t>
        </x:is>
      </x:c>
      <x:c r="C36" s="776" t="e">
        <x:f>SUMIFS(Taxepunkter_Rådata!K:K,Taxepunkter_Rådata!A:A,"§6",Taxepunkter_Rådata!D:D,"1202")</x:f>
      </x:c>
    </x:row>
    <x:row r="37">
      <x:c r="A37" s="773" t="inlineStr">
        <x:is>
          <x:t xml:space="preserve">§6</x:t>
        </x:is>
      </x:c>
      <x:c r="B37" s="767" t="inlineStr">
        <x:is>
          <x:t xml:space="preserve">1203</x:t>
        </x:is>
      </x:c>
      <x:c r="C37" s="776" t="e">
        <x:f>SUMIFS(Taxepunkter_Rådata!K:K,Taxepunkter_Rådata!A:A,"§6",Taxepunkter_Rådata!D:D,"1203")</x:f>
      </x:c>
    </x:row>
    <x:row r="38">
      <x:c r="A38" s="773" t="inlineStr">
        <x:is>
          <x:t xml:space="preserve">§6</x:t>
        </x:is>
      </x:c>
      <x:c r="B38" s="767" t="inlineStr">
        <x:is>
          <x:t xml:space="preserve">1263</x:t>
        </x:is>
      </x:c>
      <x:c r="C38" s="776" t="e">
        <x:f>SUMIFS(Taxepunkter_Rådata!K:K,Taxepunkter_Rådata!A:A,"§6",Taxepunkter_Rådata!D:D,"1263")</x:f>
      </x:c>
    </x:row>
    <x:row r="39">
      <x:c r="A39" s="773" t="inlineStr">
        <x:is>
          <x:t xml:space="preserve">§6</x:t>
        </x:is>
      </x:c>
      <x:c r="B39" s="767" t="inlineStr">
        <x:is>
          <x:t xml:space="preserve">1304</x:t>
        </x:is>
      </x:c>
      <x:c r="C39" s="776" t="e">
        <x:f>SUMIFS(Taxepunkter_Rådata!K:K,Taxepunkter_Rådata!A:A,"§6",Taxepunkter_Rådata!D:D,"1304")</x:f>
      </x:c>
    </x:row>
    <x:row r="40">
      <x:c r="A40" s="773" t="inlineStr">
        <x:is>
          <x:t xml:space="preserve">§6</x:t>
        </x:is>
      </x:c>
      <x:c r="B40" s="767" t="inlineStr">
        <x:is>
          <x:t xml:space="preserve">1479</x:t>
        </x:is>
      </x:c>
      <x:c r="C40" s="776" t="e">
        <x:f>SUMIFS(Taxepunkter_Rådata!K:K,Taxepunkter_Rådata!A:A,"§6",Taxepunkter_Rådata!D:D,"1479")</x:f>
      </x:c>
    </x:row>
    <x:row r="41">
      <x:c r="A41" s="773" t="inlineStr">
        <x:is>
          <x:t xml:space="preserve">§6</x:t>
        </x:is>
      </x:c>
      <x:c r="B41" s="767" t="inlineStr">
        <x:is>
          <x:t xml:space="preserve">1495</x:t>
        </x:is>
      </x:c>
      <x:c r="C41" s="776" t="e">
        <x:f>SUMIFS(Taxepunkter_Rådata!K:K,Taxepunkter_Rådata!A:A,"§6",Taxepunkter_Rådata!D:D,"1495")</x:f>
      </x:c>
    </x:row>
    <x:row r="42">
      <x:c r="A42" s="773" t="inlineStr">
        <x:is>
          <x:t xml:space="preserve">§6</x:t>
        </x:is>
      </x:c>
      <x:c r="B42" s="767" t="inlineStr">
        <x:is>
          <x:t xml:space="preserve">1497</x:t>
        </x:is>
      </x:c>
      <x:c r="C42" s="776" t="e">
        <x:f>SUMIFS(Taxepunkter_Rådata!K:K,Taxepunkter_Rådata!A:A,"§6",Taxepunkter_Rådata!D:D,"1497")</x:f>
      </x:c>
    </x:row>
    <x:row r="43">
      <x:c r="A43" s="773" t="inlineStr">
        <x:is>
          <x:t xml:space="preserve">§6</x:t>
        </x:is>
      </x:c>
      <x:c r="B43" s="767" t="inlineStr">
        <x:is>
          <x:t xml:space="preserve">1790</x:t>
        </x:is>
      </x:c>
      <x:c r="C43" s="776" t="e">
        <x:f>SUMIFS(Taxepunkter_Rådata!K:K,Taxepunkter_Rådata!A:A,"§6",Taxepunkter_Rådata!D:D,"1790")</x:f>
      </x:c>
    </x:row>
    <x:row r="44">
      <x:c r="A44" s="773" t="inlineStr">
        <x:is>
          <x:t xml:space="preserve">§6</x:t>
        </x:is>
      </x:c>
      <x:c r="B44" s="767" t="inlineStr">
        <x:is>
          <x:t xml:space="preserve">1832</x:t>
        </x:is>
      </x:c>
      <x:c r="C44" s="776" t="e">
        <x:f>SUMIFS(Taxepunkter_Rådata!K:K,Taxepunkter_Rådata!A:A,"§6",Taxepunkter_Rådata!D:D,"1832")</x:f>
      </x:c>
    </x:row>
    <x:row r="45">
      <x:c r="A45" s="773" t="inlineStr">
        <x:is>
          <x:t xml:space="preserve">§6</x:t>
        </x:is>
      </x:c>
      <x:c r="B45" s="767" t="inlineStr">
        <x:is>
          <x:t xml:space="preserve">1950</x:t>
        </x:is>
      </x:c>
      <x:c r="C45" s="776" t="e">
        <x:f>SUMIFS(Taxepunkter_Rådata!K:K,Taxepunkter_Rådata!A:A,"§6",Taxepunkter_Rådata!D:D,"1950")</x:f>
      </x:c>
    </x:row>
    <x:row r="46">
      <x:c r="A46" s="773" t="inlineStr">
        <x:is>
          <x:t xml:space="preserve">§6</x:t>
        </x:is>
      </x:c>
      <x:c r="B46" s="767" t="inlineStr">
        <x:is>
          <x:t xml:space="preserve">1965</x:t>
        </x:is>
      </x:c>
      <x:c r="C46" s="776" t="e">
        <x:f>SUMIFS(Taxepunkter_Rådata!K:K,Taxepunkter_Rådata!A:A,"§6",Taxepunkter_Rådata!D:D,"1965")</x:f>
      </x:c>
    </x:row>
    <x:row r="47">
      <x:c r="A47" s="773" t="inlineStr">
        <x:is>
          <x:t xml:space="preserve">§6</x:t>
        </x:is>
      </x:c>
      <x:c r="B47" s="767" t="inlineStr">
        <x:is>
          <x:t xml:space="preserve">1993</x:t>
        </x:is>
      </x:c>
      <x:c r="C47" s="776" t="e">
        <x:f>SUMIFS(Taxepunkter_Rådata!K:K,Taxepunkter_Rådata!A:A,"§6",Taxepunkter_Rådata!D:D,"1993")</x:f>
      </x:c>
    </x:row>
    <x:row r="48">
      <x:c r="A48" s="773" t="inlineStr">
        <x:is>
          <x:t xml:space="preserve">§6</x:t>
        </x:is>
      </x:c>
      <x:c r="B48" s="767" t="inlineStr">
        <x:is>
          <x:t xml:space="preserve">2014</x:t>
        </x:is>
      </x:c>
      <x:c r="C48" s="776" t="e">
        <x:f>SUMIFS(Taxepunkter_Rådata!K:K,Taxepunkter_Rådata!A:A,"§6",Taxepunkter_Rådata!D:D,"2014")</x:f>
      </x:c>
    </x:row>
    <x:row r="49">
      <x:c r="A49" s="773" t="inlineStr">
        <x:is>
          <x:t xml:space="preserve">§6</x:t>
        </x:is>
      </x:c>
      <x:c r="B49" s="767" t="inlineStr">
        <x:is>
          <x:t xml:space="preserve">2031</x:t>
        </x:is>
      </x:c>
      <x:c r="C49" s="776" t="e">
        <x:f>SUMIFS(Taxepunkter_Rådata!K:K,Taxepunkter_Rådata!A:A,"§6",Taxepunkter_Rådata!D:D,"2031")</x:f>
      </x:c>
    </x:row>
    <x:row r="50">
      <x:c r="A50" s="773" t="inlineStr">
        <x:is>
          <x:t xml:space="preserve">§6</x:t>
        </x:is>
      </x:c>
      <x:c r="B50" s="767" t="inlineStr">
        <x:is>
          <x:t xml:space="preserve">2037</x:t>
        </x:is>
      </x:c>
      <x:c r="C50" s="776" t="e">
        <x:f>SUMIFS(Taxepunkter_Rådata!K:K,Taxepunkter_Rådata!A:A,"§6",Taxepunkter_Rådata!D:D,"2037")</x:f>
      </x:c>
    </x:row>
    <x:row r="51">
      <x:c r="A51" s="773" t="inlineStr">
        <x:is>
          <x:t xml:space="preserve">§6</x:t>
        </x:is>
      </x:c>
      <x:c r="B51" s="767" t="inlineStr">
        <x:is>
          <x:t xml:space="preserve">2212</x:t>
        </x:is>
      </x:c>
      <x:c r="C51" s="776" t="e">
        <x:f>SUMIFS(Taxepunkter_Rådata!K:K,Taxepunkter_Rådata!A:A,"§6",Taxepunkter_Rådata!D:D,"2212")</x:f>
      </x:c>
    </x:row>
    <x:row r="52">
      <x:c r="A52" s="773" t="inlineStr">
        <x:is>
          <x:t xml:space="preserve">§6</x:t>
        </x:is>
      </x:c>
      <x:c r="B52" s="767" t="inlineStr">
        <x:is>
          <x:t xml:space="preserve">2588</x:t>
        </x:is>
      </x:c>
      <x:c r="C52" s="776" t="e">
        <x:f>SUMIFS(Taxepunkter_Rådata!K:K,Taxepunkter_Rådata!A:A,"§6",Taxepunkter_Rådata!D:D,"2588")</x:f>
      </x:c>
    </x:row>
    <x:row r="53">
      <x:c r="A53" s="773" t="inlineStr">
        <x:is>
          <x:t xml:space="preserve">§6</x:t>
        </x:is>
      </x:c>
      <x:c r="B53" s="767" t="inlineStr">
        <x:is>
          <x:t xml:space="preserve">2672</x:t>
        </x:is>
      </x:c>
      <x:c r="C53" s="776" t="e">
        <x:f>SUMIFS(Taxepunkter_Rådata!K:K,Taxepunkter_Rådata!A:A,"§6",Taxepunkter_Rådata!D:D,"2672")</x:f>
      </x:c>
    </x:row>
    <x:row r="54">
      <x:c r="A54" s="773" t="inlineStr">
        <x:is>
          <x:t xml:space="preserve">§6</x:t>
        </x:is>
      </x:c>
      <x:c r="B54" s="767" t="inlineStr">
        <x:is>
          <x:t xml:space="preserve">2809</x:t>
        </x:is>
      </x:c>
      <x:c r="C54" s="776" t="e">
        <x:f>SUMIFS(Taxepunkter_Rådata!K:K,Taxepunkter_Rådata!A:A,"§6",Taxepunkter_Rådata!D:D,"2809")</x:f>
      </x:c>
    </x:row>
    <x:row r="55">
      <x:c r="A55" s="773" t="inlineStr">
        <x:is>
          <x:t xml:space="preserve">§6</x:t>
        </x:is>
      </x:c>
      <x:c r="B55" s="767" t="inlineStr">
        <x:is>
          <x:t xml:space="preserve">2810</x:t>
        </x:is>
      </x:c>
      <x:c r="C55" s="776" t="e">
        <x:f>SUMIFS(Taxepunkter_Rådata!K:K,Taxepunkter_Rådata!A:A,"§6",Taxepunkter_Rådata!D:D,"2810")</x:f>
      </x:c>
    </x:row>
    <x:row r="56">
      <x:c r="A56" s="773" t="inlineStr">
        <x:is>
          <x:t xml:space="preserve">§6</x:t>
        </x:is>
      </x:c>
      <x:c r="B56" s="767" t="inlineStr">
        <x:is>
          <x:t xml:space="preserve">2903</x:t>
        </x:is>
      </x:c>
      <x:c r="C56" s="776" t="e">
        <x:f>SUMIFS(Taxepunkter_Rådata!K:K,Taxepunkter_Rådata!A:A,"§6",Taxepunkter_Rådata!D:D,"2903")</x:f>
      </x:c>
    </x:row>
    <x:row r="57">
      <x:c r="A57" s="773" t="inlineStr">
        <x:is>
          <x:t xml:space="preserve">§6</x:t>
        </x:is>
      </x:c>
      <x:c r="B57" s="767" t="inlineStr">
        <x:is>
          <x:t xml:space="preserve">2911</x:t>
        </x:is>
      </x:c>
      <x:c r="C57" s="776" t="e">
        <x:f>SUMIFS(Taxepunkter_Rådata!K:K,Taxepunkter_Rådata!A:A,"§6",Taxepunkter_Rådata!D:D,"2911")</x:f>
      </x:c>
    </x:row>
    <x:row r="58">
      <x:c r="A58" s="773" t="inlineStr">
        <x:is>
          <x:t xml:space="preserve">§6</x:t>
        </x:is>
      </x:c>
      <x:c r="B58" s="767" t="inlineStr">
        <x:is>
          <x:t xml:space="preserve">3080</x:t>
        </x:is>
      </x:c>
      <x:c r="C58" s="776" t="e">
        <x:f>SUMIFS(Taxepunkter_Rådata!K:K,Taxepunkter_Rådata!A:A,"§6",Taxepunkter_Rådata!D:D,"3080")</x:f>
      </x:c>
    </x:row>
    <x:row r="59">
      <x:c r="A59" s="773" t="inlineStr">
        <x:is>
          <x:t xml:space="preserve">§6</x:t>
        </x:is>
      </x:c>
      <x:c r="B59" s="767" t="inlineStr">
        <x:is>
          <x:t xml:space="preserve">3105</x:t>
        </x:is>
      </x:c>
      <x:c r="C59" s="776" t="e">
        <x:f>SUMIFS(Taxepunkter_Rådata!K:K,Taxepunkter_Rådata!A:A,"§6",Taxepunkter_Rådata!D:D,"3105")</x:f>
      </x:c>
    </x:row>
    <x:row r="60">
      <x:c r="A60" s="773" t="inlineStr">
        <x:is>
          <x:t xml:space="preserve">§6</x:t>
        </x:is>
      </x:c>
      <x:c r="B60" s="767" t="inlineStr">
        <x:is>
          <x:t xml:space="preserve">3106</x:t>
        </x:is>
      </x:c>
      <x:c r="C60" s="776" t="e">
        <x:f>SUMIFS(Taxepunkter_Rådata!K:K,Taxepunkter_Rådata!A:A,"§6",Taxepunkter_Rådata!D:D,"3106")</x:f>
      </x:c>
    </x:row>
    <x:row r="61">
      <x:c r="A61" s="773" t="inlineStr">
        <x:is>
          <x:t xml:space="preserve">§6</x:t>
        </x:is>
      </x:c>
      <x:c r="B61" s="767" t="inlineStr">
        <x:is>
          <x:t xml:space="preserve">3249</x:t>
        </x:is>
      </x:c>
      <x:c r="C61" s="776" t="e">
        <x:f>SUMIFS(Taxepunkter_Rådata!K:K,Taxepunkter_Rådata!A:A,"§6",Taxepunkter_Rådata!D:D,"3249")</x:f>
      </x:c>
    </x:row>
    <x:row r="62">
      <x:c r="A62" s="773" t="inlineStr">
        <x:is>
          <x:t xml:space="preserve">§6</x:t>
        </x:is>
      </x:c>
      <x:c r="B62" s="767" t="inlineStr">
        <x:is>
          <x:t xml:space="preserve">3260</x:t>
        </x:is>
      </x:c>
      <x:c r="C62" s="776" t="e">
        <x:f>SUMIFS(Taxepunkter_Rådata!K:K,Taxepunkter_Rådata!A:A,"§6",Taxepunkter_Rådata!D:D,"3260")</x:f>
      </x:c>
    </x:row>
    <x:row r="63">
      <x:c r="A63" s="773" t="inlineStr">
        <x:is>
          <x:t xml:space="preserve">§6</x:t>
        </x:is>
      </x:c>
      <x:c r="B63" s="767" t="inlineStr">
        <x:is>
          <x:t xml:space="preserve">3261</x:t>
        </x:is>
      </x:c>
      <x:c r="C63" s="776" t="e">
        <x:f>SUMIFS(Taxepunkter_Rådata!K:K,Taxepunkter_Rådata!A:A,"§6",Taxepunkter_Rådata!D:D,"3261")</x:f>
      </x:c>
    </x:row>
    <x:row r="64">
      <x:c r="A64" s="773" t="inlineStr">
        <x:is>
          <x:t xml:space="preserve">§6</x:t>
        </x:is>
      </x:c>
      <x:c r="B64" s="767" t="inlineStr">
        <x:is>
          <x:t xml:space="preserve">3262</x:t>
        </x:is>
      </x:c>
      <x:c r="C64" s="776" t="e">
        <x:f>SUMIFS(Taxepunkter_Rådata!K:K,Taxepunkter_Rådata!A:A,"§6",Taxepunkter_Rådata!D:D,"3262")</x:f>
      </x:c>
    </x:row>
    <x:row r="65">
      <x:c r="A65" s="773" t="inlineStr">
        <x:is>
          <x:t xml:space="preserve">§6</x:t>
        </x:is>
      </x:c>
      <x:c r="B65" s="767" t="inlineStr">
        <x:is>
          <x:t xml:space="preserve">3263</x:t>
        </x:is>
      </x:c>
      <x:c r="C65" s="776" t="e">
        <x:f>SUMIFS(Taxepunkter_Rådata!K:K,Taxepunkter_Rådata!A:A,"§6",Taxepunkter_Rådata!D:D,"3263")</x:f>
      </x:c>
    </x:row>
    <x:row r="66">
      <x:c r="A66" s="773" t="inlineStr">
        <x:is>
          <x:t xml:space="preserve">§6</x:t>
        </x:is>
      </x:c>
      <x:c r="B66" s="767" t="inlineStr">
        <x:is>
          <x:t xml:space="preserve">3264</x:t>
        </x:is>
      </x:c>
      <x:c r="C66" s="776" t="e">
        <x:f>SUMIFS(Taxepunkter_Rådata!K:K,Taxepunkter_Rådata!A:A,"§6",Taxepunkter_Rådata!D:D,"3264")</x:f>
      </x:c>
    </x:row>
    <x:row r="67">
      <x:c r="A67" s="773" t="inlineStr">
        <x:is>
          <x:t xml:space="preserve">§6</x:t>
        </x:is>
      </x:c>
      <x:c r="B67" s="767" t="inlineStr">
        <x:is>
          <x:t xml:space="preserve">3265</x:t>
        </x:is>
      </x:c>
      <x:c r="C67" s="776" t="e">
        <x:f>SUMIFS(Taxepunkter_Rådata!K:K,Taxepunkter_Rådata!A:A,"§6",Taxepunkter_Rådata!D:D,"3265")</x:f>
      </x:c>
    </x:row>
    <x:row r="68">
      <x:c r="A68" s="773" t="inlineStr">
        <x:is>
          <x:t xml:space="preserve">§6</x:t>
        </x:is>
      </x:c>
      <x:c r="B68" s="767" t="inlineStr">
        <x:is>
          <x:t xml:space="preserve">3266</x:t>
        </x:is>
      </x:c>
      <x:c r="C68" s="776" t="e">
        <x:f>SUMIFS(Taxepunkter_Rådata!K:K,Taxepunkter_Rådata!A:A,"§6",Taxepunkter_Rådata!D:D,"3266")</x:f>
      </x:c>
    </x:row>
    <x:row r="69">
      <x:c r="A69" s="773" t="inlineStr">
        <x:is>
          <x:t xml:space="preserve">§6</x:t>
        </x:is>
      </x:c>
      <x:c r="B69" s="767" t="inlineStr">
        <x:is>
          <x:t xml:space="preserve">3286</x:t>
        </x:is>
      </x:c>
      <x:c r="C69" s="776" t="e">
        <x:f>SUMIFS(Taxepunkter_Rådata!K:K,Taxepunkter_Rådata!A:A,"§6",Taxepunkter_Rådata!D:D,"3286")</x:f>
      </x:c>
    </x:row>
    <x:row r="70">
      <x:c r="A70" s="773" t="inlineStr">
        <x:is>
          <x:t xml:space="preserve">§6</x:t>
        </x:is>
      </x:c>
      <x:c r="B70" s="767" t="inlineStr">
        <x:is>
          <x:t xml:space="preserve">3287</x:t>
        </x:is>
      </x:c>
      <x:c r="C70" s="776" t="e">
        <x:f>SUMIFS(Taxepunkter_Rådata!K:K,Taxepunkter_Rådata!A:A,"§6",Taxepunkter_Rådata!D:D,"3287")</x:f>
      </x:c>
    </x:row>
    <x:row r="71">
      <x:c r="A71" s="773" t="inlineStr">
        <x:is>
          <x:t xml:space="preserve">§6</x:t>
        </x:is>
      </x:c>
      <x:c r="B71" s="767" t="inlineStr">
        <x:is>
          <x:t xml:space="preserve">3291</x:t>
        </x:is>
      </x:c>
      <x:c r="C71" s="776" t="e">
        <x:f>SUMIFS(Taxepunkter_Rådata!K:K,Taxepunkter_Rådata!A:A,"§6",Taxepunkter_Rådata!D:D,"3291")</x:f>
      </x:c>
    </x:row>
    <x:row r="72">
      <x:c r="A72" s="773" t="inlineStr">
        <x:is>
          <x:t xml:space="preserve">§6</x:t>
        </x:is>
      </x:c>
      <x:c r="B72" s="767" t="inlineStr">
        <x:is>
          <x:t xml:space="preserve">3295</x:t>
        </x:is>
      </x:c>
      <x:c r="C72" s="776" t="e">
        <x:f>SUMIFS(Taxepunkter_Rådata!K:K,Taxepunkter_Rådata!A:A,"§6",Taxepunkter_Rådata!D:D,"3295")</x:f>
      </x:c>
    </x:row>
    <x:row r="73">
      <x:c r="A73" s="773" t="inlineStr">
        <x:is>
          <x:t xml:space="preserve">§6</x:t>
        </x:is>
      </x:c>
      <x:c r="B73" s="767" t="inlineStr">
        <x:is>
          <x:t xml:space="preserve">333</x:t>
        </x:is>
      </x:c>
      <x:c r="C73" s="776" t="e">
        <x:f>SUMIFS(Taxepunkter_Rådata!K:K,Taxepunkter_Rådata!A:A,"§6",Taxepunkter_Rådata!D:D,"333")</x:f>
      </x:c>
    </x:row>
    <x:row r="74">
      <x:c r="A74" s="840" t="inlineStr">
        <x:is>
          <x:t xml:space="preserve">§6</x:t>
        </x:is>
      </x:c>
      <x:c r="B74" s="841" t="inlineStr">
        <x:is>
          <x:t xml:space="preserve">3506</x:t>
        </x:is>
      </x:c>
      <x:c r="C74" s="847" t="e">
        <x:f>SUMIFS(Taxepunkter_Rådata!K:K,Taxepunkter_Rådata!A:A,"§6",Taxepunkter_Rådata!D:D,"3506")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44" t="inlineStr">
        <x:is>
          <x:t xml:space="preserve">Summering – total intäkt per paragraf</x:t>
        </x:is>
      </x:c>
      <x:c r="B1" s="772"/>
    </x:row>
    <x:row r="2">
      <x:c r="A2" s="773"/>
      <x:c r="B2" s="774"/>
    </x:row>
    <x:row r="3">
      <x:c r="A3" s="775" t="inlineStr">
        <x:is>
          <x:t xml:space="preserve">Paragraf</x:t>
        </x:is>
      </x:c>
      <x:c r="B3" s="846" t="inlineStr">
        <x:is>
          <x:t xml:space="preserve">Total intäkt (kr)</x:t>
        </x:is>
      </x:c>
    </x:row>
    <x:row r="4">
      <x:c r="A4" s="773" t="inlineStr">
        <x:is>
          <x:t xml:space="preserve">§2.1</x:t>
        </x:is>
      </x:c>
      <x:c r="B4" s="776" t="e">
        <x:f>SUMIFS(Taxepunkter_Rådata!K:K,Taxepunkter_Rådata!A:A,"§2.1")</x:f>
      </x:c>
    </x:row>
    <x:row r="5">
      <x:c r="A5" s="773" t="inlineStr">
        <x:is>
          <x:t xml:space="preserve">§2.2.1</x:t>
        </x:is>
      </x:c>
      <x:c r="B5" s="776" t="e">
        <x:f>SUMIFS(Taxepunkter_Rådata!K:K,Taxepunkter_Rådata!A:A,"§2.2.1")</x:f>
      </x:c>
    </x:row>
    <x:row r="6">
      <x:c r="A6" s="773" t="inlineStr">
        <x:is>
          <x:t xml:space="preserve">§2.2.2</x:t>
        </x:is>
      </x:c>
      <x:c r="B6" s="776" t="e">
        <x:f>SUMIFS(Taxepunkter_Rådata!K:K,Taxepunkter_Rådata!A:A,"§2.2.2")</x:f>
      </x:c>
    </x:row>
    <x:row r="7">
      <x:c r="A7" s="773" t="inlineStr">
        <x:is>
          <x:t xml:space="preserve">§2.2.3</x:t>
        </x:is>
      </x:c>
      <x:c r="B7" s="776" t="e">
        <x:f>SUMIFS(Taxepunkter_Rådata!K:K,Taxepunkter_Rådata!A:A,"§2.2.3")</x:f>
      </x:c>
    </x:row>
    <x:row r="8">
      <x:c r="A8" s="773" t="inlineStr">
        <x:is>
          <x:t xml:space="preserve">§2.2.4</x:t>
        </x:is>
      </x:c>
      <x:c r="B8" s="776" t="e">
        <x:f>SUMIFS(Taxepunkter_Rådata!K:K,Taxepunkter_Rådata!A:A,"§2.2.4")</x:f>
      </x:c>
    </x:row>
    <x:row r="9">
      <x:c r="A9" s="773" t="inlineStr">
        <x:is>
          <x:t xml:space="preserve">§2.2.5</x:t>
        </x:is>
      </x:c>
      <x:c r="B9" s="776" t="e">
        <x:f>SUMIFS(Taxepunkter_Rådata!K:K,Taxepunkter_Rådata!A:A,"§2.2.5")</x:f>
      </x:c>
    </x:row>
    <x:row r="10">
      <x:c r="A10" s="773" t="inlineStr">
        <x:is>
          <x:t xml:space="preserve">§2.3</x:t>
        </x:is>
      </x:c>
      <x:c r="B10" s="776" t="e">
        <x:f>SUMIFS(Taxepunkter_Rådata!K:K,Taxepunkter_Rådata!A:A,"§2.3")</x:f>
      </x:c>
    </x:row>
    <x:row r="11">
      <x:c r="A11" s="773" t="inlineStr">
        <x:is>
          <x:t xml:space="preserve">§2.4</x:t>
        </x:is>
      </x:c>
      <x:c r="B11" s="776" t="e">
        <x:f>SUMIFS(Taxepunkter_Rådata!K:K,Taxepunkter_Rådata!A:A,"§2.4")</x:f>
      </x:c>
    </x:row>
    <x:row r="12">
      <x:c r="A12" s="773" t="inlineStr">
        <x:is>
          <x:t xml:space="preserve">§2.5</x:t>
        </x:is>
      </x:c>
      <x:c r="B12" s="776" t="e">
        <x:f>SUMIFS(Taxepunkter_Rådata!K:K,Taxepunkter_Rådata!A:A,"§2.5")</x:f>
      </x:c>
    </x:row>
    <x:row r="13">
      <x:c r="A13" s="773" t="inlineStr">
        <x:is>
          <x:t xml:space="preserve">§2.6.1</x:t>
        </x:is>
      </x:c>
      <x:c r="B13" s="776" t="e">
        <x:f>SUMIFS(Taxepunkter_Rådata!K:K,Taxepunkter_Rådata!A:A,"§2.6.1")</x:f>
      </x:c>
    </x:row>
    <x:row r="14">
      <x:c r="A14" s="773" t="inlineStr">
        <x:is>
          <x:t xml:space="preserve">§2.6.2</x:t>
        </x:is>
      </x:c>
      <x:c r="B14" s="776" t="e">
        <x:f>SUMIFS(Taxepunkter_Rådata!K:K,Taxepunkter_Rådata!A:A,"§2.6.2")</x:f>
      </x:c>
    </x:row>
    <x:row r="15">
      <x:c r="A15" s="773" t="inlineStr">
        <x:is>
          <x:t xml:space="preserve">§2.6.3</x:t>
        </x:is>
      </x:c>
      <x:c r="B15" s="776" t="e">
        <x:f>SUMIFS(Taxepunkter_Rådata!K:K,Taxepunkter_Rådata!A:A,"§2.6.3")</x:f>
      </x:c>
    </x:row>
    <x:row r="16">
      <x:c r="A16" s="773" t="inlineStr">
        <x:is>
          <x:t xml:space="preserve">§2.6.4</x:t>
        </x:is>
      </x:c>
      <x:c r="B16" s="776" t="e">
        <x:f>SUMIFS(Taxepunkter_Rådata!K:K,Taxepunkter_Rådata!A:A,"§2.6.4")</x:f>
      </x:c>
    </x:row>
    <x:row r="17">
      <x:c r="A17" s="773" t="inlineStr">
        <x:is>
          <x:t xml:space="preserve">§2.6.5</x:t>
        </x:is>
      </x:c>
      <x:c r="B17" s="776" t="e">
        <x:f>SUMIFS(Taxepunkter_Rådata!K:K,Taxepunkter_Rådata!A:A,"§2.6.5")</x:f>
      </x:c>
    </x:row>
    <x:row r="18">
      <x:c r="A18" s="773" t="inlineStr">
        <x:is>
          <x:t xml:space="preserve">§2.6.6</x:t>
        </x:is>
      </x:c>
      <x:c r="B18" s="776" t="e">
        <x:f>SUMIFS(Taxepunkter_Rådata!K:K,Taxepunkter_Rådata!A:A,"§2.6.6")</x:f>
      </x:c>
    </x:row>
    <x:row r="19">
      <x:c r="A19" s="773" t="inlineStr">
        <x:is>
          <x:t xml:space="preserve">§2.6.7</x:t>
        </x:is>
      </x:c>
      <x:c r="B19" s="776" t="e">
        <x:f>SUMIFS(Taxepunkter_Rådata!K:K,Taxepunkter_Rådata!A:A,"§2.6.7")</x:f>
      </x:c>
    </x:row>
    <x:row r="20">
      <x:c r="A20" s="773" t="inlineStr">
        <x:is>
          <x:t xml:space="preserve">§2.6.8</x:t>
        </x:is>
      </x:c>
      <x:c r="B20" s="776" t="e">
        <x:f>SUMIFS(Taxepunkter_Rådata!K:K,Taxepunkter_Rådata!A:A,"§2.6.8")</x:f>
      </x:c>
    </x:row>
    <x:row r="21">
      <x:c r="A21" s="773" t="inlineStr">
        <x:is>
          <x:t xml:space="preserve">§2.6.9</x:t>
        </x:is>
      </x:c>
      <x:c r="B21" s="776" t="e">
        <x:f>SUMIFS(Taxepunkter_Rådata!K:K,Taxepunkter_Rådata!A:A,"§2.6.9")</x:f>
      </x:c>
    </x:row>
    <x:row r="22">
      <x:c r="A22" s="773" t="inlineStr">
        <x:is>
          <x:t xml:space="preserve">§2.7.1</x:t>
        </x:is>
      </x:c>
      <x:c r="B22" s="776" t="e">
        <x:f>SUMIFS(Taxepunkter_Rådata!K:K,Taxepunkter_Rådata!A:A,"§2.7.1")</x:f>
      </x:c>
    </x:row>
    <x:row r="23">
      <x:c r="A23" s="773" t="inlineStr">
        <x:is>
          <x:t xml:space="preserve">§2.7.2</x:t>
        </x:is>
      </x:c>
      <x:c r="B23" s="776" t="e">
        <x:f>SUMIFS(Taxepunkter_Rådata!K:K,Taxepunkter_Rådata!A:A,"§2.7.2")</x:f>
      </x:c>
    </x:row>
    <x:row r="24">
      <x:c r="A24" s="773" t="inlineStr">
        <x:is>
          <x:t xml:space="preserve">§2.7.3</x:t>
        </x:is>
      </x:c>
      <x:c r="B24" s="776" t="e">
        <x:f>SUMIFS(Taxepunkter_Rådata!K:K,Taxepunkter_Rådata!A:A,"§2.7.3")</x:f>
      </x:c>
    </x:row>
    <x:row r="25">
      <x:c r="A25" s="773" t="inlineStr">
        <x:is>
          <x:t xml:space="preserve">§2.7.4</x:t>
        </x:is>
      </x:c>
      <x:c r="B25" s="776" t="e">
        <x:f>SUMIFS(Taxepunkter_Rådata!K:K,Taxepunkter_Rådata!A:A,"§2.7.4")</x:f>
      </x:c>
    </x:row>
    <x:row r="26">
      <x:c r="A26" s="773" t="inlineStr">
        <x:is>
          <x:t xml:space="preserve">§3.1</x:t>
        </x:is>
      </x:c>
      <x:c r="B26" s="776" t="e">
        <x:f>SUMIFS(Taxepunkter_Rådata!K:K,Taxepunkter_Rådata!A:A,"§3.1")</x:f>
      </x:c>
    </x:row>
    <x:row r="27">
      <x:c r="A27" s="773" t="inlineStr">
        <x:is>
          <x:t xml:space="preserve">§3.2</x:t>
        </x:is>
      </x:c>
      <x:c r="B27" s="776" t="e">
        <x:f>SUMIFS(Taxepunkter_Rådata!K:K,Taxepunkter_Rådata!A:A,"§3.2")</x:f>
      </x:c>
    </x:row>
    <x:row r="28">
      <x:c r="A28" s="773" t="inlineStr">
        <x:is>
          <x:t xml:space="preserve">§3.3</x:t>
        </x:is>
      </x:c>
      <x:c r="B28" s="776" t="e">
        <x:f>SUMIFS(Taxepunkter_Rådata!K:K,Taxepunkter_Rådata!A:A,"§3.3")</x:f>
      </x:c>
    </x:row>
    <x:row r="29">
      <x:c r="A29" s="773" t="inlineStr">
        <x:is>
          <x:t xml:space="preserve">§4.1</x:t>
        </x:is>
      </x:c>
      <x:c r="B29" s="776" t="e">
        <x:f>SUMIFS(Taxepunkter_Rådata!K:K,Taxepunkter_Rådata!A:A,"§4.1")</x:f>
      </x:c>
    </x:row>
    <x:row r="30">
      <x:c r="A30" s="773" t="inlineStr">
        <x:is>
          <x:t xml:space="preserve">§4.2</x:t>
        </x:is>
      </x:c>
      <x:c r="B30" s="776" t="e">
        <x:f>SUMIFS(Taxepunkter_Rådata!K:K,Taxepunkter_Rådata!A:A,"§4.2")</x:f>
      </x:c>
    </x:row>
    <x:row r="31">
      <x:c r="A31" s="773" t="inlineStr">
        <x:is>
          <x:t xml:space="preserve">§4.3</x:t>
        </x:is>
      </x:c>
      <x:c r="B31" s="776" t="e">
        <x:f>SUMIFS(Taxepunkter_Rådata!K:K,Taxepunkter_Rådata!A:A,"§4.3")</x:f>
      </x:c>
    </x:row>
    <x:row r="32">
      <x:c r="A32" s="773" t="inlineStr">
        <x:is>
          <x:t xml:space="preserve">§5.1</x:t>
        </x:is>
      </x:c>
      <x:c r="B32" s="776" t="e">
        <x:f>SUMIFS(Taxepunkter_Rådata!K:K,Taxepunkter_Rådata!A:A,"§5.1")</x:f>
      </x:c>
    </x:row>
    <x:row r="33">
      <x:c r="A33" s="773" t="inlineStr">
        <x:is>
          <x:t xml:space="preserve">§5.2</x:t>
        </x:is>
      </x:c>
      <x:c r="B33" s="776" t="e">
        <x:f>SUMIFS(Taxepunkter_Rådata!K:K,Taxepunkter_Rådata!A:A,"§5.2")</x:f>
      </x:c>
    </x:row>
    <x:row r="34">
      <x:c r="A34" s="773" t="inlineStr">
        <x:is>
          <x:t xml:space="preserve">§5.3</x:t>
        </x:is>
      </x:c>
      <x:c r="B34" s="776" t="e">
        <x:f>SUMIFS(Taxepunkter_Rådata!K:K,Taxepunkter_Rådata!A:A,"§5.3")</x:f>
      </x:c>
    </x:row>
    <x:row r="35">
      <x:c r="A35" s="840" t="inlineStr">
        <x:is>
          <x:t xml:space="preserve">§6</x:t>
        </x:is>
      </x:c>
      <x:c r="B35" s="847" t="e">
        <x:f>SUMIFS(Taxepunkter_Rådata!K:K,Taxepunkter_Rådata!A:A,"§6")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44" t="inlineStr">
        <x:is>
          <x:t xml:space="preserve">Summering – total intäkt per kapitel</x:t>
        </x:is>
      </x:c>
      <x:c r="B1" s="772"/>
    </x:row>
    <x:row r="2">
      <x:c r="A2" s="773"/>
      <x:c r="B2" s="774"/>
    </x:row>
    <x:row r="3">
      <x:c r="A3" s="775" t="inlineStr">
        <x:is>
          <x:t xml:space="preserve">Kapitel</x:t>
        </x:is>
      </x:c>
      <x:c r="B3" s="846" t="inlineStr">
        <x:is>
          <x:t xml:space="preserve">Total intäkt (kr)</x:t>
        </x:is>
      </x:c>
    </x:row>
    <x:row r="4">
      <x:c r="A4" s="773" t="inlineStr">
        <x:is>
          <x:t xml:space="preserve">2</x:t>
        </x:is>
      </x:c>
      <x:c r="B4" s="776" t="e">
        <x:f>SUMIFS(Taxepunkter_Rådata!K:K,Taxepunkter_Rådata!A:A,"§2*")</x:f>
      </x:c>
    </x:row>
    <x:row r="5">
      <x:c r="A5" s="773" t="inlineStr">
        <x:is>
          <x:t xml:space="preserve">3</x:t>
        </x:is>
      </x:c>
      <x:c r="B5" s="776" t="e">
        <x:f>SUMIFS(Taxepunkter_Rådata!K:K,Taxepunkter_Rådata!A:A,"§3*")</x:f>
      </x:c>
    </x:row>
    <x:row r="6">
      <x:c r="A6" s="773" t="inlineStr">
        <x:is>
          <x:t xml:space="preserve">4</x:t>
        </x:is>
      </x:c>
      <x:c r="B6" s="776" t="e">
        <x:f>SUMIFS(Taxepunkter_Rådata!K:K,Taxepunkter_Rådata!A:A,"§4*")</x:f>
      </x:c>
    </x:row>
    <x:row r="7">
      <x:c r="A7" s="773" t="inlineStr">
        <x:is>
          <x:t xml:space="preserve">5</x:t>
        </x:is>
      </x:c>
      <x:c r="B7" s="776" t="e">
        <x:f>SUMIFS(Taxepunkter_Rådata!K:K,Taxepunkter_Rådata!A:A,"§5*")</x:f>
      </x:c>
    </x:row>
    <x:row r="8">
      <x:c r="A8" s="840" t="inlineStr">
        <x:is>
          <x:t xml:space="preserve">6</x:t>
        </x:is>
      </x:c>
      <x:c r="B8" s="847" t="e">
        <x:f>SUMIFS(Taxepunkter_Rådata!K:K,Taxepunkter_Rådata!A:A,"§6*")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11" t="inlineStr">
        <x:is>
          <x:t xml:space="preserve">Diagram – intäkt per paragraf</x:t>
        </x:is>
      </x:c>
    </x:row>
  </x:sheetData>
  <x:pageMargins left="0.7" right="0.7" top="0.75" bottom="0.75" header="0.3" footer="0.3"/>
  <x:drawing xmlns:r="http://schemas.openxmlformats.org/officeDocument/2006/relationships" r:id="Re0f68587f7dc4f84"/>
</x:worksheet>
</file>

<file path=xl/worksheets/sheet8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44" t="inlineStr">
        <x:is>
          <x:t xml:space="preserve">Kontroller – datakvalitet</x:t>
        </x:is>
      </x:c>
      <x:c r="B1" s="845"/>
      <x:c r="C1" s="772"/>
    </x:row>
    <x:row r="2">
      <x:c r="A2" s="773"/>
      <x:c r="B2" s="767"/>
      <x:c r="C2" s="774"/>
    </x:row>
    <x:row r="3">
      <x:c r="A3" s="775" t="inlineStr">
        <x:is>
          <x:t xml:space="preserve">Kontroll</x:t>
        </x:is>
      </x:c>
      <x:c r="B3" s="768" t="inlineStr">
        <x:is>
          <x:t xml:space="preserve">Resultat</x:t>
        </x:is>
      </x:c>
      <x:c r="C3" s="846" t="inlineStr">
        <x:is>
          <x:t xml:space="preserve">Status</x:t>
        </x:is>
      </x:c>
    </x:row>
    <x:row r="4" s="54" customFormat="1" ht="45" customHeight="1">
      <x:c r="A4" s="849" t="inlineStr">
        <x:is>
          <x:t xml:space="preserve">Antal rader (rådata)</x:t>
        </x:is>
      </x:c>
      <x:c r="B4" s="767" t="e">
        <x:f>COUNTA(Taxepunkter_Rådata!A:A)-1</x:f>
      </x:c>
      <x:c r="C4" s="846" t="e">
        <x:f>IF(B4&gt;0,"OK","VARNING")</x:f>
      </x:c>
    </x:row>
    <x:row r="5" s="54" customFormat="1" ht="45" customHeight="1">
      <x:c r="A5" s="849" t="inlineStr">
        <x:is>
          <x:t xml:space="preserve">Saknade priser (tomma)</x:t>
        </x:is>
      </x:c>
      <x:c r="B5" s="767" t="e">
        <x:f>COUNTIF(Taxepunkter_Rådata!J:J,"")-1</x:f>
      </x:c>
      <x:c r="C5" s="846" t="e">
        <x:f>IF(B5=0,"OK","VARNING")</x:f>
      </x:c>
    </x:row>
    <x:row r="6" s="54" customFormat="1" ht="60" customHeight="1">
      <x:c r="A6" s="849" t="inlineStr">
        <x:is>
          <x:t xml:space="preserve">Andel rader med ifyllt pris</x:t>
        </x:is>
      </x:c>
      <x:c r="B6" s="770" t="e">
        <x:f>IF(B4=0,"",1-(B5/B4))</x:f>
      </x:c>
      <x:c r="C6" s="846" t="e">
        <x:f>IF(B6=1,"OK","VARNING")</x:f>
      </x:c>
    </x:row>
    <x:row r="7" s="54" customFormat="1" ht="90" customHeight="1">
      <x:c r="A7" s="849" t="inlineStr">
        <x:is>
          <x:t xml:space="preserve">Rader med Antal &gt; 0 men saknar pris</x:t>
        </x:is>
      </x:c>
      <x:c r="B7" s="767" t="e">
        <x:f>COUNTIFS(Taxepunkter_Rådata!I:I,"&gt;0",Taxepunkter_Rådata!J:J,"")</x:f>
      </x:c>
      <x:c r="C7" s="846" t="e">
        <x:f>IF(B7=0,"OK","VARNING")</x:f>
      </x:c>
    </x:row>
    <x:row r="8" s="54" customFormat="1" ht="90" customHeight="1">
      <x:c r="A8" s="850" t="inlineStr">
        <x:is>
          <x:t xml:space="preserve">Rader med Pris ifyllt men Antal saknas</x:t>
        </x:is>
      </x:c>
      <x:c r="B8" s="841" t="e">
        <x:f>COUNTIFS(Taxepunkter_Rådata!J:J,"&lt;&gt;",Taxepunkter_Rådata!I:I,"")</x:f>
      </x:c>
      <x:c r="C8" s="779" t="e">
        <x:f>IF(B8=0,"OK","VARNING")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7" width="18.140625" style="54" customWidth="1"/>
  </x:cols>
  <x:sheetData>
    <x:row r="1" s="54" customFormat="1" ht="30" customHeight="1">
      <x:c r="A1" s="934" t="inlineStr">
        <x:is>
          <x:t xml:space="preserve">intRecnum</x:t>
        </x:is>
      </x:c>
      <x:c r="B1" s="935" t="inlineStr">
        <x:is>
          <x:t xml:space="preserve">strTaxekod</x:t>
        </x:is>
      </x:c>
      <x:c r="C1" s="935" t="inlineStr">
        <x:is>
          <x:t xml:space="preserve">strTaxebenamning</x:t>
        </x:is>
      </x:c>
      <x:c r="D1" s="935" t="inlineStr">
        <x:is>
          <x:t xml:space="preserve">strProdukt</x:t>
        </x:is>
      </x:c>
      <x:c r="E1" s="935" t="inlineStr">
        <x:is>
          <x:t xml:space="preserve">strDelProdukt</x:t>
        </x:is>
      </x:c>
      <x:c r="F1" s="935" t="inlineStr">
        <x:is>
          <x:t xml:space="preserve">bytDelradnr</x:t>
        </x:is>
      </x:c>
      <x:c r="G1" s="935" t="inlineStr">
        <x:is>
          <x:t xml:space="preserve">strFaktor</x:t>
        </x:is>
      </x:c>
      <x:c r="H1" s="935" t="inlineStr">
        <x:is>
          <x:t xml:space="preserve">strTaxedelAvser</x:t>
        </x:is>
      </x:c>
      <x:c r="I1" s="935" t="inlineStr">
        <x:is>
          <x:t xml:space="preserve">strEntreprenorkod</x:t>
        </x:is>
      </x:c>
      <x:c r="J1" s="935" t="inlineStr">
        <x:is>
          <x:t xml:space="preserve">strRenhDistrKod</x:t>
        </x:is>
      </x:c>
      <x:c r="K1" s="935" t="inlineStr">
        <x:is>
          <x:t xml:space="preserve">curNuvarandePris</x:t>
        </x:is>
      </x:c>
      <x:c r="L1" s="935" t="inlineStr">
        <x:is>
          <x:t xml:space="preserve">datNuvarandePrisDatum</x:t>
        </x:is>
      </x:c>
      <x:c r="M1" s="935" t="inlineStr">
        <x:is>
          <x:t xml:space="preserve">bolPrisPerTomning</x:t>
        </x:is>
      </x:c>
      <x:c r="N1" s="935" t="inlineStr">
        <x:is>
          <x:t xml:space="preserve">strAvvikandeFormel</x:t>
        </x:is>
      </x:c>
      <x:c r="O1" s="935" t="inlineStr">
        <x:is>
          <x:t xml:space="preserve">bolPriserInklMoms</x:t>
        </x:is>
      </x:c>
      <x:c r="P1" s="935" t="inlineStr">
        <x:is>
          <x:t xml:space="preserve">bytMomskod</x:t>
        </x:is>
      </x:c>
      <x:c r="Q1" s="952" t="inlineStr">
        <x:is>
          <x:t xml:space="preserve">strFormel</x:t>
        </x:is>
      </x:c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773" t="n">
        <x:v>1689</x:v>
      </x:c>
      <x:c r="B2" s="767" t="inlineStr">
        <x:is>
          <x:t xml:space="preserve">140MAT</x:t>
        </x:is>
      </x:c>
      <x:c r="C2" s="767" t="inlineStr">
        <x:is>
          <x:t xml:space="preserve">140L kärl, viktavgift matavfall</x:t>
        </x:is>
      </x:c>
      <x:c r="D2" s="767" t="inlineStr">
        <x:is>
          <x:t xml:space="preserve">RENH</x:t>
        </x:is>
      </x:c>
      <x:c r="E2" s="767" t="inlineStr">
        <x:is>
          <x:t xml:space="preserve">HUSH</x:t>
        </x:is>
      </x:c>
      <x:c r="F2" s="767" t="n">
        <x:v>1</x:v>
      </x:c>
      <x:c r="G2" s="767" t="inlineStr">
        <x:is>
          <x:t xml:space="preserve">KVAN</x:t>
        </x:is>
      </x:c>
      <x:c r="H2" s="767" t="inlineStr">
        <x:is>
          <x:t xml:space="preserve">140L kärl - viktavgift matavfall</x:t>
        </x:is>
      </x:c>
      <x:c r="I2" s="767"/>
      <x:c r="J2" s="767"/>
      <x:c r="K2" s="767" t="n">
        <x:v>2</x:v>
      </x:c>
      <x:c r="L2" s="852" t="n">
        <x:v>44927</x:v>
      </x:c>
      <x:c r="M2" s="767" t="n">
        <x:v>0</x:v>
      </x:c>
      <x:c r="N2" s="767"/>
      <x:c r="O2" s="767" t="inlineStr">
        <x:is>
          <x:t xml:space="preserve">-</x:t>
        </x:is>
      </x:c>
      <x:c r="P2" s="767" t="n">
        <x:v>1</x:v>
      </x:c>
      <x:c r="Q2" s="774" t="inlineStr">
        <x:is>
          <x:t xml:space="preserve">VIKG,MAX60</x:t>
        </x:is>
      </x:c>
    </x:row>
    <x:row r="3">
      <x:c r="A3" s="773" t="n">
        <x:v>1690</x:v>
      </x:c>
      <x:c r="B3" s="767" t="inlineStr">
        <x:is>
          <x:t xml:space="preserve">140MAT</x:t>
        </x:is>
      </x:c>
      <x:c r="C3" s="767" t="inlineStr">
        <x:is>
          <x:t xml:space="preserve">140L kärl, viktavgift matavfall</x:t>
        </x:is>
      </x:c>
      <x:c r="D3" s="767" t="inlineStr">
        <x:is>
          <x:t xml:space="preserve">RENH</x:t>
        </x:is>
      </x:c>
      <x:c r="E3" s="767" t="inlineStr">
        <x:is>
          <x:t xml:space="preserve">HUSH</x:t>
        </x:is>
      </x:c>
      <x:c r="F3" s="767" t="n">
        <x:v>2</x:v>
      </x:c>
      <x:c r="G3" s="767" t="inlineStr">
        <x:is>
          <x:t xml:space="preserve">KVAN</x:t>
        </x:is>
      </x:c>
      <x:c r="H3" s="767" t="inlineStr">
        <x:is>
          <x:t xml:space="preserve">Överviktsavgift för vikt över 60 kg, matavfall</x:t>
        </x:is>
      </x:c>
      <x:c r="I3" s="767"/>
      <x:c r="J3" s="767"/>
      <x:c r="K3" s="767" t="n">
        <x:v>3.68</x:v>
      </x:c>
      <x:c r="L3" s="852" t="n">
        <x:v>44927</x:v>
      </x:c>
      <x:c r="M3" s="767" t="n">
        <x:v>0</x:v>
      </x:c>
      <x:c r="N3" s="767"/>
      <x:c r="O3" s="767" t="inlineStr">
        <x:is>
          <x:t xml:space="preserve">-</x:t>
        </x:is>
      </x:c>
      <x:c r="P3" s="767" t="n">
        <x:v>1</x:v>
      </x:c>
      <x:c r="Q3" s="774" t="inlineStr">
        <x:is>
          <x:t xml:space="preserve">VIKG-60,MIN0</x:t>
        </x:is>
      </x:c>
    </x:row>
    <x:row r="4">
      <x:c r="A4" s="773" t="n">
        <x:v>1693</x:v>
      </x:c>
      <x:c r="B4" s="767" t="inlineStr">
        <x:is>
          <x:t xml:space="preserve">370REST</x:t>
        </x:is>
      </x:c>
      <x:c r="C4" s="767" t="inlineStr">
        <x:is>
          <x:t xml:space="preserve">140-370L kärl, viktavgift restavfall</x:t>
        </x:is>
      </x:c>
      <x:c r="D4" s="767" t="inlineStr">
        <x:is>
          <x:t xml:space="preserve">RENH</x:t>
        </x:is>
      </x:c>
      <x:c r="E4" s="767" t="inlineStr">
        <x:is>
          <x:t xml:space="preserve">HUSH</x:t>
        </x:is>
      </x:c>
      <x:c r="F4" s="767" t="n">
        <x:v>1</x:v>
      </x:c>
      <x:c r="G4" s="767" t="inlineStr">
        <x:is>
          <x:t xml:space="preserve">KVAN</x:t>
        </x:is>
      </x:c>
      <x:c r="H4" s="767" t="inlineStr">
        <x:is>
          <x:t xml:space="preserve">140-370L kärl - viktavgift restavfall</x:t>
        </x:is>
      </x:c>
      <x:c r="I4" s="767"/>
      <x:c r="J4" s="767"/>
      <x:c r="K4" s="767" t="n">
        <x:v>4</x:v>
      </x:c>
      <x:c r="L4" s="852" t="n">
        <x:v>44927</x:v>
      </x:c>
      <x:c r="M4" s="767" t="n">
        <x:v>0</x:v>
      </x:c>
      <x:c r="N4" s="767"/>
      <x:c r="O4" s="767" t="inlineStr">
        <x:is>
          <x:t xml:space="preserve">-</x:t>
        </x:is>
      </x:c>
      <x:c r="P4" s="767" t="n">
        <x:v>1</x:v>
      </x:c>
      <x:c r="Q4" s="774" t="inlineStr">
        <x:is>
          <x:t xml:space="preserve">VIKG,MAX60</x:t>
        </x:is>
      </x:c>
    </x:row>
    <x:row r="5">
      <x:c r="A5" s="773" t="n">
        <x:v>1694</x:v>
      </x:c>
      <x:c r="B5" s="767" t="inlineStr">
        <x:is>
          <x:t xml:space="preserve">370REST</x:t>
        </x:is>
      </x:c>
      <x:c r="C5" s="767" t="inlineStr">
        <x:is>
          <x:t xml:space="preserve">140-370L kärl, viktavgift restavfall</x:t>
        </x:is>
      </x:c>
      <x:c r="D5" s="767" t="inlineStr">
        <x:is>
          <x:t xml:space="preserve">RENH</x:t>
        </x:is>
      </x:c>
      <x:c r="E5" s="767" t="inlineStr">
        <x:is>
          <x:t xml:space="preserve">HUSH</x:t>
        </x:is>
      </x:c>
      <x:c r="F5" s="767" t="n">
        <x:v>2</x:v>
      </x:c>
      <x:c r="G5" s="767" t="inlineStr">
        <x:is>
          <x:t xml:space="preserve">KVAN</x:t>
        </x:is>
      </x:c>
      <x:c r="H5" s="767" t="inlineStr">
        <x:is>
          <x:t xml:space="preserve">Överviktsavgift för vikt över 60 kg, restavfall</x:t>
        </x:is>
      </x:c>
      <x:c r="I5" s="767"/>
      <x:c r="J5" s="767"/>
      <x:c r="K5" s="767" t="n">
        <x:v>7.36</x:v>
      </x:c>
      <x:c r="L5" s="852" t="n">
        <x:v>44927</x:v>
      </x:c>
      <x:c r="M5" s="767" t="n">
        <x:v>0</x:v>
      </x:c>
      <x:c r="N5" s="767"/>
      <x:c r="O5" s="767" t="inlineStr">
        <x:is>
          <x:t xml:space="preserve">-</x:t>
        </x:is>
      </x:c>
      <x:c r="P5" s="767" t="n">
        <x:v>1</x:v>
      </x:c>
      <x:c r="Q5" s="774" t="inlineStr">
        <x:is>
          <x:t xml:space="preserve">VIKG-60,MIN0</x:t>
        </x:is>
      </x:c>
    </x:row>
    <x:row r="6">
      <x:c r="A6" s="773" t="n">
        <x:v>1695</x:v>
      </x:c>
      <x:c r="B6" s="767" t="inlineStr">
        <x:is>
          <x:t xml:space="preserve">660REST</x:t>
        </x:is>
      </x:c>
      <x:c r="C6" s="767" t="inlineStr">
        <x:is>
          <x:t xml:space="preserve">660L kärl, viktavgift restavfall</x:t>
        </x:is>
      </x:c>
      <x:c r="D6" s="767" t="inlineStr">
        <x:is>
          <x:t xml:space="preserve">RENH</x:t>
        </x:is>
      </x:c>
      <x:c r="E6" s="767" t="inlineStr">
        <x:is>
          <x:t xml:space="preserve">HUSH</x:t>
        </x:is>
      </x:c>
      <x:c r="F6" s="767" t="n">
        <x:v>1</x:v>
      </x:c>
      <x:c r="G6" s="767" t="inlineStr">
        <x:is>
          <x:t xml:space="preserve">KVAN</x:t>
        </x:is>
      </x:c>
      <x:c r="H6" s="767" t="inlineStr">
        <x:is>
          <x:t xml:space="preserve">660L kärl - viktavgift restavfall</x:t>
        </x:is>
      </x:c>
      <x:c r="I6" s="767"/>
      <x:c r="J6" s="767"/>
      <x:c r="K6" s="767" t="n">
        <x:v>4</x:v>
      </x:c>
      <x:c r="L6" s="852" t="n">
        <x:v>44927</x:v>
      </x:c>
      <x:c r="M6" s="767" t="n">
        <x:v>0</x:v>
      </x:c>
      <x:c r="N6" s="767"/>
      <x:c r="O6" s="767" t="inlineStr">
        <x:is>
          <x:t xml:space="preserve">-</x:t>
        </x:is>
      </x:c>
      <x:c r="P6" s="767" t="n">
        <x:v>1</x:v>
      </x:c>
      <x:c r="Q6" s="774" t="inlineStr">
        <x:is>
          <x:t xml:space="preserve">VIKG,MAX100</x:t>
        </x:is>
      </x:c>
    </x:row>
    <x:row r="7">
      <x:c r="A7" s="773" t="n">
        <x:v>1696</x:v>
      </x:c>
      <x:c r="B7" s="767" t="inlineStr">
        <x:is>
          <x:t xml:space="preserve">660REST</x:t>
        </x:is>
      </x:c>
      <x:c r="C7" s="767" t="inlineStr">
        <x:is>
          <x:t xml:space="preserve">660L kärl, viktavgift restavfall</x:t>
        </x:is>
      </x:c>
      <x:c r="D7" s="767" t="inlineStr">
        <x:is>
          <x:t xml:space="preserve">RENH</x:t>
        </x:is>
      </x:c>
      <x:c r="E7" s="767" t="inlineStr">
        <x:is>
          <x:t xml:space="preserve">HUSH</x:t>
        </x:is>
      </x:c>
      <x:c r="F7" s="767" t="n">
        <x:v>2</x:v>
      </x:c>
      <x:c r="G7" s="767" t="inlineStr">
        <x:is>
          <x:t xml:space="preserve">KVAN</x:t>
        </x:is>
      </x:c>
      <x:c r="H7" s="767" t="inlineStr">
        <x:is>
          <x:t xml:space="preserve">Överviktsavgift för vikt över 100 kg, restavfall</x:t>
        </x:is>
      </x:c>
      <x:c r="I7" s="767"/>
      <x:c r="J7" s="767"/>
      <x:c r="K7" s="767" t="n">
        <x:v>7.36</x:v>
      </x:c>
      <x:c r="L7" s="852" t="n">
        <x:v>44927</x:v>
      </x:c>
      <x:c r="M7" s="767" t="n">
        <x:v>0</x:v>
      </x:c>
      <x:c r="N7" s="767"/>
      <x:c r="O7" s="767" t="inlineStr">
        <x:is>
          <x:t xml:space="preserve">-</x:t>
        </x:is>
      </x:c>
      <x:c r="P7" s="767" t="n">
        <x:v>1</x:v>
      </x:c>
      <x:c r="Q7" s="774" t="inlineStr">
        <x:is>
          <x:t xml:space="preserve">VIKG-100,MIN0</x:t>
        </x:is>
      </x:c>
    </x:row>
    <x:row r="8">
      <x:c r="A8" s="773" t="n">
        <x:v>1626</x:v>
      </x:c>
      <x:c r="B8" s="767" t="inlineStr">
        <x:is>
          <x:t xml:space="preserve">BDT03SLBUD</x:t>
        </x:is>
      </x:c>
      <x:c r="C8" s="767" t="inlineStr">
        <x:is>
          <x:t xml:space="preserve">BDT 0-3 m³, slam. Budning</x:t>
        </x:is>
      </x:c>
      <x:c r="D8" s="767" t="inlineStr">
        <x:is>
          <x:t xml:space="preserve">RENH</x:t>
        </x:is>
      </x:c>
      <x:c r="E8" s="767" t="inlineStr">
        <x:is>
          <x:t xml:space="preserve">SLAM</x:t>
        </x:is>
      </x:c>
      <x:c r="F8" s="767" t="n">
        <x:v>1</x:v>
      </x:c>
      <x:c r="G8" s="767" t="inlineStr">
        <x:is>
          <x:t xml:space="preserve">ÅRKV</x:t>
        </x:is>
      </x:c>
      <x:c r="H8" s="767" t="inlineStr">
        <x:is>
          <x:t xml:space="preserve">BDT 0-3 m³, slam. Budning</x:t>
        </x:is>
      </x:c>
      <x:c r="I8" s="767"/>
      <x:c r="J8" s="767"/>
      <x:c r="K8" s="767" t="n">
        <x:v>0</x:v>
      </x:c>
      <x:c r="L8" s="852" t="n">
        <x:v>44927</x:v>
      </x:c>
      <x:c r="M8" s="767" t="n">
        <x:v>0</x:v>
      </x:c>
      <x:c r="N8" s="767"/>
      <x:c r="O8" s="767" t="inlineStr">
        <x:is>
          <x:t xml:space="preserve">-</x:t>
        </x:is>
      </x:c>
      <x:c r="P8" s="767" t="n">
        <x:v>1</x:v>
      </x:c>
      <x:c r="Q8" s="774" t="inlineStr">
        <x:is>
          <x:t xml:space="preserve">0</x:t>
        </x:is>
      </x:c>
    </x:row>
    <x:row r="9">
      <x:c r="A9" s="773" t="n">
        <x:v>1610</x:v>
      </x:c>
      <x:c r="B9" s="767" t="inlineStr">
        <x:is>
          <x:t xml:space="preserve">BDT03SLORD</x:t>
        </x:is>
      </x:c>
      <x:c r="C9" s="767" t="inlineStr">
        <x:is>
          <x:t xml:space="preserve">BDT 0-3 m³, slam. Ordinarie tur</x:t>
        </x:is>
      </x:c>
      <x:c r="D9" s="767" t="inlineStr">
        <x:is>
          <x:t xml:space="preserve">RENH</x:t>
        </x:is>
      </x:c>
      <x:c r="E9" s="767" t="inlineStr">
        <x:is>
          <x:t xml:space="preserve">SLAM</x:t>
        </x:is>
      </x:c>
      <x:c r="F9" s="767" t="n">
        <x:v>1</x:v>
      </x:c>
      <x:c r="G9" s="767" t="inlineStr">
        <x:is>
          <x:t xml:space="preserve">ÅRKV</x:t>
        </x:is>
      </x:c>
      <x:c r="H9" s="767" t="inlineStr">
        <x:is>
          <x:t xml:space="preserve">BDT 0-3 m³, slam. Ordinarie tur</x:t>
        </x:is>
      </x:c>
      <x:c r="I9" s="767"/>
      <x:c r="J9" s="767"/>
      <x:c r="K9" s="767" t="n">
        <x:v>0</x:v>
      </x:c>
      <x:c r="L9" s="852" t="n">
        <x:v>44927</x:v>
      </x:c>
      <x:c r="M9" s="767" t="n">
        <x:v>0</x:v>
      </x:c>
      <x:c r="N9" s="767"/>
      <x:c r="O9" s="767" t="inlineStr">
        <x:is>
          <x:t xml:space="preserve">-</x:t>
        </x:is>
      </x:c>
      <x:c r="P9" s="767" t="n">
        <x:v>1</x:v>
      </x:c>
      <x:c r="Q9" s="774" t="inlineStr">
        <x:is>
          <x:t xml:space="preserve">0</x:t>
        </x:is>
      </x:c>
    </x:row>
    <x:row r="10">
      <x:c r="A10" s="773" t="n">
        <x:v>1625</x:v>
      </x:c>
      <x:c r="B10" s="767" t="inlineStr">
        <x:is>
          <x:t xml:space="preserve">BDTÖ3SLBUD</x:t>
        </x:is>
      </x:c>
      <x:c r="C10" s="767" t="inlineStr">
        <x:is>
          <x:t xml:space="preserve">BDT över 3 m³, slam. Budning</x:t>
        </x:is>
      </x:c>
      <x:c r="D10" s="767" t="inlineStr">
        <x:is>
          <x:t xml:space="preserve">RENH</x:t>
        </x:is>
      </x:c>
      <x:c r="E10" s="767" t="inlineStr">
        <x:is>
          <x:t xml:space="preserve">SLAM</x:t>
        </x:is>
      </x:c>
      <x:c r="F10" s="767" t="n">
        <x:v>1</x:v>
      </x:c>
      <x:c r="G10" s="767" t="inlineStr">
        <x:is>
          <x:t xml:space="preserve">ÅRKV</x:t>
        </x:is>
      </x:c>
      <x:c r="H10" s="767" t="inlineStr">
        <x:is>
          <x:t xml:space="preserve">BDT över 3 m³, slam. Budning</x:t>
        </x:is>
      </x:c>
      <x:c r="I10" s="767"/>
      <x:c r="J10" s="767"/>
      <x:c r="K10" s="767" t="n">
        <x:v>0</x:v>
      </x:c>
      <x:c r="L10" s="852" t="n">
        <x:v>44927</x:v>
      </x:c>
      <x:c r="M10" s="767" t="n">
        <x:v>0</x:v>
      </x:c>
      <x:c r="N10" s="767"/>
      <x:c r="O10" s="767" t="inlineStr">
        <x:is>
          <x:t xml:space="preserve">-</x:t>
        </x:is>
      </x:c>
      <x:c r="P10" s="767" t="n">
        <x:v>1</x:v>
      </x:c>
      <x:c r="Q10" s="774" t="inlineStr">
        <x:is>
          <x:t xml:space="preserve">0</x:t>
        </x:is>
      </x:c>
    </x:row>
    <x:row r="11">
      <x:c r="A11" s="773" t="n">
        <x:v>1611</x:v>
      </x:c>
      <x:c r="B11" s="767" t="inlineStr">
        <x:is>
          <x:t xml:space="preserve">BDTÖ3SLORD</x:t>
        </x:is>
      </x:c>
      <x:c r="C11" s="767" t="inlineStr">
        <x:is>
          <x:t xml:space="preserve">BDT över 3 m³, slam. Ordinarie tur</x:t>
        </x:is>
      </x:c>
      <x:c r="D11" s="767" t="inlineStr">
        <x:is>
          <x:t xml:space="preserve">RENH</x:t>
        </x:is>
      </x:c>
      <x:c r="E11" s="767" t="inlineStr">
        <x:is>
          <x:t xml:space="preserve">SLAM</x:t>
        </x:is>
      </x:c>
      <x:c r="F11" s="767" t="n">
        <x:v>1</x:v>
      </x:c>
      <x:c r="G11" s="767" t="inlineStr">
        <x:is>
          <x:t xml:space="preserve">ÅRKV</x:t>
        </x:is>
      </x:c>
      <x:c r="H11" s="767" t="inlineStr">
        <x:is>
          <x:t xml:space="preserve">BDT över 3 m³, slam. Ordinarie tur</x:t>
        </x:is>
      </x:c>
      <x:c r="I11" s="767"/>
      <x:c r="J11" s="767"/>
      <x:c r="K11" s="767" t="n">
        <x:v>0</x:v>
      </x:c>
      <x:c r="L11" s="852" t="n">
        <x:v>44927</x:v>
      </x:c>
      <x:c r="M11" s="767" t="n">
        <x:v>0</x:v>
      </x:c>
      <x:c r="N11" s="767"/>
      <x:c r="O11" s="767" t="inlineStr">
        <x:is>
          <x:t xml:space="preserve">-</x:t>
        </x:is>
      </x:c>
      <x:c r="P11" s="767" t="n">
        <x:v>1</x:v>
      </x:c>
      <x:c r="Q11" s="774" t="inlineStr">
        <x:is>
          <x:t xml:space="preserve">0</x:t>
        </x:is>
      </x:c>
    </x:row>
    <x:row r="12">
      <x:c r="A12" s="773" t="n">
        <x:v>1613</x:v>
      </x:c>
      <x:c r="B12" s="767" t="inlineStr">
        <x:is>
          <x:t xml:space="preserve">BRN03SLBUD</x:t>
        </x:is>
      </x:c>
      <x:c r="C12" s="767" t="inlineStr">
        <x:is>
          <x:t xml:space="preserve">Brunn 0-3 m³, slam. Budning</x:t>
        </x:is>
      </x:c>
      <x:c r="D12" s="767" t="inlineStr">
        <x:is>
          <x:t xml:space="preserve">RENH</x:t>
        </x:is>
      </x:c>
      <x:c r="E12" s="767" t="inlineStr">
        <x:is>
          <x:t xml:space="preserve">SLAM</x:t>
        </x:is>
      </x:c>
      <x:c r="F12" s="767" t="n">
        <x:v>1</x:v>
      </x:c>
      <x:c r="G12" s="767" t="inlineStr">
        <x:is>
          <x:t xml:space="preserve">ÅRKV</x:t>
        </x:is>
      </x:c>
      <x:c r="H12" s="767" t="inlineStr">
        <x:is>
          <x:t xml:space="preserve">Brunn 0-3 m³, slam. Budning</x:t>
        </x:is>
      </x:c>
      <x:c r="I12" s="767"/>
      <x:c r="J12" s="767"/>
      <x:c r="K12" s="767" t="n">
        <x:v>0</x:v>
      </x:c>
      <x:c r="L12" s="852" t="n">
        <x:v>44927</x:v>
      </x:c>
      <x:c r="M12" s="767" t="n">
        <x:v>0</x:v>
      </x:c>
      <x:c r="N12" s="767"/>
      <x:c r="O12" s="767" t="inlineStr">
        <x:is>
          <x:t xml:space="preserve">X</x:t>
        </x:is>
      </x:c>
      <x:c r="P12" s="767" t="n">
        <x:v>1</x:v>
      </x:c>
      <x:c r="Q12" s="774" t="inlineStr">
        <x:is>
          <x:t xml:space="preserve">0</x:t>
        </x:is>
      </x:c>
    </x:row>
    <x:row r="13">
      <x:c r="A13" s="773" t="n">
        <x:v>1598</x:v>
      </x:c>
      <x:c r="B13" s="767" t="inlineStr">
        <x:is>
          <x:t xml:space="preserve">BRN03SLORD</x:t>
        </x:is>
      </x:c>
      <x:c r="C13" s="767" t="inlineStr">
        <x:is>
          <x:t xml:space="preserve">Brunn 0-3 m³, slam. Ordinarie tur</x:t>
        </x:is>
      </x:c>
      <x:c r="D13" s="767" t="inlineStr">
        <x:is>
          <x:t xml:space="preserve">RENH</x:t>
        </x:is>
      </x:c>
      <x:c r="E13" s="767" t="inlineStr">
        <x:is>
          <x:t xml:space="preserve">SLAM</x:t>
        </x:is>
      </x:c>
      <x:c r="F13" s="767" t="n">
        <x:v>1</x:v>
      </x:c>
      <x:c r="G13" s="767" t="inlineStr">
        <x:is>
          <x:t xml:space="preserve">ÅRKV</x:t>
        </x:is>
      </x:c>
      <x:c r="H13" s="767" t="inlineStr">
        <x:is>
          <x:t xml:space="preserve">Brunn 0-3 m³, slam. Ordinarie tur</x:t>
        </x:is>
      </x:c>
      <x:c r="I13" s="767"/>
      <x:c r="J13" s="767"/>
      <x:c r="K13" s="767" t="n">
        <x:v>0</x:v>
      </x:c>
      <x:c r="L13" s="852" t="n">
        <x:v>44927</x:v>
      </x:c>
      <x:c r="M13" s="767" t="n">
        <x:v>0</x:v>
      </x:c>
      <x:c r="N13" s="767"/>
      <x:c r="O13" s="767" t="inlineStr">
        <x:is>
          <x:t xml:space="preserve">-</x:t>
        </x:is>
      </x:c>
      <x:c r="P13" s="767" t="n">
        <x:v>1</x:v>
      </x:c>
      <x:c r="Q13" s="774" t="inlineStr">
        <x:is>
          <x:t xml:space="preserve">0</x:t>
        </x:is>
      </x:c>
    </x:row>
    <x:row r="14">
      <x:c r="A14" s="773" t="n">
        <x:v>1937</x:v>
      </x:c>
      <x:c r="B14" s="767" t="inlineStr">
        <x:is>
          <x:t xml:space="preserve">BRN03SLORDDEL</x:t>
        </x:is>
      </x:c>
      <x:c r="C14" s="767" t="inlineStr">
        <x:is>
          <x:t xml:space="preserve">Brunn 0-3 m³, slam. Ordinarie tur</x:t>
        </x:is>
      </x:c>
      <x:c r="D14" s="767" t="inlineStr">
        <x:is>
          <x:t xml:space="preserve">RENH</x:t>
        </x:is>
      </x:c>
      <x:c r="E14" s="767" t="inlineStr">
        <x:is>
          <x:t xml:space="preserve">SLAM</x:t>
        </x:is>
      </x:c>
      <x:c r="F14" s="767" t="n">
        <x:v>1</x:v>
      </x:c>
      <x:c r="G14" s="767" t="inlineStr">
        <x:is>
          <x:t xml:space="preserve">ÅRKV</x:t>
        </x:is>
      </x:c>
      <x:c r="H14" s="767" t="inlineStr">
        <x:is>
          <x:t xml:space="preserve">Brunn 0-3 m³, slam. Ordinarie tur</x:t>
        </x:is>
      </x:c>
      <x:c r="I14" s="767"/>
      <x:c r="J14" s="767"/>
      <x:c r="K14" s="767" t="n">
        <x:v>0</x:v>
      </x:c>
      <x:c r="L14" s="852" t="n">
        <x:v>44927</x:v>
      </x:c>
      <x:c r="M14" s="767" t="n">
        <x:v>0</x:v>
      </x:c>
      <x:c r="N14" s="767"/>
      <x:c r="O14" s="767" t="inlineStr">
        <x:is>
          <x:t xml:space="preserve">-</x:t>
        </x:is>
      </x:c>
      <x:c r="P14" s="767" t="n">
        <x:v>1</x:v>
      </x:c>
      <x:c r="Q14" s="774" t="inlineStr">
        <x:is>
          <x:t xml:space="preserve">0</x:t>
        </x:is>
      </x:c>
    </x:row>
    <x:row r="15">
      <x:c r="A15" s="773" t="n">
        <x:v>1614</x:v>
      </x:c>
      <x:c r="B15" s="767" t="inlineStr">
        <x:is>
          <x:t xml:space="preserve">BRN36SLBUD</x:t>
        </x:is>
      </x:c>
      <x:c r="C15" s="767" t="inlineStr">
        <x:is>
          <x:t xml:space="preserve">Brunn 3,1-6 m³, slam. Budning</x:t>
        </x:is>
      </x:c>
      <x:c r="D15" s="767" t="inlineStr">
        <x:is>
          <x:t xml:space="preserve">RENH</x:t>
        </x:is>
      </x:c>
      <x:c r="E15" s="767" t="inlineStr">
        <x:is>
          <x:t xml:space="preserve">SLAM</x:t>
        </x:is>
      </x:c>
      <x:c r="F15" s="767" t="n">
        <x:v>1</x:v>
      </x:c>
      <x:c r="G15" s="767" t="inlineStr">
        <x:is>
          <x:t xml:space="preserve">ÅRKV</x:t>
        </x:is>
      </x:c>
      <x:c r="H15" s="767" t="inlineStr">
        <x:is>
          <x:t xml:space="preserve">Brunn 3,1-6 m³, slam. Budning</x:t>
        </x:is>
      </x:c>
      <x:c r="I15" s="767"/>
      <x:c r="J15" s="767"/>
      <x:c r="K15" s="767" t="n">
        <x:v>0</x:v>
      </x:c>
      <x:c r="L15" s="852" t="n">
        <x:v>44927</x:v>
      </x:c>
      <x:c r="M15" s="767" t="n">
        <x:v>0</x:v>
      </x:c>
      <x:c r="N15" s="767"/>
      <x:c r="O15" s="767" t="inlineStr">
        <x:is>
          <x:t xml:space="preserve">-</x:t>
        </x:is>
      </x:c>
      <x:c r="P15" s="767" t="n">
        <x:v>1</x:v>
      </x:c>
      <x:c r="Q15" s="774" t="inlineStr">
        <x:is>
          <x:t xml:space="preserve">0</x:t>
        </x:is>
      </x:c>
    </x:row>
    <x:row r="16">
      <x:c r="A16" s="773" t="n">
        <x:v>1599</x:v>
      </x:c>
      <x:c r="B16" s="767" t="inlineStr">
        <x:is>
          <x:t xml:space="preserve">BRN36SLORD</x:t>
        </x:is>
      </x:c>
      <x:c r="C16" s="767" t="inlineStr">
        <x:is>
          <x:t xml:space="preserve">Brunn 3,1-6 m³, slam. Ordinarie tur</x:t>
        </x:is>
      </x:c>
      <x:c r="D16" s="767" t="inlineStr">
        <x:is>
          <x:t xml:space="preserve">RENH</x:t>
        </x:is>
      </x:c>
      <x:c r="E16" s="767" t="inlineStr">
        <x:is>
          <x:t xml:space="preserve">SLAM</x:t>
        </x:is>
      </x:c>
      <x:c r="F16" s="767" t="n">
        <x:v>1</x:v>
      </x:c>
      <x:c r="G16" s="767" t="inlineStr">
        <x:is>
          <x:t xml:space="preserve">ÅRKV</x:t>
        </x:is>
      </x:c>
      <x:c r="H16" s="767" t="inlineStr">
        <x:is>
          <x:t xml:space="preserve">Brunn 3,1-6 m³, slam. Ordinarie tur</x:t>
        </x:is>
      </x:c>
      <x:c r="I16" s="767"/>
      <x:c r="J16" s="767"/>
      <x:c r="K16" s="767" t="n">
        <x:v>0</x:v>
      </x:c>
      <x:c r="L16" s="852" t="n">
        <x:v>44927</x:v>
      </x:c>
      <x:c r="M16" s="767" t="n">
        <x:v>0</x:v>
      </x:c>
      <x:c r="N16" s="767"/>
      <x:c r="O16" s="767" t="inlineStr">
        <x:is>
          <x:t xml:space="preserve">-</x:t>
        </x:is>
      </x:c>
      <x:c r="P16" s="767" t="n">
        <x:v>1</x:v>
      </x:c>
      <x:c r="Q16" s="774" t="inlineStr">
        <x:is>
          <x:t xml:space="preserve">0</x:t>
        </x:is>
      </x:c>
    </x:row>
    <x:row r="17">
      <x:c r="A17" s="773" t="n">
        <x:v>1941</x:v>
      </x:c>
      <x:c r="B17" s="767" t="inlineStr">
        <x:is>
          <x:t xml:space="preserve">BRN36SLORDDEL</x:t>
        </x:is>
      </x:c>
      <x:c r="C17" s="767" t="inlineStr">
        <x:is>
          <x:t xml:space="preserve">Brunn 3-6 m³, slam. Ordinarie tur</x:t>
        </x:is>
      </x:c>
      <x:c r="D17" s="767" t="inlineStr">
        <x:is>
          <x:t xml:space="preserve">RENH</x:t>
        </x:is>
      </x:c>
      <x:c r="E17" s="767" t="inlineStr">
        <x:is>
          <x:t xml:space="preserve">SLAM</x:t>
        </x:is>
      </x:c>
      <x:c r="F17" s="767" t="n">
        <x:v>1</x:v>
      </x:c>
      <x:c r="G17" s="767" t="inlineStr">
        <x:is>
          <x:t xml:space="preserve">ÅRKV</x:t>
        </x:is>
      </x:c>
      <x:c r="H17" s="767" t="inlineStr">
        <x:is>
          <x:t xml:space="preserve">Brunn 0-3 m³, slam. Ordinarie tur</x:t>
        </x:is>
      </x:c>
      <x:c r="I17" s="767"/>
      <x:c r="J17" s="767"/>
      <x:c r="K17" s="767" t="n">
        <x:v>0</x:v>
      </x:c>
      <x:c r="L17" s="852" t="n">
        <x:v>44927</x:v>
      </x:c>
      <x:c r="M17" s="767" t="n">
        <x:v>0</x:v>
      </x:c>
      <x:c r="N17" s="767"/>
      <x:c r="O17" s="767" t="inlineStr">
        <x:is>
          <x:t xml:space="preserve">-</x:t>
        </x:is>
      </x:c>
      <x:c r="P17" s="767" t="n">
        <x:v>1</x:v>
      </x:c>
      <x:c r="Q17" s="774" t="inlineStr">
        <x:is>
          <x:t xml:space="preserve">0</x:t>
        </x:is>
      </x:c>
    </x:row>
    <x:row r="18">
      <x:c r="A18" s="773" t="n">
        <x:v>1615</x:v>
      </x:c>
      <x:c r="B18" s="767" t="inlineStr">
        <x:is>
          <x:t xml:space="preserve">BRN69SLBUD</x:t>
        </x:is>
      </x:c>
      <x:c r="C18" s="767" t="inlineStr">
        <x:is>
          <x:t xml:space="preserve">Brunn 6,1-9 m³, slam. Budning</x:t>
        </x:is>
      </x:c>
      <x:c r="D18" s="767" t="inlineStr">
        <x:is>
          <x:t xml:space="preserve">RENH</x:t>
        </x:is>
      </x:c>
      <x:c r="E18" s="767" t="inlineStr">
        <x:is>
          <x:t xml:space="preserve">SLAM</x:t>
        </x:is>
      </x:c>
      <x:c r="F18" s="767" t="n">
        <x:v>1</x:v>
      </x:c>
      <x:c r="G18" s="767" t="inlineStr">
        <x:is>
          <x:t xml:space="preserve">ÅRKV</x:t>
        </x:is>
      </x:c>
      <x:c r="H18" s="767" t="inlineStr">
        <x:is>
          <x:t xml:space="preserve">Brunn 6,1-9 m³, slam. Budning</x:t>
        </x:is>
      </x:c>
      <x:c r="I18" s="767"/>
      <x:c r="J18" s="767"/>
      <x:c r="K18" s="767" t="n">
        <x:v>0</x:v>
      </x:c>
      <x:c r="L18" s="852" t="n">
        <x:v>44927</x:v>
      </x:c>
      <x:c r="M18" s="767" t="n">
        <x:v>0</x:v>
      </x:c>
      <x:c r="N18" s="767"/>
      <x:c r="O18" s="767" t="inlineStr">
        <x:is>
          <x:t xml:space="preserve">-</x:t>
        </x:is>
      </x:c>
      <x:c r="P18" s="767" t="n">
        <x:v>1</x:v>
      </x:c>
      <x:c r="Q18" s="774" t="inlineStr">
        <x:is>
          <x:t xml:space="preserve">0</x:t>
        </x:is>
      </x:c>
    </x:row>
    <x:row r="19">
      <x:c r="A19" s="773" t="n">
        <x:v>1600</x:v>
      </x:c>
      <x:c r="B19" s="767" t="inlineStr">
        <x:is>
          <x:t xml:space="preserve">BRN69SLORD</x:t>
        </x:is>
      </x:c>
      <x:c r="C19" s="767" t="inlineStr">
        <x:is>
          <x:t xml:space="preserve">Brunn 6,1-9 m³, slam. Ordinarie tur</x:t>
        </x:is>
      </x:c>
      <x:c r="D19" s="767" t="inlineStr">
        <x:is>
          <x:t xml:space="preserve">RENH</x:t>
        </x:is>
      </x:c>
      <x:c r="E19" s="767" t="inlineStr">
        <x:is>
          <x:t xml:space="preserve">SLAM</x:t>
        </x:is>
      </x:c>
      <x:c r="F19" s="767" t="n">
        <x:v>1</x:v>
      </x:c>
      <x:c r="G19" s="767" t="inlineStr">
        <x:is>
          <x:t xml:space="preserve">ÅRKV</x:t>
        </x:is>
      </x:c>
      <x:c r="H19" s="767" t="inlineStr">
        <x:is>
          <x:t xml:space="preserve">Brunn 6,1-9 m³, slam. Ordinarie tur</x:t>
        </x:is>
      </x:c>
      <x:c r="I19" s="767"/>
      <x:c r="J19" s="767"/>
      <x:c r="K19" s="767" t="n">
        <x:v>0</x:v>
      </x:c>
      <x:c r="L19" s="852" t="n">
        <x:v>44927</x:v>
      </x:c>
      <x:c r="M19" s="767" t="n">
        <x:v>0</x:v>
      </x:c>
      <x:c r="N19" s="767"/>
      <x:c r="O19" s="767" t="inlineStr">
        <x:is>
          <x:t xml:space="preserve">-</x:t>
        </x:is>
      </x:c>
      <x:c r="P19" s="767" t="n">
        <x:v>1</x:v>
      </x:c>
      <x:c r="Q19" s="774" t="inlineStr">
        <x:is>
          <x:t xml:space="preserve">0</x:t>
        </x:is>
      </x:c>
    </x:row>
    <x:row r="20">
      <x:c r="A20" s="773" t="n">
        <x:v>1616</x:v>
      </x:c>
      <x:c r="B20" s="767" t="inlineStr">
        <x:is>
          <x:t xml:space="preserve">BRNÖ9SLBUD</x:t>
        </x:is>
      </x:c>
      <x:c r="C20" s="767" t="inlineStr">
        <x:is>
          <x:t xml:space="preserve">Brunn över 9 m³, slam. Budning</x:t>
        </x:is>
      </x:c>
      <x:c r="D20" s="767" t="inlineStr">
        <x:is>
          <x:t xml:space="preserve">RENH</x:t>
        </x:is>
      </x:c>
      <x:c r="E20" s="767" t="inlineStr">
        <x:is>
          <x:t xml:space="preserve">SLAM</x:t>
        </x:is>
      </x:c>
      <x:c r="F20" s="767" t="n">
        <x:v>1</x:v>
      </x:c>
      <x:c r="G20" s="767" t="inlineStr">
        <x:is>
          <x:t xml:space="preserve">ÅRKV</x:t>
        </x:is>
      </x:c>
      <x:c r="H20" s="767" t="inlineStr">
        <x:is>
          <x:t xml:space="preserve">Brunn över 9 m³, slam. Budning</x:t>
        </x:is>
      </x:c>
      <x:c r="I20" s="767"/>
      <x:c r="J20" s="767"/>
      <x:c r="K20" s="767" t="n">
        <x:v>0</x:v>
      </x:c>
      <x:c r="L20" s="852" t="n">
        <x:v>44927</x:v>
      </x:c>
      <x:c r="M20" s="767" t="n">
        <x:v>0</x:v>
      </x:c>
      <x:c r="N20" s="767"/>
      <x:c r="O20" s="767" t="inlineStr">
        <x:is>
          <x:t xml:space="preserve">-</x:t>
        </x:is>
      </x:c>
      <x:c r="P20" s="767" t="n">
        <x:v>1</x:v>
      </x:c>
      <x:c r="Q20" s="774" t="inlineStr">
        <x:is>
          <x:t xml:space="preserve">0</x:t>
        </x:is>
      </x:c>
    </x:row>
    <x:row r="21">
      <x:c r="A21" s="773" t="n">
        <x:v>1601</x:v>
      </x:c>
      <x:c r="B21" s="767" t="inlineStr">
        <x:is>
          <x:t xml:space="preserve">BRNÖ9SLORD</x:t>
        </x:is>
      </x:c>
      <x:c r="C21" s="767" t="inlineStr">
        <x:is>
          <x:t xml:space="preserve">Brunn över 9 m³, slam. Ordinarie tur</x:t>
        </x:is>
      </x:c>
      <x:c r="D21" s="767" t="inlineStr">
        <x:is>
          <x:t xml:space="preserve">RENH</x:t>
        </x:is>
      </x:c>
      <x:c r="E21" s="767" t="inlineStr">
        <x:is>
          <x:t xml:space="preserve">SLAM</x:t>
        </x:is>
      </x:c>
      <x:c r="F21" s="767" t="n">
        <x:v>1</x:v>
      </x:c>
      <x:c r="G21" s="767" t="inlineStr">
        <x:is>
          <x:t xml:space="preserve">ÅRKV</x:t>
        </x:is>
      </x:c>
      <x:c r="H21" s="767" t="inlineStr">
        <x:is>
          <x:t xml:space="preserve">Brunn över 9 m³, slam. Ordinarie tur</x:t>
        </x:is>
      </x:c>
      <x:c r="I21" s="767"/>
      <x:c r="J21" s="767"/>
      <x:c r="K21" s="767" t="n">
        <x:v>0</x:v>
      </x:c>
      <x:c r="L21" s="852" t="n">
        <x:v>44927</x:v>
      </x:c>
      <x:c r="M21" s="767" t="n">
        <x:v>0</x:v>
      </x:c>
      <x:c r="N21" s="767"/>
      <x:c r="O21" s="767" t="inlineStr">
        <x:is>
          <x:t xml:space="preserve">-</x:t>
        </x:is>
      </x:c>
      <x:c r="P21" s="767" t="n">
        <x:v>1</x:v>
      </x:c>
      <x:c r="Q21" s="774" t="inlineStr">
        <x:is>
          <x:t xml:space="preserve">0</x:t>
        </x:is>
      </x:c>
    </x:row>
    <x:row r="22">
      <x:c r="A22" s="773" t="n">
        <x:v>1780</x:v>
      </x:c>
      <x:c r="B22" s="767" t="inlineStr">
        <x:is>
          <x:t xml:space="preserve">CONTAINERMA</x:t>
        </x:is>
      </x:c>
      <x:c r="C22" s="767" t="inlineStr">
        <x:is>
          <x:t xml:space="preserve">Tjänsttaxa container för matavfall</x:t>
        </x:is>
      </x:c>
      <x:c r="D22" s="767" t="inlineStr">
        <x:is>
          <x:t xml:space="preserve">RENH</x:t>
        </x:is>
      </x:c>
      <x:c r="E22" s="767" t="inlineStr">
        <x:is>
          <x:t xml:space="preserve">HUSH</x:t>
        </x:is>
      </x:c>
      <x:c r="F22" s="767" t="n">
        <x:v>1</x:v>
      </x:c>
      <x:c r="G22" s="767" t="inlineStr">
        <x:is>
          <x:t xml:space="preserve">ÅRKV</x:t>
        </x:is>
      </x:c>
      <x:c r="H22" s="767" t="inlineStr">
        <x:is>
          <x:t xml:space="preserve">Tjänsttaxa container för matavfall</x:t>
        </x:is>
      </x:c>
      <x:c r="I22" s="767"/>
      <x:c r="J22" s="767"/>
      <x:c r="K22" s="767" t="n">
        <x:v>0</x:v>
      </x:c>
      <x:c r="L22" s="852" t="n">
        <x:v>44927</x:v>
      </x:c>
      <x:c r="M22" s="767" t="n">
        <x:v>0</x:v>
      </x:c>
      <x:c r="N22" s="767"/>
      <x:c r="O22" s="767" t="inlineStr">
        <x:is>
          <x:t xml:space="preserve">-</x:t>
        </x:is>
      </x:c>
      <x:c r="P22" s="767" t="n">
        <x:v>1</x:v>
      </x:c>
      <x:c r="Q22" s="774" t="inlineStr">
        <x:is>
          <x:t xml:space="preserve">0</x:t>
        </x:is>
      </x:c>
    </x:row>
    <x:row r="23">
      <x:c r="A23" s="773" t="n">
        <x:v>1779</x:v>
      </x:c>
      <x:c r="B23" s="767" t="inlineStr">
        <x:is>
          <x:t xml:space="preserve">CONTAINERRE</x:t>
        </x:is>
      </x:c>
      <x:c r="C23" s="767" t="inlineStr">
        <x:is>
          <x:t xml:space="preserve">Tjänsttaxa container för restavfall</x:t>
        </x:is>
      </x:c>
      <x:c r="D23" s="767" t="inlineStr">
        <x:is>
          <x:t xml:space="preserve">RENH</x:t>
        </x:is>
      </x:c>
      <x:c r="E23" s="767" t="inlineStr">
        <x:is>
          <x:t xml:space="preserve">HUSH</x:t>
        </x:is>
      </x:c>
      <x:c r="F23" s="767" t="n">
        <x:v>1</x:v>
      </x:c>
      <x:c r="G23" s="767" t="inlineStr">
        <x:is>
          <x:t xml:space="preserve">ÅRKV</x:t>
        </x:is>
      </x:c>
      <x:c r="H23" s="767" t="inlineStr">
        <x:is>
          <x:t xml:space="preserve">Tjänsttaxa container för restavfall</x:t>
        </x:is>
      </x:c>
      <x:c r="I23" s="767"/>
      <x:c r="J23" s="767"/>
      <x:c r="K23" s="767" t="n">
        <x:v>0</x:v>
      </x:c>
      <x:c r="L23" s="852" t="n">
        <x:v>44927</x:v>
      </x:c>
      <x:c r="M23" s="767" t="n">
        <x:v>0</x:v>
      </x:c>
      <x:c r="N23" s="767"/>
      <x:c r="O23" s="767" t="inlineStr">
        <x:is>
          <x:t xml:space="preserve">-</x:t>
        </x:is>
      </x:c>
      <x:c r="P23" s="767" t="n">
        <x:v>1</x:v>
      </x:c>
      <x:c r="Q23" s="774" t="inlineStr">
        <x:is>
          <x:t xml:space="preserve">0</x:t>
        </x:is>
      </x:c>
    </x:row>
    <x:row r="24">
      <x:c r="A24" s="773" t="n">
        <x:v>1969</x:v>
      </x:c>
      <x:c r="B24" s="767" t="inlineStr">
        <x:is>
          <x:t xml:space="preserve">Dummy SMS</x:t>
        </x:is>
      </x:c>
      <x:c r="C24" s="767" t="inlineStr">
        <x:is>
          <x:t xml:space="preserve">Dummy SMS</x:t>
        </x:is>
      </x:c>
      <x:c r="D24" s="767" t="inlineStr">
        <x:is>
          <x:t xml:space="preserve">RENH</x:t>
        </x:is>
      </x:c>
      <x:c r="E24" s="767" t="inlineStr">
        <x:is>
          <x:t xml:space="preserve">SLAM</x:t>
        </x:is>
      </x:c>
      <x:c r="F24" s="767" t="n">
        <x:v>1</x:v>
      </x:c>
      <x:c r="G24" s="767" t="inlineStr">
        <x:is>
          <x:t xml:space="preserve">ÅRKV</x:t>
        </x:is>
      </x:c>
      <x:c r="H24" s="767" t="inlineStr">
        <x:is>
          <x:t xml:space="preserve">Brunn 0-3 m³, slam. Ordinarie tur</x:t>
        </x:is>
      </x:c>
      <x:c r="I24" s="767"/>
      <x:c r="J24" s="767"/>
      <x:c r="K24" s="767" t="n">
        <x:v>0</x:v>
      </x:c>
      <x:c r="L24" s="852" t="n">
        <x:v>44927</x:v>
      </x:c>
      <x:c r="M24" s="767" t="n">
        <x:v>0</x:v>
      </x:c>
      <x:c r="N24" s="767"/>
      <x:c r="O24" s="767" t="inlineStr">
        <x:is>
          <x:t xml:space="preserve">-</x:t>
        </x:is>
      </x:c>
      <x:c r="P24" s="767" t="n">
        <x:v>1</x:v>
      </x:c>
      <x:c r="Q24" s="774" t="inlineStr">
        <x:is>
          <x:t xml:space="preserve">0</x:t>
        </x:is>
      </x:c>
    </x:row>
    <x:row r="25">
      <x:c r="A25" s="773" t="n">
        <x:v>1774</x:v>
      </x:c>
      <x:c r="B25" s="767" t="inlineStr">
        <x:is>
          <x:t xml:space="preserve">EVENEMANG</x:t>
        </x:is>
      </x:c>
      <x:c r="C25" s="767" t="inlineStr">
        <x:is>
          <x:t xml:space="preserve">Tjänsttaxa för tillfälliga evenemangskärl</x:t>
        </x:is>
      </x:c>
      <x:c r="D25" s="767" t="inlineStr">
        <x:is>
          <x:t xml:space="preserve">RENH</x:t>
        </x:is>
      </x:c>
      <x:c r="E25" s="767" t="inlineStr">
        <x:is>
          <x:t xml:space="preserve">HUSH</x:t>
        </x:is>
      </x:c>
      <x:c r="F25" s="767" t="n">
        <x:v>1</x:v>
      </x:c>
      <x:c r="G25" s="767" t="inlineStr">
        <x:is>
          <x:t xml:space="preserve">ÅRKV</x:t>
        </x:is>
      </x:c>
      <x:c r="H25" s="767" t="inlineStr">
        <x:is>
          <x:t xml:space="preserve">Tjänsttaxa för tillfälliga evenemangskärl</x:t>
        </x:is>
      </x:c>
      <x:c r="I25" s="767"/>
      <x:c r="J25" s="767"/>
      <x:c r="K25" s="767" t="n">
        <x:v>0</x:v>
      </x:c>
      <x:c r="L25" s="852" t="n">
        <x:v>44927</x:v>
      </x:c>
      <x:c r="M25" s="767" t="n">
        <x:v>0</x:v>
      </x:c>
      <x:c r="N25" s="767"/>
      <x:c r="O25" s="767" t="inlineStr">
        <x:is>
          <x:t xml:space="preserve">-</x:t>
        </x:is>
      </x:c>
      <x:c r="P25" s="767" t="n">
        <x:v>1</x:v>
      </x:c>
      <x:c r="Q25" s="774" t="inlineStr">
        <x:is>
          <x:t xml:space="preserve">0</x:t>
        </x:is>
      </x:c>
    </x:row>
    <x:row r="26">
      <x:c r="A26" s="773" t="n">
        <x:v>1744</x:v>
      </x:c>
      <x:c r="B26" s="767" t="inlineStr">
        <x:is>
          <x:t xml:space="preserve">FARLIGTAVFALL</x:t>
        </x:is>
      </x:c>
      <x:c r="C26" s="767" t="inlineStr">
        <x:is>
          <x:t xml:space="preserve">Tjänsttaxa för farligt avfall</x:t>
        </x:is>
      </x:c>
      <x:c r="D26" s="767" t="inlineStr">
        <x:is>
          <x:t xml:space="preserve">RENH</x:t>
        </x:is>
      </x:c>
      <x:c r="E26" s="767" t="inlineStr">
        <x:is>
          <x:t xml:space="preserve">HUSH</x:t>
        </x:is>
      </x:c>
      <x:c r="F26" s="767" t="n">
        <x:v>1</x:v>
      </x:c>
      <x:c r="G26" s="767" t="inlineStr">
        <x:is>
          <x:t xml:space="preserve">ÅRKV</x:t>
        </x:is>
      </x:c>
      <x:c r="H26" s="767" t="inlineStr">
        <x:is>
          <x:t xml:space="preserve">Tjänsttaxa för farligt avfall</x:t>
        </x:is>
      </x:c>
      <x:c r="I26" s="767"/>
      <x:c r="J26" s="767"/>
      <x:c r="K26" s="767" t="n">
        <x:v>0</x:v>
      </x:c>
      <x:c r="L26" s="852" t="n">
        <x:v>44927</x:v>
      </x:c>
      <x:c r="M26" s="767" t="n">
        <x:v>0</x:v>
      </x:c>
      <x:c r="N26" s="767"/>
      <x:c r="O26" s="767" t="inlineStr">
        <x:is>
          <x:t xml:space="preserve">-</x:t>
        </x:is>
      </x:c>
      <x:c r="P26" s="767" t="n">
        <x:v>1</x:v>
      </x:c>
      <x:c r="Q26" s="774" t="inlineStr">
        <x:is>
          <x:t xml:space="preserve">0</x:t>
        </x:is>
      </x:c>
    </x:row>
    <x:row r="27">
      <x:c r="A27" s="773" t="n">
        <x:v>1627</x:v>
      </x:c>
      <x:c r="B27" s="767" t="inlineStr">
        <x:is>
          <x:t xml:space="preserve">FOSFORBUD</x:t>
        </x:is>
      </x:c>
      <x:c r="C27" s="767" t="inlineStr">
        <x:is>
          <x:t xml:space="preserve">Fosforfälla. Budning</x:t>
        </x:is>
      </x:c>
      <x:c r="D27" s="767" t="inlineStr">
        <x:is>
          <x:t xml:space="preserve">RENH</x:t>
        </x:is>
      </x:c>
      <x:c r="E27" s="767" t="inlineStr">
        <x:is>
          <x:t xml:space="preserve">SLAM</x:t>
        </x:is>
      </x:c>
      <x:c r="F27" s="767" t="n">
        <x:v>1</x:v>
      </x:c>
      <x:c r="G27" s="767" t="inlineStr">
        <x:is>
          <x:t xml:space="preserve">ÅRKV</x:t>
        </x:is>
      </x:c>
      <x:c r="H27" s="767" t="inlineStr">
        <x:is>
          <x:t xml:space="preserve">Fosforfälla. Budning</x:t>
        </x:is>
      </x:c>
      <x:c r="I27" s="767"/>
      <x:c r="J27" s="767"/>
      <x:c r="K27" s="767" t="n">
        <x:v>0</x:v>
      </x:c>
      <x:c r="L27" s="852" t="n">
        <x:v>44927</x:v>
      </x:c>
      <x:c r="M27" s="767" t="n">
        <x:v>0</x:v>
      </x:c>
      <x:c r="N27" s="767"/>
      <x:c r="O27" s="767" t="inlineStr">
        <x:is>
          <x:t xml:space="preserve">-</x:t>
        </x:is>
      </x:c>
      <x:c r="P27" s="767" t="n">
        <x:v>1</x:v>
      </x:c>
      <x:c r="Q27" s="774" t="inlineStr">
        <x:is>
          <x:t xml:space="preserve">0</x:t>
        </x:is>
      </x:c>
    </x:row>
    <x:row r="28">
      <x:c r="A28" s="773" t="n">
        <x:v>1612</x:v>
      </x:c>
      <x:c r="B28" s="767" t="inlineStr">
        <x:is>
          <x:t xml:space="preserve">FOSFORORD</x:t>
        </x:is>
      </x:c>
      <x:c r="C28" s="767" t="inlineStr">
        <x:is>
          <x:t xml:space="preserve">Fosforfälla. Ordinarie tur</x:t>
        </x:is>
      </x:c>
      <x:c r="D28" s="767" t="inlineStr">
        <x:is>
          <x:t xml:space="preserve">RENH</x:t>
        </x:is>
      </x:c>
      <x:c r="E28" s="767" t="inlineStr">
        <x:is>
          <x:t xml:space="preserve">SLAM</x:t>
        </x:is>
      </x:c>
      <x:c r="F28" s="767" t="n">
        <x:v>1</x:v>
      </x:c>
      <x:c r="G28" s="767" t="inlineStr">
        <x:is>
          <x:t xml:space="preserve">ÅRKV</x:t>
        </x:is>
      </x:c>
      <x:c r="H28" s="767" t="inlineStr">
        <x:is>
          <x:t xml:space="preserve">Fosforfälla. Ordinarie tur</x:t>
        </x:is>
      </x:c>
      <x:c r="I28" s="767"/>
      <x:c r="J28" s="767"/>
      <x:c r="K28" s="767" t="n">
        <x:v>0</x:v>
      </x:c>
      <x:c r="L28" s="852" t="n">
        <x:v>44927</x:v>
      </x:c>
      <x:c r="M28" s="767" t="n">
        <x:v>0</x:v>
      </x:c>
      <x:c r="N28" s="767"/>
      <x:c r="O28" s="767" t="inlineStr">
        <x:is>
          <x:t xml:space="preserve">-</x:t>
        </x:is>
      </x:c>
      <x:c r="P28" s="767" t="n">
        <x:v>1</x:v>
      </x:c>
      <x:c r="Q28" s="774" t="inlineStr">
        <x:is>
          <x:t xml:space="preserve">0</x:t>
        </x:is>
      </x:c>
    </x:row>
    <x:row r="29">
      <x:c r="A29" s="773" t="n">
        <x:v>1743</x:v>
      </x:c>
      <x:c r="B29" s="767" t="inlineStr">
        <x:is>
          <x:t xml:space="preserve">GROVAVFALL</x:t>
        </x:is>
      </x:c>
      <x:c r="C29" s="767" t="inlineStr">
        <x:is>
          <x:t xml:space="preserve">Tjänsttaxa för grovavfall</x:t>
        </x:is>
      </x:c>
      <x:c r="D29" s="767" t="inlineStr">
        <x:is>
          <x:t xml:space="preserve">RENH</x:t>
        </x:is>
      </x:c>
      <x:c r="E29" s="767" t="inlineStr">
        <x:is>
          <x:t xml:space="preserve">HUSH</x:t>
        </x:is>
      </x:c>
      <x:c r="F29" s="767" t="n">
        <x:v>1</x:v>
      </x:c>
      <x:c r="G29" s="767" t="inlineStr">
        <x:is>
          <x:t xml:space="preserve">ÅRKV</x:t>
        </x:is>
      </x:c>
      <x:c r="H29" s="767" t="inlineStr">
        <x:is>
          <x:t xml:space="preserve">Tjänsttaxa för grovavfall</x:t>
        </x:is>
      </x:c>
      <x:c r="I29" s="767"/>
      <x:c r="J29" s="767"/>
      <x:c r="K29" s="767" t="n">
        <x:v>0</x:v>
      </x:c>
      <x:c r="L29" s="852" t="n">
        <x:v>44927</x:v>
      </x:c>
      <x:c r="M29" s="767" t="n">
        <x:v>0</x:v>
      </x:c>
      <x:c r="N29" s="767"/>
      <x:c r="O29" s="767" t="inlineStr">
        <x:is>
          <x:t xml:space="preserve">-</x:t>
        </x:is>
      </x:c>
      <x:c r="P29" s="767" t="n">
        <x:v>1</x:v>
      </x:c>
      <x:c r="Q29" s="774" t="inlineStr">
        <x:is>
          <x:t xml:space="preserve">0</x:t>
        </x:is>
      </x:c>
    </x:row>
    <x:row r="30">
      <x:c r="A30" s="773" t="n">
        <x:v>1791</x:v>
      </x:c>
      <x:c r="B30" s="767" t="inlineStr">
        <x:is>
          <x:t xml:space="preserve">KOMMUNALT</x:t>
        </x:is>
      </x:c>
      <x:c r="C30" s="767" t="inlineStr">
        <x:is>
          <x:t xml:space="preserve">Tjänsttaxa kommunalt avfall</x:t>
        </x:is>
      </x:c>
      <x:c r="D30" s="767" t="inlineStr">
        <x:is>
          <x:t xml:space="preserve">RENH</x:t>
        </x:is>
      </x:c>
      <x:c r="E30" s="767" t="inlineStr">
        <x:is>
          <x:t xml:space="preserve">HUSH</x:t>
        </x:is>
      </x:c>
      <x:c r="F30" s="767" t="n">
        <x:v>1</x:v>
      </x:c>
      <x:c r="G30" s="767" t="inlineStr">
        <x:is>
          <x:t xml:space="preserve">ÅRKV</x:t>
        </x:is>
      </x:c>
      <x:c r="H30" s="767" t="inlineStr">
        <x:is>
          <x:t xml:space="preserve">Tjänsttaxa kommunalt avfall</x:t>
        </x:is>
      </x:c>
      <x:c r="I30" s="767"/>
      <x:c r="J30" s="767"/>
      <x:c r="K30" s="767" t="n">
        <x:v>0</x:v>
      </x:c>
      <x:c r="L30" s="852" t="n">
        <x:v>44927</x:v>
      </x:c>
      <x:c r="M30" s="767" t="n">
        <x:v>0</x:v>
      </x:c>
      <x:c r="N30" s="767"/>
      <x:c r="O30" s="767" t="inlineStr">
        <x:is>
          <x:t xml:space="preserve">-</x:t>
        </x:is>
      </x:c>
      <x:c r="P30" s="767" t="n">
        <x:v>1</x:v>
      </x:c>
      <x:c r="Q30" s="774" t="inlineStr">
        <x:is>
          <x:t xml:space="preserve">0</x:t>
        </x:is>
      </x:c>
    </x:row>
    <x:row r="31">
      <x:c r="A31" s="773" t="n">
        <x:v>1565</x:v>
      </x:c>
      <x:c r="B31" s="767" t="inlineStr">
        <x:is>
          <x:t xml:space="preserve">KÄ240RM52FV</x:t>
        </x:is>
      </x:c>
      <x:c r="C31" s="767" t="inlineStr">
        <x:is>
          <x:t xml:space="preserve">Tvåfackskärl 240L, rest/matavfall. Varje vecka. FLB/VHT</x:t>
        </x:is>
      </x:c>
      <x:c r="D31" s="767" t="inlineStr">
        <x:is>
          <x:t xml:space="preserve">RENH</x:t>
        </x:is>
      </x:c>
      <x:c r="E31" s="767" t="inlineStr">
        <x:is>
          <x:t xml:space="preserve">HUSH</x:t>
        </x:is>
      </x:c>
      <x:c r="F31" s="767" t="n">
        <x:v>1</x:v>
      </x:c>
      <x:c r="G31" s="767" t="inlineStr">
        <x:is>
          <x:t xml:space="preserve">ÅRKV</x:t>
        </x:is>
      </x:c>
      <x:c r="H31" s="767" t="inlineStr">
        <x:is>
          <x:t xml:space="preserve">Tvåfackskärl 240L, rest/matavfall. Varje vecka</x:t>
        </x:is>
      </x:c>
      <x:c r="I31" s="767"/>
      <x:c r="J31" s="767"/>
      <x:c r="K31" s="767" t="n">
        <x:v>1000</x:v>
      </x:c>
      <x:c r="L31" s="852" t="n">
        <x:v>44927</x:v>
      </x:c>
      <x:c r="M31" s="767" t="n">
        <x:v>0</x:v>
      </x:c>
      <x:c r="N31" s="767"/>
      <x:c r="O31" s="767" t="inlineStr">
        <x:is>
          <x:t xml:space="preserve">-</x:t>
        </x:is>
      </x:c>
      <x:c r="P31" s="767" t="n">
        <x:v>1</x:v>
      </x:c>
      <x:c r="Q31" s="774" t="inlineStr">
        <x:is>
          <x:t xml:space="preserve">ANTB</x:t>
        </x:is>
      </x:c>
    </x:row>
    <x:row r="32">
      <x:c r="A32" s="773" t="n">
        <x:v>1566</x:v>
      </x:c>
      <x:c r="B32" s="767" t="inlineStr">
        <x:is>
          <x:t xml:space="preserve">KÄ240RM52FV</x:t>
        </x:is>
      </x:c>
      <x:c r="C32" s="767" t="inlineStr">
        <x:is>
          <x:t xml:space="preserve">Tvåfackskärl 240L, rest/matavfall. Varje vecka. FLB/VHT</x:t>
        </x:is>
      </x:c>
      <x:c r="D32" s="767" t="inlineStr">
        <x:is>
          <x:t xml:space="preserve">RENH</x:t>
        </x:is>
      </x:c>
      <x:c r="E32" s="767" t="inlineStr">
        <x:is>
          <x:t xml:space="preserve">HUSH</x:t>
        </x:is>
      </x:c>
      <x:c r="F32" s="767" t="n">
        <x:v>2</x:v>
      </x:c>
      <x:c r="G32" s="767" t="inlineStr">
        <x:is>
          <x:t xml:space="preserve">KVAN</x:t>
        </x:is>
      </x:c>
      <x:c r="H32" s="767" t="inlineStr">
        <x:is>
          <x:t xml:space="preserve">Viktavgift rest- matavfall kr/kg</x:t>
        </x:is>
      </x:c>
      <x:c r="I32" s="767"/>
      <x:c r="J32" s="767"/>
      <x:c r="K32" s="767" t="n">
        <x:v>0</x:v>
      </x:c>
      <x:c r="L32" s="852" t="n">
        <x:v>44927</x:v>
      </x:c>
      <x:c r="M32" s="767" t="n">
        <x:v>0</x:v>
      </x:c>
      <x:c r="N32" s="767"/>
      <x:c r="O32" s="767" t="inlineStr">
        <x:is>
          <x:t xml:space="preserve">-</x:t>
        </x:is>
      </x:c>
      <x:c r="P32" s="767" t="n">
        <x:v>1</x:v>
      </x:c>
      <x:c r="Q32" s="774" t="inlineStr">
        <x:is>
          <x:t xml:space="preserve">VIKG</x:t>
        </x:is>
      </x:c>
    </x:row>
    <x:row r="33">
      <x:c r="A33" s="773" t="n">
        <x:v>1581</x:v>
      </x:c>
      <x:c r="B33" s="767" t="inlineStr">
        <x:is>
          <x:t xml:space="preserve">KÄ240RM52FV</x:t>
        </x:is>
      </x:c>
      <x:c r="C33" s="767" t="inlineStr">
        <x:is>
          <x:t xml:space="preserve">Tvåfackskärl 240L, rest/matavfall. Varje vecka. FLB/VHT</x:t>
        </x:is>
      </x:c>
      <x:c r="D33" s="767" t="inlineStr">
        <x:is>
          <x:t xml:space="preserve">RENH</x:t>
        </x:is>
      </x:c>
      <x:c r="E33" s="767" t="inlineStr">
        <x:is>
          <x:t xml:space="preserve">HUSH</x:t>
        </x:is>
      </x:c>
      <x:c r="F33" s="767" t="n">
        <x:v>4</x:v>
      </x:c>
      <x:c r="G33" s="767" t="inlineStr">
        <x:is>
          <x:t xml:space="preserve">ÅRKV</x:t>
        </x:is>
      </x:c>
      <x:c r="H33" s="767" t="inlineStr">
        <x:is>
          <x:t xml:space="preserve">Dragväg 1,5-10 meter</x:t>
        </x:is>
      </x:c>
      <x:c r="I33" s="767"/>
      <x:c r="J33" s="767"/>
      <x:c r="K33" s="767" t="n">
        <x:v>0</x:v>
      </x:c>
      <x:c r="L33" s="852" t="n">
        <x:v>44927</x:v>
      </x:c>
      <x:c r="M33" s="767" t="n">
        <x:v>0</x:v>
      </x:c>
      <x:c r="N33" s="767"/>
      <x:c r="O33" s="767" t="inlineStr">
        <x:is>
          <x:t xml:space="preserve">-</x:t>
        </x:is>
      </x:c>
      <x:c r="P33" s="767" t="n">
        <x:v>1</x:v>
      </x:c>
      <x:c r="Q33" s="774" t="inlineStr">
        <x:is>
          <x:t xml:space="preserve">DR10</x:t>
        </x:is>
      </x:c>
    </x:row>
    <x:row r="34">
      <x:c r="A34" s="773" t="n">
        <x:v>1582</x:v>
      </x:c>
      <x:c r="B34" s="767" t="inlineStr">
        <x:is>
          <x:t xml:space="preserve">KÄ240RM52FV</x:t>
        </x:is>
      </x:c>
      <x:c r="C34" s="767" t="inlineStr">
        <x:is>
          <x:t xml:space="preserve">Tvåfackskärl 240L, rest/matavfall. Varje vecka. FLB/VHT</x:t>
        </x:is>
      </x:c>
      <x:c r="D34" s="767" t="inlineStr">
        <x:is>
          <x:t xml:space="preserve">RENH</x:t>
        </x:is>
      </x:c>
      <x:c r="E34" s="767" t="inlineStr">
        <x:is>
          <x:t xml:space="preserve">HUSH</x:t>
        </x:is>
      </x:c>
      <x:c r="F34" s="767" t="n">
        <x:v>5</x:v>
      </x:c>
      <x:c r="G34" s="767" t="inlineStr">
        <x:is>
          <x:t xml:space="preserve">ÅRKV</x:t>
        </x:is>
      </x:c>
      <x:c r="H34" s="767" t="inlineStr">
        <x:is>
          <x:t xml:space="preserve">Dragväg 10,1-20 meter</x:t>
        </x:is>
      </x:c>
      <x:c r="I34" s="767"/>
      <x:c r="J34" s="767"/>
      <x:c r="K34" s="767" t="n">
        <x:v>0</x:v>
      </x:c>
      <x:c r="L34" s="852" t="n">
        <x:v>44927</x:v>
      </x:c>
      <x:c r="M34" s="767" t="n">
        <x:v>0</x:v>
      </x:c>
      <x:c r="N34" s="767"/>
      <x:c r="O34" s="767" t="inlineStr">
        <x:is>
          <x:t xml:space="preserve">-</x:t>
        </x:is>
      </x:c>
      <x:c r="P34" s="767" t="n">
        <x:v>1</x:v>
      </x:c>
      <x:c r="Q34" s="774" t="inlineStr">
        <x:is>
          <x:t xml:space="preserve">DR20</x:t>
        </x:is>
      </x:c>
    </x:row>
    <x:row r="35">
      <x:c r="A35" s="773" t="n">
        <x:v>1950</x:v>
      </x:c>
      <x:c r="B35" s="767" t="inlineStr">
        <x:is>
          <x:t xml:space="preserve">MB3600RE26</x:t>
        </x:is>
      </x:c>
      <x:c r="C35" s="767" t="inlineStr">
        <x:is>
          <x:t xml:space="preserve">Tjänsttaxa underjordsbehållare för restavfall</x:t>
        </x:is>
      </x:c>
      <x:c r="D35" s="767" t="inlineStr">
        <x:is>
          <x:t xml:space="preserve">RENH</x:t>
        </x:is>
      </x:c>
      <x:c r="E35" s="767" t="inlineStr">
        <x:is>
          <x:t xml:space="preserve">HUSH</x:t>
        </x:is>
      </x:c>
      <x:c r="F35" s="767" t="n">
        <x:v>1</x:v>
      </x:c>
      <x:c r="G35" s="767" t="inlineStr">
        <x:is>
          <x:t xml:space="preserve">ÅRKV</x:t>
        </x:is>
      </x:c>
      <x:c r="H35" s="767" t="inlineStr">
        <x:is>
          <x:t xml:space="preserve">Tjänsttaxa underjordsbehållare för matavfall</x:t>
        </x:is>
      </x:c>
      <x:c r="I35" s="767"/>
      <x:c r="J35" s="767"/>
      <x:c r="K35" s="767" t="n">
        <x:v>0</x:v>
      </x:c>
      <x:c r="L35" s="852" t="n">
        <x:v>44927</x:v>
      </x:c>
      <x:c r="M35" s="767" t="n">
        <x:v>0</x:v>
      </x:c>
      <x:c r="N35" s="767"/>
      <x:c r="O35" s="767" t="inlineStr">
        <x:is>
          <x:t xml:space="preserve">-</x:t>
        </x:is>
      </x:c>
      <x:c r="P35" s="767" t="n">
        <x:v>1</x:v>
      </x:c>
      <x:c r="Q35" s="774" t="inlineStr">
        <x:is>
          <x:t xml:space="preserve">0</x:t>
        </x:is>
      </x:c>
    </x:row>
    <x:row r="36">
      <x:c r="A36" s="773" t="n">
        <x:v>1963</x:v>
      </x:c>
      <x:c r="B36" s="767" t="inlineStr">
        <x:is>
          <x:t xml:space="preserve">NY MAT/REST</x:t>
        </x:is>
      </x:c>
      <x:c r="C36" s="767" t="inlineStr">
        <x:is>
          <x:t xml:space="preserve">Tjänsttaxa för ny tjänst 2 fackkärl mat/rest</x:t>
        </x:is>
      </x:c>
      <x:c r="D36" s="767" t="inlineStr">
        <x:is>
          <x:t xml:space="preserve">RENH</x:t>
        </x:is>
      </x:c>
      <x:c r="E36" s="767" t="inlineStr">
        <x:is>
          <x:t xml:space="preserve">HUSH</x:t>
        </x:is>
      </x:c>
      <x:c r="F36" s="767" t="n">
        <x:v>1</x:v>
      </x:c>
      <x:c r="G36" s="767" t="inlineStr">
        <x:is>
          <x:t xml:space="preserve">ÅRKV</x:t>
        </x:is>
      </x:c>
      <x:c r="H36" s="767" t="inlineStr">
        <x:is>
          <x:t xml:space="preserve">Tjänsttaxa för ny tjänst Mat/Rest</x:t>
        </x:is>
      </x:c>
      <x:c r="I36" s="767"/>
      <x:c r="J36" s="767"/>
      <x:c r="K36" s="767" t="n">
        <x:v>0</x:v>
      </x:c>
      <x:c r="L36" s="852" t="n">
        <x:v>44927</x:v>
      </x:c>
      <x:c r="M36" s="767" t="n">
        <x:v>0</x:v>
      </x:c>
      <x:c r="N36" s="767"/>
      <x:c r="O36" s="767" t="inlineStr">
        <x:is>
          <x:t xml:space="preserve">-</x:t>
        </x:is>
      </x:c>
      <x:c r="P36" s="767" t="n">
        <x:v>1</x:v>
      </x:c>
      <x:c r="Q36" s="774" t="inlineStr">
        <x:is>
          <x:t xml:space="preserve">0</x:t>
        </x:is>
      </x:c>
    </x:row>
    <x:row r="37">
      <x:c r="A37" s="773" t="n">
        <x:v>1757</x:v>
      </x:c>
      <x:c r="B37" s="767" t="inlineStr">
        <x:is>
          <x:t xml:space="preserve">NYMAT</x:t>
        </x:is>
      </x:c>
      <x:c r="C37" s="767" t="inlineStr">
        <x:is>
          <x:t xml:space="preserve">Tjänsttaxa för ny tjänst matavfall</x:t>
        </x:is>
      </x:c>
      <x:c r="D37" s="767" t="inlineStr">
        <x:is>
          <x:t xml:space="preserve">RENH</x:t>
        </x:is>
      </x:c>
      <x:c r="E37" s="767" t="inlineStr">
        <x:is>
          <x:t xml:space="preserve">HUSH</x:t>
        </x:is>
      </x:c>
      <x:c r="F37" s="767" t="n">
        <x:v>1</x:v>
      </x:c>
      <x:c r="G37" s="767" t="inlineStr">
        <x:is>
          <x:t xml:space="preserve">ÅRKV</x:t>
        </x:is>
      </x:c>
      <x:c r="H37" s="767" t="inlineStr">
        <x:is>
          <x:t xml:space="preserve">Tjänsttaxa för ny tjänst matavfall</x:t>
        </x:is>
      </x:c>
      <x:c r="I37" s="767"/>
      <x:c r="J37" s="767"/>
      <x:c r="K37" s="767" t="n">
        <x:v>0</x:v>
      </x:c>
      <x:c r="L37" s="852" t="n">
        <x:v>44927</x:v>
      </x:c>
      <x:c r="M37" s="767" t="n">
        <x:v>0</x:v>
      </x:c>
      <x:c r="N37" s="767"/>
      <x:c r="O37" s="767" t="inlineStr">
        <x:is>
          <x:t xml:space="preserve">-</x:t>
        </x:is>
      </x:c>
      <x:c r="P37" s="767" t="n">
        <x:v>1</x:v>
      </x:c>
      <x:c r="Q37" s="774" t="inlineStr">
        <x:is>
          <x:t xml:space="preserve">0</x:t>
        </x:is>
      </x:c>
    </x:row>
    <x:row r="38">
      <x:c r="A38" s="773" t="n">
        <x:v>1754</x:v>
      </x:c>
      <x:c r="B38" s="767" t="inlineStr">
        <x:is>
          <x:t xml:space="preserve">NYMATx</x:t>
        </x:is>
      </x:c>
      <x:c r="C38" s="767" t="inlineStr">
        <x:is>
          <x:t xml:space="preserve">Tjänsttaxa för ny tjänst matavfall</x:t>
        </x:is>
      </x:c>
      <x:c r="D38" s="767" t="inlineStr">
        <x:is>
          <x:t xml:space="preserve">RENH</x:t>
        </x:is>
      </x:c>
      <x:c r="E38" s="767" t="inlineStr">
        <x:is>
          <x:t xml:space="preserve">HUSH</x:t>
        </x:is>
      </x:c>
      <x:c r="F38" s="767" t="n">
        <x:v>1</x:v>
      </x:c>
      <x:c r="G38" s="767" t="inlineStr">
        <x:is>
          <x:t xml:space="preserve">KVAN</x:t>
        </x:is>
      </x:c>
      <x:c r="H38" s="767" t="inlineStr">
        <x:is>
          <x:t xml:space="preserve">Tjänsttaxa för ny tjänst matavfall</x:t>
        </x:is>
      </x:c>
      <x:c r="I38" s="767"/>
      <x:c r="J38" s="767"/>
      <x:c r="K38" s="767" t="n">
        <x:v>0</x:v>
      </x:c>
      <x:c r="L38" s="852" t="n">
        <x:v>44927</x:v>
      </x:c>
      <x:c r="M38" s="767" t="n">
        <x:v>0</x:v>
      </x:c>
      <x:c r="N38" s="767"/>
      <x:c r="O38" s="767" t="inlineStr">
        <x:is>
          <x:t xml:space="preserve">-</x:t>
        </x:is>
      </x:c>
      <x:c r="P38" s="767" t="n">
        <x:v>1</x:v>
      </x:c>
      <x:c r="Q38" s="774" t="inlineStr">
        <x:is>
          <x:t xml:space="preserve">0</x:t>
        </x:is>
      </x:c>
    </x:row>
    <x:row r="39">
      <x:c r="A39" s="773" t="n">
        <x:v>1759</x:v>
      </x:c>
      <x:c r="B39" s="767" t="inlineStr">
        <x:is>
          <x:t xml:space="preserve">NYOSORT</x:t>
        </x:is>
      </x:c>
      <x:c r="C39" s="767" t="inlineStr">
        <x:is>
          <x:t xml:space="preserve">Tjänsttaxa för ny tjänst osorterat avfall</x:t>
        </x:is>
      </x:c>
      <x:c r="D39" s="767" t="inlineStr">
        <x:is>
          <x:t xml:space="preserve">RENH</x:t>
        </x:is>
      </x:c>
      <x:c r="E39" s="767" t="inlineStr">
        <x:is>
          <x:t xml:space="preserve">HUSH</x:t>
        </x:is>
      </x:c>
      <x:c r="F39" s="767" t="n">
        <x:v>1</x:v>
      </x:c>
      <x:c r="G39" s="767" t="inlineStr">
        <x:is>
          <x:t xml:space="preserve">ÅRKV</x:t>
        </x:is>
      </x:c>
      <x:c r="H39" s="767" t="inlineStr">
        <x:is>
          <x:t xml:space="preserve">Tjänsttaxa för ny tjänst osorterat avfall</x:t>
        </x:is>
      </x:c>
      <x:c r="I39" s="767"/>
      <x:c r="J39" s="767"/>
      <x:c r="K39" s="767" t="n">
        <x:v>0</x:v>
      </x:c>
      <x:c r="L39" s="852" t="n">
        <x:v>44927</x:v>
      </x:c>
      <x:c r="M39" s="767" t="n">
        <x:v>0</x:v>
      </x:c>
      <x:c r="N39" s="767"/>
      <x:c r="O39" s="767" t="inlineStr">
        <x:is>
          <x:t xml:space="preserve">-</x:t>
        </x:is>
      </x:c>
      <x:c r="P39" s="767" t="n">
        <x:v>1</x:v>
      </x:c>
      <x:c r="Q39" s="774" t="inlineStr">
        <x:is>
          <x:t xml:space="preserve">0</x:t>
        </x:is>
      </x:c>
    </x:row>
    <x:row r="40">
      <x:c r="A40" s="773" t="n">
        <x:v>1755</x:v>
      </x:c>
      <x:c r="B40" s="767" t="inlineStr">
        <x:is>
          <x:t xml:space="preserve">NYOSORTx</x:t>
        </x:is>
      </x:c>
      <x:c r="C40" s="767" t="inlineStr">
        <x:is>
          <x:t xml:space="preserve">Tjänsttaxa för ny tjänst osorterat avfall</x:t>
        </x:is>
      </x:c>
      <x:c r="D40" s="767" t="inlineStr">
        <x:is>
          <x:t xml:space="preserve">RENH</x:t>
        </x:is>
      </x:c>
      <x:c r="E40" s="767" t="inlineStr">
        <x:is>
          <x:t xml:space="preserve">HUSH</x:t>
        </x:is>
      </x:c>
      <x:c r="F40" s="767" t="n">
        <x:v>1</x:v>
      </x:c>
      <x:c r="G40" s="767" t="inlineStr">
        <x:is>
          <x:t xml:space="preserve">KVAN</x:t>
        </x:is>
      </x:c>
      <x:c r="H40" s="767" t="inlineStr">
        <x:is>
          <x:t xml:space="preserve">Tjänsttaxa för ny tjänst osorterat avfall</x:t>
        </x:is>
      </x:c>
      <x:c r="I40" s="767"/>
      <x:c r="J40" s="767"/>
      <x:c r="K40" s="767" t="n">
        <x:v>0</x:v>
      </x:c>
      <x:c r="L40" s="852" t="n">
        <x:v>44927</x:v>
      </x:c>
      <x:c r="M40" s="767" t="n">
        <x:v>0</x:v>
      </x:c>
      <x:c r="N40" s="767"/>
      <x:c r="O40" s="767" t="inlineStr">
        <x:is>
          <x:t xml:space="preserve">-</x:t>
        </x:is>
      </x:c>
      <x:c r="P40" s="767" t="n">
        <x:v>1</x:v>
      </x:c>
      <x:c r="Q40" s="774" t="inlineStr">
        <x:is>
          <x:t xml:space="preserve">0</x:t>
        </x:is>
      </x:c>
    </x:row>
    <x:row r="41">
      <x:c r="A41" s="773" t="n">
        <x:v>1758</x:v>
      </x:c>
      <x:c r="B41" s="767" t="inlineStr">
        <x:is>
          <x:t xml:space="preserve">NYREST</x:t>
        </x:is>
      </x:c>
      <x:c r="C41" s="767" t="inlineStr">
        <x:is>
          <x:t xml:space="preserve">Tjänsttaxa för ny tjänst restavfall</x:t>
        </x:is>
      </x:c>
      <x:c r="D41" s="767" t="inlineStr">
        <x:is>
          <x:t xml:space="preserve">RENH</x:t>
        </x:is>
      </x:c>
      <x:c r="E41" s="767" t="inlineStr">
        <x:is>
          <x:t xml:space="preserve">HUSH</x:t>
        </x:is>
      </x:c>
      <x:c r="F41" s="767" t="n">
        <x:v>1</x:v>
      </x:c>
      <x:c r="G41" s="767" t="inlineStr">
        <x:is>
          <x:t xml:space="preserve">ÅRKV</x:t>
        </x:is>
      </x:c>
      <x:c r="H41" s="767" t="inlineStr">
        <x:is>
          <x:t xml:space="preserve">Tjänsttaxa för ny tjänst restavfall</x:t>
        </x:is>
      </x:c>
      <x:c r="I41" s="767"/>
      <x:c r="J41" s="767"/>
      <x:c r="K41" s="767" t="n">
        <x:v>0</x:v>
      </x:c>
      <x:c r="L41" s="852" t="n">
        <x:v>44927</x:v>
      </x:c>
      <x:c r="M41" s="767" t="n">
        <x:v>0</x:v>
      </x:c>
      <x:c r="N41" s="767"/>
      <x:c r="O41" s="767" t="inlineStr">
        <x:is>
          <x:t xml:space="preserve">-</x:t>
        </x:is>
      </x:c>
      <x:c r="P41" s="767" t="n">
        <x:v>1</x:v>
      </x:c>
      <x:c r="Q41" s="774" t="inlineStr">
        <x:is>
          <x:t xml:space="preserve">0</x:t>
        </x:is>
      </x:c>
    </x:row>
    <x:row r="42">
      <x:c r="A42" s="773" t="n">
        <x:v>1756</x:v>
      </x:c>
      <x:c r="B42" s="767" t="inlineStr">
        <x:is>
          <x:t xml:space="preserve">NYRESTx</x:t>
        </x:is>
      </x:c>
      <x:c r="C42" s="767" t="inlineStr">
        <x:is>
          <x:t xml:space="preserve">Tjänsttaxa för ny tjänst restavfall</x:t>
        </x:is>
      </x:c>
      <x:c r="D42" s="767" t="inlineStr">
        <x:is>
          <x:t xml:space="preserve">RENH</x:t>
        </x:is>
      </x:c>
      <x:c r="E42" s="767" t="inlineStr">
        <x:is>
          <x:t xml:space="preserve">HUSH</x:t>
        </x:is>
      </x:c>
      <x:c r="F42" s="767" t="n">
        <x:v>1</x:v>
      </x:c>
      <x:c r="G42" s="767" t="inlineStr">
        <x:is>
          <x:t xml:space="preserve">KVAN</x:t>
        </x:is>
      </x:c>
      <x:c r="H42" s="767" t="inlineStr">
        <x:is>
          <x:t xml:space="preserve">Tjänsttaxa för ny tjänst restavfall</x:t>
        </x:is>
      </x:c>
      <x:c r="I42" s="767"/>
      <x:c r="J42" s="767"/>
      <x:c r="K42" s="767" t="n">
        <x:v>0</x:v>
      </x:c>
      <x:c r="L42" s="852" t="n">
        <x:v>44927</x:v>
      </x:c>
      <x:c r="M42" s="767" t="n">
        <x:v>0</x:v>
      </x:c>
      <x:c r="N42" s="767"/>
      <x:c r="O42" s="767" t="inlineStr">
        <x:is>
          <x:t xml:space="preserve">-</x:t>
        </x:is>
      </x:c>
      <x:c r="P42" s="767" t="n">
        <x:v>1</x:v>
      </x:c>
      <x:c r="Q42" s="774" t="inlineStr">
        <x:is>
          <x:t xml:space="preserve">0</x:t>
        </x:is>
      </x:c>
    </x:row>
    <x:row r="43">
      <x:c r="A43" s="773" t="n">
        <x:v>1942</x:v>
      </x:c>
      <x:c r="B43" s="767" t="inlineStr">
        <x:is>
          <x:t xml:space="preserve">NYRFID</x:t>
        </x:is>
      </x:c>
      <x:c r="C43" s="767" t="inlineStr">
        <x:is>
          <x:t xml:space="preserve">Mottagarantjänstför okänt RFID</x:t>
        </x:is>
      </x:c>
      <x:c r="D43" s="767" t="inlineStr">
        <x:is>
          <x:t xml:space="preserve">RENH</x:t>
        </x:is>
      </x:c>
      <x:c r="E43" s="767" t="inlineStr">
        <x:is>
          <x:t xml:space="preserve">HUSH</x:t>
        </x:is>
      </x:c>
      <x:c r="F43" s="767" t="n">
        <x:v>1</x:v>
      </x:c>
      <x:c r="G43" s="767" t="inlineStr">
        <x:is>
          <x:t xml:space="preserve">ÅRKV</x:t>
        </x:is>
      </x:c>
      <x:c r="H43" s="767" t="inlineStr">
        <x:is>
          <x:t xml:space="preserve">Tjänsttaxa för ny tjänst matavfall</x:t>
        </x:is>
      </x:c>
      <x:c r="I43" s="767"/>
      <x:c r="J43" s="767"/>
      <x:c r="K43" s="767" t="n">
        <x:v>0</x:v>
      </x:c>
      <x:c r="L43" s="852" t="n">
        <x:v>44927</x:v>
      </x:c>
      <x:c r="M43" s="767" t="n">
        <x:v>0</x:v>
      </x:c>
      <x:c r="N43" s="767"/>
      <x:c r="O43" s="767" t="inlineStr">
        <x:is>
          <x:t xml:space="preserve">-</x:t>
        </x:is>
      </x:c>
      <x:c r="P43" s="767" t="n">
        <x:v>1</x:v>
      </x:c>
      <x:c r="Q43" s="774" t="inlineStr">
        <x:is>
          <x:t xml:space="preserve">0</x:t>
        </x:is>
      </x:c>
    </x:row>
    <x:row r="44">
      <x:c r="A44" s="773" t="n">
        <x:v>1897</x:v>
      </x:c>
      <x:c r="B44" s="767" t="inlineStr">
        <x:is>
          <x:t xml:space="preserve">ORANTALHEM</x:t>
        </x:is>
      </x:c>
      <x:c r="C44" s="767" t="inlineStr">
        <x:is>
          <x:t xml:space="preserve">Orderrad för ändrat antal. Hemtagning</x:t>
        </x:is>
      </x:c>
      <x:c r="D44" s="767" t="inlineStr">
        <x:is>
          <x:t xml:space="preserve">RENH</x:t>
        </x:is>
      </x:c>
      <x:c r="E44" s="767" t="inlineStr">
        <x:is>
          <x:t xml:space="preserve">HUSH</x:t>
        </x:is>
      </x:c>
      <x:c r="F44" s="767" t="n">
        <x:v>1</x:v>
      </x:c>
      <x:c r="G44" s="767" t="inlineStr">
        <x:is>
          <x:t xml:space="preserve">KVAN</x:t>
        </x:is>
      </x:c>
      <x:c r="H44" s="767" t="inlineStr">
        <x:is>
          <x:t xml:space="preserve">Orderrad för ändrat antal. Hemtagning</x:t>
        </x:is>
      </x:c>
      <x:c r="I44" s="767"/>
      <x:c r="J44" s="767"/>
      <x:c r="K44" s="767" t="n">
        <x:v>0</x:v>
      </x:c>
      <x:c r="L44" s="852" t="n">
        <x:v>44927</x:v>
      </x:c>
      <x:c r="M44" s="767" t="n">
        <x:v>0</x:v>
      </x:c>
      <x:c r="N44" s="767"/>
      <x:c r="O44" s="767" t="inlineStr">
        <x:is>
          <x:t xml:space="preserve">-</x:t>
        </x:is>
      </x:c>
      <x:c r="P44" s="767" t="n">
        <x:v>1</x:v>
      </x:c>
      <x:c r="Q44" s="774" t="inlineStr">
        <x:is>
          <x:t xml:space="preserve">0</x:t>
        </x:is>
      </x:c>
    </x:row>
    <x:row r="45">
      <x:c r="A45" s="773" t="n">
        <x:v>1898</x:v>
      </x:c>
      <x:c r="B45" s="767" t="inlineStr">
        <x:is>
          <x:t xml:space="preserve">ORANTALUTS</x:t>
        </x:is>
      </x:c>
      <x:c r="C45" s="767" t="inlineStr">
        <x:is>
          <x:t xml:space="preserve">Orderrad för ändrat antal kärl, utsättning</x:t>
        </x:is>
      </x:c>
      <x:c r="D45" s="767" t="inlineStr">
        <x:is>
          <x:t xml:space="preserve">RENH</x:t>
        </x:is>
      </x:c>
      <x:c r="E45" s="767" t="inlineStr">
        <x:is>
          <x:t xml:space="preserve">HUSH</x:t>
        </x:is>
      </x:c>
      <x:c r="F45" s="767" t="n">
        <x:v>1</x:v>
      </x:c>
      <x:c r="G45" s="767" t="inlineStr">
        <x:is>
          <x:t xml:space="preserve">KVAN</x:t>
        </x:is>
      </x:c>
      <x:c r="H45" s="767" t="inlineStr">
        <x:is>
          <x:t xml:space="preserve">Orderrad för ändrat antal kärl, utsättning</x:t>
        </x:is>
      </x:c>
      <x:c r="I45" s="767"/>
      <x:c r="J45" s="767"/>
      <x:c r="K45" s="767" t="n">
        <x:v>0</x:v>
      </x:c>
      <x:c r="L45" s="852" t="n">
        <x:v>44927</x:v>
      </x:c>
      <x:c r="M45" s="767" t="n">
        <x:v>0</x:v>
      </x:c>
      <x:c r="N45" s="767"/>
      <x:c r="O45" s="767" t="inlineStr">
        <x:is>
          <x:t xml:space="preserve">-</x:t>
        </x:is>
      </x:c>
      <x:c r="P45" s="767" t="n">
        <x:v>1</x:v>
      </x:c>
      <x:c r="Q45" s="774" t="inlineStr">
        <x:is>
          <x:t xml:space="preserve">0</x:t>
        </x:is>
      </x:c>
    </x:row>
    <x:row r="46">
      <x:c r="A46" s="773" t="n">
        <x:v>1899</x:v>
      </x:c>
      <x:c r="B46" s="767" t="inlineStr">
        <x:is>
          <x:t xml:space="preserve">ORFREKVENSBYTE</x:t>
        </x:is>
      </x:c>
      <x:c r="C46" s="767" t="inlineStr">
        <x:is>
          <x:t xml:space="preserve">Orderrad för tömningsfrekvensbyte</x:t>
        </x:is>
      </x:c>
      <x:c r="D46" s="767" t="inlineStr">
        <x:is>
          <x:t xml:space="preserve">RENH</x:t>
        </x:is>
      </x:c>
      <x:c r="E46" s="767" t="inlineStr">
        <x:is>
          <x:t xml:space="preserve">HUSH</x:t>
        </x:is>
      </x:c>
      <x:c r="F46" s="767" t="n">
        <x:v>1</x:v>
      </x:c>
      <x:c r="G46" s="767" t="inlineStr">
        <x:is>
          <x:t xml:space="preserve">KVAN</x:t>
        </x:is>
      </x:c>
      <x:c r="H46" s="767" t="inlineStr">
        <x:is>
          <x:t xml:space="preserve">Orderrad för tömningsfrekvensbyte</x:t>
        </x:is>
      </x:c>
      <x:c r="I46" s="767"/>
      <x:c r="J46" s="767"/>
      <x:c r="K46" s="767" t="n">
        <x:v>0</x:v>
      </x:c>
      <x:c r="L46" s="852" t="n">
        <x:v>44927</x:v>
      </x:c>
      <x:c r="M46" s="767" t="n">
        <x:v>0</x:v>
      </x:c>
      <x:c r="N46" s="767"/>
      <x:c r="O46" s="767" t="inlineStr">
        <x:is>
          <x:t xml:space="preserve">-</x:t>
        </x:is>
      </x:c>
      <x:c r="P46" s="767" t="n">
        <x:v>1</x:v>
      </x:c>
      <x:c r="Q46" s="774" t="inlineStr">
        <x:is>
          <x:t xml:space="preserve">0</x:t>
        </x:is>
      </x:c>
    </x:row>
    <x:row r="47">
      <x:c r="A47" s="773" t="n">
        <x:v>1900</x:v>
      </x:c>
      <x:c r="B47" s="767" t="inlineStr">
        <x:is>
          <x:t xml:space="preserve">ORKÄRLBYTE</x:t>
        </x:is>
      </x:c>
      <x:c r="C47" s="767" t="inlineStr">
        <x:is>
          <x:t xml:space="preserve">Orderrad för kärlbyte storlek, utsättning samt hemtagning</x:t>
        </x:is>
      </x:c>
      <x:c r="D47" s="767" t="inlineStr">
        <x:is>
          <x:t xml:space="preserve">RENH</x:t>
        </x:is>
      </x:c>
      <x:c r="E47" s="767" t="inlineStr">
        <x:is>
          <x:t xml:space="preserve">HUSH</x:t>
        </x:is>
      </x:c>
      <x:c r="F47" s="767" t="n">
        <x:v>1</x:v>
      </x:c>
      <x:c r="G47" s="767" t="inlineStr">
        <x:is>
          <x:t xml:space="preserve">KVAN</x:t>
        </x:is>
      </x:c>
      <x:c r="H47" s="767" t="inlineStr">
        <x:is>
          <x:t xml:space="preserve">Orderrad för kärlbyte storlek, utsättning samt hemtagning</x:t>
        </x:is>
      </x:c>
      <x:c r="I47" s="767"/>
      <x:c r="J47" s="767"/>
      <x:c r="K47" s="767" t="n">
        <x:v>0</x:v>
      </x:c>
      <x:c r="L47" s="852" t="n">
        <x:v>44927</x:v>
      </x:c>
      <x:c r="M47" s="767" t="n">
        <x:v>0</x:v>
      </x:c>
      <x:c r="N47" s="767"/>
      <x:c r="O47" s="767" t="inlineStr">
        <x:is>
          <x:t xml:space="preserve">-</x:t>
        </x:is>
      </x:c>
      <x:c r="P47" s="767" t="n">
        <x:v>1</x:v>
      </x:c>
      <x:c r="Q47" s="774" t="inlineStr">
        <x:is>
          <x:t xml:space="preserve">0</x:t>
        </x:is>
      </x:c>
    </x:row>
    <x:row r="48">
      <x:c r="A48" s="773" t="n">
        <x:v>1901</x:v>
      </x:c>
      <x:c r="B48" s="767" t="inlineStr">
        <x:is>
          <x:t xml:space="preserve">ORNYTJÄNST</x:t>
        </x:is>
      </x:c>
      <x:c r="C48" s="767" t="inlineStr">
        <x:is>
          <x:t xml:space="preserve">Orderrad för ny tjänst, utsättning</x:t>
        </x:is>
      </x:c>
      <x:c r="D48" s="767" t="inlineStr">
        <x:is>
          <x:t xml:space="preserve">RENH</x:t>
        </x:is>
      </x:c>
      <x:c r="E48" s="767" t="inlineStr">
        <x:is>
          <x:t xml:space="preserve">HUSH</x:t>
        </x:is>
      </x:c>
      <x:c r="F48" s="767" t="n">
        <x:v>1</x:v>
      </x:c>
      <x:c r="G48" s="767" t="inlineStr">
        <x:is>
          <x:t xml:space="preserve">KVAN</x:t>
        </x:is>
      </x:c>
      <x:c r="H48" s="767" t="inlineStr">
        <x:is>
          <x:t xml:space="preserve">Orderrad för ny tjänst, utsättning</x:t>
        </x:is>
      </x:c>
      <x:c r="I48" s="767"/>
      <x:c r="J48" s="767"/>
      <x:c r="K48" s="767" t="n">
        <x:v>0</x:v>
      </x:c>
      <x:c r="L48" s="852" t="n">
        <x:v>44927</x:v>
      </x:c>
      <x:c r="M48" s="767" t="n">
        <x:v>0</x:v>
      </x:c>
      <x:c r="N48" s="767"/>
      <x:c r="O48" s="767" t="inlineStr">
        <x:is>
          <x:t xml:space="preserve">-</x:t>
        </x:is>
      </x:c>
      <x:c r="P48" s="767" t="n">
        <x:v>1</x:v>
      </x:c>
      <x:c r="Q48" s="774" t="inlineStr">
        <x:is>
          <x:t xml:space="preserve">0</x:t>
        </x:is>
      </x:c>
    </x:row>
    <x:row r="49">
      <x:c r="A49" s="773" t="n">
        <x:v>1902</x:v>
      </x:c>
      <x:c r="B49" s="767" t="inlineStr">
        <x:is>
          <x:t xml:space="preserve">ORTRASIGTKÄ</x:t>
        </x:is>
      </x:c>
      <x:c r="C49" s="767" t="inlineStr">
        <x:is>
          <x:t xml:space="preserve">Orderrad för trasigt kärl. Laga/byta</x:t>
        </x:is>
      </x:c>
      <x:c r="D49" s="767" t="inlineStr">
        <x:is>
          <x:t xml:space="preserve">RENH</x:t>
        </x:is>
      </x:c>
      <x:c r="E49" s="767" t="inlineStr">
        <x:is>
          <x:t xml:space="preserve">HUSH</x:t>
        </x:is>
      </x:c>
      <x:c r="F49" s="767" t="n">
        <x:v>1</x:v>
      </x:c>
      <x:c r="G49" s="767" t="inlineStr">
        <x:is>
          <x:t xml:space="preserve">KVAN</x:t>
        </x:is>
      </x:c>
      <x:c r="H49" s="767" t="inlineStr">
        <x:is>
          <x:t xml:space="preserve">Orderrad för trasigt kärl. Laga/byta</x:t>
        </x:is>
      </x:c>
      <x:c r="I49" s="767"/>
      <x:c r="J49" s="767"/>
      <x:c r="K49" s="767" t="n">
        <x:v>0</x:v>
      </x:c>
      <x:c r="L49" s="852" t="n">
        <x:v>44927</x:v>
      </x:c>
      <x:c r="M49" s="767" t="n">
        <x:v>0</x:v>
      </x:c>
      <x:c r="N49" s="767"/>
      <x:c r="O49" s="767" t="inlineStr">
        <x:is>
          <x:t xml:space="preserve">-</x:t>
        </x:is>
      </x:c>
      <x:c r="P49" s="767" t="n">
        <x:v>1</x:v>
      </x:c>
      <x:c r="Q49" s="774" t="inlineStr">
        <x:is>
          <x:t xml:space="preserve">0</x:t>
        </x:is>
      </x:c>
    </x:row>
    <x:row r="50">
      <x:c r="A50" s="773" t="n">
        <x:v>1617</x:v>
      </x:c>
      <x:c r="B50" s="767" t="inlineStr">
        <x:is>
          <x:t xml:space="preserve">SLT03SLBUD</x:t>
        </x:is>
      </x:c>
      <x:c r="C50" s="767" t="inlineStr">
        <x:is>
          <x:t xml:space="preserve">Sluten tank 0-3 m³, slam. Budning</x:t>
        </x:is>
      </x:c>
      <x:c r="D50" s="767" t="inlineStr">
        <x:is>
          <x:t xml:space="preserve">RENH</x:t>
        </x:is>
      </x:c>
      <x:c r="E50" s="767" t="inlineStr">
        <x:is>
          <x:t xml:space="preserve">SLAM</x:t>
        </x:is>
      </x:c>
      <x:c r="F50" s="767" t="n">
        <x:v>1</x:v>
      </x:c>
      <x:c r="G50" s="767" t="inlineStr">
        <x:is>
          <x:t xml:space="preserve">ÅRKV</x:t>
        </x:is>
      </x:c>
      <x:c r="H50" s="767" t="inlineStr">
        <x:is>
          <x:t xml:space="preserve">Sluten tank 0-3 m³, slam. Budning</x:t>
        </x:is>
      </x:c>
      <x:c r="I50" s="767"/>
      <x:c r="J50" s="767"/>
      <x:c r="K50" s="767" t="n">
        <x:v>0</x:v>
      </x:c>
      <x:c r="L50" s="852" t="n">
        <x:v>44927</x:v>
      </x:c>
      <x:c r="M50" s="767" t="n">
        <x:v>0</x:v>
      </x:c>
      <x:c r="N50" s="767"/>
      <x:c r="O50" s="767" t="inlineStr">
        <x:is>
          <x:t xml:space="preserve">-</x:t>
        </x:is>
      </x:c>
      <x:c r="P50" s="767" t="n">
        <x:v>1</x:v>
      </x:c>
      <x:c r="Q50" s="774" t="inlineStr">
        <x:is>
          <x:t xml:space="preserve">0</x:t>
        </x:is>
      </x:c>
    </x:row>
    <x:row r="51">
      <x:c r="A51" s="773" t="n">
        <x:v>1602</x:v>
      </x:c>
      <x:c r="B51" s="767" t="inlineStr">
        <x:is>
          <x:t xml:space="preserve">SLT03SLORD</x:t>
        </x:is>
      </x:c>
      <x:c r="C51" s="767" t="inlineStr">
        <x:is>
          <x:t xml:space="preserve">Sluten tank 0-3 m³, slam. Ordinarie tur</x:t>
        </x:is>
      </x:c>
      <x:c r="D51" s="767" t="inlineStr">
        <x:is>
          <x:t xml:space="preserve">RENH</x:t>
        </x:is>
      </x:c>
      <x:c r="E51" s="767" t="inlineStr">
        <x:is>
          <x:t xml:space="preserve">SLAM</x:t>
        </x:is>
      </x:c>
      <x:c r="F51" s="767" t="n">
        <x:v>1</x:v>
      </x:c>
      <x:c r="G51" s="767" t="inlineStr">
        <x:is>
          <x:t xml:space="preserve">ÅRKV</x:t>
        </x:is>
      </x:c>
      <x:c r="H51" s="767" t="inlineStr">
        <x:is>
          <x:t xml:space="preserve">Sluten tank 0-3 m³, slam. Ordinarie tur</x:t>
        </x:is>
      </x:c>
      <x:c r="I51" s="767"/>
      <x:c r="J51" s="767"/>
      <x:c r="K51" s="767" t="n">
        <x:v>0</x:v>
      </x:c>
      <x:c r="L51" s="852" t="n">
        <x:v>44927</x:v>
      </x:c>
      <x:c r="M51" s="767" t="n">
        <x:v>0</x:v>
      </x:c>
      <x:c r="N51" s="767"/>
      <x:c r="O51" s="767" t="inlineStr">
        <x:is>
          <x:t xml:space="preserve">-</x:t>
        </x:is>
      </x:c>
      <x:c r="P51" s="767" t="n">
        <x:v>1</x:v>
      </x:c>
      <x:c r="Q51" s="774" t="inlineStr">
        <x:is>
          <x:t xml:space="preserve">0</x:t>
        </x:is>
      </x:c>
    </x:row>
    <x:row r="52">
      <x:c r="A52" s="773" t="n">
        <x:v>1618</x:v>
      </x:c>
      <x:c r="B52" s="767" t="inlineStr">
        <x:is>
          <x:t xml:space="preserve">SLT36SLBUD</x:t>
        </x:is>
      </x:c>
      <x:c r="C52" s="767" t="inlineStr">
        <x:is>
          <x:t xml:space="preserve">Sluten tank 3,1-6 m³, slam. Budning</x:t>
        </x:is>
      </x:c>
      <x:c r="D52" s="767" t="inlineStr">
        <x:is>
          <x:t xml:space="preserve">RENH</x:t>
        </x:is>
      </x:c>
      <x:c r="E52" s="767" t="inlineStr">
        <x:is>
          <x:t xml:space="preserve">SLAM</x:t>
        </x:is>
      </x:c>
      <x:c r="F52" s="767" t="n">
        <x:v>1</x:v>
      </x:c>
      <x:c r="G52" s="767" t="inlineStr">
        <x:is>
          <x:t xml:space="preserve">ÅRKV</x:t>
        </x:is>
      </x:c>
      <x:c r="H52" s="767" t="inlineStr">
        <x:is>
          <x:t xml:space="preserve">Sluten tank 3,1-6 m³, slam. Budning</x:t>
        </x:is>
      </x:c>
      <x:c r="I52" s="767"/>
      <x:c r="J52" s="767"/>
      <x:c r="K52" s="767" t="n">
        <x:v>0</x:v>
      </x:c>
      <x:c r="L52" s="852" t="n">
        <x:v>44927</x:v>
      </x:c>
      <x:c r="M52" s="767" t="n">
        <x:v>0</x:v>
      </x:c>
      <x:c r="N52" s="767"/>
      <x:c r="O52" s="767" t="inlineStr">
        <x:is>
          <x:t xml:space="preserve">-</x:t>
        </x:is>
      </x:c>
      <x:c r="P52" s="767" t="n">
        <x:v>1</x:v>
      </x:c>
      <x:c r="Q52" s="774" t="inlineStr">
        <x:is>
          <x:t xml:space="preserve">0</x:t>
        </x:is>
      </x:c>
    </x:row>
    <x:row r="53">
      <x:c r="A53" s="773" t="n">
        <x:v>1603</x:v>
      </x:c>
      <x:c r="B53" s="767" t="inlineStr">
        <x:is>
          <x:t xml:space="preserve">SLT36SLORD</x:t>
        </x:is>
      </x:c>
      <x:c r="C53" s="767" t="inlineStr">
        <x:is>
          <x:t xml:space="preserve">Sluten tank 3,1-6 m³, slam. Ordinarie tur</x:t>
        </x:is>
      </x:c>
      <x:c r="D53" s="767" t="inlineStr">
        <x:is>
          <x:t xml:space="preserve">RENH</x:t>
        </x:is>
      </x:c>
      <x:c r="E53" s="767" t="inlineStr">
        <x:is>
          <x:t xml:space="preserve">SLAM</x:t>
        </x:is>
      </x:c>
      <x:c r="F53" s="767" t="n">
        <x:v>1</x:v>
      </x:c>
      <x:c r="G53" s="767" t="inlineStr">
        <x:is>
          <x:t xml:space="preserve">ÅRKV</x:t>
        </x:is>
      </x:c>
      <x:c r="H53" s="767" t="inlineStr">
        <x:is>
          <x:t xml:space="preserve">Sluten tank 3,1-6 m³, slam. Ordinarie tur</x:t>
        </x:is>
      </x:c>
      <x:c r="I53" s="767"/>
      <x:c r="J53" s="767"/>
      <x:c r="K53" s="767" t="n">
        <x:v>0</x:v>
      </x:c>
      <x:c r="L53" s="852" t="n">
        <x:v>44927</x:v>
      </x:c>
      <x:c r="M53" s="767" t="n">
        <x:v>0</x:v>
      </x:c>
      <x:c r="N53" s="767"/>
      <x:c r="O53" s="767" t="inlineStr">
        <x:is>
          <x:t xml:space="preserve">-</x:t>
        </x:is>
      </x:c>
      <x:c r="P53" s="767" t="n">
        <x:v>1</x:v>
      </x:c>
      <x:c r="Q53" s="774" t="inlineStr">
        <x:is>
          <x:t xml:space="preserve">0</x:t>
        </x:is>
      </x:c>
    </x:row>
    <x:row r="54">
      <x:c r="A54" s="773" t="n">
        <x:v>1619</x:v>
      </x:c>
      <x:c r="B54" s="767" t="inlineStr">
        <x:is>
          <x:t xml:space="preserve">SLT69SLBUD</x:t>
        </x:is>
      </x:c>
      <x:c r="C54" s="767" t="inlineStr">
        <x:is>
          <x:t xml:space="preserve">Sluten tank 6,1-9 m³, slam. Budning</x:t>
        </x:is>
      </x:c>
      <x:c r="D54" s="767" t="inlineStr">
        <x:is>
          <x:t xml:space="preserve">RENH</x:t>
        </x:is>
      </x:c>
      <x:c r="E54" s="767" t="inlineStr">
        <x:is>
          <x:t xml:space="preserve">SLAM</x:t>
        </x:is>
      </x:c>
      <x:c r="F54" s="767" t="n">
        <x:v>1</x:v>
      </x:c>
      <x:c r="G54" s="767" t="inlineStr">
        <x:is>
          <x:t xml:space="preserve">ÅRKV</x:t>
        </x:is>
      </x:c>
      <x:c r="H54" s="767" t="inlineStr">
        <x:is>
          <x:t xml:space="preserve">Sluten tank 6,1-9 m³, slam. Budning</x:t>
        </x:is>
      </x:c>
      <x:c r="I54" s="767"/>
      <x:c r="J54" s="767"/>
      <x:c r="K54" s="767" t="n">
        <x:v>0</x:v>
      </x:c>
      <x:c r="L54" s="852" t="n">
        <x:v>44927</x:v>
      </x:c>
      <x:c r="M54" s="767" t="n">
        <x:v>0</x:v>
      </x:c>
      <x:c r="N54" s="767"/>
      <x:c r="O54" s="767" t="inlineStr">
        <x:is>
          <x:t xml:space="preserve">-</x:t>
        </x:is>
      </x:c>
      <x:c r="P54" s="767" t="n">
        <x:v>1</x:v>
      </x:c>
      <x:c r="Q54" s="774" t="inlineStr">
        <x:is>
          <x:t xml:space="preserve">0</x:t>
        </x:is>
      </x:c>
    </x:row>
    <x:row r="55">
      <x:c r="A55" s="773" t="n">
        <x:v>1604</x:v>
      </x:c>
      <x:c r="B55" s="767" t="inlineStr">
        <x:is>
          <x:t xml:space="preserve">SLT69SLORD</x:t>
        </x:is>
      </x:c>
      <x:c r="C55" s="767" t="inlineStr">
        <x:is>
          <x:t xml:space="preserve">Sluten tank 6,1-9 m³, slam. Ordinarie tur</x:t>
        </x:is>
      </x:c>
      <x:c r="D55" s="767" t="inlineStr">
        <x:is>
          <x:t xml:space="preserve">RENH</x:t>
        </x:is>
      </x:c>
      <x:c r="E55" s="767" t="inlineStr">
        <x:is>
          <x:t xml:space="preserve">SLAM</x:t>
        </x:is>
      </x:c>
      <x:c r="F55" s="767" t="n">
        <x:v>1</x:v>
      </x:c>
      <x:c r="G55" s="767" t="inlineStr">
        <x:is>
          <x:t xml:space="preserve">ÅRKV</x:t>
        </x:is>
      </x:c>
      <x:c r="H55" s="767" t="inlineStr">
        <x:is>
          <x:t xml:space="preserve">Sluten tank 6,1-9 m³, slam. Ordinarie tur</x:t>
        </x:is>
      </x:c>
      <x:c r="I55" s="767"/>
      <x:c r="J55" s="767"/>
      <x:c r="K55" s="767" t="n">
        <x:v>0</x:v>
      </x:c>
      <x:c r="L55" s="852" t="n">
        <x:v>44927</x:v>
      </x:c>
      <x:c r="M55" s="767" t="n">
        <x:v>0</x:v>
      </x:c>
      <x:c r="N55" s="767"/>
      <x:c r="O55" s="767" t="inlineStr">
        <x:is>
          <x:t xml:space="preserve">-</x:t>
        </x:is>
      </x:c>
      <x:c r="P55" s="767" t="n">
        <x:v>1</x:v>
      </x:c>
      <x:c r="Q55" s="774" t="inlineStr">
        <x:is>
          <x:t xml:space="preserve">0</x:t>
        </x:is>
      </x:c>
    </x:row>
    <x:row r="56">
      <x:c r="A56" s="773" t="n">
        <x:v>1620</x:v>
      </x:c>
      <x:c r="B56" s="767" t="inlineStr">
        <x:is>
          <x:t xml:space="preserve">SLTÖ9SLBUD</x:t>
        </x:is>
      </x:c>
      <x:c r="C56" s="767" t="inlineStr">
        <x:is>
          <x:t xml:space="preserve">Sluten tank över 9 m³, slam. Budning</x:t>
        </x:is>
      </x:c>
      <x:c r="D56" s="767" t="inlineStr">
        <x:is>
          <x:t xml:space="preserve">RENH</x:t>
        </x:is>
      </x:c>
      <x:c r="E56" s="767" t="inlineStr">
        <x:is>
          <x:t xml:space="preserve">SLAM</x:t>
        </x:is>
      </x:c>
      <x:c r="F56" s="767" t="n">
        <x:v>1</x:v>
      </x:c>
      <x:c r="G56" s="767" t="inlineStr">
        <x:is>
          <x:t xml:space="preserve">ÅRKV</x:t>
        </x:is>
      </x:c>
      <x:c r="H56" s="767" t="inlineStr">
        <x:is>
          <x:t xml:space="preserve">Sluten tank över 9 m³, slam. Budning</x:t>
        </x:is>
      </x:c>
      <x:c r="I56" s="767"/>
      <x:c r="J56" s="767"/>
      <x:c r="K56" s="767" t="n">
        <x:v>0</x:v>
      </x:c>
      <x:c r="L56" s="852" t="n">
        <x:v>44927</x:v>
      </x:c>
      <x:c r="M56" s="767" t="n">
        <x:v>0</x:v>
      </x:c>
      <x:c r="N56" s="767"/>
      <x:c r="O56" s="767" t="inlineStr">
        <x:is>
          <x:t xml:space="preserve">-</x:t>
        </x:is>
      </x:c>
      <x:c r="P56" s="767" t="n">
        <x:v>1</x:v>
      </x:c>
      <x:c r="Q56" s="774" t="inlineStr">
        <x:is>
          <x:t xml:space="preserve">0</x:t>
        </x:is>
      </x:c>
    </x:row>
    <x:row r="57">
      <x:c r="A57" s="773" t="n">
        <x:v>1605</x:v>
      </x:c>
      <x:c r="B57" s="767" t="inlineStr">
        <x:is>
          <x:t xml:space="preserve">SLTÖ9SLORD</x:t>
        </x:is>
      </x:c>
      <x:c r="C57" s="767" t="inlineStr">
        <x:is>
          <x:t xml:space="preserve">Sluten tank över 9 m³, slam. Ordinarie tur</x:t>
        </x:is>
      </x:c>
      <x:c r="D57" s="767" t="inlineStr">
        <x:is>
          <x:t xml:space="preserve">RENH</x:t>
        </x:is>
      </x:c>
      <x:c r="E57" s="767" t="inlineStr">
        <x:is>
          <x:t xml:space="preserve">SLAM</x:t>
        </x:is>
      </x:c>
      <x:c r="F57" s="767" t="n">
        <x:v>1</x:v>
      </x:c>
      <x:c r="G57" s="767" t="inlineStr">
        <x:is>
          <x:t xml:space="preserve">ÅRKV</x:t>
        </x:is>
      </x:c>
      <x:c r="H57" s="767" t="inlineStr">
        <x:is>
          <x:t xml:space="preserve">Sluten tank över 9 m³, slam. Ordinarie tur</x:t>
        </x:is>
      </x:c>
      <x:c r="I57" s="767"/>
      <x:c r="J57" s="767"/>
      <x:c r="K57" s="767" t="n">
        <x:v>0</x:v>
      </x:c>
      <x:c r="L57" s="852" t="n">
        <x:v>44927</x:v>
      </x:c>
      <x:c r="M57" s="767" t="n">
        <x:v>0</x:v>
      </x:c>
      <x:c r="N57" s="767"/>
      <x:c r="O57" s="767" t="inlineStr">
        <x:is>
          <x:t xml:space="preserve">-</x:t>
        </x:is>
      </x:c>
      <x:c r="P57" s="767" t="n">
        <x:v>1</x:v>
      </x:c>
      <x:c r="Q57" s="774" t="inlineStr">
        <x:is>
          <x:t xml:space="preserve">0</x:t>
        </x:is>
      </x:c>
    </x:row>
    <x:row r="58">
      <x:c r="A58" s="773" t="n">
        <x:v>1781</x:v>
      </x:c>
      <x:c r="B58" s="767" t="inlineStr">
        <x:is>
          <x:t xml:space="preserve">UNDERJORDMA</x:t>
        </x:is>
      </x:c>
      <x:c r="C58" s="767" t="inlineStr">
        <x:is>
          <x:t xml:space="preserve">Tjänsttaxa underjordsbehållare för matavfall</x:t>
        </x:is>
      </x:c>
      <x:c r="D58" s="767" t="inlineStr">
        <x:is>
          <x:t xml:space="preserve">RENH</x:t>
        </x:is>
      </x:c>
      <x:c r="E58" s="767" t="inlineStr">
        <x:is>
          <x:t xml:space="preserve">HUSH</x:t>
        </x:is>
      </x:c>
      <x:c r="F58" s="767" t="n">
        <x:v>1</x:v>
      </x:c>
      <x:c r="G58" s="767" t="inlineStr">
        <x:is>
          <x:t xml:space="preserve">ÅRKV</x:t>
        </x:is>
      </x:c>
      <x:c r="H58" s="767" t="inlineStr">
        <x:is>
          <x:t xml:space="preserve">Tjänsttaxa underjordsbehållare för matavfall</x:t>
        </x:is>
      </x:c>
      <x:c r="I58" s="767"/>
      <x:c r="J58" s="767"/>
      <x:c r="K58" s="767" t="n">
        <x:v>0</x:v>
      </x:c>
      <x:c r="L58" s="852" t="n">
        <x:v>44927</x:v>
      </x:c>
      <x:c r="M58" s="767" t="n">
        <x:v>0</x:v>
      </x:c>
      <x:c r="N58" s="767"/>
      <x:c r="O58" s="767" t="inlineStr">
        <x:is>
          <x:t xml:space="preserve">-</x:t>
        </x:is>
      </x:c>
      <x:c r="P58" s="767" t="n">
        <x:v>1</x:v>
      </x:c>
      <x:c r="Q58" s="774" t="inlineStr">
        <x:is>
          <x:t xml:space="preserve">0</x:t>
        </x:is>
      </x:c>
    </x:row>
    <x:row r="59">
      <x:c r="A59" s="773" t="n">
        <x:v>1782</x:v>
      </x:c>
      <x:c r="B59" s="767" t="inlineStr">
        <x:is>
          <x:t xml:space="preserve">UNDERJORDRE</x:t>
        </x:is>
      </x:c>
      <x:c r="C59" s="767" t="inlineStr">
        <x:is>
          <x:t xml:space="preserve">Tjänsttaxa underjordsbehållare för restavfall</x:t>
        </x:is>
      </x:c>
      <x:c r="D59" s="767" t="inlineStr">
        <x:is>
          <x:t xml:space="preserve">RENH</x:t>
        </x:is>
      </x:c>
      <x:c r="E59" s="767" t="inlineStr">
        <x:is>
          <x:t xml:space="preserve">HUSH</x:t>
        </x:is>
      </x:c>
      <x:c r="F59" s="767" t="n">
        <x:v>1</x:v>
      </x:c>
      <x:c r="G59" s="767" t="inlineStr">
        <x:is>
          <x:t xml:space="preserve">ÅRKV</x:t>
        </x:is>
      </x:c>
      <x:c r="H59" s="767" t="inlineStr">
        <x:is>
          <x:t xml:space="preserve">Tjänsttaxa underjordsbehållare för restavfall</x:t>
        </x:is>
      </x:c>
      <x:c r="I59" s="767"/>
      <x:c r="J59" s="767"/>
      <x:c r="K59" s="767" t="n">
        <x:v>0</x:v>
      </x:c>
      <x:c r="L59" s="852" t="n">
        <x:v>44927</x:v>
      </x:c>
      <x:c r="M59" s="767" t="n">
        <x:v>0</x:v>
      </x:c>
      <x:c r="N59" s="767"/>
      <x:c r="O59" s="767" t="inlineStr">
        <x:is>
          <x:t xml:space="preserve">-</x:t>
        </x:is>
      </x:c>
      <x:c r="P59" s="767" t="n">
        <x:v>1</x:v>
      </x:c>
      <x:c r="Q59" s="774" t="inlineStr">
        <x:is>
          <x:t xml:space="preserve">0</x:t>
        </x:is>
      </x:c>
    </x:row>
    <x:row r="60">
      <x:c r="A60" s="773" t="n">
        <x:v>1847</x:v>
      </x:c>
      <x:c r="B60" s="767" t="inlineStr">
        <x:is>
          <x:t xml:space="preserve">ABSORBERING</x:t>
        </x:is>
      </x:c>
      <x:c r="C60" s="767" t="inlineStr">
        <x:is>
          <x:t xml:space="preserve">Absorberingsmedel, filtermaterial</x:t>
        </x:is>
      </x:c>
      <x:c r="D60" s="767" t="inlineStr">
        <x:is>
          <x:t xml:space="preserve">RENH</x:t>
        </x:is>
      </x:c>
      <x:c r="E60" s="767" t="inlineStr">
        <x:is>
          <x:t xml:space="preserve">ÅVC</x:t>
        </x:is>
      </x:c>
      <x:c r="F60" s="767" t="n">
        <x:v>1</x:v>
      </x:c>
      <x:c r="G60" s="767" t="inlineStr">
        <x:is>
          <x:t xml:space="preserve">KVAN</x:t>
        </x:is>
      </x:c>
      <x:c r="H60" s="767" t="inlineStr">
        <x:is>
          <x:t xml:space="preserve">Absorberingsmedel, filtermaterial</x:t>
        </x:is>
      </x:c>
      <x:c r="I60" s="767"/>
      <x:c r="J60" s="767"/>
      <x:c r="K60" s="767" t="n">
        <x:v>25</x:v>
      </x:c>
      <x:c r="L60" s="852" t="n">
        <x:v>45292</x:v>
      </x:c>
      <x:c r="M60" s="767" t="n">
        <x:v>0</x:v>
      </x:c>
      <x:c r="N60" s="767"/>
      <x:c r="O60" s="767" t="inlineStr">
        <x:is>
          <x:t xml:space="preserve">-</x:t>
        </x:is>
      </x:c>
      <x:c r="P60" s="767" t="n">
        <x:v>1</x:v>
      </x:c>
      <x:c r="Q60" s="774" t="inlineStr">
        <x:is>
          <x:t xml:space="preserve">VIKG</x:t>
        </x:is>
      </x:c>
    </x:row>
    <x:row r="61">
      <x:c r="A61" s="773" t="n">
        <x:v>1831</x:v>
      </x:c>
      <x:c r="B61" s="767" t="inlineStr">
        <x:is>
          <x:t xml:space="preserve">AEROSOLER</x:t>
        </x:is>
      </x:c>
      <x:c r="C61" s="767" t="inlineStr">
        <x:is>
          <x:t xml:space="preserve">Aerosoler, ej bekämpningsmedel</x:t>
        </x:is>
      </x:c>
      <x:c r="D61" s="767" t="inlineStr">
        <x:is>
          <x:t xml:space="preserve">RENH</x:t>
        </x:is>
      </x:c>
      <x:c r="E61" s="767" t="inlineStr">
        <x:is>
          <x:t xml:space="preserve">ÅVC</x:t>
        </x:is>
      </x:c>
      <x:c r="F61" s="767" t="n">
        <x:v>1</x:v>
      </x:c>
      <x:c r="G61" s="767" t="inlineStr">
        <x:is>
          <x:t xml:space="preserve">KVAN</x:t>
        </x:is>
      </x:c>
      <x:c r="H61" s="767" t="inlineStr">
        <x:is>
          <x:t xml:space="preserve">Aerosoler, ej bekämpningsmedel</x:t>
        </x:is>
      </x:c>
      <x:c r="I61" s="767"/>
      <x:c r="J61" s="767"/>
      <x:c r="K61" s="767" t="n">
        <x:v>40</x:v>
      </x:c>
      <x:c r="L61" s="852" t="n">
        <x:v>45292</x:v>
      </x:c>
      <x:c r="M61" s="767" t="n">
        <x:v>0</x:v>
      </x:c>
      <x:c r="N61" s="767"/>
      <x:c r="O61" s="767" t="inlineStr">
        <x:is>
          <x:t xml:space="preserve">-</x:t>
        </x:is>
      </x:c>
      <x:c r="P61" s="767" t="n">
        <x:v>1</x:v>
      </x:c>
      <x:c r="Q61" s="774" t="inlineStr">
        <x:is>
          <x:t xml:space="preserve">VIKG</x:t>
        </x:is>
      </x:c>
    </x:row>
    <x:row r="62">
      <x:c r="A62" s="773" t="n">
        <x:v>1833</x:v>
      </x:c>
      <x:c r="B62" s="767" t="inlineStr">
        <x:is>
          <x:t xml:space="preserve">AEROSOLERFÄRG</x:t>
        </x:is>
      </x:c>
      <x:c r="C62" s="767" t="inlineStr">
        <x:is>
          <x:t xml:space="preserve">Aerosoler, färg</x:t>
        </x:is>
      </x:c>
      <x:c r="D62" s="767" t="inlineStr">
        <x:is>
          <x:t xml:space="preserve">RENH</x:t>
        </x:is>
      </x:c>
      <x:c r="E62" s="767" t="inlineStr">
        <x:is>
          <x:t xml:space="preserve">ÅVC</x:t>
        </x:is>
      </x:c>
      <x:c r="F62" s="767" t="n">
        <x:v>1</x:v>
      </x:c>
      <x:c r="G62" s="767" t="inlineStr">
        <x:is>
          <x:t xml:space="preserve">KVAN</x:t>
        </x:is>
      </x:c>
      <x:c r="H62" s="767" t="inlineStr">
        <x:is>
          <x:t xml:space="preserve">Aerosoler, färg</x:t>
        </x:is>
      </x:c>
      <x:c r="I62" s="767"/>
      <x:c r="J62" s="767"/>
      <x:c r="K62" s="767" t="n">
        <x:v>20</x:v>
      </x:c>
      <x:c r="L62" s="852" t="n">
        <x:v>45292</x:v>
      </x:c>
      <x:c r="M62" s="767" t="n">
        <x:v>0</x:v>
      </x:c>
      <x:c r="N62" s="767"/>
      <x:c r="O62" s="767" t="inlineStr">
        <x:is>
          <x:t xml:space="preserve">-</x:t>
        </x:is>
      </x:c>
      <x:c r="P62" s="767" t="n">
        <x:v>1</x:v>
      </x:c>
      <x:c r="Q62" s="774" t="inlineStr">
        <x:is>
          <x:t xml:space="preserve">VIKG</x:t>
        </x:is>
      </x:c>
    </x:row>
    <x:row r="63">
      <x:c r="A63" s="773" t="n">
        <x:v>1832</x:v>
      </x:c>
      <x:c r="B63" s="767" t="inlineStr">
        <x:is>
          <x:t xml:space="preserve">AEROSOLERHÄRD</x:t>
        </x:is>
      </x:c>
      <x:c r="C63" s="767" t="inlineStr">
        <x:is>
          <x:t xml:space="preserve">Aerosoler, härdare med isocyanater, bekämpningsmedel</x:t>
        </x:is>
      </x:c>
      <x:c r="D63" s="767" t="inlineStr">
        <x:is>
          <x:t xml:space="preserve">RENH</x:t>
        </x:is>
      </x:c>
      <x:c r="E63" s="767" t="inlineStr">
        <x:is>
          <x:t xml:space="preserve">ÅVC</x:t>
        </x:is>
      </x:c>
      <x:c r="F63" s="767" t="n">
        <x:v>1</x:v>
      </x:c>
      <x:c r="G63" s="767" t="inlineStr">
        <x:is>
          <x:t xml:space="preserve">KVAN</x:t>
        </x:is>
      </x:c>
      <x:c r="H63" s="767" t="inlineStr">
        <x:is>
          <x:t xml:space="preserve">Aerosoler, härdare med isocyanater, bekämpningsmedel</x:t>
        </x:is>
      </x:c>
      <x:c r="I63" s="767"/>
      <x:c r="J63" s="767"/>
      <x:c r="K63" s="767" t="n">
        <x:v>40</x:v>
      </x:c>
      <x:c r="L63" s="852" t="n">
        <x:v>45292</x:v>
      </x:c>
      <x:c r="M63" s="767" t="n">
        <x:v>0</x:v>
      </x:c>
      <x:c r="N63" s="767"/>
      <x:c r="O63" s="767" t="inlineStr">
        <x:is>
          <x:t xml:space="preserve">-</x:t>
        </x:is>
      </x:c>
      <x:c r="P63" s="767" t="n">
        <x:v>1</x:v>
      </x:c>
      <x:c r="Q63" s="774" t="inlineStr">
        <x:is>
          <x:t xml:space="preserve">VIKG</x:t>
        </x:is>
      </x:c>
    </x:row>
    <x:row r="64">
      <x:c r="A64" s="773" t="n">
        <x:v>1834</x:v>
      </x:c>
      <x:c r="B64" s="767" t="inlineStr">
        <x:is>
          <x:t xml:space="preserve">AMMONIAK</x:t>
        </x:is>
      </x:c>
      <x:c r="C64" s="767" t="inlineStr">
        <x:is>
          <x:t xml:space="preserve">Ammoniak</x:t>
        </x:is>
      </x:c>
      <x:c r="D64" s="767" t="inlineStr">
        <x:is>
          <x:t xml:space="preserve">RENH</x:t>
        </x:is>
      </x:c>
      <x:c r="E64" s="767" t="inlineStr">
        <x:is>
          <x:t xml:space="preserve">ÅVC</x:t>
        </x:is>
      </x:c>
      <x:c r="F64" s="767" t="n">
        <x:v>1</x:v>
      </x:c>
      <x:c r="G64" s="767" t="inlineStr">
        <x:is>
          <x:t xml:space="preserve">KVAN</x:t>
        </x:is>
      </x:c>
      <x:c r="H64" s="767" t="inlineStr">
        <x:is>
          <x:t xml:space="preserve">Ammoniak</x:t>
        </x:is>
      </x:c>
      <x:c r="I64" s="767"/>
      <x:c r="J64" s="767"/>
      <x:c r="K64" s="767" t="n">
        <x:v>25</x:v>
      </x:c>
      <x:c r="L64" s="852" t="n">
        <x:v>45292</x:v>
      </x:c>
      <x:c r="M64" s="767" t="n">
        <x:v>0</x:v>
      </x:c>
      <x:c r="N64" s="767"/>
      <x:c r="O64" s="767" t="inlineStr">
        <x:is>
          <x:t xml:space="preserve">-</x:t>
        </x:is>
      </x:c>
      <x:c r="P64" s="767" t="n">
        <x:v>1</x:v>
      </x:c>
      <x:c r="Q64" s="774" t="inlineStr">
        <x:is>
          <x:t xml:space="preserve">VIKG</x:t>
        </x:is>
      </x:c>
    </x:row>
    <x:row r="65">
      <x:c r="A65" s="773" t="n">
        <x:v>1835</x:v>
      </x:c>
      <x:c r="B65" s="767" t="inlineStr">
        <x:is>
          <x:t xml:space="preserve">ASBEST</x:t>
        </x:is>
      </x:c>
      <x:c r="C65" s="767" t="inlineStr">
        <x:is>
          <x:t xml:space="preserve">Asbest max 15kg</x:t>
        </x:is>
      </x:c>
      <x:c r="D65" s="767" t="inlineStr">
        <x:is>
          <x:t xml:space="preserve">RENH</x:t>
        </x:is>
      </x:c>
      <x:c r="E65" s="767" t="inlineStr">
        <x:is>
          <x:t xml:space="preserve">ÅVC</x:t>
        </x:is>
      </x:c>
      <x:c r="F65" s="767" t="n">
        <x:v>1</x:v>
      </x:c>
      <x:c r="G65" s="767" t="inlineStr">
        <x:is>
          <x:t xml:space="preserve">KVAN</x:t>
        </x:is>
      </x:c>
      <x:c r="H65" s="767" t="inlineStr">
        <x:is>
          <x:t xml:space="preserve">Asbest max 15kg</x:t>
        </x:is>
      </x:c>
      <x:c r="I65" s="767"/>
      <x:c r="J65" s="767"/>
      <x:c r="K65" s="767" t="n">
        <x:v>1000</x:v>
      </x:c>
      <x:c r="L65" s="852" t="n">
        <x:v>45292</x:v>
      </x:c>
      <x:c r="M65" s="767" t="n">
        <x:v>0</x:v>
      </x:c>
      <x:c r="N65" s="767"/>
      <x:c r="O65" s="767" t="inlineStr">
        <x:is>
          <x:t xml:space="preserve">-</x:t>
        </x:is>
      </x:c>
      <x:c r="P65" s="767" t="n">
        <x:v>1</x:v>
      </x:c>
      <x:c r="Q65" s="774" t="inlineStr">
        <x:is>
          <x:t xml:space="preserve">KBMÖ</x:t>
        </x:is>
      </x:c>
    </x:row>
    <x:row r="66">
      <x:c r="A66" s="773" t="n">
        <x:v>1836</x:v>
      </x:c>
      <x:c r="B66" s="767" t="inlineStr">
        <x:is>
          <x:t xml:space="preserve">ASBESTEMB</x:t>
        </x:is>
      </x:c>
      <x:c r="C66" s="767" t="inlineStr">
        <x:is>
          <x:t xml:space="preserve">Asbest, emballeringskostnad vid dåligt emballage</x:t>
        </x:is>
      </x:c>
      <x:c r="D66" s="767" t="inlineStr">
        <x:is>
          <x:t xml:space="preserve">RENH</x:t>
        </x:is>
      </x:c>
      <x:c r="E66" s="767" t="inlineStr">
        <x:is>
          <x:t xml:space="preserve">ÅVC</x:t>
        </x:is>
      </x:c>
      <x:c r="F66" s="767" t="n">
        <x:v>1</x:v>
      </x:c>
      <x:c r="G66" s="767" t="inlineStr">
        <x:is>
          <x:t xml:space="preserve">KVAN</x:t>
        </x:is>
      </x:c>
      <x:c r="H66" s="767" t="inlineStr">
        <x:is>
          <x:t xml:space="preserve">Asbest, emballeringskostnad vid dåligt emballage</x:t>
        </x:is>
      </x:c>
      <x:c r="I66" s="767"/>
      <x:c r="J66" s="767"/>
      <x:c r="K66" s="767" t="n">
        <x:v>250</x:v>
      </x:c>
      <x:c r="L66" s="852" t="n">
        <x:v>45292</x:v>
      </x:c>
      <x:c r="M66" s="767" t="n">
        <x:v>0</x:v>
      </x:c>
      <x:c r="N66" s="767"/>
      <x:c r="O66" s="767" t="inlineStr">
        <x:is>
          <x:t xml:space="preserve">-</x:t>
        </x:is>
      </x:c>
      <x:c r="P66" s="767" t="n">
        <x:v>1</x:v>
      </x:c>
      <x:c r="Q66" s="774" t="inlineStr">
        <x:is>
          <x:t xml:space="preserve">KBMÖ</x:t>
        </x:is>
      </x:c>
    </x:row>
    <x:row r="67">
      <x:c r="A67" s="773" t="n">
        <x:v>1715</x:v>
      </x:c>
      <x:c r="B67" s="767" t="inlineStr">
        <x:is>
          <x:t xml:space="preserve">BDT03SL</x:t>
        </x:is>
      </x:c>
      <x:c r="C67" s="767" t="inlineStr">
        <x:is>
          <x:t xml:space="preserve">Tömning BDT-vatten 0-3 m³, slam</x:t>
        </x:is>
      </x:c>
      <x:c r="D67" s="767" t="inlineStr">
        <x:is>
          <x:t xml:space="preserve">RENH</x:t>
        </x:is>
      </x:c>
      <x:c r="E67" s="767" t="inlineStr">
        <x:is>
          <x:t xml:space="preserve">SLAM</x:t>
        </x:is>
      </x:c>
      <x:c r="F67" s="767" t="n">
        <x:v>1</x:v>
      </x:c>
      <x:c r="G67" s="767" t="inlineStr">
        <x:is>
          <x:t xml:space="preserve">KVAN</x:t>
        </x:is>
      </x:c>
      <x:c r="H67" s="767" t="inlineStr">
        <x:is>
          <x:t xml:space="preserve">Tömning BDT-vatten, 0-3 m³</x:t>
        </x:is>
      </x:c>
      <x:c r="I67" s="767"/>
      <x:c r="J67" s="767"/>
      <x:c r="K67" s="767" t="n">
        <x:v>1320</x:v>
      </x:c>
      <x:c r="L67" s="852" t="n">
        <x:v>45292</x:v>
      </x:c>
      <x:c r="M67" s="767" t="n">
        <x:v>0</x:v>
      </x:c>
      <x:c r="N67" s="767"/>
      <x:c r="O67" s="767" t="inlineStr">
        <x:is>
          <x:t xml:space="preserve">-</x:t>
        </x:is>
      </x:c>
      <x:c r="P67" s="767" t="n">
        <x:v>1</x:v>
      </x:c>
      <x:c r="Q67" s="774" t="inlineStr">
        <x:is>
          <x:t xml:space="preserve">ANTL</x:t>
        </x:is>
      </x:c>
    </x:row>
    <x:row r="68">
      <x:c r="A68" s="773" t="n">
        <x:v>1839</x:v>
      </x:c>
      <x:c r="B68" s="767" t="inlineStr">
        <x:is>
          <x:t xml:space="preserve">BEKÄMPNING</x:t>
        </x:is>
      </x:c>
      <x:c r="C68" s="767" t="inlineStr">
        <x:is>
          <x:t xml:space="preserve">Bekämpningsmedel, ej kvicksilverhaltiga</x:t>
        </x:is>
      </x:c>
      <x:c r="D68" s="767" t="inlineStr">
        <x:is>
          <x:t xml:space="preserve">RENH</x:t>
        </x:is>
      </x:c>
      <x:c r="E68" s="767" t="inlineStr">
        <x:is>
          <x:t xml:space="preserve">ÅVC</x:t>
        </x:is>
      </x:c>
      <x:c r="F68" s="767" t="n">
        <x:v>1</x:v>
      </x:c>
      <x:c r="G68" s="767" t="inlineStr">
        <x:is>
          <x:t xml:space="preserve">KVAN</x:t>
        </x:is>
      </x:c>
      <x:c r="H68" s="767" t="inlineStr">
        <x:is>
          <x:t xml:space="preserve">Bekämpningsmedel, ej kvicksilverhaltiga</x:t>
        </x:is>
      </x:c>
      <x:c r="I68" s="767"/>
      <x:c r="J68" s="767"/>
      <x:c r="K68" s="767" t="n">
        <x:v>35</x:v>
      </x:c>
      <x:c r="L68" s="852" t="n">
        <x:v>45292</x:v>
      </x:c>
      <x:c r="M68" s="767" t="n">
        <x:v>0</x:v>
      </x:c>
      <x:c r="N68" s="767"/>
      <x:c r="O68" s="767" t="inlineStr">
        <x:is>
          <x:t xml:space="preserve">-</x:t>
        </x:is>
      </x:c>
      <x:c r="P68" s="767" t="n">
        <x:v>1</x:v>
      </x:c>
      <x:c r="Q68" s="774" t="inlineStr">
        <x:is>
          <x:t xml:space="preserve">VIKG</x:t>
        </x:is>
      </x:c>
    </x:row>
    <x:row r="69">
      <x:c r="A69" s="773" t="n">
        <x:v>1868</x:v>
      </x:c>
      <x:c r="B69" s="767" t="inlineStr">
        <x:is>
          <x:t xml:space="preserve">BENSINRESTER</x:t>
        </x:is>
      </x:c>
      <x:c r="C69" s="767" t="inlineStr">
        <x:is>
          <x:t xml:space="preserve">Bensinrester</x:t>
        </x:is>
      </x:c>
      <x:c r="D69" s="767" t="inlineStr">
        <x:is>
          <x:t xml:space="preserve">RENH</x:t>
        </x:is>
      </x:c>
      <x:c r="E69" s="767" t="inlineStr">
        <x:is>
          <x:t xml:space="preserve">ÅVC</x:t>
        </x:is>
      </x:c>
      <x:c r="F69" s="767" t="n">
        <x:v>1</x:v>
      </x:c>
      <x:c r="G69" s="767" t="inlineStr">
        <x:is>
          <x:t xml:space="preserve">KVAN</x:t>
        </x:is>
      </x:c>
      <x:c r="H69" s="767" t="inlineStr">
        <x:is>
          <x:t xml:space="preserve">Bensinrester</x:t>
        </x:is>
      </x:c>
      <x:c r="I69" s="767"/>
      <x:c r="J69" s="767"/>
      <x:c r="K69" s="767" t="n">
        <x:v>10</x:v>
      </x:c>
      <x:c r="L69" s="852" t="n">
        <x:v>45292</x:v>
      </x:c>
      <x:c r="M69" s="767" t="n">
        <x:v>0</x:v>
      </x:c>
      <x:c r="N69" s="767"/>
      <x:c r="O69" s="767" t="inlineStr">
        <x:is>
          <x:t xml:space="preserve">-</x:t>
        </x:is>
      </x:c>
      <x:c r="P69" s="767" t="n">
        <x:v>1</x:v>
      </x:c>
      <x:c r="Q69" s="774" t="inlineStr">
        <x:is>
          <x:t xml:space="preserve">LITE</x:t>
        </x:is>
      </x:c>
    </x:row>
    <x:row r="70">
      <x:c r="A70" s="773" t="n">
        <x:v>1838</x:v>
      </x:c>
      <x:c r="B70" s="767" t="inlineStr">
        <x:is>
          <x:t xml:space="preserve">BRANDSLÄCKARE</x:t>
        </x:is>
      </x:c>
      <x:c r="C70" s="767" t="inlineStr">
        <x:is>
          <x:t xml:space="preserve">Brandsläckare</x:t>
        </x:is>
      </x:c>
      <x:c r="D70" s="767" t="inlineStr">
        <x:is>
          <x:t xml:space="preserve">RENH</x:t>
        </x:is>
      </x:c>
      <x:c r="E70" s="767" t="inlineStr">
        <x:is>
          <x:t xml:space="preserve">ÅVC</x:t>
        </x:is>
      </x:c>
      <x:c r="F70" s="767" t="n">
        <x:v>1</x:v>
      </x:c>
      <x:c r="G70" s="767" t="inlineStr">
        <x:is>
          <x:t xml:space="preserve">KVAN</x:t>
        </x:is>
      </x:c>
      <x:c r="H70" s="767" t="inlineStr">
        <x:is>
          <x:t xml:space="preserve">Brandsläckare</x:t>
        </x:is>
      </x:c>
      <x:c r="I70" s="767"/>
      <x:c r="J70" s="767"/>
      <x:c r="K70" s="767" t="n">
        <x:v>25</x:v>
      </x:c>
      <x:c r="L70" s="852" t="n">
        <x:v>45292</x:v>
      </x:c>
      <x:c r="M70" s="767" t="n">
        <x:v>0</x:v>
      </x:c>
      <x:c r="N70" s="767"/>
      <x:c r="O70" s="767" t="inlineStr">
        <x:is>
          <x:t xml:space="preserve">-</x:t>
        </x:is>
      </x:c>
      <x:c r="P70" s="767" t="n">
        <x:v>1</x:v>
      </x:c>
      <x:c r="Q70" s="774" t="inlineStr">
        <x:is>
          <x:t xml:space="preserve">VIKG</x:t>
        </x:is>
      </x:c>
    </x:row>
    <x:row r="71">
      <x:c r="A71" s="773" t="n">
        <x:v>1794</x:v>
      </x:c>
      <x:c r="B71" s="767" t="inlineStr">
        <x:is>
          <x:t xml:space="preserve">BRBUD</x:t>
        </x:is>
      </x:c>
      <x:c r="C71" s="767" t="inlineStr">
        <x:is>
          <x:t xml:space="preserve">Budad hämtning, bygg- rivningsavfall. Pris per m³</x:t>
        </x:is>
      </x:c>
      <x:c r="D71" s="767" t="inlineStr">
        <x:is>
          <x:t xml:space="preserve">RENH</x:t>
        </x:is>
      </x:c>
      <x:c r="E71" s="767" t="inlineStr">
        <x:is>
          <x:t xml:space="preserve">HUSH</x:t>
        </x:is>
      </x:c>
      <x:c r="F71" s="767" t="n">
        <x:v>1</x:v>
      </x:c>
      <x:c r="G71" s="767" t="inlineStr">
        <x:is>
          <x:t xml:space="preserve">KVAN</x:t>
        </x:is>
      </x:c>
      <x:c r="H71" s="767" t="inlineStr">
        <x:is>
          <x:t xml:space="preserve">Budad hämtning, bygg- rivningsavfall. Pris per m³</x:t>
        </x:is>
      </x:c>
      <x:c r="I71" s="767"/>
      <x:c r="J71" s="767"/>
      <x:c r="K71" s="767" t="n">
        <x:v>480</x:v>
      </x:c>
      <x:c r="L71" s="852" t="n">
        <x:v>45292</x:v>
      </x:c>
      <x:c r="M71" s="767" t="n">
        <x:v>0</x:v>
      </x:c>
      <x:c r="N71" s="767"/>
      <x:c r="O71" s="767" t="inlineStr">
        <x:is>
          <x:t xml:space="preserve">-</x:t>
        </x:is>
      </x:c>
      <x:c r="P71" s="767" t="n">
        <x:v>1</x:v>
      </x:c>
      <x:c r="Q71" s="774" t="inlineStr">
        <x:is>
          <x:t xml:space="preserve">KBMÖ</x:t>
        </x:is>
      </x:c>
    </x:row>
    <x:row r="72">
      <x:c r="A72" s="773" t="n">
        <x:v>1837</x:v>
      </x:c>
      <x:c r="B72" s="767" t="inlineStr">
        <x:is>
          <x:t xml:space="preserve">BROMSVÄTSKA</x:t>
        </x:is>
      </x:c>
      <x:c r="C72" s="767" t="inlineStr">
        <x:is>
          <x:t xml:space="preserve">Bromsvätska</x:t>
        </x:is>
      </x:c>
      <x:c r="D72" s="767" t="inlineStr">
        <x:is>
          <x:t xml:space="preserve">RENH</x:t>
        </x:is>
      </x:c>
      <x:c r="E72" s="767" t="inlineStr">
        <x:is>
          <x:t xml:space="preserve">ÅVC</x:t>
        </x:is>
      </x:c>
      <x:c r="F72" s="767" t="n">
        <x:v>1</x:v>
      </x:c>
      <x:c r="G72" s="767" t="inlineStr">
        <x:is>
          <x:t xml:space="preserve">KVAN</x:t>
        </x:is>
      </x:c>
      <x:c r="H72" s="767" t="inlineStr">
        <x:is>
          <x:t xml:space="preserve">Bromsvätska</x:t>
        </x:is>
      </x:c>
      <x:c r="I72" s="767"/>
      <x:c r="J72" s="767"/>
      <x:c r="K72" s="767" t="n">
        <x:v>25</x:v>
      </x:c>
      <x:c r="L72" s="852" t="n">
        <x:v>45292</x:v>
      </x:c>
      <x:c r="M72" s="767" t="n">
        <x:v>0</x:v>
      </x:c>
      <x:c r="N72" s="767"/>
      <x:c r="O72" s="767" t="inlineStr">
        <x:is>
          <x:t xml:space="preserve">-</x:t>
        </x:is>
      </x:c>
      <x:c r="P72" s="767" t="n">
        <x:v>1</x:v>
      </x:c>
      <x:c r="Q72" s="774" t="inlineStr">
        <x:is>
          <x:t xml:space="preserve">VIKG</x:t>
        </x:is>
      </x:c>
    </x:row>
    <x:row r="73">
      <x:c r="A73" s="773" t="n">
        <x:v>1819</x:v>
      </x:c>
      <x:c r="B73" s="767" t="inlineStr">
        <x:is>
          <x:t xml:space="preserve">BRÄNNBARTSORT</x:t>
        </x:is>
      </x:c>
      <x:c r="C73" s="767" t="inlineStr">
        <x:is>
          <x:t xml:space="preserve">Brännbart, sorterat &lt;20 x 20 x 80 cm</x:t>
        </x:is>
      </x:c>
      <x:c r="D73" s="767" t="inlineStr">
        <x:is>
          <x:t xml:space="preserve">RENH</x:t>
        </x:is>
      </x:c>
      <x:c r="E73" s="767" t="inlineStr">
        <x:is>
          <x:t xml:space="preserve">ÅVC</x:t>
        </x:is>
      </x:c>
      <x:c r="F73" s="767" t="n">
        <x:v>1</x:v>
      </x:c>
      <x:c r="G73" s="767" t="inlineStr">
        <x:is>
          <x:t xml:space="preserve">KVAN</x:t>
        </x:is>
      </x:c>
      <x:c r="H73" s="767" t="inlineStr">
        <x:is>
          <x:t xml:space="preserve">Brännbart, sorterat &lt;20 x 20 x 80 cm</x:t>
        </x:is>
      </x:c>
      <x:c r="I73" s="767"/>
      <x:c r="J73" s="767"/>
      <x:c r="K73" s="767" t="n">
        <x:v>600</x:v>
      </x:c>
      <x:c r="L73" s="852" t="n">
        <x:v>45292</x:v>
      </x:c>
      <x:c r="M73" s="767" t="n">
        <x:v>0</x:v>
      </x:c>
      <x:c r="N73" s="767"/>
      <x:c r="O73" s="767" t="inlineStr">
        <x:is>
          <x:t xml:space="preserve">-</x:t>
        </x:is>
      </x:c>
      <x:c r="P73" s="767" t="n">
        <x:v>1</x:v>
      </x:c>
      <x:c r="Q73" s="774" t="inlineStr">
        <x:is>
          <x:t xml:space="preserve">KBMÖ</x:t>
        </x:is>
      </x:c>
    </x:row>
    <x:row r="74">
      <x:c r="A74" s="773" t="n">
        <x:v>1820</x:v>
      </x:c>
      <x:c r="B74" s="767" t="inlineStr">
        <x:is>
          <x:t xml:space="preserve">BRÄNNBARTÖVER</x:t>
        </x:is>
      </x:c>
      <x:c r="C74" s="767" t="inlineStr">
        <x:is>
          <x:t xml:space="preserve">Brännbart, överstort t.ex. möbler</x:t>
        </x:is>
      </x:c>
      <x:c r="D74" s="767" t="inlineStr">
        <x:is>
          <x:t xml:space="preserve">RENH</x:t>
        </x:is>
      </x:c>
      <x:c r="E74" s="767" t="inlineStr">
        <x:is>
          <x:t xml:space="preserve">ÅVC</x:t>
        </x:is>
      </x:c>
      <x:c r="F74" s="767" t="n">
        <x:v>1</x:v>
      </x:c>
      <x:c r="G74" s="767" t="inlineStr">
        <x:is>
          <x:t xml:space="preserve">KVAN</x:t>
        </x:is>
      </x:c>
      <x:c r="H74" s="767" t="inlineStr">
        <x:is>
          <x:t xml:space="preserve">Brännbart, överstort</x:t>
        </x:is>
      </x:c>
      <x:c r="I74" s="767"/>
      <x:c r="J74" s="767"/>
      <x:c r="K74" s="767" t="n">
        <x:v>650</x:v>
      </x:c>
      <x:c r="L74" s="852" t="n">
        <x:v>45292</x:v>
      </x:c>
      <x:c r="M74" s="767" t="n">
        <x:v>0</x:v>
      </x:c>
      <x:c r="N74" s="767"/>
      <x:c r="O74" s="767" t="inlineStr">
        <x:is>
          <x:t xml:space="preserve">-</x:t>
        </x:is>
      </x:c>
      <x:c r="P74" s="767" t="n">
        <x:v>1</x:v>
      </x:c>
      <x:c r="Q74" s="774" t="inlineStr">
        <x:is>
          <x:t xml:space="preserve">KBMÖ</x:t>
        </x:is>
      </x:c>
    </x:row>
    <x:row r="75">
      <x:c r="A75" s="773" t="n">
        <x:v>1818</x:v>
      </x:c>
      <x:c r="B75" s="767" t="inlineStr">
        <x:is>
          <x:t xml:space="preserve">BYGGRIVPLAST</x:t>
        </x:is>
      </x:c>
      <x:c r="C75" s="767" t="inlineStr">
        <x:is>
          <x:t xml:space="preserve">Bygg- och rivningsavfall, plast</x:t>
        </x:is>
      </x:c>
      <x:c r="D75" s="767" t="inlineStr">
        <x:is>
          <x:t xml:space="preserve">RENH</x:t>
        </x:is>
      </x:c>
      <x:c r="E75" s="767" t="inlineStr">
        <x:is>
          <x:t xml:space="preserve">ÅVC</x:t>
        </x:is>
      </x:c>
      <x:c r="F75" s="767" t="n">
        <x:v>1</x:v>
      </x:c>
      <x:c r="G75" s="767" t="inlineStr">
        <x:is>
          <x:t xml:space="preserve">KVAN</x:t>
        </x:is>
      </x:c>
      <x:c r="H75" s="767" t="inlineStr">
        <x:is>
          <x:t xml:space="preserve">Bygg- och rivningsavfall, plast</x:t>
        </x:is>
      </x:c>
      <x:c r="I75" s="767"/>
      <x:c r="J75" s="767"/>
      <x:c r="K75" s="767" t="n">
        <x:v>600</x:v>
      </x:c>
      <x:c r="L75" s="852" t="n">
        <x:v>45292</x:v>
      </x:c>
      <x:c r="M75" s="767" t="n">
        <x:v>0</x:v>
      </x:c>
      <x:c r="N75" s="767"/>
      <x:c r="O75" s="767" t="inlineStr">
        <x:is>
          <x:t xml:space="preserve">-</x:t>
        </x:is>
      </x:c>
      <x:c r="P75" s="767" t="n">
        <x:v>1</x:v>
      </x:c>
      <x:c r="Q75" s="774" t="inlineStr">
        <x:is>
          <x:t xml:space="preserve">KBMÖ</x:t>
        </x:is>
      </x:c>
    </x:row>
    <x:row r="76">
      <x:c r="A76" s="773" t="n">
        <x:v>1817</x:v>
      </x:c>
      <x:c r="B76" s="767" t="inlineStr">
        <x:is>
          <x:t xml:space="preserve">BYGGRIVTRÄ</x:t>
        </x:is>
      </x:c>
      <x:c r="C76" s="767" t="inlineStr">
        <x:is>
          <x:t xml:space="preserve">Bygg- och rivningsavfall, trä</x:t>
        </x:is>
      </x:c>
      <x:c r="D76" s="767" t="inlineStr">
        <x:is>
          <x:t xml:space="preserve">RENH</x:t>
        </x:is>
      </x:c>
      <x:c r="E76" s="767" t="inlineStr">
        <x:is>
          <x:t xml:space="preserve">ÅVC</x:t>
        </x:is>
      </x:c>
      <x:c r="F76" s="767" t="n">
        <x:v>1</x:v>
      </x:c>
      <x:c r="G76" s="767" t="inlineStr">
        <x:is>
          <x:t xml:space="preserve">KVAN</x:t>
        </x:is>
      </x:c>
      <x:c r="H76" s="767" t="inlineStr">
        <x:is>
          <x:t xml:space="preserve">Bygg- och rivningsavfall, trä</x:t>
        </x:is>
      </x:c>
      <x:c r="I76" s="767"/>
      <x:c r="J76" s="767"/>
      <x:c r="K76" s="767" t="n">
        <x:v>650</x:v>
      </x:c>
      <x:c r="L76" s="852" t="n">
        <x:v>45292</x:v>
      </x:c>
      <x:c r="M76" s="767" t="n">
        <x:v>0</x:v>
      </x:c>
      <x:c r="N76" s="767"/>
      <x:c r="O76" s="767" t="inlineStr">
        <x:is>
          <x:t xml:space="preserve">-</x:t>
        </x:is>
      </x:c>
      <x:c r="P76" s="767" t="n">
        <x:v>1</x:v>
      </x:c>
      <x:c r="Q76" s="774" t="inlineStr">
        <x:is>
          <x:t xml:space="preserve">KBMÖ</x:t>
        </x:is>
      </x:c>
    </x:row>
    <x:row r="77">
      <x:c r="A77" s="773" t="n">
        <x:v>1856</x:v>
      </x:c>
      <x:c r="B77" s="767" t="inlineStr">
        <x:is>
          <x:t xml:space="preserve">CYTOTOXISKA</x:t>
        </x:is>
      </x:c>
      <x:c r="C77" s="767" t="inlineStr">
        <x:is>
          <x:t xml:space="preserve">Cytotoxiska/Cytostatika</x:t>
        </x:is>
      </x:c>
      <x:c r="D77" s="767" t="inlineStr">
        <x:is>
          <x:t xml:space="preserve">RENH</x:t>
        </x:is>
      </x:c>
      <x:c r="E77" s="767" t="inlineStr">
        <x:is>
          <x:t xml:space="preserve">ÅVC</x:t>
        </x:is>
      </x:c>
      <x:c r="F77" s="767" t="n">
        <x:v>1</x:v>
      </x:c>
      <x:c r="G77" s="767" t="inlineStr">
        <x:is>
          <x:t xml:space="preserve">KVAN</x:t>
        </x:is>
      </x:c>
      <x:c r="H77" s="767" t="inlineStr">
        <x:is>
          <x:t xml:space="preserve">Cytotoxiska/Cytostatika</x:t>
        </x:is>
      </x:c>
      <x:c r="I77" s="767"/>
      <x:c r="J77" s="767"/>
      <x:c r="K77" s="767" t="n">
        <x:v>60</x:v>
      </x:c>
      <x:c r="L77" s="852" t="n">
        <x:v>45292</x:v>
      </x:c>
      <x:c r="M77" s="767" t="n">
        <x:v>0</x:v>
      </x:c>
      <x:c r="N77" s="767"/>
      <x:c r="O77" s="767" t="inlineStr">
        <x:is>
          <x:t xml:space="preserve">-</x:t>
        </x:is>
      </x:c>
      <x:c r="P77" s="767" t="n">
        <x:v>1</x:v>
      </x:c>
      <x:c r="Q77" s="774" t="inlineStr">
        <x:is>
          <x:t xml:space="preserve">VIKG</x:t>
        </x:is>
      </x:c>
    </x:row>
    <x:row r="78">
      <x:c r="A78" s="773" t="n">
        <x:v>1816</x:v>
      </x:c>
      <x:c r="B78" s="767" t="inlineStr">
        <x:is>
          <x:t xml:space="preserve">DEPONIREST</x:t>
        </x:is>
      </x:c>
      <x:c r="C78" s="767" t="inlineStr">
        <x:is>
          <x:t xml:space="preserve">Deponirest utsorterad/ej brännbart</x:t>
        </x:is>
      </x:c>
      <x:c r="D78" s="767" t="inlineStr">
        <x:is>
          <x:t xml:space="preserve">RENH</x:t>
        </x:is>
      </x:c>
      <x:c r="E78" s="767" t="inlineStr">
        <x:is>
          <x:t xml:space="preserve">ÅVC</x:t>
        </x:is>
      </x:c>
      <x:c r="F78" s="767" t="n">
        <x:v>1</x:v>
      </x:c>
      <x:c r="G78" s="767" t="inlineStr">
        <x:is>
          <x:t xml:space="preserve">KVAN</x:t>
        </x:is>
      </x:c>
      <x:c r="H78" s="767" t="inlineStr">
        <x:is>
          <x:t xml:space="preserve">Deponirest utsorterad/ej brännbart</x:t>
        </x:is>
      </x:c>
      <x:c r="I78" s="767"/>
      <x:c r="J78" s="767"/>
      <x:c r="K78" s="767" t="n">
        <x:v>800</x:v>
      </x:c>
      <x:c r="L78" s="852" t="n">
        <x:v>45292</x:v>
      </x:c>
      <x:c r="M78" s="767" t="n">
        <x:v>0</x:v>
      </x:c>
      <x:c r="N78" s="767"/>
      <x:c r="O78" s="767" t="inlineStr">
        <x:is>
          <x:t xml:space="preserve">-</x:t>
        </x:is>
      </x:c>
      <x:c r="P78" s="767" t="n">
        <x:v>1</x:v>
      </x:c>
      <x:c r="Q78" s="774" t="inlineStr">
        <x:is>
          <x:t xml:space="preserve">KBMÖ</x:t>
        </x:is>
      </x:c>
    </x:row>
    <x:row r="79">
      <x:c r="A79" s="773" t="n">
        <x:v>1869</x:v>
      </x:c>
      <x:c r="B79" s="767" t="inlineStr">
        <x:is>
          <x:t xml:space="preserve">EJKLASSFA</x:t>
        </x:is>
      </x:c>
      <x:c r="C79" s="767" t="inlineStr">
        <x:is>
          <x:t xml:space="preserve">Felaktigt eller farligt avfall som inte är klassat, pris per tillfälle</x:t>
        </x:is>
      </x:c>
      <x:c r="D79" s="767" t="inlineStr">
        <x:is>
          <x:t xml:space="preserve">RENH</x:t>
        </x:is>
      </x:c>
      <x:c r="E79" s="767" t="inlineStr">
        <x:is>
          <x:t xml:space="preserve">ÅVC</x:t>
        </x:is>
      </x:c>
      <x:c r="F79" s="767" t="n">
        <x:v>1</x:v>
      </x:c>
      <x:c r="G79" s="767" t="inlineStr">
        <x:is>
          <x:t xml:space="preserve">KVAN</x:t>
        </x:is>
      </x:c>
      <x:c r="H79" s="767" t="inlineStr">
        <x:is>
          <x:t xml:space="preserve">Felaktigt/farligt avfall ej klassat, pris per tillfälle</x:t>
        </x:is>
      </x:c>
      <x:c r="I79" s="767"/>
      <x:c r="J79" s="767"/>
      <x:c r="K79" s="767" t="n">
        <x:v>1000</x:v>
      </x:c>
      <x:c r="L79" s="852" t="n">
        <x:v>45292</x:v>
      </x:c>
      <x:c r="M79" s="767" t="n">
        <x:v>0</x:v>
      </x:c>
      <x:c r="N79" s="767"/>
      <x:c r="O79" s="767" t="inlineStr">
        <x:is>
          <x:t xml:space="preserve">-</x:t>
        </x:is>
      </x:c>
      <x:c r="P79" s="767" t="n">
        <x:v>1</x:v>
      </x:c>
      <x:c r="Q79" s="774" t="inlineStr">
        <x:is>
          <x:t xml:space="preserve">ANTL</x:t>
        </x:is>
      </x:c>
    </x:row>
    <x:row r="80">
      <x:c r="A80" s="773" t="n">
        <x:v>1865</x:v>
      </x:c>
      <x:c r="B80" s="767" t="inlineStr">
        <x:is>
          <x:t xml:space="preserve">EJSPECFA</x:t>
        </x:is>
      </x:c>
      <x:c r="C80" s="767" t="inlineStr">
        <x:is>
          <x:t xml:space="preserve">Ej specificerat farligt avfall</x:t>
        </x:is>
      </x:c>
      <x:c r="D80" s="767" t="inlineStr">
        <x:is>
          <x:t xml:space="preserve">RENH</x:t>
        </x:is>
      </x:c>
      <x:c r="E80" s="767" t="inlineStr">
        <x:is>
          <x:t xml:space="preserve">ÅVC</x:t>
        </x:is>
      </x:c>
      <x:c r="F80" s="767" t="n">
        <x:v>1</x:v>
      </x:c>
      <x:c r="G80" s="767" t="inlineStr">
        <x:is>
          <x:t xml:space="preserve">KVAN</x:t>
        </x:is>
      </x:c>
      <x:c r="H80" s="767" t="inlineStr">
        <x:is>
          <x:t xml:space="preserve">Ej specificerat farligt avfall</x:t>
        </x:is>
      </x:c>
      <x:c r="I80" s="767"/>
      <x:c r="J80" s="767"/>
      <x:c r="K80" s="767" t="n">
        <x:v>1000</x:v>
      </x:c>
      <x:c r="L80" s="852" t="n">
        <x:v>45292</x:v>
      </x:c>
      <x:c r="M80" s="767" t="n">
        <x:v>0</x:v>
      </x:c>
      <x:c r="N80" s="767"/>
      <x:c r="O80" s="767" t="inlineStr">
        <x:is>
          <x:t xml:space="preserve">-</x:t>
        </x:is>
      </x:c>
      <x:c r="P80" s="767" t="n">
        <x:v>1</x:v>
      </x:c>
      <x:c r="Q80" s="774" t="inlineStr">
        <x:is>
          <x:t xml:space="preserve">VIKG</x:t>
        </x:is>
      </x:c>
    </x:row>
    <x:row r="81">
      <x:c r="A81" s="773" t="n">
        <x:v>1825</x:v>
      </x:c>
      <x:c r="B81" s="767" t="inlineStr">
        <x:is>
          <x:t xml:space="preserve">ELEKTRONIK</x:t>
        </x:is>
      </x:c>
      <x:c r="C81" s="767" t="inlineStr">
        <x:is>
          <x:t xml:space="preserve">Elektronikavfall, ej producentansvar</x:t>
        </x:is>
      </x:c>
      <x:c r="D81" s="767" t="inlineStr">
        <x:is>
          <x:t xml:space="preserve">RENH</x:t>
        </x:is>
      </x:c>
      <x:c r="E81" s="767" t="inlineStr">
        <x:is>
          <x:t xml:space="preserve">ÅVC</x:t>
        </x:is>
      </x:c>
      <x:c r="F81" s="767" t="n">
        <x:v>1</x:v>
      </x:c>
      <x:c r="G81" s="767" t="inlineStr">
        <x:is>
          <x:t xml:space="preserve">KVAN</x:t>
        </x:is>
      </x:c>
      <x:c r="H81" s="767" t="inlineStr">
        <x:is>
          <x:t xml:space="preserve">Elektronikavfall, ej producentansvar</x:t>
        </x:is>
      </x:c>
      <x:c r="I81" s="767"/>
      <x:c r="J81" s="767"/>
      <x:c r="K81" s="767" t="n">
        <x:v>0</x:v>
      </x:c>
      <x:c r="L81" s="852" t="n">
        <x:v>45292</x:v>
      </x:c>
      <x:c r="M81" s="767" t="n">
        <x:v>0</x:v>
      </x:c>
      <x:c r="N81" s="767"/>
      <x:c r="O81" s="767" t="inlineStr">
        <x:is>
          <x:t xml:space="preserve">-</x:t>
        </x:is>
      </x:c>
      <x:c r="P81" s="767" t="n">
        <x:v>1</x:v>
      </x:c>
      <x:c r="Q81" s="774" t="inlineStr">
        <x:is>
          <x:t xml:space="preserve">ANTL</x:t>
        </x:is>
      </x:c>
    </x:row>
    <x:row r="82">
      <x:c r="A82" s="773" t="n">
        <x:v>1800</x:v>
      </x:c>
      <x:c r="B82" s="767" t="inlineStr">
        <x:is>
          <x:t xml:space="preserve">EVEFRAMKÖR</x:t>
        </x:is>
      </x:c>
      <x:c r="C82" s="767" t="inlineStr">
        <x:is>
          <x:t xml:space="preserve">Evenemang framkörningsavgift</x:t>
        </x:is>
      </x:c>
      <x:c r="D82" s="767" t="inlineStr">
        <x:is>
          <x:t xml:space="preserve">RENH</x:t>
        </x:is>
      </x:c>
      <x:c r="E82" s="767" t="inlineStr">
        <x:is>
          <x:t xml:space="preserve">HUSH</x:t>
        </x:is>
      </x:c>
      <x:c r="F82" s="767" t="n">
        <x:v>1</x:v>
      </x:c>
      <x:c r="G82" s="767" t="inlineStr">
        <x:is>
          <x:t xml:space="preserve">KVAN</x:t>
        </x:is>
      </x:c>
      <x:c r="H82" s="767" t="inlineStr">
        <x:is>
          <x:t xml:space="preserve">Evenemang framkörningsavgift</x:t>
        </x:is>
      </x:c>
      <x:c r="I82" s="767"/>
      <x:c r="J82" s="767"/>
      <x:c r="K82" s="767" t="n">
        <x:v>480</x:v>
      </x:c>
      <x:c r="L82" s="852" t="n">
        <x:v>45292</x:v>
      </x:c>
      <x:c r="M82" s="767" t="n">
        <x:v>0</x:v>
      </x:c>
      <x:c r="N82" s="767"/>
      <x:c r="O82" s="767" t="inlineStr">
        <x:is>
          <x:t xml:space="preserve">-</x:t>
        </x:is>
      </x:c>
      <x:c r="P82" s="767" t="n">
        <x:v>1</x:v>
      </x:c>
      <x:c r="Q82" s="774" t="inlineStr">
        <x:is>
          <x:t xml:space="preserve">ANTL</x:t>
        </x:is>
      </x:c>
    </x:row>
    <x:row r="83">
      <x:c r="A83" s="773" t="n">
        <x:v>1775</x:v>
      </x:c>
      <x:c r="B83" s="767" t="inlineStr">
        <x:is>
          <x:t xml:space="preserve">EVEKÄ140MA</x:t>
        </x:is>
      </x:c>
      <x:c r="C83" s="767" t="inlineStr">
        <x:is>
          <x:t xml:space="preserve">Evenemangskärl 140 L, matavfall</x:t>
        </x:is>
      </x:c>
      <x:c r="D83" s="767" t="inlineStr">
        <x:is>
          <x:t xml:space="preserve">RENH</x:t>
        </x:is>
      </x:c>
      <x:c r="E83" s="767" t="inlineStr">
        <x:is>
          <x:t xml:space="preserve">HUSH</x:t>
        </x:is>
      </x:c>
      <x:c r="F83" s="767" t="n">
        <x:v>1</x:v>
      </x:c>
      <x:c r="G83" s="767" t="inlineStr">
        <x:is>
          <x:t xml:space="preserve">KVAN</x:t>
        </x:is>
      </x:c>
      <x:c r="H83" s="767" t="inlineStr">
        <x:is>
          <x:t xml:space="preserve">Evenemangskärl 140 L, matavfall</x:t>
        </x:is>
      </x:c>
      <x:c r="I83" s="767"/>
      <x:c r="J83" s="767"/>
      <x:c r="K83" s="767" t="n">
        <x:v>96</x:v>
      </x:c>
      <x:c r="L83" s="852" t="n">
        <x:v>45292</x:v>
      </x:c>
      <x:c r="M83" s="767" t="n">
        <x:v>0</x:v>
      </x:c>
      <x:c r="N83" s="767"/>
      <x:c r="O83" s="767" t="inlineStr">
        <x:is>
          <x:t xml:space="preserve">-</x:t>
        </x:is>
      </x:c>
      <x:c r="P83" s="767" t="n">
        <x:v>1</x:v>
      </x:c>
      <x:c r="Q83" s="774" t="inlineStr">
        <x:is>
          <x:t xml:space="preserve">ANTL</x:t>
        </x:is>
      </x:c>
    </x:row>
    <x:row r="84">
      <x:c r="A84" s="773" t="n">
        <x:v>1812</x:v>
      </x:c>
      <x:c r="B84" s="767" t="inlineStr">
        <x:is>
          <x:t xml:space="preserve">EVEKÄ190RE</x:t>
        </x:is>
      </x:c>
      <x:c r="C84" s="767" t="inlineStr">
        <x:is>
          <x:t xml:space="preserve">Evenemangskärl 190 L, restavfall</x:t>
        </x:is>
      </x:c>
      <x:c r="D84" s="767" t="inlineStr">
        <x:is>
          <x:t xml:space="preserve">RENH</x:t>
        </x:is>
      </x:c>
      <x:c r="E84" s="767" t="inlineStr">
        <x:is>
          <x:t xml:space="preserve">HUSH</x:t>
        </x:is>
      </x:c>
      <x:c r="F84" s="767" t="n">
        <x:v>1</x:v>
      </x:c>
      <x:c r="G84" s="767" t="inlineStr">
        <x:is>
          <x:t xml:space="preserve">KVAN</x:t>
        </x:is>
      </x:c>
      <x:c r="H84" s="767" t="inlineStr">
        <x:is>
          <x:t xml:space="preserve">Evenemangskärl 190 L, restavfall</x:t>
        </x:is>
      </x:c>
      <x:c r="I84" s="767"/>
      <x:c r="J84" s="767"/>
      <x:c r="K84" s="767" t="n">
        <x:v>96</x:v>
      </x:c>
      <x:c r="L84" s="852" t="n">
        <x:v>45292</x:v>
      </x:c>
      <x:c r="M84" s="767" t="n">
        <x:v>0</x:v>
      </x:c>
      <x:c r="N84" s="767"/>
      <x:c r="O84" s="767" t="inlineStr">
        <x:is>
          <x:t xml:space="preserve">-</x:t>
        </x:is>
      </x:c>
      <x:c r="P84" s="767" t="n">
        <x:v>1</x:v>
      </x:c>
      <x:c r="Q84" s="774" t="inlineStr">
        <x:is>
          <x:t xml:space="preserve">ANTL</x:t>
        </x:is>
      </x:c>
    </x:row>
    <x:row r="85">
      <x:c r="A85" s="773" t="n">
        <x:v>1813</x:v>
      </x:c>
      <x:c r="B85" s="767" t="inlineStr">
        <x:is>
          <x:t xml:space="preserve">EVEKÄ370RE</x:t>
        </x:is>
      </x:c>
      <x:c r="C85" s="767" t="inlineStr">
        <x:is>
          <x:t xml:space="preserve">Evenemangskärl 370 L, restavfall</x:t>
        </x:is>
      </x:c>
      <x:c r="D85" s="767" t="inlineStr">
        <x:is>
          <x:t xml:space="preserve">RENH</x:t>
        </x:is>
      </x:c>
      <x:c r="E85" s="767" t="inlineStr">
        <x:is>
          <x:t xml:space="preserve">HUSH</x:t>
        </x:is>
      </x:c>
      <x:c r="F85" s="767" t="n">
        <x:v>1</x:v>
      </x:c>
      <x:c r="G85" s="767" t="inlineStr">
        <x:is>
          <x:t xml:space="preserve">KVAN</x:t>
        </x:is>
      </x:c>
      <x:c r="H85" s="767" t="inlineStr">
        <x:is>
          <x:t xml:space="preserve">Evenemangskärl 370 L, restavfall</x:t>
        </x:is>
      </x:c>
      <x:c r="I85" s="767"/>
      <x:c r="J85" s="767"/>
      <x:c r="K85" s="767" t="n">
        <x:v>120</x:v>
      </x:c>
      <x:c r="L85" s="852" t="n">
        <x:v>45292</x:v>
      </x:c>
      <x:c r="M85" s="767" t="n">
        <x:v>0</x:v>
      </x:c>
      <x:c r="N85" s="767"/>
      <x:c r="O85" s="767" t="inlineStr">
        <x:is>
          <x:t xml:space="preserve">-</x:t>
        </x:is>
      </x:c>
      <x:c r="P85" s="767" t="n">
        <x:v>1</x:v>
      </x:c>
      <x:c r="Q85" s="774" t="inlineStr">
        <x:is>
          <x:t xml:space="preserve">ANTB</x:t>
        </x:is>
      </x:c>
    </x:row>
    <x:row r="86">
      <x:c r="A86" s="773" t="n">
        <x:v>1814</x:v>
      </x:c>
      <x:c r="B86" s="767" t="inlineStr">
        <x:is>
          <x:t xml:space="preserve">EVEKÄ660RE</x:t>
        </x:is>
      </x:c>
      <x:c r="C86" s="767" t="inlineStr">
        <x:is>
          <x:t xml:space="preserve">Evenemangskärl 660 L, restavfall</x:t>
        </x:is>
      </x:c>
      <x:c r="D86" s="767" t="inlineStr">
        <x:is>
          <x:t xml:space="preserve">RENH</x:t>
        </x:is>
      </x:c>
      <x:c r="E86" s="767" t="inlineStr">
        <x:is>
          <x:t xml:space="preserve">HUSH</x:t>
        </x:is>
      </x:c>
      <x:c r="F86" s="767" t="n">
        <x:v>1</x:v>
      </x:c>
      <x:c r="G86" s="767" t="inlineStr">
        <x:is>
          <x:t xml:space="preserve">KVAN</x:t>
        </x:is>
      </x:c>
      <x:c r="H86" s="767" t="inlineStr">
        <x:is>
          <x:t xml:space="preserve">Evenemangskärl 660 L, restavfall</x:t>
        </x:is>
      </x:c>
      <x:c r="I86" s="767"/>
      <x:c r="J86" s="767"/>
      <x:c r="K86" s="767" t="n">
        <x:v>184</x:v>
      </x:c>
      <x:c r="L86" s="852" t="n">
        <x:v>45292</x:v>
      </x:c>
      <x:c r="M86" s="767" t="n">
        <x:v>0</x:v>
      </x:c>
      <x:c r="N86" s="767"/>
      <x:c r="O86" s="767" t="inlineStr">
        <x:is>
          <x:t xml:space="preserve">-</x:t>
        </x:is>
      </x:c>
      <x:c r="P86" s="767" t="n">
        <x:v>1</x:v>
      </x:c>
      <x:c r="Q86" s="774" t="inlineStr">
        <x:is>
          <x:t xml:space="preserve">ANTB</x:t>
        </x:is>
      </x:c>
    </x:row>
    <x:row r="87">
      <x:c r="A87" s="773" t="n">
        <x:v>1652</x:v>
      </x:c>
      <x:c r="B87" s="767" t="inlineStr">
        <x:is>
          <x:t xml:space="preserve">EXTMÄTVS</x:t>
        </x:is>
      </x:c>
      <x:c r="C87" s="767" t="inlineStr">
        <x:is>
          <x:t xml:space="preserve">Extra mätställe, vatten/spillvatten</x:t>
        </x:is>
      </x:c>
      <x:c r="D87" s="767" t="inlineStr">
        <x:is>
          <x:t xml:space="preserve">VA</x:t>
        </x:is>
      </x:c>
      <x:c r="E87" s="767" t="inlineStr">
        <x:is>
          <x:t xml:space="preserve">VA</x:t>
        </x:is>
      </x:c>
      <x:c r="F87" s="767" t="n">
        <x:v>1</x:v>
      </x:c>
      <x:c r="G87" s="767" t="inlineStr">
        <x:is>
          <x:t xml:space="preserve">ÅRPR</x:t>
        </x:is>
      </x:c>
      <x:c r="H87" s="767" t="inlineStr">
        <x:is>
          <x:t xml:space="preserve">Fast avgift, vatten/spillvatten</x:t>
        </x:is>
      </x:c>
      <x:c r="I87" s="767"/>
      <x:c r="J87" s="767"/>
      <x:c r="K87" s="767" t="n">
        <x:v>656</x:v>
      </x:c>
      <x:c r="L87" s="852" t="n">
        <x:v>45292</x:v>
      </x:c>
      <x:c r="M87" s="767" t="n">
        <x:v>0</x:v>
      </x:c>
      <x:c r="N87" s="767"/>
      <x:c r="O87" s="767" t="inlineStr">
        <x:is>
          <x:t xml:space="preserve">-</x:t>
        </x:is>
      </x:c>
      <x:c r="P87" s="767" t="n">
        <x:v>1</x:v>
      </x:c>
      <x:c r="Q87" s="774"/>
    </x:row>
    <x:row r="88">
      <x:c r="A88" s="773" t="n">
        <x:v>1793</x:v>
      </x:c>
      <x:c r="B88" s="767" t="inlineStr">
        <x:is>
          <x:t xml:space="preserve">FARLIGTBUD</x:t>
        </x:is>
      </x:c>
      <x:c r="C88" s="767" t="inlineStr">
        <x:is>
          <x:t xml:space="preserve">Budning av farligt avfall per m³</x:t>
        </x:is>
      </x:c>
      <x:c r="D88" s="767" t="inlineStr">
        <x:is>
          <x:t xml:space="preserve">RENH</x:t>
        </x:is>
      </x:c>
      <x:c r="E88" s="767" t="inlineStr">
        <x:is>
          <x:t xml:space="preserve">HUSH</x:t>
        </x:is>
      </x:c>
      <x:c r="F88" s="767" t="n">
        <x:v>1</x:v>
      </x:c>
      <x:c r="G88" s="767" t="inlineStr">
        <x:is>
          <x:t xml:space="preserve">KVAN</x:t>
        </x:is>
      </x:c>
      <x:c r="H88" s="767" t="inlineStr">
        <x:is>
          <x:t xml:space="preserve">Budning av farligt avfall per m³</x:t>
        </x:is>
      </x:c>
      <x:c r="I88" s="767"/>
      <x:c r="J88" s="767"/>
      <x:c r="K88" s="767" t="n">
        <x:v>3840</x:v>
      </x:c>
      <x:c r="L88" s="852" t="n">
        <x:v>45292</x:v>
      </x:c>
      <x:c r="M88" s="767" t="n">
        <x:v>0</x:v>
      </x:c>
      <x:c r="N88" s="767"/>
      <x:c r="O88" s="767" t="inlineStr">
        <x:is>
          <x:t xml:space="preserve">-</x:t>
        </x:is>
      </x:c>
      <x:c r="P88" s="767" t="n">
        <x:v>1</x:v>
      </x:c>
      <x:c r="Q88" s="774" t="inlineStr">
        <x:is>
          <x:t xml:space="preserve">ANTL</x:t>
        </x:is>
      </x:c>
    </x:row>
    <x:row r="89">
      <x:c r="A89" s="773" t="n">
        <x:v>1863</x:v>
      </x:c>
      <x:c r="B89" s="767" t="inlineStr">
        <x:is>
          <x:t xml:space="preserve">FASTOLJEAVFALL</x:t>
        </x:is>
      </x:c>
      <x:c r="C89" s="767" t="inlineStr">
        <x:is>
          <x:t xml:space="preserve">Fast oljeavfall</x:t>
        </x:is>
      </x:c>
      <x:c r="D89" s="767" t="inlineStr">
        <x:is>
          <x:t xml:space="preserve">RENH</x:t>
        </x:is>
      </x:c>
      <x:c r="E89" s="767" t="inlineStr">
        <x:is>
          <x:t xml:space="preserve">ÅVC</x:t>
        </x:is>
      </x:c>
      <x:c r="F89" s="767" t="n">
        <x:v>1</x:v>
      </x:c>
      <x:c r="G89" s="767" t="inlineStr">
        <x:is>
          <x:t xml:space="preserve">KVAN</x:t>
        </x:is>
      </x:c>
      <x:c r="H89" s="767" t="inlineStr">
        <x:is>
          <x:t xml:space="preserve">Fast oljeavfall</x:t>
        </x:is>
      </x:c>
      <x:c r="I89" s="767"/>
      <x:c r="J89" s="767"/>
      <x:c r="K89" s="767" t="n">
        <x:v>25</x:v>
      </x:c>
      <x:c r="L89" s="852" t="n">
        <x:v>45292</x:v>
      </x:c>
      <x:c r="M89" s="767" t="n">
        <x:v>0</x:v>
      </x:c>
      <x:c r="N89" s="767"/>
      <x:c r="O89" s="767" t="inlineStr">
        <x:is>
          <x:t xml:space="preserve">-</x:t>
        </x:is>
      </x:c>
      <x:c r="P89" s="767" t="n">
        <x:v>1</x:v>
      </x:c>
      <x:c r="Q89" s="774" t="inlineStr">
        <x:is>
          <x:t xml:space="preserve">VIKG</x:t>
        </x:is>
      </x:c>
    </x:row>
    <x:row r="90">
      <x:c r="A90" s="773" t="n">
        <x:v>1840</x:v>
      </x:c>
      <x:c r="B90" s="767" t="inlineStr">
        <x:is>
          <x:t xml:space="preserve">FASTSODA</x:t>
        </x:is>
      </x:c>
      <x:c r="C90" s="767" t="inlineStr">
        <x:is>
          <x:t xml:space="preserve">Fast soda i små emballage</x:t>
        </x:is>
      </x:c>
      <x:c r="D90" s="767" t="inlineStr">
        <x:is>
          <x:t xml:space="preserve">RENH</x:t>
        </x:is>
      </x:c>
      <x:c r="E90" s="767" t="inlineStr">
        <x:is>
          <x:t xml:space="preserve">ÅVC</x:t>
        </x:is>
      </x:c>
      <x:c r="F90" s="767" t="n">
        <x:v>1</x:v>
      </x:c>
      <x:c r="G90" s="767" t="inlineStr">
        <x:is>
          <x:t xml:space="preserve">KVAN</x:t>
        </x:is>
      </x:c>
      <x:c r="H90" s="767" t="inlineStr">
        <x:is>
          <x:t xml:space="preserve">Fast soda i små emballage</x:t>
        </x:is>
      </x:c>
      <x:c r="I90" s="767"/>
      <x:c r="J90" s="767"/>
      <x:c r="K90" s="767" t="n">
        <x:v>50</x:v>
      </x:c>
      <x:c r="L90" s="852" t="n">
        <x:v>45292</x:v>
      </x:c>
      <x:c r="M90" s="767" t="n">
        <x:v>0</x:v>
      </x:c>
      <x:c r="N90" s="767"/>
      <x:c r="O90" s="767" t="inlineStr">
        <x:is>
          <x:t xml:space="preserve">-</x:t>
        </x:is>
      </x:c>
      <x:c r="P90" s="767" t="n">
        <x:v>1</x:v>
      </x:c>
      <x:c r="Q90" s="774" t="inlineStr">
        <x:is>
          <x:t xml:space="preserve">VIKG</x:t>
        </x:is>
      </x:c>
    </x:row>
    <x:row r="91">
      <x:c r="A91" s="773" t="n">
        <x:v>1938</x:v>
      </x:c>
      <x:c r="B91" s="767" t="inlineStr">
        <x:is>
          <x:t xml:space="preserve">FOBFRI</x:t>
        </x:is>
      </x:c>
      <x:c r="C91" s="767" t="inlineStr">
        <x:is>
          <x:t xml:space="preserve">Nyckelfob mat- och restavfall fritidshus (engångs)</x:t>
        </x:is>
      </x:c>
      <x:c r="D91" s="767" t="inlineStr">
        <x:is>
          <x:t xml:space="preserve">RENH</x:t>
        </x:is>
      </x:c>
      <x:c r="E91" s="767" t="inlineStr">
        <x:is>
          <x:t xml:space="preserve">HUSH</x:t>
        </x:is>
      </x:c>
      <x:c r="F91" s="767" t="n">
        <x:v>1</x:v>
      </x:c>
      <x:c r="G91" s="767" t="inlineStr">
        <x:is>
          <x:t xml:space="preserve">KVAN</x:t>
        </x:is>
      </x:c>
      <x:c r="H91" s="767" t="inlineStr">
        <x:is>
          <x:t xml:space="preserve">Avser fysisk nyckel för mat-och restavfall - Engångskostnad</x:t>
        </x:is>
      </x:c>
      <x:c r="I91" s="767"/>
      <x:c r="J91" s="767"/>
      <x:c r="K91" s="767" t="n">
        <x:v>1200</x:v>
      </x:c>
      <x:c r="L91" s="852" t="n">
        <x:v>45292</x:v>
      </x:c>
      <x:c r="M91" s="767" t="n">
        <x:v>0</x:v>
      </x:c>
      <x:c r="N91" s="767"/>
      <x:c r="O91" s="767" t="inlineStr">
        <x:is>
          <x:t xml:space="preserve">-</x:t>
        </x:is>
      </x:c>
      <x:c r="P91" s="767" t="n">
        <x:v>1</x:v>
      </x:c>
      <x:c r="Q91" s="774" t="inlineStr">
        <x:is>
          <x:t xml:space="preserve">ANTL</x:t>
        </x:is>
      </x:c>
    </x:row>
    <x:row r="92">
      <x:c r="A92" s="773" t="n">
        <x:v>1723</x:v>
      </x:c>
      <x:c r="B92" s="767" t="inlineStr">
        <x:is>
          <x:t xml:space="preserve">FOSTÖM1000</x:t>
        </x:is>
      </x:c>
      <x:c r="C92" s="767" t="inlineStr">
        <x:is>
          <x:t xml:space="preserve">Tömning och behandling fosforfilter 500-1000 kg</x:t>
        </x:is>
      </x:c>
      <x:c r="D92" s="767" t="inlineStr">
        <x:is>
          <x:t xml:space="preserve">RENH</x:t>
        </x:is>
      </x:c>
      <x:c r="E92" s="767" t="inlineStr">
        <x:is>
          <x:t xml:space="preserve">SLAM</x:t>
        </x:is>
      </x:c>
      <x:c r="F92" s="767" t="n">
        <x:v>1</x:v>
      </x:c>
      <x:c r="G92" s="767" t="inlineStr">
        <x:is>
          <x:t xml:space="preserve">KVAN</x:t>
        </x:is>
      </x:c>
      <x:c r="H92" s="767" t="inlineStr">
        <x:is>
          <x:t xml:space="preserve">Tömning och behandling fosforfilter 500-1000 kg</x:t>
        </x:is>
      </x:c>
      <x:c r="I92" s="767"/>
      <x:c r="J92" s="767"/>
      <x:c r="K92" s="767" t="n">
        <x:v>3840</x:v>
      </x:c>
      <x:c r="L92" s="852" t="n">
        <x:v>45292</x:v>
      </x:c>
      <x:c r="M92" s="767" t="n">
        <x:v>0</x:v>
      </x:c>
      <x:c r="N92" s="767"/>
      <x:c r="O92" s="767" t="inlineStr">
        <x:is>
          <x:t xml:space="preserve">-</x:t>
        </x:is>
      </x:c>
      <x:c r="P92" s="767" t="n">
        <x:v>1</x:v>
      </x:c>
      <x:c r="Q92" s="774" t="inlineStr">
        <x:is>
          <x:t xml:space="preserve">ANTL</x:t>
        </x:is>
      </x:c>
    </x:row>
    <x:row r="93">
      <x:c r="A93" s="773" t="n">
        <x:v>1724</x:v>
      </x:c>
      <x:c r="B93" s="767" t="inlineStr">
        <x:is>
          <x:t xml:space="preserve">FOSTÖM500</x:t>
        </x:is>
      </x:c>
      <x:c r="C93" s="767" t="inlineStr">
        <x:is>
          <x:t xml:space="preserve">Tömning och behandling fosforfilter under 500 kg</x:t>
        </x:is>
      </x:c>
      <x:c r="D93" s="767" t="inlineStr">
        <x:is>
          <x:t xml:space="preserve">RENH</x:t>
        </x:is>
      </x:c>
      <x:c r="E93" s="767" t="inlineStr">
        <x:is>
          <x:t xml:space="preserve">SLAM</x:t>
        </x:is>
      </x:c>
      <x:c r="F93" s="767" t="n">
        <x:v>1</x:v>
      </x:c>
      <x:c r="G93" s="767" t="inlineStr">
        <x:is>
          <x:t xml:space="preserve">KVAN</x:t>
        </x:is>
      </x:c>
      <x:c r="H93" s="767" t="inlineStr">
        <x:is>
          <x:t xml:space="preserve">Tömning och behandling fosforfilter under 500 kg</x:t>
        </x:is>
      </x:c>
      <x:c r="I93" s="767"/>
      <x:c r="J93" s="767"/>
      <x:c r="K93" s="767" t="n">
        <x:v>2880</x:v>
      </x:c>
      <x:c r="L93" s="852" t="n">
        <x:v>45292</x:v>
      </x:c>
      <x:c r="M93" s="767" t="n">
        <x:v>0</x:v>
      </x:c>
      <x:c r="N93" s="767"/>
      <x:c r="O93" s="767" t="inlineStr">
        <x:is>
          <x:t xml:space="preserve">-</x:t>
        </x:is>
      </x:c>
      <x:c r="P93" s="767" t="n">
        <x:v>1</x:v>
      </x:c>
      <x:c r="Q93" s="774" t="inlineStr">
        <x:is>
          <x:t xml:space="preserve">ANTL</x:t>
        </x:is>
      </x:c>
    </x:row>
    <x:row r="94">
      <x:c r="A94" s="773" t="n">
        <x:v>1841</x:v>
      </x:c>
      <x:c r="B94" s="767" t="inlineStr">
        <x:is>
          <x:t xml:space="preserve">FOTOKEM</x:t>
        </x:is>
      </x:c>
      <x:c r="C94" s="767" t="inlineStr">
        <x:is>
          <x:t xml:space="preserve">Fotokemikalier</x:t>
        </x:is>
      </x:c>
      <x:c r="D94" s="767" t="inlineStr">
        <x:is>
          <x:t xml:space="preserve">RENH</x:t>
        </x:is>
      </x:c>
      <x:c r="E94" s="767" t="inlineStr">
        <x:is>
          <x:t xml:space="preserve">ÅVC</x:t>
        </x:is>
      </x:c>
      <x:c r="F94" s="767" t="n">
        <x:v>1</x:v>
      </x:c>
      <x:c r="G94" s="767" t="inlineStr">
        <x:is>
          <x:t xml:space="preserve">KVAN</x:t>
        </x:is>
      </x:c>
      <x:c r="H94" s="767" t="inlineStr">
        <x:is>
          <x:t xml:space="preserve">Fotokemikalier</x:t>
        </x:is>
      </x:c>
      <x:c r="I94" s="767"/>
      <x:c r="J94" s="767"/>
      <x:c r="K94" s="767" t="n">
        <x:v>35</x:v>
      </x:c>
      <x:c r="L94" s="852" t="n">
        <x:v>45292</x:v>
      </x:c>
      <x:c r="M94" s="767" t="n">
        <x:v>0</x:v>
      </x:c>
      <x:c r="N94" s="767"/>
      <x:c r="O94" s="767" t="inlineStr">
        <x:is>
          <x:t xml:space="preserve">-</x:t>
        </x:is>
      </x:c>
      <x:c r="P94" s="767" t="n">
        <x:v>1</x:v>
      </x:c>
      <x:c r="Q94" s="774" t="inlineStr">
        <x:is>
          <x:t xml:space="preserve">VIKG</x:t>
        </x:is>
      </x:c>
    </x:row>
    <x:row r="95">
      <x:c r="A95" s="773" t="n">
        <x:v>1760</x:v>
      </x:c>
      <x:c r="B95" s="767" t="inlineStr">
        <x:is>
          <x:t xml:space="preserve">FRAMKÖRKOM</x:t>
        </x:is>
      </x:c>
      <x:c r="C95" s="767" t="inlineStr">
        <x:is>
          <x:t xml:space="preserve">Framkörningsavgift, hämtning av kommunalt avfall</x:t>
        </x:is>
      </x:c>
      <x:c r="D95" s="767" t="inlineStr">
        <x:is>
          <x:t xml:space="preserve">RENH</x:t>
        </x:is>
      </x:c>
      <x:c r="E95" s="767" t="inlineStr">
        <x:is>
          <x:t xml:space="preserve">HUSH</x:t>
        </x:is>
      </x:c>
      <x:c r="F95" s="767" t="n">
        <x:v>1</x:v>
      </x:c>
      <x:c r="G95" s="767" t="inlineStr">
        <x:is>
          <x:t xml:space="preserve">KVAN</x:t>
        </x:is>
      </x:c>
      <x:c r="H95" s="767" t="inlineStr">
        <x:is>
          <x:t xml:space="preserve">Framkörningsavgift, hämtning av kommunalt avfall</x:t>
        </x:is>
      </x:c>
      <x:c r="I95" s="767"/>
      <x:c r="J95" s="767"/>
      <x:c r="K95" s="767" t="n">
        <x:v>1600</x:v>
      </x:c>
      <x:c r="L95" s="852" t="n">
        <x:v>45292</x:v>
      </x:c>
      <x:c r="M95" s="767" t="n">
        <x:v>0</x:v>
      </x:c>
      <x:c r="N95" s="767"/>
      <x:c r="O95" s="767" t="inlineStr">
        <x:is>
          <x:t xml:space="preserve">-</x:t>
        </x:is>
      </x:c>
      <x:c r="P95" s="767" t="n">
        <x:v>1</x:v>
      </x:c>
      <x:c r="Q95" s="774" t="inlineStr">
        <x:is>
          <x:t xml:space="preserve">ANTL</x:t>
        </x:is>
      </x:c>
    </x:row>
    <x:row r="96">
      <x:c r="A96" s="773" t="n">
        <x:v>1845</x:v>
      </x:c>
      <x:c r="B96" s="767" t="inlineStr">
        <x:is>
          <x:t xml:space="preserve">FÄRGEJKONS</x:t>
        </x:is>
      </x:c>
      <x:c r="C96" s="767" t="inlineStr">
        <x:is>
          <x:t xml:space="preserve">Färg ej konsumentförpackat</x:t>
        </x:is>
      </x:c>
      <x:c r="D96" s="767" t="inlineStr">
        <x:is>
          <x:t xml:space="preserve">RENH</x:t>
        </x:is>
      </x:c>
      <x:c r="E96" s="767" t="inlineStr">
        <x:is>
          <x:t xml:space="preserve">ÅVC</x:t>
        </x:is>
      </x:c>
      <x:c r="F96" s="767" t="n">
        <x:v>1</x:v>
      </x:c>
      <x:c r="G96" s="767" t="inlineStr">
        <x:is>
          <x:t xml:space="preserve">KVAN</x:t>
        </x:is>
      </x:c>
      <x:c r="H96" s="767" t="inlineStr">
        <x:is>
          <x:t xml:space="preserve">Färg ej konsumentförpackat</x:t>
        </x:is>
      </x:c>
      <x:c r="I96" s="767"/>
      <x:c r="J96" s="767"/>
      <x:c r="K96" s="767" t="n">
        <x:v>25</x:v>
      </x:c>
      <x:c r="L96" s="852" t="n">
        <x:v>45292</x:v>
      </x:c>
      <x:c r="M96" s="767" t="n">
        <x:v>0</x:v>
      </x:c>
      <x:c r="N96" s="767"/>
      <x:c r="O96" s="767" t="inlineStr">
        <x:is>
          <x:t xml:space="preserve">-</x:t>
        </x:is>
      </x:c>
      <x:c r="P96" s="767" t="n">
        <x:v>1</x:v>
      </x:c>
      <x:c r="Q96" s="774" t="inlineStr">
        <x:is>
          <x:t xml:space="preserve">VIKG</x:t>
        </x:is>
      </x:c>
    </x:row>
    <x:row r="97">
      <x:c r="A97" s="773" t="n">
        <x:v>1843</x:v>
      </x:c>
      <x:c r="B97" s="767" t="inlineStr">
        <x:is>
          <x:t xml:space="preserve">FÄRGLÖSNING</x:t>
        </x:is>
      </x:c>
      <x:c r="C97" s="767" t="inlineStr">
        <x:is>
          <x:t xml:space="preserve">Färg/lackavfall/lim lösningsbaserat</x:t>
        </x:is>
      </x:c>
      <x:c r="D97" s="767" t="inlineStr">
        <x:is>
          <x:t xml:space="preserve">RENH</x:t>
        </x:is>
      </x:c>
      <x:c r="E97" s="767" t="inlineStr">
        <x:is>
          <x:t xml:space="preserve">ÅVC</x:t>
        </x:is>
      </x:c>
      <x:c r="F97" s="767" t="n">
        <x:v>1</x:v>
      </x:c>
      <x:c r="G97" s="767" t="inlineStr">
        <x:is>
          <x:t xml:space="preserve">KVAN</x:t>
        </x:is>
      </x:c>
      <x:c r="H97" s="767" t="inlineStr">
        <x:is>
          <x:t xml:space="preserve">Färg/lackavfall/lim lösningsbaserat</x:t>
        </x:is>
      </x:c>
      <x:c r="I97" s="767"/>
      <x:c r="J97" s="767"/>
      <x:c r="K97" s="767" t="n">
        <x:v>10</x:v>
      </x:c>
      <x:c r="L97" s="852" t="n">
        <x:v>45292</x:v>
      </x:c>
      <x:c r="M97" s="767" t="n">
        <x:v>0</x:v>
      </x:c>
      <x:c r="N97" s="767"/>
      <x:c r="O97" s="767" t="inlineStr">
        <x:is>
          <x:t xml:space="preserve">-</x:t>
        </x:is>
      </x:c>
      <x:c r="P97" s="767" t="n">
        <x:v>1</x:v>
      </x:c>
      <x:c r="Q97" s="774" t="inlineStr">
        <x:is>
          <x:t xml:space="preserve">VIKG</x:t>
        </x:is>
      </x:c>
    </x:row>
    <x:row r="98">
      <x:c r="A98" s="773" t="n">
        <x:v>1844</x:v>
      </x:c>
      <x:c r="B98" s="767" t="inlineStr">
        <x:is>
          <x:t xml:space="preserve">FÄRGVATTEN</x:t>
        </x:is>
      </x:c>
      <x:c r="C98" s="767" t="inlineStr">
        <x:is>
          <x:t xml:space="preserve">Färg/lackavfall/lim vattenbaserat</x:t>
        </x:is>
      </x:c>
      <x:c r="D98" s="767" t="inlineStr">
        <x:is>
          <x:t xml:space="preserve">RENH</x:t>
        </x:is>
      </x:c>
      <x:c r="E98" s="767" t="inlineStr">
        <x:is>
          <x:t xml:space="preserve">ÅVC</x:t>
        </x:is>
      </x:c>
      <x:c r="F98" s="767" t="n">
        <x:v>1</x:v>
      </x:c>
      <x:c r="G98" s="767" t="inlineStr">
        <x:is>
          <x:t xml:space="preserve">KVAN</x:t>
        </x:is>
      </x:c>
      <x:c r="H98" s="767" t="inlineStr">
        <x:is>
          <x:t xml:space="preserve">Färg/lackavfall/lim vattenbaserat</x:t>
        </x:is>
      </x:c>
      <x:c r="I98" s="767"/>
      <x:c r="J98" s="767"/>
      <x:c r="K98" s="767" t="n">
        <x:v>10</x:v>
      </x:c>
      <x:c r="L98" s="852" t="n">
        <x:v>45292</x:v>
      </x:c>
      <x:c r="M98" s="767" t="n">
        <x:v>0</x:v>
      </x:c>
      <x:c r="N98" s="767"/>
      <x:c r="O98" s="767" t="inlineStr">
        <x:is>
          <x:t xml:space="preserve">-</x:t>
        </x:is>
      </x:c>
      <x:c r="P98" s="767" t="n">
        <x:v>1</x:v>
      </x:c>
      <x:c r="Q98" s="774" t="inlineStr">
        <x:is>
          <x:t xml:space="preserve">VIKG</x:t>
        </x:is>
      </x:c>
    </x:row>
    <x:row r="99">
      <x:c r="A99" s="773" t="n">
        <x:v>1851</x:v>
      </x:c>
      <x:c r="B99" s="767" t="inlineStr">
        <x:is>
          <x:t xml:space="preserve">GASOL</x:t>
        </x:is>
      </x:c>
      <x:c r="C99" s="767" t="inlineStr">
        <x:is>
          <x:t xml:space="preserve">Gasol, blå programmet (kräver speciell transport)</x:t>
        </x:is>
      </x:c>
      <x:c r="D99" s="767" t="inlineStr">
        <x:is>
          <x:t xml:space="preserve">RENH</x:t>
        </x:is>
      </x:c>
      <x:c r="E99" s="767" t="inlineStr">
        <x:is>
          <x:t xml:space="preserve">ÅVC</x:t>
        </x:is>
      </x:c>
      <x:c r="F99" s="767" t="n">
        <x:v>1</x:v>
      </x:c>
      <x:c r="G99" s="767" t="inlineStr">
        <x:is>
          <x:t xml:space="preserve">KVAN</x:t>
        </x:is>
      </x:c>
      <x:c r="H99" s="767" t="inlineStr">
        <x:is>
          <x:t xml:space="preserve">Gasol, blå programmet</x:t>
        </x:is>
      </x:c>
      <x:c r="I99" s="767"/>
      <x:c r="J99" s="767"/>
      <x:c r="K99" s="767" t="n">
        <x:v>500</x:v>
      </x:c>
      <x:c r="L99" s="852" t="n">
        <x:v>45292</x:v>
      </x:c>
      <x:c r="M99" s="767" t="n">
        <x:v>0</x:v>
      </x:c>
      <x:c r="N99" s="767"/>
      <x:c r="O99" s="767" t="inlineStr">
        <x:is>
          <x:t xml:space="preserve">-</x:t>
        </x:is>
      </x:c>
      <x:c r="P99" s="767" t="n">
        <x:v>1</x:v>
      </x:c>
      <x:c r="Q99" s="774" t="inlineStr">
        <x:is>
          <x:t xml:space="preserve">VIKG</x:t>
        </x:is>
      </x:c>
    </x:row>
    <x:row r="100">
      <x:c r="A100" s="773" t="n">
        <x:v>1747</x:v>
      </x:c>
      <x:c r="B100" s="767" t="inlineStr">
        <x:is>
          <x:t xml:space="preserve">GEMKÄFRI</x:t>
        </x:is>
      </x:c>
      <x:c r="C100" s="767" t="inlineStr">
        <x:is>
          <x:t xml:space="preserve">Gemensam uppsamlingsplats med eget kärl, fritidshus</x:t>
        </x:is>
      </x:c>
      <x:c r="D100" s="767" t="inlineStr">
        <x:is>
          <x:t xml:space="preserve">RENH</x:t>
        </x:is>
      </x:c>
      <x:c r="E100" s="767" t="inlineStr">
        <x:is>
          <x:t xml:space="preserve">HUSH</x:t>
        </x:is>
      </x:c>
      <x:c r="F100" s="767" t="n">
        <x:v>1</x:v>
      </x:c>
      <x:c r="G100" s="767" t="inlineStr">
        <x:is>
          <x:t xml:space="preserve">ÅRKV</x:t>
        </x:is>
      </x:c>
      <x:c r="H100" s="767" t="inlineStr">
        <x:is>
          <x:t xml:space="preserve">Hämtningavgift gemensam uppsamlingsplats, eget kärl</x:t>
        </x:is>
      </x:c>
      <x:c r="I100" s="767"/>
      <x:c r="J100" s="767"/>
      <x:c r="K100" s="767" t="n">
        <x:v>480</x:v>
      </x:c>
      <x:c r="L100" s="852" t="n">
        <x:v>45292</x:v>
      </x:c>
      <x:c r="M100" s="767" t="n">
        <x:v>0</x:v>
      </x:c>
      <x:c r="N100" s="767"/>
      <x:c r="O100" s="767" t="inlineStr">
        <x:is>
          <x:t xml:space="preserve">-</x:t>
        </x:is>
      </x:c>
      <x:c r="P100" s="767" t="n">
        <x:v>1</x:v>
      </x:c>
      <x:c r="Q100" s="774" t="inlineStr">
        <x:is>
          <x:t xml:space="preserve">ANTB</x:t>
        </x:is>
      </x:c>
    </x:row>
    <x:row r="101">
      <x:c r="A101" s="773" t="n">
        <x:v>1748</x:v>
      </x:c>
      <x:c r="B101" s="767" t="inlineStr">
        <x:is>
          <x:t xml:space="preserve">GEMKÄFRI</x:t>
        </x:is>
      </x:c>
      <x:c r="C101" s="767" t="inlineStr">
        <x:is>
          <x:t xml:space="preserve">Gemensam uppsamlingsplats med eget kärl, fritidshus</x:t>
        </x:is>
      </x:c>
      <x:c r="D101" s="767" t="inlineStr">
        <x:is>
          <x:t xml:space="preserve">RENH</x:t>
        </x:is>
      </x:c>
      <x:c r="E101" s="767" t="inlineStr">
        <x:is>
          <x:t xml:space="preserve">HUSH</x:t>
        </x:is>
      </x:c>
      <x:c r="F101" s="767" t="n">
        <x:v>2</x:v>
      </x:c>
      <x:c r="G101" s="767" t="inlineStr">
        <x:is>
          <x:t xml:space="preserve">KVAN</x:t>
        </x:is>
      </x:c>
      <x:c r="H101" s="767" t="inlineStr">
        <x:is>
          <x:t xml:space="preserve">Viktavgift rest- matavfall kr/kg</x:t>
        </x:is>
      </x:c>
      <x:c r="I101" s="767"/>
      <x:c r="J101" s="767"/>
      <x:c r="K101" s="767" t="n">
        <x:v>0</x:v>
      </x:c>
      <x:c r="L101" s="852" t="n">
        <x:v>45292</x:v>
      </x:c>
      <x:c r="M101" s="767" t="n">
        <x:v>0</x:v>
      </x:c>
      <x:c r="N101" s="767"/>
      <x:c r="O101" s="767" t="inlineStr">
        <x:is>
          <x:t xml:space="preserve">-</x:t>
        </x:is>
      </x:c>
      <x:c r="P101" s="767" t="n">
        <x:v>1</x:v>
      </x:c>
      <x:c r="Q101" s="774" t="inlineStr">
        <x:is>
          <x:t xml:space="preserve">VIKG</x:t>
        </x:is>
      </x:c>
    </x:row>
    <x:row r="102">
      <x:c r="A102" s="773" t="n">
        <x:v>1935</x:v>
      </x:c>
      <x:c r="B102" s="767" t="inlineStr">
        <x:is>
          <x:t xml:space="preserve">GEMUPPEXTRAFRI</x:t>
        </x:is>
      </x:c>
      <x:c r="C102" s="767" t="inlineStr">
        <x:is>
          <x:t xml:space="preserve">Extra mobilnyckel till Gemensam uppsamlingsplats, fritidshus</x:t>
        </x:is>
      </x:c>
      <x:c r="D102" s="767" t="inlineStr">
        <x:is>
          <x:t xml:space="preserve">RENH</x:t>
        </x:is>
      </x:c>
      <x:c r="E102" s="767" t="inlineStr">
        <x:is>
          <x:t xml:space="preserve">HUSH</x:t>
        </x:is>
      </x:c>
      <x:c r="F102" s="767" t="n">
        <x:v>1</x:v>
      </x:c>
      <x:c r="G102" s="767" t="inlineStr">
        <x:is>
          <x:t xml:space="preserve">ÅRPR</x:t>
        </x:is>
      </x:c>
      <x:c r="H102" s="767" t="inlineStr">
        <x:is>
          <x:t xml:space="preserve">Extra Mobilnyckel till ÅVS</x:t>
        </x:is>
      </x:c>
      <x:c r="I102" s="767"/>
      <x:c r="J102" s="767"/>
      <x:c r="K102" s="767" t="n">
        <x:v>80</x:v>
      </x:c>
      <x:c r="L102" s="852" t="n">
        <x:v>45292</x:v>
      </x:c>
      <x:c r="M102" s="767" t="n">
        <x:v>0</x:v>
      </x:c>
      <x:c r="N102" s="767"/>
      <x:c r="O102" s="767" t="inlineStr">
        <x:is>
          <x:t xml:space="preserve">-</x:t>
        </x:is>
      </x:c>
      <x:c r="P102" s="767" t="n">
        <x:v>1</x:v>
      </x:c>
      <x:c r="Q102" s="774"/>
    </x:row>
    <x:row r="103">
      <x:c r="A103" s="773" t="n">
        <x:v>1934</x:v>
      </x:c>
      <x:c r="B103" s="767" t="inlineStr">
        <x:is>
          <x:t xml:space="preserve">GEMUPPFRINYCKEL</x:t>
        </x:is>
      </x:c>
      <x:c r="C103" s="767" t="inlineStr">
        <x:is>
          <x:t xml:space="preserve">Nyckelfob till Gemensam uppsamlingsplats, fritidshus</x:t>
        </x:is>
      </x:c>
      <x:c r="D103" s="767" t="inlineStr">
        <x:is>
          <x:t xml:space="preserve">RENH</x:t>
        </x:is>
      </x:c>
      <x:c r="E103" s="767" t="inlineStr">
        <x:is>
          <x:t xml:space="preserve">HUSH</x:t>
        </x:is>
      </x:c>
      <x:c r="F103" s="767" t="n">
        <x:v>1</x:v>
      </x:c>
      <x:c r="G103" s="767" t="inlineStr">
        <x:is>
          <x:t xml:space="preserve">TEXT</x:t>
        </x:is>
      </x:c>
      <x:c r="H103" s="767" t="inlineStr">
        <x:is>
          <x:t xml:space="preserve">Nyckelfob, engångskostnad</x:t>
        </x:is>
      </x:c>
      <x:c r="I103" s="767"/>
      <x:c r="J103" s="767"/>
      <x:c r="K103" s="767" t="n">
        <x:v>1200</x:v>
      </x:c>
      <x:c r="L103" s="852" t="n">
        <x:v>45292</x:v>
      </x:c>
      <x:c r="M103" s="767" t="n">
        <x:v>0</x:v>
      </x:c>
      <x:c r="N103" s="767"/>
      <x:c r="O103" s="767" t="inlineStr">
        <x:is>
          <x:t xml:space="preserve">-</x:t>
        </x:is>
      </x:c>
      <x:c r="P103" s="767" t="n">
        <x:v>1</x:v>
      </x:c>
      <x:c r="Q103" s="774"/>
    </x:row>
    <x:row r="104">
      <x:c r="A104" s="773" t="n">
        <x:v>1970</x:v>
      </x:c>
      <x:c r="B104" s="767" t="inlineStr">
        <x:is>
          <x:t xml:space="preserve">GEMUPPFÖRPFLB</x:t>
        </x:is>
      </x:c>
      <x:c r="C104" s="767" t="inlineStr">
        <x:is>
          <x:t xml:space="preserve">Gemensam uppsamlingsplats Förpackning, Flerbostadshus</x:t>
        </x:is>
      </x:c>
      <x:c r="D104" s="767" t="inlineStr">
        <x:is>
          <x:t xml:space="preserve">RENH</x:t>
        </x:is>
      </x:c>
      <x:c r="E104" s="767" t="inlineStr">
        <x:is>
          <x:t xml:space="preserve">HUSH</x:t>
        </x:is>
      </x:c>
      <x:c r="F104" s="767" t="n">
        <x:v>1</x:v>
      </x:c>
      <x:c r="G104" s="767" t="inlineStr">
        <x:is>
          <x:t xml:space="preserve">ÅRKV</x:t>
        </x:is>
      </x:c>
      <x:c r="H104" s="767" t="inlineStr">
        <x:is>
          <x:t xml:space="preserve">Gemensam uppsamlingsplats Förpackning, Flerbostadshus</x:t>
        </x:is>
      </x:c>
      <x:c r="I104" s="767"/>
      <x:c r="J104" s="767"/>
      <x:c r="K104" s="767" t="n">
        <x:v>0</x:v>
      </x:c>
      <x:c r="L104" s="852" t="n">
        <x:v>45292</x:v>
      </x:c>
      <x:c r="M104" s="767" t="n">
        <x:v>0</x:v>
      </x:c>
      <x:c r="N104" s="767"/>
      <x:c r="O104" s="767" t="inlineStr">
        <x:is>
          <x:t xml:space="preserve">-</x:t>
        </x:is>
      </x:c>
      <x:c r="P104" s="767" t="n">
        <x:v>1</x:v>
      </x:c>
      <x:c r="Q104" s="774" t="inlineStr">
        <x:is>
          <x:t xml:space="preserve">FAST</x:t>
        </x:is>
      </x:c>
    </x:row>
    <x:row r="105">
      <x:c r="A105" s="773" t="n">
        <x:v>1936</x:v>
      </x:c>
      <x:c r="B105" s="767" t="inlineStr">
        <x:is>
          <x:t xml:space="preserve">GEMUPPORDFRI</x:t>
        </x:is>
      </x:c>
      <x:c r="C105" s="767" t="inlineStr">
        <x:is>
          <x:t xml:space="preserve">Mobilnyckel Gemensam uppsamlingsplats, fritidshus</x:t>
        </x:is>
      </x:c>
      <x:c r="D105" s="767" t="inlineStr">
        <x:is>
          <x:t xml:space="preserve">RENH</x:t>
        </x:is>
      </x:c>
      <x:c r="E105" s="767" t="inlineStr">
        <x:is>
          <x:t xml:space="preserve">HUSH</x:t>
        </x:is>
      </x:c>
      <x:c r="F105" s="767" t="n">
        <x:v>1</x:v>
      </x:c>
      <x:c r="G105" s="767" t="inlineStr">
        <x:is>
          <x:t xml:space="preserve">ÅRKV</x:t>
        </x:is>
      </x:c>
      <x:c r="H105" s="767" t="inlineStr">
        <x:is>
          <x:t xml:space="preserve">Mobilnyckel Gemensam uppsamlingsplats, mat- och restavfall</x:t>
        </x:is>
      </x:c>
      <x:c r="I105" s="767"/>
      <x:c r="J105" s="767"/>
      <x:c r="K105" s="767" t="n">
        <x:v>0</x:v>
      </x:c>
      <x:c r="L105" s="852" t="n">
        <x:v>45292</x:v>
      </x:c>
      <x:c r="M105" s="767" t="n">
        <x:v>0</x:v>
      </x:c>
      <x:c r="N105" s="767"/>
      <x:c r="O105" s="767" t="inlineStr">
        <x:is>
          <x:t xml:space="preserve">-</x:t>
        </x:is>
      </x:c>
      <x:c r="P105" s="767" t="n">
        <x:v>1</x:v>
      </x:c>
      <x:c r="Q105" s="774" t="inlineStr">
        <x:is>
          <x:t xml:space="preserve">FAST</x:t>
        </x:is>
      </x:c>
    </x:row>
    <x:row r="106">
      <x:c r="A106" s="773" t="n">
        <x:v>1770</x:v>
      </x:c>
      <x:c r="B106" s="767" t="inlineStr">
        <x:is>
          <x:t xml:space="preserve">GRBUD</x:t>
        </x:is>
      </x:c>
      <x:c r="C106" s="767" t="inlineStr">
        <x:is>
          <x:t xml:space="preserve">Budad hämtning, grovavfall. Pris per m³</x:t>
        </x:is>
      </x:c>
      <x:c r="D106" s="767" t="inlineStr">
        <x:is>
          <x:t xml:space="preserve">RENH</x:t>
        </x:is>
      </x:c>
      <x:c r="E106" s="767" t="inlineStr">
        <x:is>
          <x:t xml:space="preserve">HUSH</x:t>
        </x:is>
      </x:c>
      <x:c r="F106" s="767" t="n">
        <x:v>1</x:v>
      </x:c>
      <x:c r="G106" s="767" t="inlineStr">
        <x:is>
          <x:t xml:space="preserve">KVAN</x:t>
        </x:is>
      </x:c>
      <x:c r="H106" s="767" t="inlineStr">
        <x:is>
          <x:t xml:space="preserve">Budad hämtning, grovavfall. Pris per m³</x:t>
        </x:is>
      </x:c>
      <x:c r="I106" s="767"/>
      <x:c r="J106" s="767"/>
      <x:c r="K106" s="767" t="n">
        <x:v>480</x:v>
      </x:c>
      <x:c r="L106" s="852" t="n">
        <x:v>45292</x:v>
      </x:c>
      <x:c r="M106" s="767" t="n">
        <x:v>0</x:v>
      </x:c>
      <x:c r="N106" s="767"/>
      <x:c r="O106" s="767" t="inlineStr">
        <x:is>
          <x:t xml:space="preserve">-</x:t>
        </x:is>
      </x:c>
      <x:c r="P106" s="767" t="n">
        <x:v>1</x:v>
      </x:c>
      <x:c r="Q106" s="774" t="inlineStr">
        <x:is>
          <x:t xml:space="preserve">KBMÖ</x:t>
        </x:is>
      </x:c>
    </x:row>
    <x:row r="107">
      <x:c r="A107" s="773" t="n">
        <x:v>1792</x:v>
      </x:c>
      <x:c r="B107" s="767" t="inlineStr">
        <x:is>
          <x:t xml:space="preserve">GROVBUD</x:t>
        </x:is>
      </x:c>
      <x:c r="C107" s="767" t="inlineStr">
        <x:is>
          <x:t xml:space="preserve">Budning av grovavfall per m³</x:t>
        </x:is>
      </x:c>
      <x:c r="D107" s="767" t="inlineStr">
        <x:is>
          <x:t xml:space="preserve">RENH</x:t>
        </x:is>
      </x:c>
      <x:c r="E107" s="767" t="inlineStr">
        <x:is>
          <x:t xml:space="preserve">HUSH</x:t>
        </x:is>
      </x:c>
      <x:c r="F107" s="767" t="n">
        <x:v>1</x:v>
      </x:c>
      <x:c r="G107" s="767" t="inlineStr">
        <x:is>
          <x:t xml:space="preserve">KVAN</x:t>
        </x:is>
      </x:c>
      <x:c r="H107" s="767" t="inlineStr">
        <x:is>
          <x:t xml:space="preserve">Budning av grovavfall per m³</x:t>
        </x:is>
      </x:c>
      <x:c r="I107" s="767"/>
      <x:c r="J107" s="767"/>
      <x:c r="K107" s="767" t="n">
        <x:v>480</x:v>
      </x:c>
      <x:c r="L107" s="852" t="n">
        <x:v>45292</x:v>
      </x:c>
      <x:c r="M107" s="767" t="n">
        <x:v>0</x:v>
      </x:c>
      <x:c r="N107" s="767"/>
      <x:c r="O107" s="767" t="inlineStr">
        <x:is>
          <x:t xml:space="preserve">-</x:t>
        </x:is>
      </x:c>
      <x:c r="P107" s="767" t="n">
        <x:v>1</x:v>
      </x:c>
      <x:c r="Q107" s="774" t="inlineStr">
        <x:is>
          <x:t xml:space="preserve">KBMÖ</x:t>
        </x:is>
      </x:c>
    </x:row>
    <x:row r="108">
      <x:c r="A108" s="773" t="n">
        <x:v>1749</x:v>
      </x:c>
      <x:c r="B108" s="767" t="inlineStr">
        <x:is>
          <x:t xml:space="preserve">GRUNDFLB</x:t>
        </x:is>
      </x:c>
      <x:c r="C108" s="767" t="inlineStr">
        <x:is>
          <x:t xml:space="preserve">Grundavgift, del i flerbostadshus</x:t>
        </x:is>
      </x:c>
      <x:c r="D108" s="767" t="inlineStr">
        <x:is>
          <x:t xml:space="preserve">RENH</x:t>
        </x:is>
      </x:c>
      <x:c r="E108" s="767" t="inlineStr">
        <x:is>
          <x:t xml:space="preserve">HUSH</x:t>
        </x:is>
      </x:c>
      <x:c r="F108" s="767" t="n">
        <x:v>1</x:v>
      </x:c>
      <x:c r="G108" s="767" t="inlineStr">
        <x:is>
          <x:t xml:space="preserve">ÅRKV</x:t>
        </x:is>
      </x:c>
      <x:c r="H108" s="767" t="inlineStr">
        <x:is>
          <x:t xml:space="preserve">Grundavgift, del i flerbostadshus</x:t>
        </x:is>
      </x:c>
      <x:c r="I108" s="767"/>
      <x:c r="J108" s="767"/>
      <x:c r="K108" s="767" t="n">
        <x:v>640</x:v>
      </x:c>
      <x:c r="L108" s="852" t="n">
        <x:v>45292</x:v>
      </x:c>
      <x:c r="M108" s="767" t="n">
        <x:v>0</x:v>
      </x:c>
      <x:c r="N108" s="767"/>
      <x:c r="O108" s="767" t="inlineStr">
        <x:is>
          <x:t xml:space="preserve">-</x:t>
        </x:is>
      </x:c>
      <x:c r="P108" s="767" t="n">
        <x:v>1</x:v>
      </x:c>
      <x:c r="Q108" s="774" t="inlineStr">
        <x:is>
          <x:t xml:space="preserve">GRUN</x:t>
        </x:is>
      </x:c>
    </x:row>
    <x:row r="109">
      <x:c r="A109" s="773" t="n">
        <x:v>1807</x:v>
      </x:c>
      <x:c r="B109" s="767" t="inlineStr">
        <x:is>
          <x:t xml:space="preserve">GRUNDFRI</x:t>
        </x:is>
      </x:c>
      <x:c r="C109" s="767" t="inlineStr">
        <x:is>
          <x:t xml:space="preserve">Grundavgift, fritidshus</x:t>
        </x:is>
      </x:c>
      <x:c r="D109" s="767" t="inlineStr">
        <x:is>
          <x:t xml:space="preserve">RENH</x:t>
        </x:is>
      </x:c>
      <x:c r="E109" s="767" t="inlineStr">
        <x:is>
          <x:t xml:space="preserve">HUSH</x:t>
        </x:is>
      </x:c>
      <x:c r="F109" s="767" t="n">
        <x:v>1</x:v>
      </x:c>
      <x:c r="G109" s="767" t="inlineStr">
        <x:is>
          <x:t xml:space="preserve">ÅRKV</x:t>
        </x:is>
      </x:c>
      <x:c r="H109" s="767" t="inlineStr">
        <x:is>
          <x:t xml:space="preserve">Grundavgift, fritidshus</x:t>
        </x:is>
      </x:c>
      <x:c r="I109" s="767"/>
      <x:c r="J109" s="767"/>
      <x:c r="K109" s="767" t="n">
        <x:v>1000</x:v>
      </x:c>
      <x:c r="L109" s="852" t="n">
        <x:v>45292</x:v>
      </x:c>
      <x:c r="M109" s="767" t="n">
        <x:v>0</x:v>
      </x:c>
      <x:c r="N109" s="767"/>
      <x:c r="O109" s="767" t="inlineStr">
        <x:is>
          <x:t xml:space="preserve">-</x:t>
        </x:is>
      </x:c>
      <x:c r="P109" s="767" t="n">
        <x:v>1</x:v>
      </x:c>
      <x:c r="Q109" s="774" t="inlineStr">
        <x:is>
          <x:t xml:space="preserve">GRUN</x:t>
        </x:is>
      </x:c>
    </x:row>
    <x:row r="110">
      <x:c r="A110" s="773" t="n">
        <x:v>1752</x:v>
      </x:c>
      <x:c r="B110" s="767" t="inlineStr">
        <x:is>
          <x:t xml:space="preserve">GRUNDVHT</x:t>
        </x:is>
      </x:c>
      <x:c r="C110" s="767" t="inlineStr">
        <x:is>
          <x:t xml:space="preserve">Grundavgift, verksamheter</x:t>
        </x:is>
      </x:c>
      <x:c r="D110" s="767" t="inlineStr">
        <x:is>
          <x:t xml:space="preserve">RENH</x:t>
        </x:is>
      </x:c>
      <x:c r="E110" s="767" t="inlineStr">
        <x:is>
          <x:t xml:space="preserve">HUSH</x:t>
        </x:is>
      </x:c>
      <x:c r="F110" s="767" t="n">
        <x:v>1</x:v>
      </x:c>
      <x:c r="G110" s="767" t="inlineStr">
        <x:is>
          <x:t xml:space="preserve">ÅRKV</x:t>
        </x:is>
      </x:c>
      <x:c r="H110" s="767" t="inlineStr">
        <x:is>
          <x:t xml:space="preserve">Grundavgift, verksamheter</x:t>
        </x:is>
      </x:c>
      <x:c r="I110" s="767"/>
      <x:c r="J110" s="767"/>
      <x:c r="K110" s="767" t="n">
        <x:v>1000</x:v>
      </x:c>
      <x:c r="L110" s="852" t="n">
        <x:v>45292</x:v>
      </x:c>
      <x:c r="M110" s="767" t="n">
        <x:v>0</x:v>
      </x:c>
      <x:c r="N110" s="767"/>
      <x:c r="O110" s="767" t="inlineStr">
        <x:is>
          <x:t xml:space="preserve">-</x:t>
        </x:is>
      </x:c>
      <x:c r="P110" s="767" t="n">
        <x:v>1</x:v>
      </x:c>
      <x:c r="Q110" s="774" t="inlineStr">
        <x:is>
          <x:t xml:space="preserve">GRUN</x:t>
        </x:is>
      </x:c>
    </x:row>
    <x:row r="111">
      <x:c r="A111" s="773" t="n">
        <x:v>1850</x:v>
      </x:c>
      <x:c r="B111" s="767" t="inlineStr">
        <x:is>
          <x:t xml:space="preserve">HALONGAS</x:t>
        </x:is>
      </x:c>
      <x:c r="C111" s="767" t="inlineStr">
        <x:is>
          <x:t xml:space="preserve">Halon gaser (kräver speciell transport)</x:t>
        </x:is>
      </x:c>
      <x:c r="D111" s="767" t="inlineStr">
        <x:is>
          <x:t xml:space="preserve">RENH</x:t>
        </x:is>
      </x:c>
      <x:c r="E111" s="767" t="inlineStr">
        <x:is>
          <x:t xml:space="preserve">ÅVC</x:t>
        </x:is>
      </x:c>
      <x:c r="F111" s="767" t="n">
        <x:v>1</x:v>
      </x:c>
      <x:c r="G111" s="767" t="inlineStr">
        <x:is>
          <x:t xml:space="preserve">KVAN</x:t>
        </x:is>
      </x:c>
      <x:c r="H111" s="767" t="inlineStr">
        <x:is>
          <x:t xml:space="preserve">Halon gaser</x:t>
        </x:is>
      </x:c>
      <x:c r="I111" s="767"/>
      <x:c r="J111" s="767"/>
      <x:c r="K111" s="767" t="n">
        <x:v>160</x:v>
      </x:c>
      <x:c r="L111" s="852" t="n">
        <x:v>45292</x:v>
      </x:c>
      <x:c r="M111" s="767" t="n">
        <x:v>0</x:v>
      </x:c>
      <x:c r="N111" s="767"/>
      <x:c r="O111" s="767" t="inlineStr">
        <x:is>
          <x:t xml:space="preserve">-</x:t>
        </x:is>
      </x:c>
      <x:c r="P111" s="767" t="n">
        <x:v>1</x:v>
      </x:c>
      <x:c r="Q111" s="774" t="inlineStr">
        <x:is>
          <x:t xml:space="preserve">VIKG</x:t>
        </x:is>
      </x:c>
    </x:row>
    <x:row r="112">
      <x:c r="A112" s="773" t="n">
        <x:v>1848</x:v>
      </x:c>
      <x:c r="B112" s="767" t="inlineStr">
        <x:is>
          <x:t xml:space="preserve">HYDRAULSLANG</x:t>
        </x:is>
      </x:c>
      <x:c r="C112" s="767" t="inlineStr">
        <x:is>
          <x:t xml:space="preserve">Hydraulslang</x:t>
        </x:is>
      </x:c>
      <x:c r="D112" s="767" t="inlineStr">
        <x:is>
          <x:t xml:space="preserve">RENH</x:t>
        </x:is>
      </x:c>
      <x:c r="E112" s="767" t="inlineStr">
        <x:is>
          <x:t xml:space="preserve">ÅVC</x:t>
        </x:is>
      </x:c>
      <x:c r="F112" s="767" t="n">
        <x:v>1</x:v>
      </x:c>
      <x:c r="G112" s="767" t="inlineStr">
        <x:is>
          <x:t xml:space="preserve">KVAN</x:t>
        </x:is>
      </x:c>
      <x:c r="H112" s="767" t="inlineStr">
        <x:is>
          <x:t xml:space="preserve">Hydraulslang</x:t>
        </x:is>
      </x:c>
      <x:c r="I112" s="767"/>
      <x:c r="J112" s="767"/>
      <x:c r="K112" s="767" t="n">
        <x:v>15</x:v>
      </x:c>
      <x:c r="L112" s="852" t="n">
        <x:v>45292</x:v>
      </x:c>
      <x:c r="M112" s="767" t="n">
        <x:v>0</x:v>
      </x:c>
      <x:c r="N112" s="767"/>
      <x:c r="O112" s="767" t="inlineStr">
        <x:is>
          <x:t xml:space="preserve">-</x:t>
        </x:is>
      </x:c>
      <x:c r="P112" s="767" t="n">
        <x:v>1</x:v>
      </x:c>
      <x:c r="Q112" s="774" t="inlineStr">
        <x:is>
          <x:t xml:space="preserve">VIKG</x:t>
        </x:is>
      </x:c>
    </x:row>
    <x:row r="113">
      <x:c r="A113" s="773" t="n">
        <x:v>1860</x:v>
      </x:c>
      <x:c r="B113" s="767" t="inlineStr">
        <x:is>
          <x:t xml:space="preserve">HÄRDARE</x:t>
        </x:is>
      </x:c>
      <x:c r="C113" s="767" t="inlineStr">
        <x:is>
          <x:t xml:space="preserve">Härdare</x:t>
        </x:is>
      </x:c>
      <x:c r="D113" s="767" t="inlineStr">
        <x:is>
          <x:t xml:space="preserve">RENH</x:t>
        </x:is>
      </x:c>
      <x:c r="E113" s="767" t="inlineStr">
        <x:is>
          <x:t xml:space="preserve">ÅVC</x:t>
        </x:is>
      </x:c>
      <x:c r="F113" s="767" t="n">
        <x:v>1</x:v>
      </x:c>
      <x:c r="G113" s="767" t="inlineStr">
        <x:is>
          <x:t xml:space="preserve">KVAN</x:t>
        </x:is>
      </x:c>
      <x:c r="H113" s="767" t="inlineStr">
        <x:is>
          <x:t xml:space="preserve">Härdare</x:t>
        </x:is>
      </x:c>
      <x:c r="I113" s="767"/>
      <x:c r="J113" s="767"/>
      <x:c r="K113" s="767" t="n">
        <x:v>60</x:v>
      </x:c>
      <x:c r="L113" s="852" t="n">
        <x:v>45292</x:v>
      </x:c>
      <x:c r="M113" s="767" t="n">
        <x:v>0</x:v>
      </x:c>
      <x:c r="N113" s="767"/>
      <x:c r="O113" s="767" t="inlineStr">
        <x:is>
          <x:t xml:space="preserve">-</x:t>
        </x:is>
      </x:c>
      <x:c r="P113" s="767" t="n">
        <x:v>1</x:v>
      </x:c>
      <x:c r="Q113" s="774" t="inlineStr">
        <x:is>
          <x:t xml:space="preserve">VIKG</x:t>
        </x:is>
      </x:c>
    </x:row>
    <x:row r="114">
      <x:c r="A114" s="773" t="n">
        <x:v>1852</x:v>
      </x:c>
      <x:c r="B114" s="767" t="inlineStr">
        <x:is>
          <x:t xml:space="preserve">IMPREGTRÄ</x:t>
        </x:is>
      </x:c>
      <x:c r="C114" s="767" t="inlineStr">
        <x:is>
          <x:t xml:space="preserve">Impregnerat trä, bygg- o rivningsavfall</x:t>
        </x:is>
      </x:c>
      <x:c r="D114" s="767" t="inlineStr">
        <x:is>
          <x:t xml:space="preserve">RENH</x:t>
        </x:is>
      </x:c>
      <x:c r="E114" s="767" t="inlineStr">
        <x:is>
          <x:t xml:space="preserve">ÅVC</x:t>
        </x:is>
      </x:c>
      <x:c r="F114" s="767" t="n">
        <x:v>1</x:v>
      </x:c>
      <x:c r="G114" s="767" t="inlineStr">
        <x:is>
          <x:t xml:space="preserve">KVAN</x:t>
        </x:is>
      </x:c>
      <x:c r="H114" s="767" t="inlineStr">
        <x:is>
          <x:t xml:space="preserve">Impregnerat trä, bygg- o rivningsavfall</x:t>
        </x:is>
      </x:c>
      <x:c r="I114" s="767"/>
      <x:c r="J114" s="767"/>
      <x:c r="K114" s="767" t="n">
        <x:v>400</x:v>
      </x:c>
      <x:c r="L114" s="852" t="n">
        <x:v>45292</x:v>
      </x:c>
      <x:c r="M114" s="767" t="n">
        <x:v>0</x:v>
      </x:c>
      <x:c r="N114" s="767"/>
      <x:c r="O114" s="767" t="inlineStr">
        <x:is>
          <x:t xml:space="preserve">-</x:t>
        </x:is>
      </x:c>
      <x:c r="P114" s="767" t="n">
        <x:v>1</x:v>
      </x:c>
      <x:c r="Q114" s="774" t="inlineStr">
        <x:is>
          <x:t xml:space="preserve">KBMÖ</x:t>
        </x:is>
      </x:c>
    </x:row>
    <x:row r="115">
      <x:c r="A115" s="773" t="n">
        <x:v>1824</x:v>
      </x:c>
      <x:c r="B115" s="767" t="inlineStr">
        <x:is>
          <x:t xml:space="preserve">INVÄXTVERKS</x:t>
        </x:is>
      </x:c>
      <x:c r="C115" s="767" t="inlineStr">
        <x:is>
          <x:t xml:space="preserve">Invasiva växter från verksamheter</x:t>
        </x:is>
      </x:c>
      <x:c r="D115" s="767" t="inlineStr">
        <x:is>
          <x:t xml:space="preserve">RENH</x:t>
        </x:is>
      </x:c>
      <x:c r="E115" s="767" t="inlineStr">
        <x:is>
          <x:t xml:space="preserve">ÅVC</x:t>
        </x:is>
      </x:c>
      <x:c r="F115" s="767" t="n">
        <x:v>1</x:v>
      </x:c>
      <x:c r="G115" s="767" t="inlineStr">
        <x:is>
          <x:t xml:space="preserve">KVAN</x:t>
        </x:is>
      </x:c>
      <x:c r="H115" s="767" t="inlineStr">
        <x:is>
          <x:t xml:space="preserve">Invasiva växter från verksamheter</x:t>
        </x:is>
      </x:c>
      <x:c r="I115" s="767"/>
      <x:c r="J115" s="767"/>
      <x:c r="K115" s="767" t="n">
        <x:v>200</x:v>
      </x:c>
      <x:c r="L115" s="852" t="n">
        <x:v>45292</x:v>
      </x:c>
      <x:c r="M115" s="767" t="n">
        <x:v>0</x:v>
      </x:c>
      <x:c r="N115" s="767"/>
      <x:c r="O115" s="767" t="inlineStr">
        <x:is>
          <x:t xml:space="preserve">-</x:t>
        </x:is>
      </x:c>
      <x:c r="P115" s="767" t="n">
        <x:v>1</x:v>
      </x:c>
      <x:c r="Q115" s="774" t="inlineStr">
        <x:is>
          <x:t xml:space="preserve">ANTL</x:t>
        </x:is>
      </x:c>
    </x:row>
    <x:row r="116">
      <x:c r="A116" s="773" t="n">
        <x:v>1849</x:v>
      </x:c>
      <x:c r="B116" s="767" t="inlineStr">
        <x:is>
          <x:t xml:space="preserve">KOLSYREPATRON</x:t>
        </x:is>
      </x:c>
      <x:c r="C116" s="767" t="inlineStr">
        <x:is>
          <x:t xml:space="preserve">Kolsyrepatroner</x:t>
        </x:is>
      </x:c>
      <x:c r="D116" s="767" t="inlineStr">
        <x:is>
          <x:t xml:space="preserve">RENH</x:t>
        </x:is>
      </x:c>
      <x:c r="E116" s="767" t="inlineStr">
        <x:is>
          <x:t xml:space="preserve">ÅVC</x:t>
        </x:is>
      </x:c>
      <x:c r="F116" s="767" t="n">
        <x:v>1</x:v>
      </x:c>
      <x:c r="G116" s="767" t="inlineStr">
        <x:is>
          <x:t xml:space="preserve">KVAN</x:t>
        </x:is>
      </x:c>
      <x:c r="H116" s="767" t="inlineStr">
        <x:is>
          <x:t xml:space="preserve">Kolsyrepatroner</x:t>
        </x:is>
      </x:c>
      <x:c r="I116" s="767"/>
      <x:c r="J116" s="767"/>
      <x:c r="K116" s="767" t="n">
        <x:v>40</x:v>
      </x:c>
      <x:c r="L116" s="852" t="n">
        <x:v>45292</x:v>
      </x:c>
      <x:c r="M116" s="767" t="n">
        <x:v>0</x:v>
      </x:c>
      <x:c r="N116" s="767"/>
      <x:c r="O116" s="767" t="inlineStr">
        <x:is>
          <x:t xml:space="preserve">-</x:t>
        </x:is>
      </x:c>
      <x:c r="P116" s="767" t="n">
        <x:v>1</x:v>
      </x:c>
      <x:c r="Q116" s="774" t="inlineStr">
        <x:is>
          <x:t xml:space="preserve">VIKG</x:t>
        </x:is>
      </x:c>
    </x:row>
    <x:row r="117">
      <x:c r="A117" s="773" t="n">
        <x:v>1853</x:v>
      </x:c>
      <x:c r="B117" s="767" t="inlineStr">
        <x:is>
          <x:t xml:space="preserve">KVICKSILVER</x:t>
        </x:is>
      </x:c>
      <x:c r="C117" s="767" t="inlineStr">
        <x:is>
          <x:t xml:space="preserve">Kvicksilverinstrument/komponenter</x:t>
        </x:is>
      </x:c>
      <x:c r="D117" s="767" t="inlineStr">
        <x:is>
          <x:t xml:space="preserve">RENH</x:t>
        </x:is>
      </x:c>
      <x:c r="E117" s="767" t="inlineStr">
        <x:is>
          <x:t xml:space="preserve">ÅVC</x:t>
        </x:is>
      </x:c>
      <x:c r="F117" s="767" t="n">
        <x:v>1</x:v>
      </x:c>
      <x:c r="G117" s="767" t="inlineStr">
        <x:is>
          <x:t xml:space="preserve">KVAN</x:t>
        </x:is>
      </x:c>
      <x:c r="H117" s="767" t="inlineStr">
        <x:is>
          <x:t xml:space="preserve">Kvicksilverinstrument/komponenter</x:t>
        </x:is>
      </x:c>
      <x:c r="I117" s="767"/>
      <x:c r="J117" s="767"/>
      <x:c r="K117" s="767" t="n">
        <x:v>400</x:v>
      </x:c>
      <x:c r="L117" s="852" t="n">
        <x:v>45292</x:v>
      </x:c>
      <x:c r="M117" s="767" t="n">
        <x:v>0</x:v>
      </x:c>
      <x:c r="N117" s="767"/>
      <x:c r="O117" s="767" t="inlineStr">
        <x:is>
          <x:t xml:space="preserve">-</x:t>
        </x:is>
      </x:c>
      <x:c r="P117" s="767" t="n">
        <x:v>1</x:v>
      </x:c>
      <x:c r="Q117" s="774" t="inlineStr">
        <x:is>
          <x:t xml:space="preserve">VIKG</x:t>
        </x:is>
      </x:c>
    </x:row>
    <x:row r="118">
      <x:c r="A118" s="773" t="n">
        <x:v>1828</x:v>
      </x:c>
      <x:c r="B118" s="767" t="inlineStr">
        <x:is>
          <x:t xml:space="preserve">KYLDISKAR</x:t>
        </x:is>
      </x:c>
      <x:c r="C118" s="767" t="inlineStr">
        <x:is>
          <x:t xml:space="preserve">Kyldiskar och större kylmöbler</x:t>
        </x:is>
      </x:c>
      <x:c r="D118" s="767" t="inlineStr">
        <x:is>
          <x:t xml:space="preserve">RENH</x:t>
        </x:is>
      </x:c>
      <x:c r="E118" s="767" t="inlineStr">
        <x:is>
          <x:t xml:space="preserve">ÅVC</x:t>
        </x:is>
      </x:c>
      <x:c r="F118" s="767" t="n">
        <x:v>1</x:v>
      </x:c>
      <x:c r="G118" s="767" t="inlineStr">
        <x:is>
          <x:t xml:space="preserve">KVAN</x:t>
        </x:is>
      </x:c>
      <x:c r="H118" s="767" t="inlineStr">
        <x:is>
          <x:t xml:space="preserve">Kyldiskar och större kylmöbler</x:t>
        </x:is>
      </x:c>
      <x:c r="I118" s="767"/>
      <x:c r="J118" s="767"/>
      <x:c r="K118" s="767" t="n">
        <x:v>0</x:v>
      </x:c>
      <x:c r="L118" s="852" t="n">
        <x:v>45292</x:v>
      </x:c>
      <x:c r="M118" s="767" t="n">
        <x:v>0</x:v>
      </x:c>
      <x:c r="N118" s="767"/>
      <x:c r="O118" s="767" t="inlineStr">
        <x:is>
          <x:t xml:space="preserve">-</x:t>
        </x:is>
      </x:c>
      <x:c r="P118" s="767" t="n">
        <x:v>1</x:v>
      </x:c>
      <x:c r="Q118" s="774" t="inlineStr">
        <x:is>
          <x:t xml:space="preserve">ANTL</x:t>
        </x:is>
      </x:c>
    </x:row>
    <x:row r="119">
      <x:c r="A119" s="773" t="n">
        <x:v>1827</x:v>
      </x:c>
      <x:c r="B119" s="767" t="inlineStr">
        <x:is>
          <x:t xml:space="preserve">KYLMÖBLER</x:t>
        </x:is>
      </x:c>
      <x:c r="C119" s="767" t="inlineStr">
        <x:is>
          <x:t xml:space="preserve">Kylmöbler, mindre (60 cm x 60 cm)</x:t>
        </x:is>
      </x:c>
      <x:c r="D119" s="767" t="inlineStr">
        <x:is>
          <x:t xml:space="preserve">RENH</x:t>
        </x:is>
      </x:c>
      <x:c r="E119" s="767" t="inlineStr">
        <x:is>
          <x:t xml:space="preserve">ÅVC</x:t>
        </x:is>
      </x:c>
      <x:c r="F119" s="767" t="n">
        <x:v>1</x:v>
      </x:c>
      <x:c r="G119" s="767" t="inlineStr">
        <x:is>
          <x:t xml:space="preserve">KVAN</x:t>
        </x:is>
      </x:c>
      <x:c r="H119" s="767" t="inlineStr">
        <x:is>
          <x:t xml:space="preserve">Kylmöbler, mindre (60 cm x 60 cm)</x:t>
        </x:is>
      </x:c>
      <x:c r="I119" s="767"/>
      <x:c r="J119" s="767"/>
      <x:c r="K119" s="767" t="n">
        <x:v>0</x:v>
      </x:c>
      <x:c r="L119" s="852" t="n">
        <x:v>45292</x:v>
      </x:c>
      <x:c r="M119" s="767" t="n">
        <x:v>0</x:v>
      </x:c>
      <x:c r="N119" s="767"/>
      <x:c r="O119" s="767" t="inlineStr">
        <x:is>
          <x:t xml:space="preserve">-</x:t>
        </x:is>
      </x:c>
      <x:c r="P119" s="767" t="n">
        <x:v>1</x:v>
      </x:c>
      <x:c r="Q119" s="774" t="inlineStr">
        <x:is>
          <x:t xml:space="preserve">ANTL</x:t>
        </x:is>
      </x:c>
    </x:row>
    <x:row r="120">
      <x:c r="A120" s="773" t="n">
        <x:v>1772</x:v>
      </x:c>
      <x:c r="B120" s="767" t="inlineStr">
        <x:is>
          <x:t xml:space="preserve">KÄRLBYTE660</x:t>
        </x:is>
      </x:c>
      <x:c r="C120" s="767" t="inlineStr">
        <x:is>
          <x:t xml:space="preserve">Byte/återtag av behållare en extra gång 370–660 liter</x:t>
        </x:is>
      </x:c>
      <x:c r="D120" s="767" t="inlineStr">
        <x:is>
          <x:t xml:space="preserve">RENH</x:t>
        </x:is>
      </x:c>
      <x:c r="E120" s="767" t="inlineStr">
        <x:is>
          <x:t xml:space="preserve">HUSH</x:t>
        </x:is>
      </x:c>
      <x:c r="F120" s="767" t="n">
        <x:v>1</x:v>
      </x:c>
      <x:c r="G120" s="767" t="inlineStr">
        <x:is>
          <x:t xml:space="preserve">KVAN</x:t>
        </x:is>
      </x:c>
      <x:c r="H120" s="767" t="inlineStr">
        <x:is>
          <x:t xml:space="preserve">Byte/återtag av behållare en extra gång 370–660 liter</x:t>
        </x:is>
      </x:c>
      <x:c r="I120" s="767"/>
      <x:c r="J120" s="767"/>
      <x:c r="K120" s="767" t="n">
        <x:v>320</x:v>
      </x:c>
      <x:c r="L120" s="852" t="n">
        <x:v>45292</x:v>
      </x:c>
      <x:c r="M120" s="767" t="n">
        <x:v>0</x:v>
      </x:c>
      <x:c r="N120" s="767"/>
      <x:c r="O120" s="767" t="inlineStr">
        <x:is>
          <x:t xml:space="preserve">-</x:t>
        </x:is>
      </x:c>
      <x:c r="P120" s="767" t="n">
        <x:v>1</x:v>
      </x:c>
      <x:c r="Q120" s="774" t="inlineStr">
        <x:is>
          <x:t xml:space="preserve">ANTL</x:t>
        </x:is>
      </x:c>
    </x:row>
    <x:row r="121">
      <x:c r="A121" s="773" t="n">
        <x:v>1773</x:v>
      </x:c>
      <x:c r="B121" s="767" t="inlineStr">
        <x:is>
          <x:t xml:space="preserve">KÄRLBYTEFLER</x:t>
        </x:is>
      </x:c>
      <x:c r="C121" s="767" t="inlineStr">
        <x:is>
          <x:t xml:space="preserve">Ytterligare byte av kärl under kalenderåret</x:t>
        </x:is>
      </x:c>
      <x:c r="D121" s="767" t="inlineStr">
        <x:is>
          <x:t xml:space="preserve">RENH</x:t>
        </x:is>
      </x:c>
      <x:c r="E121" s="767" t="inlineStr">
        <x:is>
          <x:t xml:space="preserve">HUSH</x:t>
        </x:is>
      </x:c>
      <x:c r="F121" s="767" t="n">
        <x:v>1</x:v>
      </x:c>
      <x:c r="G121" s="767" t="inlineStr">
        <x:is>
          <x:t xml:space="preserve">KVAN</x:t>
        </x:is>
      </x:c>
      <x:c r="H121" s="767" t="inlineStr">
        <x:is>
          <x:t xml:space="preserve">Ytterligare byte av kärl under kalenderåret</x:t>
        </x:is>
      </x:c>
      <x:c r="I121" s="767"/>
      <x:c r="J121" s="767"/>
      <x:c r="K121" s="767" t="n">
        <x:v>480</x:v>
      </x:c>
      <x:c r="L121" s="852" t="n">
        <x:v>45292</x:v>
      </x:c>
      <x:c r="M121" s="767" t="n">
        <x:v>0</x:v>
      </x:c>
      <x:c r="N121" s="767"/>
      <x:c r="O121" s="767" t="inlineStr">
        <x:is>
          <x:t xml:space="preserve">-</x:t>
        </x:is>
      </x:c>
      <x:c r="P121" s="767" t="n">
        <x:v>1</x:v>
      </x:c>
      <x:c r="Q121" s="774" t="inlineStr">
        <x:is>
          <x:t xml:space="preserve">ANTL</x:t>
        </x:is>
      </x:c>
    </x:row>
    <x:row r="122">
      <x:c r="A122" s="773" t="n">
        <x:v>1796</x:v>
      </x:c>
      <x:c r="B122" s="767" t="inlineStr">
        <x:is>
          <x:t xml:space="preserve">LATRINBEHÅLL</x:t>
        </x:is>
      </x:c>
      <x:c r="C122" s="767" t="inlineStr">
        <x:is>
          <x:t xml:space="preserve">Mottagningsavgift latrin till ÅVC</x:t>
        </x:is>
      </x:c>
      <x:c r="D122" s="767" t="inlineStr">
        <x:is>
          <x:t xml:space="preserve">RENH</x:t>
        </x:is>
      </x:c>
      <x:c r="E122" s="767" t="inlineStr">
        <x:is>
          <x:t xml:space="preserve">HUSH</x:t>
        </x:is>
      </x:c>
      <x:c r="F122" s="767" t="n">
        <x:v>1</x:v>
      </x:c>
      <x:c r="G122" s="767" t="inlineStr">
        <x:is>
          <x:t xml:space="preserve">KVAN</x:t>
        </x:is>
      </x:c>
      <x:c r="H122" s="767" t="inlineStr">
        <x:is>
          <x:t xml:space="preserve">Mottagningsavgift latrin till ÅVC</x:t>
        </x:is>
      </x:c>
      <x:c r="I122" s="767"/>
      <x:c r="J122" s="767"/>
      <x:c r="K122" s="767" t="n">
        <x:v>800</x:v>
      </x:c>
      <x:c r="L122" s="852" t="n">
        <x:v>45292</x:v>
      </x:c>
      <x:c r="M122" s="767" t="n">
        <x:v>0</x:v>
      </x:c>
      <x:c r="N122" s="767"/>
      <x:c r="O122" s="767" t="inlineStr">
        <x:is>
          <x:t xml:space="preserve">-</x:t>
        </x:is>
      </x:c>
      <x:c r="P122" s="767" t="n">
        <x:v>1</x:v>
      </x:c>
      <x:c r="Q122" s="774" t="inlineStr">
        <x:is>
          <x:t xml:space="preserve">ANTL</x:t>
        </x:is>
      </x:c>
    </x:row>
    <x:row r="123">
      <x:c r="A123" s="773" t="n">
        <x:v>1797</x:v>
      </x:c>
      <x:c r="B123" s="767" t="inlineStr">
        <x:is>
          <x:t xml:space="preserve">LATRINBUD</x:t>
        </x:is>
      </x:c>
      <x:c r="C123" s="767" t="inlineStr">
        <x:is>
          <x:t xml:space="preserve">Budad hämtning, latrin i godkänd latrinbehållare</x:t>
        </x:is>
      </x:c>
      <x:c r="D123" s="767" t="inlineStr">
        <x:is>
          <x:t xml:space="preserve">RENH</x:t>
        </x:is>
      </x:c>
      <x:c r="E123" s="767" t="inlineStr">
        <x:is>
          <x:t xml:space="preserve">HUSH</x:t>
        </x:is>
      </x:c>
      <x:c r="F123" s="767" t="n">
        <x:v>1</x:v>
      </x:c>
      <x:c r="G123" s="767" t="inlineStr">
        <x:is>
          <x:t xml:space="preserve">KVAN</x:t>
        </x:is>
      </x:c>
      <x:c r="H123" s="767" t="inlineStr">
        <x:is>
          <x:t xml:space="preserve">Budad hämtning, latrin i godkänd latrinbehållare</x:t>
        </x:is>
      </x:c>
      <x:c r="I123" s="767"/>
      <x:c r="J123" s="767"/>
      <x:c r="K123" s="767" t="n">
        <x:v>800</x:v>
      </x:c>
      <x:c r="L123" s="852" t="n">
        <x:v>45292</x:v>
      </x:c>
      <x:c r="M123" s="767" t="n">
        <x:v>0</x:v>
      </x:c>
      <x:c r="N123" s="767"/>
      <x:c r="O123" s="767" t="inlineStr">
        <x:is>
          <x:t xml:space="preserve">-</x:t>
        </x:is>
      </x:c>
      <x:c r="P123" s="767" t="n">
        <x:v>1</x:v>
      </x:c>
      <x:c r="Q123" s="774" t="inlineStr">
        <x:is>
          <x:t xml:space="preserve">ANTL</x:t>
        </x:is>
      </x:c>
    </x:row>
    <x:row r="124">
      <x:c r="A124" s="773" t="n">
        <x:v>1798</x:v>
      </x:c>
      <x:c r="B124" s="767" t="inlineStr">
        <x:is>
          <x:t xml:space="preserve">LATRINKÖP</x:t>
        </x:is>
      </x:c>
      <x:c r="C124" s="767" t="inlineStr">
        <x:is>
          <x:t xml:space="preserve">Köp av godkänd latrinbehållare</x:t>
        </x:is>
      </x:c>
      <x:c r="D124" s="767" t="inlineStr">
        <x:is>
          <x:t xml:space="preserve">RENH</x:t>
        </x:is>
      </x:c>
      <x:c r="E124" s="767" t="inlineStr">
        <x:is>
          <x:t xml:space="preserve">HUSH</x:t>
        </x:is>
      </x:c>
      <x:c r="F124" s="767" t="n">
        <x:v>1</x:v>
      </x:c>
      <x:c r="G124" s="767" t="inlineStr">
        <x:is>
          <x:t xml:space="preserve">KVAN</x:t>
        </x:is>
      </x:c>
      <x:c r="H124" s="767" t="inlineStr">
        <x:is>
          <x:t xml:space="preserve">Köp av godkänd latrinbehållare</x:t>
        </x:is>
      </x:c>
      <x:c r="I124" s="767"/>
      <x:c r="J124" s="767"/>
      <x:c r="K124" s="767" t="n">
        <x:v>160</x:v>
      </x:c>
      <x:c r="L124" s="852" t="n">
        <x:v>45292</x:v>
      </x:c>
      <x:c r="M124" s="767" t="n">
        <x:v>0</x:v>
      </x:c>
      <x:c r="N124" s="767"/>
      <x:c r="O124" s="767" t="inlineStr">
        <x:is>
          <x:t xml:space="preserve">-</x:t>
        </x:is>
      </x:c>
      <x:c r="P124" s="767" t="n">
        <x:v>1</x:v>
      </x:c>
      <x:c r="Q124" s="774" t="inlineStr">
        <x:is>
          <x:t xml:space="preserve">ANTL</x:t>
        </x:is>
      </x:c>
    </x:row>
    <x:row r="125">
      <x:c r="A125" s="773" t="n">
        <x:v>1854</x:v>
      </x:c>
      <x:c r="B125" s="767" t="inlineStr">
        <x:is>
          <x:t xml:space="preserve">LÖSNINGSMEDEL</x:t>
        </x:is>
      </x:c>
      <x:c r="C125" s="767" t="inlineStr">
        <x:is>
          <x:t xml:space="preserve">Lösningsmedel och träolja</x:t>
        </x:is>
      </x:c>
      <x:c r="D125" s="767" t="inlineStr">
        <x:is>
          <x:t xml:space="preserve">RENH</x:t>
        </x:is>
      </x:c>
      <x:c r="E125" s="767" t="inlineStr">
        <x:is>
          <x:t xml:space="preserve">ÅVC</x:t>
        </x:is>
      </x:c>
      <x:c r="F125" s="767" t="n">
        <x:v>1</x:v>
      </x:c>
      <x:c r="G125" s="767" t="inlineStr">
        <x:is>
          <x:t xml:space="preserve">KVAN</x:t>
        </x:is>
      </x:c>
      <x:c r="H125" s="767" t="inlineStr">
        <x:is>
          <x:t xml:space="preserve">Lösningsmedel och träolja</x:t>
        </x:is>
      </x:c>
      <x:c r="I125" s="767"/>
      <x:c r="J125" s="767"/>
      <x:c r="K125" s="767" t="n">
        <x:v>10</x:v>
      </x:c>
      <x:c r="L125" s="852" t="n">
        <x:v>45292</x:v>
      </x:c>
      <x:c r="M125" s="767" t="n">
        <x:v>0</x:v>
      </x:c>
      <x:c r="N125" s="767"/>
      <x:c r="O125" s="767" t="inlineStr">
        <x:is>
          <x:t xml:space="preserve">-</x:t>
        </x:is>
      </x:c>
      <x:c r="P125" s="767" t="n">
        <x:v>1</x:v>
      </x:c>
      <x:c r="Q125" s="774" t="inlineStr">
        <x:is>
          <x:t xml:space="preserve">VIKG</x:t>
        </x:is>
      </x:c>
    </x:row>
    <x:row r="126">
      <x:c r="A126" s="773" t="n">
        <x:v>1870</x:v>
      </x:c>
      <x:c r="B126" s="767" t="inlineStr">
        <x:is>
          <x:t xml:space="preserve">MANUELLSORT</x:t>
        </x:is>
      </x:c>
      <x:c r="C126" s="767" t="inlineStr">
        <x:is>
          <x:t xml:space="preserve">Manuell sortering och hantering per person</x:t>
        </x:is>
      </x:c>
      <x:c r="D126" s="767" t="inlineStr">
        <x:is>
          <x:t xml:space="preserve">RENH</x:t>
        </x:is>
      </x:c>
      <x:c r="E126" s="767" t="inlineStr">
        <x:is>
          <x:t xml:space="preserve">ÅVC</x:t>
        </x:is>
      </x:c>
      <x:c r="F126" s="767" t="n">
        <x:v>1</x:v>
      </x:c>
      <x:c r="G126" s="767" t="inlineStr">
        <x:is>
          <x:t xml:space="preserve">KVAN</x:t>
        </x:is>
      </x:c>
      <x:c r="H126" s="767" t="inlineStr">
        <x:is>
          <x:t xml:space="preserve">Manuell sortering och hantering per person</x:t>
        </x:is>
      </x:c>
      <x:c r="I126" s="767"/>
      <x:c r="J126" s="767"/>
      <x:c r="K126" s="767" t="n">
        <x:v>500</x:v>
      </x:c>
      <x:c r="L126" s="852" t="n">
        <x:v>45292</x:v>
      </x:c>
      <x:c r="M126" s="767" t="n">
        <x:v>0</x:v>
      </x:c>
      <x:c r="N126" s="767"/>
      <x:c r="O126" s="767" t="inlineStr">
        <x:is>
          <x:t xml:space="preserve">-</x:t>
        </x:is>
      </x:c>
      <x:c r="P126" s="767" t="n">
        <x:v>1</x:v>
      </x:c>
      <x:c r="Q126" s="774" t="inlineStr">
        <x:is>
          <x:t xml:space="preserve">TIMT</x:t>
        </x:is>
      </x:c>
    </x:row>
    <x:row r="127">
      <x:c r="A127" s="773" t="n">
        <x:v>1866</x:v>
      </x:c>
      <x:c r="B127" s="767" t="inlineStr">
        <x:is>
          <x:t xml:space="preserve">METALLFÖRPFA</x:t>
        </x:is>
      </x:c>
      <x:c r="C127" s="767" t="inlineStr">
        <x:is>
          <x:t xml:space="preserve">Metallförpackningar med farlig fast/porös fyllning, tomma tryckbehållare</x:t>
        </x:is>
      </x:c>
      <x:c r="D127" s="767" t="inlineStr">
        <x:is>
          <x:t xml:space="preserve">RENH</x:t>
        </x:is>
      </x:c>
      <x:c r="E127" s="767" t="inlineStr">
        <x:is>
          <x:t xml:space="preserve">ÅVC</x:t>
        </x:is>
      </x:c>
      <x:c r="F127" s="767" t="n">
        <x:v>1</x:v>
      </x:c>
      <x:c r="G127" s="767" t="inlineStr">
        <x:is>
          <x:t xml:space="preserve">KVAN</x:t>
        </x:is>
      </x:c>
      <x:c r="H127" s="767" t="inlineStr">
        <x:is>
          <x:t xml:space="preserve">Metallförpackningar, farlig fast/porös fyllning, tryckbehåll</x:t>
        </x:is>
      </x:c>
      <x:c r="I127" s="767"/>
      <x:c r="J127" s="767"/>
      <x:c r="K127" s="767" t="n">
        <x:v>40</x:v>
      </x:c>
      <x:c r="L127" s="852" t="n">
        <x:v>45292</x:v>
      </x:c>
      <x:c r="M127" s="767" t="n">
        <x:v>0</x:v>
      </x:c>
      <x:c r="N127" s="767"/>
      <x:c r="O127" s="767" t="inlineStr">
        <x:is>
          <x:t xml:space="preserve">-</x:t>
        </x:is>
      </x:c>
      <x:c r="P127" s="767" t="n">
        <x:v>1</x:v>
      </x:c>
      <x:c r="Q127" s="774" t="inlineStr">
        <x:is>
          <x:t xml:space="preserve">VIKG</x:t>
        </x:is>
      </x:c>
    </x:row>
    <x:row r="128">
      <x:c r="A128" s="773" t="n">
        <x:v>1829</x:v>
      </x:c>
      <x:c r="B128" s="767" t="inlineStr">
        <x:is>
          <x:t xml:space="preserve">METALLSKROTREN</x:t>
        </x:is>
      </x:c>
      <x:c r="C128" s="767" t="inlineStr">
        <x:is>
          <x:t xml:space="preserve">Metallskrot, rent (vätskefritt, utan el)</x:t>
        </x:is>
      </x:c>
      <x:c r="D128" s="767" t="inlineStr">
        <x:is>
          <x:t xml:space="preserve">RENH</x:t>
        </x:is>
      </x:c>
      <x:c r="E128" s="767" t="inlineStr">
        <x:is>
          <x:t xml:space="preserve">ÅVC</x:t>
        </x:is>
      </x:c>
      <x:c r="F128" s="767" t="n">
        <x:v>1</x:v>
      </x:c>
      <x:c r="G128" s="767" t="inlineStr">
        <x:is>
          <x:t xml:space="preserve">KVAN</x:t>
        </x:is>
      </x:c>
      <x:c r="H128" s="767" t="inlineStr">
        <x:is>
          <x:t xml:space="preserve">Metallskrot, rent</x:t>
        </x:is>
      </x:c>
      <x:c r="I128" s="767"/>
      <x:c r="J128" s="767"/>
      <x:c r="K128" s="767" t="n">
        <x:v>0</x:v>
      </x:c>
      <x:c r="L128" s="852" t="n">
        <x:v>45292</x:v>
      </x:c>
      <x:c r="M128" s="767" t="n">
        <x:v>0</x:v>
      </x:c>
      <x:c r="N128" s="767"/>
      <x:c r="O128" s="767" t="inlineStr">
        <x:is>
          <x:t xml:space="preserve">-</x:t>
        </x:is>
      </x:c>
      <x:c r="P128" s="767" t="n">
        <x:v>1</x:v>
      </x:c>
      <x:c r="Q128" s="774" t="inlineStr">
        <x:is>
          <x:t xml:space="preserve">KBMÖ</x:t>
        </x:is>
      </x:c>
    </x:row>
    <x:row r="129">
      <x:c r="A129" s="773" t="n">
        <x:v>1939</x:v>
      </x:c>
      <x:c r="B129" s="767" t="inlineStr">
        <x:is>
          <x:t xml:space="preserve">MOBGEMFRI</x:t>
        </x:is>
      </x:c>
      <x:c r="C129" s="767" t="inlineStr">
        <x:is>
          <x:t xml:space="preserve">Mobilnyckel Gemensam uppsamlingsplats, fritidshus</x:t>
        </x:is>
      </x:c>
      <x:c r="D129" s="767" t="inlineStr">
        <x:is>
          <x:t xml:space="preserve">RENH</x:t>
        </x:is>
      </x:c>
      <x:c r="E129" s="767" t="inlineStr">
        <x:is>
          <x:t xml:space="preserve">HUSH</x:t>
        </x:is>
      </x:c>
      <x:c r="F129" s="767" t="n">
        <x:v>1</x:v>
      </x:c>
      <x:c r="G129" s="767" t="inlineStr">
        <x:is>
          <x:t xml:space="preserve">ÅRKV</x:t>
        </x:is>
      </x:c>
      <x:c r="H129" s="767" t="inlineStr">
        <x:is>
          <x:t xml:space="preserve">Mobilnyckel Gemensam uppsamlingsplats, mat- och restavfall</x:t>
        </x:is>
      </x:c>
      <x:c r="I129" s="767"/>
      <x:c r="J129" s="767"/>
      <x:c r="K129" s="767" t="n">
        <x:v>0</x:v>
      </x:c>
      <x:c r="L129" s="852" t="n">
        <x:v>45292</x:v>
      </x:c>
      <x:c r="M129" s="767" t="n">
        <x:v>0</x:v>
      </x:c>
      <x:c r="N129" s="767"/>
      <x:c r="O129" s="767" t="inlineStr">
        <x:is>
          <x:t xml:space="preserve">-</x:t>
        </x:is>
      </x:c>
      <x:c r="P129" s="767" t="n">
        <x:v>1</x:v>
      </x:c>
      <x:c r="Q129" s="774" t="inlineStr">
        <x:is>
          <x:t xml:space="preserve">ANTL, MAX1</x:t>
        </x:is>
      </x:c>
    </x:row>
    <x:row r="130">
      <x:c r="A130" s="773" t="n">
        <x:v>1940</x:v>
      </x:c>
      <x:c r="B130" s="767" t="inlineStr">
        <x:is>
          <x:t xml:space="preserve">MOBGEMFRI</x:t>
        </x:is>
      </x:c>
      <x:c r="C130" s="767" t="inlineStr">
        <x:is>
          <x:t xml:space="preserve">Mobilnyckel Gemensam uppsamlingsplats, fritidshus</x:t>
        </x:is>
      </x:c>
      <x:c r="D130" s="767" t="inlineStr">
        <x:is>
          <x:t xml:space="preserve">RENH</x:t>
        </x:is>
      </x:c>
      <x:c r="E130" s="767" t="inlineStr">
        <x:is>
          <x:t xml:space="preserve">HUSH</x:t>
        </x:is>
      </x:c>
      <x:c r="F130" s="767" t="n">
        <x:v>2</x:v>
      </x:c>
      <x:c r="G130" s="767" t="inlineStr">
        <x:is>
          <x:t xml:space="preserve">ÅRKV</x:t>
        </x:is>
      </x:c>
      <x:c r="H130" s="767" t="inlineStr">
        <x:is>
          <x:t xml:space="preserve">Extra mobilnyckel</x:t>
        </x:is>
      </x:c>
      <x:c r="I130" s="767"/>
      <x:c r="J130" s="767"/>
      <x:c r="K130" s="767" t="n">
        <x:v>80</x:v>
      </x:c>
      <x:c r="L130" s="852" t="n">
        <x:v>45292</x:v>
      </x:c>
      <x:c r="M130" s="767" t="n">
        <x:v>0</x:v>
      </x:c>
      <x:c r="N130" s="767"/>
      <x:c r="O130" s="767" t="inlineStr">
        <x:is>
          <x:t xml:space="preserve">-</x:t>
        </x:is>
      </x:c>
      <x:c r="P130" s="767" t="n">
        <x:v>1</x:v>
      </x:c>
      <x:c r="Q130" s="774" t="inlineStr">
        <x:is>
          <x:t xml:space="preserve">ANTL-1,MIN0</x:t>
        </x:is>
      </x:c>
    </x:row>
    <x:row r="131">
      <x:c r="A131" s="773" t="n">
        <x:v>1855</x:v>
      </x:c>
      <x:c r="B131" s="767" t="inlineStr">
        <x:is>
          <x:t xml:space="preserve">OLJEFILTER</x:t>
        </x:is>
      </x:c>
      <x:c r="C131" s="767" t="inlineStr">
        <x:is>
          <x:t xml:space="preserve">Oljefilter</x:t>
        </x:is>
      </x:c>
      <x:c r="D131" s="767" t="inlineStr">
        <x:is>
          <x:t xml:space="preserve">RENH</x:t>
        </x:is>
      </x:c>
      <x:c r="E131" s="767" t="inlineStr">
        <x:is>
          <x:t xml:space="preserve">ÅVC</x:t>
        </x:is>
      </x:c>
      <x:c r="F131" s="767" t="n">
        <x:v>1</x:v>
      </x:c>
      <x:c r="G131" s="767" t="inlineStr">
        <x:is>
          <x:t xml:space="preserve">KVAN</x:t>
        </x:is>
      </x:c>
      <x:c r="H131" s="767" t="inlineStr">
        <x:is>
          <x:t xml:space="preserve">Oljefilter</x:t>
        </x:is>
      </x:c>
      <x:c r="I131" s="767"/>
      <x:c r="J131" s="767"/>
      <x:c r="K131" s="767" t="n">
        <x:v>10</x:v>
      </x:c>
      <x:c r="L131" s="852" t="n">
        <x:v>45292</x:v>
      </x:c>
      <x:c r="M131" s="767" t="n">
        <x:v>0</x:v>
      </x:c>
      <x:c r="N131" s="767"/>
      <x:c r="O131" s="767" t="inlineStr">
        <x:is>
          <x:t xml:space="preserve">-</x:t>
        </x:is>
      </x:c>
      <x:c r="P131" s="767" t="n">
        <x:v>1</x:v>
      </x:c>
      <x:c r="Q131" s="774" t="inlineStr">
        <x:is>
          <x:t xml:space="preserve">VIKG</x:t>
        </x:is>
      </x:c>
    </x:row>
    <x:row r="132">
      <x:c r="A132" s="773" t="n">
        <x:v>1857</x:v>
      </x:c>
      <x:c r="B132" s="767" t="inlineStr">
        <x:is>
          <x:t xml:space="preserve">RENGÖRINGBIL</x:t>
        </x:is>
      </x:c>
      <x:c r="C132" s="767" t="inlineStr">
        <x:is>
          <x:t xml:space="preserve">Rengöringsmedel samt bilvårdsprodukter</x:t>
        </x:is>
      </x:c>
      <x:c r="D132" s="767" t="inlineStr">
        <x:is>
          <x:t xml:space="preserve">RENH</x:t>
        </x:is>
      </x:c>
      <x:c r="E132" s="767" t="inlineStr">
        <x:is>
          <x:t xml:space="preserve">ÅVC</x:t>
        </x:is>
      </x:c>
      <x:c r="F132" s="767" t="n">
        <x:v>1</x:v>
      </x:c>
      <x:c r="G132" s="767" t="inlineStr">
        <x:is>
          <x:t xml:space="preserve">KVAN</x:t>
        </x:is>
      </x:c>
      <x:c r="H132" s="767" t="inlineStr">
        <x:is>
          <x:t xml:space="preserve">Rengöringsmedel samt bilvårdsprodukter</x:t>
        </x:is>
      </x:c>
      <x:c r="I132" s="767"/>
      <x:c r="J132" s="767"/>
      <x:c r="K132" s="767" t="n">
        <x:v>25</x:v>
      </x:c>
      <x:c r="L132" s="852" t="n">
        <x:v>45292</x:v>
      </x:c>
      <x:c r="M132" s="767" t="n">
        <x:v>0</x:v>
      </x:c>
      <x:c r="N132" s="767"/>
      <x:c r="O132" s="767" t="inlineStr">
        <x:is>
          <x:t xml:space="preserve">-</x:t>
        </x:is>
      </x:c>
      <x:c r="P132" s="767" t="n">
        <x:v>1</x:v>
      </x:c>
      <x:c r="Q132" s="774" t="inlineStr">
        <x:is>
          <x:t xml:space="preserve">VIKG</x:t>
        </x:is>
      </x:c>
    </x:row>
    <x:row r="133">
      <x:c r="A133" s="773" t="n">
        <x:v>1731</x:v>
      </x:c>
      <x:c r="B133" s="767" t="inlineStr">
        <x:is>
          <x:t xml:space="preserve">SLBUDFOS</x:t>
        </x:is>
      </x:c>
      <x:c r="C133" s="767" t="inlineStr">
        <x:is>
          <x:t xml:space="preserve">Tillägg budad tömning inom 7 dagar, fosforfilter</x:t>
        </x:is>
      </x:c>
      <x:c r="D133" s="767" t="inlineStr">
        <x:is>
          <x:t xml:space="preserve">RENH</x:t>
        </x:is>
      </x:c>
      <x:c r="E133" s="767" t="inlineStr">
        <x:is>
          <x:t xml:space="preserve">SLAM</x:t>
        </x:is>
      </x:c>
      <x:c r="F133" s="767" t="n">
        <x:v>1</x:v>
      </x:c>
      <x:c r="G133" s="767" t="inlineStr">
        <x:is>
          <x:t xml:space="preserve">KVAN</x:t>
        </x:is>
      </x:c>
      <x:c r="H133" s="767" t="inlineStr">
        <x:is>
          <x:t xml:space="preserve">Tillägg budad tömning</x:t>
        </x:is>
      </x:c>
      <x:c r="I133" s="767"/>
      <x:c r="J133" s="767"/>
      <x:c r="K133" s="767" t="n">
        <x:v>2400</x:v>
      </x:c>
      <x:c r="L133" s="852" t="n">
        <x:v>45292</x:v>
      </x:c>
      <x:c r="M133" s="767" t="n">
        <x:v>0</x:v>
      </x:c>
      <x:c r="N133" s="767"/>
      <x:c r="O133" s="767" t="inlineStr">
        <x:is>
          <x:t xml:space="preserve">-</x:t>
        </x:is>
      </x:c>
      <x:c r="P133" s="767" t="n">
        <x:v>1</x:v>
      </x:c>
      <x:c r="Q133" s="774" t="inlineStr">
        <x:is>
          <x:t xml:space="preserve">ANTL</x:t>
        </x:is>
      </x:c>
    </x:row>
    <x:row r="134">
      <x:c r="A134" s="773" t="n">
        <x:v>1733</x:v>
      </x:c>
      <x:c r="B134" s="767" t="inlineStr">
        <x:is>
          <x:t xml:space="preserve">SLKBM3</x:t>
        </x:is>
      </x:c>
      <x:c r="C134" s="767" t="inlineStr">
        <x:is>
          <x:t xml:space="preserve">Tömning BDT-vatten tillägg över 3 m³</x:t>
        </x:is>
      </x:c>
      <x:c r="D134" s="767" t="inlineStr">
        <x:is>
          <x:t xml:space="preserve">RENH</x:t>
        </x:is>
      </x:c>
      <x:c r="E134" s="767" t="inlineStr">
        <x:is>
          <x:t xml:space="preserve">SLAM</x:t>
        </x:is>
      </x:c>
      <x:c r="F134" s="767" t="n">
        <x:v>1</x:v>
      </x:c>
      <x:c r="G134" s="767" t="inlineStr">
        <x:is>
          <x:t xml:space="preserve">KVAN</x:t>
        </x:is>
      </x:c>
      <x:c r="H134" s="767" t="inlineStr">
        <x:is>
          <x:t xml:space="preserve">Tillägg över 3 m³</x:t>
        </x:is>
      </x:c>
      <x:c r="I134" s="767"/>
      <x:c r="J134" s="767"/>
      <x:c r="K134" s="767" t="n">
        <x:v>212</x:v>
      </x:c>
      <x:c r="L134" s="852" t="n">
        <x:v>45292</x:v>
      </x:c>
      <x:c r="M134" s="767" t="n">
        <x:v>0</x:v>
      </x:c>
      <x:c r="N134" s="767"/>
      <x:c r="O134" s="767" t="inlineStr">
        <x:is>
          <x:t xml:space="preserve">-</x:t>
        </x:is>
      </x:c>
      <x:c r="P134" s="767" t="n">
        <x:v>1</x:v>
      </x:c>
      <x:c r="Q134" s="774" t="inlineStr">
        <x:is>
          <x:t xml:space="preserve">KBMS</x:t>
        </x:is>
      </x:c>
    </x:row>
    <x:row r="135">
      <x:c r="A135" s="773" t="n">
        <x:v>1732</x:v>
      </x:c>
      <x:c r="B135" s="767" t="inlineStr">
        <x:is>
          <x:t xml:space="preserve">SLSTATISTIK</x:t>
        </x:is>
      </x:c>
      <x:c r="C135" s="767" t="inlineStr">
        <x:is>
          <x:t xml:space="preserve">Statistik vikt slam</x:t>
        </x:is>
      </x:c>
      <x:c r="D135" s="767" t="inlineStr">
        <x:is>
          <x:t xml:space="preserve">RENH</x:t>
        </x:is>
      </x:c>
      <x:c r="E135" s="767" t="inlineStr">
        <x:is>
          <x:t xml:space="preserve">SLAM</x:t>
        </x:is>
      </x:c>
      <x:c r="F135" s="767" t="n">
        <x:v>1</x:v>
      </x:c>
      <x:c r="G135" s="767" t="inlineStr">
        <x:is>
          <x:t xml:space="preserve">KVAN</x:t>
        </x:is>
      </x:c>
      <x:c r="H135" s="767" t="inlineStr">
        <x:is>
          <x:t xml:space="preserve">Statistik vikt slam</x:t>
        </x:is>
      </x:c>
      <x:c r="I135" s="767"/>
      <x:c r="J135" s="767"/>
      <x:c r="K135" s="767" t="n">
        <x:v>0</x:v>
      </x:c>
      <x:c r="L135" s="852" t="n">
        <x:v>45292</x:v>
      </x:c>
      <x:c r="M135" s="767" t="n">
        <x:v>0</x:v>
      </x:c>
      <x:c r="N135" s="767"/>
      <x:c r="O135" s="767" t="inlineStr">
        <x:is>
          <x:t xml:space="preserve">-</x:t>
        </x:is>
      </x:c>
      <x:c r="P135" s="767" t="n">
        <x:v>1</x:v>
      </x:c>
      <x:c r="Q135" s="774" t="inlineStr">
        <x:is>
          <x:t xml:space="preserve">VIKG</x:t>
        </x:is>
      </x:c>
    </x:row>
    <x:row r="136">
      <x:c r="A136" s="773" t="n">
        <x:v>1861</x:v>
      </x:c>
      <x:c r="B136" s="767" t="inlineStr">
        <x:is>
          <x:t xml:space="preserve">SMÅKEM</x:t>
        </x:is>
      </x:c>
      <x:c r="C136" s="767" t="inlineStr">
        <x:is>
          <x:t xml:space="preserve">Småkemikalier</x:t>
        </x:is>
      </x:c>
      <x:c r="D136" s="767" t="inlineStr">
        <x:is>
          <x:t xml:space="preserve">RENH</x:t>
        </x:is>
      </x:c>
      <x:c r="E136" s="767" t="inlineStr">
        <x:is>
          <x:t xml:space="preserve">ÅVC</x:t>
        </x:is>
      </x:c>
      <x:c r="F136" s="767" t="n">
        <x:v>1</x:v>
      </x:c>
      <x:c r="G136" s="767" t="inlineStr">
        <x:is>
          <x:t xml:space="preserve">KVAN</x:t>
        </x:is>
      </x:c>
      <x:c r="H136" s="767" t="inlineStr">
        <x:is>
          <x:t xml:space="preserve">Småkemikalier</x:t>
        </x:is>
      </x:c>
      <x:c r="I136" s="767"/>
      <x:c r="J136" s="767"/>
      <x:c r="K136" s="767" t="n">
        <x:v>100</x:v>
      </x:c>
      <x:c r="L136" s="852" t="n">
        <x:v>45292</x:v>
      </x:c>
      <x:c r="M136" s="767" t="n">
        <x:v>0</x:v>
      </x:c>
      <x:c r="N136" s="767"/>
      <x:c r="O136" s="767" t="inlineStr">
        <x:is>
          <x:t xml:space="preserve">-</x:t>
        </x:is>
      </x:c>
      <x:c r="P136" s="767" t="n">
        <x:v>1</x:v>
      </x:c>
      <x:c r="Q136" s="774" t="inlineStr">
        <x:is>
          <x:t xml:space="preserve">VIKG</x:t>
        </x:is>
      </x:c>
    </x:row>
    <x:row r="137">
      <x:c r="A137" s="773" t="n">
        <x:v>1862</x:v>
      </x:c>
      <x:c r="B137" s="767" t="inlineStr">
        <x:is>
          <x:t xml:space="preserve">SMÖRJFETT</x:t>
        </x:is>
      </x:c>
      <x:c r="C137" s="767" t="inlineStr">
        <x:is>
          <x:t xml:space="preserve">Smörjfett/oljor</x:t>
        </x:is>
      </x:c>
      <x:c r="D137" s="767" t="inlineStr">
        <x:is>
          <x:t xml:space="preserve">RENH</x:t>
        </x:is>
      </x:c>
      <x:c r="E137" s="767" t="inlineStr">
        <x:is>
          <x:t xml:space="preserve">ÅVC</x:t>
        </x:is>
      </x:c>
      <x:c r="F137" s="767" t="n">
        <x:v>1</x:v>
      </x:c>
      <x:c r="G137" s="767" t="inlineStr">
        <x:is>
          <x:t xml:space="preserve">KVAN</x:t>
        </x:is>
      </x:c>
      <x:c r="H137" s="767" t="inlineStr">
        <x:is>
          <x:t xml:space="preserve">Smörjfett/oljor</x:t>
        </x:is>
      </x:c>
      <x:c r="I137" s="767"/>
      <x:c r="J137" s="767"/>
      <x:c r="K137" s="767" t="n">
        <x:v>25</x:v>
      </x:c>
      <x:c r="L137" s="852" t="n">
        <x:v>45292</x:v>
      </x:c>
      <x:c r="M137" s="767" t="n">
        <x:v>0</x:v>
      </x:c>
      <x:c r="N137" s="767"/>
      <x:c r="O137" s="767" t="inlineStr">
        <x:is>
          <x:t xml:space="preserve">-</x:t>
        </x:is>
      </x:c>
      <x:c r="P137" s="767" t="n">
        <x:v>1</x:v>
      </x:c>
      <x:c r="Q137" s="774" t="inlineStr">
        <x:is>
          <x:t xml:space="preserve">VIKG</x:t>
        </x:is>
      </x:c>
    </x:row>
    <x:row r="138">
      <x:c r="A138" s="773" t="n">
        <x:v>1830</x:v>
      </x:c>
      <x:c r="B138" s="767" t="inlineStr">
        <x:is>
          <x:t xml:space="preserve">SORTERING</x:t>
        </x:is>
      </x:c>
      <x:c r="C138" s="767" t="inlineStr">
        <x:is>
          <x:t xml:space="preserve">Sortering, sanering mm. Timtid</x:t>
        </x:is>
      </x:c>
      <x:c r="D138" s="767" t="inlineStr">
        <x:is>
          <x:t xml:space="preserve">RENH</x:t>
        </x:is>
      </x:c>
      <x:c r="E138" s="767" t="inlineStr">
        <x:is>
          <x:t xml:space="preserve">ÅVC</x:t>
        </x:is>
      </x:c>
      <x:c r="F138" s="767" t="n">
        <x:v>1</x:v>
      </x:c>
      <x:c r="G138" s="767" t="inlineStr">
        <x:is>
          <x:t xml:space="preserve">KVAN</x:t>
        </x:is>
      </x:c>
      <x:c r="H138" s="767" t="inlineStr">
        <x:is>
          <x:t xml:space="preserve">Metallskrot, rent. Timtid</x:t>
        </x:is>
      </x:c>
      <x:c r="I138" s="767"/>
      <x:c r="J138" s="767"/>
      <x:c r="K138" s="767" t="n">
        <x:v>500</x:v>
      </x:c>
      <x:c r="L138" s="852" t="n">
        <x:v>45292</x:v>
      </x:c>
      <x:c r="M138" s="767" t="n">
        <x:v>0</x:v>
      </x:c>
      <x:c r="N138" s="767"/>
      <x:c r="O138" s="767" t="inlineStr">
        <x:is>
          <x:t xml:space="preserve">-</x:t>
        </x:is>
      </x:c>
      <x:c r="P138" s="767" t="n">
        <x:v>1</x:v>
      </x:c>
      <x:c r="Q138" s="774" t="inlineStr">
        <x:is>
          <x:t xml:space="preserve">TIMT</x:t>
        </x:is>
      </x:c>
    </x:row>
    <x:row r="139">
      <x:c r="A139" s="773" t="n">
        <x:v>1858</x:v>
      </x:c>
      <x:c r="B139" s="767" t="inlineStr">
        <x:is>
          <x:t xml:space="preserve">SPACKEL</x:t>
        </x:is>
      </x:c>
      <x:c r="C139" s="767" t="inlineStr">
        <x:is>
          <x:t xml:space="preserve">Spackel och fönsterkitt</x:t>
        </x:is>
      </x:c>
      <x:c r="D139" s="767" t="inlineStr">
        <x:is>
          <x:t xml:space="preserve">RENH</x:t>
        </x:is>
      </x:c>
      <x:c r="E139" s="767" t="inlineStr">
        <x:is>
          <x:t xml:space="preserve">ÅVC</x:t>
        </x:is>
      </x:c>
      <x:c r="F139" s="767" t="n">
        <x:v>1</x:v>
      </x:c>
      <x:c r="G139" s="767" t="inlineStr">
        <x:is>
          <x:t xml:space="preserve">KVAN</x:t>
        </x:is>
      </x:c>
      <x:c r="H139" s="767" t="inlineStr">
        <x:is>
          <x:t xml:space="preserve">Spackel och fönsterkitt</x:t>
        </x:is>
      </x:c>
      <x:c r="I139" s="767"/>
      <x:c r="J139" s="767"/>
      <x:c r="K139" s="767" t="n">
        <x:v>25</x:v>
      </x:c>
      <x:c r="L139" s="852" t="n">
        <x:v>45292</x:v>
      </x:c>
      <x:c r="M139" s="767" t="n">
        <x:v>0</x:v>
      </x:c>
      <x:c r="N139" s="767"/>
      <x:c r="O139" s="767" t="inlineStr">
        <x:is>
          <x:t xml:space="preserve">-</x:t>
        </x:is>
      </x:c>
      <x:c r="P139" s="767" t="n">
        <x:v>1</x:v>
      </x:c>
      <x:c r="Q139" s="774" t="inlineStr">
        <x:is>
          <x:t xml:space="preserve">VIKG</x:t>
        </x:is>
      </x:c>
    </x:row>
    <x:row r="140">
      <x:c r="A140" s="773" t="n">
        <x:v>1867</x:v>
      </x:c>
      <x:c r="B140" s="767" t="inlineStr">
        <x:is>
          <x:t xml:space="preserve">SPILLOLJA</x:t>
        </x:is>
      </x:c>
      <x:c r="C140" s="767" t="inlineStr">
        <x:is>
          <x:t xml:space="preserve">Spillolja</x:t>
        </x:is>
      </x:c>
      <x:c r="D140" s="767" t="inlineStr">
        <x:is>
          <x:t xml:space="preserve">RENH</x:t>
        </x:is>
      </x:c>
      <x:c r="E140" s="767" t="inlineStr">
        <x:is>
          <x:t xml:space="preserve">ÅVC</x:t>
        </x:is>
      </x:c>
      <x:c r="F140" s="767" t="n">
        <x:v>1</x:v>
      </x:c>
      <x:c r="G140" s="767" t="inlineStr">
        <x:is>
          <x:t xml:space="preserve">KVAN</x:t>
        </x:is>
      </x:c>
      <x:c r="H140" s="767" t="inlineStr">
        <x:is>
          <x:t xml:space="preserve">Spillolja</x:t>
        </x:is>
      </x:c>
      <x:c r="I140" s="767"/>
      <x:c r="J140" s="767"/>
      <x:c r="K140" s="767" t="n">
        <x:v>10</x:v>
      </x:c>
      <x:c r="L140" s="852" t="n">
        <x:v>45292</x:v>
      </x:c>
      <x:c r="M140" s="767" t="n">
        <x:v>0</x:v>
      </x:c>
      <x:c r="N140" s="767"/>
      <x:c r="O140" s="767" t="inlineStr">
        <x:is>
          <x:t xml:space="preserve">-</x:t>
        </x:is>
      </x:c>
      <x:c r="P140" s="767" t="n">
        <x:v>1</x:v>
      </x:c>
      <x:c r="Q140" s="774" t="inlineStr">
        <x:is>
          <x:t xml:space="preserve">LITE</x:t>
        </x:is>
      </x:c>
    </x:row>
    <x:row r="141">
      <x:c r="A141" s="773" t="n">
        <x:v>1846</x:v>
      </x:c>
      <x:c r="B141" s="767" t="inlineStr">
        <x:is>
          <x:t xml:space="preserve">SYROR</x:t>
        </x:is>
      </x:c>
      <x:c r="C141" s="767" t="inlineStr">
        <x:is>
          <x:t xml:space="preserve">Syror eller basiskt avfall</x:t>
        </x:is>
      </x:c>
      <x:c r="D141" s="767" t="inlineStr">
        <x:is>
          <x:t xml:space="preserve">RENH</x:t>
        </x:is>
      </x:c>
      <x:c r="E141" s="767" t="inlineStr">
        <x:is>
          <x:t xml:space="preserve">ÅVC</x:t>
        </x:is>
      </x:c>
      <x:c r="F141" s="767" t="n">
        <x:v>1</x:v>
      </x:c>
      <x:c r="G141" s="767" t="inlineStr">
        <x:is>
          <x:t xml:space="preserve">KVAN</x:t>
        </x:is>
      </x:c>
      <x:c r="H141" s="767" t="inlineStr">
        <x:is>
          <x:t xml:space="preserve">Syror eller basiskt avfall</x:t>
        </x:is>
      </x:c>
      <x:c r="I141" s="767"/>
      <x:c r="J141" s="767"/>
      <x:c r="K141" s="767" t="n">
        <x:v>25</x:v>
      </x:c>
      <x:c r="L141" s="852" t="n">
        <x:v>45292</x:v>
      </x:c>
      <x:c r="M141" s="767" t="n">
        <x:v>0</x:v>
      </x:c>
      <x:c r="N141" s="767"/>
      <x:c r="O141" s="767" t="inlineStr">
        <x:is>
          <x:t xml:space="preserve">-</x:t>
        </x:is>
      </x:c>
      <x:c r="P141" s="767" t="n">
        <x:v>1</x:v>
      </x:c>
      <x:c r="Q141" s="774" t="inlineStr">
        <x:is>
          <x:t xml:space="preserve">VIKG</x:t>
        </x:is>
      </x:c>
    </x:row>
    <x:row r="142">
      <x:c r="A142" s="773" t="n">
        <x:v>1761</x:v>
      </x:c>
      <x:c r="B142" s="767" t="inlineStr">
        <x:is>
          <x:t xml:space="preserve">SÄ140MABUD</x:t>
        </x:is>
      </x:c>
      <x:c r="C142" s="767" t="inlineStr">
        <x:is>
          <x:t xml:space="preserve">Budad hämtning, 140 L pappersäck matavfall</x:t>
        </x:is>
      </x:c>
      <x:c r="D142" s="767" t="inlineStr">
        <x:is>
          <x:t xml:space="preserve">RENH</x:t>
        </x:is>
      </x:c>
      <x:c r="E142" s="767" t="inlineStr">
        <x:is>
          <x:t xml:space="preserve">HUSH</x:t>
        </x:is>
      </x:c>
      <x:c r="F142" s="767" t="n">
        <x:v>1</x:v>
      </x:c>
      <x:c r="G142" s="767" t="inlineStr">
        <x:is>
          <x:t xml:space="preserve">KVAN</x:t>
        </x:is>
      </x:c>
      <x:c r="H142" s="767" t="inlineStr">
        <x:is>
          <x:t xml:space="preserve">Budad hämtning, 140 L pappersäck matavfall</x:t>
        </x:is>
      </x:c>
      <x:c r="I142" s="767"/>
      <x:c r="J142" s="767"/>
      <x:c r="K142" s="767" t="n">
        <x:v>160</x:v>
      </x:c>
      <x:c r="L142" s="852" t="n">
        <x:v>45292</x:v>
      </x:c>
      <x:c r="M142" s="767" t="n">
        <x:v>0</x:v>
      </x:c>
      <x:c r="N142" s="767"/>
      <x:c r="O142" s="767" t="inlineStr">
        <x:is>
          <x:t xml:space="preserve">-</x:t>
        </x:is>
      </x:c>
      <x:c r="P142" s="767" t="n">
        <x:v>1</x:v>
      </x:c>
      <x:c r="Q142" s="774" t="inlineStr">
        <x:is>
          <x:t xml:space="preserve">ANTL</x:t>
        </x:is>
      </x:c>
    </x:row>
    <x:row r="143">
      <x:c r="A143" s="773" t="n">
        <x:v>1762</x:v>
      </x:c>
      <x:c r="B143" s="767" t="inlineStr">
        <x:is>
          <x:t xml:space="preserve">SÄ160REBUD</x:t>
        </x:is>
      </x:c>
      <x:c r="C143" s="767" t="inlineStr">
        <x:is>
          <x:t xml:space="preserve">Budad hämtning, 160 L säck restavfall</x:t>
        </x:is>
      </x:c>
      <x:c r="D143" s="767" t="inlineStr">
        <x:is>
          <x:t xml:space="preserve">RENH</x:t>
        </x:is>
      </x:c>
      <x:c r="E143" s="767" t="inlineStr">
        <x:is>
          <x:t xml:space="preserve">HUSH</x:t>
        </x:is>
      </x:c>
      <x:c r="F143" s="767" t="n">
        <x:v>1</x:v>
      </x:c>
      <x:c r="G143" s="767" t="inlineStr">
        <x:is>
          <x:t xml:space="preserve">KVAN</x:t>
        </x:is>
      </x:c>
      <x:c r="H143" s="767" t="inlineStr">
        <x:is>
          <x:t xml:space="preserve">Budad hämtning, 160 L säck restavfall</x:t>
        </x:is>
      </x:c>
      <x:c r="I143" s="767"/>
      <x:c r="J143" s="767"/>
      <x:c r="K143" s="767" t="n">
        <x:v>160</x:v>
      </x:c>
      <x:c r="L143" s="852" t="n">
        <x:v>45292</x:v>
      </x:c>
      <x:c r="M143" s="767" t="n">
        <x:v>0</x:v>
      </x:c>
      <x:c r="N143" s="767"/>
      <x:c r="O143" s="767" t="inlineStr">
        <x:is>
          <x:t xml:space="preserve">-</x:t>
        </x:is>
      </x:c>
      <x:c r="P143" s="767" t="n">
        <x:v>1</x:v>
      </x:c>
      <x:c r="Q143" s="774" t="inlineStr">
        <x:is>
          <x:t xml:space="preserve">ANTL</x:t>
        </x:is>
      </x:c>
    </x:row>
    <x:row r="144">
      <x:c r="A144" s="773" t="n">
        <x:v>1763</x:v>
      </x:c>
      <x:c r="B144" s="767" t="inlineStr">
        <x:is>
          <x:t xml:space="preserve">SÄTRBUD</x:t>
        </x:is>
      </x:c>
      <x:c r="C144" s="767" t="inlineStr">
        <x:is>
          <x:t xml:space="preserve">Budad hämtning, trädgårdsavfall. Pris per säck</x:t>
        </x:is>
      </x:c>
      <x:c r="D144" s="767" t="inlineStr">
        <x:is>
          <x:t xml:space="preserve">RENH</x:t>
        </x:is>
      </x:c>
      <x:c r="E144" s="767" t="inlineStr">
        <x:is>
          <x:t xml:space="preserve">HUSH</x:t>
        </x:is>
      </x:c>
      <x:c r="F144" s="767" t="n">
        <x:v>1</x:v>
      </x:c>
      <x:c r="G144" s="767" t="inlineStr">
        <x:is>
          <x:t xml:space="preserve">KVAN</x:t>
        </x:is>
      </x:c>
      <x:c r="H144" s="767" t="inlineStr">
        <x:is>
          <x:t xml:space="preserve">Budad hämtning, trädgårdsavfall. Pris per säck</x:t>
        </x:is>
      </x:c>
      <x:c r="I144" s="767"/>
      <x:c r="J144" s="767"/>
      <x:c r="K144" s="767" t="n">
        <x:v>80</x:v>
      </x:c>
      <x:c r="L144" s="852" t="n">
        <x:v>45292</x:v>
      </x:c>
      <x:c r="M144" s="767" t="n">
        <x:v>0</x:v>
      </x:c>
      <x:c r="N144" s="767"/>
      <x:c r="O144" s="767" t="inlineStr">
        <x:is>
          <x:t xml:space="preserve">-</x:t>
        </x:is>
      </x:c>
      <x:c r="P144" s="767" t="n">
        <x:v>1</x:v>
      </x:c>
      <x:c r="Q144" s="774" t="inlineStr">
        <x:is>
          <x:t xml:space="preserve">ANTL</x:t>
        </x:is>
      </x:c>
    </x:row>
    <x:row r="145">
      <x:c r="A145" s="773" t="n">
        <x:v>1769</x:v>
      </x:c>
      <x:c r="B145" s="767" t="inlineStr">
        <x:is>
          <x:t xml:space="preserve">TRBUD</x:t>
        </x:is>
      </x:c>
      <x:c r="C145" s="767" t="inlineStr">
        <x:is>
          <x:t xml:space="preserve">Budad hämtning, trädgårdsavfall. Pris per m³</x:t>
        </x:is>
      </x:c>
      <x:c r="D145" s="767" t="inlineStr">
        <x:is>
          <x:t xml:space="preserve">RENH</x:t>
        </x:is>
      </x:c>
      <x:c r="E145" s="767" t="inlineStr">
        <x:is>
          <x:t xml:space="preserve">HUSH</x:t>
        </x:is>
      </x:c>
      <x:c r="F145" s="767" t="n">
        <x:v>1</x:v>
      </x:c>
      <x:c r="G145" s="767" t="inlineStr">
        <x:is>
          <x:t xml:space="preserve">KVAN</x:t>
        </x:is>
      </x:c>
      <x:c r="H145" s="767" t="inlineStr">
        <x:is>
          <x:t xml:space="preserve">Budad hämtning, trädgårdsavfall. Pris per m³</x:t>
        </x:is>
      </x:c>
      <x:c r="I145" s="767"/>
      <x:c r="J145" s="767"/>
      <x:c r="K145" s="767" t="n">
        <x:v>480</x:v>
      </x:c>
      <x:c r="L145" s="852" t="n">
        <x:v>45292</x:v>
      </x:c>
      <x:c r="M145" s="767" t="n">
        <x:v>0</x:v>
      </x:c>
      <x:c r="N145" s="767"/>
      <x:c r="O145" s="767" t="inlineStr">
        <x:is>
          <x:t xml:space="preserve">-</x:t>
        </x:is>
      </x:c>
      <x:c r="P145" s="767" t="n">
        <x:v>1</x:v>
      </x:c>
      <x:c r="Q145" s="774" t="inlineStr">
        <x:is>
          <x:t xml:space="preserve">KBMÖ</x:t>
        </x:is>
      </x:c>
    </x:row>
    <x:row r="146">
      <x:c r="A146" s="773" t="n">
        <x:v>1822</x:v>
      </x:c>
      <x:c r="B146" s="767" t="inlineStr">
        <x:is>
          <x:t xml:space="preserve">TRÄDGÅRDKOMP</x:t>
        </x:is>
      </x:c>
      <x:c r="C146" s="767" t="inlineStr">
        <x:is>
          <x:t xml:space="preserve">Trädgårdsavfall komposterbart</x:t>
        </x:is>
      </x:c>
      <x:c r="D146" s="767" t="inlineStr">
        <x:is>
          <x:t xml:space="preserve">RENH</x:t>
        </x:is>
      </x:c>
      <x:c r="E146" s="767" t="inlineStr">
        <x:is>
          <x:t xml:space="preserve">ÅVC</x:t>
        </x:is>
      </x:c>
      <x:c r="F146" s="767" t="n">
        <x:v>1</x:v>
      </x:c>
      <x:c r="G146" s="767" t="inlineStr">
        <x:is>
          <x:t xml:space="preserve">KVAN</x:t>
        </x:is>
      </x:c>
      <x:c r="H146" s="767" t="inlineStr">
        <x:is>
          <x:t xml:space="preserve">Trädgårdsavfall komposterbart</x:t>
        </x:is>
      </x:c>
      <x:c r="I146" s="767"/>
      <x:c r="J146" s="767"/>
      <x:c r="K146" s="767" t="n">
        <x:v>0</x:v>
      </x:c>
      <x:c r="L146" s="852" t="n">
        <x:v>45292</x:v>
      </x:c>
      <x:c r="M146" s="767" t="n">
        <x:v>0</x:v>
      </x:c>
      <x:c r="N146" s="767"/>
      <x:c r="O146" s="767" t="inlineStr">
        <x:is>
          <x:t xml:space="preserve">-</x:t>
        </x:is>
      </x:c>
      <x:c r="P146" s="767" t="n">
        <x:v>1</x:v>
      </x:c>
      <x:c r="Q146" s="774" t="inlineStr">
        <x:is>
          <x:t xml:space="preserve">KBMÖ</x:t>
        </x:is>
      </x:c>
    </x:row>
    <x:row r="147">
      <x:c r="A147" s="773" t="n">
        <x:v>1859</x:v>
      </x:c>
      <x:c r="B147" s="767" t="inlineStr">
        <x:is>
          <x:t xml:space="preserve">TÄNDARE</x:t>
        </x:is>
      </x:c>
      <x:c r="C147" s="767" t="inlineStr">
        <x:is>
          <x:t xml:space="preserve">Tändare</x:t>
        </x:is>
      </x:c>
      <x:c r="D147" s="767" t="inlineStr">
        <x:is>
          <x:t xml:space="preserve">RENH</x:t>
        </x:is>
      </x:c>
      <x:c r="E147" s="767" t="inlineStr">
        <x:is>
          <x:t xml:space="preserve">ÅVC</x:t>
        </x:is>
      </x:c>
      <x:c r="F147" s="767" t="n">
        <x:v>1</x:v>
      </x:c>
      <x:c r="G147" s="767" t="inlineStr">
        <x:is>
          <x:t xml:space="preserve">KVAN</x:t>
        </x:is>
      </x:c>
      <x:c r="H147" s="767" t="inlineStr">
        <x:is>
          <x:t xml:space="preserve">Tändare</x:t>
        </x:is>
      </x:c>
      <x:c r="I147" s="767"/>
      <x:c r="J147" s="767"/>
      <x:c r="K147" s="767" t="n">
        <x:v>120</x:v>
      </x:c>
      <x:c r="L147" s="852" t="n">
        <x:v>45292</x:v>
      </x:c>
      <x:c r="M147" s="767" t="n">
        <x:v>0</x:v>
      </x:c>
      <x:c r="N147" s="767"/>
      <x:c r="O147" s="767" t="inlineStr">
        <x:is>
          <x:t xml:space="preserve">-</x:t>
        </x:is>
      </x:c>
      <x:c r="P147" s="767" t="n">
        <x:v>1</x:v>
      </x:c>
      <x:c r="Q147" s="774" t="inlineStr">
        <x:is>
          <x:t xml:space="preserve">VIKG</x:t>
        </x:is>
      </x:c>
    </x:row>
    <x:row r="148">
      <x:c r="A148" s="773" t="n">
        <x:v>1954</x:v>
      </x:c>
      <x:c r="B148" s="767" t="inlineStr">
        <x:is>
          <x:t xml:space="preserve">Töm Missat kärl</x:t>
        </x:is>
      </x:c>
      <x:c r="C148" s="767" t="inlineStr">
        <x:is>
          <x:t xml:space="preserve">Töm Missat kärl</x:t>
        </x:is>
      </x:c>
      <x:c r="D148" s="767" t="inlineStr">
        <x:is>
          <x:t xml:space="preserve">RENH</x:t>
        </x:is>
      </x:c>
      <x:c r="E148" s="767" t="inlineStr">
        <x:is>
          <x:t xml:space="preserve">HUSH</x:t>
        </x:is>
      </x:c>
      <x:c r="F148" s="767" t="n">
        <x:v>1</x:v>
      </x:c>
      <x:c r="G148" s="767" t="inlineStr">
        <x:is>
          <x:t xml:space="preserve">KVAN</x:t>
        </x:is>
      </x:c>
      <x:c r="H148" s="767" t="inlineStr">
        <x:is>
          <x:t xml:space="preserve">Evenemangskärl 140 L, matavfall</x:t>
        </x:is>
      </x:c>
      <x:c r="I148" s="767"/>
      <x:c r="J148" s="767"/>
      <x:c r="K148" s="767" t="n">
        <x:v>96</x:v>
      </x:c>
      <x:c r="L148" s="852" t="n">
        <x:v>45292</x:v>
      </x:c>
      <x:c r="M148" s="767" t="n">
        <x:v>0</x:v>
      </x:c>
      <x:c r="N148" s="767"/>
      <x:c r="O148" s="767" t="inlineStr">
        <x:is>
          <x:t xml:space="preserve">-</x:t>
        </x:is>
      </x:c>
      <x:c r="P148" s="767" t="n">
        <x:v>1</x:v>
      </x:c>
      <x:c r="Q148" s="774" t="inlineStr">
        <x:is>
          <x:t xml:space="preserve">ANTL</x:t>
        </x:is>
      </x:c>
    </x:row>
    <x:row r="149">
      <x:c r="A149" s="773" t="n">
        <x:v>1785</x:v>
      </x:c>
      <x:c r="B149" s="767" t="inlineStr">
        <x:is>
          <x:t xml:space="preserve">TÖMCOMA</x:t>
        </x:is>
      </x:c>
      <x:c r="C149" s="767" t="inlineStr">
        <x:is>
          <x:t xml:space="preserve">Tömningar container, matavfall</x:t>
        </x:is>
      </x:c>
      <x:c r="D149" s="767" t="inlineStr">
        <x:is>
          <x:t xml:space="preserve">RENH</x:t>
        </x:is>
      </x:c>
      <x:c r="E149" s="767" t="inlineStr">
        <x:is>
          <x:t xml:space="preserve">HUSH</x:t>
        </x:is>
      </x:c>
      <x:c r="F149" s="767" t="n">
        <x:v>1</x:v>
      </x:c>
      <x:c r="G149" s="767" t="inlineStr">
        <x:is>
          <x:t xml:space="preserve">KVAN</x:t>
        </x:is>
      </x:c>
      <x:c r="H149" s="767" t="inlineStr">
        <x:is>
          <x:t xml:space="preserve">Tömningar container, matavfall</x:t>
        </x:is>
      </x:c>
      <x:c r="I149" s="767"/>
      <x:c r="J149" s="767"/>
      <x:c r="K149" s="767" t="n">
        <x:v>440</x:v>
      </x:c>
      <x:c r="L149" s="852" t="n">
        <x:v>45292</x:v>
      </x:c>
      <x:c r="M149" s="767" t="n">
        <x:v>0</x:v>
      </x:c>
      <x:c r="N149" s="767"/>
      <x:c r="O149" s="767" t="inlineStr">
        <x:is>
          <x:t xml:space="preserve">-</x:t>
        </x:is>
      </x:c>
      <x:c r="P149" s="767" t="n">
        <x:v>1</x:v>
      </x:c>
      <x:c r="Q149" s="774" t="inlineStr">
        <x:is>
          <x:t xml:space="preserve">ANTL</x:t>
        </x:is>
      </x:c>
    </x:row>
    <x:row r="150">
      <x:c r="A150" s="773" t="n">
        <x:v>1783</x:v>
      </x:c>
      <x:c r="B150" s="767" t="inlineStr">
        <x:is>
          <x:t xml:space="preserve">TÖMCORE</x:t>
        </x:is>
      </x:c>
      <x:c r="C150" s="767" t="inlineStr">
        <x:is>
          <x:t xml:space="preserve">Tömningar container, restavfall</x:t>
        </x:is>
      </x:c>
      <x:c r="D150" s="767" t="inlineStr">
        <x:is>
          <x:t xml:space="preserve">RENH</x:t>
        </x:is>
      </x:c>
      <x:c r="E150" s="767" t="inlineStr">
        <x:is>
          <x:t xml:space="preserve">HUSH</x:t>
        </x:is>
      </x:c>
      <x:c r="F150" s="767" t="n">
        <x:v>1</x:v>
      </x:c>
      <x:c r="G150" s="767" t="inlineStr">
        <x:is>
          <x:t xml:space="preserve">KVAN</x:t>
        </x:is>
      </x:c>
      <x:c r="H150" s="767" t="inlineStr">
        <x:is>
          <x:t xml:space="preserve">Tömningar container, restavfall</x:t>
        </x:is>
      </x:c>
      <x:c r="I150" s="767"/>
      <x:c r="J150" s="767"/>
      <x:c r="K150" s="767" t="n">
        <x:v>440</x:v>
      </x:c>
      <x:c r="L150" s="852" t="n">
        <x:v>45292</x:v>
      </x:c>
      <x:c r="M150" s="767" t="n">
        <x:v>0</x:v>
      </x:c>
      <x:c r="N150" s="767"/>
      <x:c r="O150" s="767" t="inlineStr">
        <x:is>
          <x:t xml:space="preserve">-</x:t>
        </x:is>
      </x:c>
      <x:c r="P150" s="767" t="n">
        <x:v>1</x:v>
      </x:c>
      <x:c r="Q150" s="774" t="inlineStr">
        <x:is>
          <x:t xml:space="preserve">ANTL</x:t>
        </x:is>
      </x:c>
    </x:row>
    <x:row r="151">
      <x:c r="A151" s="773" t="n">
        <x:v>1786</x:v>
      </x:c>
      <x:c r="B151" s="767" t="inlineStr">
        <x:is>
          <x:t xml:space="preserve">TÖMUJMA</x:t>
        </x:is>
      </x:c>
      <x:c r="C151" s="767" t="inlineStr">
        <x:is>
          <x:t xml:space="preserve">Tömningar underjordsbehållare, matavfall</x:t>
        </x:is>
      </x:c>
      <x:c r="D151" s="767" t="inlineStr">
        <x:is>
          <x:t xml:space="preserve">RENH</x:t>
        </x:is>
      </x:c>
      <x:c r="E151" s="767" t="inlineStr">
        <x:is>
          <x:t xml:space="preserve">HUSH</x:t>
        </x:is>
      </x:c>
      <x:c r="F151" s="767" t="n">
        <x:v>1</x:v>
      </x:c>
      <x:c r="G151" s="767" t="inlineStr">
        <x:is>
          <x:t xml:space="preserve">KVAN</x:t>
        </x:is>
      </x:c>
      <x:c r="H151" s="767" t="inlineStr">
        <x:is>
          <x:t xml:space="preserve">Tömningar underjordsbehållare, matavfall</x:t>
        </x:is>
      </x:c>
      <x:c r="I151" s="767"/>
      <x:c r="J151" s="767"/>
      <x:c r="K151" s="767" t="n">
        <x:v>440</x:v>
      </x:c>
      <x:c r="L151" s="852" t="n">
        <x:v>45292</x:v>
      </x:c>
      <x:c r="M151" s="767" t="n">
        <x:v>0</x:v>
      </x:c>
      <x:c r="N151" s="767"/>
      <x:c r="O151" s="767" t="inlineStr">
        <x:is>
          <x:t xml:space="preserve">-</x:t>
        </x:is>
      </x:c>
      <x:c r="P151" s="767" t="n">
        <x:v>1</x:v>
      </x:c>
      <x:c r="Q151" s="774" t="inlineStr">
        <x:is>
          <x:t xml:space="preserve">ANTL</x:t>
        </x:is>
      </x:c>
    </x:row>
    <x:row r="152">
      <x:c r="A152" s="773" t="n">
        <x:v>1787</x:v>
      </x:c>
      <x:c r="B152" s="767" t="inlineStr">
        <x:is>
          <x:t xml:space="preserve">TÖMUJRE</x:t>
        </x:is>
      </x:c>
      <x:c r="C152" s="767" t="inlineStr">
        <x:is>
          <x:t xml:space="preserve">Tömningar underjordsbehållare, restavfall</x:t>
        </x:is>
      </x:c>
      <x:c r="D152" s="767" t="inlineStr">
        <x:is>
          <x:t xml:space="preserve">RENH</x:t>
        </x:is>
      </x:c>
      <x:c r="E152" s="767" t="inlineStr">
        <x:is>
          <x:t xml:space="preserve">HUSH</x:t>
        </x:is>
      </x:c>
      <x:c r="F152" s="767" t="n">
        <x:v>1</x:v>
      </x:c>
      <x:c r="G152" s="767" t="inlineStr">
        <x:is>
          <x:t xml:space="preserve">KVAN</x:t>
        </x:is>
      </x:c>
      <x:c r="H152" s="767" t="inlineStr">
        <x:is>
          <x:t xml:space="preserve">Tömningar underjordsbehållare, restavfall</x:t>
        </x:is>
      </x:c>
      <x:c r="I152" s="767"/>
      <x:c r="J152" s="767"/>
      <x:c r="K152" s="767" t="n">
        <x:v>440</x:v>
      </x:c>
      <x:c r="L152" s="852" t="n">
        <x:v>45292</x:v>
      </x:c>
      <x:c r="M152" s="767" t="n">
        <x:v>0</x:v>
      </x:c>
      <x:c r="N152" s="767"/>
      <x:c r="O152" s="767" t="inlineStr">
        <x:is>
          <x:t xml:space="preserve">-</x:t>
        </x:is>
      </x:c>
      <x:c r="P152" s="767" t="n">
        <x:v>1</x:v>
      </x:c>
      <x:c r="Q152" s="774" t="inlineStr">
        <x:is>
          <x:t xml:space="preserve">ANTL</x:t>
        </x:is>
      </x:c>
    </x:row>
    <x:row r="153">
      <x:c r="A153" s="773" t="n">
        <x:v>1864</x:v>
      </x:c>
      <x:c r="B153" s="767" t="inlineStr">
        <x:is>
          <x:t xml:space="preserve">VATTENBLAND</x:t>
        </x:is>
      </x:c>
      <x:c r="C153" s="767" t="inlineStr">
        <x:is>
          <x:t xml:space="preserve">Vattenhaltiga blandningar av glykol, olja m.m</x:t>
        </x:is>
      </x:c>
      <x:c r="D153" s="767" t="inlineStr">
        <x:is>
          <x:t xml:space="preserve">RENH</x:t>
        </x:is>
      </x:c>
      <x:c r="E153" s="767" t="inlineStr">
        <x:is>
          <x:t xml:space="preserve">ÅVC</x:t>
        </x:is>
      </x:c>
      <x:c r="F153" s="767" t="n">
        <x:v>1</x:v>
      </x:c>
      <x:c r="G153" s="767" t="inlineStr">
        <x:is>
          <x:t xml:space="preserve">KVAN</x:t>
        </x:is>
      </x:c>
      <x:c r="H153" s="767" t="inlineStr">
        <x:is>
          <x:t xml:space="preserve">Vattenhaltiga blandningar av glykol, olja m.m</x:t>
        </x:is>
      </x:c>
      <x:c r="I153" s="767"/>
      <x:c r="J153" s="767"/>
      <x:c r="K153" s="767" t="n">
        <x:v>15</x:v>
      </x:c>
      <x:c r="L153" s="852" t="n">
        <x:v>45292</x:v>
      </x:c>
      <x:c r="M153" s="767" t="n">
        <x:v>0</x:v>
      </x:c>
      <x:c r="N153" s="767"/>
      <x:c r="O153" s="767" t="inlineStr">
        <x:is>
          <x:t xml:space="preserve">-</x:t>
        </x:is>
      </x:c>
      <x:c r="P153" s="767" t="n">
        <x:v>1</x:v>
      </x:c>
      <x:c r="Q153" s="774" t="inlineStr">
        <x:is>
          <x:t xml:space="preserve">VIKG</x:t>
        </x:is>
      </x:c>
    </x:row>
    <x:row r="154">
      <x:c r="A154" s="773" t="n">
        <x:v>1904</x:v>
      </x:c>
      <x:c r="B154" s="767" t="inlineStr">
        <x:is>
          <x:t xml:space="preserve">REGLTILLGODO</x:t>
        </x:is>
      </x:c>
      <x:c r="C154" s="767" t="inlineStr">
        <x:is>
          <x:t xml:space="preserve">Reglering tillgodo tidigare faktura</x:t>
        </x:is>
      </x:c>
      <x:c r="D154" s="767" t="inlineStr">
        <x:is>
          <x:t xml:space="preserve">VA</x:t>
        </x:is>
      </x:c>
      <x:c r="E154" s="767"/>
      <x:c r="F154" s="767" t="n">
        <x:v>1</x:v>
      </x:c>
      <x:c r="G154" s="767" t="inlineStr">
        <x:is>
          <x:t xml:space="preserve">KVAN</x:t>
        </x:is>
      </x:c>
      <x:c r="H154" s="767" t="inlineStr">
        <x:is>
          <x:t xml:space="preserve">Reglering tillgodo tidigare faktura</x:t>
        </x:is>
      </x:c>
      <x:c r="I154" s="767"/>
      <x:c r="J154" s="767"/>
      <x:c r="K154" s="767" t="n">
        <x:v>1.75</x:v>
      </x:c>
      <x:c r="L154" s="852" t="n">
        <x:v>45413</x:v>
      </x:c>
      <x:c r="M154" s="767" t="n">
        <x:v>0</x:v>
      </x:c>
      <x:c r="N154" s="767"/>
      <x:c r="O154" s="767" t="inlineStr">
        <x:is>
          <x:t xml:space="preserve">-</x:t>
        </x:is>
      </x:c>
      <x:c r="P154" s="767" t="n">
        <x:v>0</x:v>
      </x:c>
      <x:c r="Q154" s="774" t="inlineStr">
        <x:is>
          <x:t xml:space="preserve">ANTL</x:t>
        </x:is>
      </x:c>
    </x:row>
    <x:row r="155">
      <x:c r="A155" s="773" t="n">
        <x:v>1707</x:v>
      </x:c>
      <x:c r="B155" s="767" t="inlineStr">
        <x:is>
          <x:t xml:space="preserve">BRN03SL</x:t>
        </x:is>
      </x:c>
      <x:c r="C155" s="767" t="inlineStr">
        <x:is>
          <x:t xml:space="preserve">Tömning brunn 0-3 m³, slam</x:t>
        </x:is>
      </x:c>
      <x:c r="D155" s="767" t="inlineStr">
        <x:is>
          <x:t xml:space="preserve">RENH</x:t>
        </x:is>
      </x:c>
      <x:c r="E155" s="767" t="inlineStr">
        <x:is>
          <x:t xml:space="preserve">SLAM</x:t>
        </x:is>
      </x:c>
      <x:c r="F155" s="767" t="n">
        <x:v>1</x:v>
      </x:c>
      <x:c r="G155" s="767" t="inlineStr">
        <x:is>
          <x:t xml:space="preserve">KVAN</x:t>
        </x:is>
      </x:c>
      <x:c r="H155" s="767" t="inlineStr">
        <x:is>
          <x:t xml:space="preserve">Tömning slam, brunn 0-3 m³</x:t>
        </x:is>
      </x:c>
      <x:c r="I155" s="767"/>
      <x:c r="J155" s="767"/>
      <x:c r="K155" s="767" t="n">
        <x:v>1320</x:v>
      </x:c>
      <x:c r="L155" s="852" t="n">
        <x:v>45474</x:v>
      </x:c>
      <x:c r="M155" s="767" t="n">
        <x:v>0</x:v>
      </x:c>
      <x:c r="N155" s="767"/>
      <x:c r="O155" s="767" t="inlineStr">
        <x:is>
          <x:t xml:space="preserve">-</x:t>
        </x:is>
      </x:c>
      <x:c r="P155" s="767" t="n">
        <x:v>1</x:v>
      </x:c>
      <x:c r="Q155" s="774" t="inlineStr">
        <x:is>
          <x:t xml:space="preserve">ANTL</x:t>
        </x:is>
      </x:c>
    </x:row>
    <x:row r="156">
      <x:c r="A156" s="773" t="n">
        <x:v>1708</x:v>
      </x:c>
      <x:c r="B156" s="767" t="inlineStr">
        <x:is>
          <x:t xml:space="preserve">BRN36SL</x:t>
        </x:is>
      </x:c>
      <x:c r="C156" s="767" t="inlineStr">
        <x:is>
          <x:t xml:space="preserve">Brunn 3,1-6 m³, slam</x:t>
        </x:is>
      </x:c>
      <x:c r="D156" s="767" t="inlineStr">
        <x:is>
          <x:t xml:space="preserve">RENH</x:t>
        </x:is>
      </x:c>
      <x:c r="E156" s="767" t="inlineStr">
        <x:is>
          <x:t xml:space="preserve">SLAM</x:t>
        </x:is>
      </x:c>
      <x:c r="F156" s="767" t="n">
        <x:v>1</x:v>
      </x:c>
      <x:c r="G156" s="767" t="inlineStr">
        <x:is>
          <x:t xml:space="preserve">KVAN</x:t>
        </x:is>
      </x:c>
      <x:c r="H156" s="767" t="inlineStr">
        <x:is>
          <x:t xml:space="preserve">Tömning slam, brunn 3,1-6 m³</x:t>
        </x:is>
      </x:c>
      <x:c r="I156" s="767"/>
      <x:c r="J156" s="767"/>
      <x:c r="K156" s="767" t="n">
        <x:v>2280</x:v>
      </x:c>
      <x:c r="L156" s="852" t="n">
        <x:v>45474</x:v>
      </x:c>
      <x:c r="M156" s="767" t="n">
        <x:v>0</x:v>
      </x:c>
      <x:c r="N156" s="767"/>
      <x:c r="O156" s="767" t="inlineStr">
        <x:is>
          <x:t xml:space="preserve">-</x:t>
        </x:is>
      </x:c>
      <x:c r="P156" s="767" t="n">
        <x:v>1</x:v>
      </x:c>
      <x:c r="Q156" s="774" t="inlineStr">
        <x:is>
          <x:t xml:space="preserve">ANTL</x:t>
        </x:is>
      </x:c>
    </x:row>
    <x:row r="157">
      <x:c r="A157" s="773" t="n">
        <x:v>1710</x:v>
      </x:c>
      <x:c r="B157" s="767" t="inlineStr">
        <x:is>
          <x:t xml:space="preserve">BRN69SL</x:t>
        </x:is>
      </x:c>
      <x:c r="C157" s="767" t="inlineStr">
        <x:is>
          <x:t xml:space="preserve">Brunn över 6,1 m³, slam</x:t>
        </x:is>
      </x:c>
      <x:c r="D157" s="767" t="inlineStr">
        <x:is>
          <x:t xml:space="preserve">RENH</x:t>
        </x:is>
      </x:c>
      <x:c r="E157" s="767" t="inlineStr">
        <x:is>
          <x:t xml:space="preserve">SLAM</x:t>
        </x:is>
      </x:c>
      <x:c r="F157" s="767" t="n">
        <x:v>1</x:v>
      </x:c>
      <x:c r="G157" s="767" t="inlineStr">
        <x:is>
          <x:t xml:space="preserve">KVAN</x:t>
        </x:is>
      </x:c>
      <x:c r="H157" s="767" t="inlineStr">
        <x:is>
          <x:t xml:space="preserve">Tömning slam, brunn över 6,1 m³</x:t>
        </x:is>
      </x:c>
      <x:c r="I157" s="767"/>
      <x:c r="J157" s="767"/>
      <x:c r="K157" s="767" t="n">
        <x:v>3240</x:v>
      </x:c>
      <x:c r="L157" s="852" t="n">
        <x:v>45474</x:v>
      </x:c>
      <x:c r="M157" s="767" t="n">
        <x:v>0</x:v>
      </x:c>
      <x:c r="N157" s="767"/>
      <x:c r="O157" s="767" t="inlineStr">
        <x:is>
          <x:t xml:space="preserve">-</x:t>
        </x:is>
      </x:c>
      <x:c r="P157" s="767" t="n">
        <x:v>1</x:v>
      </x:c>
      <x:c r="Q157" s="774" t="inlineStr">
        <x:is>
          <x:t xml:space="preserve">ANTL</x:t>
        </x:is>
      </x:c>
    </x:row>
    <x:row r="158">
      <x:c r="A158" s="773" t="n">
        <x:v>1655</x:v>
      </x:c>
      <x:c r="B158" s="767" t="inlineStr">
        <x:is>
          <x:t xml:space="preserve">BV</x:t>
        </x:is>
      </x:c>
      <x:c r="C158" s="767" t="inlineStr">
        <x:is>
          <x:t xml:space="preserve">Byggvatten, med mätare</x:t>
        </x:is>
      </x:c>
      <x:c r="D158" s="767" t="inlineStr">
        <x:is>
          <x:t xml:space="preserve">VA</x:t>
        </x:is>
      </x:c>
      <x:c r="E158" s="767" t="inlineStr">
        <x:is>
          <x:t xml:space="preserve">VATT</x:t>
        </x:is>
      </x:c>
      <x:c r="F158" s="767" t="n">
        <x:v>1</x:v>
      </x:c>
      <x:c r="G158" s="767" t="inlineStr">
        <x:is>
          <x:t xml:space="preserve">FÖRB</x:t>
        </x:is>
      </x:c>
      <x:c r="H158" s="767" t="inlineStr">
        <x:is>
          <x:t xml:space="preserve">Byggvatten, Rörlig avgift, förbrukning per m³</x:t>
        </x:is>
      </x:c>
      <x:c r="I158" s="767"/>
      <x:c r="J158" s="767"/>
      <x:c r="K158" s="767" t="n">
        <x:v>30.4</x:v>
      </x:c>
      <x:c r="L158" s="852" t="n">
        <x:v>45474</x:v>
      </x:c>
      <x:c r="M158" s="767" t="n">
        <x:v>0</x:v>
      </x:c>
      <x:c r="N158" s="767"/>
      <x:c r="O158" s="767" t="inlineStr">
        <x:is>
          <x:t xml:space="preserve">-</x:t>
        </x:is>
      </x:c>
      <x:c r="P158" s="767" t="n">
        <x:v>1</x:v>
      </x:c>
      <x:c r="Q158" s="774"/>
    </x:row>
    <x:row r="159">
      <x:c r="A159" s="773" t="n">
        <x:v>1656</x:v>
      </x:c>
      <x:c r="B159" s="767" t="inlineStr">
        <x:is>
          <x:t xml:space="preserve">BVU</x:t>
        </x:is>
      </x:c>
      <x:c r="C159" s="767" t="inlineStr">
        <x:is>
          <x:t xml:space="preserve">Byggvatten, utan mätare</x:t>
        </x:is>
      </x:c>
      <x:c r="D159" s="767" t="inlineStr">
        <x:is>
          <x:t xml:space="preserve">VA</x:t>
        </x:is>
      </x:c>
      <x:c r="E159" s="767" t="inlineStr">
        <x:is>
          <x:t xml:space="preserve">VATT</x:t>
        </x:is>
      </x:c>
      <x:c r="F159" s="767" t="n">
        <x:v>1</x:v>
      </x:c>
      <x:c r="G159" s="767" t="inlineStr">
        <x:is>
          <x:t xml:space="preserve">UPFÖ</x:t>
        </x:is>
      </x:c>
      <x:c r="H159" s="767" t="inlineStr">
        <x:is>
          <x:t xml:space="preserve">Byggvatten, Rörlig avgift, uppsk. förbrukning per m³</x:t>
        </x:is>
      </x:c>
      <x:c r="I159" s="767"/>
      <x:c r="J159" s="767"/>
      <x:c r="K159" s="767" t="n">
        <x:v>30.4</x:v>
      </x:c>
      <x:c r="L159" s="852" t="n">
        <x:v>45474</x:v>
      </x:c>
      <x:c r="M159" s="767" t="n">
        <x:v>0</x:v>
      </x:c>
      <x:c r="N159" s="767"/>
      <x:c r="O159" s="767" t="inlineStr">
        <x:is>
          <x:t xml:space="preserve">-</x:t>
        </x:is>
      </x:c>
      <x:c r="P159" s="767" t="n">
        <x:v>1</x:v>
      </x:c>
      <x:c r="Q159" s="774"/>
    </x:row>
    <x:row r="160">
      <x:c r="A160" s="773" t="n">
        <x:v>1621</x:v>
      </x:c>
      <x:c r="B160" s="767" t="inlineStr">
        <x:is>
          <x:t xml:space="preserve">MRV03SLBUD</x:t>
        </x:is>
      </x:c>
      <x:c r="C160" s="767" t="inlineStr">
        <x:is>
          <x:t xml:space="preserve">Minireningsverk 0-3 m³, slam. Budning</x:t>
        </x:is>
      </x:c>
      <x:c r="D160" s="767" t="inlineStr">
        <x:is>
          <x:t xml:space="preserve">RENH</x:t>
        </x:is>
      </x:c>
      <x:c r="E160" s="767" t="inlineStr">
        <x:is>
          <x:t xml:space="preserve">SLAM</x:t>
        </x:is>
      </x:c>
      <x:c r="F160" s="767" t="n">
        <x:v>1</x:v>
      </x:c>
      <x:c r="G160" s="767" t="inlineStr">
        <x:is>
          <x:t xml:space="preserve">ÅRKV</x:t>
        </x:is>
      </x:c>
      <x:c r="H160" s="767" t="inlineStr">
        <x:is>
          <x:t xml:space="preserve">Minireningsverk 0-3 m³, slam. Budning</x:t>
        </x:is>
      </x:c>
      <x:c r="I160" s="767"/>
      <x:c r="J160" s="767"/>
      <x:c r="K160" s="767" t="n">
        <x:v>1320</x:v>
      </x:c>
      <x:c r="L160" s="852" t="n">
        <x:v>45474</x:v>
      </x:c>
      <x:c r="M160" s="767" t="n">
        <x:v>0</x:v>
      </x:c>
      <x:c r="N160" s="767"/>
      <x:c r="O160" s="767" t="inlineStr">
        <x:is>
          <x:t xml:space="preserve">-</x:t>
        </x:is>
      </x:c>
      <x:c r="P160" s="767" t="n">
        <x:v>1</x:v>
      </x:c>
      <x:c r="Q160" s="774" t="inlineStr">
        <x:is>
          <x:t xml:space="preserve">0</x:t>
        </x:is>
      </x:c>
    </x:row>
    <x:row r="161">
      <x:c r="A161" s="773" t="n">
        <x:v>1606</x:v>
      </x:c>
      <x:c r="B161" s="767" t="inlineStr">
        <x:is>
          <x:t xml:space="preserve">MRV03SLORD</x:t>
        </x:is>
      </x:c>
      <x:c r="C161" s="767" t="inlineStr">
        <x:is>
          <x:t xml:space="preserve">Minireningsverk 0-3 m³, slam. Ordinarie tur</x:t>
        </x:is>
      </x:c>
      <x:c r="D161" s="767" t="inlineStr">
        <x:is>
          <x:t xml:space="preserve">RENH</x:t>
        </x:is>
      </x:c>
      <x:c r="E161" s="767" t="inlineStr">
        <x:is>
          <x:t xml:space="preserve">SLAM</x:t>
        </x:is>
      </x:c>
      <x:c r="F161" s="767" t="n">
        <x:v>1</x:v>
      </x:c>
      <x:c r="G161" s="767" t="inlineStr">
        <x:is>
          <x:t xml:space="preserve">ÅRKV</x:t>
        </x:is>
      </x:c>
      <x:c r="H161" s="767" t="inlineStr">
        <x:is>
          <x:t xml:space="preserve">Minireningsverk 0-3 m³, slam. Ordinarie tur</x:t>
        </x:is>
      </x:c>
      <x:c r="I161" s="767"/>
      <x:c r="J161" s="767"/>
      <x:c r="K161" s="767" t="n">
        <x:v>1320</x:v>
      </x:c>
      <x:c r="L161" s="852" t="n">
        <x:v>45474</x:v>
      </x:c>
      <x:c r="M161" s="767" t="n">
        <x:v>0</x:v>
      </x:c>
      <x:c r="N161" s="767"/>
      <x:c r="O161" s="767" t="inlineStr">
        <x:is>
          <x:t xml:space="preserve">-</x:t>
        </x:is>
      </x:c>
      <x:c r="P161" s="767" t="n">
        <x:v>1</x:v>
      </x:c>
      <x:c r="Q161" s="774" t="inlineStr">
        <x:is>
          <x:t xml:space="preserve">0</x:t>
        </x:is>
      </x:c>
    </x:row>
    <x:row r="162">
      <x:c r="A162" s="773" t="n">
        <x:v>1622</x:v>
      </x:c>
      <x:c r="B162" s="767" t="inlineStr">
        <x:is>
          <x:t xml:space="preserve">MRV36SLBUD</x:t>
        </x:is>
      </x:c>
      <x:c r="C162" s="767" t="inlineStr">
        <x:is>
          <x:t xml:space="preserve">Minireningsverk 3,1-6 m³, slam. Budning</x:t>
        </x:is>
      </x:c>
      <x:c r="D162" s="767" t="inlineStr">
        <x:is>
          <x:t xml:space="preserve">RENH</x:t>
        </x:is>
      </x:c>
      <x:c r="E162" s="767" t="inlineStr">
        <x:is>
          <x:t xml:space="preserve">SLAM</x:t>
        </x:is>
      </x:c>
      <x:c r="F162" s="767" t="n">
        <x:v>1</x:v>
      </x:c>
      <x:c r="G162" s="767" t="inlineStr">
        <x:is>
          <x:t xml:space="preserve">ÅRKV</x:t>
        </x:is>
      </x:c>
      <x:c r="H162" s="767" t="inlineStr">
        <x:is>
          <x:t xml:space="preserve">Minireningsverk 3,1-6 m³, slam. Budning</x:t>
        </x:is>
      </x:c>
      <x:c r="I162" s="767"/>
      <x:c r="J162" s="767"/>
      <x:c r="K162" s="767" t="n">
        <x:v>2280</x:v>
      </x:c>
      <x:c r="L162" s="852" t="n">
        <x:v>45474</x:v>
      </x:c>
      <x:c r="M162" s="767" t="n">
        <x:v>0</x:v>
      </x:c>
      <x:c r="N162" s="767"/>
      <x:c r="O162" s="767" t="inlineStr">
        <x:is>
          <x:t xml:space="preserve">-</x:t>
        </x:is>
      </x:c>
      <x:c r="P162" s="767" t="n">
        <x:v>1</x:v>
      </x:c>
      <x:c r="Q162" s="774" t="inlineStr">
        <x:is>
          <x:t xml:space="preserve">0</x:t>
        </x:is>
      </x:c>
    </x:row>
    <x:row r="163">
      <x:c r="A163" s="773" t="n">
        <x:v>1607</x:v>
      </x:c>
      <x:c r="B163" s="767" t="inlineStr">
        <x:is>
          <x:t xml:space="preserve">MRV36SLORD</x:t>
        </x:is>
      </x:c>
      <x:c r="C163" s="767" t="inlineStr">
        <x:is>
          <x:t xml:space="preserve">Minireningsverk 3,1-6 m³, slam. Ordinarie tur</x:t>
        </x:is>
      </x:c>
      <x:c r="D163" s="767" t="inlineStr">
        <x:is>
          <x:t xml:space="preserve">RENH</x:t>
        </x:is>
      </x:c>
      <x:c r="E163" s="767" t="inlineStr">
        <x:is>
          <x:t xml:space="preserve">SLAM</x:t>
        </x:is>
      </x:c>
      <x:c r="F163" s="767" t="n">
        <x:v>1</x:v>
      </x:c>
      <x:c r="G163" s="767" t="inlineStr">
        <x:is>
          <x:t xml:space="preserve">ÅRKV</x:t>
        </x:is>
      </x:c>
      <x:c r="H163" s="767" t="inlineStr">
        <x:is>
          <x:t xml:space="preserve">Minireningsverk 3,1-6 m³, slam. Ordinarie tur</x:t>
        </x:is>
      </x:c>
      <x:c r="I163" s="767"/>
      <x:c r="J163" s="767"/>
      <x:c r="K163" s="767" t="n">
        <x:v>2280</x:v>
      </x:c>
      <x:c r="L163" s="852" t="n">
        <x:v>45474</x:v>
      </x:c>
      <x:c r="M163" s="767" t="n">
        <x:v>0</x:v>
      </x:c>
      <x:c r="N163" s="767"/>
      <x:c r="O163" s="767" t="inlineStr">
        <x:is>
          <x:t xml:space="preserve">-</x:t>
        </x:is>
      </x:c>
      <x:c r="P163" s="767" t="n">
        <x:v>1</x:v>
      </x:c>
      <x:c r="Q163" s="774" t="inlineStr">
        <x:is>
          <x:t xml:space="preserve">0</x:t>
        </x:is>
      </x:c>
    </x:row>
    <x:row r="164">
      <x:c r="A164" s="773" t="n">
        <x:v>1623</x:v>
      </x:c>
      <x:c r="B164" s="767" t="inlineStr">
        <x:is>
          <x:t xml:space="preserve">MRV69SLBUD</x:t>
        </x:is>
      </x:c>
      <x:c r="C164" s="767" t="inlineStr">
        <x:is>
          <x:t xml:space="preserve">Minireningsverk 6,1-9 m³, slam. Budning</x:t>
        </x:is>
      </x:c>
      <x:c r="D164" s="767" t="inlineStr">
        <x:is>
          <x:t xml:space="preserve">RENH</x:t>
        </x:is>
      </x:c>
      <x:c r="E164" s="767" t="inlineStr">
        <x:is>
          <x:t xml:space="preserve">SLAM</x:t>
        </x:is>
      </x:c>
      <x:c r="F164" s="767" t="n">
        <x:v>1</x:v>
      </x:c>
      <x:c r="G164" s="767" t="inlineStr">
        <x:is>
          <x:t xml:space="preserve">ÅRKV</x:t>
        </x:is>
      </x:c>
      <x:c r="H164" s="767" t="inlineStr">
        <x:is>
          <x:t xml:space="preserve">Minireningsverk 6,1-9 m³, slam. Budning</x:t>
        </x:is>
      </x:c>
      <x:c r="I164" s="767"/>
      <x:c r="J164" s="767"/>
      <x:c r="K164" s="767" t="n">
        <x:v>3240</x:v>
      </x:c>
      <x:c r="L164" s="852" t="n">
        <x:v>45474</x:v>
      </x:c>
      <x:c r="M164" s="767" t="n">
        <x:v>0</x:v>
      </x:c>
      <x:c r="N164" s="767"/>
      <x:c r="O164" s="767" t="inlineStr">
        <x:is>
          <x:t xml:space="preserve">-</x:t>
        </x:is>
      </x:c>
      <x:c r="P164" s="767" t="n">
        <x:v>1</x:v>
      </x:c>
      <x:c r="Q164" s="774" t="inlineStr">
        <x:is>
          <x:t xml:space="preserve">0</x:t>
        </x:is>
      </x:c>
    </x:row>
    <x:row r="165">
      <x:c r="A165" s="773" t="n">
        <x:v>1608</x:v>
      </x:c>
      <x:c r="B165" s="767" t="inlineStr">
        <x:is>
          <x:t xml:space="preserve">MRV69SLORD</x:t>
        </x:is>
      </x:c>
      <x:c r="C165" s="767" t="inlineStr">
        <x:is>
          <x:t xml:space="preserve">Minireningsverk 6,1-9 m³, slam. Ordinarie tur</x:t>
        </x:is>
      </x:c>
      <x:c r="D165" s="767" t="inlineStr">
        <x:is>
          <x:t xml:space="preserve">RENH</x:t>
        </x:is>
      </x:c>
      <x:c r="E165" s="767" t="inlineStr">
        <x:is>
          <x:t xml:space="preserve">SLAM</x:t>
        </x:is>
      </x:c>
      <x:c r="F165" s="767" t="n">
        <x:v>1</x:v>
      </x:c>
      <x:c r="G165" s="767" t="inlineStr">
        <x:is>
          <x:t xml:space="preserve">ÅRKV</x:t>
        </x:is>
      </x:c>
      <x:c r="H165" s="767" t="inlineStr">
        <x:is>
          <x:t xml:space="preserve">Minireningsverk 6,1-9 m³, slam. Ordinarie tur</x:t>
        </x:is>
      </x:c>
      <x:c r="I165" s="767"/>
      <x:c r="J165" s="767"/>
      <x:c r="K165" s="767" t="n">
        <x:v>3240</x:v>
      </x:c>
      <x:c r="L165" s="852" t="n">
        <x:v>45474</x:v>
      </x:c>
      <x:c r="M165" s="767" t="n">
        <x:v>0</x:v>
      </x:c>
      <x:c r="N165" s="767"/>
      <x:c r="O165" s="767" t="inlineStr">
        <x:is>
          <x:t xml:space="preserve">-</x:t>
        </x:is>
      </x:c>
      <x:c r="P165" s="767" t="n">
        <x:v>1</x:v>
      </x:c>
      <x:c r="Q165" s="774" t="inlineStr">
        <x:is>
          <x:t xml:space="preserve">0</x:t>
        </x:is>
      </x:c>
    </x:row>
    <x:row r="166">
      <x:c r="A166" s="773" t="n">
        <x:v>1624</x:v>
      </x:c>
      <x:c r="B166" s="767" t="inlineStr">
        <x:is>
          <x:t xml:space="preserve">MRVÖ9SLBUD</x:t>
        </x:is>
      </x:c>
      <x:c r="C166" s="767" t="inlineStr">
        <x:is>
          <x:t xml:space="preserve">Minireningsverk över 9 m³, slam. Budning</x:t>
        </x:is>
      </x:c>
      <x:c r="D166" s="767" t="inlineStr">
        <x:is>
          <x:t xml:space="preserve">RENH</x:t>
        </x:is>
      </x:c>
      <x:c r="E166" s="767" t="inlineStr">
        <x:is>
          <x:t xml:space="preserve">SLAM</x:t>
        </x:is>
      </x:c>
      <x:c r="F166" s="767" t="n">
        <x:v>1</x:v>
      </x:c>
      <x:c r="G166" s="767" t="inlineStr">
        <x:is>
          <x:t xml:space="preserve">ÅRKV</x:t>
        </x:is>
      </x:c>
      <x:c r="H166" s="767" t="inlineStr">
        <x:is>
          <x:t xml:space="preserve">Minireningsverk över 9 m³, slam. Budning</x:t>
        </x:is>
      </x:c>
      <x:c r="I166" s="767"/>
      <x:c r="J166" s="767"/>
      <x:c r="K166" s="767" t="n">
        <x:v>3240</x:v>
      </x:c>
      <x:c r="L166" s="852" t="n">
        <x:v>45474</x:v>
      </x:c>
      <x:c r="M166" s="767" t="n">
        <x:v>0</x:v>
      </x:c>
      <x:c r="N166" s="767"/>
      <x:c r="O166" s="767" t="inlineStr">
        <x:is>
          <x:t xml:space="preserve">-</x:t>
        </x:is>
      </x:c>
      <x:c r="P166" s="767" t="n">
        <x:v>1</x:v>
      </x:c>
      <x:c r="Q166" s="774" t="inlineStr">
        <x:is>
          <x:t xml:space="preserve">0</x:t>
        </x:is>
      </x:c>
    </x:row>
    <x:row r="167">
      <x:c r="A167" s="773" t="n">
        <x:v>1609</x:v>
      </x:c>
      <x:c r="B167" s="767" t="inlineStr">
        <x:is>
          <x:t xml:space="preserve">MRVÖ9SLORD</x:t>
        </x:is>
      </x:c>
      <x:c r="C167" s="767" t="inlineStr">
        <x:is>
          <x:t xml:space="preserve">Minireningsverk över 9 m³, slam. Ordinarie tur</x:t>
        </x:is>
      </x:c>
      <x:c r="D167" s="767" t="inlineStr">
        <x:is>
          <x:t xml:space="preserve">RENH</x:t>
        </x:is>
      </x:c>
      <x:c r="E167" s="767" t="inlineStr">
        <x:is>
          <x:t xml:space="preserve">SLAM</x:t>
        </x:is>
      </x:c>
      <x:c r="F167" s="767" t="n">
        <x:v>1</x:v>
      </x:c>
      <x:c r="G167" s="767" t="inlineStr">
        <x:is>
          <x:t xml:space="preserve">ÅRKV</x:t>
        </x:is>
      </x:c>
      <x:c r="H167" s="767" t="inlineStr">
        <x:is>
          <x:t xml:space="preserve">Minireningsverk över 9 m³, slam. Ordinarie tur</x:t>
        </x:is>
      </x:c>
      <x:c r="I167" s="767"/>
      <x:c r="J167" s="767"/>
      <x:c r="K167" s="767" t="n">
        <x:v>3240</x:v>
      </x:c>
      <x:c r="L167" s="852" t="n">
        <x:v>45474</x:v>
      </x:c>
      <x:c r="M167" s="767" t="n">
        <x:v>0</x:v>
      </x:c>
      <x:c r="N167" s="767"/>
      <x:c r="O167" s="767" t="inlineStr">
        <x:is>
          <x:t xml:space="preserve">-</x:t>
        </x:is>
      </x:c>
      <x:c r="P167" s="767" t="n">
        <x:v>1</x:v>
      </x:c>
      <x:c r="Q167" s="774" t="inlineStr">
        <x:is>
          <x:t xml:space="preserve">0</x:t>
        </x:is>
      </x:c>
    </x:row>
    <x:row r="168">
      <x:c r="A168" s="773" t="n">
        <x:v>1734</x:v>
      </x:c>
      <x:c r="B168" s="767" t="inlineStr">
        <x:is>
          <x:t xml:space="preserve">SLAKUT48TIM</x:t>
        </x:is>
      </x:c>
      <x:c r="C168" s="767" t="inlineStr">
        <x:is>
          <x:t xml:space="preserve">Tillägg för budning inom 48 timmar</x:t>
        </x:is>
      </x:c>
      <x:c r="D168" s="767" t="inlineStr">
        <x:is>
          <x:t xml:space="preserve">RENH</x:t>
        </x:is>
      </x:c>
      <x:c r="E168" s="767" t="inlineStr">
        <x:is>
          <x:t xml:space="preserve">SLAM</x:t>
        </x:is>
      </x:c>
      <x:c r="F168" s="767" t="n">
        <x:v>1</x:v>
      </x:c>
      <x:c r="G168" s="767" t="inlineStr">
        <x:is>
          <x:t xml:space="preserve">KVAN</x:t>
        </x:is>
      </x:c>
      <x:c r="H168" s="767" t="inlineStr">
        <x:is>
          <x:t xml:space="preserve">Tillägg för budning inom 48 timmar</x:t>
        </x:is>
      </x:c>
      <x:c r="I168" s="767"/>
      <x:c r="J168" s="767"/>
      <x:c r="K168" s="767" t="n">
        <x:v>2800</x:v>
      </x:c>
      <x:c r="L168" s="852" t="n">
        <x:v>45474</x:v>
      </x:c>
      <x:c r="M168" s="767" t="n">
        <x:v>0</x:v>
      </x:c>
      <x:c r="N168" s="767"/>
      <x:c r="O168" s="767" t="inlineStr">
        <x:is>
          <x:t xml:space="preserve">-</x:t>
        </x:is>
      </x:c>
      <x:c r="P168" s="767" t="n">
        <x:v>1</x:v>
      </x:c>
      <x:c r="Q168" s="774" t="inlineStr">
        <x:is>
          <x:t xml:space="preserve">ANTL</x:t>
        </x:is>
      </x:c>
    </x:row>
    <x:row r="169">
      <x:c r="A169" s="773" t="n">
        <x:v>1712</x:v>
      </x:c>
      <x:c r="B169" s="767" t="inlineStr">
        <x:is>
          <x:t xml:space="preserve">SLT03SL</x:t>
        </x:is>
      </x:c>
      <x:c r="C169" s="767" t="inlineStr">
        <x:is>
          <x:t xml:space="preserve">Sluten tank 0-3 m³, slam</x:t>
        </x:is>
      </x:c>
      <x:c r="D169" s="767" t="inlineStr">
        <x:is>
          <x:t xml:space="preserve">RENH</x:t>
        </x:is>
      </x:c>
      <x:c r="E169" s="767" t="inlineStr">
        <x:is>
          <x:t xml:space="preserve">SLAM</x:t>
        </x:is>
      </x:c>
      <x:c r="F169" s="767" t="n">
        <x:v>1</x:v>
      </x:c>
      <x:c r="G169" s="767" t="inlineStr">
        <x:is>
          <x:t xml:space="preserve">KVAN</x:t>
        </x:is>
      </x:c>
      <x:c r="H169" s="767" t="inlineStr">
        <x:is>
          <x:t xml:space="preserve">Tömning slam, sluten tank 0-3 m³</x:t>
        </x:is>
      </x:c>
      <x:c r="I169" s="767"/>
      <x:c r="J169" s="767"/>
      <x:c r="K169" s="767" t="n">
        <x:v>1320</x:v>
      </x:c>
      <x:c r="L169" s="852" t="n">
        <x:v>45474</x:v>
      </x:c>
      <x:c r="M169" s="767" t="n">
        <x:v>0</x:v>
      </x:c>
      <x:c r="N169" s="767"/>
      <x:c r="O169" s="767" t="inlineStr">
        <x:is>
          <x:t xml:space="preserve">-</x:t>
        </x:is>
      </x:c>
      <x:c r="P169" s="767" t="n">
        <x:v>1</x:v>
      </x:c>
      <x:c r="Q169" s="774" t="inlineStr">
        <x:is>
          <x:t xml:space="preserve">ANTL</x:t>
        </x:is>
      </x:c>
    </x:row>
    <x:row r="170">
      <x:c r="A170" s="773" t="n">
        <x:v>1713</x:v>
      </x:c>
      <x:c r="B170" s="767" t="inlineStr">
        <x:is>
          <x:t xml:space="preserve">SLT36SL</x:t>
        </x:is>
      </x:c>
      <x:c r="C170" s="767" t="inlineStr">
        <x:is>
          <x:t xml:space="preserve">Sluten tank 3,1-6 m³, slam</x:t>
        </x:is>
      </x:c>
      <x:c r="D170" s="767" t="inlineStr">
        <x:is>
          <x:t xml:space="preserve">RENH</x:t>
        </x:is>
      </x:c>
      <x:c r="E170" s="767" t="inlineStr">
        <x:is>
          <x:t xml:space="preserve">SLAM</x:t>
        </x:is>
      </x:c>
      <x:c r="F170" s="767" t="n">
        <x:v>1</x:v>
      </x:c>
      <x:c r="G170" s="767" t="inlineStr">
        <x:is>
          <x:t xml:space="preserve">KVAN</x:t>
        </x:is>
      </x:c>
      <x:c r="H170" s="767" t="inlineStr">
        <x:is>
          <x:t xml:space="preserve">Tömning slam, sluten tank 3,1-6 m³</x:t>
        </x:is>
      </x:c>
      <x:c r="I170" s="767"/>
      <x:c r="J170" s="767"/>
      <x:c r="K170" s="767" t="n">
        <x:v>2280</x:v>
      </x:c>
      <x:c r="L170" s="852" t="n">
        <x:v>45474</x:v>
      </x:c>
      <x:c r="M170" s="767" t="n">
        <x:v>0</x:v>
      </x:c>
      <x:c r="N170" s="767"/>
      <x:c r="O170" s="767" t="inlineStr">
        <x:is>
          <x:t xml:space="preserve">-</x:t>
        </x:is>
      </x:c>
      <x:c r="P170" s="767" t="n">
        <x:v>1</x:v>
      </x:c>
      <x:c r="Q170" s="774" t="inlineStr">
        <x:is>
          <x:t xml:space="preserve">ANTL</x:t>
        </x:is>
      </x:c>
    </x:row>
    <x:row r="171">
      <x:c r="A171" s="773" t="n">
        <x:v>1714</x:v>
      </x:c>
      <x:c r="B171" s="767" t="inlineStr">
        <x:is>
          <x:t xml:space="preserve">SLT69SL</x:t>
        </x:is>
      </x:c>
      <x:c r="C171" s="767" t="inlineStr">
        <x:is>
          <x:t xml:space="preserve">Sluten tank över 6,1 m³, slam</x:t>
        </x:is>
      </x:c>
      <x:c r="D171" s="767" t="inlineStr">
        <x:is>
          <x:t xml:space="preserve">RENH</x:t>
        </x:is>
      </x:c>
      <x:c r="E171" s="767" t="inlineStr">
        <x:is>
          <x:t xml:space="preserve">SLAM</x:t>
        </x:is>
      </x:c>
      <x:c r="F171" s="767" t="n">
        <x:v>1</x:v>
      </x:c>
      <x:c r="G171" s="767" t="inlineStr">
        <x:is>
          <x:t xml:space="preserve">KVAN</x:t>
        </x:is>
      </x:c>
      <x:c r="H171" s="767" t="inlineStr">
        <x:is>
          <x:t xml:space="preserve">Tömning slam, sluten tank över 6,1 m³</x:t>
        </x:is>
      </x:c>
      <x:c r="I171" s="767"/>
      <x:c r="J171" s="767"/>
      <x:c r="K171" s="767" t="n">
        <x:v>3240</x:v>
      </x:c>
      <x:c r="L171" s="852" t="n">
        <x:v>45474</x:v>
      </x:c>
      <x:c r="M171" s="767" t="n">
        <x:v>0</x:v>
      </x:c>
      <x:c r="N171" s="767"/>
      <x:c r="O171" s="767" t="inlineStr">
        <x:is>
          <x:t xml:space="preserve">-</x:t>
        </x:is>
      </x:c>
      <x:c r="P171" s="767" t="n">
        <x:v>1</x:v>
      </x:c>
      <x:c r="Q171" s="774" t="inlineStr">
        <x:is>
          <x:t xml:space="preserve">ANTL</x:t>
        </x:is>
      </x:c>
    </x:row>
    <x:row r="172">
      <x:c r="A172" s="773" t="n">
        <x:v>1726</x:v>
      </x:c>
      <x:c r="B172" s="767" t="inlineStr">
        <x:is>
          <x:t xml:space="preserve">SLTUNGTLOCK</x:t>
        </x:is>
      </x:c>
      <x:c r="C172" s="767" t="inlineStr">
        <x:is>
          <x:t xml:space="preserve">Tillägg lyft av tungt brunnslock över 15 kg</x:t>
        </x:is>
      </x:c>
      <x:c r="D172" s="767" t="inlineStr">
        <x:is>
          <x:t xml:space="preserve">RENH</x:t>
        </x:is>
      </x:c>
      <x:c r="E172" s="767" t="inlineStr">
        <x:is>
          <x:t xml:space="preserve">SLAM</x:t>
        </x:is>
      </x:c>
      <x:c r="F172" s="767" t="n">
        <x:v>1</x:v>
      </x:c>
      <x:c r="G172" s="767" t="inlineStr">
        <x:is>
          <x:t xml:space="preserve">KVAN</x:t>
        </x:is>
      </x:c>
      <x:c r="H172" s="767" t="inlineStr">
        <x:is>
          <x:t xml:space="preserve">Tillägg lyft av tungt brunnslock över 15 kg</x:t>
        </x:is>
      </x:c>
      <x:c r="I172" s="767"/>
      <x:c r="J172" s="767"/>
      <x:c r="K172" s="767" t="n">
        <x:v>760</x:v>
      </x:c>
      <x:c r="L172" s="852" t="n">
        <x:v>45474</x:v>
      </x:c>
      <x:c r="M172" s="767" t="n">
        <x:v>0</x:v>
      </x:c>
      <x:c r="N172" s="767"/>
      <x:c r="O172" s="767" t="inlineStr">
        <x:is>
          <x:t xml:space="preserve">-</x:t>
        </x:is>
      </x:c>
      <x:c r="P172" s="767" t="n">
        <x:v>1</x:v>
      </x:c>
      <x:c r="Q172" s="774" t="inlineStr">
        <x:is>
          <x:t xml:space="preserve">ANTL</x:t>
        </x:is>
      </x:c>
    </x:row>
    <x:row r="173">
      <x:c r="A173" s="773" t="n">
        <x:v>1728</x:v>
      </x:c>
      <x:c r="B173" s="767" t="inlineStr">
        <x:is>
          <x:t xml:space="preserve">SLFRAMKÖR</x:t>
        </x:is>
      </x:c>
      <x:c r="C173" s="767" t="inlineStr">
        <x:is>
          <x:t xml:space="preserve">Framkörningsavgift/bom vid ej genomförd tömning</x:t>
        </x:is>
      </x:c>
      <x:c r="D173" s="767" t="inlineStr">
        <x:is>
          <x:t xml:space="preserve">RENH</x:t>
        </x:is>
      </x:c>
      <x:c r="E173" s="767" t="inlineStr">
        <x:is>
          <x:t xml:space="preserve">SLAM</x:t>
        </x:is>
      </x:c>
      <x:c r="F173" s="767" t="n">
        <x:v>1</x:v>
      </x:c>
      <x:c r="G173" s="767" t="inlineStr">
        <x:is>
          <x:t xml:space="preserve">KVAN</x:t>
        </x:is>
      </x:c>
      <x:c r="H173" s="767" t="inlineStr">
        <x:is>
          <x:t xml:space="preserve">Framkörningsavgift vid ej genomförd tömning</x:t>
        </x:is>
      </x:c>
      <x:c r="I173" s="767"/>
      <x:c r="J173" s="767"/>
      <x:c r="K173" s="767" t="n">
        <x:v>1200</x:v>
      </x:c>
      <x:c r="L173" s="852" t="n">
        <x:v>45491</x:v>
      </x:c>
      <x:c r="M173" s="767" t="n">
        <x:v>0</x:v>
      </x:c>
      <x:c r="N173" s="767"/>
      <x:c r="O173" s="767" t="inlineStr">
        <x:is>
          <x:t xml:space="preserve">-</x:t>
        </x:is>
      </x:c>
      <x:c r="P173" s="767" t="n">
        <x:v>1</x:v>
      </x:c>
      <x:c r="Q173" s="774" t="inlineStr">
        <x:is>
          <x:t xml:space="preserve">ANTL</x:t>
        </x:is>
      </x:c>
    </x:row>
    <x:row r="174">
      <x:c r="A174" s="773" t="n">
        <x:v>1711</x:v>
      </x:c>
      <x:c r="B174" s="767" t="inlineStr">
        <x:is>
          <x:t xml:space="preserve">SLKBM9</x:t>
        </x:is>
      </x:c>
      <x:c r="C174" s="767" t="inlineStr">
        <x:is>
          <x:t xml:space="preserve">Tillägg för kubikmeter överstigande 9,1 m³</x:t>
        </x:is>
      </x:c>
      <x:c r="D174" s="767" t="inlineStr">
        <x:is>
          <x:t xml:space="preserve">RENH</x:t>
        </x:is>
      </x:c>
      <x:c r="E174" s="767" t="inlineStr">
        <x:is>
          <x:t xml:space="preserve">SLAM</x:t>
        </x:is>
      </x:c>
      <x:c r="F174" s="767" t="n">
        <x:v>1</x:v>
      </x:c>
      <x:c r="G174" s="767" t="inlineStr">
        <x:is>
          <x:t xml:space="preserve">KVAN</x:t>
        </x:is>
      </x:c>
      <x:c r="H174" s="767" t="inlineStr">
        <x:is>
          <x:t xml:space="preserve">Tillägg för kubikmeter överstigande 9,1 m³</x:t>
        </x:is>
      </x:c>
      <x:c r="I174" s="767"/>
      <x:c r="J174" s="767"/>
      <x:c r="K174" s="767" t="n">
        <x:v>560</x:v>
      </x:c>
      <x:c r="L174" s="852" t="n">
        <x:v>45491</x:v>
      </x:c>
      <x:c r="M174" s="767" t="n">
        <x:v>0</x:v>
      </x:c>
      <x:c r="N174" s="767"/>
      <x:c r="O174" s="767" t="inlineStr">
        <x:is>
          <x:t xml:space="preserve">-</x:t>
        </x:is>
      </x:c>
      <x:c r="P174" s="767" t="n">
        <x:v>1</x:v>
      </x:c>
      <x:c r="Q174" s="774" t="inlineStr">
        <x:is>
          <x:t xml:space="preserve">KBMS</x:t>
        </x:is>
      </x:c>
    </x:row>
    <x:row r="175">
      <x:c r="A175" s="773" t="n">
        <x:v>1725</x:v>
      </x:c>
      <x:c r="B175" s="767" t="inlineStr">
        <x:is>
          <x:t xml:space="preserve">SLMEDDELANDE</x:t>
        </x:is>
      </x:c>
      <x:c r="C175" s="767" t="inlineStr">
        <x:is>
          <x:t xml:space="preserve">Tillägg om förändring av slamtömning inte meddelats</x:t>
        </x:is>
      </x:c>
      <x:c r="D175" s="767" t="inlineStr">
        <x:is>
          <x:t xml:space="preserve">RENH</x:t>
        </x:is>
      </x:c>
      <x:c r="E175" s="767" t="inlineStr">
        <x:is>
          <x:t xml:space="preserve">SLAM</x:t>
        </x:is>
      </x:c>
      <x:c r="F175" s="767" t="n">
        <x:v>1</x:v>
      </x:c>
      <x:c r="G175" s="767" t="inlineStr">
        <x:is>
          <x:t xml:space="preserve">KVAN</x:t>
        </x:is>
      </x:c>
      <x:c r="H175" s="767" t="inlineStr">
        <x:is>
          <x:t xml:space="preserve">Tillägg om förändring av slamtömning inte meddelats</x:t>
        </x:is>
      </x:c>
      <x:c r="I175" s="767"/>
      <x:c r="J175" s="767"/>
      <x:c r="K175" s="767" t="n">
        <x:v>1200</x:v>
      </x:c>
      <x:c r="L175" s="852" t="n">
        <x:v>45491</x:v>
      </x:c>
      <x:c r="M175" s="767" t="n">
        <x:v>0</x:v>
      </x:c>
      <x:c r="N175" s="767"/>
      <x:c r="O175" s="767" t="inlineStr">
        <x:is>
          <x:t xml:space="preserve">-</x:t>
        </x:is>
      </x:c>
      <x:c r="P175" s="767" t="n">
        <x:v>1</x:v>
      </x:c>
      <x:c r="Q175" s="774" t="inlineStr">
        <x:is>
          <x:t xml:space="preserve">ANTL</x:t>
        </x:is>
      </x:c>
    </x:row>
    <x:row r="176">
      <x:c r="A176" s="773" t="n">
        <x:v>1730</x:v>
      </x:c>
      <x:c r="B176" s="767" t="inlineStr">
        <x:is>
          <x:t xml:space="preserve">SLSAMTIDA</x:t>
        </x:is>
      </x:c>
      <x:c r="C176" s="767" t="inlineStr">
        <x:is>
          <x:t xml:space="preserve">Tömning slam samtida brunn/tank mindre än 5 m³</x:t>
        </x:is>
      </x:c>
      <x:c r="D176" s="767" t="inlineStr">
        <x:is>
          <x:t xml:space="preserve">RENH</x:t>
        </x:is>
      </x:c>
      <x:c r="E176" s="767" t="inlineStr">
        <x:is>
          <x:t xml:space="preserve">SLAM</x:t>
        </x:is>
      </x:c>
      <x:c r="F176" s="767" t="n">
        <x:v>1</x:v>
      </x:c>
      <x:c r="G176" s="767" t="inlineStr">
        <x:is>
          <x:t xml:space="preserve">KVAN</x:t>
        </x:is>
      </x:c>
      <x:c r="H176" s="767" t="inlineStr">
        <x:is>
          <x:t xml:space="preserve">Tömning slam samtida brunn/tank mindre än 5 m³</x:t>
        </x:is>
      </x:c>
      <x:c r="I176" s="767"/>
      <x:c r="J176" s="767"/>
      <x:c r="K176" s="767" t="n">
        <x:v>1320</x:v>
      </x:c>
      <x:c r="L176" s="852" t="n">
        <x:v>45491</x:v>
      </x:c>
      <x:c r="M176" s="767" t="n">
        <x:v>0</x:v>
      </x:c>
      <x:c r="N176" s="767"/>
      <x:c r="O176" s="767" t="inlineStr">
        <x:is>
          <x:t xml:space="preserve">-</x:t>
        </x:is>
      </x:c>
      <x:c r="P176" s="767" t="n">
        <x:v>1</x:v>
      </x:c>
      <x:c r="Q176" s="774" t="inlineStr">
        <x:is>
          <x:t xml:space="preserve">ANTL</x:t>
        </x:is>
      </x:c>
    </x:row>
    <x:row r="177">
      <x:c r="A177" s="773" t="n">
        <x:v>1717</x:v>
      </x:c>
      <x:c r="B177" s="767" t="inlineStr">
        <x:is>
          <x:t xml:space="preserve">SLSLANG</x:t>
        </x:is>
      </x:c>
      <x:c r="C177" s="767" t="inlineStr">
        <x:is>
          <x:t xml:space="preserve">Total slanglängd (meter)</x:t>
        </x:is>
      </x:c>
      <x:c r="D177" s="767" t="inlineStr">
        <x:is>
          <x:t xml:space="preserve">RENH</x:t>
        </x:is>
      </x:c>
      <x:c r="E177" s="767" t="inlineStr">
        <x:is>
          <x:t xml:space="preserve">SLAM</x:t>
        </x:is>
      </x:c>
      <x:c r="F177" s="767" t="n">
        <x:v>1</x:v>
      </x:c>
      <x:c r="G177" s="767" t="inlineStr">
        <x:is>
          <x:t xml:space="preserve">KVAN</x:t>
        </x:is>
      </x:c>
      <x:c r="H177" s="767" t="inlineStr">
        <x:is>
          <x:t xml:space="preserve">Total slanglängd, 10-30 m</x:t>
        </x:is>
      </x:c>
      <x:c r="I177" s="767"/>
      <x:c r="J177" s="767"/>
      <x:c r="K177" s="767" t="n">
        <x:v>320</x:v>
      </x:c>
      <x:c r="L177" s="852" t="n">
        <x:v>45491</x:v>
      </x:c>
      <x:c r="M177" s="767" t="n">
        <x:v>0</x:v>
      </x:c>
      <x:c r="N177" s="767"/>
      <x:c r="O177" s="767" t="inlineStr">
        <x:is>
          <x:t xml:space="preserve">-</x:t>
        </x:is>
      </x:c>
      <x:c r="P177" s="767" t="n">
        <x:v>1</x:v>
      </x:c>
      <x:c r="Q177" s="774" t="inlineStr">
        <x:is>
          <x:t xml:space="preserve">SLNG[10-30],MAX1</x:t>
        </x:is>
      </x:c>
    </x:row>
    <x:row r="178">
      <x:c r="A178" s="773" t="n">
        <x:v>1718</x:v>
      </x:c>
      <x:c r="B178" s="767" t="inlineStr">
        <x:is>
          <x:t xml:space="preserve">SLSLANG</x:t>
        </x:is>
      </x:c>
      <x:c r="C178" s="767" t="inlineStr">
        <x:is>
          <x:t xml:space="preserve">Total slanglängd (meter)</x:t>
        </x:is>
      </x:c>
      <x:c r="D178" s="767" t="inlineStr">
        <x:is>
          <x:t xml:space="preserve">RENH</x:t>
        </x:is>
      </x:c>
      <x:c r="E178" s="767" t="inlineStr">
        <x:is>
          <x:t xml:space="preserve">SLAM</x:t>
        </x:is>
      </x:c>
      <x:c r="F178" s="767" t="n">
        <x:v>2</x:v>
      </x:c>
      <x:c r="G178" s="767" t="inlineStr">
        <x:is>
          <x:t xml:space="preserve">KVAN</x:t>
        </x:is>
      </x:c>
      <x:c r="H178" s="767" t="inlineStr">
        <x:is>
          <x:t xml:space="preserve">Total slanglängd, 30-40 m</x:t>
        </x:is>
      </x:c>
      <x:c r="I178" s="767"/>
      <x:c r="J178" s="767"/>
      <x:c r="K178" s="767" t="n">
        <x:v>480</x:v>
      </x:c>
      <x:c r="L178" s="852" t="n">
        <x:v>45491</x:v>
      </x:c>
      <x:c r="M178" s="767" t="n">
        <x:v>0</x:v>
      </x:c>
      <x:c r="N178" s="767"/>
      <x:c r="O178" s="767" t="inlineStr">
        <x:is>
          <x:t xml:space="preserve">-</x:t>
        </x:is>
      </x:c>
      <x:c r="P178" s="767" t="n">
        <x:v>1</x:v>
      </x:c>
      <x:c r="Q178" s="774" t="inlineStr">
        <x:is>
          <x:t xml:space="preserve">SLNG[31-40],MAX1</x:t>
        </x:is>
      </x:c>
    </x:row>
    <x:row r="179">
      <x:c r="A179" s="773" t="n">
        <x:v>1719</x:v>
      </x:c>
      <x:c r="B179" s="767" t="inlineStr">
        <x:is>
          <x:t xml:space="preserve">SLSLANG</x:t>
        </x:is>
      </x:c>
      <x:c r="C179" s="767" t="inlineStr">
        <x:is>
          <x:t xml:space="preserve">Total slanglängd (meter)</x:t>
        </x:is>
      </x:c>
      <x:c r="D179" s="767" t="inlineStr">
        <x:is>
          <x:t xml:space="preserve">RENH</x:t>
        </x:is>
      </x:c>
      <x:c r="E179" s="767" t="inlineStr">
        <x:is>
          <x:t xml:space="preserve">SLAM</x:t>
        </x:is>
      </x:c>
      <x:c r="F179" s="767" t="n">
        <x:v>3</x:v>
      </x:c>
      <x:c r="G179" s="767" t="inlineStr">
        <x:is>
          <x:t xml:space="preserve">KVAN</x:t>
        </x:is>
      </x:c>
      <x:c r="H179" s="767" t="inlineStr">
        <x:is>
          <x:t xml:space="preserve">Total slanglängd, över 40 m</x:t>
        </x:is>
      </x:c>
      <x:c r="I179" s="767"/>
      <x:c r="J179" s="767"/>
      <x:c r="K179" s="767" t="n">
        <x:v>720</x:v>
      </x:c>
      <x:c r="L179" s="852" t="n">
        <x:v>45491</x:v>
      </x:c>
      <x:c r="M179" s="767" t="n">
        <x:v>0</x:v>
      </x:c>
      <x:c r="N179" s="767"/>
      <x:c r="O179" s="767" t="inlineStr">
        <x:is>
          <x:t xml:space="preserve">-</x:t>
        </x:is>
      </x:c>
      <x:c r="P179" s="767" t="n">
        <x:v>1</x:v>
      </x:c>
      <x:c r="Q179" s="774" t="inlineStr">
        <x:is>
          <x:t xml:space="preserve">SLNG[41-],MAX1</x:t>
        </x:is>
      </x:c>
    </x:row>
    <x:row r="180">
      <x:c r="A180" s="773" t="n">
        <x:v>1905</x:v>
      </x:c>
      <x:c r="B180" s="767" t="inlineStr">
        <x:is>
          <x:t xml:space="preserve">SLSLANG</x:t>
        </x:is>
      </x:c>
      <x:c r="C180" s="767" t="inlineStr">
        <x:is>
          <x:t xml:space="preserve">Total slanglängd (meter)</x:t>
        </x:is>
      </x:c>
      <x:c r="D180" s="767" t="inlineStr">
        <x:is>
          <x:t xml:space="preserve">RENH</x:t>
        </x:is>
      </x:c>
      <x:c r="E180" s="767" t="inlineStr">
        <x:is>
          <x:t xml:space="preserve">SLAM</x:t>
        </x:is>
      </x:c>
      <x:c r="F180" s="767" t="n">
        <x:v>4</x:v>
      </x:c>
      <x:c r="G180" s="767" t="inlineStr">
        <x:is>
          <x:t xml:space="preserve">KVAN</x:t>
        </x:is>
      </x:c>
      <x:c r="H180" s="767" t="inlineStr">
        <x:is>
          <x:t xml:space="preserve">ENT Total slanglängd, 1-10 m</x:t>
        </x:is>
      </x:c>
      <x:c r="I180" s="767"/>
      <x:c r="J180" s="767"/>
      <x:c r="K180" s="767" t="n">
        <x:v>320</x:v>
      </x:c>
      <x:c r="L180" s="852" t="n">
        <x:v>45491</x:v>
      </x:c>
      <x:c r="M180" s="767" t="n">
        <x:v>0</x:v>
      </x:c>
      <x:c r="N180" s="767"/>
      <x:c r="O180" s="767" t="inlineStr">
        <x:is>
          <x:t xml:space="preserve">-</x:t>
        </x:is>
      </x:c>
      <x:c r="P180" s="767" t="n">
        <x:v>1</x:v>
      </x:c>
      <x:c r="Q180" s="774" t="inlineStr">
        <x:is>
          <x:t xml:space="preserve">SLNG[1-10],MAX1</x:t>
        </x:is>
      </x:c>
    </x:row>
    <x:row r="181">
      <x:c r="A181" s="773" t="n">
        <x:v>1906</x:v>
      </x:c>
      <x:c r="B181" s="767" t="inlineStr">
        <x:is>
          <x:t xml:space="preserve">SLSLANG</x:t>
        </x:is>
      </x:c>
      <x:c r="C181" s="767" t="inlineStr">
        <x:is>
          <x:t xml:space="preserve">Total slanglängd (meter)</x:t>
        </x:is>
      </x:c>
      <x:c r="D181" s="767" t="inlineStr">
        <x:is>
          <x:t xml:space="preserve">RENH</x:t>
        </x:is>
      </x:c>
      <x:c r="E181" s="767" t="inlineStr">
        <x:is>
          <x:t xml:space="preserve">SLAM</x:t>
        </x:is>
      </x:c>
      <x:c r="F181" s="767" t="n">
        <x:v>5</x:v>
      </x:c>
      <x:c r="G181" s="767" t="inlineStr">
        <x:is>
          <x:t xml:space="preserve">KVAN</x:t>
        </x:is>
      </x:c>
      <x:c r="H181" s="767" t="inlineStr">
        <x:is>
          <x:t xml:space="preserve">ENT Total slanglängd, 11-20 m</x:t>
        </x:is>
      </x:c>
      <x:c r="I181" s="767"/>
      <x:c r="J181" s="767"/>
      <x:c r="K181" s="767" t="n">
        <x:v>320</x:v>
      </x:c>
      <x:c r="L181" s="852" t="n">
        <x:v>45491</x:v>
      </x:c>
      <x:c r="M181" s="767" t="n">
        <x:v>0</x:v>
      </x:c>
      <x:c r="N181" s="767"/>
      <x:c r="O181" s="767" t="inlineStr">
        <x:is>
          <x:t xml:space="preserve">-</x:t>
        </x:is>
      </x:c>
      <x:c r="P181" s="767" t="n">
        <x:v>1</x:v>
      </x:c>
      <x:c r="Q181" s="774" t="inlineStr">
        <x:is>
          <x:t xml:space="preserve">SLNG[11-20],MAX1</x:t>
        </x:is>
      </x:c>
    </x:row>
    <x:row r="182">
      <x:c r="A182" s="773" t="n">
        <x:v>1907</x:v>
      </x:c>
      <x:c r="B182" s="767" t="inlineStr">
        <x:is>
          <x:t xml:space="preserve">SLSLANG</x:t>
        </x:is>
      </x:c>
      <x:c r="C182" s="767" t="inlineStr">
        <x:is>
          <x:t xml:space="preserve">Total slanglängd (meter)</x:t>
        </x:is>
      </x:c>
      <x:c r="D182" s="767" t="inlineStr">
        <x:is>
          <x:t xml:space="preserve">RENH</x:t>
        </x:is>
      </x:c>
      <x:c r="E182" s="767" t="inlineStr">
        <x:is>
          <x:t xml:space="preserve">SLAM</x:t>
        </x:is>
      </x:c>
      <x:c r="F182" s="767" t="n">
        <x:v>6</x:v>
      </x:c>
      <x:c r="G182" s="767" t="inlineStr">
        <x:is>
          <x:t xml:space="preserve">KVAN</x:t>
        </x:is>
      </x:c>
      <x:c r="H182" s="767" t="inlineStr">
        <x:is>
          <x:t xml:space="preserve">ENT Total slanglängd, 21-30 m</x:t>
        </x:is>
      </x:c>
      <x:c r="I182" s="767"/>
      <x:c r="J182" s="767"/>
      <x:c r="K182" s="767" t="n">
        <x:v>480</x:v>
      </x:c>
      <x:c r="L182" s="852" t="n">
        <x:v>45491</x:v>
      </x:c>
      <x:c r="M182" s="767" t="n">
        <x:v>0</x:v>
      </x:c>
      <x:c r="N182" s="767"/>
      <x:c r="O182" s="767" t="inlineStr">
        <x:is>
          <x:t xml:space="preserve">-</x:t>
        </x:is>
      </x:c>
      <x:c r="P182" s="767" t="n">
        <x:v>1</x:v>
      </x:c>
      <x:c r="Q182" s="774" t="inlineStr">
        <x:is>
          <x:t xml:space="preserve">SLNG[21-30],MAX1</x:t>
        </x:is>
      </x:c>
    </x:row>
    <x:row r="183">
      <x:c r="A183" s="773" t="n">
        <x:v>1908</x:v>
      </x:c>
      <x:c r="B183" s="767" t="inlineStr">
        <x:is>
          <x:t xml:space="preserve">SLSLANG</x:t>
        </x:is>
      </x:c>
      <x:c r="C183" s="767" t="inlineStr">
        <x:is>
          <x:t xml:space="preserve">Total slanglängd (meter)</x:t>
        </x:is>
      </x:c>
      <x:c r="D183" s="767" t="inlineStr">
        <x:is>
          <x:t xml:space="preserve">RENH</x:t>
        </x:is>
      </x:c>
      <x:c r="E183" s="767" t="inlineStr">
        <x:is>
          <x:t xml:space="preserve">SLAM</x:t>
        </x:is>
      </x:c>
      <x:c r="F183" s="767" t="n">
        <x:v>7</x:v>
      </x:c>
      <x:c r="G183" s="767" t="inlineStr">
        <x:is>
          <x:t xml:space="preserve">KVAN</x:t>
        </x:is>
      </x:c>
      <x:c r="H183" s="767" t="inlineStr">
        <x:is>
          <x:t xml:space="preserve">ENT Total slanglängd, 31-40 m</x:t>
        </x:is>
      </x:c>
      <x:c r="I183" s="767"/>
      <x:c r="J183" s="767"/>
      <x:c r="K183" s="767" t="n">
        <x:v>720</x:v>
      </x:c>
      <x:c r="L183" s="852" t="n">
        <x:v>45491</x:v>
      </x:c>
      <x:c r="M183" s="767" t="n">
        <x:v>0</x:v>
      </x:c>
      <x:c r="N183" s="767"/>
      <x:c r="O183" s="767" t="inlineStr">
        <x:is>
          <x:t xml:space="preserve">-</x:t>
        </x:is>
      </x:c>
      <x:c r="P183" s="767" t="n">
        <x:v>1</x:v>
      </x:c>
      <x:c r="Q183" s="774" t="inlineStr">
        <x:is>
          <x:t xml:space="preserve">SLNG[31-40],MAX1</x:t>
        </x:is>
      </x:c>
    </x:row>
    <x:row r="184">
      <x:c r="A184" s="773" t="n">
        <x:v>1909</x:v>
      </x:c>
      <x:c r="B184" s="767" t="inlineStr">
        <x:is>
          <x:t xml:space="preserve">SLSLANG</x:t>
        </x:is>
      </x:c>
      <x:c r="C184" s="767" t="inlineStr">
        <x:is>
          <x:t xml:space="preserve">Total slanglängd (meter)</x:t>
        </x:is>
      </x:c>
      <x:c r="D184" s="767" t="inlineStr">
        <x:is>
          <x:t xml:space="preserve">RENH</x:t>
        </x:is>
      </x:c>
      <x:c r="E184" s="767" t="inlineStr">
        <x:is>
          <x:t xml:space="preserve">SLAM</x:t>
        </x:is>
      </x:c>
      <x:c r="F184" s="767" t="n">
        <x:v>8</x:v>
      </x:c>
      <x:c r="G184" s="767" t="inlineStr">
        <x:is>
          <x:t xml:space="preserve">KVAN</x:t>
        </x:is>
      </x:c>
      <x:c r="H184" s="767" t="inlineStr">
        <x:is>
          <x:t xml:space="preserve">ENT Total slanglängd, 41-50 m</x:t>
        </x:is>
      </x:c>
      <x:c r="I184" s="767"/>
      <x:c r="J184" s="767"/>
      <x:c r="K184" s="767" t="n">
        <x:v>1200</x:v>
      </x:c>
      <x:c r="L184" s="852" t="n">
        <x:v>45491</x:v>
      </x:c>
      <x:c r="M184" s="767" t="n">
        <x:v>0</x:v>
      </x:c>
      <x:c r="N184" s="767"/>
      <x:c r="O184" s="767" t="inlineStr">
        <x:is>
          <x:t xml:space="preserve">-</x:t>
        </x:is>
      </x:c>
      <x:c r="P184" s="767" t="n">
        <x:v>1</x:v>
      </x:c>
      <x:c r="Q184" s="774" t="inlineStr">
        <x:is>
          <x:t xml:space="preserve">SLNG[41-50],MAX1</x:t>
        </x:is>
      </x:c>
    </x:row>
    <x:row r="185">
      <x:c r="A185" s="773" t="n">
        <x:v>1910</x:v>
      </x:c>
      <x:c r="B185" s="767" t="inlineStr">
        <x:is>
          <x:t xml:space="preserve">SLSLANG</x:t>
        </x:is>
      </x:c>
      <x:c r="C185" s="767" t="inlineStr">
        <x:is>
          <x:t xml:space="preserve">Total slanglängd (meter)</x:t>
        </x:is>
      </x:c>
      <x:c r="D185" s="767" t="inlineStr">
        <x:is>
          <x:t xml:space="preserve">RENH</x:t>
        </x:is>
      </x:c>
      <x:c r="E185" s="767" t="inlineStr">
        <x:is>
          <x:t xml:space="preserve">SLAM</x:t>
        </x:is>
      </x:c>
      <x:c r="F185" s="767" t="n">
        <x:v>9</x:v>
      </x:c>
      <x:c r="G185" s="767" t="inlineStr">
        <x:is>
          <x:t xml:space="preserve">KVAN</x:t>
        </x:is>
      </x:c>
      <x:c r="H185" s="767" t="inlineStr">
        <x:is>
          <x:t xml:space="preserve">Total slanglängd 0-10 meter</x:t>
        </x:is>
      </x:c>
      <x:c r="I185" s="767"/>
      <x:c r="J185" s="767"/>
      <x:c r="K185" s="767" t="n">
        <x:v>0</x:v>
      </x:c>
      <x:c r="L185" s="852" t="n">
        <x:v>45491</x:v>
      </x:c>
      <x:c r="M185" s="767" t="n">
        <x:v>0</x:v>
      </x:c>
      <x:c r="N185" s="767"/>
      <x:c r="O185" s="767" t="inlineStr">
        <x:is>
          <x:t xml:space="preserve">-</x:t>
        </x:is>
      </x:c>
      <x:c r="P185" s="767" t="n">
        <x:v>1</x:v>
      </x:c>
      <x:c r="Q185" s="774" t="inlineStr">
        <x:is>
          <x:t xml:space="preserve">SLNG[0-10],MAX1</x:t>
        </x:is>
      </x:c>
    </x:row>
    <x:row r="186">
      <x:c r="A186" s="773" t="n">
        <x:v>1912</x:v>
      </x:c>
      <x:c r="B186" s="767" t="inlineStr">
        <x:is>
          <x:t xml:space="preserve">SLSLANG</x:t>
        </x:is>
      </x:c>
      <x:c r="C186" s="767" t="inlineStr">
        <x:is>
          <x:t xml:space="preserve">Total slanglängd (meter)</x:t>
        </x:is>
      </x:c>
      <x:c r="D186" s="767" t="inlineStr">
        <x:is>
          <x:t xml:space="preserve">RENH</x:t>
        </x:is>
      </x:c>
      <x:c r="E186" s="767" t="inlineStr">
        <x:is>
          <x:t xml:space="preserve">SLAM</x:t>
        </x:is>
      </x:c>
      <x:c r="F186" s="767" t="n">
        <x:v>10</x:v>
      </x:c>
      <x:c r="G186" s="767" t="inlineStr">
        <x:is>
          <x:t xml:space="preserve">KVAN</x:t>
        </x:is>
      </x:c>
      <x:c r="H186" s="767" t="inlineStr">
        <x:is>
          <x:t xml:space="preserve">Total slanglängd 21-30 meter</x:t>
        </x:is>
      </x:c>
      <x:c r="I186" s="767"/>
      <x:c r="J186" s="767"/>
      <x:c r="K186" s="767" t="n">
        <x:v>480</x:v>
      </x:c>
      <x:c r="L186" s="852" t="n">
        <x:v>45491</x:v>
      </x:c>
      <x:c r="M186" s="767" t="n">
        <x:v>0</x:v>
      </x:c>
      <x:c r="N186" s="767"/>
      <x:c r="O186" s="767" t="inlineStr">
        <x:is>
          <x:t xml:space="preserve">-</x:t>
        </x:is>
      </x:c>
      <x:c r="P186" s="767" t="n">
        <x:v>1</x:v>
      </x:c>
      <x:c r="Q186" s="774" t="inlineStr">
        <x:is>
          <x:t xml:space="preserve">SLNG[21-30],MAX1</x:t>
        </x:is>
      </x:c>
    </x:row>
    <x:row r="187">
      <x:c r="A187" s="773" t="n">
        <x:v>1911</x:v>
      </x:c>
      <x:c r="B187" s="767" t="inlineStr">
        <x:is>
          <x:t xml:space="preserve">SLSLANG</x:t>
        </x:is>
      </x:c>
      <x:c r="C187" s="767" t="inlineStr">
        <x:is>
          <x:t xml:space="preserve">Total slanglängd (meter)</x:t>
        </x:is>
      </x:c>
      <x:c r="D187" s="767" t="inlineStr">
        <x:is>
          <x:t xml:space="preserve">RENH</x:t>
        </x:is>
      </x:c>
      <x:c r="E187" s="767" t="inlineStr">
        <x:is>
          <x:t xml:space="preserve">SLAM</x:t>
        </x:is>
      </x:c>
      <x:c r="F187" s="767" t="n">
        <x:v>11</x:v>
      </x:c>
      <x:c r="G187" s="767" t="inlineStr">
        <x:is>
          <x:t xml:space="preserve">KVAN</x:t>
        </x:is>
      </x:c>
      <x:c r="H187" s="767" t="inlineStr">
        <x:is>
          <x:t xml:space="preserve">Total slanglängd 11-20 meter</x:t>
        </x:is>
      </x:c>
      <x:c r="I187" s="767"/>
      <x:c r="J187" s="767"/>
      <x:c r="K187" s="767" t="n">
        <x:v>320</x:v>
      </x:c>
      <x:c r="L187" s="852" t="n">
        <x:v>45491</x:v>
      </x:c>
      <x:c r="M187" s="767" t="n">
        <x:v>0</x:v>
      </x:c>
      <x:c r="N187" s="767"/>
      <x:c r="O187" s="767" t="inlineStr">
        <x:is>
          <x:t xml:space="preserve">-</x:t>
        </x:is>
      </x:c>
      <x:c r="P187" s="767" t="n">
        <x:v>1</x:v>
      </x:c>
      <x:c r="Q187" s="774" t="inlineStr">
        <x:is>
          <x:t xml:space="preserve">SLNG[11-20],MAX1</x:t>
        </x:is>
      </x:c>
    </x:row>
    <x:row r="188">
      <x:c r="A188" s="773" t="n">
        <x:v>1913</x:v>
      </x:c>
      <x:c r="B188" s="767" t="inlineStr">
        <x:is>
          <x:t xml:space="preserve">SLSLANG</x:t>
        </x:is>
      </x:c>
      <x:c r="C188" s="767" t="inlineStr">
        <x:is>
          <x:t xml:space="preserve">Total slanglängd (meter)</x:t>
        </x:is>
      </x:c>
      <x:c r="D188" s="767" t="inlineStr">
        <x:is>
          <x:t xml:space="preserve">RENH</x:t>
        </x:is>
      </x:c>
      <x:c r="E188" s="767" t="inlineStr">
        <x:is>
          <x:t xml:space="preserve">SLAM</x:t>
        </x:is>
      </x:c>
      <x:c r="F188" s="767" t="n">
        <x:v>12</x:v>
      </x:c>
      <x:c r="G188" s="767" t="inlineStr">
        <x:is>
          <x:t xml:space="preserve">KVAN</x:t>
        </x:is>
      </x:c>
      <x:c r="H188" s="767" t="inlineStr">
        <x:is>
          <x:t xml:space="preserve">Total slanglängd 31-40 meter</x:t>
        </x:is>
      </x:c>
      <x:c r="I188" s="767"/>
      <x:c r="J188" s="767"/>
      <x:c r="K188" s="767" t="n">
        <x:v>720</x:v>
      </x:c>
      <x:c r="L188" s="852" t="n">
        <x:v>45491</x:v>
      </x:c>
      <x:c r="M188" s="767" t="n">
        <x:v>0</x:v>
      </x:c>
      <x:c r="N188" s="767"/>
      <x:c r="O188" s="767" t="inlineStr">
        <x:is>
          <x:t xml:space="preserve">-</x:t>
        </x:is>
      </x:c>
      <x:c r="P188" s="767" t="n">
        <x:v>1</x:v>
      </x:c>
      <x:c r="Q188" s="774" t="inlineStr">
        <x:is>
          <x:t xml:space="preserve">SLNG[31-40],MAX1</x:t>
        </x:is>
      </x:c>
    </x:row>
    <x:row r="189">
      <x:c r="A189" s="773" t="n">
        <x:v>1914</x:v>
      </x:c>
      <x:c r="B189" s="767" t="inlineStr">
        <x:is>
          <x:t xml:space="preserve">SLSLANG</x:t>
        </x:is>
      </x:c>
      <x:c r="C189" s="767" t="inlineStr">
        <x:is>
          <x:t xml:space="preserve">Total slanglängd (meter)</x:t>
        </x:is>
      </x:c>
      <x:c r="D189" s="767" t="inlineStr">
        <x:is>
          <x:t xml:space="preserve">RENH</x:t>
        </x:is>
      </x:c>
      <x:c r="E189" s="767" t="inlineStr">
        <x:is>
          <x:t xml:space="preserve">SLAM</x:t>
        </x:is>
      </x:c>
      <x:c r="F189" s="767" t="n">
        <x:v>13</x:v>
      </x:c>
      <x:c r="G189" s="767" t="inlineStr">
        <x:is>
          <x:t xml:space="preserve">KVAN</x:t>
        </x:is>
      </x:c>
      <x:c r="H189" s="767" t="inlineStr">
        <x:is>
          <x:t xml:space="preserve">Total slanglängd 41-50 meter</x:t>
        </x:is>
      </x:c>
      <x:c r="I189" s="767"/>
      <x:c r="J189" s="767"/>
      <x:c r="K189" s="767" t="n">
        <x:v>1200</x:v>
      </x:c>
      <x:c r="L189" s="852" t="n">
        <x:v>45491</x:v>
      </x:c>
      <x:c r="M189" s="767" t="n">
        <x:v>0</x:v>
      </x:c>
      <x:c r="N189" s="767"/>
      <x:c r="O189" s="767" t="inlineStr">
        <x:is>
          <x:t xml:space="preserve">-</x:t>
        </x:is>
      </x:c>
      <x:c r="P189" s="767" t="n">
        <x:v>1</x:v>
      </x:c>
      <x:c r="Q189" s="774" t="inlineStr">
        <x:is>
          <x:t xml:space="preserve">SLNG[41-50],MAX1</x:t>
        </x:is>
      </x:c>
    </x:row>
    <x:row r="190">
      <x:c r="A190" s="773" t="n">
        <x:v>1727</x:v>
      </x:c>
      <x:c r="B190" s="767" t="inlineStr">
        <x:is>
          <x:t xml:space="preserve">SLSPECTID</x:t>
        </x:is>
      </x:c>
      <x:c r="C190" s="767" t="inlineStr">
        <x:is>
          <x:t xml:space="preserve">Tillägg för specificerad inställelsetid för tömning</x:t>
        </x:is>
      </x:c>
      <x:c r="D190" s="767" t="inlineStr">
        <x:is>
          <x:t xml:space="preserve">RENH</x:t>
        </x:is>
      </x:c>
      <x:c r="E190" s="767" t="inlineStr">
        <x:is>
          <x:t xml:space="preserve">SLAM</x:t>
        </x:is>
      </x:c>
      <x:c r="F190" s="767" t="n">
        <x:v>1</x:v>
      </x:c>
      <x:c r="G190" s="767" t="inlineStr">
        <x:is>
          <x:t xml:space="preserve">KVAN</x:t>
        </x:is>
      </x:c>
      <x:c r="H190" s="767" t="inlineStr">
        <x:is>
          <x:t xml:space="preserve">Tillägg för specificerad inställelsetid för tömning</x:t>
        </x:is>
      </x:c>
      <x:c r="I190" s="767"/>
      <x:c r="J190" s="767"/>
      <x:c r="K190" s="767" t="n">
        <x:v>1200</x:v>
      </x:c>
      <x:c r="L190" s="852" t="n">
        <x:v>45491</x:v>
      </x:c>
      <x:c r="M190" s="767" t="n">
        <x:v>0</x:v>
      </x:c>
      <x:c r="N190" s="767"/>
      <x:c r="O190" s="767" t="inlineStr">
        <x:is>
          <x:t xml:space="preserve">-</x:t>
        </x:is>
      </x:c>
      <x:c r="P190" s="767" t="n">
        <x:v>1</x:v>
      </x:c>
      <x:c r="Q190" s="774" t="inlineStr">
        <x:is>
          <x:t xml:space="preserve">ANTL</x:t>
        </x:is>
      </x:c>
    </x:row>
    <x:row r="191">
      <x:c r="A191" s="773" t="n">
        <x:v>1729</x:v>
      </x:c>
      <x:c r="B191" s="767" t="inlineStr">
        <x:is>
          <x:t xml:space="preserve">SLTOAVAGN</x:t>
        </x:is>
      </x:c>
      <x:c r="C191" s="767" t="inlineStr">
        <x:is>
          <x:t xml:space="preserve">Tömning av toalettvagnar/TC, spolbil</x:t>
        </x:is>
      </x:c>
      <x:c r="D191" s="767" t="inlineStr">
        <x:is>
          <x:t xml:space="preserve">RENH</x:t>
        </x:is>
      </x:c>
      <x:c r="E191" s="767" t="inlineStr">
        <x:is>
          <x:t xml:space="preserve">SLAM</x:t>
        </x:is>
      </x:c>
      <x:c r="F191" s="767" t="n">
        <x:v>1</x:v>
      </x:c>
      <x:c r="G191" s="767" t="inlineStr">
        <x:is>
          <x:t xml:space="preserve">KVAN</x:t>
        </x:is>
      </x:c>
      <x:c r="H191" s="767" t="inlineStr">
        <x:is>
          <x:t xml:space="preserve">Tömning av toalettvagnar/TC, spolbil</x:t>
        </x:is>
      </x:c>
      <x:c r="I191" s="767"/>
      <x:c r="J191" s="767"/>
      <x:c r="K191" s="767" t="n">
        <x:v>2400</x:v>
      </x:c>
      <x:c r="L191" s="852" t="n">
        <x:v>45491</x:v>
      </x:c>
      <x:c r="M191" s="767" t="n">
        <x:v>0</x:v>
      </x:c>
      <x:c r="N191" s="767"/>
      <x:c r="O191" s="767" t="inlineStr">
        <x:is>
          <x:t xml:space="preserve">-</x:t>
        </x:is>
      </x:c>
      <x:c r="P191" s="767" t="n">
        <x:v>1</x:v>
      </x:c>
      <x:c r="Q191" s="774" t="inlineStr">
        <x:is>
          <x:t xml:space="preserve">ANTL</x:t>
        </x:is>
      </x:c>
    </x:row>
    <x:row r="192">
      <x:c r="A192" s="773" t="n">
        <x:v>1720</x:v>
      </x:c>
      <x:c r="B192" s="767" t="inlineStr">
        <x:is>
          <x:t xml:space="preserve">SLBUD7DGR</x:t>
        </x:is>
      </x:c>
      <x:c r="C192" s="767" t="inlineStr">
        <x:is>
          <x:t xml:space="preserve">Tillägg för budning inom 7 dagar</x:t>
        </x:is>
      </x:c>
      <x:c r="D192" s="767" t="inlineStr">
        <x:is>
          <x:t xml:space="preserve">RENH</x:t>
        </x:is>
      </x:c>
      <x:c r="E192" s="767" t="inlineStr">
        <x:is>
          <x:t xml:space="preserve">SLAM</x:t>
        </x:is>
      </x:c>
      <x:c r="F192" s="767" t="n">
        <x:v>1</x:v>
      </x:c>
      <x:c r="G192" s="767" t="inlineStr">
        <x:is>
          <x:t xml:space="preserve">KVAN</x:t>
        </x:is>
      </x:c>
      <x:c r="H192" s="767" t="inlineStr">
        <x:is>
          <x:t xml:space="preserve">Tillägg för budning inom 7 dagar</x:t>
        </x:is>
      </x:c>
      <x:c r="I192" s="767"/>
      <x:c r="J192" s="767"/>
      <x:c r="K192" s="767" t="n">
        <x:v>2000</x:v>
      </x:c>
      <x:c r="L192" s="852" t="n">
        <x:v>45504</x:v>
      </x:c>
      <x:c r="M192" s="767" t="n">
        <x:v>0</x:v>
      </x:c>
      <x:c r="N192" s="767"/>
      <x:c r="O192" s="767" t="inlineStr">
        <x:is>
          <x:t xml:space="preserve">-</x:t>
        </x:is>
      </x:c>
      <x:c r="P192" s="767" t="n">
        <x:v>1</x:v>
      </x:c>
      <x:c r="Q192" s="774" t="inlineStr">
        <x:is>
          <x:t xml:space="preserve">ANTL</x:t>
        </x:is>
      </x:c>
    </x:row>
    <x:row r="193">
      <x:c r="A193" s="773" t="n">
        <x:v>1803</x:v>
      </x:c>
      <x:c r="B193" s="767" t="inlineStr">
        <x:is>
          <x:t xml:space="preserve">AVGNIVÅ1V</x:t>
        </x:is>
      </x:c>
      <x:c r="C193" s="767" t="inlineStr">
        <x:is>
          <x:t xml:space="preserve">ÅVC-abonnemang nivå 1 – ej miljöfarligt avfall. Verksamhet</x:t>
        </x:is>
      </x:c>
      <x:c r="D193" s="767" t="inlineStr">
        <x:is>
          <x:t xml:space="preserve">RENH</x:t>
        </x:is>
      </x:c>
      <x:c r="E193" s="767" t="inlineStr">
        <x:is>
          <x:t xml:space="preserve">ÅVC</x:t>
        </x:is>
      </x:c>
      <x:c r="F193" s="767" t="n">
        <x:v>1</x:v>
      </x:c>
      <x:c r="G193" s="767" t="inlineStr">
        <x:is>
          <x:t xml:space="preserve">ÅRPR</x:t>
        </x:is>
      </x:c>
      <x:c r="H193" s="767" t="inlineStr">
        <x:is>
          <x:t xml:space="preserve">ÅVC-abonnemang nivå 1 – ej miljöfarligt avfall</x:t>
        </x:is>
      </x:c>
      <x:c r="I193" s="767"/>
      <x:c r="J193" s="767"/>
      <x:c r="K193" s="767" t="n">
        <x:v>2000</x:v>
      </x:c>
      <x:c r="L193" s="852" t="n">
        <x:v>45658</x:v>
      </x:c>
      <x:c r="M193" s="767" t="n">
        <x:v>0</x:v>
      </x:c>
      <x:c r="N193" s="767"/>
      <x:c r="O193" s="767" t="inlineStr">
        <x:is>
          <x:t xml:space="preserve">-</x:t>
        </x:is>
      </x:c>
      <x:c r="P193" s="767" t="n">
        <x:v>1</x:v>
      </x:c>
      <x:c r="Q193" s="774"/>
    </x:row>
    <x:row r="194">
      <x:c r="A194" s="773" t="n">
        <x:v>1802</x:v>
      </x:c>
      <x:c r="B194" s="767" t="inlineStr">
        <x:is>
          <x:t xml:space="preserve">AVGNIVÅ2V</x:t>
        </x:is>
      </x:c>
      <x:c r="C194" s="767" t="inlineStr">
        <x:is>
          <x:t xml:space="preserve">ÅVC-abonnemang nivå 2 – med miljöfarligt avfall. Verksamhet</x:t>
        </x:is>
      </x:c>
      <x:c r="D194" s="767" t="inlineStr">
        <x:is>
          <x:t xml:space="preserve">RENH</x:t>
        </x:is>
      </x:c>
      <x:c r="E194" s="767" t="inlineStr">
        <x:is>
          <x:t xml:space="preserve">ÅVC</x:t>
        </x:is>
      </x:c>
      <x:c r="F194" s="767" t="n">
        <x:v>1</x:v>
      </x:c>
      <x:c r="G194" s="767" t="inlineStr">
        <x:is>
          <x:t xml:space="preserve">ÅRPR</x:t>
        </x:is>
      </x:c>
      <x:c r="H194" s="767" t="inlineStr">
        <x:is>
          <x:t xml:space="preserve">ÅVC-abonnemang nivå 2 – med miljöfarligt avfall</x:t>
        </x:is>
      </x:c>
      <x:c r="I194" s="767"/>
      <x:c r="J194" s="767"/>
      <x:c r="K194" s="767" t="n">
        <x:v>4000</x:v>
      </x:c>
      <x:c r="L194" s="852" t="n">
        <x:v>45658</x:v>
      </x:c>
      <x:c r="M194" s="767" t="n">
        <x:v>0</x:v>
      </x:c>
      <x:c r="N194" s="767"/>
      <x:c r="O194" s="767" t="inlineStr">
        <x:is>
          <x:t xml:space="preserve">-</x:t>
        </x:is>
      </x:c>
      <x:c r="P194" s="767" t="n">
        <x:v>1</x:v>
      </x:c>
      <x:c r="Q194" s="774"/>
    </x:row>
    <x:row r="195">
      <x:c r="A195" s="773" t="n">
        <x:v>1659</x:v>
      </x:c>
      <x:c r="B195" s="767" t="inlineStr">
        <x:is>
          <x:t xml:space="preserve">AVSTÄNG</x:t>
        </x:is>
      </x:c>
      <x:c r="C195" s="767" t="inlineStr">
        <x:is>
          <x:t xml:space="preserve">Avstängning/strypning av vattentillförsel</x:t>
        </x:is>
      </x:c>
      <x:c r="D195" s="767" t="inlineStr">
        <x:is>
          <x:t xml:space="preserve">VA</x:t>
        </x:is>
      </x:c>
      <x:c r="E195" s="767"/>
      <x:c r="F195" s="767" t="n">
        <x:v>1</x:v>
      </x:c>
      <x:c r="G195" s="767" t="inlineStr">
        <x:is>
          <x:t xml:space="preserve">KVAN</x:t>
        </x:is>
      </x:c>
      <x:c r="H195" s="767" t="inlineStr">
        <x:is>
          <x:t xml:space="preserve">Avstängning/strypning av vattentillförsel</x:t>
        </x:is>
      </x:c>
      <x:c r="I195" s="767"/>
      <x:c r="J195" s="767"/>
      <x:c r="K195" s="767" t="n">
        <x:v>960</x:v>
      </x:c>
      <x:c r="L195" s="852" t="n">
        <x:v>45658</x:v>
      </x:c>
      <x:c r="M195" s="767" t="n">
        <x:v>0</x:v>
      </x:c>
      <x:c r="N195" s="767"/>
      <x:c r="O195" s="767" t="inlineStr">
        <x:is>
          <x:t xml:space="preserve">-</x:t>
        </x:is>
      </x:c>
      <x:c r="P195" s="767" t="n">
        <x:v>1</x:v>
      </x:c>
      <x:c r="Q195" s="774" t="inlineStr">
        <x:is>
          <x:t xml:space="preserve">ANTL</x:t>
        </x:is>
      </x:c>
    </x:row>
    <x:row r="196">
      <x:c r="A196" s="773" t="n">
        <x:v>1799</x:v>
      </x:c>
      <x:c r="B196" s="767" t="inlineStr">
        <x:is>
          <x:t xml:space="preserve">BETALSÄCK</x:t>
        </x:is>
      </x:c>
      <x:c r="C196" s="767" t="inlineStr">
        <x:is>
          <x:t xml:space="preserve">Mottagningsavgift extrasäck till ÅVC</x:t>
        </x:is>
      </x:c>
      <x:c r="D196" s="767" t="inlineStr">
        <x:is>
          <x:t xml:space="preserve">RENH</x:t>
        </x:is>
      </x:c>
      <x:c r="E196" s="767" t="inlineStr">
        <x:is>
          <x:t xml:space="preserve">HUSH</x:t>
        </x:is>
      </x:c>
      <x:c r="F196" s="767" t="n">
        <x:v>1</x:v>
      </x:c>
      <x:c r="G196" s="767" t="inlineStr">
        <x:is>
          <x:t xml:space="preserve">KVAN</x:t>
        </x:is>
      </x:c>
      <x:c r="H196" s="767" t="inlineStr">
        <x:is>
          <x:t xml:space="preserve">Mottagningsavgift extrasäck till ÅVC</x:t>
        </x:is>
      </x:c>
      <x:c r="I196" s="767"/>
      <x:c r="J196" s="767"/>
      <x:c r="K196" s="767" t="n">
        <x:v>240</x:v>
      </x:c>
      <x:c r="L196" s="852" t="n">
        <x:v>45658</x:v>
      </x:c>
      <x:c r="M196" s="767" t="n">
        <x:v>0</x:v>
      </x:c>
      <x:c r="N196" s="767"/>
      <x:c r="O196" s="767" t="inlineStr">
        <x:is>
          <x:t xml:space="preserve">-</x:t>
        </x:is>
      </x:c>
      <x:c r="P196" s="767" t="n">
        <x:v>1</x:v>
      </x:c>
      <x:c r="Q196" s="774" t="inlineStr">
        <x:is>
          <x:t xml:space="preserve">ANTL</x:t>
        </x:is>
      </x:c>
    </x:row>
    <x:row r="197">
      <x:c r="A197" s="773" t="n">
        <x:v>1931</x:v>
      </x:c>
      <x:c r="B197" s="767" t="inlineStr">
        <x:is>
          <x:t xml:space="preserve">Fob</x:t>
        </x:is>
      </x:c>
      <x:c r="C197" s="767" t="inlineStr">
        <x:is>
          <x:t xml:space="preserve">Nyckelfob mat- och rest frihus</x:t>
        </x:is>
      </x:c>
      <x:c r="D197" s="767" t="inlineStr">
        <x:is>
          <x:t xml:space="preserve">RENH</x:t>
        </x:is>
      </x:c>
      <x:c r="E197" s="767" t="inlineStr">
        <x:is>
          <x:t xml:space="preserve">HUSH</x:t>
        </x:is>
      </x:c>
      <x:c r="F197" s="767" t="n">
        <x:v>1</x:v>
      </x:c>
      <x:c r="G197" s="767" t="inlineStr">
        <x:is>
          <x:t xml:space="preserve">ÅRKV</x:t>
        </x:is>
      </x:c>
      <x:c r="H197" s="767" t="inlineStr">
        <x:is>
          <x:t xml:space="preserve">Nyckelfob, engångskostnad</x:t>
        </x:is>
      </x:c>
      <x:c r="I197" s="767"/>
      <x:c r="J197" s="767"/>
      <x:c r="K197" s="767" t="n">
        <x:v>1200</x:v>
      </x:c>
      <x:c r="L197" s="852" t="n">
        <x:v>45658</x:v>
      </x:c>
      <x:c r="M197" s="767" t="n">
        <x:v>0</x:v>
      </x:c>
      <x:c r="N197" s="767"/>
      <x:c r="O197" s="767" t="inlineStr">
        <x:is>
          <x:t xml:space="preserve">-</x:t>
        </x:is>
      </x:c>
      <x:c r="P197" s="767" t="n">
        <x:v>1</x:v>
      </x:c>
      <x:c r="Q197" s="774" t="inlineStr">
        <x:is>
          <x:t xml:space="preserve">ANTL</x:t>
        </x:is>
      </x:c>
    </x:row>
    <x:row r="198">
      <x:c r="A198" s="773" t="n">
        <x:v>1661</x:v>
      </x:c>
      <x:c r="B198" s="767" t="inlineStr">
        <x:is>
          <x:t xml:space="preserve">FÖRGÄV</x:t>
        </x:is>
      </x:c>
      <x:c r="C198" s="767" t="inlineStr">
        <x:is>
          <x:t xml:space="preserve">Förgävesbesök vid avtalad tid eller avisering</x:t>
        </x:is>
      </x:c>
      <x:c r="D198" s="767" t="inlineStr">
        <x:is>
          <x:t xml:space="preserve">VA</x:t>
        </x:is>
      </x:c>
      <x:c r="E198" s="767"/>
      <x:c r="F198" s="767" t="n">
        <x:v>1</x:v>
      </x:c>
      <x:c r="G198" s="767" t="inlineStr">
        <x:is>
          <x:t xml:space="preserve">KVAN</x:t>
        </x:is>
      </x:c>
      <x:c r="H198" s="767" t="inlineStr">
        <x:is>
          <x:t xml:space="preserve">Förgävesbesök vid avtalad tid eller avisering</x:t>
        </x:is>
      </x:c>
      <x:c r="I198" s="767"/>
      <x:c r="J198" s="767"/>
      <x:c r="K198" s="767" t="n">
        <x:v>960</x:v>
      </x:c>
      <x:c r="L198" s="852" t="n">
        <x:v>45658</x:v>
      </x:c>
      <x:c r="M198" s="767" t="n">
        <x:v>0</x:v>
      </x:c>
      <x:c r="N198" s="767"/>
      <x:c r="O198" s="767" t="inlineStr">
        <x:is>
          <x:t xml:space="preserve">-</x:t>
        </x:is>
      </x:c>
      <x:c r="P198" s="767" t="n">
        <x:v>1</x:v>
      </x:c>
      <x:c r="Q198" s="774" t="inlineStr">
        <x:is>
          <x:t xml:space="preserve">ANTL</x:t>
        </x:is>
      </x:c>
    </x:row>
    <x:row r="199">
      <x:c r="A199" s="773" t="n">
        <x:v>1750</x:v>
      </x:c>
      <x:c r="B199" s="767" t="inlineStr">
        <x:is>
          <x:t xml:space="preserve">GRUNDSMÅ</x:t>
        </x:is>
      </x:c>
      <x:c r="C199" s="767" t="inlineStr">
        <x:is>
          <x:t xml:space="preserve">Grundavgift, småhus 1- och 2 familjshus</x:t>
        </x:is>
      </x:c>
      <x:c r="D199" s="767" t="inlineStr">
        <x:is>
          <x:t xml:space="preserve">RENH</x:t>
        </x:is>
      </x:c>
      <x:c r="E199" s="767" t="inlineStr">
        <x:is>
          <x:t xml:space="preserve">HUSH</x:t>
        </x:is>
      </x:c>
      <x:c r="F199" s="767" t="n">
        <x:v>1</x:v>
      </x:c>
      <x:c r="G199" s="767" t="inlineStr">
        <x:is>
          <x:t xml:space="preserve">ÅRKV</x:t>
        </x:is>
      </x:c>
      <x:c r="H199" s="767" t="inlineStr">
        <x:is>
          <x:t xml:space="preserve">Grundavgift, småhus 1- och 2 familjshus</x:t>
        </x:is>
      </x:c>
      <x:c r="I199" s="767"/>
      <x:c r="J199" s="767"/>
      <x:c r="K199" s="767" t="n">
        <x:v>1320</x:v>
      </x:c>
      <x:c r="L199" s="852" t="n">
        <x:v>45658</x:v>
      </x:c>
      <x:c r="M199" s="767" t="n">
        <x:v>0</x:v>
      </x:c>
      <x:c r="N199" s="767"/>
      <x:c r="O199" s="767" t="inlineStr">
        <x:is>
          <x:t xml:space="preserve">-</x:t>
        </x:is>
      </x:c>
      <x:c r="P199" s="767" t="n">
        <x:v>1</x:v>
      </x:c>
      <x:c r="Q199" s="774" t="inlineStr">
        <x:is>
          <x:t xml:space="preserve">GRUN</x:t>
        </x:is>
      </x:c>
    </x:row>
    <x:row r="200">
      <x:c r="A200" s="773" t="n">
        <x:v>1823</x:v>
      </x:c>
      <x:c r="B200" s="767" t="inlineStr">
        <x:is>
          <x:t xml:space="preserve">INVÄXTHUSH</x:t>
        </x:is>
      </x:c>
      <x:c r="C200" s="767" t="inlineStr">
        <x:is>
          <x:t xml:space="preserve">Invasiva växter från hushåll</x:t>
        </x:is>
      </x:c>
      <x:c r="D200" s="767" t="inlineStr">
        <x:is>
          <x:t xml:space="preserve">RENH</x:t>
        </x:is>
      </x:c>
      <x:c r="E200" s="767" t="inlineStr">
        <x:is>
          <x:t xml:space="preserve">ÅVC</x:t>
        </x:is>
      </x:c>
      <x:c r="F200" s="767" t="n">
        <x:v>1</x:v>
      </x:c>
      <x:c r="G200" s="767" t="inlineStr">
        <x:is>
          <x:t xml:space="preserve">KVAN</x:t>
        </x:is>
      </x:c>
      <x:c r="H200" s="767" t="inlineStr">
        <x:is>
          <x:t xml:space="preserve">Invasiva växter från hushåll</x:t>
        </x:is>
      </x:c>
      <x:c r="I200" s="767"/>
      <x:c r="J200" s="767"/>
      <x:c r="K200" s="767" t="n">
        <x:v>0</x:v>
      </x:c>
      <x:c r="L200" s="852" t="n">
        <x:v>45658</x:v>
      </x:c>
      <x:c r="M200" s="767" t="n">
        <x:v>0</x:v>
      </x:c>
      <x:c r="N200" s="767"/>
      <x:c r="O200" s="767" t="inlineStr">
        <x:is>
          <x:t xml:space="preserve">-</x:t>
        </x:is>
      </x:c>
      <x:c r="P200" s="767" t="n">
        <x:v>1</x:v>
      </x:c>
      <x:c r="Q200" s="774" t="inlineStr">
        <x:is>
          <x:t xml:space="preserve">ANTL</x:t>
        </x:is>
      </x:c>
    </x:row>
    <x:row r="201">
      <x:c r="A201" s="773" t="n">
        <x:v>1657</x:v>
      </x:c>
      <x:c r="B201" s="767" t="inlineStr">
        <x:is>
          <x:t xml:space="preserve">NEDTAG</x:t>
        </x:is>
      </x:c>
      <x:c r="C201" s="767" t="inlineStr">
        <x:is>
          <x:t xml:space="preserve">Nedtagning VA-mätare</x:t>
        </x:is>
      </x:c>
      <x:c r="D201" s="767" t="inlineStr">
        <x:is>
          <x:t xml:space="preserve">VA</x:t>
        </x:is>
      </x:c>
      <x:c r="E201" s="767"/>
      <x:c r="F201" s="767" t="n">
        <x:v>1</x:v>
      </x:c>
      <x:c r="G201" s="767" t="inlineStr">
        <x:is>
          <x:t xml:space="preserve">KVAN</x:t>
        </x:is>
      </x:c>
      <x:c r="H201" s="767" t="inlineStr">
        <x:is>
          <x:t xml:space="preserve">Nedtagning VA-mätare</x:t>
        </x:is>
      </x:c>
      <x:c r="I201" s="767"/>
      <x:c r="J201" s="767"/>
      <x:c r="K201" s="767" t="n">
        <x:v>960</x:v>
      </x:c>
      <x:c r="L201" s="852" t="n">
        <x:v>45658</x:v>
      </x:c>
      <x:c r="M201" s="767" t="n">
        <x:v>0</x:v>
      </x:c>
      <x:c r="N201" s="767"/>
      <x:c r="O201" s="767" t="inlineStr">
        <x:is>
          <x:t xml:space="preserve">-</x:t>
        </x:is>
      </x:c>
      <x:c r="P201" s="767" t="n">
        <x:v>1</x:v>
      </x:c>
      <x:c r="Q201" s="774" t="inlineStr">
        <x:is>
          <x:t xml:space="preserve">ANTL</x:t>
        </x:is>
      </x:c>
    </x:row>
    <x:row r="202">
      <x:c r="A202" s="773" t="n">
        <x:v>1660</x:v>
      </x:c>
      <x:c r="B202" s="767" t="inlineStr">
        <x:is>
          <x:t xml:space="preserve">PÅSLÄPP</x:t>
        </x:is>
      </x:c>
      <x:c r="C202" s="767" t="inlineStr">
        <x:is>
          <x:t xml:space="preserve">Påsläpp av vattentillförsel</x:t>
        </x:is>
      </x:c>
      <x:c r="D202" s="767" t="inlineStr">
        <x:is>
          <x:t xml:space="preserve">VA</x:t>
        </x:is>
      </x:c>
      <x:c r="E202" s="767"/>
      <x:c r="F202" s="767" t="n">
        <x:v>1</x:v>
      </x:c>
      <x:c r="G202" s="767" t="inlineStr">
        <x:is>
          <x:t xml:space="preserve">KVAN</x:t>
        </x:is>
      </x:c>
      <x:c r="H202" s="767" t="inlineStr">
        <x:is>
          <x:t xml:space="preserve">Påsläpp av vattentillförsel</x:t>
        </x:is>
      </x:c>
      <x:c r="I202" s="767"/>
      <x:c r="J202" s="767"/>
      <x:c r="K202" s="767" t="n">
        <x:v>960</x:v>
      </x:c>
      <x:c r="L202" s="852" t="n">
        <x:v>45658</x:v>
      </x:c>
      <x:c r="M202" s="767" t="n">
        <x:v>0</x:v>
      </x:c>
      <x:c r="N202" s="767"/>
      <x:c r="O202" s="767" t="inlineStr">
        <x:is>
          <x:t xml:space="preserve">-</x:t>
        </x:is>
      </x:c>
      <x:c r="P202" s="767" t="n">
        <x:v>1</x:v>
      </x:c>
      <x:c r="Q202" s="774" t="inlineStr">
        <x:is>
          <x:t xml:space="preserve">ANTL</x:t>
        </x:is>
      </x:c>
    </x:row>
    <x:row r="203">
      <x:c r="A203" s="773" t="n">
        <x:v>1662</x:v>
      </x:c>
      <x:c r="B203" s="767" t="inlineStr">
        <x:is>
          <x:t xml:space="preserve">UNDERSÖK</x:t>
        </x:is>
      </x:c>
      <x:c r="C203" s="767" t="inlineStr">
        <x:is>
          <x:t xml:space="preserve">Undersökning av vattenmätare</x:t>
        </x:is>
      </x:c>
      <x:c r="D203" s="767" t="inlineStr">
        <x:is>
          <x:t xml:space="preserve">VA</x:t>
        </x:is>
      </x:c>
      <x:c r="E203" s="767"/>
      <x:c r="F203" s="767" t="n">
        <x:v>1</x:v>
      </x:c>
      <x:c r="G203" s="767" t="inlineStr">
        <x:is>
          <x:t xml:space="preserve">KVAN</x:t>
        </x:is>
      </x:c>
      <x:c r="H203" s="767" t="inlineStr">
        <x:is>
          <x:t xml:space="preserve">Undersökning av vattenmätare</x:t>
        </x:is>
      </x:c>
      <x:c r="I203" s="767"/>
      <x:c r="J203" s="767"/>
      <x:c r="K203" s="767" t="n">
        <x:v>960</x:v>
      </x:c>
      <x:c r="L203" s="852" t="n">
        <x:v>45658</x:v>
      </x:c>
      <x:c r="M203" s="767" t="n">
        <x:v>0</x:v>
      </x:c>
      <x:c r="N203" s="767"/>
      <x:c r="O203" s="767" t="inlineStr">
        <x:is>
          <x:t xml:space="preserve">-</x:t>
        </x:is>
      </x:c>
      <x:c r="P203" s="767" t="n">
        <x:v>1</x:v>
      </x:c>
      <x:c r="Q203" s="774" t="inlineStr">
        <x:is>
          <x:t xml:space="preserve">ANTL</x:t>
        </x:is>
      </x:c>
    </x:row>
    <x:row r="204">
      <x:c r="A204" s="773" t="n">
        <x:v>1658</x:v>
      </x:c>
      <x:c r="B204" s="767" t="inlineStr">
        <x:is>
          <x:t xml:space="preserve">UPPSÄTT</x:t>
        </x:is>
      </x:c>
      <x:c r="C204" s="767" t="inlineStr">
        <x:is>
          <x:t xml:space="preserve">Uppsättning VA-mätare</x:t>
        </x:is>
      </x:c>
      <x:c r="D204" s="767" t="inlineStr">
        <x:is>
          <x:t xml:space="preserve">VA</x:t>
        </x:is>
      </x:c>
      <x:c r="E204" s="767"/>
      <x:c r="F204" s="767" t="n">
        <x:v>1</x:v>
      </x:c>
      <x:c r="G204" s="767" t="inlineStr">
        <x:is>
          <x:t xml:space="preserve">KVAN</x:t>
        </x:is>
      </x:c>
      <x:c r="H204" s="767" t="inlineStr">
        <x:is>
          <x:t xml:space="preserve">Uppsättning VA-mätare</x:t>
        </x:is>
      </x:c>
      <x:c r="I204" s="767"/>
      <x:c r="J204" s="767"/>
      <x:c r="K204" s="767" t="n">
        <x:v>960</x:v>
      </x:c>
      <x:c r="L204" s="852" t="n">
        <x:v>45658</x:v>
      </x:c>
      <x:c r="M204" s="767" t="n">
        <x:v>0</x:v>
      </x:c>
      <x:c r="N204" s="767"/>
      <x:c r="O204" s="767" t="inlineStr">
        <x:is>
          <x:t xml:space="preserve">-</x:t>
        </x:is>
      </x:c>
      <x:c r="P204" s="767" t="n">
        <x:v>1</x:v>
      </x:c>
      <x:c r="Q204" s="774" t="inlineStr">
        <x:is>
          <x:t xml:space="preserve">ANTL</x:t>
        </x:is>
      </x:c>
    </x:row>
    <x:row r="205">
      <x:c r="A205" s="773" t="n">
        <x:v>1915</x:v>
      </x:c>
      <x:c r="B205" s="767" t="inlineStr">
        <x:is>
          <x:t xml:space="preserve">VSOMMAR</x:t>
        </x:is>
      </x:c>
      <x:c r="C205" s="767" t="inlineStr">
        <x:is>
          <x:t xml:space="preserve">Sommarvatten</x:t>
        </x:is>
      </x:c>
      <x:c r="D205" s="767" t="inlineStr">
        <x:is>
          <x:t xml:space="preserve">VA</x:t>
        </x:is>
      </x:c>
      <x:c r="E205" s="767" t="inlineStr">
        <x:is>
          <x:t xml:space="preserve">VA</x:t>
        </x:is>
      </x:c>
      <x:c r="F205" s="767" t="n">
        <x:v>1</x:v>
      </x:c>
      <x:c r="G205" s="767" t="inlineStr">
        <x:is>
          <x:t xml:space="preserve">ÅRKV</x:t>
        </x:is>
      </x:c>
      <x:c r="H205" s="767" t="inlineStr">
        <x:is>
          <x:t xml:space="preserve">Total årskostnad för sommarvatten per Fritidshus maj-sept</x:t>
        </x:is>
      </x:c>
      <x:c r="I205" s="767"/>
      <x:c r="J205" s="767"/>
      <x:c r="K205" s="767" t="n">
        <x:v>1600</x:v>
      </x:c>
      <x:c r="L205" s="852" t="n">
        <x:v>45658</x:v>
      </x:c>
      <x:c r="M205" s="767" t="n">
        <x:v>0</x:v>
      </x:c>
      <x:c r="N205" s="767"/>
      <x:c r="O205" s="767" t="inlineStr">
        <x:is>
          <x:t xml:space="preserve">-</x:t>
        </x:is>
      </x:c>
      <x:c r="P205" s="767" t="n">
        <x:v>1</x:v>
      </x:c>
      <x:c r="Q205" s="774" t="inlineStr">
        <x:is>
          <x:t xml:space="preserve">BOEN</x:t>
        </x:is>
      </x:c>
    </x:row>
    <x:row r="206">
      <x:c r="A206" s="773" t="n">
        <x:v>1955</x:v>
      </x:c>
      <x:c r="B206" s="767" t="inlineStr">
        <x:is>
          <x:t xml:space="preserve">ÅVCVERKSAM</x:t>
        </x:is>
      </x:c>
      <x:c r="C206" s="767" t="inlineStr">
        <x:is>
          <x:t xml:space="preserve">ÅVC abonnemang 1 - ej miljöfarligt avfall</x:t>
        </x:is>
      </x:c>
      <x:c r="D206" s="767" t="inlineStr">
        <x:is>
          <x:t xml:space="preserve">RENH</x:t>
        </x:is>
      </x:c>
      <x:c r="E206" s="767"/>
      <x:c r="F206" s="767" t="n">
        <x:v>1</x:v>
      </x:c>
      <x:c r="G206" s="767" t="inlineStr">
        <x:is>
          <x:t xml:space="preserve">ÅRKV</x:t>
        </x:is>
      </x:c>
      <x:c r="H206" s="767" t="inlineStr">
        <x:is>
          <x:t xml:space="preserve">ÅVC-abonnemang nivå 1 – ej miljöfarligt avfall</x:t>
        </x:is>
      </x:c>
      <x:c r="I206" s="767"/>
      <x:c r="J206" s="767"/>
      <x:c r="K206" s="767" t="n">
        <x:v>1600</x:v>
      </x:c>
      <x:c r="L206" s="852" t="n">
        <x:v>45658</x:v>
      </x:c>
      <x:c r="M206" s="767" t="n">
        <x:v>0</x:v>
      </x:c>
      <x:c r="N206" s="767"/>
      <x:c r="O206" s="767" t="inlineStr">
        <x:is>
          <x:t xml:space="preserve">-</x:t>
        </x:is>
      </x:c>
      <x:c r="P206" s="767" t="n">
        <x:v>1</x:v>
      </x:c>
      <x:c r="Q206" s="774" t="inlineStr">
        <x:is>
          <x:t xml:space="preserve">FAST</x:t>
        </x:is>
      </x:c>
    </x:row>
    <x:row r="207">
      <x:c r="A207" s="773" t="n">
        <x:v>1956</x:v>
      </x:c>
      <x:c r="B207" s="767" t="inlineStr">
        <x:is>
          <x:t xml:space="preserve">ÅVCVERKSAMFA</x:t>
        </x:is>
      </x:c>
      <x:c r="C207" s="767" t="inlineStr">
        <x:is>
          <x:t xml:space="preserve">ÅVC abonnemang 2 - farligt avfall</x:t>
        </x:is>
      </x:c>
      <x:c r="D207" s="767" t="inlineStr">
        <x:is>
          <x:t xml:space="preserve">RENH</x:t>
        </x:is>
      </x:c>
      <x:c r="E207" s="767"/>
      <x:c r="F207" s="767" t="n">
        <x:v>1</x:v>
      </x:c>
      <x:c r="G207" s="767" t="inlineStr">
        <x:is>
          <x:t xml:space="preserve">ÅRKV</x:t>
        </x:is>
      </x:c>
      <x:c r="H207" s="767" t="inlineStr">
        <x:is>
          <x:t xml:space="preserve">ÅVC-abonnemang nivå 2 – med miljöfarligt avfall</x:t>
        </x:is>
      </x:c>
      <x:c r="I207" s="767"/>
      <x:c r="J207" s="767"/>
      <x:c r="K207" s="767" t="n">
        <x:v>3200</x:v>
      </x:c>
      <x:c r="L207" s="852" t="n">
        <x:v>45658</x:v>
      </x:c>
      <x:c r="M207" s="767" t="n">
        <x:v>0</x:v>
      </x:c>
      <x:c r="N207" s="767"/>
      <x:c r="O207" s="767" t="inlineStr">
        <x:is>
          <x:t xml:space="preserve">-</x:t>
        </x:is>
      </x:c>
      <x:c r="P207" s="767" t="n">
        <x:v>1</x:v>
      </x:c>
      <x:c r="Q207" s="774" t="inlineStr">
        <x:is>
          <x:t xml:space="preserve">FAST</x:t>
        </x:is>
      </x:c>
    </x:row>
    <x:row r="208">
      <x:c r="A208" s="773" t="n">
        <x:v>1965</x:v>
      </x:c>
      <x:c r="B208" s="767" t="inlineStr">
        <x:is>
          <x:t xml:space="preserve">ÅVC660I</x:t>
        </x:is>
      </x:c>
      <x:c r="C208" s="767" t="inlineStr">
        <x:is>
          <x:t xml:space="preserve">Kärl 660L, Invasiva Arter</x:t>
        </x:is>
      </x:c>
      <x:c r="D208" s="767" t="inlineStr">
        <x:is>
          <x:t xml:space="preserve">RENH</x:t>
        </x:is>
      </x:c>
      <x:c r="E208" s="767" t="inlineStr">
        <x:is>
          <x:t xml:space="preserve">HUSH</x:t>
        </x:is>
      </x:c>
      <x:c r="F208" s="767" t="n">
        <x:v>1</x:v>
      </x:c>
      <x:c r="G208" s="767" t="inlineStr">
        <x:is>
          <x:t xml:space="preserve">ÅRKV</x:t>
        </x:is>
      </x:c>
      <x:c r="H208" s="767" t="inlineStr">
        <x:is>
          <x:t xml:space="preserve">Kärl 660 Invasiva arter</x:t>
        </x:is>
      </x:c>
      <x:c r="I208" s="767"/>
      <x:c r="J208" s="767"/>
      <x:c r="K208" s="767" t="n">
        <x:v>0</x:v>
      </x:c>
      <x:c r="L208" s="852" t="n">
        <x:v>45727</x:v>
      </x:c>
      <x:c r="M208" s="767" t="n">
        <x:v>0</x:v>
      </x:c>
      <x:c r="N208" s="767"/>
      <x:c r="O208" s="767" t="inlineStr">
        <x:is>
          <x:t xml:space="preserve">-</x:t>
        </x:is>
      </x:c>
      <x:c r="P208" s="767" t="n">
        <x:v>1</x:v>
      </x:c>
      <x:c r="Q208" s="774" t="inlineStr">
        <x:is>
          <x:t xml:space="preserve">ANTB</x:t>
        </x:is>
      </x:c>
    </x:row>
    <x:row r="209">
      <x:c r="A209" s="773" t="n">
        <x:v>1964</x:v>
      </x:c>
      <x:c r="B209" s="767" t="inlineStr">
        <x:is>
          <x:t xml:space="preserve">ÅVC660T</x:t>
        </x:is>
      </x:c>
      <x:c r="C209" s="767" t="inlineStr">
        <x:is>
          <x:t xml:space="preserve">Kärl 660L, Textil</x:t>
        </x:is>
      </x:c>
      <x:c r="D209" s="767" t="inlineStr">
        <x:is>
          <x:t xml:space="preserve">RENH</x:t>
        </x:is>
      </x:c>
      <x:c r="E209" s="767" t="inlineStr">
        <x:is>
          <x:t xml:space="preserve">HUSH</x:t>
        </x:is>
      </x:c>
      <x:c r="F209" s="767" t="n">
        <x:v>1</x:v>
      </x:c>
      <x:c r="G209" s="767" t="inlineStr">
        <x:is>
          <x:t xml:space="preserve">ÅRKV</x:t>
        </x:is>
      </x:c>
      <x:c r="H209" s="767" t="inlineStr">
        <x:is>
          <x:t xml:space="preserve">Kärl 660 Textil</x:t>
        </x:is>
      </x:c>
      <x:c r="I209" s="767"/>
      <x:c r="J209" s="767"/>
      <x:c r="K209" s="767" t="n">
        <x:v>0</x:v>
      </x:c>
      <x:c r="L209" s="852" t="n">
        <x:v>45727</x:v>
      </x:c>
      <x:c r="M209" s="767" t="n">
        <x:v>0</x:v>
      </x:c>
      <x:c r="N209" s="767"/>
      <x:c r="O209" s="767" t="inlineStr">
        <x:is>
          <x:t xml:space="preserve">-</x:t>
        </x:is>
      </x:c>
      <x:c r="P209" s="767" t="n">
        <x:v>1</x:v>
      </x:c>
      <x:c r="Q209" s="774" t="inlineStr">
        <x:is>
          <x:t xml:space="preserve">ANTB</x:t>
        </x:is>
      </x:c>
    </x:row>
    <x:row r="210">
      <x:c r="A210" s="773" t="n">
        <x:v>1946</x:v>
      </x:c>
      <x:c r="B210" s="767" t="inlineStr">
        <x:is>
          <x:t xml:space="preserve">MB1600TÖM</x:t>
        </x:is>
      </x:c>
      <x:c r="C210" s="767" t="inlineStr">
        <x:is>
          <x:t xml:space="preserve">Tömning Markbehållare 1,6 m³, osorterat avfall</x:t>
        </x:is>
      </x:c>
      <x:c r="D210" s="767" t="inlineStr">
        <x:is>
          <x:t xml:space="preserve">RENH</x:t>
        </x:is>
      </x:c>
      <x:c r="E210" s="767" t="inlineStr">
        <x:is>
          <x:t xml:space="preserve">HUSH</x:t>
        </x:is>
      </x:c>
      <x:c r="F210" s="767" t="n">
        <x:v>1</x:v>
      </x:c>
      <x:c r="G210" s="767" t="inlineStr">
        <x:is>
          <x:t xml:space="preserve">KVAN</x:t>
        </x:is>
      </x:c>
      <x:c r="H210" s="767" t="inlineStr">
        <x:is>
          <x:t xml:space="preserve">Tömning Markbehållare 1,6 m³, osorterat avfall</x:t>
        </x:is>
      </x:c>
      <x:c r="I210" s="767"/>
      <x:c r="J210" s="767"/>
      <x:c r="K210" s="767" t="n">
        <x:v>550</x:v>
      </x:c>
      <x:c r="L210" s="852" t="n">
        <x:v>45761</x:v>
      </x:c>
      <x:c r="M210" s="767" t="n">
        <x:v>0</x:v>
      </x:c>
      <x:c r="N210" s="767"/>
      <x:c r="O210" s="767" t="inlineStr">
        <x:is>
          <x:t xml:space="preserve">-</x:t>
        </x:is>
      </x:c>
      <x:c r="P210" s="767" t="n">
        <x:v>1</x:v>
      </x:c>
      <x:c r="Q210" s="774" t="inlineStr">
        <x:is>
          <x:t xml:space="preserve">ANTB</x:t>
        </x:is>
      </x:c>
    </x:row>
    <x:row r="211">
      <x:c r="A211" s="773" t="n">
        <x:v>1952</x:v>
      </x:c>
      <x:c r="B211" s="767" t="inlineStr">
        <x:is>
          <x:t xml:space="preserve">MB3200TÖM</x:t>
        </x:is>
      </x:c>
      <x:c r="C211" s="767" t="inlineStr">
        <x:is>
          <x:t xml:space="preserve">Tömning Markbehållare 3,2 m³, osorterat avfall</x:t>
        </x:is>
      </x:c>
      <x:c r="D211" s="767" t="inlineStr">
        <x:is>
          <x:t xml:space="preserve">RENH</x:t>
        </x:is>
      </x:c>
      <x:c r="E211" s="767" t="inlineStr">
        <x:is>
          <x:t xml:space="preserve">HUSH</x:t>
        </x:is>
      </x:c>
      <x:c r="F211" s="767" t="n">
        <x:v>1</x:v>
      </x:c>
      <x:c r="G211" s="767" t="inlineStr">
        <x:is>
          <x:t xml:space="preserve">KVAN</x:t>
        </x:is>
      </x:c>
      <x:c r="H211" s="767" t="inlineStr">
        <x:is>
          <x:t xml:space="preserve">Tömning Markbehållare 3,2 m³, osorterat avfall</x:t>
        </x:is>
      </x:c>
      <x:c r="I211" s="767"/>
      <x:c r="J211" s="767"/>
      <x:c r="K211" s="767" t="n">
        <x:v>550</x:v>
      </x:c>
      <x:c r="L211" s="852" t="n">
        <x:v>45761</x:v>
      </x:c>
      <x:c r="M211" s="767" t="n">
        <x:v>0</x:v>
      </x:c>
      <x:c r="N211" s="767"/>
      <x:c r="O211" s="767" t="inlineStr">
        <x:is>
          <x:t xml:space="preserve">-</x:t>
        </x:is>
      </x:c>
      <x:c r="P211" s="767" t="n">
        <x:v>1</x:v>
      </x:c>
      <x:c r="Q211" s="774" t="inlineStr">
        <x:is>
          <x:t xml:space="preserve">ANTB</x:t>
        </x:is>
      </x:c>
    </x:row>
    <x:row r="212">
      <x:c r="A212" s="773" t="n">
        <x:v>1945</x:v>
      </x:c>
      <x:c r="B212" s="767" t="inlineStr">
        <x:is>
          <x:t xml:space="preserve">MB3600TÖM</x:t>
        </x:is>
      </x:c>
      <x:c r="C212" s="767" t="inlineStr">
        <x:is>
          <x:t xml:space="preserve">Tömning Markbehållare 3,6 m³, osorterat avfall</x:t>
        </x:is>
      </x:c>
      <x:c r="D212" s="767" t="inlineStr">
        <x:is>
          <x:t xml:space="preserve">RENH</x:t>
        </x:is>
      </x:c>
      <x:c r="E212" s="767" t="inlineStr">
        <x:is>
          <x:t xml:space="preserve">HUSH</x:t>
        </x:is>
      </x:c>
      <x:c r="F212" s="767" t="n">
        <x:v>1</x:v>
      </x:c>
      <x:c r="G212" s="767" t="inlineStr">
        <x:is>
          <x:t xml:space="preserve">KVAN</x:t>
        </x:is>
      </x:c>
      <x:c r="H212" s="767" t="inlineStr">
        <x:is>
          <x:t xml:space="preserve">Tömning Markbehållare 3,6 m³, osorterat avfall</x:t>
        </x:is>
      </x:c>
      <x:c r="I212" s="767"/>
      <x:c r="J212" s="767"/>
      <x:c r="K212" s="767" t="n">
        <x:v>400</x:v>
      </x:c>
      <x:c r="L212" s="852" t="n">
        <x:v>45761</x:v>
      </x:c>
      <x:c r="M212" s="767" t="n">
        <x:v>0</x:v>
      </x:c>
      <x:c r="N212" s="767"/>
      <x:c r="O212" s="767" t="inlineStr">
        <x:is>
          <x:t xml:space="preserve">-</x:t>
        </x:is>
      </x:c>
      <x:c r="P212" s="767" t="n">
        <x:v>1</x:v>
      </x:c>
      <x:c r="Q212" s="774" t="inlineStr">
        <x:is>
          <x:t xml:space="preserve">ANTB</x:t>
        </x:is>
      </x:c>
    </x:row>
    <x:row r="213">
      <x:c r="A213" s="773" t="n">
        <x:v>1943</x:v>
      </x:c>
      <x:c r="B213" s="767" t="inlineStr">
        <x:is>
          <x:t xml:space="preserve">MB5000TÖM</x:t>
        </x:is>
      </x:c>
      <x:c r="C213" s="767" t="inlineStr">
        <x:is>
          <x:t xml:space="preserve">Tömning Markbehållare 5 m³, osorterat avfall</x:t>
        </x:is>
      </x:c>
      <x:c r="D213" s="767" t="inlineStr">
        <x:is>
          <x:t xml:space="preserve">RENH</x:t>
        </x:is>
      </x:c>
      <x:c r="E213" s="767" t="inlineStr">
        <x:is>
          <x:t xml:space="preserve">HUSH</x:t>
        </x:is>
      </x:c>
      <x:c r="F213" s="767" t="n">
        <x:v>1</x:v>
      </x:c>
      <x:c r="G213" s="767" t="inlineStr">
        <x:is>
          <x:t xml:space="preserve">KVAN</x:t>
        </x:is>
      </x:c>
      <x:c r="H213" s="767" t="inlineStr">
        <x:is>
          <x:t xml:space="preserve">Tömning Markbehållare 5 m³, osorterat avfall</x:t>
        </x:is>
      </x:c>
      <x:c r="I213" s="767"/>
      <x:c r="J213" s="767"/>
      <x:c r="K213" s="767" t="n">
        <x:v>400</x:v>
      </x:c>
      <x:c r="L213" s="852" t="n">
        <x:v>45761</x:v>
      </x:c>
      <x:c r="M213" s="767" t="n">
        <x:v>0</x:v>
      </x:c>
      <x:c r="N213" s="767"/>
      <x:c r="O213" s="767" t="inlineStr">
        <x:is>
          <x:t xml:space="preserve">-</x:t>
        </x:is>
      </x:c>
      <x:c r="P213" s="767" t="n">
        <x:v>1</x:v>
      </x:c>
      <x:c r="Q213" s="774" t="inlineStr">
        <x:is>
          <x:t xml:space="preserve">ANTB</x:t>
        </x:is>
      </x:c>
    </x:row>
    <x:row r="214">
      <x:c r="A214" s="773" t="n">
        <x:v>1753</x:v>
      </x:c>
      <x:c r="B214" s="767" t="inlineStr">
        <x:is>
          <x:t xml:space="preserve">FELSORT</x:t>
        </x:is>
      </x:c>
      <x:c r="C214" s="767" t="inlineStr">
        <x:is>
          <x:t xml:space="preserve">Felsorteringsavgift</x:t>
        </x:is>
      </x:c>
      <x:c r="D214" s="767" t="inlineStr">
        <x:is>
          <x:t xml:space="preserve">RENH</x:t>
        </x:is>
      </x:c>
      <x:c r="E214" s="767" t="inlineStr">
        <x:is>
          <x:t xml:space="preserve">HUSH</x:t>
        </x:is>
      </x:c>
      <x:c r="F214" s="767" t="n">
        <x:v>1</x:v>
      </x:c>
      <x:c r="G214" s="767" t="inlineStr">
        <x:is>
          <x:t xml:space="preserve">KVAN</x:t>
        </x:is>
      </x:c>
      <x:c r="H214" s="767" t="inlineStr">
        <x:is>
          <x:t xml:space="preserve">Felsorteringsavgift</x:t>
        </x:is>
      </x:c>
      <x:c r="I214" s="767"/>
      <x:c r="J214" s="767"/>
      <x:c r="K214" s="767" t="n">
        <x:v>800</x:v>
      </x:c>
      <x:c r="L214" s="852" t="n">
        <x:v>46023</x:v>
      </x:c>
      <x:c r="M214" s="767" t="n">
        <x:v>0</x:v>
      </x:c>
      <x:c r="N214" s="767"/>
      <x:c r="O214" s="767" t="inlineStr">
        <x:is>
          <x:t xml:space="preserve">-</x:t>
        </x:is>
      </x:c>
      <x:c r="P214" s="767" t="n">
        <x:v>1</x:v>
      </x:c>
      <x:c r="Q214" s="774" t="inlineStr">
        <x:is>
          <x:t xml:space="preserve">ANTL</x:t>
        </x:is>
      </x:c>
    </x:row>
    <x:row r="215">
      <x:c r="A215" s="773" t="n">
        <x:v>1804</x:v>
      </x:c>
      <x:c r="B215" s="767" t="inlineStr">
        <x:is>
          <x:t xml:space="preserve">GEMUPPFRI</x:t>
        </x:is>
      </x:c>
      <x:c r="C215" s="767" t="inlineStr">
        <x:is>
          <x:t xml:space="preserve">Gemensam uppsamlingsplats, fritidshus</x:t>
        </x:is>
      </x:c>
      <x:c r="D215" s="767" t="inlineStr">
        <x:is>
          <x:t xml:space="preserve">RENH</x:t>
        </x:is>
      </x:c>
      <x:c r="E215" s="767" t="inlineStr">
        <x:is>
          <x:t xml:space="preserve">HUSH</x:t>
        </x:is>
      </x:c>
      <x:c r="F215" s="767" t="n">
        <x:v>1</x:v>
      </x:c>
      <x:c r="G215" s="767" t="inlineStr">
        <x:is>
          <x:t xml:space="preserve">ÅRKV</x:t>
        </x:is>
      </x:c>
      <x:c r="H215" s="767" t="inlineStr">
        <x:is>
          <x:t xml:space="preserve">Gemensam uppsamlingsplats, mat- och restavfall</x:t>
        </x:is>
      </x:c>
      <x:c r="I215" s="767"/>
      <x:c r="J215" s="767"/>
      <x:c r="K215" s="767" t="n">
        <x:v>600</x:v>
      </x:c>
      <x:c r="L215" s="852" t="n">
        <x:v>46023</x:v>
      </x:c>
      <x:c r="M215" s="767" t="n">
        <x:v>0</x:v>
      </x:c>
      <x:c r="N215" s="767"/>
      <x:c r="O215" s="767" t="inlineStr">
        <x:is>
          <x:t xml:space="preserve">-</x:t>
        </x:is>
      </x:c>
      <x:c r="P215" s="767" t="n">
        <x:v>1</x:v>
      </x:c>
      <x:c r="Q215" s="774" t="inlineStr">
        <x:is>
          <x:t xml:space="preserve">FAST</x:t>
        </x:is>
      </x:c>
    </x:row>
    <x:row r="216">
      <x:c r="A216" s="773" t="n">
        <x:v>1577</x:v>
      </x:c>
      <x:c r="B216" s="767" t="inlineStr">
        <x:is>
          <x:t xml:space="preserve">KÄ140MA26FV</x:t>
        </x:is>
      </x:c>
      <x:c r="C216" s="767" t="inlineStr">
        <x:is>
          <x:t xml:space="preserve">Kärl 140L, matavfall. Var 14:e dag. FLB/VHT</x:t>
        </x:is>
      </x:c>
      <x:c r="D216" s="767" t="inlineStr">
        <x:is>
          <x:t xml:space="preserve">RENH</x:t>
        </x:is>
      </x:c>
      <x:c r="E216" s="767" t="inlineStr">
        <x:is>
          <x:t xml:space="preserve">HUSH</x:t>
        </x:is>
      </x:c>
      <x:c r="F216" s="767" t="n">
        <x:v>1</x:v>
      </x:c>
      <x:c r="G216" s="767" t="inlineStr">
        <x:is>
          <x:t xml:space="preserve">ÅRKV</x:t>
        </x:is>
      </x:c>
      <x:c r="H216" s="767" t="inlineStr">
        <x:is>
          <x:t xml:space="preserve">Kärl 140L, matavfall. Var 14:e dag</x:t>
        </x:is>
      </x:c>
      <x:c r="I216" s="767"/>
      <x:c r="J216" s="767"/>
      <x:c r="K216" s="767" t="n">
        <x:v>480</x:v>
      </x:c>
      <x:c r="L216" s="852" t="n">
        <x:v>46023</x:v>
      </x:c>
      <x:c r="M216" s="767" t="n">
        <x:v>0</x:v>
      </x:c>
      <x:c r="N216" s="767"/>
      <x:c r="O216" s="767" t="inlineStr">
        <x:is>
          <x:t xml:space="preserve">-</x:t>
        </x:is>
      </x:c>
      <x:c r="P216" s="767" t="n">
        <x:v>1</x:v>
      </x:c>
      <x:c r="Q216" s="774" t="inlineStr">
        <x:is>
          <x:t xml:space="preserve">ANTB</x:t>
        </x:is>
      </x:c>
    </x:row>
    <x:row r="217">
      <x:c r="A217" s="773" t="n">
        <x:v>1578</x:v>
      </x:c>
      <x:c r="B217" s="767" t="inlineStr">
        <x:is>
          <x:t xml:space="preserve">KÄ140MA26FV</x:t>
        </x:is>
      </x:c>
      <x:c r="C217" s="767" t="inlineStr">
        <x:is>
          <x:t xml:space="preserve">Kärl 140L, matavfall. Var 14:e dag. FLB/VHT</x:t>
        </x:is>
      </x:c>
      <x:c r="D217" s="767" t="inlineStr">
        <x:is>
          <x:t xml:space="preserve">RENH</x:t>
        </x:is>
      </x:c>
      <x:c r="E217" s="767" t="inlineStr">
        <x:is>
          <x:t xml:space="preserve">HUSH</x:t>
        </x:is>
      </x:c>
      <x:c r="F217" s="767" t="n">
        <x:v>2</x:v>
      </x:c>
      <x:c r="G217" s="767" t="inlineStr">
        <x:is>
          <x:t xml:space="preserve">KVAN</x:t>
        </x:is>
      </x:c>
      <x:c r="H217" s="767" t="inlineStr">
        <x:is>
          <x:t xml:space="preserve">Kärl 140L Viktavgift matavfall kr/kg</x:t>
        </x:is>
      </x:c>
      <x:c r="I217" s="767"/>
      <x:c r="J217" s="767"/>
      <x:c r="K217" s="767" t="n">
        <x:v>2.28</x:v>
      </x:c>
      <x:c r="L217" s="852" t="n">
        <x:v>46023</x:v>
      </x:c>
      <x:c r="M217" s="767" t="n">
        <x:v>0</x:v>
      </x:c>
      <x:c r="N217" s="767"/>
      <x:c r="O217" s="767" t="inlineStr">
        <x:is>
          <x:t xml:space="preserve">-</x:t>
        </x:is>
      </x:c>
      <x:c r="P217" s="767" t="n">
        <x:v>1</x:v>
      </x:c>
      <x:c r="Q217" s="774" t="inlineStr">
        <x:is>
          <x:t xml:space="preserve">VIKG,MAX60</x:t>
        </x:is>
      </x:c>
    </x:row>
    <x:row r="218">
      <x:c r="A218" s="773" t="n">
        <x:v>1592</x:v>
      </x:c>
      <x:c r="B218" s="767" t="inlineStr">
        <x:is>
          <x:t xml:space="preserve">KÄ140MA26FV</x:t>
        </x:is>
      </x:c>
      <x:c r="C218" s="767" t="inlineStr">
        <x:is>
          <x:t xml:space="preserve">Kärl 140L, matavfall. Var 14:e dag. FLB/VHT</x:t>
        </x:is>
      </x:c>
      <x:c r="D218" s="767" t="inlineStr">
        <x:is>
          <x:t xml:space="preserve">RENH</x:t>
        </x:is>
      </x:c>
      <x:c r="E218" s="767" t="inlineStr">
        <x:is>
          <x:t xml:space="preserve">HUSH</x:t>
        </x:is>
      </x:c>
      <x:c r="F218" s="767" t="n">
        <x:v>3</x:v>
      </x:c>
      <x:c r="G218" s="767" t="inlineStr">
        <x:is>
          <x:t xml:space="preserve">ÅRKV</x:t>
        </x:is>
      </x:c>
      <x:c r="H218" s="767" t="inlineStr">
        <x:is>
          <x:t xml:space="preserve">Dragväg 1,5-10 meter</x:t>
        </x:is>
      </x:c>
      <x:c r="I218" s="767"/>
      <x:c r="J218" s="767"/>
      <x:c r="K218" s="767" t="n">
        <x:v>0</x:v>
      </x:c>
      <x:c r="L218" s="852" t="n">
        <x:v>46023</x:v>
      </x:c>
      <x:c r="M218" s="767" t="n">
        <x:v>0</x:v>
      </x:c>
      <x:c r="N218" s="767"/>
      <x:c r="O218" s="767" t="inlineStr">
        <x:is>
          <x:t xml:space="preserve">-</x:t>
        </x:is>
      </x:c>
      <x:c r="P218" s="767" t="n">
        <x:v>1</x:v>
      </x:c>
      <x:c r="Q218" s="774" t="inlineStr">
        <x:is>
          <x:t xml:space="preserve">DR10</x:t>
        </x:is>
      </x:c>
    </x:row>
    <x:row r="219">
      <x:c r="A219" s="773" t="n">
        <x:v>1593</x:v>
      </x:c>
      <x:c r="B219" s="767" t="inlineStr">
        <x:is>
          <x:t xml:space="preserve">KÄ140MA26FV</x:t>
        </x:is>
      </x:c>
      <x:c r="C219" s="767" t="inlineStr">
        <x:is>
          <x:t xml:space="preserve">Kärl 140L, matavfall. Var 14:e dag. FLB/VHT</x:t>
        </x:is>
      </x:c>
      <x:c r="D219" s="767" t="inlineStr">
        <x:is>
          <x:t xml:space="preserve">RENH</x:t>
        </x:is>
      </x:c>
      <x:c r="E219" s="767" t="inlineStr">
        <x:is>
          <x:t xml:space="preserve">HUSH</x:t>
        </x:is>
      </x:c>
      <x:c r="F219" s="767" t="n">
        <x:v>4</x:v>
      </x:c>
      <x:c r="G219" s="767" t="inlineStr">
        <x:is>
          <x:t xml:space="preserve">ÅRKV</x:t>
        </x:is>
      </x:c>
      <x:c r="H219" s="767" t="inlineStr">
        <x:is>
          <x:t xml:space="preserve">Dragväg 10,1-20 meter</x:t>
        </x:is>
      </x:c>
      <x:c r="I219" s="767"/>
      <x:c r="J219" s="767"/>
      <x:c r="K219" s="767" t="n">
        <x:v>0</x:v>
      </x:c>
      <x:c r="L219" s="852" t="n">
        <x:v>46023</x:v>
      </x:c>
      <x:c r="M219" s="767" t="n">
        <x:v>0</x:v>
      </x:c>
      <x:c r="N219" s="767"/>
      <x:c r="O219" s="767" t="inlineStr">
        <x:is>
          <x:t xml:space="preserve">-</x:t>
        </x:is>
      </x:c>
      <x:c r="P219" s="767" t="n">
        <x:v>1</x:v>
      </x:c>
      <x:c r="Q219" s="774" t="inlineStr">
        <x:is>
          <x:t xml:space="preserve">DR20</x:t>
        </x:is>
      </x:c>
    </x:row>
    <x:row r="220">
      <x:c r="A220" s="773" t="n">
        <x:v>1701</x:v>
      </x:c>
      <x:c r="B220" s="767" t="inlineStr">
        <x:is>
          <x:t xml:space="preserve">KÄ140MA26FV</x:t>
        </x:is>
      </x:c>
      <x:c r="C220" s="767" t="inlineStr">
        <x:is>
          <x:t xml:space="preserve">Kärl 140L, matavfall. Var 14:e dag. FLB/VHT</x:t>
        </x:is>
      </x:c>
      <x:c r="D220" s="767" t="inlineStr">
        <x:is>
          <x:t xml:space="preserve">RENH</x:t>
        </x:is>
      </x:c>
      <x:c r="E220" s="767" t="inlineStr">
        <x:is>
          <x:t xml:space="preserve">HUSH</x:t>
        </x:is>
      </x:c>
      <x:c r="F220" s="767" t="n">
        <x:v>5</x:v>
      </x:c>
      <x:c r="G220" s="767" t="inlineStr">
        <x:is>
          <x:t xml:space="preserve">KVAN</x:t>
        </x:is>
      </x:c>
      <x:c r="H220" s="767" t="inlineStr">
        <x:is>
          <x:t xml:space="preserve">Kärl 140L Överviktsavgift för vikt över 60 kg, matavfall</x:t>
        </x:is>
      </x:c>
      <x:c r="I220" s="767"/>
      <x:c r="J220" s="767"/>
      <x:c r="K220" s="767" t="n">
        <x:v>4.8</x:v>
      </x:c>
      <x:c r="L220" s="852" t="n">
        <x:v>46023</x:v>
      </x:c>
      <x:c r="M220" s="767" t="n">
        <x:v>0</x:v>
      </x:c>
      <x:c r="N220" s="767"/>
      <x:c r="O220" s="767" t="inlineStr">
        <x:is>
          <x:t xml:space="preserve">-</x:t>
        </x:is>
      </x:c>
      <x:c r="P220" s="767" t="n">
        <x:v>1</x:v>
      </x:c>
      <x:c r="Q220" s="774" t="inlineStr">
        <x:is>
          <x:t xml:space="preserve">VIKG-60,MIN0</x:t>
        </x:is>
      </x:c>
    </x:row>
    <x:row r="221">
      <x:c r="A221" s="773" t="n">
        <x:v>1594</x:v>
      </x:c>
      <x:c r="B221" s="767" t="inlineStr">
        <x:is>
          <x:t xml:space="preserve">KÄ140MA52FV</x:t>
        </x:is>
      </x:c>
      <x:c r="C221" s="767" t="inlineStr">
        <x:is>
          <x:t xml:space="preserve">Kärl 140L, matavfall. Varje vecka. FLB/VHT</x:t>
        </x:is>
      </x:c>
      <x:c r="D221" s="767" t="inlineStr">
        <x:is>
          <x:t xml:space="preserve">RENH</x:t>
        </x:is>
      </x:c>
      <x:c r="E221" s="767" t="inlineStr">
        <x:is>
          <x:t xml:space="preserve">HUSH</x:t>
        </x:is>
      </x:c>
      <x:c r="F221" s="767" t="n">
        <x:v>1</x:v>
      </x:c>
      <x:c r="G221" s="767" t="inlineStr">
        <x:is>
          <x:t xml:space="preserve">ÅRKV</x:t>
        </x:is>
      </x:c>
      <x:c r="H221" s="767" t="inlineStr">
        <x:is>
          <x:t xml:space="preserve">Kärl 140L, matavfall. Varje vecka</x:t>
        </x:is>
      </x:c>
      <x:c r="I221" s="767"/>
      <x:c r="J221" s="767"/>
      <x:c r="K221" s="767" t="n">
        <x:v>1240</x:v>
      </x:c>
      <x:c r="L221" s="852" t="n">
        <x:v>46023</x:v>
      </x:c>
      <x:c r="M221" s="767" t="n">
        <x:v>0</x:v>
      </x:c>
      <x:c r="N221" s="767"/>
      <x:c r="O221" s="767" t="inlineStr">
        <x:is>
          <x:t xml:space="preserve">-</x:t>
        </x:is>
      </x:c>
      <x:c r="P221" s="767" t="n">
        <x:v>1</x:v>
      </x:c>
      <x:c r="Q221" s="774" t="inlineStr">
        <x:is>
          <x:t xml:space="preserve">ANTB</x:t>
        </x:is>
      </x:c>
    </x:row>
    <x:row r="222">
      <x:c r="A222" s="773" t="n">
        <x:v>1595</x:v>
      </x:c>
      <x:c r="B222" s="767" t="inlineStr">
        <x:is>
          <x:t xml:space="preserve">KÄ140MA52FV</x:t>
        </x:is>
      </x:c>
      <x:c r="C222" s="767" t="inlineStr">
        <x:is>
          <x:t xml:space="preserve">Kärl 140L, matavfall. Varje vecka. FLB/VHT</x:t>
        </x:is>
      </x:c>
      <x:c r="D222" s="767" t="inlineStr">
        <x:is>
          <x:t xml:space="preserve">RENH</x:t>
        </x:is>
      </x:c>
      <x:c r="E222" s="767" t="inlineStr">
        <x:is>
          <x:t xml:space="preserve">HUSH</x:t>
        </x:is>
      </x:c>
      <x:c r="F222" s="767" t="n">
        <x:v>2</x:v>
      </x:c>
      <x:c r="G222" s="767" t="inlineStr">
        <x:is>
          <x:t xml:space="preserve">KVAN</x:t>
        </x:is>
      </x:c>
      <x:c r="H222" s="767" t="inlineStr">
        <x:is>
          <x:t xml:space="preserve">Kärl 140L Viktavgift matavfall kr/kg</x:t>
        </x:is>
      </x:c>
      <x:c r="I222" s="767"/>
      <x:c r="J222" s="767"/>
      <x:c r="K222" s="767" t="n">
        <x:v>2.28</x:v>
      </x:c>
      <x:c r="L222" s="852" t="n">
        <x:v>46023</x:v>
      </x:c>
      <x:c r="M222" s="767" t="n">
        <x:v>0</x:v>
      </x:c>
      <x:c r="N222" s="767"/>
      <x:c r="O222" s="767" t="inlineStr">
        <x:is>
          <x:t xml:space="preserve">-</x:t>
        </x:is>
      </x:c>
      <x:c r="P222" s="767" t="n">
        <x:v>1</x:v>
      </x:c>
      <x:c r="Q222" s="774" t="inlineStr">
        <x:is>
          <x:t xml:space="preserve">VIKG,MAX60</x:t>
        </x:is>
      </x:c>
    </x:row>
    <x:row r="223">
      <x:c r="A223" s="773" t="n">
        <x:v>1596</x:v>
      </x:c>
      <x:c r="B223" s="767" t="inlineStr">
        <x:is>
          <x:t xml:space="preserve">KÄ140MA52FV</x:t>
        </x:is>
      </x:c>
      <x:c r="C223" s="767" t="inlineStr">
        <x:is>
          <x:t xml:space="preserve">Kärl 140L, matavfall. Varje vecka. FLB/VHT</x:t>
        </x:is>
      </x:c>
      <x:c r="D223" s="767" t="inlineStr">
        <x:is>
          <x:t xml:space="preserve">RENH</x:t>
        </x:is>
      </x:c>
      <x:c r="E223" s="767" t="inlineStr">
        <x:is>
          <x:t xml:space="preserve">HUSH</x:t>
        </x:is>
      </x:c>
      <x:c r="F223" s="767" t="n">
        <x:v>3</x:v>
      </x:c>
      <x:c r="G223" s="767" t="inlineStr">
        <x:is>
          <x:t xml:space="preserve">ÅRKV</x:t>
        </x:is>
      </x:c>
      <x:c r="H223" s="767" t="inlineStr">
        <x:is>
          <x:t xml:space="preserve">Dragväg 1,5-10 meter</x:t>
        </x:is>
      </x:c>
      <x:c r="I223" s="767"/>
      <x:c r="J223" s="767"/>
      <x:c r="K223" s="767" t="n">
        <x:v>0</x:v>
      </x:c>
      <x:c r="L223" s="852" t="n">
        <x:v>46023</x:v>
      </x:c>
      <x:c r="M223" s="767" t="n">
        <x:v>0</x:v>
      </x:c>
      <x:c r="N223" s="767"/>
      <x:c r="O223" s="767" t="inlineStr">
        <x:is>
          <x:t xml:space="preserve">-</x:t>
        </x:is>
      </x:c>
      <x:c r="P223" s="767" t="n">
        <x:v>1</x:v>
      </x:c>
      <x:c r="Q223" s="774" t="inlineStr">
        <x:is>
          <x:t xml:space="preserve">DR10</x:t>
        </x:is>
      </x:c>
    </x:row>
    <x:row r="224">
      <x:c r="A224" s="773" t="n">
        <x:v>1597</x:v>
      </x:c>
      <x:c r="B224" s="767" t="inlineStr">
        <x:is>
          <x:t xml:space="preserve">KÄ140MA52FV</x:t>
        </x:is>
      </x:c>
      <x:c r="C224" s="767" t="inlineStr">
        <x:is>
          <x:t xml:space="preserve">Kärl 140L, matavfall. Varje vecka. FLB/VHT</x:t>
        </x:is>
      </x:c>
      <x:c r="D224" s="767" t="inlineStr">
        <x:is>
          <x:t xml:space="preserve">RENH</x:t>
        </x:is>
      </x:c>
      <x:c r="E224" s="767" t="inlineStr">
        <x:is>
          <x:t xml:space="preserve">HUSH</x:t>
        </x:is>
      </x:c>
      <x:c r="F224" s="767" t="n">
        <x:v>4</x:v>
      </x:c>
      <x:c r="G224" s="767" t="inlineStr">
        <x:is>
          <x:t xml:space="preserve">ÅRKV</x:t>
        </x:is>
      </x:c>
      <x:c r="H224" s="767" t="inlineStr">
        <x:is>
          <x:t xml:space="preserve">Dragväg 10,1-20 meter</x:t>
        </x:is>
      </x:c>
      <x:c r="I224" s="767"/>
      <x:c r="J224" s="767"/>
      <x:c r="K224" s="767" t="n">
        <x:v>0</x:v>
      </x:c>
      <x:c r="L224" s="852" t="n">
        <x:v>46023</x:v>
      </x:c>
      <x:c r="M224" s="767" t="n">
        <x:v>0</x:v>
      </x:c>
      <x:c r="N224" s="767"/>
      <x:c r="O224" s="767" t="inlineStr">
        <x:is>
          <x:t xml:space="preserve">-</x:t>
        </x:is>
      </x:c>
      <x:c r="P224" s="767" t="n">
        <x:v>1</x:v>
      </x:c>
      <x:c r="Q224" s="774" t="inlineStr">
        <x:is>
          <x:t xml:space="preserve">DR20</x:t>
        </x:is>
      </x:c>
    </x:row>
    <x:row r="225">
      <x:c r="A225" s="773" t="n">
        <x:v>1702</x:v>
      </x:c>
      <x:c r="B225" s="767" t="inlineStr">
        <x:is>
          <x:t xml:space="preserve">KÄ140MA52FV</x:t>
        </x:is>
      </x:c>
      <x:c r="C225" s="767" t="inlineStr">
        <x:is>
          <x:t xml:space="preserve">Kärl 140L, matavfall. Varje vecka. FLB/VHT</x:t>
        </x:is>
      </x:c>
      <x:c r="D225" s="767" t="inlineStr">
        <x:is>
          <x:t xml:space="preserve">RENH</x:t>
        </x:is>
      </x:c>
      <x:c r="E225" s="767" t="inlineStr">
        <x:is>
          <x:t xml:space="preserve">HUSH</x:t>
        </x:is>
      </x:c>
      <x:c r="F225" s="767" t="n">
        <x:v>5</x:v>
      </x:c>
      <x:c r="G225" s="767" t="inlineStr">
        <x:is>
          <x:t xml:space="preserve">KVAN</x:t>
        </x:is>
      </x:c>
      <x:c r="H225" s="767" t="inlineStr">
        <x:is>
          <x:t xml:space="preserve">Kärl 140L Överviktsavgift för vikt över 60 kg, matavfall</x:t>
        </x:is>
      </x:c>
      <x:c r="I225" s="767"/>
      <x:c r="J225" s="767"/>
      <x:c r="K225" s="767" t="n">
        <x:v>4.8</x:v>
      </x:c>
      <x:c r="L225" s="852" t="n">
        <x:v>46023</x:v>
      </x:c>
      <x:c r="M225" s="767" t="n">
        <x:v>0</x:v>
      </x:c>
      <x:c r="N225" s="767"/>
      <x:c r="O225" s="767" t="inlineStr">
        <x:is>
          <x:t xml:space="preserve">-</x:t>
        </x:is>
      </x:c>
      <x:c r="P225" s="767" t="n">
        <x:v>1</x:v>
      </x:c>
      <x:c r="Q225" s="774" t="inlineStr">
        <x:is>
          <x:t xml:space="preserve">VIKG-60,MIN0</x:t>
        </x:is>
      </x:c>
    </x:row>
    <x:row r="226">
      <x:c r="A226" s="773" t="n">
        <x:v>1665</x:v>
      </x:c>
      <x:c r="B226" s="767" t="inlineStr">
        <x:is>
          <x:t xml:space="preserve">KÄ190XRM26</x:t>
        </x:is>
      </x:c>
      <x:c r="C226" s="767" t="inlineStr">
        <x:is>
          <x:t xml:space="preserve">Kärl 120-190L extrakärl, rest/matavfall. Var 14:e dag</x:t>
        </x:is>
      </x:c>
      <x:c r="D226" s="767" t="inlineStr">
        <x:is>
          <x:t xml:space="preserve">RENH</x:t>
        </x:is>
      </x:c>
      <x:c r="E226" s="767" t="inlineStr">
        <x:is>
          <x:t xml:space="preserve">HUSH</x:t>
        </x:is>
      </x:c>
      <x:c r="F226" s="767" t="n">
        <x:v>1</x:v>
      </x:c>
      <x:c r="G226" s="767" t="inlineStr">
        <x:is>
          <x:t xml:space="preserve">ÅRKV</x:t>
        </x:is>
      </x:c>
      <x:c r="H226" s="767" t="inlineStr">
        <x:is>
          <x:t xml:space="preserve">Kärl 120-190L extrakärl, rest/matavfall. Var 14:e dag</x:t>
        </x:is>
      </x:c>
      <x:c r="I226" s="767"/>
      <x:c r="J226" s="767"/>
      <x:c r="K226" s="767" t="n">
        <x:v>680</x:v>
      </x:c>
      <x:c r="L226" s="852" t="n">
        <x:v>46023</x:v>
      </x:c>
      <x:c r="M226" s="767" t="n">
        <x:v>0</x:v>
      </x:c>
      <x:c r="N226" s="767"/>
      <x:c r="O226" s="767" t="inlineStr">
        <x:is>
          <x:t xml:space="preserve">-</x:t>
        </x:is>
      </x:c>
      <x:c r="P226" s="767" t="n">
        <x:v>1</x:v>
      </x:c>
      <x:c r="Q226" s="774" t="inlineStr">
        <x:is>
          <x:t xml:space="preserve">ANTB</x:t>
        </x:is>
      </x:c>
    </x:row>
    <x:row r="227">
      <x:c r="A227" s="773" t="n">
        <x:v>1666</x:v>
      </x:c>
      <x:c r="B227" s="767" t="inlineStr">
        <x:is>
          <x:t xml:space="preserve">KÄ190XRM26</x:t>
        </x:is>
      </x:c>
      <x:c r="C227" s="767" t="inlineStr">
        <x:is>
          <x:t xml:space="preserve">Kärl 120-190L extrakärl, rest/matavfall. Var 14:e dag</x:t>
        </x:is>
      </x:c>
      <x:c r="D227" s="767" t="inlineStr">
        <x:is>
          <x:t xml:space="preserve">RENH</x:t>
        </x:is>
      </x:c>
      <x:c r="E227" s="767" t="inlineStr">
        <x:is>
          <x:t xml:space="preserve">HUSH</x:t>
        </x:is>
      </x:c>
      <x:c r="F227" s="767" t="n">
        <x:v>2</x:v>
      </x:c>
      <x:c r="G227" s="767" t="inlineStr">
        <x:is>
          <x:t xml:space="preserve">KVAN</x:t>
        </x:is>
      </x:c>
      <x:c r="H227" s="767" t="inlineStr">
        <x:is>
          <x:t xml:space="preserve">Viktavgift rest- matavfall kr/kg</x:t>
        </x:is>
      </x:c>
      <x:c r="I227" s="767"/>
      <x:c r="J227" s="767"/>
      <x:c r="K227" s="767" t="n">
        <x:v>4.28</x:v>
      </x:c>
      <x:c r="L227" s="852" t="n">
        <x:v>46023</x:v>
      </x:c>
      <x:c r="M227" s="767" t="n">
        <x:v>0</x:v>
      </x:c>
      <x:c r="N227" s="767"/>
      <x:c r="O227" s="767" t="inlineStr">
        <x:is>
          <x:t xml:space="preserve">-</x:t>
        </x:is>
      </x:c>
      <x:c r="P227" s="767" t="n">
        <x:v>1</x:v>
      </x:c>
      <x:c r="Q227" s="774" t="inlineStr">
        <x:is>
          <x:t xml:space="preserve">VIKG</x:t>
        </x:is>
      </x:c>
    </x:row>
    <x:row r="228">
      <x:c r="A228" s="773" t="n">
        <x:v>1668</x:v>
      </x:c>
      <x:c r="B228" s="767" t="inlineStr">
        <x:is>
          <x:t xml:space="preserve">KÄ190XRM26FV</x:t>
        </x:is>
      </x:c>
      <x:c r="C228" s="767" t="inlineStr">
        <x:is>
          <x:t xml:space="preserve">Kärl 120-190L extrakärl, rest/matavfall. Var 14:e dag. FLB/VHT</x:t>
        </x:is>
      </x:c>
      <x:c r="D228" s="767" t="inlineStr">
        <x:is>
          <x:t xml:space="preserve">RENH</x:t>
        </x:is>
      </x:c>
      <x:c r="E228" s="767" t="inlineStr">
        <x:is>
          <x:t xml:space="preserve">HUSH</x:t>
        </x:is>
      </x:c>
      <x:c r="F228" s="767" t="n">
        <x:v>1</x:v>
      </x:c>
      <x:c r="G228" s="767" t="inlineStr">
        <x:is>
          <x:t xml:space="preserve">ÅRKV</x:t>
        </x:is>
      </x:c>
      <x:c r="H228" s="767" t="inlineStr">
        <x:is>
          <x:t xml:space="preserve">Kärl 120-190L extrakärl, rest/matavfall. Var 14:e dag</x:t>
        </x:is>
      </x:c>
      <x:c r="I228" s="767"/>
      <x:c r="J228" s="767"/>
      <x:c r="K228" s="767" t="n">
        <x:v>680</x:v>
      </x:c>
      <x:c r="L228" s="852" t="n">
        <x:v>46023</x:v>
      </x:c>
      <x:c r="M228" s="767" t="n">
        <x:v>0</x:v>
      </x:c>
      <x:c r="N228" s="767"/>
      <x:c r="O228" s="767" t="inlineStr">
        <x:is>
          <x:t xml:space="preserve">-</x:t>
        </x:is>
      </x:c>
      <x:c r="P228" s="767" t="n">
        <x:v>1</x:v>
      </x:c>
      <x:c r="Q228" s="774" t="inlineStr">
        <x:is>
          <x:t xml:space="preserve">ANTB</x:t>
        </x:is>
      </x:c>
    </x:row>
    <x:row r="229">
      <x:c r="A229" s="773" t="n">
        <x:v>1669</x:v>
      </x:c>
      <x:c r="B229" s="767" t="inlineStr">
        <x:is>
          <x:t xml:space="preserve">KÄ190XRM26FV</x:t>
        </x:is>
      </x:c>
      <x:c r="C229" s="767" t="inlineStr">
        <x:is>
          <x:t xml:space="preserve">Kärl 120-190L extrakärl, rest/matavfall. Var 14:e dag. FLB/VHT</x:t>
        </x:is>
      </x:c>
      <x:c r="D229" s="767" t="inlineStr">
        <x:is>
          <x:t xml:space="preserve">RENH</x:t>
        </x:is>
      </x:c>
      <x:c r="E229" s="767" t="inlineStr">
        <x:is>
          <x:t xml:space="preserve">HUSH</x:t>
        </x:is>
      </x:c>
      <x:c r="F229" s="767" t="n">
        <x:v>2</x:v>
      </x:c>
      <x:c r="G229" s="767" t="inlineStr">
        <x:is>
          <x:t xml:space="preserve">KVAN</x:t>
        </x:is>
      </x:c>
      <x:c r="H229" s="767" t="inlineStr">
        <x:is>
          <x:t xml:space="preserve">Viktavgift rest- matavfall kr/kg</x:t>
        </x:is>
      </x:c>
      <x:c r="I229" s="767"/>
      <x:c r="J229" s="767"/>
      <x:c r="K229" s="767" t="n">
        <x:v>4.28</x:v>
      </x:c>
      <x:c r="L229" s="852" t="n">
        <x:v>46023</x:v>
      </x:c>
      <x:c r="M229" s="767" t="n">
        <x:v>0</x:v>
      </x:c>
      <x:c r="N229" s="767"/>
      <x:c r="O229" s="767" t="inlineStr">
        <x:is>
          <x:t xml:space="preserve">-</x:t>
        </x:is>
      </x:c>
      <x:c r="P229" s="767" t="n">
        <x:v>1</x:v>
      </x:c>
      <x:c r="Q229" s="774" t="inlineStr">
        <x:is>
          <x:t xml:space="preserve">VIKG</x:t>
        </x:is>
      </x:c>
    </x:row>
    <x:row r="230">
      <x:c r="A230" s="773" t="n">
        <x:v>1555</x:v>
      </x:c>
      <x:c r="B230" s="767" t="inlineStr">
        <x:is>
          <x:t xml:space="preserve">KÄ240RK26</x:t>
        </x:is>
      </x:c>
      <x:c r="C230" s="767" t="inlineStr">
        <x:is>
          <x:t xml:space="preserve">Tvåfackskärl 240L, restavfall/kompost. Var 14:e dag</x:t>
        </x:is>
      </x:c>
      <x:c r="D230" s="767" t="inlineStr">
        <x:is>
          <x:t xml:space="preserve">RENH</x:t>
        </x:is>
      </x:c>
      <x:c r="E230" s="767" t="inlineStr">
        <x:is>
          <x:t xml:space="preserve">HUSH</x:t>
        </x:is>
      </x:c>
      <x:c r="F230" s="767" t="n">
        <x:v>1</x:v>
      </x:c>
      <x:c r="G230" s="767" t="inlineStr">
        <x:is>
          <x:t xml:space="preserve">ÅRKV</x:t>
        </x:is>
      </x:c>
      <x:c r="H230" s="767" t="inlineStr">
        <x:is>
          <x:t xml:space="preserve">Tvåfackskärl 240L, restavfall/kompost. Var 14:e dag</x:t>
        </x:is>
      </x:c>
      <x:c r="I230" s="767"/>
      <x:c r="J230" s="767"/>
      <x:c r="K230" s="767" t="n">
        <x:v>680</x:v>
      </x:c>
      <x:c r="L230" s="852" t="n">
        <x:v>46023</x:v>
      </x:c>
      <x:c r="M230" s="767" t="n">
        <x:v>0</x:v>
      </x:c>
      <x:c r="N230" s="767"/>
      <x:c r="O230" s="767" t="inlineStr">
        <x:is>
          <x:t xml:space="preserve">-</x:t>
        </x:is>
      </x:c>
      <x:c r="P230" s="767" t="n">
        <x:v>1</x:v>
      </x:c>
      <x:c r="Q230" s="774" t="inlineStr">
        <x:is>
          <x:t xml:space="preserve">ANTB</x:t>
        </x:is>
      </x:c>
    </x:row>
    <x:row r="231">
      <x:c r="A231" s="773" t="n">
        <x:v>1556</x:v>
      </x:c>
      <x:c r="B231" s="767" t="inlineStr">
        <x:is>
          <x:t xml:space="preserve">KÄ240RK26</x:t>
        </x:is>
      </x:c>
      <x:c r="C231" s="767" t="inlineStr">
        <x:is>
          <x:t xml:space="preserve">Tvåfackskärl 240L, restavfall/kompost. Var 14:e dag</x:t>
        </x:is>
      </x:c>
      <x:c r="D231" s="767" t="inlineStr">
        <x:is>
          <x:t xml:space="preserve">RENH</x:t>
        </x:is>
      </x:c>
      <x:c r="E231" s="767" t="inlineStr">
        <x:is>
          <x:t xml:space="preserve">HUSH</x:t>
        </x:is>
      </x:c>
      <x:c r="F231" s="767" t="n">
        <x:v>2</x:v>
      </x:c>
      <x:c r="G231" s="767" t="inlineStr">
        <x:is>
          <x:t xml:space="preserve">KVAN</x:t>
        </x:is>
      </x:c>
      <x:c r="H231" s="767" t="inlineStr">
        <x:is>
          <x:t xml:space="preserve">Viktavgift restavfall kr/kg</x:t>
        </x:is>
      </x:c>
      <x:c r="I231" s="767"/>
      <x:c r="J231" s="767"/>
      <x:c r="K231" s="767" t="n">
        <x:v>4.28</x:v>
      </x:c>
      <x:c r="L231" s="852" t="n">
        <x:v>46023</x:v>
      </x:c>
      <x:c r="M231" s="767" t="n">
        <x:v>0</x:v>
      </x:c>
      <x:c r="N231" s="767"/>
      <x:c r="O231" s="767" t="inlineStr">
        <x:is>
          <x:t xml:space="preserve">-</x:t>
        </x:is>
      </x:c>
      <x:c r="P231" s="767" t="n">
        <x:v>1</x:v>
      </x:c>
      <x:c r="Q231" s="774" t="inlineStr">
        <x:is>
          <x:t xml:space="preserve">VIKG</x:t>
        </x:is>
      </x:c>
    </x:row>
    <x:row r="232">
      <x:c r="A232" s="773" t="n">
        <x:v>1808</x:v>
      </x:c>
      <x:c r="B232" s="767" t="inlineStr">
        <x:is>
          <x:t xml:space="preserve">KÄ240RK26FRI</x:t>
        </x:is>
      </x:c>
      <x:c r="C232" s="767" t="inlineStr">
        <x:is>
          <x:t xml:space="preserve">Tvåfackskärl 240L, restavfall/kompost. Var 14:e dag fritidshus</x:t>
        </x:is>
      </x:c>
      <x:c r="D232" s="767" t="inlineStr">
        <x:is>
          <x:t xml:space="preserve">RENH</x:t>
        </x:is>
      </x:c>
      <x:c r="E232" s="767" t="inlineStr">
        <x:is>
          <x:t xml:space="preserve">HUSH</x:t>
        </x:is>
      </x:c>
      <x:c r="F232" s="767" t="n">
        <x:v>1</x:v>
      </x:c>
      <x:c r="G232" s="767" t="inlineStr">
        <x:is>
          <x:t xml:space="preserve">ÅRKV</x:t>
        </x:is>
      </x:c>
      <x:c r="H232" s="767" t="inlineStr">
        <x:is>
          <x:t xml:space="preserve">Tvåfackskärl 240L, restavfall/kompost. Var 14:e dag</x:t>
        </x:is>
      </x:c>
      <x:c r="I232" s="767"/>
      <x:c r="J232" s="767"/>
      <x:c r="K232" s="767" t="n">
        <x:v>680</x:v>
      </x:c>
      <x:c r="L232" s="852" t="n">
        <x:v>46023</x:v>
      </x:c>
      <x:c r="M232" s="767" t="n">
        <x:v>0</x:v>
      </x:c>
      <x:c r="N232" s="767"/>
      <x:c r="O232" s="767" t="inlineStr">
        <x:is>
          <x:t xml:space="preserve">-</x:t>
        </x:is>
      </x:c>
      <x:c r="P232" s="767" t="n">
        <x:v>1</x:v>
      </x:c>
      <x:c r="Q232" s="774" t="inlineStr">
        <x:is>
          <x:t xml:space="preserve">ANTB</x:t>
        </x:is>
      </x:c>
    </x:row>
    <x:row r="233">
      <x:c r="A233" s="773" t="n">
        <x:v>1809</x:v>
      </x:c>
      <x:c r="B233" s="767" t="inlineStr">
        <x:is>
          <x:t xml:space="preserve">KÄ240RK26FRI</x:t>
        </x:is>
      </x:c>
      <x:c r="C233" s="767" t="inlineStr">
        <x:is>
          <x:t xml:space="preserve">Tvåfackskärl 240L, restavfall/kompost. Var 14:e dag fritidshus</x:t>
        </x:is>
      </x:c>
      <x:c r="D233" s="767" t="inlineStr">
        <x:is>
          <x:t xml:space="preserve">RENH</x:t>
        </x:is>
      </x:c>
      <x:c r="E233" s="767" t="inlineStr">
        <x:is>
          <x:t xml:space="preserve">HUSH</x:t>
        </x:is>
      </x:c>
      <x:c r="F233" s="767" t="n">
        <x:v>2</x:v>
      </x:c>
      <x:c r="G233" s="767" t="inlineStr">
        <x:is>
          <x:t xml:space="preserve">KVAN</x:t>
        </x:is>
      </x:c>
      <x:c r="H233" s="767" t="inlineStr">
        <x:is>
          <x:t xml:space="preserve">Viktavgift restavfall kr/kg</x:t>
        </x:is>
      </x:c>
      <x:c r="I233" s="767"/>
      <x:c r="J233" s="767"/>
      <x:c r="K233" s="767" t="n">
        <x:v>4.28</x:v>
      </x:c>
      <x:c r="L233" s="852" t="n">
        <x:v>46023</x:v>
      </x:c>
      <x:c r="M233" s="767" t="n">
        <x:v>0</x:v>
      </x:c>
      <x:c r="N233" s="767"/>
      <x:c r="O233" s="767" t="inlineStr">
        <x:is>
          <x:t xml:space="preserve">-</x:t>
        </x:is>
      </x:c>
      <x:c r="P233" s="767" t="n">
        <x:v>1</x:v>
      </x:c>
      <x:c r="Q233" s="774" t="inlineStr">
        <x:is>
          <x:t xml:space="preserve">VIKG</x:t>
        </x:is>
      </x:c>
    </x:row>
    <x:row r="234">
      <x:c r="A234" s="773" t="n">
        <x:v>1552</x:v>
      </x:c>
      <x:c r="B234" s="767" t="inlineStr">
        <x:is>
          <x:t xml:space="preserve">KÄ240RM26</x:t>
        </x:is>
      </x:c>
      <x:c r="C234" s="767" t="inlineStr">
        <x:is>
          <x:t xml:space="preserve">Tvåfackskärl 240L, rest/matavfall. Var 14:e dag</x:t>
        </x:is>
      </x:c>
      <x:c r="D234" s="767" t="inlineStr">
        <x:is>
          <x:t xml:space="preserve">RENH</x:t>
        </x:is>
      </x:c>
      <x:c r="E234" s="767" t="inlineStr">
        <x:is>
          <x:t xml:space="preserve">HUSH</x:t>
        </x:is>
      </x:c>
      <x:c r="F234" s="767" t="n">
        <x:v>1</x:v>
      </x:c>
      <x:c r="G234" s="767" t="inlineStr">
        <x:is>
          <x:t xml:space="preserve">ÅRKV</x:t>
        </x:is>
      </x:c>
      <x:c r="H234" s="767" t="inlineStr">
        <x:is>
          <x:t xml:space="preserve">Tvåfackskärl 240L, rest/matavfall. Var 14:e dag</x:t>
        </x:is>
      </x:c>
      <x:c r="I234" s="767"/>
      <x:c r="J234" s="767"/>
      <x:c r="K234" s="767" t="n">
        <x:v>680</x:v>
      </x:c>
      <x:c r="L234" s="852" t="n">
        <x:v>46023</x:v>
      </x:c>
      <x:c r="M234" s="767" t="n">
        <x:v>0</x:v>
      </x:c>
      <x:c r="N234" s="767"/>
      <x:c r="O234" s="767" t="inlineStr">
        <x:is>
          <x:t xml:space="preserve">-</x:t>
        </x:is>
      </x:c>
      <x:c r="P234" s="767" t="n">
        <x:v>1</x:v>
      </x:c>
      <x:c r="Q234" s="774" t="inlineStr">
        <x:is>
          <x:t xml:space="preserve">ANTB</x:t>
        </x:is>
      </x:c>
    </x:row>
    <x:row r="235">
      <x:c r="A235" s="773" t="n">
        <x:v>1553</x:v>
      </x:c>
      <x:c r="B235" s="767" t="inlineStr">
        <x:is>
          <x:t xml:space="preserve">KÄ240RM26</x:t>
        </x:is>
      </x:c>
      <x:c r="C235" s="767" t="inlineStr">
        <x:is>
          <x:t xml:space="preserve">Tvåfackskärl 240L, rest/matavfall. Var 14:e dag</x:t>
        </x:is>
      </x:c>
      <x:c r="D235" s="767" t="inlineStr">
        <x:is>
          <x:t xml:space="preserve">RENH</x:t>
        </x:is>
      </x:c>
      <x:c r="E235" s="767" t="inlineStr">
        <x:is>
          <x:t xml:space="preserve">HUSH</x:t>
        </x:is>
      </x:c>
      <x:c r="F235" s="767" t="n">
        <x:v>2</x:v>
      </x:c>
      <x:c r="G235" s="767" t="inlineStr">
        <x:is>
          <x:t xml:space="preserve">KVAN</x:t>
        </x:is>
      </x:c>
      <x:c r="H235" s="767" t="inlineStr">
        <x:is>
          <x:t xml:space="preserve">Viktavgift rest- matavfall kr/kg</x:t>
        </x:is>
      </x:c>
      <x:c r="I235" s="767"/>
      <x:c r="J235" s="767"/>
      <x:c r="K235" s="767" t="n">
        <x:v>0</x:v>
      </x:c>
      <x:c r="L235" s="852" t="n">
        <x:v>46023</x:v>
      </x:c>
      <x:c r="M235" s="767" t="n">
        <x:v>0</x:v>
      </x:c>
      <x:c r="N235" s="767"/>
      <x:c r="O235" s="767" t="inlineStr">
        <x:is>
          <x:t xml:space="preserve">-</x:t>
        </x:is>
      </x:c>
      <x:c r="P235" s="767" t="n">
        <x:v>1</x:v>
      </x:c>
      <x:c r="Q235" s="774" t="inlineStr">
        <x:is>
          <x:t xml:space="preserve">VIKG</x:t>
        </x:is>
      </x:c>
    </x:row>
    <x:row r="236">
      <x:c r="A236" s="773" t="n">
        <x:v>1810</x:v>
      </x:c>
      <x:c r="B236" s="767" t="inlineStr">
        <x:is>
          <x:t xml:space="preserve">KÄ240RM26FRI</x:t>
        </x:is>
      </x:c>
      <x:c r="C236" s="767" t="inlineStr">
        <x:is>
          <x:t xml:space="preserve">Tvåfackskärl 240L, rest/matavfall. Var 14:e dag fritidshus</x:t>
        </x:is>
      </x:c>
      <x:c r="D236" s="767" t="inlineStr">
        <x:is>
          <x:t xml:space="preserve">RENH</x:t>
        </x:is>
      </x:c>
      <x:c r="E236" s="767" t="inlineStr">
        <x:is>
          <x:t xml:space="preserve">HUSH</x:t>
        </x:is>
      </x:c>
      <x:c r="F236" s="767" t="n">
        <x:v>1</x:v>
      </x:c>
      <x:c r="G236" s="767" t="inlineStr">
        <x:is>
          <x:t xml:space="preserve">ÅRKV</x:t>
        </x:is>
      </x:c>
      <x:c r="H236" s="767" t="inlineStr">
        <x:is>
          <x:t xml:space="preserve">Tvåfackskärl 240L, rest/matavfall. Var 14:e dag</x:t>
        </x:is>
      </x:c>
      <x:c r="I236" s="767"/>
      <x:c r="J236" s="767"/>
      <x:c r="K236" s="767" t="n">
        <x:v>680</x:v>
      </x:c>
      <x:c r="L236" s="852" t="n">
        <x:v>46023</x:v>
      </x:c>
      <x:c r="M236" s="767" t="n">
        <x:v>0</x:v>
      </x:c>
      <x:c r="N236" s="767"/>
      <x:c r="O236" s="767" t="inlineStr">
        <x:is>
          <x:t xml:space="preserve">-</x:t>
        </x:is>
      </x:c>
      <x:c r="P236" s="767" t="n">
        <x:v>1</x:v>
      </x:c>
      <x:c r="Q236" s="774" t="inlineStr">
        <x:is>
          <x:t xml:space="preserve">ANTB</x:t>
        </x:is>
      </x:c>
    </x:row>
    <x:row r="237">
      <x:c r="A237" s="773" t="n">
        <x:v>1811</x:v>
      </x:c>
      <x:c r="B237" s="767" t="inlineStr">
        <x:is>
          <x:t xml:space="preserve">KÄ240RM26FRI</x:t>
        </x:is>
      </x:c>
      <x:c r="C237" s="767" t="inlineStr">
        <x:is>
          <x:t xml:space="preserve">Tvåfackskärl 240L, rest/matavfall. Var 14:e dag fritidshus</x:t>
        </x:is>
      </x:c>
      <x:c r="D237" s="767" t="inlineStr">
        <x:is>
          <x:t xml:space="preserve">RENH</x:t>
        </x:is>
      </x:c>
      <x:c r="E237" s="767" t="inlineStr">
        <x:is>
          <x:t xml:space="preserve">HUSH</x:t>
        </x:is>
      </x:c>
      <x:c r="F237" s="767" t="n">
        <x:v>2</x:v>
      </x:c>
      <x:c r="G237" s="767" t="inlineStr">
        <x:is>
          <x:t xml:space="preserve">KVAN</x:t>
        </x:is>
      </x:c>
      <x:c r="H237" s="767" t="inlineStr">
        <x:is>
          <x:t xml:space="preserve">Viktavgift rest- matavfall kr/kg</x:t>
        </x:is>
      </x:c>
      <x:c r="I237" s="767"/>
      <x:c r="J237" s="767"/>
      <x:c r="K237" s="767" t="n">
        <x:v>0</x:v>
      </x:c>
      <x:c r="L237" s="852" t="n">
        <x:v>46023</x:v>
      </x:c>
      <x:c r="M237" s="767" t="n">
        <x:v>0</x:v>
      </x:c>
      <x:c r="N237" s="767"/>
      <x:c r="O237" s="767" t="inlineStr">
        <x:is>
          <x:t xml:space="preserve">-</x:t>
        </x:is>
      </x:c>
      <x:c r="P237" s="767" t="n">
        <x:v>1</x:v>
      </x:c>
      <x:c r="Q237" s="774" t="inlineStr">
        <x:is>
          <x:t xml:space="preserve">VIKG</x:t>
        </x:is>
      </x:c>
    </x:row>
    <x:row r="238">
      <x:c r="A238" s="773" t="n">
        <x:v>1562</x:v>
      </x:c>
      <x:c r="B238" s="767" t="inlineStr">
        <x:is>
          <x:t xml:space="preserve">KÄ240RM26FV</x:t>
        </x:is>
      </x:c>
      <x:c r="C238" s="767" t="inlineStr">
        <x:is>
          <x:t xml:space="preserve">Tvåfackskärl 240L, rest/matavfall. Var 14:e dag. FLB/VHT</x:t>
        </x:is>
      </x:c>
      <x:c r="D238" s="767" t="inlineStr">
        <x:is>
          <x:t xml:space="preserve">RENH</x:t>
        </x:is>
      </x:c>
      <x:c r="E238" s="767" t="inlineStr">
        <x:is>
          <x:t xml:space="preserve">HUSH</x:t>
        </x:is>
      </x:c>
      <x:c r="F238" s="767" t="n">
        <x:v>1</x:v>
      </x:c>
      <x:c r="G238" s="767" t="inlineStr">
        <x:is>
          <x:t xml:space="preserve">ÅRKV</x:t>
        </x:is>
      </x:c>
      <x:c r="H238" s="767" t="inlineStr">
        <x:is>
          <x:t xml:space="preserve">Tvåfackskärl 240L, rest/matavfall. Var 14:e dag</x:t>
        </x:is>
      </x:c>
      <x:c r="I238" s="767"/>
      <x:c r="J238" s="767"/>
      <x:c r="K238" s="767" t="n">
        <x:v>680</x:v>
      </x:c>
      <x:c r="L238" s="852" t="n">
        <x:v>46023</x:v>
      </x:c>
      <x:c r="M238" s="767" t="n">
        <x:v>0</x:v>
      </x:c>
      <x:c r="N238" s="767"/>
      <x:c r="O238" s="767" t="inlineStr">
        <x:is>
          <x:t xml:space="preserve">-</x:t>
        </x:is>
      </x:c>
      <x:c r="P238" s="767" t="n">
        <x:v>1</x:v>
      </x:c>
      <x:c r="Q238" s="774" t="inlineStr">
        <x:is>
          <x:t xml:space="preserve">ANTB</x:t>
        </x:is>
      </x:c>
    </x:row>
    <x:row r="239">
      <x:c r="A239" s="773" t="n">
        <x:v>1563</x:v>
      </x:c>
      <x:c r="B239" s="767" t="inlineStr">
        <x:is>
          <x:t xml:space="preserve">KÄ240RM26FV</x:t>
        </x:is>
      </x:c>
      <x:c r="C239" s="767" t="inlineStr">
        <x:is>
          <x:t xml:space="preserve">Tvåfackskärl 240L, rest/matavfall. Var 14:e dag. FLB/VHT</x:t>
        </x:is>
      </x:c>
      <x:c r="D239" s="767" t="inlineStr">
        <x:is>
          <x:t xml:space="preserve">RENH</x:t>
        </x:is>
      </x:c>
      <x:c r="E239" s="767" t="inlineStr">
        <x:is>
          <x:t xml:space="preserve">HUSH</x:t>
        </x:is>
      </x:c>
      <x:c r="F239" s="767" t="n">
        <x:v>2</x:v>
      </x:c>
      <x:c r="G239" s="767" t="inlineStr">
        <x:is>
          <x:t xml:space="preserve">KVAN</x:t>
        </x:is>
      </x:c>
      <x:c r="H239" s="767" t="inlineStr">
        <x:is>
          <x:t xml:space="preserve">Viktavgift rest- matavfall kr/kg</x:t>
        </x:is>
      </x:c>
      <x:c r="I239" s="767"/>
      <x:c r="J239" s="767"/>
      <x:c r="K239" s="767" t="n">
        <x:v>0</x:v>
      </x:c>
      <x:c r="L239" s="852" t="n">
        <x:v>46023</x:v>
      </x:c>
      <x:c r="M239" s="767" t="n">
        <x:v>0</x:v>
      </x:c>
      <x:c r="N239" s="767"/>
      <x:c r="O239" s="767" t="inlineStr">
        <x:is>
          <x:t xml:space="preserve">-</x:t>
        </x:is>
      </x:c>
      <x:c r="P239" s="767" t="n">
        <x:v>1</x:v>
      </x:c>
      <x:c r="Q239" s="774" t="inlineStr">
        <x:is>
          <x:t xml:space="preserve">VIKG</x:t>
        </x:is>
      </x:c>
    </x:row>
    <x:row r="240">
      <x:c r="A240" s="773" t="n">
        <x:v>1579</x:v>
      </x:c>
      <x:c r="B240" s="767" t="inlineStr">
        <x:is>
          <x:t xml:space="preserve">KÄ240RM26FV</x:t>
        </x:is>
      </x:c>
      <x:c r="C240" s="767" t="inlineStr">
        <x:is>
          <x:t xml:space="preserve">Tvåfackskärl 240L, rest/matavfall. Var 14:e dag. FLB/VHT</x:t>
        </x:is>
      </x:c>
      <x:c r="D240" s="767" t="inlineStr">
        <x:is>
          <x:t xml:space="preserve">RENH</x:t>
        </x:is>
      </x:c>
      <x:c r="E240" s="767" t="inlineStr">
        <x:is>
          <x:t xml:space="preserve">HUSH</x:t>
        </x:is>
      </x:c>
      <x:c r="F240" s="767" t="n">
        <x:v>4</x:v>
      </x:c>
      <x:c r="G240" s="767" t="inlineStr">
        <x:is>
          <x:t xml:space="preserve">ÅRKV</x:t>
        </x:is>
      </x:c>
      <x:c r="H240" s="767" t="inlineStr">
        <x:is>
          <x:t xml:space="preserve">Dragväg 1,5-10 meter</x:t>
        </x:is>
      </x:c>
      <x:c r="I240" s="767"/>
      <x:c r="J240" s="767"/>
      <x:c r="K240" s="767" t="n">
        <x:v>0</x:v>
      </x:c>
      <x:c r="L240" s="852" t="n">
        <x:v>46023</x:v>
      </x:c>
      <x:c r="M240" s="767" t="n">
        <x:v>0</x:v>
      </x:c>
      <x:c r="N240" s="767"/>
      <x:c r="O240" s="767" t="inlineStr">
        <x:is>
          <x:t xml:space="preserve">-</x:t>
        </x:is>
      </x:c>
      <x:c r="P240" s="767" t="n">
        <x:v>1</x:v>
      </x:c>
      <x:c r="Q240" s="774" t="inlineStr">
        <x:is>
          <x:t xml:space="preserve">DR10</x:t>
        </x:is>
      </x:c>
    </x:row>
    <x:row r="241">
      <x:c r="A241" s="773" t="n">
        <x:v>1580</x:v>
      </x:c>
      <x:c r="B241" s="767" t="inlineStr">
        <x:is>
          <x:t xml:space="preserve">KÄ240RM26FV</x:t>
        </x:is>
      </x:c>
      <x:c r="C241" s="767" t="inlineStr">
        <x:is>
          <x:t xml:space="preserve">Tvåfackskärl 240L, rest/matavfall. Var 14:e dag. FLB/VHT</x:t>
        </x:is>
      </x:c>
      <x:c r="D241" s="767" t="inlineStr">
        <x:is>
          <x:t xml:space="preserve">RENH</x:t>
        </x:is>
      </x:c>
      <x:c r="E241" s="767" t="inlineStr">
        <x:is>
          <x:t xml:space="preserve">HUSH</x:t>
        </x:is>
      </x:c>
      <x:c r="F241" s="767" t="n">
        <x:v>5</x:v>
      </x:c>
      <x:c r="G241" s="767" t="inlineStr">
        <x:is>
          <x:t xml:space="preserve">ÅRKV</x:t>
        </x:is>
      </x:c>
      <x:c r="H241" s="767" t="inlineStr">
        <x:is>
          <x:t xml:space="preserve">Dragväg 10,1-20 meter</x:t>
        </x:is>
      </x:c>
      <x:c r="I241" s="767"/>
      <x:c r="J241" s="767"/>
      <x:c r="K241" s="767" t="n">
        <x:v>0</x:v>
      </x:c>
      <x:c r="L241" s="852" t="n">
        <x:v>46023</x:v>
      </x:c>
      <x:c r="M241" s="767" t="n">
        <x:v>0</x:v>
      </x:c>
      <x:c r="N241" s="767"/>
      <x:c r="O241" s="767" t="inlineStr">
        <x:is>
          <x:t xml:space="preserve">-</x:t>
        </x:is>
      </x:c>
      <x:c r="P241" s="767" t="n">
        <x:v>1</x:v>
      </x:c>
      <x:c r="Q241" s="774" t="inlineStr">
        <x:is>
          <x:t xml:space="preserve">DR20</x:t>
        </x:is>
      </x:c>
    </x:row>
    <x:row r="242">
      <x:c r="A242" s="773" t="n">
        <x:v>1568</x:v>
      </x:c>
      <x:c r="B242" s="767" t="inlineStr">
        <x:is>
          <x:t xml:space="preserve">KÄ370RE26FV</x:t>
        </x:is>
      </x:c>
      <x:c r="C242" s="767" t="inlineStr">
        <x:is>
          <x:t xml:space="preserve">Kärl 370L, restavfall. Var 14:e dag. FLB/VHT</x:t>
        </x:is>
      </x:c>
      <x:c r="D242" s="767" t="inlineStr">
        <x:is>
          <x:t xml:space="preserve">RENH</x:t>
        </x:is>
      </x:c>
      <x:c r="E242" s="767" t="inlineStr">
        <x:is>
          <x:t xml:space="preserve">HUSH</x:t>
        </x:is>
      </x:c>
      <x:c r="F242" s="767" t="n">
        <x:v>1</x:v>
      </x:c>
      <x:c r="G242" s="767" t="inlineStr">
        <x:is>
          <x:t xml:space="preserve">ÅRKV</x:t>
        </x:is>
      </x:c>
      <x:c r="H242" s="767" t="inlineStr">
        <x:is>
          <x:t xml:space="preserve">Kärl 370L, restavfall. Var 14:e dag</x:t>
        </x:is>
      </x:c>
      <x:c r="I242" s="767"/>
      <x:c r="J242" s="767"/>
      <x:c r="K242" s="767" t="n">
        <x:v>800</x:v>
      </x:c>
      <x:c r="L242" s="852" t="n">
        <x:v>46023</x:v>
      </x:c>
      <x:c r="M242" s="767" t="n">
        <x:v>0</x:v>
      </x:c>
      <x:c r="N242" s="767"/>
      <x:c r="O242" s="767" t="inlineStr">
        <x:is>
          <x:t xml:space="preserve">-</x:t>
        </x:is>
      </x:c>
      <x:c r="P242" s="767" t="n">
        <x:v>1</x:v>
      </x:c>
      <x:c r="Q242" s="774" t="inlineStr">
        <x:is>
          <x:t xml:space="preserve">ANTB</x:t>
        </x:is>
      </x:c>
    </x:row>
    <x:row r="243">
      <x:c r="A243" s="773" t="n">
        <x:v>1569</x:v>
      </x:c>
      <x:c r="B243" s="767" t="inlineStr">
        <x:is>
          <x:t xml:space="preserve">KÄ370RE26FV</x:t>
        </x:is>
      </x:c>
      <x:c r="C243" s="767" t="inlineStr">
        <x:is>
          <x:t xml:space="preserve">Kärl 370L, restavfall. Var 14:e dag. FLB/VHT</x:t>
        </x:is>
      </x:c>
      <x:c r="D243" s="767" t="inlineStr">
        <x:is>
          <x:t xml:space="preserve">RENH</x:t>
        </x:is>
      </x:c>
      <x:c r="E243" s="767" t="inlineStr">
        <x:is>
          <x:t xml:space="preserve">HUSH</x:t>
        </x:is>
      </x:c>
      <x:c r="F243" s="767" t="n">
        <x:v>2</x:v>
      </x:c>
      <x:c r="G243" s="767" t="inlineStr">
        <x:is>
          <x:t xml:space="preserve">KVAN</x:t>
        </x:is>
      </x:c>
      <x:c r="H243" s="767" t="inlineStr">
        <x:is>
          <x:t xml:space="preserve">Kärl 370L 26V Viktavgift restavfall kr/kg</x:t>
        </x:is>
      </x:c>
      <x:c r="I243" s="767"/>
      <x:c r="J243" s="767"/>
      <x:c r="K243" s="767" t="n">
        <x:v>4.28</x:v>
      </x:c>
      <x:c r="L243" s="852" t="n">
        <x:v>46023</x:v>
      </x:c>
      <x:c r="M243" s="767" t="n">
        <x:v>0</x:v>
      </x:c>
      <x:c r="N243" s="767"/>
      <x:c r="O243" s="767" t="inlineStr">
        <x:is>
          <x:t xml:space="preserve">-</x:t>
        </x:is>
      </x:c>
      <x:c r="P243" s="767" t="n">
        <x:v>1</x:v>
      </x:c>
      <x:c r="Q243" s="774" t="inlineStr">
        <x:is>
          <x:t xml:space="preserve">VIKG,MAX60</x:t>
        </x:is>
      </x:c>
    </x:row>
    <x:row r="244">
      <x:c r="A244" s="773" t="n">
        <x:v>1583</x:v>
      </x:c>
      <x:c r="B244" s="767" t="inlineStr">
        <x:is>
          <x:t xml:space="preserve">KÄ370RE26FV</x:t>
        </x:is>
      </x:c>
      <x:c r="C244" s="767" t="inlineStr">
        <x:is>
          <x:t xml:space="preserve">Kärl 370L, restavfall. Var 14:e dag. FLB/VHT</x:t>
        </x:is>
      </x:c>
      <x:c r="D244" s="767" t="inlineStr">
        <x:is>
          <x:t xml:space="preserve">RENH</x:t>
        </x:is>
      </x:c>
      <x:c r="E244" s="767" t="inlineStr">
        <x:is>
          <x:t xml:space="preserve">HUSH</x:t>
        </x:is>
      </x:c>
      <x:c r="F244" s="767" t="n">
        <x:v>3</x:v>
      </x:c>
      <x:c r="G244" s="767" t="inlineStr">
        <x:is>
          <x:t xml:space="preserve">ÅRKV</x:t>
        </x:is>
      </x:c>
      <x:c r="H244" s="767" t="inlineStr">
        <x:is>
          <x:t xml:space="preserve">Dragväg 1,5-10 meter</x:t>
        </x:is>
      </x:c>
      <x:c r="I244" s="767"/>
      <x:c r="J244" s="767"/>
      <x:c r="K244" s="767" t="n">
        <x:v>0</x:v>
      </x:c>
      <x:c r="L244" s="852" t="n">
        <x:v>46023</x:v>
      </x:c>
      <x:c r="M244" s="767" t="n">
        <x:v>0</x:v>
      </x:c>
      <x:c r="N244" s="767"/>
      <x:c r="O244" s="767" t="inlineStr">
        <x:is>
          <x:t xml:space="preserve">-</x:t>
        </x:is>
      </x:c>
      <x:c r="P244" s="767" t="n">
        <x:v>1</x:v>
      </x:c>
      <x:c r="Q244" s="774" t="inlineStr">
        <x:is>
          <x:t xml:space="preserve">DR10</x:t>
        </x:is>
      </x:c>
    </x:row>
    <x:row r="245">
      <x:c r="A245" s="773" t="n">
        <x:v>1584</x:v>
      </x:c>
      <x:c r="B245" s="767" t="inlineStr">
        <x:is>
          <x:t xml:space="preserve">KÄ370RE26FV</x:t>
        </x:is>
      </x:c>
      <x:c r="C245" s="767" t="inlineStr">
        <x:is>
          <x:t xml:space="preserve">Kärl 370L, restavfall. Var 14:e dag. FLB/VHT</x:t>
        </x:is>
      </x:c>
      <x:c r="D245" s="767" t="inlineStr">
        <x:is>
          <x:t xml:space="preserve">RENH</x:t>
        </x:is>
      </x:c>
      <x:c r="E245" s="767" t="inlineStr">
        <x:is>
          <x:t xml:space="preserve">HUSH</x:t>
        </x:is>
      </x:c>
      <x:c r="F245" s="767" t="n">
        <x:v>4</x:v>
      </x:c>
      <x:c r="G245" s="767" t="inlineStr">
        <x:is>
          <x:t xml:space="preserve">ÅRKV</x:t>
        </x:is>
      </x:c>
      <x:c r="H245" s="767" t="inlineStr">
        <x:is>
          <x:t xml:space="preserve">Dragväg 10,1-20 meter</x:t>
        </x:is>
      </x:c>
      <x:c r="I245" s="767"/>
      <x:c r="J245" s="767"/>
      <x:c r="K245" s="767" t="n">
        <x:v>0</x:v>
      </x:c>
      <x:c r="L245" s="852" t="n">
        <x:v>46023</x:v>
      </x:c>
      <x:c r="M245" s="767" t="n">
        <x:v>0</x:v>
      </x:c>
      <x:c r="N245" s="767"/>
      <x:c r="O245" s="767" t="inlineStr">
        <x:is>
          <x:t xml:space="preserve">-</x:t>
        </x:is>
      </x:c>
      <x:c r="P245" s="767" t="n">
        <x:v>1</x:v>
      </x:c>
      <x:c r="Q245" s="774" t="inlineStr">
        <x:is>
          <x:t xml:space="preserve">DR20</x:t>
        </x:is>
      </x:c>
    </x:row>
    <x:row r="246">
      <x:c r="A246" s="773" t="n">
        <x:v>1703</x:v>
      </x:c>
      <x:c r="B246" s="767" t="inlineStr">
        <x:is>
          <x:t xml:space="preserve">KÄ370RE26FV</x:t>
        </x:is>
      </x:c>
      <x:c r="C246" s="767" t="inlineStr">
        <x:is>
          <x:t xml:space="preserve">Kärl 370L, restavfall. Var 14:e dag. FLB/VHT</x:t>
        </x:is>
      </x:c>
      <x:c r="D246" s="767" t="inlineStr">
        <x:is>
          <x:t xml:space="preserve">RENH</x:t>
        </x:is>
      </x:c>
      <x:c r="E246" s="767" t="inlineStr">
        <x:is>
          <x:t xml:space="preserve">HUSH</x:t>
        </x:is>
      </x:c>
      <x:c r="F246" s="767" t="n">
        <x:v>5</x:v>
      </x:c>
      <x:c r="G246" s="767" t="inlineStr">
        <x:is>
          <x:t xml:space="preserve">KVAN</x:t>
        </x:is>
      </x:c>
      <x:c r="H246" s="767" t="inlineStr">
        <x:is>
          <x:t xml:space="preserve">Kärl 370L 26V Överviktsavgift vikt över 60 kg, restavfall</x:t>
        </x:is>
      </x:c>
      <x:c r="I246" s="767"/>
      <x:c r="J246" s="767"/>
      <x:c r="K246" s="767" t="n">
        <x:v>6.4</x:v>
      </x:c>
      <x:c r="L246" s="852" t="n">
        <x:v>46023</x:v>
      </x:c>
      <x:c r="M246" s="767" t="n">
        <x:v>0</x:v>
      </x:c>
      <x:c r="N246" s="767"/>
      <x:c r="O246" s="767" t="inlineStr">
        <x:is>
          <x:t xml:space="preserve">-</x:t>
        </x:is>
      </x:c>
      <x:c r="P246" s="767" t="n">
        <x:v>1</x:v>
      </x:c>
      <x:c r="Q246" s="774" t="inlineStr">
        <x:is>
          <x:t xml:space="preserve">VIKG-60,MIN0</x:t>
        </x:is>
      </x:c>
    </x:row>
    <x:row r="247">
      <x:c r="A247" s="773" t="n">
        <x:v>1571</x:v>
      </x:c>
      <x:c r="B247" s="767" t="inlineStr">
        <x:is>
          <x:t xml:space="preserve">KÄ370RE52FV</x:t>
        </x:is>
      </x:c>
      <x:c r="C247" s="767" t="inlineStr">
        <x:is>
          <x:t xml:space="preserve">Kärl 370L, restavfall. Varje vecka. FLB/VHT</x:t>
        </x:is>
      </x:c>
      <x:c r="D247" s="767" t="inlineStr">
        <x:is>
          <x:t xml:space="preserve">RENH</x:t>
        </x:is>
      </x:c>
      <x:c r="E247" s="767" t="inlineStr">
        <x:is>
          <x:t xml:space="preserve">HUSH</x:t>
        </x:is>
      </x:c>
      <x:c r="F247" s="767" t="n">
        <x:v>1</x:v>
      </x:c>
      <x:c r="G247" s="767" t="inlineStr">
        <x:is>
          <x:t xml:space="preserve">ÅRKV</x:t>
        </x:is>
      </x:c>
      <x:c r="H247" s="767" t="inlineStr">
        <x:is>
          <x:t xml:space="preserve">Kärl 370L, restavfall. Varje vecka</x:t>
        </x:is>
      </x:c>
      <x:c r="I247" s="767"/>
      <x:c r="J247" s="767"/>
      <x:c r="K247" s="767" t="n">
        <x:v>2000</x:v>
      </x:c>
      <x:c r="L247" s="852" t="n">
        <x:v>46023</x:v>
      </x:c>
      <x:c r="M247" s="767" t="n">
        <x:v>0</x:v>
      </x:c>
      <x:c r="N247" s="767"/>
      <x:c r="O247" s="767" t="inlineStr">
        <x:is>
          <x:t xml:space="preserve">-</x:t>
        </x:is>
      </x:c>
      <x:c r="P247" s="767" t="n">
        <x:v>1</x:v>
      </x:c>
      <x:c r="Q247" s="774" t="inlineStr">
        <x:is>
          <x:t xml:space="preserve">ANTB</x:t>
        </x:is>
      </x:c>
    </x:row>
    <x:row r="248">
      <x:c r="A248" s="773" t="n">
        <x:v>1572</x:v>
      </x:c>
      <x:c r="B248" s="767" t="inlineStr">
        <x:is>
          <x:t xml:space="preserve">KÄ370RE52FV</x:t>
        </x:is>
      </x:c>
      <x:c r="C248" s="767" t="inlineStr">
        <x:is>
          <x:t xml:space="preserve">Kärl 370L, restavfall. Varje vecka. FLB/VHT</x:t>
        </x:is>
      </x:c>
      <x:c r="D248" s="767" t="inlineStr">
        <x:is>
          <x:t xml:space="preserve">RENH</x:t>
        </x:is>
      </x:c>
      <x:c r="E248" s="767" t="inlineStr">
        <x:is>
          <x:t xml:space="preserve">HUSH</x:t>
        </x:is>
      </x:c>
      <x:c r="F248" s="767" t="n">
        <x:v>2</x:v>
      </x:c>
      <x:c r="G248" s="767" t="inlineStr">
        <x:is>
          <x:t xml:space="preserve">KVAN</x:t>
        </x:is>
      </x:c>
      <x:c r="H248" s="767" t="inlineStr">
        <x:is>
          <x:t xml:space="preserve">Kärl 370L 52V Viktavgift restavfall kr/kg</x:t>
        </x:is>
      </x:c>
      <x:c r="I248" s="767"/>
      <x:c r="J248" s="767"/>
      <x:c r="K248" s="767" t="n">
        <x:v>4.28</x:v>
      </x:c>
      <x:c r="L248" s="852" t="n">
        <x:v>46023</x:v>
      </x:c>
      <x:c r="M248" s="767" t="n">
        <x:v>0</x:v>
      </x:c>
      <x:c r="N248" s="767"/>
      <x:c r="O248" s="767" t="inlineStr">
        <x:is>
          <x:t xml:space="preserve">-</x:t>
        </x:is>
      </x:c>
      <x:c r="P248" s="767" t="n">
        <x:v>1</x:v>
      </x:c>
      <x:c r="Q248" s="774" t="inlineStr">
        <x:is>
          <x:t xml:space="preserve">VIKG,MAX60</x:t>
        </x:is>
      </x:c>
    </x:row>
    <x:row r="249">
      <x:c r="A249" s="773" t="n">
        <x:v>1585</x:v>
      </x:c>
      <x:c r="B249" s="767" t="inlineStr">
        <x:is>
          <x:t xml:space="preserve">KÄ370RE52FV</x:t>
        </x:is>
      </x:c>
      <x:c r="C249" s="767" t="inlineStr">
        <x:is>
          <x:t xml:space="preserve">Kärl 370L, restavfall. Varje vecka. FLB/VHT</x:t>
        </x:is>
      </x:c>
      <x:c r="D249" s="767" t="inlineStr">
        <x:is>
          <x:t xml:space="preserve">RENH</x:t>
        </x:is>
      </x:c>
      <x:c r="E249" s="767" t="inlineStr">
        <x:is>
          <x:t xml:space="preserve">HUSH</x:t>
        </x:is>
      </x:c>
      <x:c r="F249" s="767" t="n">
        <x:v>3</x:v>
      </x:c>
      <x:c r="G249" s="767" t="inlineStr">
        <x:is>
          <x:t xml:space="preserve">ÅRKV</x:t>
        </x:is>
      </x:c>
      <x:c r="H249" s="767" t="inlineStr">
        <x:is>
          <x:t xml:space="preserve">Dragväg 1,5-10 meter</x:t>
        </x:is>
      </x:c>
      <x:c r="I249" s="767"/>
      <x:c r="J249" s="767"/>
      <x:c r="K249" s="767" t="n">
        <x:v>0</x:v>
      </x:c>
      <x:c r="L249" s="852" t="n">
        <x:v>46023</x:v>
      </x:c>
      <x:c r="M249" s="767" t="n">
        <x:v>0</x:v>
      </x:c>
      <x:c r="N249" s="767"/>
      <x:c r="O249" s="767" t="inlineStr">
        <x:is>
          <x:t xml:space="preserve">-</x:t>
        </x:is>
      </x:c>
      <x:c r="P249" s="767" t="n">
        <x:v>1</x:v>
      </x:c>
      <x:c r="Q249" s="774" t="inlineStr">
        <x:is>
          <x:t xml:space="preserve">DR10</x:t>
        </x:is>
      </x:c>
    </x:row>
    <x:row r="250">
      <x:c r="A250" s="773" t="n">
        <x:v>1586</x:v>
      </x:c>
      <x:c r="B250" s="767" t="inlineStr">
        <x:is>
          <x:t xml:space="preserve">KÄ370RE52FV</x:t>
        </x:is>
      </x:c>
      <x:c r="C250" s="767" t="inlineStr">
        <x:is>
          <x:t xml:space="preserve">Kärl 370L, restavfall. Varje vecka. FLB/VHT</x:t>
        </x:is>
      </x:c>
      <x:c r="D250" s="767" t="inlineStr">
        <x:is>
          <x:t xml:space="preserve">RENH</x:t>
        </x:is>
      </x:c>
      <x:c r="E250" s="767" t="inlineStr">
        <x:is>
          <x:t xml:space="preserve">HUSH</x:t>
        </x:is>
      </x:c>
      <x:c r="F250" s="767" t="n">
        <x:v>4</x:v>
      </x:c>
      <x:c r="G250" s="767" t="inlineStr">
        <x:is>
          <x:t xml:space="preserve">ÅRKV</x:t>
        </x:is>
      </x:c>
      <x:c r="H250" s="767" t="inlineStr">
        <x:is>
          <x:t xml:space="preserve">Dragväg 10,1-20 meter</x:t>
        </x:is>
      </x:c>
      <x:c r="I250" s="767"/>
      <x:c r="J250" s="767"/>
      <x:c r="K250" s="767" t="n">
        <x:v>0</x:v>
      </x:c>
      <x:c r="L250" s="852" t="n">
        <x:v>46023</x:v>
      </x:c>
      <x:c r="M250" s="767" t="n">
        <x:v>0</x:v>
      </x:c>
      <x:c r="N250" s="767"/>
      <x:c r="O250" s="767" t="inlineStr">
        <x:is>
          <x:t xml:space="preserve">-</x:t>
        </x:is>
      </x:c>
      <x:c r="P250" s="767" t="n">
        <x:v>1</x:v>
      </x:c>
      <x:c r="Q250" s="774" t="inlineStr">
        <x:is>
          <x:t xml:space="preserve">DR20</x:t>
        </x:is>
      </x:c>
    </x:row>
    <x:row r="251">
      <x:c r="A251" s="773" t="n">
        <x:v>1704</x:v>
      </x:c>
      <x:c r="B251" s="767" t="inlineStr">
        <x:is>
          <x:t xml:space="preserve">KÄ370RE52FV</x:t>
        </x:is>
      </x:c>
      <x:c r="C251" s="767" t="inlineStr">
        <x:is>
          <x:t xml:space="preserve">Kärl 370L, restavfall. Varje vecka. FLB/VHT</x:t>
        </x:is>
      </x:c>
      <x:c r="D251" s="767" t="inlineStr">
        <x:is>
          <x:t xml:space="preserve">RENH</x:t>
        </x:is>
      </x:c>
      <x:c r="E251" s="767" t="inlineStr">
        <x:is>
          <x:t xml:space="preserve">HUSH</x:t>
        </x:is>
      </x:c>
      <x:c r="F251" s="767" t="n">
        <x:v>5</x:v>
      </x:c>
      <x:c r="G251" s="767" t="inlineStr">
        <x:is>
          <x:t xml:space="preserve">KVAN</x:t>
        </x:is>
      </x:c>
      <x:c r="H251" s="767" t="inlineStr">
        <x:is>
          <x:t xml:space="preserve">Kärl 370L 52V Överviktsavgift vikt över 60 kg, restavfall</x:t>
        </x:is>
      </x:c>
      <x:c r="I251" s="767"/>
      <x:c r="J251" s="767"/>
      <x:c r="K251" s="767" t="n">
        <x:v>6.4</x:v>
      </x:c>
      <x:c r="L251" s="852" t="n">
        <x:v>46023</x:v>
      </x:c>
      <x:c r="M251" s="767" t="n">
        <x:v>0</x:v>
      </x:c>
      <x:c r="N251" s="767"/>
      <x:c r="O251" s="767" t="inlineStr">
        <x:is>
          <x:t xml:space="preserve">-</x:t>
        </x:is>
      </x:c>
      <x:c r="P251" s="767" t="n">
        <x:v>1</x:v>
      </x:c>
      <x:c r="Q251" s="774" t="inlineStr">
        <x:is>
          <x:t xml:space="preserve">VIKG-60,MIN0</x:t>
        </x:is>
      </x:c>
    </x:row>
    <x:row r="252">
      <x:c r="A252" s="773" t="n">
        <x:v>1973</x:v>
      </x:c>
      <x:c r="B252" s="767" t="inlineStr">
        <x:is>
          <x:t xml:space="preserve">KÄ50HL</x:t>
        </x:is>
      </x:c>
      <x:c r="C252" s="767" t="inlineStr">
        <x:is>
          <x:t xml:space="preserve">Kärl 50L Hundlatrin</x:t>
        </x:is>
      </x:c>
      <x:c r="D252" s="767" t="inlineStr">
        <x:is>
          <x:t xml:space="preserve">RENH</x:t>
        </x:is>
      </x:c>
      <x:c r="E252" s="767" t="inlineStr">
        <x:is>
          <x:t xml:space="preserve">HUSH</x:t>
        </x:is>
      </x:c>
      <x:c r="F252" s="767" t="n">
        <x:v>1</x:v>
      </x:c>
      <x:c r="G252" s="767" t="inlineStr">
        <x:is>
          <x:t xml:space="preserve">ÅRKV</x:t>
        </x:is>
      </x:c>
      <x:c r="H252" s="767" t="inlineStr">
        <x:is>
          <x:t xml:space="preserve">Kärl 50l</x:t>
        </x:is>
      </x:c>
      <x:c r="I252" s="767"/>
      <x:c r="J252" s="767"/>
      <x:c r="K252" s="767" t="n">
        <x:v>0</x:v>
      </x:c>
      <x:c r="L252" s="852" t="n">
        <x:v>46023</x:v>
      </x:c>
      <x:c r="M252" s="767" t="n">
        <x:v>0</x:v>
      </x:c>
      <x:c r="N252" s="767"/>
      <x:c r="O252" s="767" t="inlineStr">
        <x:is>
          <x:t xml:space="preserve">-</x:t>
        </x:is>
      </x:c>
      <x:c r="P252" s="767" t="n">
        <x:v>1</x:v>
      </x:c>
      <x:c r="Q252" s="774" t="inlineStr">
        <x:is>
          <x:t xml:space="preserve">ANTB</x:t>
        </x:is>
      </x:c>
    </x:row>
    <x:row r="253">
      <x:c r="A253" s="773" t="n">
        <x:v>1974</x:v>
      </x:c>
      <x:c r="B253" s="767" t="inlineStr">
        <x:is>
          <x:t xml:space="preserve">KÄ50HL</x:t>
        </x:is>
      </x:c>
      <x:c r="C253" s="767" t="inlineStr">
        <x:is>
          <x:t xml:space="preserve">Kärl 50L Hundlatrin</x:t>
        </x:is>
      </x:c>
      <x:c r="D253" s="767" t="inlineStr">
        <x:is>
          <x:t xml:space="preserve">RENH</x:t>
        </x:is>
      </x:c>
      <x:c r="E253" s="767" t="inlineStr">
        <x:is>
          <x:t xml:space="preserve">HUSH</x:t>
        </x:is>
      </x:c>
      <x:c r="F253" s="767" t="n">
        <x:v>2</x:v>
      </x:c>
      <x:c r="G253" s="767" t="inlineStr">
        <x:is>
          <x:t xml:space="preserve">KVAN</x:t>
        </x:is>
      </x:c>
      <x:c r="H253" s="767" t="inlineStr">
        <x:is>
          <x:t xml:space="preserve">Viktavgift rest- matavfall kr/kg</x:t>
        </x:is>
      </x:c>
      <x:c r="I253" s="767"/>
      <x:c r="J253" s="767"/>
      <x:c r="K253" s="767" t="n">
        <x:v>0</x:v>
      </x:c>
      <x:c r="L253" s="852" t="n">
        <x:v>46023</x:v>
      </x:c>
      <x:c r="M253" s="767" t="n">
        <x:v>0</x:v>
      </x:c>
      <x:c r="N253" s="767"/>
      <x:c r="O253" s="767" t="inlineStr">
        <x:is>
          <x:t xml:space="preserve">-</x:t>
        </x:is>
      </x:c>
      <x:c r="P253" s="767" t="n">
        <x:v>1</x:v>
      </x:c>
      <x:c r="Q253" s="774" t="inlineStr">
        <x:is>
          <x:t xml:space="preserve">VIKG</x:t>
        </x:is>
      </x:c>
    </x:row>
    <x:row r="254">
      <x:c r="A254" s="773" t="n">
        <x:v>1575</x:v>
      </x:c>
      <x:c r="B254" s="767" t="inlineStr">
        <x:is>
          <x:t xml:space="preserve">KÄ660RE26FV</x:t>
        </x:is>
      </x:c>
      <x:c r="C254" s="767" t="inlineStr">
        <x:is>
          <x:t xml:space="preserve">Kärl 660L, restavfall. Var 14:e dag FLB/VHT</x:t>
        </x:is>
      </x:c>
      <x:c r="D254" s="767" t="inlineStr">
        <x:is>
          <x:t xml:space="preserve">RENH</x:t>
        </x:is>
      </x:c>
      <x:c r="E254" s="767" t="inlineStr">
        <x:is>
          <x:t xml:space="preserve">HUSH</x:t>
        </x:is>
      </x:c>
      <x:c r="F254" s="767" t="n">
        <x:v>1</x:v>
      </x:c>
      <x:c r="G254" s="767" t="inlineStr">
        <x:is>
          <x:t xml:space="preserve">ÅRKV</x:t>
        </x:is>
      </x:c>
      <x:c r="H254" s="767" t="inlineStr">
        <x:is>
          <x:t xml:space="preserve">Kärl 660L, restavfall. Var 14:e dag</x:t>
        </x:is>
      </x:c>
      <x:c r="I254" s="767"/>
      <x:c r="J254" s="767"/>
      <x:c r="K254" s="767" t="n">
        <x:v>1680</x:v>
      </x:c>
      <x:c r="L254" s="852" t="n">
        <x:v>46023</x:v>
      </x:c>
      <x:c r="M254" s="767" t="n">
        <x:v>0</x:v>
      </x:c>
      <x:c r="N254" s="767"/>
      <x:c r="O254" s="767" t="inlineStr">
        <x:is>
          <x:t xml:space="preserve">-</x:t>
        </x:is>
      </x:c>
      <x:c r="P254" s="767" t="n">
        <x:v>1</x:v>
      </x:c>
      <x:c r="Q254" s="774" t="inlineStr">
        <x:is>
          <x:t xml:space="preserve">ANTB</x:t>
        </x:is>
      </x:c>
    </x:row>
    <x:row r="255">
      <x:c r="A255" s="773" t="n">
        <x:v>1576</x:v>
      </x:c>
      <x:c r="B255" s="767" t="inlineStr">
        <x:is>
          <x:t xml:space="preserve">KÄ660RE26FV</x:t>
        </x:is>
      </x:c>
      <x:c r="C255" s="767" t="inlineStr">
        <x:is>
          <x:t xml:space="preserve">Kärl 660L, restavfall. Var 14:e dag FLB/VHT</x:t>
        </x:is>
      </x:c>
      <x:c r="D255" s="767" t="inlineStr">
        <x:is>
          <x:t xml:space="preserve">RENH</x:t>
        </x:is>
      </x:c>
      <x:c r="E255" s="767" t="inlineStr">
        <x:is>
          <x:t xml:space="preserve">HUSH</x:t>
        </x:is>
      </x:c>
      <x:c r="F255" s="767" t="n">
        <x:v>2</x:v>
      </x:c>
      <x:c r="G255" s="767" t="inlineStr">
        <x:is>
          <x:t xml:space="preserve">KVAN</x:t>
        </x:is>
      </x:c>
      <x:c r="H255" s="767" t="inlineStr">
        <x:is>
          <x:t xml:space="preserve">Kärl 660L 26V Viktavgift restavfall kr/kg</x:t>
        </x:is>
      </x:c>
      <x:c r="I255" s="767"/>
      <x:c r="J255" s="767"/>
      <x:c r="K255" s="767" t="n">
        <x:v>4.28</x:v>
      </x:c>
      <x:c r="L255" s="852" t="n">
        <x:v>46023</x:v>
      </x:c>
      <x:c r="M255" s="767" t="n">
        <x:v>0</x:v>
      </x:c>
      <x:c r="N255" s="767"/>
      <x:c r="O255" s="767" t="inlineStr">
        <x:is>
          <x:t xml:space="preserve">-</x:t>
        </x:is>
      </x:c>
      <x:c r="P255" s="767" t="n">
        <x:v>1</x:v>
      </x:c>
      <x:c r="Q255" s="774" t="inlineStr">
        <x:is>
          <x:t xml:space="preserve">VIKG,MAX100</x:t>
        </x:is>
      </x:c>
    </x:row>
    <x:row r="256">
      <x:c r="A256" s="773" t="n">
        <x:v>1587</x:v>
      </x:c>
      <x:c r="B256" s="767" t="inlineStr">
        <x:is>
          <x:t xml:space="preserve">KÄ660RE26FV</x:t>
        </x:is>
      </x:c>
      <x:c r="C256" s="767" t="inlineStr">
        <x:is>
          <x:t xml:space="preserve">Kärl 660L, restavfall. Var 14:e dag FLB/VHT</x:t>
        </x:is>
      </x:c>
      <x:c r="D256" s="767" t="inlineStr">
        <x:is>
          <x:t xml:space="preserve">RENH</x:t>
        </x:is>
      </x:c>
      <x:c r="E256" s="767" t="inlineStr">
        <x:is>
          <x:t xml:space="preserve">HUSH</x:t>
        </x:is>
      </x:c>
      <x:c r="F256" s="767" t="n">
        <x:v>3</x:v>
      </x:c>
      <x:c r="G256" s="767" t="inlineStr">
        <x:is>
          <x:t xml:space="preserve">ÅRKV</x:t>
        </x:is>
      </x:c>
      <x:c r="H256" s="767" t="inlineStr">
        <x:is>
          <x:t xml:space="preserve">Dragväg 1,5-10 meter</x:t>
        </x:is>
      </x:c>
      <x:c r="I256" s="767"/>
      <x:c r="J256" s="767"/>
      <x:c r="K256" s="767" t="n">
        <x:v>0</x:v>
      </x:c>
      <x:c r="L256" s="852" t="n">
        <x:v>46023</x:v>
      </x:c>
      <x:c r="M256" s="767" t="n">
        <x:v>0</x:v>
      </x:c>
      <x:c r="N256" s="767"/>
      <x:c r="O256" s="767" t="inlineStr">
        <x:is>
          <x:t xml:space="preserve">-</x:t>
        </x:is>
      </x:c>
      <x:c r="P256" s="767" t="n">
        <x:v>1</x:v>
      </x:c>
      <x:c r="Q256" s="774" t="inlineStr">
        <x:is>
          <x:t xml:space="preserve">DR10</x:t>
        </x:is>
      </x:c>
    </x:row>
    <x:row r="257">
      <x:c r="A257" s="773" t="n">
        <x:v>1588</x:v>
      </x:c>
      <x:c r="B257" s="767" t="inlineStr">
        <x:is>
          <x:t xml:space="preserve">KÄ660RE26FV</x:t>
        </x:is>
      </x:c>
      <x:c r="C257" s="767" t="inlineStr">
        <x:is>
          <x:t xml:space="preserve">Kärl 660L, restavfall. Var 14:e dag FLB/VHT</x:t>
        </x:is>
      </x:c>
      <x:c r="D257" s="767" t="inlineStr">
        <x:is>
          <x:t xml:space="preserve">RENH</x:t>
        </x:is>
      </x:c>
      <x:c r="E257" s="767" t="inlineStr">
        <x:is>
          <x:t xml:space="preserve">HUSH</x:t>
        </x:is>
      </x:c>
      <x:c r="F257" s="767" t="n">
        <x:v>4</x:v>
      </x:c>
      <x:c r="G257" s="767" t="inlineStr">
        <x:is>
          <x:t xml:space="preserve">ÅRKV</x:t>
        </x:is>
      </x:c>
      <x:c r="H257" s="767" t="inlineStr">
        <x:is>
          <x:t xml:space="preserve">Dragväg 10,1-20 meter</x:t>
        </x:is>
      </x:c>
      <x:c r="I257" s="767"/>
      <x:c r="J257" s="767"/>
      <x:c r="K257" s="767" t="n">
        <x:v>0</x:v>
      </x:c>
      <x:c r="L257" s="852" t="n">
        <x:v>46023</x:v>
      </x:c>
      <x:c r="M257" s="767" t="n">
        <x:v>0</x:v>
      </x:c>
      <x:c r="N257" s="767"/>
      <x:c r="O257" s="767" t="inlineStr">
        <x:is>
          <x:t xml:space="preserve">-</x:t>
        </x:is>
      </x:c>
      <x:c r="P257" s="767" t="n">
        <x:v>1</x:v>
      </x:c>
      <x:c r="Q257" s="774" t="inlineStr">
        <x:is>
          <x:t xml:space="preserve">DR20</x:t>
        </x:is>
      </x:c>
    </x:row>
    <x:row r="258">
      <x:c r="A258" s="773" t="n">
        <x:v>1705</x:v>
      </x:c>
      <x:c r="B258" s="767" t="inlineStr">
        <x:is>
          <x:t xml:space="preserve">KÄ660RE26FV</x:t>
        </x:is>
      </x:c>
      <x:c r="C258" s="767" t="inlineStr">
        <x:is>
          <x:t xml:space="preserve">Kärl 660L, restavfall. Var 14:e dag FLB/VHT</x:t>
        </x:is>
      </x:c>
      <x:c r="D258" s="767" t="inlineStr">
        <x:is>
          <x:t xml:space="preserve">RENH</x:t>
        </x:is>
      </x:c>
      <x:c r="E258" s="767" t="inlineStr">
        <x:is>
          <x:t xml:space="preserve">HUSH</x:t>
        </x:is>
      </x:c>
      <x:c r="F258" s="767" t="n">
        <x:v>5</x:v>
      </x:c>
      <x:c r="G258" s="767" t="inlineStr">
        <x:is>
          <x:t xml:space="preserve">KVAN</x:t>
        </x:is>
      </x:c>
      <x:c r="H258" s="767" t="inlineStr">
        <x:is>
          <x:t xml:space="preserve">Kärl 660L 26V Överviktsavgift vikt över 100 kg, restavfall</x:t>
        </x:is>
      </x:c>
      <x:c r="I258" s="767"/>
      <x:c r="J258" s="767"/>
      <x:c r="K258" s="767" t="n">
        <x:v>8</x:v>
      </x:c>
      <x:c r="L258" s="852" t="n">
        <x:v>46023</x:v>
      </x:c>
      <x:c r="M258" s="767" t="n">
        <x:v>0</x:v>
      </x:c>
      <x:c r="N258" s="767"/>
      <x:c r="O258" s="767" t="inlineStr">
        <x:is>
          <x:t xml:space="preserve">-</x:t>
        </x:is>
      </x:c>
      <x:c r="P258" s="767" t="n">
        <x:v>1</x:v>
      </x:c>
      <x:c r="Q258" s="774" t="inlineStr">
        <x:is>
          <x:t xml:space="preserve">VIKG-100,MIN0</x:t>
        </x:is>
      </x:c>
    </x:row>
    <x:row r="259">
      <x:c r="A259" s="773" t="n">
        <x:v>1573</x:v>
      </x:c>
      <x:c r="B259" s="767" t="inlineStr">
        <x:is>
          <x:t xml:space="preserve">KÄ660RE52FV</x:t>
        </x:is>
      </x:c>
      <x:c r="C259" s="767" t="inlineStr">
        <x:is>
          <x:t xml:space="preserve">Kärl 660L, restavfall. Varje vecka. FLB/VHT</x:t>
        </x:is>
      </x:c>
      <x:c r="D259" s="767" t="inlineStr">
        <x:is>
          <x:t xml:space="preserve">RENH</x:t>
        </x:is>
      </x:c>
      <x:c r="E259" s="767" t="inlineStr">
        <x:is>
          <x:t xml:space="preserve">HUSH</x:t>
        </x:is>
      </x:c>
      <x:c r="F259" s="767" t="n">
        <x:v>1</x:v>
      </x:c>
      <x:c r="G259" s="767" t="inlineStr">
        <x:is>
          <x:t xml:space="preserve">ÅRKV</x:t>
        </x:is>
      </x:c>
      <x:c r="H259" s="767" t="inlineStr">
        <x:is>
          <x:t xml:space="preserve">Kärl 660L, restavfall. Varje vecka</x:t>
        </x:is>
      </x:c>
      <x:c r="I259" s="767"/>
      <x:c r="J259" s="767"/>
      <x:c r="K259" s="767" t="n">
        <x:v>3600</x:v>
      </x:c>
      <x:c r="L259" s="852" t="n">
        <x:v>46023</x:v>
      </x:c>
      <x:c r="M259" s="767" t="n">
        <x:v>0</x:v>
      </x:c>
      <x:c r="N259" s="767"/>
      <x:c r="O259" s="767" t="inlineStr">
        <x:is>
          <x:t xml:space="preserve">-</x:t>
        </x:is>
      </x:c>
      <x:c r="P259" s="767" t="n">
        <x:v>1</x:v>
      </x:c>
      <x:c r="Q259" s="774" t="inlineStr">
        <x:is>
          <x:t xml:space="preserve">ANTB</x:t>
        </x:is>
      </x:c>
    </x:row>
    <x:row r="260">
      <x:c r="A260" s="773" t="n">
        <x:v>1574</x:v>
      </x:c>
      <x:c r="B260" s="767" t="inlineStr">
        <x:is>
          <x:t xml:space="preserve">KÄ660RE52FV</x:t>
        </x:is>
      </x:c>
      <x:c r="C260" s="767" t="inlineStr">
        <x:is>
          <x:t xml:space="preserve">Kärl 660L, restavfall. Varje vecka. FLB/VHT</x:t>
        </x:is>
      </x:c>
      <x:c r="D260" s="767" t="inlineStr">
        <x:is>
          <x:t xml:space="preserve">RENH</x:t>
        </x:is>
      </x:c>
      <x:c r="E260" s="767" t="inlineStr">
        <x:is>
          <x:t xml:space="preserve">HUSH</x:t>
        </x:is>
      </x:c>
      <x:c r="F260" s="767" t="n">
        <x:v>2</x:v>
      </x:c>
      <x:c r="G260" s="767" t="inlineStr">
        <x:is>
          <x:t xml:space="preserve">KVAN</x:t>
        </x:is>
      </x:c>
      <x:c r="H260" s="767" t="inlineStr">
        <x:is>
          <x:t xml:space="preserve">Kärl 660L 52V Viktavgift restavfall kr/kg</x:t>
        </x:is>
      </x:c>
      <x:c r="I260" s="767"/>
      <x:c r="J260" s="767"/>
      <x:c r="K260" s="767" t="n">
        <x:v>4.28</x:v>
      </x:c>
      <x:c r="L260" s="852" t="n">
        <x:v>46023</x:v>
      </x:c>
      <x:c r="M260" s="767" t="n">
        <x:v>0</x:v>
      </x:c>
      <x:c r="N260" s="767"/>
      <x:c r="O260" s="767" t="inlineStr">
        <x:is>
          <x:t xml:space="preserve">-</x:t>
        </x:is>
      </x:c>
      <x:c r="P260" s="767" t="n">
        <x:v>1</x:v>
      </x:c>
      <x:c r="Q260" s="774" t="inlineStr">
        <x:is>
          <x:t xml:space="preserve">VIKG,MAX100</x:t>
        </x:is>
      </x:c>
    </x:row>
    <x:row r="261">
      <x:c r="A261" s="773" t="n">
        <x:v>1589</x:v>
      </x:c>
      <x:c r="B261" s="767" t="inlineStr">
        <x:is>
          <x:t xml:space="preserve">KÄ660RE52FV</x:t>
        </x:is>
      </x:c>
      <x:c r="C261" s="767" t="inlineStr">
        <x:is>
          <x:t xml:space="preserve">Kärl 660L, restavfall. Varje vecka. FLB/VHT</x:t>
        </x:is>
      </x:c>
      <x:c r="D261" s="767" t="inlineStr">
        <x:is>
          <x:t xml:space="preserve">RENH</x:t>
        </x:is>
      </x:c>
      <x:c r="E261" s="767" t="inlineStr">
        <x:is>
          <x:t xml:space="preserve">HUSH</x:t>
        </x:is>
      </x:c>
      <x:c r="F261" s="767" t="n">
        <x:v>3</x:v>
      </x:c>
      <x:c r="G261" s="767" t="inlineStr">
        <x:is>
          <x:t xml:space="preserve">ÅRKV</x:t>
        </x:is>
      </x:c>
      <x:c r="H261" s="767" t="inlineStr">
        <x:is>
          <x:t xml:space="preserve">Dragväg 1,5-10 meter</x:t>
        </x:is>
      </x:c>
      <x:c r="I261" s="767"/>
      <x:c r="J261" s="767"/>
      <x:c r="K261" s="767" t="n">
        <x:v>0</x:v>
      </x:c>
      <x:c r="L261" s="852" t="n">
        <x:v>46023</x:v>
      </x:c>
      <x:c r="M261" s="767" t="n">
        <x:v>0</x:v>
      </x:c>
      <x:c r="N261" s="767"/>
      <x:c r="O261" s="767" t="inlineStr">
        <x:is>
          <x:t xml:space="preserve">-</x:t>
        </x:is>
      </x:c>
      <x:c r="P261" s="767" t="n">
        <x:v>1</x:v>
      </x:c>
      <x:c r="Q261" s="774" t="inlineStr">
        <x:is>
          <x:t xml:space="preserve">DR10</x:t>
        </x:is>
      </x:c>
    </x:row>
    <x:row r="262">
      <x:c r="A262" s="773" t="n">
        <x:v>1590</x:v>
      </x:c>
      <x:c r="B262" s="767" t="inlineStr">
        <x:is>
          <x:t xml:space="preserve">KÄ660RE52FV</x:t>
        </x:is>
      </x:c>
      <x:c r="C262" s="767" t="inlineStr">
        <x:is>
          <x:t xml:space="preserve">Kärl 660L, restavfall. Varje vecka. FLB/VHT</x:t>
        </x:is>
      </x:c>
      <x:c r="D262" s="767" t="inlineStr">
        <x:is>
          <x:t xml:space="preserve">RENH</x:t>
        </x:is>
      </x:c>
      <x:c r="E262" s="767" t="inlineStr">
        <x:is>
          <x:t xml:space="preserve">HUSH</x:t>
        </x:is>
      </x:c>
      <x:c r="F262" s="767" t="n">
        <x:v>4</x:v>
      </x:c>
      <x:c r="G262" s="767" t="inlineStr">
        <x:is>
          <x:t xml:space="preserve">ÅRKV</x:t>
        </x:is>
      </x:c>
      <x:c r="H262" s="767" t="inlineStr">
        <x:is>
          <x:t xml:space="preserve">Dragväg 10,1-20 meter</x:t>
        </x:is>
      </x:c>
      <x:c r="I262" s="767"/>
      <x:c r="J262" s="767"/>
      <x:c r="K262" s="767" t="n">
        <x:v>0</x:v>
      </x:c>
      <x:c r="L262" s="852" t="n">
        <x:v>46023</x:v>
      </x:c>
      <x:c r="M262" s="767" t="n">
        <x:v>0</x:v>
      </x:c>
      <x:c r="N262" s="767"/>
      <x:c r="O262" s="767" t="inlineStr">
        <x:is>
          <x:t xml:space="preserve">-</x:t>
        </x:is>
      </x:c>
      <x:c r="P262" s="767" t="n">
        <x:v>1</x:v>
      </x:c>
      <x:c r="Q262" s="774" t="inlineStr">
        <x:is>
          <x:t xml:space="preserve">DR20</x:t>
        </x:is>
      </x:c>
    </x:row>
    <x:row r="263">
      <x:c r="A263" s="773" t="n">
        <x:v>1706</x:v>
      </x:c>
      <x:c r="B263" s="767" t="inlineStr">
        <x:is>
          <x:t xml:space="preserve">KÄ660RE52FV</x:t>
        </x:is>
      </x:c>
      <x:c r="C263" s="767" t="inlineStr">
        <x:is>
          <x:t xml:space="preserve">Kärl 660L, restavfall. Varje vecka. FLB/VHT</x:t>
        </x:is>
      </x:c>
      <x:c r="D263" s="767" t="inlineStr">
        <x:is>
          <x:t xml:space="preserve">RENH</x:t>
        </x:is>
      </x:c>
      <x:c r="E263" s="767" t="inlineStr">
        <x:is>
          <x:t xml:space="preserve">HUSH</x:t>
        </x:is>
      </x:c>
      <x:c r="F263" s="767" t="n">
        <x:v>5</x:v>
      </x:c>
      <x:c r="G263" s="767" t="inlineStr">
        <x:is>
          <x:t xml:space="preserve">KVAN</x:t>
        </x:is>
      </x:c>
      <x:c r="H263" s="767" t="inlineStr">
        <x:is>
          <x:t xml:space="preserve">Kärl 660L 52V Överviktsavgift vikt över 100 kg, restavfall</x:t>
        </x:is>
      </x:c>
      <x:c r="I263" s="767"/>
      <x:c r="J263" s="767"/>
      <x:c r="K263" s="767" t="n">
        <x:v>8</x:v>
      </x:c>
      <x:c r="L263" s="852" t="n">
        <x:v>46023</x:v>
      </x:c>
      <x:c r="M263" s="767" t="n">
        <x:v>0</x:v>
      </x:c>
      <x:c r="N263" s="767"/>
      <x:c r="O263" s="767" t="inlineStr">
        <x:is>
          <x:t xml:space="preserve">-</x:t>
        </x:is>
      </x:c>
      <x:c r="P263" s="767" t="n">
        <x:v>1</x:v>
      </x:c>
      <x:c r="Q263" s="774" t="inlineStr">
        <x:is>
          <x:t xml:space="preserve">VIKG-100,MIN0</x:t>
        </x:is>
      </x:c>
    </x:row>
    <x:row r="264">
      <x:c r="A264" s="773" t="n">
        <x:v>1771</x:v>
      </x:c>
      <x:c r="B264" s="767" t="inlineStr">
        <x:is>
          <x:t xml:space="preserve">KÄRLBYTE240</x:t>
        </x:is>
      </x:c>
      <x:c r="C264" s="767" t="inlineStr">
        <x:is>
          <x:t xml:space="preserve">Byte/återtag av behållare en extra gång 140–240 liter</x:t>
        </x:is>
      </x:c>
      <x:c r="D264" s="767" t="inlineStr">
        <x:is>
          <x:t xml:space="preserve">RENH</x:t>
        </x:is>
      </x:c>
      <x:c r="E264" s="767" t="inlineStr">
        <x:is>
          <x:t xml:space="preserve">HUSH</x:t>
        </x:is>
      </x:c>
      <x:c r="F264" s="767" t="n">
        <x:v>1</x:v>
      </x:c>
      <x:c r="G264" s="767" t="inlineStr">
        <x:is>
          <x:t xml:space="preserve">KVAN</x:t>
        </x:is>
      </x:c>
      <x:c r="H264" s="767" t="inlineStr">
        <x:is>
          <x:t xml:space="preserve">Byte/återtag av behållare en extra gång 140–240 liter</x:t>
        </x:is>
      </x:c>
      <x:c r="I264" s="767"/>
      <x:c r="J264" s="767"/>
      <x:c r="K264" s="767" t="n">
        <x:v>320</x:v>
      </x:c>
      <x:c r="L264" s="852" t="n">
        <x:v>46023</x:v>
      </x:c>
      <x:c r="M264" s="767" t="n">
        <x:v>0</x:v>
      </x:c>
      <x:c r="N264" s="767"/>
      <x:c r="O264" s="767" t="inlineStr">
        <x:is>
          <x:t xml:space="preserve">-</x:t>
        </x:is>
      </x:c>
      <x:c r="P264" s="767" t="n">
        <x:v>1</x:v>
      </x:c>
      <x:c r="Q264" s="774" t="inlineStr">
        <x:is>
          <x:t xml:space="preserve">ANTL</x:t>
        </x:is>
      </x:c>
    </x:row>
    <x:row r="265">
      <x:c r="A265" s="773" t="n">
        <x:v>1788</x:v>
      </x:c>
      <x:c r="B265" s="767" t="inlineStr">
        <x:is>
          <x:t xml:space="preserve">MAT</x:t>
        </x:is>
      </x:c>
      <x:c r="C265" s="767" t="inlineStr">
        <x:is>
          <x:t xml:space="preserve">Viktavgift matavfall</x:t>
        </x:is>
      </x:c>
      <x:c r="D265" s="767" t="inlineStr">
        <x:is>
          <x:t xml:space="preserve">RENH</x:t>
        </x:is>
      </x:c>
      <x:c r="E265" s="767" t="inlineStr">
        <x:is>
          <x:t xml:space="preserve">HUSH</x:t>
        </x:is>
      </x:c>
      <x:c r="F265" s="767" t="n">
        <x:v>1</x:v>
      </x:c>
      <x:c r="G265" s="767" t="inlineStr">
        <x:is>
          <x:t xml:space="preserve">KVAN</x:t>
        </x:is>
      </x:c>
      <x:c r="H265" s="767" t="inlineStr">
        <x:is>
          <x:t xml:space="preserve">Viktavgift matavfall</x:t>
        </x:is>
      </x:c>
      <x:c r="I265" s="767"/>
      <x:c r="J265" s="767"/>
      <x:c r="K265" s="767" t="n">
        <x:v>2.28</x:v>
      </x:c>
      <x:c r="L265" s="852" t="n">
        <x:v>46023</x:v>
      </x:c>
      <x:c r="M265" s="767" t="n">
        <x:v>0</x:v>
      </x:c>
      <x:c r="N265" s="767"/>
      <x:c r="O265" s="767" t="inlineStr">
        <x:is>
          <x:t xml:space="preserve">-</x:t>
        </x:is>
      </x:c>
      <x:c r="P265" s="767" t="n">
        <x:v>1</x:v>
      </x:c>
      <x:c r="Q265" s="774" t="inlineStr">
        <x:is>
          <x:t xml:space="preserve">VIKG</x:t>
        </x:is>
      </x:c>
    </x:row>
    <x:row r="266">
      <x:c r="A266" s="773" t="n">
        <x:v>1947</x:v>
      </x:c>
      <x:c r="B266" s="767" t="inlineStr">
        <x:is>
          <x:t xml:space="preserve">MB1600MA26</x:t>
        </x:is>
      </x:c>
      <x:c r="C266" s="767" t="inlineStr">
        <x:is>
          <x:t xml:space="preserve">Tjänsttaxa markbehållare för matavfall</x:t>
        </x:is>
      </x:c>
      <x:c r="D266" s="767" t="inlineStr">
        <x:is>
          <x:t xml:space="preserve">RENH</x:t>
        </x:is>
      </x:c>
      <x:c r="E266" s="767" t="inlineStr">
        <x:is>
          <x:t xml:space="preserve">HUSH</x:t>
        </x:is>
      </x:c>
      <x:c r="F266" s="767" t="n">
        <x:v>1</x:v>
      </x:c>
      <x:c r="G266" s="767" t="inlineStr">
        <x:is>
          <x:t xml:space="preserve">ÅRKV</x:t>
        </x:is>
      </x:c>
      <x:c r="H266" s="767" t="inlineStr">
        <x:is>
          <x:t xml:space="preserve">Tjänsttaxa markbehållare för matavfall</x:t>
        </x:is>
      </x:c>
      <x:c r="I266" s="767"/>
      <x:c r="J266" s="767"/>
      <x:c r="K266" s="767" t="n">
        <x:v>0</x:v>
      </x:c>
      <x:c r="L266" s="852" t="n">
        <x:v>46023</x:v>
      </x:c>
      <x:c r="M266" s="767" t="n">
        <x:v>0</x:v>
      </x:c>
      <x:c r="N266" s="767"/>
      <x:c r="O266" s="767" t="inlineStr">
        <x:is>
          <x:t xml:space="preserve">-</x:t>
        </x:is>
      </x:c>
      <x:c r="P266" s="767" t="n">
        <x:v>1</x:v>
      </x:c>
      <x:c r="Q266" s="774" t="inlineStr">
        <x:is>
          <x:t xml:space="preserve">0</x:t>
        </x:is>
      </x:c>
    </x:row>
    <x:row r="267">
      <x:c r="A267" s="773" t="n">
        <x:v>1958</x:v>
      </x:c>
      <x:c r="B267" s="767" t="inlineStr">
        <x:is>
          <x:t xml:space="preserve">MB1600MA26</x:t>
        </x:is>
      </x:c>
      <x:c r="C267" s="767" t="inlineStr">
        <x:is>
          <x:t xml:space="preserve">Tjänsttaxa markbehållare för matavfall</x:t>
        </x:is>
      </x:c>
      <x:c r="D267" s="767" t="inlineStr">
        <x:is>
          <x:t xml:space="preserve">RENH</x:t>
        </x:is>
      </x:c>
      <x:c r="E267" s="767" t="inlineStr">
        <x:is>
          <x:t xml:space="preserve">HUSH</x:t>
        </x:is>
      </x:c>
      <x:c r="F267" s="767" t="n">
        <x:v>2</x:v>
      </x:c>
      <x:c r="G267" s="767" t="inlineStr">
        <x:is>
          <x:t xml:space="preserve">KVAN</x:t>
        </x:is>
      </x:c>
      <x:c r="H267" s="767" t="inlineStr">
        <x:is>
          <x:t xml:space="preserve">Viktavgift matavfall</x:t>
        </x:is>
      </x:c>
      <x:c r="I267" s="767"/>
      <x:c r="J267" s="767"/>
      <x:c r="K267" s="767" t="n">
        <x:v>2.28</x:v>
      </x:c>
      <x:c r="L267" s="852" t="n">
        <x:v>46023</x:v>
      </x:c>
      <x:c r="M267" s="767" t="n">
        <x:v>0</x:v>
      </x:c>
      <x:c r="N267" s="767"/>
      <x:c r="O267" s="767" t="inlineStr">
        <x:is>
          <x:t xml:space="preserve">-</x:t>
        </x:is>
      </x:c>
      <x:c r="P267" s="767" t="n">
        <x:v>1</x:v>
      </x:c>
      <x:c r="Q267" s="774" t="inlineStr">
        <x:is>
          <x:t xml:space="preserve">VIKG</x:t>
        </x:is>
      </x:c>
    </x:row>
    <x:row r="268">
      <x:c r="A268" s="773" t="n">
        <x:v>1959</x:v>
      </x:c>
      <x:c r="B268" s="767" t="inlineStr">
        <x:is>
          <x:t xml:space="preserve">MB1600MA26</x:t>
        </x:is>
      </x:c>
      <x:c r="C268" s="767" t="inlineStr">
        <x:is>
          <x:t xml:space="preserve">Tjänsttaxa markbehållare för matavfall</x:t>
        </x:is>
      </x:c>
      <x:c r="D268" s="767" t="inlineStr">
        <x:is>
          <x:t xml:space="preserve">RENH</x:t>
        </x:is>
      </x:c>
      <x:c r="E268" s="767" t="inlineStr">
        <x:is>
          <x:t xml:space="preserve">HUSH</x:t>
        </x:is>
      </x:c>
      <x:c r="F268" s="767" t="n">
        <x:v>3</x:v>
      </x:c>
      <x:c r="G268" s="767" t="inlineStr">
        <x:is>
          <x:t xml:space="preserve">KVAN</x:t>
        </x:is>
      </x:c>
      <x:c r="H268" s="767" t="inlineStr">
        <x:is>
          <x:t xml:space="preserve">Tömning Markbehållare 1,6 m³, Matavfall</x:t>
        </x:is>
      </x:c>
      <x:c r="I268" s="767"/>
      <x:c r="J268" s="767"/>
      <x:c r="K268" s="767" t="n">
        <x:v>550</x:v>
      </x:c>
      <x:c r="L268" s="852" t="n">
        <x:v>46023</x:v>
      </x:c>
      <x:c r="M268" s="767" t="n">
        <x:v>0</x:v>
      </x:c>
      <x:c r="N268" s="767"/>
      <x:c r="O268" s="767" t="inlineStr">
        <x:is>
          <x:t xml:space="preserve">-</x:t>
        </x:is>
      </x:c>
      <x:c r="P268" s="767" t="n">
        <x:v>1</x:v>
      </x:c>
      <x:c r="Q268" s="774" t="inlineStr">
        <x:is>
          <x:t xml:space="preserve">ANTB</x:t>
        </x:is>
      </x:c>
    </x:row>
    <x:row r="269">
      <x:c r="A269" s="773" t="n">
        <x:v>1951</x:v>
      </x:c>
      <x:c r="B269" s="767" t="inlineStr">
        <x:is>
          <x:t xml:space="preserve">MB3200RE26</x:t>
        </x:is>
      </x:c>
      <x:c r="C269" s="767" t="inlineStr">
        <x:is>
          <x:t xml:space="preserve">Tjänsttaxa underjordsbehållare för restavfall</x:t>
        </x:is>
      </x:c>
      <x:c r="D269" s="767" t="inlineStr">
        <x:is>
          <x:t xml:space="preserve">RENH</x:t>
        </x:is>
      </x:c>
      <x:c r="E269" s="767" t="inlineStr">
        <x:is>
          <x:t xml:space="preserve">HUSH</x:t>
        </x:is>
      </x:c>
      <x:c r="F269" s="767" t="n">
        <x:v>1</x:v>
      </x:c>
      <x:c r="G269" s="767" t="inlineStr">
        <x:is>
          <x:t xml:space="preserve">ÅRKV</x:t>
        </x:is>
      </x:c>
      <x:c r="H269" s="767" t="inlineStr">
        <x:is>
          <x:t xml:space="preserve">Tjänsttaxa underjordsbehållare för restavfall</x:t>
        </x:is>
      </x:c>
      <x:c r="I269" s="767"/>
      <x:c r="J269" s="767"/>
      <x:c r="K269" s="767" t="n">
        <x:v>0</x:v>
      </x:c>
      <x:c r="L269" s="852" t="n">
        <x:v>46023</x:v>
      </x:c>
      <x:c r="M269" s="767" t="n">
        <x:v>0</x:v>
      </x:c>
      <x:c r="N269" s="767"/>
      <x:c r="O269" s="767" t="inlineStr">
        <x:is>
          <x:t xml:space="preserve">-</x:t>
        </x:is>
      </x:c>
      <x:c r="P269" s="767" t="n">
        <x:v>1</x:v>
      </x:c>
      <x:c r="Q269" s="774" t="inlineStr">
        <x:is>
          <x:t xml:space="preserve">0</x:t>
        </x:is>
      </x:c>
    </x:row>
    <x:row r="270">
      <x:c r="A270" s="773" t="n">
        <x:v>1960</x:v>
      </x:c>
      <x:c r="B270" s="767" t="inlineStr">
        <x:is>
          <x:t xml:space="preserve">MB3200RE26</x:t>
        </x:is>
      </x:c>
      <x:c r="C270" s="767" t="inlineStr">
        <x:is>
          <x:t xml:space="preserve">Tjänsttaxa underjordsbehållare för restavfall</x:t>
        </x:is>
      </x:c>
      <x:c r="D270" s="767" t="inlineStr">
        <x:is>
          <x:t xml:space="preserve">RENH</x:t>
        </x:is>
      </x:c>
      <x:c r="E270" s="767" t="inlineStr">
        <x:is>
          <x:t xml:space="preserve">HUSH</x:t>
        </x:is>
      </x:c>
      <x:c r="F270" s="767" t="n">
        <x:v>2</x:v>
      </x:c>
      <x:c r="G270" s="767" t="inlineStr">
        <x:is>
          <x:t xml:space="preserve">KVAN</x:t>
        </x:is>
      </x:c>
      <x:c r="H270" s="767" t="inlineStr">
        <x:is>
          <x:t xml:space="preserve">Viktavgift restavfall kr/kg</x:t>
        </x:is>
      </x:c>
      <x:c r="I270" s="767"/>
      <x:c r="J270" s="767"/>
      <x:c r="K270" s="767" t="n">
        <x:v>4.28</x:v>
      </x:c>
      <x:c r="L270" s="852" t="n">
        <x:v>46023</x:v>
      </x:c>
      <x:c r="M270" s="767" t="n">
        <x:v>0</x:v>
      </x:c>
      <x:c r="N270" s="767"/>
      <x:c r="O270" s="767" t="inlineStr">
        <x:is>
          <x:t xml:space="preserve">-</x:t>
        </x:is>
      </x:c>
      <x:c r="P270" s="767" t="n">
        <x:v>1</x:v>
      </x:c>
      <x:c r="Q270" s="774" t="inlineStr">
        <x:is>
          <x:t xml:space="preserve">VIKG</x:t>
        </x:is>
      </x:c>
    </x:row>
    <x:row r="271">
      <x:c r="A271" s="773" t="n">
        <x:v>1961</x:v>
      </x:c>
      <x:c r="B271" s="767" t="inlineStr">
        <x:is>
          <x:t xml:space="preserve">MB3200RE26</x:t>
        </x:is>
      </x:c>
      <x:c r="C271" s="767" t="inlineStr">
        <x:is>
          <x:t xml:space="preserve">Tjänsttaxa underjordsbehållare för restavfall</x:t>
        </x:is>
      </x:c>
      <x:c r="D271" s="767" t="inlineStr">
        <x:is>
          <x:t xml:space="preserve">RENH</x:t>
        </x:is>
      </x:c>
      <x:c r="E271" s="767" t="inlineStr">
        <x:is>
          <x:t xml:space="preserve">HUSH</x:t>
        </x:is>
      </x:c>
      <x:c r="F271" s="767" t="n">
        <x:v>3</x:v>
      </x:c>
      <x:c r="G271" s="767" t="inlineStr">
        <x:is>
          <x:t xml:space="preserve">KVAN</x:t>
        </x:is>
      </x:c>
      <x:c r="H271" s="767" t="inlineStr">
        <x:is>
          <x:t xml:space="preserve">Tömning Markbehållare 3,2 m³, Restavfall</x:t>
        </x:is>
      </x:c>
      <x:c r="I271" s="767"/>
      <x:c r="J271" s="767"/>
      <x:c r="K271" s="767" t="n">
        <x:v>550</x:v>
      </x:c>
      <x:c r="L271" s="852" t="n">
        <x:v>46023</x:v>
      </x:c>
      <x:c r="M271" s="767" t="n">
        <x:v>0</x:v>
      </x:c>
      <x:c r="N271" s="767"/>
      <x:c r="O271" s="767" t="inlineStr">
        <x:is>
          <x:t xml:space="preserve">-</x:t>
        </x:is>
      </x:c>
      <x:c r="P271" s="767" t="n">
        <x:v>1</x:v>
      </x:c>
      <x:c r="Q271" s="774" t="inlineStr">
        <x:is>
          <x:t xml:space="preserve">ANTB</x:t>
        </x:is>
      </x:c>
    </x:row>
    <x:row r="272">
      <x:c r="A272" s="773" t="n">
        <x:v>1957</x:v>
      </x:c>
      <x:c r="B272" s="767" t="inlineStr">
        <x:is>
          <x:t xml:space="preserve">ReAvfallSum</x:t>
        </x:is>
      </x:c>
      <x:c r="C272" s="767" t="inlineStr">
        <x:is>
          <x:t xml:space="preserve">Viktavgift restavfall Sumerad KÄ660 1 veckastömning</x:t>
        </x:is>
      </x:c>
      <x:c r="D272" s="767" t="inlineStr">
        <x:is>
          <x:t xml:space="preserve">RENH</x:t>
        </x:is>
      </x:c>
      <x:c r="E272" s="767" t="inlineStr">
        <x:is>
          <x:t xml:space="preserve">HUSH</x:t>
        </x:is>
      </x:c>
      <x:c r="F272" s="767" t="n">
        <x:v>1</x:v>
      </x:c>
      <x:c r="G272" s="767" t="inlineStr">
        <x:is>
          <x:t xml:space="preserve">KVAN</x:t>
        </x:is>
      </x:c>
      <x:c r="H272" s="767" t="inlineStr">
        <x:is>
          <x:t xml:space="preserve">Kärl 660L Viktavgift restavfall kr/kg (period)</x:t>
        </x:is>
      </x:c>
      <x:c r="I272" s="767"/>
      <x:c r="J272" s="767"/>
      <x:c r="K272" s="767" t="n">
        <x:v>4.28</x:v>
      </x:c>
      <x:c r="L272" s="852" t="n">
        <x:v>46023</x:v>
      </x:c>
      <x:c r="M272" s="767" t="n">
        <x:v>0</x:v>
      </x:c>
      <x:c r="N272" s="767"/>
      <x:c r="O272" s="767" t="inlineStr">
        <x:is>
          <x:t xml:space="preserve">-</x:t>
        </x:is>
      </x:c>
      <x:c r="P272" s="767" t="n">
        <x:v>1</x:v>
      </x:c>
      <x:c r="Q272" s="774" t="inlineStr">
        <x:is>
          <x:t xml:space="preserve">VIKG</x:t>
        </x:is>
      </x:c>
    </x:row>
    <x:row r="273">
      <x:c r="A273" s="773" t="n">
        <x:v>1789</x:v>
      </x:c>
      <x:c r="B273" s="767" t="inlineStr">
        <x:is>
          <x:t xml:space="preserve">REST</x:t>
        </x:is>
      </x:c>
      <x:c r="C273" s="767" t="inlineStr">
        <x:is>
          <x:t xml:space="preserve">Viktavgift restavfall</x:t>
        </x:is>
      </x:c>
      <x:c r="D273" s="767" t="inlineStr">
        <x:is>
          <x:t xml:space="preserve">RENH</x:t>
        </x:is>
      </x:c>
      <x:c r="E273" s="767" t="inlineStr">
        <x:is>
          <x:t xml:space="preserve">HUSH</x:t>
        </x:is>
      </x:c>
      <x:c r="F273" s="767" t="n">
        <x:v>1</x:v>
      </x:c>
      <x:c r="G273" s="767" t="inlineStr">
        <x:is>
          <x:t xml:space="preserve">KVAN</x:t>
        </x:is>
      </x:c>
      <x:c r="H273" s="767" t="inlineStr">
        <x:is>
          <x:t xml:space="preserve">Viktavgift restavfall</x:t>
        </x:is>
      </x:c>
      <x:c r="I273" s="767"/>
      <x:c r="J273" s="767"/>
      <x:c r="K273" s="767" t="n">
        <x:v>4.28</x:v>
      </x:c>
      <x:c r="L273" s="852" t="n">
        <x:v>46023</x:v>
      </x:c>
      <x:c r="M273" s="767" t="n">
        <x:v>0</x:v>
      </x:c>
      <x:c r="N273" s="767"/>
      <x:c r="O273" s="767" t="inlineStr">
        <x:is>
          <x:t xml:space="preserve">-</x:t>
        </x:is>
      </x:c>
      <x:c r="P273" s="767" t="n">
        <x:v>1</x:v>
      </x:c>
      <x:c r="Q273" s="774" t="inlineStr">
        <x:is>
          <x:t xml:space="preserve">VIKG</x:t>
        </x:is>
      </x:c>
    </x:row>
    <x:row r="274">
      <x:c r="A274" s="773" t="n">
        <x:v>1675</x:v>
      </x:c>
      <x:c r="B274" s="767" t="inlineStr">
        <x:is>
          <x:t xml:space="preserve">SANNAN</x:t>
        </x:is>
      </x:c>
      <x:c r="C274" s="767" t="inlineStr">
        <x:is>
          <x:t xml:space="preserve">Spillvatten Annan fastighet</x:t>
        </x:is>
      </x:c>
      <x:c r="D274" s="767" t="inlineStr">
        <x:is>
          <x:t xml:space="preserve">VA</x:t>
        </x:is>
      </x:c>
      <x:c r="E274" s="767" t="inlineStr">
        <x:is>
          <x:t xml:space="preserve">AVL</x:t>
        </x:is>
      </x:c>
      <x:c r="F274" s="767" t="n">
        <x:v>1</x:v>
      </x:c>
      <x:c r="G274" s="767" t="inlineStr">
        <x:is>
          <x:t xml:space="preserve">ÅRPR</x:t>
        </x:is>
      </x:c>
      <x:c r="H274" s="767" t="inlineStr">
        <x:is>
          <x:t xml:space="preserve">Fast avgift spillvatten</x:t>
        </x:is>
      </x:c>
      <x:c r="I274" s="767"/>
      <x:c r="J274" s="767"/>
      <x:c r="K274" s="767" t="n">
        <x:v>807.84</x:v>
      </x:c>
      <x:c r="L274" s="852" t="n">
        <x:v>46023</x:v>
      </x:c>
      <x:c r="M274" s="767" t="n">
        <x:v>0</x:v>
      </x:c>
      <x:c r="N274" s="767"/>
      <x:c r="O274" s="767" t="inlineStr">
        <x:is>
          <x:t xml:space="preserve">-</x:t>
        </x:is>
      </x:c>
      <x:c r="P274" s="767" t="n">
        <x:v>1</x:v>
      </x:c>
      <x:c r="Q274" s="774"/>
    </x:row>
    <x:row r="275">
      <x:c r="A275" s="773" t="n">
        <x:v>1676</x:v>
      </x:c>
      <x:c r="B275" s="767" t="inlineStr">
        <x:is>
          <x:t xml:space="preserve">SANNAN</x:t>
        </x:is>
      </x:c>
      <x:c r="C275" s="767" t="inlineStr">
        <x:is>
          <x:t xml:space="preserve">Spillvatten Annan fastighet</x:t>
        </x:is>
      </x:c>
      <x:c r="D275" s="767" t="inlineStr">
        <x:is>
          <x:t xml:space="preserve">VA</x:t>
        </x:is>
      </x:c>
      <x:c r="E275" s="767" t="inlineStr">
        <x:is>
          <x:t xml:space="preserve">AVL</x:t>
        </x:is>
      </x:c>
      <x:c r="F275" s="767" t="n">
        <x:v>2</x:v>
      </x:c>
      <x:c r="G275" s="767" t="inlineStr">
        <x:is>
          <x:t xml:space="preserve">FÖRB</x:t>
        </x:is>
      </x:c>
      <x:c r="H275" s="767" t="inlineStr">
        <x:is>
          <x:t xml:space="preserve">Förbrukningsavgift, spillvatten</x:t>
        </x:is>
      </x:c>
      <x:c r="I275" s="767"/>
      <x:c r="J275" s="767"/>
      <x:c r="K275" s="767" t="n">
        <x:v>19.17</x:v>
      </x:c>
      <x:c r="L275" s="852" t="n">
        <x:v>46023</x:v>
      </x:c>
      <x:c r="M275" s="767" t="n">
        <x:v>0</x:v>
      </x:c>
      <x:c r="N275" s="767"/>
      <x:c r="O275" s="767" t="inlineStr">
        <x:is>
          <x:t xml:space="preserve">-</x:t>
        </x:is>
      </x:c>
      <x:c r="P275" s="767" t="n">
        <x:v>1</x:v>
      </x:c>
      <x:c r="Q275" s="774"/>
    </x:row>
    <x:row r="276">
      <x:c r="A276" s="773" t="n">
        <x:v>1671</x:v>
      </x:c>
      <x:c r="B276" s="767" t="inlineStr">
        <x:is>
          <x:t xml:space="preserve">SBOSTAD</x:t>
        </x:is>
      </x:c>
      <x:c r="C276" s="767" t="inlineStr">
        <x:is>
          <x:t xml:space="preserve">Spillvatten Bostad</x:t>
        </x:is>
      </x:c>
      <x:c r="D276" s="767" t="inlineStr">
        <x:is>
          <x:t xml:space="preserve">VA</x:t>
        </x:is>
      </x:c>
      <x:c r="E276" s="767" t="inlineStr">
        <x:is>
          <x:t xml:space="preserve">AVL</x:t>
        </x:is>
      </x:c>
      <x:c r="F276" s="767" t="n">
        <x:v>1</x:v>
      </x:c>
      <x:c r="G276" s="767" t="inlineStr">
        <x:is>
          <x:t xml:space="preserve">ÅRPR</x:t>
        </x:is>
      </x:c>
      <x:c r="H276" s="767" t="inlineStr">
        <x:is>
          <x:t xml:space="preserve">Fast avgift spillvatten</x:t>
        </x:is>
      </x:c>
      <x:c r="I276" s="767"/>
      <x:c r="J276" s="767"/>
      <x:c r="K276" s="767" t="n">
        <x:v>807.84</x:v>
      </x:c>
      <x:c r="L276" s="852" t="n">
        <x:v>46023</x:v>
      </x:c>
      <x:c r="M276" s="767" t="n">
        <x:v>0</x:v>
      </x:c>
      <x:c r="N276" s="767"/>
      <x:c r="O276" s="767" t="inlineStr">
        <x:is>
          <x:t xml:space="preserve">-</x:t>
        </x:is>
      </x:c>
      <x:c r="P276" s="767" t="n">
        <x:v>1</x:v>
      </x:c>
      <x:c r="Q276" s="774"/>
    </x:row>
    <x:row r="277">
      <x:c r="A277" s="773" t="n">
        <x:v>1672</x:v>
      </x:c>
      <x:c r="B277" s="767" t="inlineStr">
        <x:is>
          <x:t xml:space="preserve">SBOSTAD</x:t>
        </x:is>
      </x:c>
      <x:c r="C277" s="767" t="inlineStr">
        <x:is>
          <x:t xml:space="preserve">Spillvatten Bostad</x:t>
        </x:is>
      </x:c>
      <x:c r="D277" s="767" t="inlineStr">
        <x:is>
          <x:t xml:space="preserve">VA</x:t>
        </x:is>
      </x:c>
      <x:c r="E277" s="767" t="inlineStr">
        <x:is>
          <x:t xml:space="preserve">AVL</x:t>
        </x:is>
      </x:c>
      <x:c r="F277" s="767" t="n">
        <x:v>2</x:v>
      </x:c>
      <x:c r="G277" s="767" t="inlineStr">
        <x:is>
          <x:t xml:space="preserve">FÖRB</x:t>
        </x:is>
      </x:c>
      <x:c r="H277" s="767" t="inlineStr">
        <x:is>
          <x:t xml:space="preserve">Förbrukningsavgift, avlopp</x:t>
        </x:is>
      </x:c>
      <x:c r="I277" s="767"/>
      <x:c r="J277" s="767"/>
      <x:c r="K277" s="767" t="n">
        <x:v>19.17</x:v>
      </x:c>
      <x:c r="L277" s="852" t="n">
        <x:v>46023</x:v>
      </x:c>
      <x:c r="M277" s="767" t="n">
        <x:v>0</x:v>
      </x:c>
      <x:c r="N277" s="767"/>
      <x:c r="O277" s="767" t="inlineStr">
        <x:is>
          <x:t xml:space="preserve">-</x:t>
        </x:is>
      </x:c>
      <x:c r="P277" s="767" t="n">
        <x:v>1</x:v>
      </x:c>
      <x:c r="Q277" s="774"/>
    </x:row>
    <x:row r="278">
      <x:c r="A278" s="773" t="n">
        <x:v>1673</x:v>
      </x:c>
      <x:c r="B278" s="767" t="inlineStr">
        <x:is>
          <x:t xml:space="preserve">SBOSTAD</x:t>
        </x:is>
      </x:c>
      <x:c r="C278" s="767" t="inlineStr">
        <x:is>
          <x:t xml:space="preserve">Spillvatten Bostad</x:t>
        </x:is>
      </x:c>
      <x:c r="D278" s="767" t="inlineStr">
        <x:is>
          <x:t xml:space="preserve">VA</x:t>
        </x:is>
      </x:c>
      <x:c r="E278" s="767" t="inlineStr">
        <x:is>
          <x:t xml:space="preserve">AVL</x:t>
        </x:is>
      </x:c>
      <x:c r="F278" s="767" t="n">
        <x:v>3</x:v>
      </x:c>
      <x:c r="G278" s="767" t="inlineStr">
        <x:is>
          <x:t xml:space="preserve">ÅRKV</x:t>
        </x:is>
      </x:c>
      <x:c r="H278" s="767" t="inlineStr">
        <x:is>
          <x:t xml:space="preserve">Avgift, per lägenhet</x:t>
        </x:is>
      </x:c>
      <x:c r="I278" s="767"/>
      <x:c r="J278" s="767"/>
      <x:c r="K278" s="767" t="n">
        <x:v>1178.3</x:v>
      </x:c>
      <x:c r="L278" s="852" t="n">
        <x:v>46023</x:v>
      </x:c>
      <x:c r="M278" s="767" t="n">
        <x:v>0</x:v>
      </x:c>
      <x:c r="N278" s="767"/>
      <x:c r="O278" s="767" t="inlineStr">
        <x:is>
          <x:t xml:space="preserve">-</x:t>
        </x:is>
      </x:c>
      <x:c r="P278" s="767" t="n">
        <x:v>1</x:v>
      </x:c>
      <x:c r="Q278" s="774" t="inlineStr">
        <x:is>
          <x:t xml:space="preserve">LÄGH</x:t>
        </x:is>
      </x:c>
    </x:row>
    <x:row r="279">
      <x:c r="A279" s="773" t="n">
        <x:v>1674</x:v>
      </x:c>
      <x:c r="B279" s="767" t="inlineStr">
        <x:is>
          <x:t xml:space="preserve">SBOSTAD</x:t>
        </x:is>
      </x:c>
      <x:c r="C279" s="767" t="inlineStr">
        <x:is>
          <x:t xml:space="preserve">Spillvatten Bostad</x:t>
        </x:is>
      </x:c>
      <x:c r="D279" s="767" t="inlineStr">
        <x:is>
          <x:t xml:space="preserve">VA</x:t>
        </x:is>
      </x:c>
      <x:c r="E279" s="767" t="inlineStr">
        <x:is>
          <x:t xml:space="preserve">AVL</x:t>
        </x:is>
      </x:c>
      <x:c r="F279" s="767" t="n">
        <x:v>4</x:v>
      </x:c>
      <x:c r="G279" s="767" t="inlineStr">
        <x:is>
          <x:t xml:space="preserve">ÅRKV</x:t>
        </x:is>
      </x:c>
      <x:c r="H279" s="767" t="inlineStr">
        <x:is>
          <x:t xml:space="preserve">Avgift per påbörjad 150-tal m² bruttoarea</x:t>
        </x:is>
      </x:c>
      <x:c r="I279" s="767"/>
      <x:c r="J279" s="767"/>
      <x:c r="K279" s="767" t="n">
        <x:v>1178.3</x:v>
      </x:c>
      <x:c r="L279" s="852" t="n">
        <x:v>46023</x:v>
      </x:c>
      <x:c r="M279" s="767" t="n">
        <x:v>0</x:v>
      </x:c>
      <x:c r="N279" s="767"/>
      <x:c r="O279" s="767" t="inlineStr">
        <x:is>
          <x:t xml:space="preserve">-</x:t>
        </x:is>
      </x:c>
      <x:c r="P279" s="767" t="n">
        <x:v>1</x:v>
      </x:c>
      <x:c r="Q279" s="774" t="inlineStr">
        <x:is>
          <x:t xml:space="preserve">HELTALSDEL((BTAY+149)/150)</x:t>
        </x:is>
      </x:c>
    </x:row>
    <x:row r="280">
      <x:c r="A280" s="773" t="n">
        <x:v>1677</x:v>
      </x:c>
      <x:c r="B280" s="767" t="inlineStr">
        <x:is>
          <x:t xml:space="preserve">SUANNAN</x:t>
        </x:is>
      </x:c>
      <x:c r="C280" s="767" t="inlineStr">
        <x:is>
          <x:t xml:space="preserve">Spillvatten Uppsk. Förbrukning Annan fastighet</x:t>
        </x:is>
      </x:c>
      <x:c r="D280" s="767" t="inlineStr">
        <x:is>
          <x:t xml:space="preserve">VA</x:t>
        </x:is>
      </x:c>
      <x:c r="E280" s="767" t="inlineStr">
        <x:is>
          <x:t xml:space="preserve">AVL</x:t>
        </x:is>
      </x:c>
      <x:c r="F280" s="767" t="n">
        <x:v>1</x:v>
      </x:c>
      <x:c r="G280" s="767" t="inlineStr">
        <x:is>
          <x:t xml:space="preserve">ÅRPR</x:t>
        </x:is>
      </x:c>
      <x:c r="H280" s="767" t="inlineStr">
        <x:is>
          <x:t xml:space="preserve">Fast avgift spillvatten</x:t>
        </x:is>
      </x:c>
      <x:c r="I280" s="767"/>
      <x:c r="J280" s="767"/>
      <x:c r="K280" s="767" t="n">
        <x:v>807.84</x:v>
      </x:c>
      <x:c r="L280" s="852" t="n">
        <x:v>46023</x:v>
      </x:c>
      <x:c r="M280" s="767" t="n">
        <x:v>0</x:v>
      </x:c>
      <x:c r="N280" s="767"/>
      <x:c r="O280" s="767" t="inlineStr">
        <x:is>
          <x:t xml:space="preserve">-</x:t>
        </x:is>
      </x:c>
      <x:c r="P280" s="767" t="n">
        <x:v>1</x:v>
      </x:c>
      <x:c r="Q280" s="774"/>
    </x:row>
    <x:row r="281">
      <x:c r="A281" s="773" t="n">
        <x:v>1678</x:v>
      </x:c>
      <x:c r="B281" s="767" t="inlineStr">
        <x:is>
          <x:t xml:space="preserve">SUANNAN</x:t>
        </x:is>
      </x:c>
      <x:c r="C281" s="767" t="inlineStr">
        <x:is>
          <x:t xml:space="preserve">Spillvatten Uppsk. Förbrukning Annan fastighet</x:t>
        </x:is>
      </x:c>
      <x:c r="D281" s="767" t="inlineStr">
        <x:is>
          <x:t xml:space="preserve">VA</x:t>
        </x:is>
      </x:c>
      <x:c r="E281" s="767" t="inlineStr">
        <x:is>
          <x:t xml:space="preserve">AVL</x:t>
        </x:is>
      </x:c>
      <x:c r="F281" s="767" t="n">
        <x:v>2</x:v>
      </x:c>
      <x:c r="G281" s="767" t="inlineStr">
        <x:is>
          <x:t xml:space="preserve">UPFÖ</x:t>
        </x:is>
      </x:c>
      <x:c r="H281" s="767" t="inlineStr">
        <x:is>
          <x:t xml:space="preserve">Rörlig avgift, uppsk. förbrukning spillvatten</x:t>
        </x:is>
      </x:c>
      <x:c r="I281" s="767"/>
      <x:c r="J281" s="767"/>
      <x:c r="K281" s="767" t="n">
        <x:v>19.17</x:v>
      </x:c>
      <x:c r="L281" s="852" t="n">
        <x:v>46023</x:v>
      </x:c>
      <x:c r="M281" s="767" t="n">
        <x:v>0</x:v>
      </x:c>
      <x:c r="N281" s="767"/>
      <x:c r="O281" s="767" t="inlineStr">
        <x:is>
          <x:t xml:space="preserve">-</x:t>
        </x:is>
      </x:c>
      <x:c r="P281" s="767" t="n">
        <x:v>1</x:v>
      </x:c>
      <x:c r="Q281" s="774"/>
    </x:row>
    <x:row r="282">
      <x:c r="A282" s="773" t="n">
        <x:v>1679</x:v>
      </x:c>
      <x:c r="B282" s="767" t="inlineStr">
        <x:is>
          <x:t xml:space="preserve">SUBOSTAD</x:t>
        </x:is>
      </x:c>
      <x:c r="C282" s="767" t="inlineStr">
        <x:is>
          <x:t xml:space="preserve">Spillvatten Uppsk. Förbrukning Bostad</x:t>
        </x:is>
      </x:c>
      <x:c r="D282" s="767" t="inlineStr">
        <x:is>
          <x:t xml:space="preserve">VA</x:t>
        </x:is>
      </x:c>
      <x:c r="E282" s="767" t="inlineStr">
        <x:is>
          <x:t xml:space="preserve">AVL</x:t>
        </x:is>
      </x:c>
      <x:c r="F282" s="767" t="n">
        <x:v>1</x:v>
      </x:c>
      <x:c r="G282" s="767" t="inlineStr">
        <x:is>
          <x:t xml:space="preserve">ÅRPR</x:t>
        </x:is>
      </x:c>
      <x:c r="H282" s="767" t="inlineStr">
        <x:is>
          <x:t xml:space="preserve">Fast avgift spillvatten</x:t>
        </x:is>
      </x:c>
      <x:c r="I282" s="767"/>
      <x:c r="J282" s="767"/>
      <x:c r="K282" s="767" t="n">
        <x:v>807.84</x:v>
      </x:c>
      <x:c r="L282" s="852" t="n">
        <x:v>46023</x:v>
      </x:c>
      <x:c r="M282" s="767" t="n">
        <x:v>0</x:v>
      </x:c>
      <x:c r="N282" s="767"/>
      <x:c r="O282" s="767" t="inlineStr">
        <x:is>
          <x:t xml:space="preserve">-</x:t>
        </x:is>
      </x:c>
      <x:c r="P282" s="767" t="n">
        <x:v>1</x:v>
      </x:c>
      <x:c r="Q282" s="774"/>
    </x:row>
    <x:row r="283">
      <x:c r="A283" s="773" t="n">
        <x:v>1680</x:v>
      </x:c>
      <x:c r="B283" s="767" t="inlineStr">
        <x:is>
          <x:t xml:space="preserve">SUBOSTAD</x:t>
        </x:is>
      </x:c>
      <x:c r="C283" s="767" t="inlineStr">
        <x:is>
          <x:t xml:space="preserve">Spillvatten Uppsk. Förbrukning Bostad</x:t>
        </x:is>
      </x:c>
      <x:c r="D283" s="767" t="inlineStr">
        <x:is>
          <x:t xml:space="preserve">VA</x:t>
        </x:is>
      </x:c>
      <x:c r="E283" s="767" t="inlineStr">
        <x:is>
          <x:t xml:space="preserve">AVL</x:t>
        </x:is>
      </x:c>
      <x:c r="F283" s="767" t="n">
        <x:v>2</x:v>
      </x:c>
      <x:c r="G283" s="767" t="inlineStr">
        <x:is>
          <x:t xml:space="preserve">UPFÖ</x:t>
        </x:is>
      </x:c>
      <x:c r="H283" s="767" t="inlineStr">
        <x:is>
          <x:t xml:space="preserve">Rörlig avgift, uppsk. förbrukning spillvatten</x:t>
        </x:is>
      </x:c>
      <x:c r="I283" s="767"/>
      <x:c r="J283" s="767"/>
      <x:c r="K283" s="767" t="n">
        <x:v>19.17</x:v>
      </x:c>
      <x:c r="L283" s="852" t="n">
        <x:v>46023</x:v>
      </x:c>
      <x:c r="M283" s="767" t="n">
        <x:v>0</x:v>
      </x:c>
      <x:c r="N283" s="767"/>
      <x:c r="O283" s="767" t="inlineStr">
        <x:is>
          <x:t xml:space="preserve">-</x:t>
        </x:is>
      </x:c>
      <x:c r="P283" s="767" t="n">
        <x:v>1</x:v>
      </x:c>
      <x:c r="Q283" s="774"/>
    </x:row>
    <x:row r="284">
      <x:c r="A284" s="773" t="n">
        <x:v>1681</x:v>
      </x:c>
      <x:c r="B284" s="767" t="inlineStr">
        <x:is>
          <x:t xml:space="preserve">SUBOSTAD</x:t>
        </x:is>
      </x:c>
      <x:c r="C284" s="767" t="inlineStr">
        <x:is>
          <x:t xml:space="preserve">Spillvatten Uppsk. Förbrukning Bostad</x:t>
        </x:is>
      </x:c>
      <x:c r="D284" s="767" t="inlineStr">
        <x:is>
          <x:t xml:space="preserve">VA</x:t>
        </x:is>
      </x:c>
      <x:c r="E284" s="767" t="inlineStr">
        <x:is>
          <x:t xml:space="preserve">AVL</x:t>
        </x:is>
      </x:c>
      <x:c r="F284" s="767" t="n">
        <x:v>3</x:v>
      </x:c>
      <x:c r="G284" s="767" t="inlineStr">
        <x:is>
          <x:t xml:space="preserve">ÅRKV</x:t>
        </x:is>
      </x:c>
      <x:c r="H284" s="767" t="inlineStr">
        <x:is>
          <x:t xml:space="preserve">Avgift, per lägenhet</x:t>
        </x:is>
      </x:c>
      <x:c r="I284" s="767"/>
      <x:c r="J284" s="767"/>
      <x:c r="K284" s="767" t="n">
        <x:v>1178.3</x:v>
      </x:c>
      <x:c r="L284" s="852" t="n">
        <x:v>46023</x:v>
      </x:c>
      <x:c r="M284" s="767" t="n">
        <x:v>0</x:v>
      </x:c>
      <x:c r="N284" s="767"/>
      <x:c r="O284" s="767" t="inlineStr">
        <x:is>
          <x:t xml:space="preserve">-</x:t>
        </x:is>
      </x:c>
      <x:c r="P284" s="767" t="n">
        <x:v>1</x:v>
      </x:c>
      <x:c r="Q284" s="774" t="inlineStr">
        <x:is>
          <x:t xml:space="preserve">LÄGH</x:t>
        </x:is>
      </x:c>
    </x:row>
    <x:row r="285">
      <x:c r="A285" s="773" t="n">
        <x:v>1682</x:v>
      </x:c>
      <x:c r="B285" s="767" t="inlineStr">
        <x:is>
          <x:t xml:space="preserve">SUBOSTAD</x:t>
        </x:is>
      </x:c>
      <x:c r="C285" s="767" t="inlineStr">
        <x:is>
          <x:t xml:space="preserve">Spillvatten Uppsk. Förbrukning Bostad</x:t>
        </x:is>
      </x:c>
      <x:c r="D285" s="767" t="inlineStr">
        <x:is>
          <x:t xml:space="preserve">VA</x:t>
        </x:is>
      </x:c>
      <x:c r="E285" s="767" t="inlineStr">
        <x:is>
          <x:t xml:space="preserve">AVL</x:t>
        </x:is>
      </x:c>
      <x:c r="F285" s="767" t="n">
        <x:v>4</x:v>
      </x:c>
      <x:c r="G285" s="767" t="inlineStr">
        <x:is>
          <x:t xml:space="preserve">ÅRKV</x:t>
        </x:is>
      </x:c>
      <x:c r="H285" s="767" t="inlineStr">
        <x:is>
          <x:t xml:space="preserve">Avgift per påbörjad 150-tal m² bruttoarea</x:t>
        </x:is>
      </x:c>
      <x:c r="I285" s="767"/>
      <x:c r="J285" s="767"/>
      <x:c r="K285" s="767" t="n">
        <x:v>1178.3</x:v>
      </x:c>
      <x:c r="L285" s="852" t="n">
        <x:v>46023</x:v>
      </x:c>
      <x:c r="M285" s="767" t="n">
        <x:v>0</x:v>
      </x:c>
      <x:c r="N285" s="767"/>
      <x:c r="O285" s="767" t="inlineStr">
        <x:is>
          <x:t xml:space="preserve">-</x:t>
        </x:is>
      </x:c>
      <x:c r="P285" s="767" t="n">
        <x:v>1</x:v>
      </x:c>
      <x:c r="Q285" s="774" t="inlineStr">
        <x:is>
          <x:t xml:space="preserve">BTAY</x:t>
        </x:is>
      </x:c>
    </x:row>
    <x:row r="286">
      <x:c r="A286" s="773" t="n">
        <x:v>1821</x:v>
      </x:c>
      <x:c r="B286" s="767" t="inlineStr">
        <x:is>
          <x:t xml:space="preserve">TRÄDGÅRD</x:t>
        </x:is>
      </x:c>
      <x:c r="C286" s="767" t="inlineStr">
        <x:is>
          <x:t xml:space="preserve">Trädgårdsavfall, ris och stubbar till krossning</x:t>
        </x:is>
      </x:c>
      <x:c r="D286" s="767" t="inlineStr">
        <x:is>
          <x:t xml:space="preserve">RENH</x:t>
        </x:is>
      </x:c>
      <x:c r="E286" s="767" t="inlineStr">
        <x:is>
          <x:t xml:space="preserve">ÅVC</x:t>
        </x:is>
      </x:c>
      <x:c r="F286" s="767" t="n">
        <x:v>1</x:v>
      </x:c>
      <x:c r="G286" s="767" t="inlineStr">
        <x:is>
          <x:t xml:space="preserve">KVAN</x:t>
        </x:is>
      </x:c>
      <x:c r="H286" s="767" t="inlineStr">
        <x:is>
          <x:t xml:space="preserve">Trädgårdsavfall, ris och stubbar till krossning</x:t>
        </x:is>
      </x:c>
      <x:c r="I286" s="767"/>
      <x:c r="J286" s="767"/>
      <x:c r="K286" s="767" t="n">
        <x:v>3200</x:v>
      </x:c>
      <x:c r="L286" s="852" t="n">
        <x:v>46023</x:v>
      </x:c>
      <x:c r="M286" s="767" t="n">
        <x:v>0</x:v>
      </x:c>
      <x:c r="N286" s="767"/>
      <x:c r="O286" s="767" t="inlineStr">
        <x:is>
          <x:t xml:space="preserve">-</x:t>
        </x:is>
      </x:c>
      <x:c r="P286" s="767" t="n">
        <x:v>1</x:v>
      </x:c>
      <x:c r="Q286" s="774" t="inlineStr">
        <x:is>
          <x:t xml:space="preserve">KBMÖ</x:t>
        </x:is>
      </x:c>
    </x:row>
    <x:row r="287">
      <x:c r="A287" s="773" t="n">
        <x:v>1644</x:v>
      </x:c>
      <x:c r="B287" s="767" t="inlineStr">
        <x:is>
          <x:t xml:space="preserve">VANNAN</x:t>
        </x:is>
      </x:c>
      <x:c r="C287" s="767" t="inlineStr">
        <x:is>
          <x:t xml:space="preserve">Vatten Annan fastighet</x:t>
        </x:is>
      </x:c>
      <x:c r="D287" s="767" t="inlineStr">
        <x:is>
          <x:t xml:space="preserve">VA</x:t>
        </x:is>
      </x:c>
      <x:c r="E287" s="767" t="inlineStr">
        <x:is>
          <x:t xml:space="preserve">VATT</x:t>
        </x:is>
      </x:c>
      <x:c r="F287" s="767" t="n">
        <x:v>1</x:v>
      </x:c>
      <x:c r="G287" s="767" t="inlineStr">
        <x:is>
          <x:t xml:space="preserve">ÅRPR</x:t>
        </x:is>
      </x:c>
      <x:c r="H287" s="767" t="inlineStr">
        <x:is>
          <x:t xml:space="preserve">Grundavgift VA</x:t>
        </x:is>
      </x:c>
      <x:c r="I287" s="767"/>
      <x:c r="J287" s="767"/>
      <x:c r="K287" s="767" t="n">
        <x:v>776.16</x:v>
      </x:c>
      <x:c r="L287" s="852" t="n">
        <x:v>46023</x:v>
      </x:c>
      <x:c r="M287" s="767" t="n">
        <x:v>0</x:v>
      </x:c>
      <x:c r="N287" s="767"/>
      <x:c r="O287" s="767" t="inlineStr">
        <x:is>
          <x:t xml:space="preserve">-</x:t>
        </x:is>
      </x:c>
      <x:c r="P287" s="767" t="n">
        <x:v>1</x:v>
      </x:c>
      <x:c r="Q287" s="774"/>
    </x:row>
    <x:row r="288">
      <x:c r="A288" s="773" t="n">
        <x:v>1645</x:v>
      </x:c>
      <x:c r="B288" s="767" t="inlineStr">
        <x:is>
          <x:t xml:space="preserve">VANNAN</x:t>
        </x:is>
      </x:c>
      <x:c r="C288" s="767" t="inlineStr">
        <x:is>
          <x:t xml:space="preserve">Vatten Annan fastighet</x:t>
        </x:is>
      </x:c>
      <x:c r="D288" s="767" t="inlineStr">
        <x:is>
          <x:t xml:space="preserve">VA</x:t>
        </x:is>
      </x:c>
      <x:c r="E288" s="767" t="inlineStr">
        <x:is>
          <x:t xml:space="preserve">VATT</x:t>
        </x:is>
      </x:c>
      <x:c r="F288" s="767" t="n">
        <x:v>2</x:v>
      </x:c>
      <x:c r="G288" s="767" t="inlineStr">
        <x:is>
          <x:t xml:space="preserve">FÖRB</x:t>
        </x:is>
      </x:c>
      <x:c r="H288" s="767" t="inlineStr">
        <x:is>
          <x:t xml:space="preserve">Avgift per m³ levererat vatten</x:t>
        </x:is>
      </x:c>
      <x:c r="I288" s="767"/>
      <x:c r="J288" s="767"/>
      <x:c r="K288" s="767" t="n">
        <x:v>18.42</x:v>
      </x:c>
      <x:c r="L288" s="852" t="n">
        <x:v>46023</x:v>
      </x:c>
      <x:c r="M288" s="767" t="n">
        <x:v>0</x:v>
      </x:c>
      <x:c r="N288" s="767"/>
      <x:c r="O288" s="767" t="inlineStr">
        <x:is>
          <x:t xml:space="preserve">-</x:t>
        </x:is>
      </x:c>
      <x:c r="P288" s="767" t="n">
        <x:v>1</x:v>
      </x:c>
      <x:c r="Q288" s="774"/>
    </x:row>
    <x:row r="289">
      <x:c r="A289" s="773" t="n">
        <x:v>1687</x:v>
      </x:c>
      <x:c r="B289" s="767" t="inlineStr">
        <x:is>
          <x:t xml:space="preserve">VANNAN</x:t>
        </x:is>
      </x:c>
      <x:c r="C289" s="767" t="inlineStr">
        <x:is>
          <x:t xml:space="preserve">Vatten Annan fastighet</x:t>
        </x:is>
      </x:c>
      <x:c r="D289" s="767" t="inlineStr">
        <x:is>
          <x:t xml:space="preserve">VA</x:t>
        </x:is>
      </x:c>
      <x:c r="E289" s="767" t="inlineStr">
        <x:is>
          <x:t xml:space="preserve">VATT</x:t>
        </x:is>
      </x:c>
      <x:c r="F289" s="767" t="n">
        <x:v>3</x:v>
      </x:c>
      <x:c r="G289" s="767" t="inlineStr">
        <x:is>
          <x:t xml:space="preserve">ÅRKV</x:t>
        </x:is>
      </x:c>
      <x:c r="H289" s="767" t="inlineStr">
        <x:is>
          <x:t xml:space="preserve">Bostadsenhetsavgift</x:t>
        </x:is>
      </x:c>
      <x:c r="I289" s="767"/>
      <x:c r="J289" s="767"/>
      <x:c r="K289" s="767" t="n">
        <x:v>1132.1</x:v>
      </x:c>
      <x:c r="L289" s="852" t="n">
        <x:v>46023</x:v>
      </x:c>
      <x:c r="M289" s="767" t="n">
        <x:v>0</x:v>
      </x:c>
      <x:c r="N289" s="767"/>
      <x:c r="O289" s="767" t="inlineStr">
        <x:is>
          <x:t xml:space="preserve">-</x:t>
        </x:is>
      </x:c>
      <x:c r="P289" s="767" t="n">
        <x:v>1</x:v>
      </x:c>
      <x:c r="Q289" s="774" t="inlineStr">
        <x:is>
          <x:t xml:space="preserve">LÄGH</x:t>
        </x:is>
      </x:c>
    </x:row>
    <x:row r="290">
      <x:c r="A290" s="773" t="n">
        <x:v>1688</x:v>
      </x:c>
      <x:c r="B290" s="767" t="inlineStr">
        <x:is>
          <x:t xml:space="preserve">VANNAN</x:t>
        </x:is>
      </x:c>
      <x:c r="C290" s="767" t="inlineStr">
        <x:is>
          <x:t xml:space="preserve">Vatten Annan fastighet</x:t>
        </x:is>
      </x:c>
      <x:c r="D290" s="767" t="inlineStr">
        <x:is>
          <x:t xml:space="preserve">VA</x:t>
        </x:is>
      </x:c>
      <x:c r="E290" s="767" t="inlineStr">
        <x:is>
          <x:t xml:space="preserve">VATT</x:t>
        </x:is>
      </x:c>
      <x:c r="F290" s="767" t="n">
        <x:v>4</x:v>
      </x:c>
      <x:c r="G290" s="767" t="inlineStr">
        <x:is>
          <x:t xml:space="preserve">ÅRKV</x:t>
        </x:is>
      </x:c>
      <x:c r="H290" s="767" t="inlineStr">
        <x:is>
          <x:t xml:space="preserve">Avgift per påbörjad 150-tal m² bruttoarea</x:t>
        </x:is>
      </x:c>
      <x:c r="I290" s="767"/>
      <x:c r="J290" s="767"/>
      <x:c r="K290" s="767" t="n">
        <x:v>1132.1</x:v>
      </x:c>
      <x:c r="L290" s="852" t="n">
        <x:v>46023</x:v>
      </x:c>
      <x:c r="M290" s="767" t="n">
        <x:v>0</x:v>
      </x:c>
      <x:c r="N290" s="767"/>
      <x:c r="O290" s="767" t="inlineStr">
        <x:is>
          <x:t xml:space="preserve">-</x:t>
        </x:is>
      </x:c>
      <x:c r="P290" s="767" t="n">
        <x:v>1</x:v>
      </x:c>
      <x:c r="Q290" s="774" t="inlineStr">
        <x:is>
          <x:t xml:space="preserve">HELTALSDEL((BTAY+149)/150)</x:t>
        </x:is>
      </x:c>
    </x:row>
    <x:row r="291">
      <x:c r="A291" s="773" t="n">
        <x:v>1628</x:v>
      </x:c>
      <x:c r="B291" s="767" t="inlineStr">
        <x:is>
          <x:t xml:space="preserve">VBOSTAD</x:t>
        </x:is>
      </x:c>
      <x:c r="C291" s="767" t="inlineStr">
        <x:is>
          <x:t xml:space="preserve">Vatten Bostad</x:t>
        </x:is>
      </x:c>
      <x:c r="D291" s="767" t="inlineStr">
        <x:is>
          <x:t xml:space="preserve">VA</x:t>
        </x:is>
      </x:c>
      <x:c r="E291" s="767" t="inlineStr">
        <x:is>
          <x:t xml:space="preserve">VATT</x:t>
        </x:is>
      </x:c>
      <x:c r="F291" s="767" t="n">
        <x:v>1</x:v>
      </x:c>
      <x:c r="G291" s="767" t="inlineStr">
        <x:is>
          <x:t xml:space="preserve">ÅRPR</x:t>
        </x:is>
      </x:c>
      <x:c r="H291" s="767" t="inlineStr">
        <x:is>
          <x:t xml:space="preserve">Grundavgift VA</x:t>
        </x:is>
      </x:c>
      <x:c r="I291" s="767"/>
      <x:c r="J291" s="767"/>
      <x:c r="K291" s="767" t="n">
        <x:v>776.16</x:v>
      </x:c>
      <x:c r="L291" s="852" t="n">
        <x:v>46023</x:v>
      </x:c>
      <x:c r="M291" s="767" t="n">
        <x:v>0</x:v>
      </x:c>
      <x:c r="N291" s="767"/>
      <x:c r="O291" s="767" t="inlineStr">
        <x:is>
          <x:t xml:space="preserve">-</x:t>
        </x:is>
      </x:c>
      <x:c r="P291" s="767" t="n">
        <x:v>1</x:v>
      </x:c>
      <x:c r="Q291" s="774"/>
    </x:row>
    <x:row r="292">
      <x:c r="A292" s="773" t="n">
        <x:v>1629</x:v>
      </x:c>
      <x:c r="B292" s="767" t="inlineStr">
        <x:is>
          <x:t xml:space="preserve">VBOSTAD</x:t>
        </x:is>
      </x:c>
      <x:c r="C292" s="767" t="inlineStr">
        <x:is>
          <x:t xml:space="preserve">Vatten Bostad</x:t>
        </x:is>
      </x:c>
      <x:c r="D292" s="767" t="inlineStr">
        <x:is>
          <x:t xml:space="preserve">VA</x:t>
        </x:is>
      </x:c>
      <x:c r="E292" s="767" t="inlineStr">
        <x:is>
          <x:t xml:space="preserve">VATT</x:t>
        </x:is>
      </x:c>
      <x:c r="F292" s="767" t="n">
        <x:v>2</x:v>
      </x:c>
      <x:c r="G292" s="767" t="inlineStr">
        <x:is>
          <x:t xml:space="preserve">FÖRB</x:t>
        </x:is>
      </x:c>
      <x:c r="H292" s="767" t="inlineStr">
        <x:is>
          <x:t xml:space="preserve">Avgift per m³ levererat vatten</x:t>
        </x:is>
      </x:c>
      <x:c r="I292" s="767"/>
      <x:c r="J292" s="767"/>
      <x:c r="K292" s="767" t="n">
        <x:v>18.42</x:v>
      </x:c>
      <x:c r="L292" s="852" t="n">
        <x:v>46023</x:v>
      </x:c>
      <x:c r="M292" s="767" t="n">
        <x:v>0</x:v>
      </x:c>
      <x:c r="N292" s="767"/>
      <x:c r="O292" s="767" t="inlineStr">
        <x:is>
          <x:t xml:space="preserve">-</x:t>
        </x:is>
      </x:c>
      <x:c r="P292" s="767" t="n">
        <x:v>1</x:v>
      </x:c>
      <x:c r="Q292" s="774"/>
    </x:row>
    <x:row r="293">
      <x:c r="A293" s="773" t="n">
        <x:v>1630</x:v>
      </x:c>
      <x:c r="B293" s="767" t="inlineStr">
        <x:is>
          <x:t xml:space="preserve">VBOSTAD</x:t>
        </x:is>
      </x:c>
      <x:c r="C293" s="767" t="inlineStr">
        <x:is>
          <x:t xml:space="preserve">Vatten Bostad</x:t>
        </x:is>
      </x:c>
      <x:c r="D293" s="767" t="inlineStr">
        <x:is>
          <x:t xml:space="preserve">VA</x:t>
        </x:is>
      </x:c>
      <x:c r="E293" s="767" t="inlineStr">
        <x:is>
          <x:t xml:space="preserve">VATT</x:t>
        </x:is>
      </x:c>
      <x:c r="F293" s="767" t="n">
        <x:v>3</x:v>
      </x:c>
      <x:c r="G293" s="767" t="inlineStr">
        <x:is>
          <x:t xml:space="preserve">ÅRKV</x:t>
        </x:is>
      </x:c>
      <x:c r="H293" s="767" t="inlineStr">
        <x:is>
          <x:t xml:space="preserve">Bostadsenhetsavgift</x:t>
        </x:is>
      </x:c>
      <x:c r="I293" s="767"/>
      <x:c r="J293" s="767"/>
      <x:c r="K293" s="767" t="n">
        <x:v>1132.1</x:v>
      </x:c>
      <x:c r="L293" s="852" t="n">
        <x:v>46023</x:v>
      </x:c>
      <x:c r="M293" s="767" t="n">
        <x:v>0</x:v>
      </x:c>
      <x:c r="N293" s="767"/>
      <x:c r="O293" s="767" t="inlineStr">
        <x:is>
          <x:t xml:space="preserve">-</x:t>
        </x:is>
      </x:c>
      <x:c r="P293" s="767" t="n">
        <x:v>1</x:v>
      </x:c>
      <x:c r="Q293" s="774" t="inlineStr">
        <x:is>
          <x:t xml:space="preserve">LÄGH</x:t>
        </x:is>
      </x:c>
    </x:row>
    <x:row r="294">
      <x:c r="A294" s="773" t="n">
        <x:v>1631</x:v>
      </x:c>
      <x:c r="B294" s="767" t="inlineStr">
        <x:is>
          <x:t xml:space="preserve">VBOSTAD</x:t>
        </x:is>
      </x:c>
      <x:c r="C294" s="767" t="inlineStr">
        <x:is>
          <x:t xml:space="preserve">Vatten Bostad</x:t>
        </x:is>
      </x:c>
      <x:c r="D294" s="767" t="inlineStr">
        <x:is>
          <x:t xml:space="preserve">VA</x:t>
        </x:is>
      </x:c>
      <x:c r="E294" s="767" t="inlineStr">
        <x:is>
          <x:t xml:space="preserve">VATT</x:t>
        </x:is>
      </x:c>
      <x:c r="F294" s="767" t="n">
        <x:v>4</x:v>
      </x:c>
      <x:c r="G294" s="767" t="inlineStr">
        <x:is>
          <x:t xml:space="preserve">ÅRKV</x:t>
        </x:is>
      </x:c>
      <x:c r="H294" s="767" t="inlineStr">
        <x:is>
          <x:t xml:space="preserve">Bostadsenhetsavgift per påbörjad 150-tal m² bruttoarea</x:t>
        </x:is>
      </x:c>
      <x:c r="I294" s="767"/>
      <x:c r="J294" s="767"/>
      <x:c r="K294" s="767" t="n">
        <x:v>1132.1</x:v>
      </x:c>
      <x:c r="L294" s="852" t="n">
        <x:v>46023</x:v>
      </x:c>
      <x:c r="M294" s="767" t="n">
        <x:v>0</x:v>
      </x:c>
      <x:c r="N294" s="767"/>
      <x:c r="O294" s="767" t="inlineStr">
        <x:is>
          <x:t xml:space="preserve">-</x:t>
        </x:is>
      </x:c>
      <x:c r="P294" s="767" t="n">
        <x:v>1</x:v>
      </x:c>
      <x:c r="Q294" s="774" t="inlineStr">
        <x:is>
          <x:t xml:space="preserve">HELTALSDEL((BTAY+149)/150)</x:t>
        </x:is>
      </x:c>
    </x:row>
    <x:row r="295">
      <x:c r="A295" s="773" t="n">
        <x:v>1654</x:v>
      </x:c>
      <x:c r="B295" s="767" t="inlineStr">
        <x:is>
          <x:t xml:space="preserve">VFÖRB</x:t>
        </x:is>
      </x:c>
      <x:c r="C295" s="767" t="inlineStr">
        <x:is>
          <x:t xml:space="preserve">Endast förbrukning vatten</x:t>
        </x:is>
      </x:c>
      <x:c r="D295" s="767" t="inlineStr">
        <x:is>
          <x:t xml:space="preserve">VA</x:t>
        </x:is>
      </x:c>
      <x:c r="E295" s="767" t="inlineStr">
        <x:is>
          <x:t xml:space="preserve">VATT</x:t>
        </x:is>
      </x:c>
      <x:c r="F295" s="767" t="n">
        <x:v>1</x:v>
      </x:c>
      <x:c r="G295" s="767" t="inlineStr">
        <x:is>
          <x:t xml:space="preserve">FÖRB</x:t>
        </x:is>
      </x:c>
      <x:c r="H295" s="767" t="inlineStr">
        <x:is>
          <x:t xml:space="preserve">Avgift per m³ levererat vatten</x:t>
        </x:is>
      </x:c>
      <x:c r="I295" s="767"/>
      <x:c r="J295" s="767"/>
      <x:c r="K295" s="767" t="n">
        <x:v>18.42</x:v>
      </x:c>
      <x:c r="L295" s="852" t="n">
        <x:v>46023</x:v>
      </x:c>
      <x:c r="M295" s="767" t="n">
        <x:v>0</x:v>
      </x:c>
      <x:c r="N295" s="767"/>
      <x:c r="O295" s="767" t="inlineStr">
        <x:is>
          <x:t xml:space="preserve">-</x:t>
        </x:is>
      </x:c>
      <x:c r="P295" s="767" t="n">
        <x:v>1</x:v>
      </x:c>
      <x:c r="Q295" s="774"/>
    </x:row>
    <x:row r="296">
      <x:c r="A296" s="773" t="n">
        <x:v>1697</x:v>
      </x:c>
      <x:c r="B296" s="767" t="inlineStr">
        <x:is>
          <x:t xml:space="preserve">VIKTMAT</x:t>
        </x:is>
      </x:c>
      <x:c r="C296" s="767" t="inlineStr">
        <x:is>
          <x:t xml:space="preserve">240L tvåfackskärl, viktavgift matavfall</x:t>
        </x:is>
      </x:c>
      <x:c r="D296" s="767" t="inlineStr">
        <x:is>
          <x:t xml:space="preserve">RENH</x:t>
        </x:is>
      </x:c>
      <x:c r="E296" s="767" t="inlineStr">
        <x:is>
          <x:t xml:space="preserve">HUSH</x:t>
        </x:is>
      </x:c>
      <x:c r="F296" s="767" t="n">
        <x:v>1</x:v>
      </x:c>
      <x:c r="G296" s="767" t="inlineStr">
        <x:is>
          <x:t xml:space="preserve">KVAN</x:t>
        </x:is>
      </x:c>
      <x:c r="H296" s="767" t="inlineStr">
        <x:is>
          <x:t xml:space="preserve">Viktavgift matavfall</x:t>
        </x:is>
      </x:c>
      <x:c r="I296" s="767"/>
      <x:c r="J296" s="767"/>
      <x:c r="K296" s="767" t="n">
        <x:v>2.28</x:v>
      </x:c>
      <x:c r="L296" s="852" t="n">
        <x:v>46023</x:v>
      </x:c>
      <x:c r="M296" s="767" t="n">
        <x:v>0</x:v>
      </x:c>
      <x:c r="N296" s="767"/>
      <x:c r="O296" s="767" t="inlineStr">
        <x:is>
          <x:t xml:space="preserve">-</x:t>
        </x:is>
      </x:c>
      <x:c r="P296" s="767" t="n">
        <x:v>1</x:v>
      </x:c>
      <x:c r="Q296" s="774" t="inlineStr">
        <x:is>
          <x:t xml:space="preserve">VIKG,MAX60</x:t>
        </x:is>
      </x:c>
    </x:row>
    <x:row r="297">
      <x:c r="A297" s="773" t="n">
        <x:v>1698</x:v>
      </x:c>
      <x:c r="B297" s="767" t="inlineStr">
        <x:is>
          <x:t xml:space="preserve">VIKTMAT</x:t>
        </x:is>
      </x:c>
      <x:c r="C297" s="767" t="inlineStr">
        <x:is>
          <x:t xml:space="preserve">240L tvåfackskärl, viktavgift matavfall</x:t>
        </x:is>
      </x:c>
      <x:c r="D297" s="767" t="inlineStr">
        <x:is>
          <x:t xml:space="preserve">RENH</x:t>
        </x:is>
      </x:c>
      <x:c r="E297" s="767" t="inlineStr">
        <x:is>
          <x:t xml:space="preserve">HUSH</x:t>
        </x:is>
      </x:c>
      <x:c r="F297" s="767" t="n">
        <x:v>2</x:v>
      </x:c>
      <x:c r="G297" s="767" t="inlineStr">
        <x:is>
          <x:t xml:space="preserve">KVAN</x:t>
        </x:is>
      </x:c>
      <x:c r="H297" s="767" t="inlineStr">
        <x:is>
          <x:t xml:space="preserve">Överviktsavgift för vikt över 60 kg, matavfall</x:t>
        </x:is>
      </x:c>
      <x:c r="I297" s="767"/>
      <x:c r="J297" s="767"/>
      <x:c r="K297" s="767" t="n">
        <x:v>5.6</x:v>
      </x:c>
      <x:c r="L297" s="852" t="n">
        <x:v>46023</x:v>
      </x:c>
      <x:c r="M297" s="767" t="n">
        <x:v>0</x:v>
      </x:c>
      <x:c r="N297" s="767"/>
      <x:c r="O297" s="767" t="inlineStr">
        <x:is>
          <x:t xml:space="preserve">-</x:t>
        </x:is>
      </x:c>
      <x:c r="P297" s="767" t="n">
        <x:v>1</x:v>
      </x:c>
      <x:c r="Q297" s="774" t="inlineStr">
        <x:is>
          <x:t xml:space="preserve">VIKG-60,MIN0</x:t>
        </x:is>
      </x:c>
    </x:row>
    <x:row r="298">
      <x:c r="A298" s="773" t="n">
        <x:v>1948</x:v>
      </x:c>
      <x:c r="B298" s="767" t="inlineStr">
        <x:is>
          <x:t xml:space="preserve">VIKTMATMB</x:t>
        </x:is>
      </x:c>
      <x:c r="C298" s="767" t="inlineStr">
        <x:is>
          <x:t xml:space="preserve">Markbehållare , viktavgift matavfall</x:t>
        </x:is>
      </x:c>
      <x:c r="D298" s="767" t="inlineStr">
        <x:is>
          <x:t xml:space="preserve">RENH</x:t>
        </x:is>
      </x:c>
      <x:c r="E298" s="767" t="inlineStr">
        <x:is>
          <x:t xml:space="preserve">HUSH</x:t>
        </x:is>
      </x:c>
      <x:c r="F298" s="767" t="n">
        <x:v>1</x:v>
      </x:c>
      <x:c r="G298" s="767" t="inlineStr">
        <x:is>
          <x:t xml:space="preserve">KVAN</x:t>
        </x:is>
      </x:c>
      <x:c r="H298" s="767" t="inlineStr">
        <x:is>
          <x:t xml:space="preserve">Viktavgift matavfall</x:t>
        </x:is>
      </x:c>
      <x:c r="I298" s="767"/>
      <x:c r="J298" s="767"/>
      <x:c r="K298" s="767" t="n">
        <x:v>2.28</x:v>
      </x:c>
      <x:c r="L298" s="852" t="n">
        <x:v>46023</x:v>
      </x:c>
      <x:c r="M298" s="767" t="n">
        <x:v>0</x:v>
      </x:c>
      <x:c r="N298" s="767"/>
      <x:c r="O298" s="767" t="inlineStr">
        <x:is>
          <x:t xml:space="preserve">-</x:t>
        </x:is>
      </x:c>
      <x:c r="P298" s="767" t="n">
        <x:v>1</x:v>
      </x:c>
      <x:c r="Q298" s="774" t="inlineStr">
        <x:is>
          <x:t xml:space="preserve">VIKG</x:t>
        </x:is>
      </x:c>
    </x:row>
    <x:row r="299">
      <x:c r="A299" s="773" t="n">
        <x:v>1944</x:v>
      </x:c>
      <x:c r="B299" s="767" t="inlineStr">
        <x:is>
          <x:t xml:space="preserve">VIKTMATUJ</x:t>
        </x:is>
      </x:c>
      <x:c r="C299" s="767" t="inlineStr">
        <x:is>
          <x:t xml:space="preserve">Underjordsbehållare , viktavgift matavfall</x:t>
        </x:is>
      </x:c>
      <x:c r="D299" s="767" t="inlineStr">
        <x:is>
          <x:t xml:space="preserve">RENH</x:t>
        </x:is>
      </x:c>
      <x:c r="E299" s="767" t="inlineStr">
        <x:is>
          <x:t xml:space="preserve">HUSH</x:t>
        </x:is>
      </x:c>
      <x:c r="F299" s="767" t="n">
        <x:v>1</x:v>
      </x:c>
      <x:c r="G299" s="767" t="inlineStr">
        <x:is>
          <x:t xml:space="preserve">KVAN</x:t>
        </x:is>
      </x:c>
      <x:c r="H299" s="767" t="inlineStr">
        <x:is>
          <x:t xml:space="preserve">Viktavgift matavfall</x:t>
        </x:is>
      </x:c>
      <x:c r="I299" s="767"/>
      <x:c r="J299" s="767"/>
      <x:c r="K299" s="767" t="n">
        <x:v>2.28</x:v>
      </x:c>
      <x:c r="L299" s="852" t="n">
        <x:v>46023</x:v>
      </x:c>
      <x:c r="M299" s="767" t="n">
        <x:v>0</x:v>
      </x:c>
      <x:c r="N299" s="767"/>
      <x:c r="O299" s="767" t="inlineStr">
        <x:is>
          <x:t xml:space="preserve">-</x:t>
        </x:is>
      </x:c>
      <x:c r="P299" s="767" t="n">
        <x:v>1</x:v>
      </x:c>
      <x:c r="Q299" s="774" t="inlineStr">
        <x:is>
          <x:t xml:space="preserve">VIKG</x:t>
        </x:is>
      </x:c>
    </x:row>
    <x:row r="300">
      <x:c r="A300" s="773" t="n">
        <x:v>1966</x:v>
      </x:c>
      <x:c r="B300" s="767" t="inlineStr">
        <x:is>
          <x:t xml:space="preserve">VIKTOSPEC</x:t>
        </x:is>
      </x:c>
      <x:c r="C300" s="767" t="inlineStr">
        <x:is>
          <x:t xml:space="preserve">240L tvåfackskärl, viktavgift osorterat avfall</x:t>
        </x:is>
      </x:c>
      <x:c r="D300" s="767" t="inlineStr">
        <x:is>
          <x:t xml:space="preserve">RENH</x:t>
        </x:is>
      </x:c>
      <x:c r="E300" s="767" t="inlineStr">
        <x:is>
          <x:t xml:space="preserve">HUSH</x:t>
        </x:is>
      </x:c>
      <x:c r="F300" s="767" t="n">
        <x:v>1</x:v>
      </x:c>
      <x:c r="G300" s="767" t="inlineStr">
        <x:is>
          <x:t xml:space="preserve">KVAN</x:t>
        </x:is>
      </x:c>
      <x:c r="H300" s="767" t="inlineStr">
        <x:is>
          <x:t xml:space="preserve">Viktavgift avfall reducerad taxa vid 1 lyft</x:t>
        </x:is>
      </x:c>
      <x:c r="I300" s="767"/>
      <x:c r="J300" s="767"/>
      <x:c r="K300" s="767" t="n">
        <x:v>2.28</x:v>
      </x:c>
      <x:c r="L300" s="852" t="n">
        <x:v>46023</x:v>
      </x:c>
      <x:c r="M300" s="767" t="n">
        <x:v>0</x:v>
      </x:c>
      <x:c r="N300" s="767"/>
      <x:c r="O300" s="767" t="inlineStr">
        <x:is>
          <x:t xml:space="preserve">-</x:t>
        </x:is>
      </x:c>
      <x:c r="P300" s="767" t="n">
        <x:v>1</x:v>
      </x:c>
      <x:c r="Q300" s="774" t="inlineStr">
        <x:is>
          <x:t xml:space="preserve">VIKG,MAX60</x:t>
        </x:is>
      </x:c>
    </x:row>
    <x:row r="301">
      <x:c r="A301" s="773" t="n">
        <x:v>1967</x:v>
      </x:c>
      <x:c r="B301" s="767" t="inlineStr">
        <x:is>
          <x:t xml:space="preserve">VIKTOSPEC</x:t>
        </x:is>
      </x:c>
      <x:c r="C301" s="767" t="inlineStr">
        <x:is>
          <x:t xml:space="preserve">240L tvåfackskärl, viktavgift osorterat avfall</x:t>
        </x:is>
      </x:c>
      <x:c r="D301" s="767" t="inlineStr">
        <x:is>
          <x:t xml:space="preserve">RENH</x:t>
        </x:is>
      </x:c>
      <x:c r="E301" s="767" t="inlineStr">
        <x:is>
          <x:t xml:space="preserve">HUSH</x:t>
        </x:is>
      </x:c>
      <x:c r="F301" s="767" t="n">
        <x:v>2</x:v>
      </x:c>
      <x:c r="G301" s="767" t="inlineStr">
        <x:is>
          <x:t xml:space="preserve">KVAN</x:t>
        </x:is>
      </x:c>
      <x:c r="H301" s="767" t="inlineStr">
        <x:is>
          <x:t xml:space="preserve">Överviktsavgift för vikt över 80 kg, Ospecifiserat avfall</x:t>
        </x:is>
      </x:c>
      <x:c r="I301" s="767"/>
      <x:c r="J301" s="767"/>
      <x:c r="K301" s="767" t="n">
        <x:v>5.6</x:v>
      </x:c>
      <x:c r="L301" s="852" t="n">
        <x:v>46023</x:v>
      </x:c>
      <x:c r="M301" s="767" t="n">
        <x:v>0</x:v>
      </x:c>
      <x:c r="N301" s="767"/>
      <x:c r="O301" s="767" t="inlineStr">
        <x:is>
          <x:t xml:space="preserve">-</x:t>
        </x:is>
      </x:c>
      <x:c r="P301" s="767" t="n">
        <x:v>1</x:v>
      </x:c>
      <x:c r="Q301" s="774" t="inlineStr">
        <x:is>
          <x:t xml:space="preserve">VIKG-60,MIN0</x:t>
        </x:is>
      </x:c>
    </x:row>
    <x:row r="302">
      <x:c r="A302" s="773" t="n">
        <x:v>1699</x:v>
      </x:c>
      <x:c r="B302" s="767" t="inlineStr">
        <x:is>
          <x:t xml:space="preserve">VIKTREST</x:t>
        </x:is>
      </x:c>
      <x:c r="C302" s="767" t="inlineStr">
        <x:is>
          <x:t xml:space="preserve">240L tvåfackskärl, viktavgift restavfall</x:t>
        </x:is>
      </x:c>
      <x:c r="D302" s="767" t="inlineStr">
        <x:is>
          <x:t xml:space="preserve">RENH</x:t>
        </x:is>
      </x:c>
      <x:c r="E302" s="767" t="inlineStr">
        <x:is>
          <x:t xml:space="preserve">HUSH</x:t>
        </x:is>
      </x:c>
      <x:c r="F302" s="767" t="n">
        <x:v>1</x:v>
      </x:c>
      <x:c r="G302" s="767" t="inlineStr">
        <x:is>
          <x:t xml:space="preserve">KVAN</x:t>
        </x:is>
      </x:c>
      <x:c r="H302" s="767" t="inlineStr">
        <x:is>
          <x:t xml:space="preserve">Viktavgift restavfall</x:t>
        </x:is>
      </x:c>
      <x:c r="I302" s="767"/>
      <x:c r="J302" s="767"/>
      <x:c r="K302" s="767" t="n">
        <x:v>4.28</x:v>
      </x:c>
      <x:c r="L302" s="852" t="n">
        <x:v>46023</x:v>
      </x:c>
      <x:c r="M302" s="767" t="n">
        <x:v>0</x:v>
      </x:c>
      <x:c r="N302" s="767"/>
      <x:c r="O302" s="767" t="inlineStr">
        <x:is>
          <x:t xml:space="preserve">-</x:t>
        </x:is>
      </x:c>
      <x:c r="P302" s="767" t="n">
        <x:v>1</x:v>
      </x:c>
      <x:c r="Q302" s="774" t="inlineStr">
        <x:is>
          <x:t xml:space="preserve">VIKG,MAX60</x:t>
        </x:is>
      </x:c>
    </x:row>
    <x:row r="303">
      <x:c r="A303" s="773" t="n">
        <x:v>1700</x:v>
      </x:c>
      <x:c r="B303" s="767" t="inlineStr">
        <x:is>
          <x:t xml:space="preserve">VIKTREST</x:t>
        </x:is>
      </x:c>
      <x:c r="C303" s="767" t="inlineStr">
        <x:is>
          <x:t xml:space="preserve">240L tvåfackskärl, viktavgift restavfall</x:t>
        </x:is>
      </x:c>
      <x:c r="D303" s="767" t="inlineStr">
        <x:is>
          <x:t xml:space="preserve">RENH</x:t>
        </x:is>
      </x:c>
      <x:c r="E303" s="767" t="inlineStr">
        <x:is>
          <x:t xml:space="preserve">HUSH</x:t>
        </x:is>
      </x:c>
      <x:c r="F303" s="767" t="n">
        <x:v>2</x:v>
      </x:c>
      <x:c r="G303" s="767" t="inlineStr">
        <x:is>
          <x:t xml:space="preserve">KVAN</x:t>
        </x:is>
      </x:c>
      <x:c r="H303" s="767" t="inlineStr">
        <x:is>
          <x:t xml:space="preserve">Överviktsavgift för vikt över 60 kg, restavfall</x:t>
        </x:is>
      </x:c>
      <x:c r="I303" s="767"/>
      <x:c r="J303" s="767"/>
      <x:c r="K303" s="767" t="n">
        <x:v>5.6</x:v>
      </x:c>
      <x:c r="L303" s="852" t="n">
        <x:v>46023</x:v>
      </x:c>
      <x:c r="M303" s="767" t="n">
        <x:v>0</x:v>
      </x:c>
      <x:c r="N303" s="767"/>
      <x:c r="O303" s="767" t="inlineStr">
        <x:is>
          <x:t xml:space="preserve">-</x:t>
        </x:is>
      </x:c>
      <x:c r="P303" s="767" t="n">
        <x:v>1</x:v>
      </x:c>
      <x:c r="Q303" s="774" t="inlineStr">
        <x:is>
          <x:t xml:space="preserve">VIKG-60,MIN0</x:t>
        </x:is>
      </x:c>
    </x:row>
    <x:row r="304">
      <x:c r="A304" s="773" t="n">
        <x:v>1949</x:v>
      </x:c>
      <x:c r="B304" s="767" t="inlineStr">
        <x:is>
          <x:t xml:space="preserve">VIKTRESTMB</x:t>
        </x:is>
      </x:c>
      <x:c r="C304" s="767" t="inlineStr">
        <x:is>
          <x:t xml:space="preserve">Markbehållare, viktavgift restavfall</x:t>
        </x:is>
      </x:c>
      <x:c r="D304" s="767" t="inlineStr">
        <x:is>
          <x:t xml:space="preserve">RENH</x:t>
        </x:is>
      </x:c>
      <x:c r="E304" s="767" t="inlineStr">
        <x:is>
          <x:t xml:space="preserve">HUSH</x:t>
        </x:is>
      </x:c>
      <x:c r="F304" s="767" t="n">
        <x:v>1</x:v>
      </x:c>
      <x:c r="G304" s="767" t="inlineStr">
        <x:is>
          <x:t xml:space="preserve">KVAN</x:t>
        </x:is>
      </x:c>
      <x:c r="H304" s="767" t="inlineStr">
        <x:is>
          <x:t xml:space="preserve">Viktavgift restavfall</x:t>
        </x:is>
      </x:c>
      <x:c r="I304" s="767"/>
      <x:c r="J304" s="767"/>
      <x:c r="K304" s="767" t="n">
        <x:v>4.28</x:v>
      </x:c>
      <x:c r="L304" s="852" t="n">
        <x:v>46023</x:v>
      </x:c>
      <x:c r="M304" s="767" t="n">
        <x:v>0</x:v>
      </x:c>
      <x:c r="N304" s="767"/>
      <x:c r="O304" s="767" t="inlineStr">
        <x:is>
          <x:t xml:space="preserve">-</x:t>
        </x:is>
      </x:c>
      <x:c r="P304" s="767" t="n">
        <x:v>1</x:v>
      </x:c>
      <x:c r="Q304" s="774" t="inlineStr">
        <x:is>
          <x:t xml:space="preserve">VIKG</x:t>
        </x:is>
      </x:c>
    </x:row>
    <x:row r="305">
      <x:c r="A305" s="773" t="n">
        <x:v>1646</x:v>
      </x:c>
      <x:c r="B305" s="767" t="inlineStr">
        <x:is>
          <x:t xml:space="preserve">VSANNAN</x:t>
        </x:is>
      </x:c>
      <x:c r="C305" s="767" t="inlineStr">
        <x:is>
          <x:t xml:space="preserve">Vatten/spillvatten Annan fastighet</x:t>
        </x:is>
      </x:c>
      <x:c r="D305" s="767" t="inlineStr">
        <x:is>
          <x:t xml:space="preserve">VA</x:t>
        </x:is>
      </x:c>
      <x:c r="E305" s="767" t="inlineStr">
        <x:is>
          <x:t xml:space="preserve">VA</x:t>
        </x:is>
      </x:c>
      <x:c r="F305" s="767" t="n">
        <x:v>1</x:v>
      </x:c>
      <x:c r="G305" s="767" t="inlineStr">
        <x:is>
          <x:t xml:space="preserve">ÅRPR</x:t>
        </x:is>
      </x:c>
      <x:c r="H305" s="767" t="inlineStr">
        <x:is>
          <x:t xml:space="preserve">Fast avgift vatten/spillvatten</x:t>
        </x:is>
      </x:c>
      <x:c r="I305" s="767"/>
      <x:c r="J305" s="767"/>
      <x:c r="K305" s="767" t="n">
        <x:v>1584</x:v>
      </x:c>
      <x:c r="L305" s="852" t="n">
        <x:v>46023</x:v>
      </x:c>
      <x:c r="M305" s="767" t="n">
        <x:v>0</x:v>
      </x:c>
      <x:c r="N305" s="767"/>
      <x:c r="O305" s="767" t="inlineStr">
        <x:is>
          <x:t xml:space="preserve">-</x:t>
        </x:is>
      </x:c>
      <x:c r="P305" s="767" t="n">
        <x:v>1</x:v>
      </x:c>
      <x:c r="Q305" s="774"/>
    </x:row>
    <x:row r="306">
      <x:c r="A306" s="773" t="n">
        <x:v>1647</x:v>
      </x:c>
      <x:c r="B306" s="767" t="inlineStr">
        <x:is>
          <x:t xml:space="preserve">VSANNAN</x:t>
        </x:is>
      </x:c>
      <x:c r="C306" s="767" t="inlineStr">
        <x:is>
          <x:t xml:space="preserve">Vatten/spillvatten Annan fastighet</x:t>
        </x:is>
      </x:c>
      <x:c r="D306" s="767" t="inlineStr">
        <x:is>
          <x:t xml:space="preserve">VA</x:t>
        </x:is>
      </x:c>
      <x:c r="E306" s="767" t="inlineStr">
        <x:is>
          <x:t xml:space="preserve">VA</x:t>
        </x:is>
      </x:c>
      <x:c r="F306" s="767" t="n">
        <x:v>2</x:v>
      </x:c>
      <x:c r="G306" s="767" t="inlineStr">
        <x:is>
          <x:t xml:space="preserve">FÖRB</x:t>
        </x:is>
      </x:c>
      <x:c r="H306" s="767" t="inlineStr">
        <x:is>
          <x:t xml:space="preserve">Rörlig avgift, förbrukning per m³</x:t>
        </x:is>
      </x:c>
      <x:c r="I306" s="767"/>
      <x:c r="J306" s="767"/>
      <x:c r="K306" s="767" t="n">
        <x:v>37.6</x:v>
      </x:c>
      <x:c r="L306" s="852" t="n">
        <x:v>46023</x:v>
      </x:c>
      <x:c r="M306" s="767" t="n">
        <x:v>0</x:v>
      </x:c>
      <x:c r="N306" s="767"/>
      <x:c r="O306" s="767" t="inlineStr">
        <x:is>
          <x:t xml:space="preserve">-</x:t>
        </x:is>
      </x:c>
      <x:c r="P306" s="767" t="n">
        <x:v>1</x:v>
      </x:c>
      <x:c r="Q306" s="774"/>
    </x:row>
    <x:row r="307">
      <x:c r="A307" s="773" t="n">
        <x:v>1685</x:v>
      </x:c>
      <x:c r="B307" s="767" t="inlineStr">
        <x:is>
          <x:t xml:space="preserve">VSANNAN</x:t>
        </x:is>
      </x:c>
      <x:c r="C307" s="767" t="inlineStr">
        <x:is>
          <x:t xml:space="preserve">Vatten/spillvatten Annan fastighet</x:t>
        </x:is>
      </x:c>
      <x:c r="D307" s="767" t="inlineStr">
        <x:is>
          <x:t xml:space="preserve">VA</x:t>
        </x:is>
      </x:c>
      <x:c r="E307" s="767" t="inlineStr">
        <x:is>
          <x:t xml:space="preserve">VA</x:t>
        </x:is>
      </x:c>
      <x:c r="F307" s="767" t="n">
        <x:v>3</x:v>
      </x:c>
      <x:c r="G307" s="767" t="inlineStr">
        <x:is>
          <x:t xml:space="preserve">ÅRKV</x:t>
        </x:is>
      </x:c>
      <x:c r="H307" s="767" t="inlineStr">
        <x:is>
          <x:t xml:space="preserve">Bostadsenhetsavgift VA</x:t>
        </x:is>
      </x:c>
      <x:c r="I307" s="767"/>
      <x:c r="J307" s="767"/>
      <x:c r="K307" s="767" t="n">
        <x:v>2310.4</x:v>
      </x:c>
      <x:c r="L307" s="852" t="n">
        <x:v>46023</x:v>
      </x:c>
      <x:c r="M307" s="767" t="n">
        <x:v>0</x:v>
      </x:c>
      <x:c r="N307" s="767"/>
      <x:c r="O307" s="767" t="inlineStr">
        <x:is>
          <x:t xml:space="preserve">-</x:t>
        </x:is>
      </x:c>
      <x:c r="P307" s="767" t="n">
        <x:v>1</x:v>
      </x:c>
      <x:c r="Q307" s="774" t="inlineStr">
        <x:is>
          <x:t xml:space="preserve">LÄGH</x:t>
        </x:is>
      </x:c>
    </x:row>
    <x:row r="308">
      <x:c r="A308" s="773" t="n">
        <x:v>1686</x:v>
      </x:c>
      <x:c r="B308" s="767" t="inlineStr">
        <x:is>
          <x:t xml:space="preserve">VSANNAN</x:t>
        </x:is>
      </x:c>
      <x:c r="C308" s="767" t="inlineStr">
        <x:is>
          <x:t xml:space="preserve">Vatten/spillvatten Annan fastighet</x:t>
        </x:is>
      </x:c>
      <x:c r="D308" s="767" t="inlineStr">
        <x:is>
          <x:t xml:space="preserve">VA</x:t>
        </x:is>
      </x:c>
      <x:c r="E308" s="767" t="inlineStr">
        <x:is>
          <x:t xml:space="preserve">VA</x:t>
        </x:is>
      </x:c>
      <x:c r="F308" s="767" t="n">
        <x:v>4</x:v>
      </x:c>
      <x:c r="G308" s="767" t="inlineStr">
        <x:is>
          <x:t xml:space="preserve">ÅRKV</x:t>
        </x:is>
      </x:c>
      <x:c r="H308" s="767" t="inlineStr">
        <x:is>
          <x:t xml:space="preserve">Avgift per påbörjad 150-tal m² bruttoarea</x:t>
        </x:is>
      </x:c>
      <x:c r="I308" s="767"/>
      <x:c r="J308" s="767"/>
      <x:c r="K308" s="767" t="n">
        <x:v>2310.4</x:v>
      </x:c>
      <x:c r="L308" s="852" t="n">
        <x:v>46023</x:v>
      </x:c>
      <x:c r="M308" s="767" t="n">
        <x:v>0</x:v>
      </x:c>
      <x:c r="N308" s="767"/>
      <x:c r="O308" s="767" t="inlineStr">
        <x:is>
          <x:t xml:space="preserve">-</x:t>
        </x:is>
      </x:c>
      <x:c r="P308" s="767" t="n">
        <x:v>1</x:v>
      </x:c>
      <x:c r="Q308" s="774" t="inlineStr">
        <x:is>
          <x:t xml:space="preserve">HELTALSDEL((BTAY+149)/150)</x:t>
        </x:is>
      </x:c>
    </x:row>
    <x:row r="309">
      <x:c r="A309" s="773" t="n">
        <x:v>1971</x:v>
      </x:c>
      <x:c r="B309" s="767" t="inlineStr">
        <x:is>
          <x:t xml:space="preserve">VSAVSTÄNGT</x:t>
        </x:is>
      </x:c>
      <x:c r="C309" s="767" t="inlineStr">
        <x:is>
          <x:t xml:space="preserve">Vatten/Spillvatten avstängt 0 förbrukning</x:t>
        </x:is>
      </x:c>
      <x:c r="D309" s="767" t="inlineStr">
        <x:is>
          <x:t xml:space="preserve">VA</x:t>
        </x:is>
      </x:c>
      <x:c r="E309" s="767" t="inlineStr">
        <x:is>
          <x:t xml:space="preserve">VA</x:t>
        </x:is>
      </x:c>
      <x:c r="F309" s="767" t="n">
        <x:v>1</x:v>
      </x:c>
      <x:c r="G309" s="767" t="inlineStr">
        <x:is>
          <x:t xml:space="preserve">ÅRPR</x:t>
        </x:is>
      </x:c>
      <x:c r="H309" s="767" t="inlineStr">
        <x:is>
          <x:t xml:space="preserve">Grundavgift + Bostadsenhetsavgift VA</x:t>
        </x:is>
      </x:c>
      <x:c r="I309" s="767"/>
      <x:c r="J309" s="767"/>
      <x:c r="K309" s="767" t="n">
        <x:v>3894</x:v>
      </x:c>
      <x:c r="L309" s="852" t="n">
        <x:v>46023</x:v>
      </x:c>
      <x:c r="M309" s="767" t="n">
        <x:v>0</x:v>
      </x:c>
      <x:c r="N309" s="767"/>
      <x:c r="O309" s="767" t="inlineStr">
        <x:is>
          <x:t xml:space="preserve">-</x:t>
        </x:is>
      </x:c>
      <x:c r="P309" s="767" t="n">
        <x:v>1</x:v>
      </x:c>
      <x:c r="Q309" s="774"/>
    </x:row>
    <x:row r="310">
      <x:c r="A310" s="773" t="n">
        <x:v>1632</x:v>
      </x:c>
      <x:c r="B310" s="767" t="inlineStr">
        <x:is>
          <x:t xml:space="preserve">VSBOSTAD</x:t>
        </x:is>
      </x:c>
      <x:c r="C310" s="767" t="inlineStr">
        <x:is>
          <x:t xml:space="preserve">Vatten/spillvatten Bostad</x:t>
        </x:is>
      </x:c>
      <x:c r="D310" s="767" t="inlineStr">
        <x:is>
          <x:t xml:space="preserve">VA</x:t>
        </x:is>
      </x:c>
      <x:c r="E310" s="767" t="inlineStr">
        <x:is>
          <x:t xml:space="preserve">VA</x:t>
        </x:is>
      </x:c>
      <x:c r="F310" s="767" t="n">
        <x:v>1</x:v>
      </x:c>
      <x:c r="G310" s="767" t="inlineStr">
        <x:is>
          <x:t xml:space="preserve">ÅRPR</x:t>
        </x:is>
      </x:c>
      <x:c r="H310" s="767" t="inlineStr">
        <x:is>
          <x:t xml:space="preserve">Grundavgift VA</x:t>
        </x:is>
      </x:c>
      <x:c r="I310" s="767"/>
      <x:c r="J310" s="767"/>
      <x:c r="K310" s="767" t="n">
        <x:v>1584</x:v>
      </x:c>
      <x:c r="L310" s="852" t="n">
        <x:v>46023</x:v>
      </x:c>
      <x:c r="M310" s="767" t="n">
        <x:v>0</x:v>
      </x:c>
      <x:c r="N310" s="767"/>
      <x:c r="O310" s="767" t="inlineStr">
        <x:is>
          <x:t xml:space="preserve">-</x:t>
        </x:is>
      </x:c>
      <x:c r="P310" s="767" t="n">
        <x:v>1</x:v>
      </x:c>
      <x:c r="Q310" s="774"/>
    </x:row>
    <x:row r="311">
      <x:c r="A311" s="773" t="n">
        <x:v>1633</x:v>
      </x:c>
      <x:c r="B311" s="767" t="inlineStr">
        <x:is>
          <x:t xml:space="preserve">VSBOSTAD</x:t>
        </x:is>
      </x:c>
      <x:c r="C311" s="767" t="inlineStr">
        <x:is>
          <x:t xml:space="preserve">Vatten/spillvatten Bostad</x:t>
        </x:is>
      </x:c>
      <x:c r="D311" s="767" t="inlineStr">
        <x:is>
          <x:t xml:space="preserve">VA</x:t>
        </x:is>
      </x:c>
      <x:c r="E311" s="767" t="inlineStr">
        <x:is>
          <x:t xml:space="preserve">VA</x:t>
        </x:is>
      </x:c>
      <x:c r="F311" s="767" t="n">
        <x:v>2</x:v>
      </x:c>
      <x:c r="G311" s="767" t="inlineStr">
        <x:is>
          <x:t xml:space="preserve">FÖRB</x:t>
        </x:is>
      </x:c>
      <x:c r="H311" s="767" t="inlineStr">
        <x:is>
          <x:t xml:space="preserve">Rörlig avgift, förbrukning per m³</x:t>
        </x:is>
      </x:c>
      <x:c r="I311" s="767"/>
      <x:c r="J311" s="767"/>
      <x:c r="K311" s="767" t="n">
        <x:v>37.6</x:v>
      </x:c>
      <x:c r="L311" s="852" t="n">
        <x:v>46023</x:v>
      </x:c>
      <x:c r="M311" s="767" t="n">
        <x:v>0</x:v>
      </x:c>
      <x:c r="N311" s="767"/>
      <x:c r="O311" s="767" t="inlineStr">
        <x:is>
          <x:t xml:space="preserve">-</x:t>
        </x:is>
      </x:c>
      <x:c r="P311" s="767" t="n">
        <x:v>1</x:v>
      </x:c>
      <x:c r="Q311" s="774"/>
    </x:row>
    <x:row r="312">
      <x:c r="A312" s="773" t="n">
        <x:v>1634</x:v>
      </x:c>
      <x:c r="B312" s="767" t="inlineStr">
        <x:is>
          <x:t xml:space="preserve">VSBOSTAD</x:t>
        </x:is>
      </x:c>
      <x:c r="C312" s="767" t="inlineStr">
        <x:is>
          <x:t xml:space="preserve">Vatten/spillvatten Bostad</x:t>
        </x:is>
      </x:c>
      <x:c r="D312" s="767" t="inlineStr">
        <x:is>
          <x:t xml:space="preserve">VA</x:t>
        </x:is>
      </x:c>
      <x:c r="E312" s="767" t="inlineStr">
        <x:is>
          <x:t xml:space="preserve">VA</x:t>
        </x:is>
      </x:c>
      <x:c r="F312" s="767" t="n">
        <x:v>3</x:v>
      </x:c>
      <x:c r="G312" s="767" t="inlineStr">
        <x:is>
          <x:t xml:space="preserve">ÅRKV</x:t>
        </x:is>
      </x:c>
      <x:c r="H312" s="767" t="inlineStr">
        <x:is>
          <x:t xml:space="preserve">Bostadsenhetsavgift VA</x:t>
        </x:is>
      </x:c>
      <x:c r="I312" s="767"/>
      <x:c r="J312" s="767"/>
      <x:c r="K312" s="767" t="n">
        <x:v>2310.4</x:v>
      </x:c>
      <x:c r="L312" s="852" t="n">
        <x:v>46023</x:v>
      </x:c>
      <x:c r="M312" s="767" t="n">
        <x:v>0</x:v>
      </x:c>
      <x:c r="N312" s="767"/>
      <x:c r="O312" s="767" t="inlineStr">
        <x:is>
          <x:t xml:space="preserve">-</x:t>
        </x:is>
      </x:c>
      <x:c r="P312" s="767" t="n">
        <x:v>1</x:v>
      </x:c>
      <x:c r="Q312" s="774" t="inlineStr">
        <x:is>
          <x:t xml:space="preserve">LÄGH</x:t>
        </x:is>
      </x:c>
    </x:row>
    <x:row r="313">
      <x:c r="A313" s="773" t="n">
        <x:v>1635</x:v>
      </x:c>
      <x:c r="B313" s="767" t="inlineStr">
        <x:is>
          <x:t xml:space="preserve">VSBOSTAD</x:t>
        </x:is>
      </x:c>
      <x:c r="C313" s="767" t="inlineStr">
        <x:is>
          <x:t xml:space="preserve">Vatten/spillvatten Bostad</x:t>
        </x:is>
      </x:c>
      <x:c r="D313" s="767" t="inlineStr">
        <x:is>
          <x:t xml:space="preserve">VA</x:t>
        </x:is>
      </x:c>
      <x:c r="E313" s="767" t="inlineStr">
        <x:is>
          <x:t xml:space="preserve">VA</x:t>
        </x:is>
      </x:c>
      <x:c r="F313" s="767" t="n">
        <x:v>4</x:v>
      </x:c>
      <x:c r="G313" s="767" t="inlineStr">
        <x:is>
          <x:t xml:space="preserve">ÅRKV</x:t>
        </x:is>
      </x:c>
      <x:c r="H313" s="767" t="inlineStr">
        <x:is>
          <x:t xml:space="preserve">Bostadsenhetsavgift per påbörjad 150-tal m² bruttoarea</x:t>
        </x:is>
      </x:c>
      <x:c r="I313" s="767"/>
      <x:c r="J313" s="767"/>
      <x:c r="K313" s="767" t="n">
        <x:v>2310.4</x:v>
      </x:c>
      <x:c r="L313" s="852" t="n">
        <x:v>46023</x:v>
      </x:c>
      <x:c r="M313" s="767" t="n">
        <x:v>0</x:v>
      </x:c>
      <x:c r="N313" s="767"/>
      <x:c r="O313" s="767" t="inlineStr">
        <x:is>
          <x:t xml:space="preserve">-</x:t>
        </x:is>
      </x:c>
      <x:c r="P313" s="767" t="n">
        <x:v>1</x:v>
      </x:c>
      <x:c r="Q313" s="774" t="inlineStr">
        <x:is>
          <x:t xml:space="preserve">HELTALSDEL((BTAY+149)/150)</x:t>
        </x:is>
      </x:c>
    </x:row>
    <x:row r="314">
      <x:c r="A314" s="773" t="n">
        <x:v>1653</x:v>
      </x:c>
      <x:c r="B314" s="767" t="inlineStr">
        <x:is>
          <x:t xml:space="preserve">VSFÖRB</x:t>
        </x:is>
      </x:c>
      <x:c r="C314" s="767" t="inlineStr">
        <x:is>
          <x:t xml:space="preserve">Endast förbrukning vatten/spillvatten</x:t>
        </x:is>
      </x:c>
      <x:c r="D314" s="767" t="inlineStr">
        <x:is>
          <x:t xml:space="preserve">VA</x:t>
        </x:is>
      </x:c>
      <x:c r="E314" s="767" t="inlineStr">
        <x:is>
          <x:t xml:space="preserve">VA</x:t>
        </x:is>
      </x:c>
      <x:c r="F314" s="767" t="n">
        <x:v>1</x:v>
      </x:c>
      <x:c r="G314" s="767" t="inlineStr">
        <x:is>
          <x:t xml:space="preserve">FÖRB</x:t>
        </x:is>
      </x:c>
      <x:c r="H314" s="767" t="inlineStr">
        <x:is>
          <x:t xml:space="preserve">Endast förbrukning vatten/spillvatten</x:t>
        </x:is>
      </x:c>
      <x:c r="I314" s="767"/>
      <x:c r="J314" s="767"/>
      <x:c r="K314" s="767" t="n">
        <x:v>37.6</x:v>
      </x:c>
      <x:c r="L314" s="852" t="n">
        <x:v>46023</x:v>
      </x:c>
      <x:c r="M314" s="767" t="n">
        <x:v>0</x:v>
      </x:c>
      <x:c r="N314" s="767"/>
      <x:c r="O314" s="767" t="inlineStr">
        <x:is>
          <x:t xml:space="preserve">-</x:t>
        </x:is>
      </x:c>
      <x:c r="P314" s="767" t="n">
        <x:v>1</x:v>
      </x:c>
      <x:c r="Q314" s="774"/>
    </x:row>
    <x:row r="315">
      <x:c r="A315" s="773" t="n">
        <x:v>1650</x:v>
      </x:c>
      <x:c r="B315" s="767" t="inlineStr">
        <x:is>
          <x:t xml:space="preserve">VSUANNAN</x:t>
        </x:is>
      </x:c>
      <x:c r="C315" s="767" t="inlineStr">
        <x:is>
          <x:t xml:space="preserve">Vatten/spillvatten Uppsk. Förbrukning Annan fastighet</x:t>
        </x:is>
      </x:c>
      <x:c r="D315" s="767" t="inlineStr">
        <x:is>
          <x:t xml:space="preserve">VA</x:t>
        </x:is>
      </x:c>
      <x:c r="E315" s="767" t="inlineStr">
        <x:is>
          <x:t xml:space="preserve">VA</x:t>
        </x:is>
      </x:c>
      <x:c r="F315" s="767" t="n">
        <x:v>1</x:v>
      </x:c>
      <x:c r="G315" s="767" t="inlineStr">
        <x:is>
          <x:t xml:space="preserve">ÅRPR</x:t>
        </x:is>
      </x:c>
      <x:c r="H315" s="767" t="inlineStr">
        <x:is>
          <x:t xml:space="preserve">Grundavgift + Bostadsenhetsavgift VA</x:t>
        </x:is>
      </x:c>
      <x:c r="I315" s="767"/>
      <x:c r="J315" s="767"/>
      <x:c r="K315" s="767" t="n">
        <x:v>3894</x:v>
      </x:c>
      <x:c r="L315" s="852" t="n">
        <x:v>46023</x:v>
      </x:c>
      <x:c r="M315" s="767" t="n">
        <x:v>0</x:v>
      </x:c>
      <x:c r="N315" s="767"/>
      <x:c r="O315" s="767" t="inlineStr">
        <x:is>
          <x:t xml:space="preserve">-</x:t>
        </x:is>
      </x:c>
      <x:c r="P315" s="767" t="n">
        <x:v>1</x:v>
      </x:c>
      <x:c r="Q315" s="774"/>
    </x:row>
    <x:row r="316">
      <x:c r="A316" s="773" t="n">
        <x:v>1651</x:v>
      </x:c>
      <x:c r="B316" s="767" t="inlineStr">
        <x:is>
          <x:t xml:space="preserve">VSUANNAN</x:t>
        </x:is>
      </x:c>
      <x:c r="C316" s="767" t="inlineStr">
        <x:is>
          <x:t xml:space="preserve">Vatten/spillvatten Uppsk. Förbrukning Annan fastighet</x:t>
        </x:is>
      </x:c>
      <x:c r="D316" s="767" t="inlineStr">
        <x:is>
          <x:t xml:space="preserve">VA</x:t>
        </x:is>
      </x:c>
      <x:c r="E316" s="767" t="inlineStr">
        <x:is>
          <x:t xml:space="preserve">VA</x:t>
        </x:is>
      </x:c>
      <x:c r="F316" s="767" t="n">
        <x:v>2</x:v>
      </x:c>
      <x:c r="G316" s="767" t="inlineStr">
        <x:is>
          <x:t xml:space="preserve">UPFÖ</x:t>
        </x:is>
      </x:c>
      <x:c r="H316" s="767" t="inlineStr">
        <x:is>
          <x:t xml:space="preserve">Rörlig avgift, uppsk. förbrukning per m³</x:t>
        </x:is>
      </x:c>
      <x:c r="I316" s="767"/>
      <x:c r="J316" s="767"/>
      <x:c r="K316" s="767" t="n">
        <x:v>37.6</x:v>
      </x:c>
      <x:c r="L316" s="852" t="n">
        <x:v>46023</x:v>
      </x:c>
      <x:c r="M316" s="767" t="n">
        <x:v>0</x:v>
      </x:c>
      <x:c r="N316" s="767"/>
      <x:c r="O316" s="767" t="inlineStr">
        <x:is>
          <x:t xml:space="preserve">-</x:t>
        </x:is>
      </x:c>
      <x:c r="P316" s="767" t="n">
        <x:v>1</x:v>
      </x:c>
      <x:c r="Q316" s="774"/>
    </x:row>
    <x:row r="317">
      <x:c r="A317" s="773" t="n">
        <x:v>1640</x:v>
      </x:c>
      <x:c r="B317" s="767" t="inlineStr">
        <x:is>
          <x:t xml:space="preserve">VSUBOSTAD</x:t>
        </x:is>
      </x:c>
      <x:c r="C317" s="767" t="inlineStr">
        <x:is>
          <x:t xml:space="preserve">Vatten/spillvatten Uppsk. förbrukning Bostad</x:t>
        </x:is>
      </x:c>
      <x:c r="D317" s="767" t="inlineStr">
        <x:is>
          <x:t xml:space="preserve">VA</x:t>
        </x:is>
      </x:c>
      <x:c r="E317" s="767" t="inlineStr">
        <x:is>
          <x:t xml:space="preserve">VA</x:t>
        </x:is>
      </x:c>
      <x:c r="F317" s="767" t="n">
        <x:v>1</x:v>
      </x:c>
      <x:c r="G317" s="767" t="inlineStr">
        <x:is>
          <x:t xml:space="preserve">ÅRPR</x:t>
        </x:is>
      </x:c>
      <x:c r="H317" s="767" t="inlineStr">
        <x:is>
          <x:t xml:space="preserve">Grundavgift VA</x:t>
        </x:is>
      </x:c>
      <x:c r="I317" s="767"/>
      <x:c r="J317" s="767"/>
      <x:c r="K317" s="767" t="n">
        <x:v>1584</x:v>
      </x:c>
      <x:c r="L317" s="852" t="n">
        <x:v>46023</x:v>
      </x:c>
      <x:c r="M317" s="767" t="n">
        <x:v>0</x:v>
      </x:c>
      <x:c r="N317" s="767"/>
      <x:c r="O317" s="767" t="inlineStr">
        <x:is>
          <x:t xml:space="preserve">-</x:t>
        </x:is>
      </x:c>
      <x:c r="P317" s="767" t="n">
        <x:v>1</x:v>
      </x:c>
      <x:c r="Q317" s="774"/>
    </x:row>
    <x:row r="318">
      <x:c r="A318" s="773" t="n">
        <x:v>1641</x:v>
      </x:c>
      <x:c r="B318" s="767" t="inlineStr">
        <x:is>
          <x:t xml:space="preserve">VSUBOSTAD</x:t>
        </x:is>
      </x:c>
      <x:c r="C318" s="767" t="inlineStr">
        <x:is>
          <x:t xml:space="preserve">Vatten/spillvatten Uppsk. förbrukning Bostad</x:t>
        </x:is>
      </x:c>
      <x:c r="D318" s="767" t="inlineStr">
        <x:is>
          <x:t xml:space="preserve">VA</x:t>
        </x:is>
      </x:c>
      <x:c r="E318" s="767" t="inlineStr">
        <x:is>
          <x:t xml:space="preserve">VA</x:t>
        </x:is>
      </x:c>
      <x:c r="F318" s="767" t="n">
        <x:v>2</x:v>
      </x:c>
      <x:c r="G318" s="767" t="inlineStr">
        <x:is>
          <x:t xml:space="preserve">UPFÖ</x:t>
        </x:is>
      </x:c>
      <x:c r="H318" s="767" t="inlineStr">
        <x:is>
          <x:t xml:space="preserve">Rörlig avgift, uppsk. förbrukning per m³</x:t>
        </x:is>
      </x:c>
      <x:c r="I318" s="767"/>
      <x:c r="J318" s="767"/>
      <x:c r="K318" s="767" t="n">
        <x:v>37.6</x:v>
      </x:c>
      <x:c r="L318" s="852" t="n">
        <x:v>46023</x:v>
      </x:c>
      <x:c r="M318" s="767" t="n">
        <x:v>0</x:v>
      </x:c>
      <x:c r="N318" s="767"/>
      <x:c r="O318" s="767" t="inlineStr">
        <x:is>
          <x:t xml:space="preserve">-</x:t>
        </x:is>
      </x:c>
      <x:c r="P318" s="767" t="n">
        <x:v>1</x:v>
      </x:c>
      <x:c r="Q318" s="774"/>
    </x:row>
    <x:row r="319">
      <x:c r="A319" s="773" t="n">
        <x:v>1642</x:v>
      </x:c>
      <x:c r="B319" s="767" t="inlineStr">
        <x:is>
          <x:t xml:space="preserve">VSUBOSTAD</x:t>
        </x:is>
      </x:c>
      <x:c r="C319" s="767" t="inlineStr">
        <x:is>
          <x:t xml:space="preserve">Vatten/spillvatten Uppsk. förbrukning Bostad</x:t>
        </x:is>
      </x:c>
      <x:c r="D319" s="767" t="inlineStr">
        <x:is>
          <x:t xml:space="preserve">VA</x:t>
        </x:is>
      </x:c>
      <x:c r="E319" s="767" t="inlineStr">
        <x:is>
          <x:t xml:space="preserve">VA</x:t>
        </x:is>
      </x:c>
      <x:c r="F319" s="767" t="n">
        <x:v>3</x:v>
      </x:c>
      <x:c r="G319" s="767" t="inlineStr">
        <x:is>
          <x:t xml:space="preserve">ÅRKV</x:t>
        </x:is>
      </x:c>
      <x:c r="H319" s="767" t="inlineStr">
        <x:is>
          <x:t xml:space="preserve">Bostadsenhetsavgift VA</x:t>
        </x:is>
      </x:c>
      <x:c r="I319" s="767"/>
      <x:c r="J319" s="767"/>
      <x:c r="K319" s="767" t="n">
        <x:v>2310.4</x:v>
      </x:c>
      <x:c r="L319" s="852" t="n">
        <x:v>46023</x:v>
      </x:c>
      <x:c r="M319" s="767" t="n">
        <x:v>0</x:v>
      </x:c>
      <x:c r="N319" s="767"/>
      <x:c r="O319" s="767" t="inlineStr">
        <x:is>
          <x:t xml:space="preserve">-</x:t>
        </x:is>
      </x:c>
      <x:c r="P319" s="767" t="n">
        <x:v>1</x:v>
      </x:c>
      <x:c r="Q319" s="774" t="inlineStr">
        <x:is>
          <x:t xml:space="preserve">LÄGH</x:t>
        </x:is>
      </x:c>
    </x:row>
    <x:row r="320">
      <x:c r="A320" s="773" t="n">
        <x:v>1643</x:v>
      </x:c>
      <x:c r="B320" s="767" t="inlineStr">
        <x:is>
          <x:t xml:space="preserve">VSUBOSTAD</x:t>
        </x:is>
      </x:c>
      <x:c r="C320" s="767" t="inlineStr">
        <x:is>
          <x:t xml:space="preserve">Vatten/spillvatten Uppsk. förbrukning Bostad</x:t>
        </x:is>
      </x:c>
      <x:c r="D320" s="767" t="inlineStr">
        <x:is>
          <x:t xml:space="preserve">VA</x:t>
        </x:is>
      </x:c>
      <x:c r="E320" s="767" t="inlineStr">
        <x:is>
          <x:t xml:space="preserve">VA</x:t>
        </x:is>
      </x:c>
      <x:c r="F320" s="767" t="n">
        <x:v>4</x:v>
      </x:c>
      <x:c r="G320" s="767" t="inlineStr">
        <x:is>
          <x:t xml:space="preserve">ÅRKV</x:t>
        </x:is>
      </x:c>
      <x:c r="H320" s="767" t="inlineStr">
        <x:is>
          <x:t xml:space="preserve">Bostadsenhetsavgift, per påbörjad 150-tal m² bruttoarea</x:t>
        </x:is>
      </x:c>
      <x:c r="I320" s="767"/>
      <x:c r="J320" s="767"/>
      <x:c r="K320" s="767" t="n">
        <x:v>2310.4</x:v>
      </x:c>
      <x:c r="L320" s="852" t="n">
        <x:v>46023</x:v>
      </x:c>
      <x:c r="M320" s="767" t="n">
        <x:v>0</x:v>
      </x:c>
      <x:c r="N320" s="767"/>
      <x:c r="O320" s="767" t="inlineStr">
        <x:is>
          <x:t xml:space="preserve">-</x:t>
        </x:is>
      </x:c>
      <x:c r="P320" s="767" t="n">
        <x:v>1</x:v>
      </x:c>
      <x:c r="Q320" s="774" t="inlineStr">
        <x:is>
          <x:t xml:space="preserve">HELTALSDEL((BTAY+149)/150)</x:t>
        </x:is>
      </x:c>
    </x:row>
    <x:row r="321">
      <x:c r="A321" s="773" t="n">
        <x:v>1916</x:v>
      </x:c>
      <x:c r="B321" s="767" t="inlineStr">
        <x:is>
          <x:t xml:space="preserve">VSUFRI</x:t>
        </x:is>
      </x:c>
      <x:c r="C321" s="767" t="inlineStr">
        <x:is>
          <x:t xml:space="preserve">Vatten och spillvatten utan mätning fritidshus</x:t>
        </x:is>
      </x:c>
      <x:c r="D321" s="767" t="inlineStr">
        <x:is>
          <x:t xml:space="preserve">VA</x:t>
        </x:is>
      </x:c>
      <x:c r="E321" s="767" t="inlineStr">
        <x:is>
          <x:t xml:space="preserve">VA</x:t>
        </x:is>
      </x:c>
      <x:c r="F321" s="767" t="n">
        <x:v>1</x:v>
      </x:c>
      <x:c r="G321" s="767" t="inlineStr">
        <x:is>
          <x:t xml:space="preserve">ÅRPR</x:t>
        </x:is>
      </x:c>
      <x:c r="H321" s="767" t="inlineStr">
        <x:is>
          <x:t xml:space="preserve">Grundavgift VA</x:t>
        </x:is>
      </x:c>
      <x:c r="I321" s="767"/>
      <x:c r="J321" s="767"/>
      <x:c r="K321" s="767" t="n">
        <x:v>1584</x:v>
      </x:c>
      <x:c r="L321" s="852" t="n">
        <x:v>46023</x:v>
      </x:c>
      <x:c r="M321" s="767" t="n">
        <x:v>0</x:v>
      </x:c>
      <x:c r="N321" s="767"/>
      <x:c r="O321" s="767" t="inlineStr">
        <x:is>
          <x:t xml:space="preserve">-</x:t>
        </x:is>
      </x:c>
      <x:c r="P321" s="767" t="n">
        <x:v>1</x:v>
      </x:c>
      <x:c r="Q321" s="774"/>
    </x:row>
    <x:row r="322">
      <x:c r="A322" s="773" t="n">
        <x:v>1917</x:v>
      </x:c>
      <x:c r="B322" s="767" t="inlineStr">
        <x:is>
          <x:t xml:space="preserve">VSUFRI</x:t>
        </x:is>
      </x:c>
      <x:c r="C322" s="767" t="inlineStr">
        <x:is>
          <x:t xml:space="preserve">Vatten och spillvatten utan mätning fritidshus</x:t>
        </x:is>
      </x:c>
      <x:c r="D322" s="767" t="inlineStr">
        <x:is>
          <x:t xml:space="preserve">VA</x:t>
        </x:is>
      </x:c>
      <x:c r="E322" s="767" t="inlineStr">
        <x:is>
          <x:t xml:space="preserve">VA</x:t>
        </x:is>
      </x:c>
      <x:c r="F322" s="767" t="n">
        <x:v>2</x:v>
      </x:c>
      <x:c r="G322" s="767" t="inlineStr">
        <x:is>
          <x:t xml:space="preserve">UPFÖ</x:t>
        </x:is>
      </x:c>
      <x:c r="H322" s="767" t="inlineStr">
        <x:is>
          <x:t xml:space="preserve">Rörlig avgift uppskattad förbrukning per m³</x:t>
        </x:is>
      </x:c>
      <x:c r="I322" s="767"/>
      <x:c r="J322" s="767"/>
      <x:c r="K322" s="767" t="n">
        <x:v>37.6</x:v>
      </x:c>
      <x:c r="L322" s="852" t="n">
        <x:v>46023</x:v>
      </x:c>
      <x:c r="M322" s="767" t="n">
        <x:v>0</x:v>
      </x:c>
      <x:c r="N322" s="767"/>
      <x:c r="O322" s="767" t="inlineStr">
        <x:is>
          <x:t xml:space="preserve">-</x:t>
        </x:is>
      </x:c>
      <x:c r="P322" s="767" t="n">
        <x:v>1</x:v>
      </x:c>
      <x:c r="Q322" s="774"/>
    </x:row>
    <x:row r="323">
      <x:c r="A323" s="773" t="n">
        <x:v>1918</x:v>
      </x:c>
      <x:c r="B323" s="767" t="inlineStr">
        <x:is>
          <x:t xml:space="preserve">VSUFRI</x:t>
        </x:is>
      </x:c>
      <x:c r="C323" s="767" t="inlineStr">
        <x:is>
          <x:t xml:space="preserve">Vatten och spillvatten utan mätning fritidshus</x:t>
        </x:is>
      </x:c>
      <x:c r="D323" s="767" t="inlineStr">
        <x:is>
          <x:t xml:space="preserve">VA</x:t>
        </x:is>
      </x:c>
      <x:c r="E323" s="767" t="inlineStr">
        <x:is>
          <x:t xml:space="preserve">VA</x:t>
        </x:is>
      </x:c>
      <x:c r="F323" s="767" t="n">
        <x:v>3</x:v>
      </x:c>
      <x:c r="G323" s="767" t="inlineStr">
        <x:is>
          <x:t xml:space="preserve">ÅRKV</x:t>
        </x:is>
      </x:c>
      <x:c r="H323" s="767" t="inlineStr">
        <x:is>
          <x:t xml:space="preserve">Bostadsenhetsavgift per bostadsenhet VA</x:t>
        </x:is>
      </x:c>
      <x:c r="I323" s="767"/>
      <x:c r="J323" s="767"/>
      <x:c r="K323" s="767" t="n">
        <x:v>2310.4</x:v>
      </x:c>
      <x:c r="L323" s="852" t="n">
        <x:v>46023</x:v>
      </x:c>
      <x:c r="M323" s="767" t="n">
        <x:v>0</x:v>
      </x:c>
      <x:c r="N323" s="767"/>
      <x:c r="O323" s="767" t="inlineStr">
        <x:is>
          <x:t xml:space="preserve">-</x:t>
        </x:is>
      </x:c>
      <x:c r="P323" s="767" t="n">
        <x:v>1</x:v>
      </x:c>
      <x:c r="Q323" s="774" t="inlineStr">
        <x:is>
          <x:t xml:space="preserve">LÄGH</x:t>
        </x:is>
      </x:c>
    </x:row>
    <x:row r="324">
      <x:c r="A324" s="773" t="n">
        <x:v>1919</x:v>
      </x:c>
      <x:c r="B324" s="767" t="inlineStr">
        <x:is>
          <x:t xml:space="preserve">VSUFRI</x:t>
        </x:is>
      </x:c>
      <x:c r="C324" s="767" t="inlineStr">
        <x:is>
          <x:t xml:space="preserve">Vatten och spillvatten utan mätning fritidshus</x:t>
        </x:is>
      </x:c>
      <x:c r="D324" s="767" t="inlineStr">
        <x:is>
          <x:t xml:space="preserve">VA</x:t>
        </x:is>
      </x:c>
      <x:c r="E324" s="767" t="inlineStr">
        <x:is>
          <x:t xml:space="preserve">VA</x:t>
        </x:is>
      </x:c>
      <x:c r="F324" s="767" t="n">
        <x:v>4</x:v>
      </x:c>
      <x:c r="G324" s="767" t="inlineStr">
        <x:is>
          <x:t xml:space="preserve">ÅRKV</x:t>
        </x:is>
      </x:c>
      <x:c r="H324" s="767" t="inlineStr">
        <x:is>
          <x:t xml:space="preserve">Avgift per påbörjad 150-tal m² bruttoarea</x:t>
        </x:is>
      </x:c>
      <x:c r="I324" s="767"/>
      <x:c r="J324" s="767"/>
      <x:c r="K324" s="767" t="n">
        <x:v>2310.4</x:v>
      </x:c>
      <x:c r="L324" s="852" t="n">
        <x:v>46023</x:v>
      </x:c>
      <x:c r="M324" s="767" t="n">
        <x:v>0</x:v>
      </x:c>
      <x:c r="N324" s="767"/>
      <x:c r="O324" s="767" t="inlineStr">
        <x:is>
          <x:t xml:space="preserve">-</x:t>
        </x:is>
      </x:c>
      <x:c r="P324" s="767" t="n">
        <x:v>1</x:v>
      </x:c>
      <x:c r="Q324" s="774" t="inlineStr">
        <x:is>
          <x:t xml:space="preserve">HELTALSDEL((BTAY+149)/150)</x:t>
        </x:is>
      </x:c>
    </x:row>
    <x:row r="325">
      <x:c r="A325" s="773" t="n">
        <x:v>1648</x:v>
      </x:c>
      <x:c r="B325" s="767" t="inlineStr">
        <x:is>
          <x:t xml:space="preserve">VUANNAN</x:t>
        </x:is>
      </x:c>
      <x:c r="C325" s="767" t="inlineStr">
        <x:is>
          <x:t xml:space="preserve">Vatten Uppsk. Förbrukning Annan fastighet</x:t>
        </x:is>
      </x:c>
      <x:c r="D325" s="767" t="inlineStr">
        <x:is>
          <x:t xml:space="preserve">VA</x:t>
        </x:is>
      </x:c>
      <x:c r="E325" s="767" t="inlineStr">
        <x:is>
          <x:t xml:space="preserve">VATT</x:t>
        </x:is>
      </x:c>
      <x:c r="F325" s="767" t="n">
        <x:v>1</x:v>
      </x:c>
      <x:c r="G325" s="767" t="inlineStr">
        <x:is>
          <x:t xml:space="preserve">ÅRPR</x:t>
        </x:is>
      </x:c>
      <x:c r="H325" s="767" t="inlineStr">
        <x:is>
          <x:t xml:space="preserve">Grundavgift VA och Bostadsenhetsavgift</x:t>
        </x:is>
      </x:c>
      <x:c r="I325" s="767"/>
      <x:c r="J325" s="767"/>
      <x:c r="K325" s="767" t="n">
        <x:v>1908.26</x:v>
      </x:c>
      <x:c r="L325" s="852" t="n">
        <x:v>46023</x:v>
      </x:c>
      <x:c r="M325" s="767" t="n">
        <x:v>0</x:v>
      </x:c>
      <x:c r="N325" s="767"/>
      <x:c r="O325" s="767" t="inlineStr">
        <x:is>
          <x:t xml:space="preserve">-</x:t>
        </x:is>
      </x:c>
      <x:c r="P325" s="767" t="n">
        <x:v>1</x:v>
      </x:c>
      <x:c r="Q325" s="774"/>
    </x:row>
    <x:row r="326">
      <x:c r="A326" s="773" t="n">
        <x:v>1649</x:v>
      </x:c>
      <x:c r="B326" s="767" t="inlineStr">
        <x:is>
          <x:t xml:space="preserve">VUANNAN</x:t>
        </x:is>
      </x:c>
      <x:c r="C326" s="767" t="inlineStr">
        <x:is>
          <x:t xml:space="preserve">Vatten Uppsk. Förbrukning Annan fastighet</x:t>
        </x:is>
      </x:c>
      <x:c r="D326" s="767" t="inlineStr">
        <x:is>
          <x:t xml:space="preserve">VA</x:t>
        </x:is>
      </x:c>
      <x:c r="E326" s="767" t="inlineStr">
        <x:is>
          <x:t xml:space="preserve">VATT</x:t>
        </x:is>
      </x:c>
      <x:c r="F326" s="767" t="n">
        <x:v>2</x:v>
      </x:c>
      <x:c r="G326" s="767" t="inlineStr">
        <x:is>
          <x:t xml:space="preserve">UPFÖ</x:t>
        </x:is>
      </x:c>
      <x:c r="H326" s="767" t="inlineStr">
        <x:is>
          <x:t xml:space="preserve">Rörlig avgift, uppsk. förbrukning per m³</x:t>
        </x:is>
      </x:c>
      <x:c r="I326" s="767"/>
      <x:c r="J326" s="767"/>
      <x:c r="K326" s="767" t="n">
        <x:v>18.42</x:v>
      </x:c>
      <x:c r="L326" s="852" t="n">
        <x:v>46023</x:v>
      </x:c>
      <x:c r="M326" s="767" t="n">
        <x:v>0</x:v>
      </x:c>
      <x:c r="N326" s="767"/>
      <x:c r="O326" s="767" t="inlineStr">
        <x:is>
          <x:t xml:space="preserve">-</x:t>
        </x:is>
      </x:c>
      <x:c r="P326" s="767" t="n">
        <x:v>1</x:v>
      </x:c>
      <x:c r="Q326" s="774"/>
    </x:row>
    <x:row r="327">
      <x:c r="A327" s="773" t="n">
        <x:v>1636</x:v>
      </x:c>
      <x:c r="B327" s="767" t="inlineStr">
        <x:is>
          <x:t xml:space="preserve">VUBOSTAD</x:t>
        </x:is>
      </x:c>
      <x:c r="C327" s="767" t="inlineStr">
        <x:is>
          <x:t xml:space="preserve">Vatten Uppsk. förbrukning Bostad</x:t>
        </x:is>
      </x:c>
      <x:c r="D327" s="767" t="inlineStr">
        <x:is>
          <x:t xml:space="preserve">VA</x:t>
        </x:is>
      </x:c>
      <x:c r="E327" s="767" t="inlineStr">
        <x:is>
          <x:t xml:space="preserve">VATT</x:t>
        </x:is>
      </x:c>
      <x:c r="F327" s="767" t="n">
        <x:v>1</x:v>
      </x:c>
      <x:c r="G327" s="767" t="inlineStr">
        <x:is>
          <x:t xml:space="preserve">ÅRPR</x:t>
        </x:is>
      </x:c>
      <x:c r="H327" s="767" t="inlineStr">
        <x:is>
          <x:t xml:space="preserve">Grundavgift VA</x:t>
        </x:is>
      </x:c>
      <x:c r="I327" s="767"/>
      <x:c r="J327" s="767"/>
      <x:c r="K327" s="767" t="n">
        <x:v>776.16</x:v>
      </x:c>
      <x:c r="L327" s="852" t="n">
        <x:v>46023</x:v>
      </x:c>
      <x:c r="M327" s="767" t="n">
        <x:v>0</x:v>
      </x:c>
      <x:c r="N327" s="767"/>
      <x:c r="O327" s="767" t="inlineStr">
        <x:is>
          <x:t xml:space="preserve">-</x:t>
        </x:is>
      </x:c>
      <x:c r="P327" s="767" t="n">
        <x:v>1</x:v>
      </x:c>
      <x:c r="Q327" s="774"/>
    </x:row>
    <x:row r="328">
      <x:c r="A328" s="773" t="n">
        <x:v>1637</x:v>
      </x:c>
      <x:c r="B328" s="767" t="inlineStr">
        <x:is>
          <x:t xml:space="preserve">VUBOSTAD</x:t>
        </x:is>
      </x:c>
      <x:c r="C328" s="767" t="inlineStr">
        <x:is>
          <x:t xml:space="preserve">Vatten Uppsk. förbrukning Bostad</x:t>
        </x:is>
      </x:c>
      <x:c r="D328" s="767" t="inlineStr">
        <x:is>
          <x:t xml:space="preserve">VA</x:t>
        </x:is>
      </x:c>
      <x:c r="E328" s="767" t="inlineStr">
        <x:is>
          <x:t xml:space="preserve">VATT</x:t>
        </x:is>
      </x:c>
      <x:c r="F328" s="767" t="n">
        <x:v>2</x:v>
      </x:c>
      <x:c r="G328" s="767" t="inlineStr">
        <x:is>
          <x:t xml:space="preserve">UPFÖ</x:t>
        </x:is>
      </x:c>
      <x:c r="H328" s="767" t="inlineStr">
        <x:is>
          <x:t xml:space="preserve">Rörlig avgift, uppsk. förbrukning per m³</x:t>
        </x:is>
      </x:c>
      <x:c r="I328" s="767"/>
      <x:c r="J328" s="767"/>
      <x:c r="K328" s="767" t="n">
        <x:v>18.42</x:v>
      </x:c>
      <x:c r="L328" s="852" t="n">
        <x:v>46023</x:v>
      </x:c>
      <x:c r="M328" s="767" t="n">
        <x:v>0</x:v>
      </x:c>
      <x:c r="N328" s="767"/>
      <x:c r="O328" s="767" t="inlineStr">
        <x:is>
          <x:t xml:space="preserve">-</x:t>
        </x:is>
      </x:c>
      <x:c r="P328" s="767" t="n">
        <x:v>1</x:v>
      </x:c>
      <x:c r="Q328" s="774"/>
    </x:row>
    <x:row r="329">
      <x:c r="A329" s="773" t="n">
        <x:v>1638</x:v>
      </x:c>
      <x:c r="B329" s="767" t="inlineStr">
        <x:is>
          <x:t xml:space="preserve">VUBOSTAD</x:t>
        </x:is>
      </x:c>
      <x:c r="C329" s="767" t="inlineStr">
        <x:is>
          <x:t xml:space="preserve">Vatten Uppsk. förbrukning Bostad</x:t>
        </x:is>
      </x:c>
      <x:c r="D329" s="767" t="inlineStr">
        <x:is>
          <x:t xml:space="preserve">VA</x:t>
        </x:is>
      </x:c>
      <x:c r="E329" s="767" t="inlineStr">
        <x:is>
          <x:t xml:space="preserve">VATT</x:t>
        </x:is>
      </x:c>
      <x:c r="F329" s="767" t="n">
        <x:v>3</x:v>
      </x:c>
      <x:c r="G329" s="767" t="inlineStr">
        <x:is>
          <x:t xml:space="preserve">ÅRKV</x:t>
        </x:is>
      </x:c>
      <x:c r="H329" s="767" t="inlineStr">
        <x:is>
          <x:t xml:space="preserve">Bostadsenhetsavgift</x:t>
        </x:is>
      </x:c>
      <x:c r="I329" s="767"/>
      <x:c r="J329" s="767"/>
      <x:c r="K329" s="767" t="n">
        <x:v>1132.1</x:v>
      </x:c>
      <x:c r="L329" s="852" t="n">
        <x:v>46023</x:v>
      </x:c>
      <x:c r="M329" s="767" t="n">
        <x:v>0</x:v>
      </x:c>
      <x:c r="N329" s="767"/>
      <x:c r="O329" s="767" t="inlineStr">
        <x:is>
          <x:t xml:space="preserve">-</x:t>
        </x:is>
      </x:c>
      <x:c r="P329" s="767" t="n">
        <x:v>1</x:v>
      </x:c>
      <x:c r="Q329" s="774" t="inlineStr">
        <x:is>
          <x:t xml:space="preserve">LÄGH</x:t>
        </x:is>
      </x:c>
    </x:row>
    <x:row r="330">
      <x:c r="A330" s="773" t="n">
        <x:v>1924</x:v>
      </x:c>
      <x:c r="B330" s="767" t="inlineStr">
        <x:is>
          <x:t xml:space="preserve">VUBOSTAD</x:t>
        </x:is>
      </x:c>
      <x:c r="C330" s="767" t="inlineStr">
        <x:is>
          <x:t xml:space="preserve">Vatten Uppsk. förbrukning Bostad</x:t>
        </x:is>
      </x:c>
      <x:c r="D330" s="767" t="inlineStr">
        <x:is>
          <x:t xml:space="preserve">VA</x:t>
        </x:is>
      </x:c>
      <x:c r="E330" s="767" t="inlineStr">
        <x:is>
          <x:t xml:space="preserve">VATT</x:t>
        </x:is>
      </x:c>
      <x:c r="F330" s="767" t="n">
        <x:v>4</x:v>
      </x:c>
      <x:c r="G330" s="767" t="inlineStr">
        <x:is>
          <x:t xml:space="preserve">ÅRKV</x:t>
        </x:is>
      </x:c>
      <x:c r="H330" s="767" t="inlineStr">
        <x:is>
          <x:t xml:space="preserve">Bostadsenhetsavgift, per påbörjad 150 m² BTA</x:t>
        </x:is>
      </x:c>
      <x:c r="I330" s="767"/>
      <x:c r="J330" s="767"/>
      <x:c r="K330" s="767" t="n">
        <x:v>1132.1</x:v>
      </x:c>
      <x:c r="L330" s="852" t="n">
        <x:v>46023</x:v>
      </x:c>
      <x:c r="M330" s="767" t="n">
        <x:v>0</x:v>
      </x:c>
      <x:c r="N330" s="767"/>
      <x:c r="O330" s="767" t="inlineStr">
        <x:is>
          <x:t xml:space="preserve">-</x:t>
        </x:is>
      </x:c>
      <x:c r="P330" s="767" t="n">
        <x:v>1</x:v>
      </x:c>
      <x:c r="Q330" s="774" t="inlineStr">
        <x:is>
          <x:t xml:space="preserve">HELTALSDEL((BTAY+149)/150)</x:t>
        </x:is>
      </x:c>
    </x:row>
    <x:row r="331">
      <x:c r="A331" s="773" t="n">
        <x:v>1920</x:v>
      </x:c>
      <x:c r="B331" s="767" t="inlineStr">
        <x:is>
          <x:t xml:space="preserve">VUFRI</x:t>
        </x:is>
      </x:c>
      <x:c r="C331" s="767" t="inlineStr">
        <x:is>
          <x:t xml:space="preserve">Vatten utan mätare fritidshus</x:t>
        </x:is>
      </x:c>
      <x:c r="D331" s="767" t="inlineStr">
        <x:is>
          <x:t xml:space="preserve">VA</x:t>
        </x:is>
      </x:c>
      <x:c r="E331" s="767" t="inlineStr">
        <x:is>
          <x:t xml:space="preserve">VA</x:t>
        </x:is>
      </x:c>
      <x:c r="F331" s="767" t="n">
        <x:v>1</x:v>
      </x:c>
      <x:c r="G331" s="767" t="inlineStr">
        <x:is>
          <x:t xml:space="preserve">ÅRPR</x:t>
        </x:is>
      </x:c>
      <x:c r="H331" s="767" t="inlineStr">
        <x:is>
          <x:t xml:space="preserve">Grundavgift + Bostadsenhetsavgift VA</x:t>
        </x:is>
      </x:c>
      <x:c r="I331" s="767"/>
      <x:c r="J331" s="767"/>
      <x:c r="K331" s="767" t="n">
        <x:v>1908.26</x:v>
      </x:c>
      <x:c r="L331" s="852" t="n">
        <x:v>46023</x:v>
      </x:c>
      <x:c r="M331" s="767" t="n">
        <x:v>0</x:v>
      </x:c>
      <x:c r="N331" s="767"/>
      <x:c r="O331" s="767" t="inlineStr">
        <x:is>
          <x:t xml:space="preserve">-</x:t>
        </x:is>
      </x:c>
      <x:c r="P331" s="767" t="n">
        <x:v>1</x:v>
      </x:c>
      <x:c r="Q331" s="774"/>
    </x:row>
    <x:row r="332">
      <x:c r="A332" s="773" t="n">
        <x:v>1921</x:v>
      </x:c>
      <x:c r="B332" s="767" t="inlineStr">
        <x:is>
          <x:t xml:space="preserve">VUFRI</x:t>
        </x:is>
      </x:c>
      <x:c r="C332" s="767" t="inlineStr">
        <x:is>
          <x:t xml:space="preserve">Vatten utan mätare fritidshus</x:t>
        </x:is>
      </x:c>
      <x:c r="D332" s="767" t="inlineStr">
        <x:is>
          <x:t xml:space="preserve">VA</x:t>
        </x:is>
      </x:c>
      <x:c r="E332" s="767" t="inlineStr">
        <x:is>
          <x:t xml:space="preserve">VA</x:t>
        </x:is>
      </x:c>
      <x:c r="F332" s="767" t="n">
        <x:v>2</x:v>
      </x:c>
      <x:c r="G332" s="767" t="inlineStr">
        <x:is>
          <x:t xml:space="preserve">UPFÖ</x:t>
        </x:is>
      </x:c>
      <x:c r="H332" s="767" t="inlineStr">
        <x:is>
          <x:t xml:space="preserve">Rörlig avgift, uppsk. förbrukning per m³</x:t>
        </x:is>
      </x:c>
      <x:c r="I332" s="767"/>
      <x:c r="J332" s="767"/>
      <x:c r="K332" s="767" t="n">
        <x:v>18.42</x:v>
      </x:c>
      <x:c r="L332" s="852" t="n">
        <x:v>46023</x:v>
      </x:c>
      <x:c r="M332" s="767" t="n">
        <x:v>0</x:v>
      </x:c>
      <x:c r="N332" s="767"/>
      <x:c r="O332" s="767" t="inlineStr">
        <x:is>
          <x:t xml:space="preserve">-</x:t>
        </x:is>
      </x:c>
      <x:c r="P332" s="767" t="n">
        <x:v>1</x:v>
      </x:c>
      <x:c r="Q332" s="774"/>
    </x:row>
    <x:row r="333">
      <x:c r="A333" s="773" t="n">
        <x:v>1962</x:v>
      </x:c>
      <x:c r="B333" s="767" t="inlineStr">
        <x:is>
          <x:t xml:space="preserve">AVSLUTA_TJÄNST</x:t>
        </x:is>
      </x:c>
      <x:c r="C333" s="767" t="inlineStr">
        <x:is>
          <x:t xml:space="preserve">Dummy för avslut av tjänst via order</x:t>
        </x:is>
      </x:c>
      <x:c r="D333" s="767" t="inlineStr">
        <x:is>
          <x:t xml:space="preserve">RENH</x:t>
        </x:is>
      </x:c>
      <x:c r="E333" s="767" t="inlineStr">
        <x:is>
          <x:t xml:space="preserve">HUSH</x:t>
        </x:is>
      </x:c>
      <x:c r="F333" s="767" t="n">
        <x:v>1</x:v>
      </x:c>
      <x:c r="G333" s="767" t="inlineStr">
        <x:is>
          <x:t xml:space="preserve">KVAN</x:t>
        </x:is>
      </x:c>
      <x:c r="H333" s="767" t="inlineStr">
        <x:is>
          <x:t xml:space="preserve">Avslut av tjänst</x:t>
        </x:is>
      </x:c>
      <x:c r="I333" s="767"/>
      <x:c r="J333" s="767"/>
      <x:c r="K333" s="767"/>
      <x:c r="L333" s="767"/>
      <x:c r="M333" s="767" t="n">
        <x:v>0</x:v>
      </x:c>
      <x:c r="N333" s="767"/>
      <x:c r="O333" s="767" t="inlineStr">
        <x:is>
          <x:t xml:space="preserve">-</x:t>
        </x:is>
      </x:c>
      <x:c r="P333" s="767" t="n">
        <x:v>0</x:v>
      </x:c>
      <x:c r="Q333" s="774" t="inlineStr">
        <x:is>
          <x:t xml:space="preserve">0</x:t>
        </x:is>
      </x:c>
    </x:row>
    <x:row r="334">
      <x:c r="A334" s="773" t="n">
        <x:v>1953</x:v>
      </x:c>
      <x:c r="B334" s="767" t="inlineStr">
        <x:is>
          <x:t xml:space="preserve">BRN69LORDDEL</x:t>
        </x:is>
      </x:c>
      <x:c r="C334" s="767" t="inlineStr">
        <x:is>
          <x:t xml:space="preserve">Brunn 6,1-9 m³, slam. Ordinarie tur</x:t>
        </x:is>
      </x:c>
      <x:c r="D334" s="767" t="inlineStr">
        <x:is>
          <x:t xml:space="preserve">RENH</x:t>
        </x:is>
      </x:c>
      <x:c r="E334" s="767" t="inlineStr">
        <x:is>
          <x:t xml:space="preserve">SLAM</x:t>
        </x:is>
      </x:c>
      <x:c r="F334" s="767" t="n">
        <x:v>1</x:v>
      </x:c>
      <x:c r="G334" s="767" t="inlineStr">
        <x:is>
          <x:t xml:space="preserve">ÅRKV</x:t>
        </x:is>
      </x:c>
      <x:c r="H334" s="767" t="inlineStr">
        <x:is>
          <x:t xml:space="preserve">Brunn 6,1-9 m³, slam. Ordinarie tur</x:t>
        </x:is>
      </x:c>
      <x:c r="I334" s="767"/>
      <x:c r="J334" s="767"/>
      <x:c r="K334" s="767"/>
      <x:c r="L334" s="767"/>
      <x:c r="M334" s="767" t="n">
        <x:v>0</x:v>
      </x:c>
      <x:c r="N334" s="767"/>
      <x:c r="O334" s="767" t="inlineStr">
        <x:is>
          <x:t xml:space="preserve">-</x:t>
        </x:is>
      </x:c>
      <x:c r="P334" s="767" t="n">
        <x:v>1</x:v>
      </x:c>
      <x:c r="Q334" s="774" t="inlineStr">
        <x:is>
          <x:t xml:space="preserve">0</x:t>
        </x:is>
      </x:c>
    </x:row>
    <x:row r="335">
      <x:c r="A335" s="773" t="n">
        <x:v>1968</x:v>
      </x:c>
      <x:c r="B335" s="767" t="inlineStr">
        <x:is>
          <x:t xml:space="preserve">Miljövagn</x:t>
        </x:is>
      </x:c>
      <x:c r="C335" s="767" t="inlineStr">
        <x:is>
          <x:t xml:space="preserve">Miljövagn, Papper plast tidning metall glasof glasf</x:t>
        </x:is>
      </x:c>
      <x:c r="D335" s="767" t="inlineStr">
        <x:is>
          <x:t xml:space="preserve">RENH</x:t>
        </x:is>
      </x:c>
      <x:c r="E335" s="767" t="inlineStr">
        <x:is>
          <x:t xml:space="preserve">ÅVS</x:t>
        </x:is>
      </x:c>
      <x:c r="F335" s="767" t="n">
        <x:v>1</x:v>
      </x:c>
      <x:c r="G335" s="767" t="inlineStr">
        <x:is>
          <x:t xml:space="preserve">ÅRKV</x:t>
        </x:is>
      </x:c>
      <x:c r="H335" s="767" t="inlineStr">
        <x:is>
          <x:t xml:space="preserve">Miljövagn</x:t>
        </x:is>
      </x:c>
      <x:c r="I335" s="767"/>
      <x:c r="J335" s="767"/>
      <x:c r="K335" s="767"/>
      <x:c r="L335" s="767"/>
      <x:c r="M335" s="767" t="n">
        <x:v>0</x:v>
      </x:c>
      <x:c r="N335" s="767"/>
      <x:c r="O335" s="767" t="inlineStr">
        <x:is>
          <x:t xml:space="preserve">-</x:t>
        </x:is>
      </x:c>
      <x:c r="P335" s="767" t="n">
        <x:v>1</x:v>
      </x:c>
      <x:c r="Q335" s="774" t="inlineStr">
        <x:is>
          <x:t xml:space="preserve">0</x:t>
        </x:is>
      </x:c>
    </x:row>
    <x:row r="336">
      <x:c r="A336" s="773" t="n">
        <x:v>1903</x:v>
      </x:c>
      <x:c r="B336" s="767" t="inlineStr">
        <x:is>
          <x:t xml:space="preserve">REGLRESTBELOPP</x:t>
        </x:is>
      </x:c>
      <x:c r="C336" s="767" t="inlineStr">
        <x:is>
          <x:t xml:space="preserve">Reglering restbelopp tidigare faktura</x:t>
        </x:is>
      </x:c>
      <x:c r="D336" s="767" t="inlineStr">
        <x:is>
          <x:t xml:space="preserve">VA</x:t>
        </x:is>
      </x:c>
      <x:c r="E336" s="767"/>
      <x:c r="F336" s="767" t="n">
        <x:v>1</x:v>
      </x:c>
      <x:c r="G336" s="767" t="inlineStr">
        <x:is>
          <x:t xml:space="preserve">KVAN</x:t>
        </x:is>
      </x:c>
      <x:c r="H336" s="767" t="inlineStr">
        <x:is>
          <x:t xml:space="preserve">Reglering restbelopp tidigare faktura</x:t>
        </x:is>
      </x:c>
      <x:c r="I336" s="767"/>
      <x:c r="J336" s="767"/>
      <x:c r="K336" s="767"/>
      <x:c r="L336" s="767"/>
      <x:c r="M336" s="767" t="n">
        <x:v>0</x:v>
      </x:c>
      <x:c r="N336" s="767"/>
      <x:c r="O336" s="767" t="inlineStr">
        <x:is>
          <x:t xml:space="preserve">-</x:t>
        </x:is>
      </x:c>
      <x:c r="P336" s="767" t="n">
        <x:v>0</x:v>
      </x:c>
      <x:c r="Q336" s="774" t="inlineStr">
        <x:is>
          <x:t xml:space="preserve">ANTL</x:t>
        </x:is>
      </x:c>
    </x:row>
    <x:row r="337">
      <x:c r="A337" s="773" t="n">
        <x:v>1972</x:v>
      </x:c>
      <x:c r="B337" s="767" t="inlineStr">
        <x:is>
          <x:t xml:space="preserve">SMS Avvik</x:t>
        </x:is>
      </x:c>
      <x:c r="C337" s="767" t="inlineStr">
        <x:is>
          <x:t xml:space="preserve">Sms</x:t>
        </x:is>
      </x:c>
      <x:c r="D337" s="767" t="inlineStr">
        <x:is>
          <x:t xml:space="preserve">RENH</x:t>
        </x:is>
      </x:c>
      <x:c r="E337" s="767"/>
      <x:c r="F337" s="767" t="n">
        <x:v>1</x:v>
      </x:c>
      <x:c r="G337" s="767" t="inlineStr">
        <x:is>
          <x:t xml:space="preserve">ÅRKV</x:t>
        </x:is>
      </x:c>
      <x:c r="H337" s="767" t="inlineStr">
        <x:is>
          <x:t xml:space="preserve">Sms till kund</x:t>
        </x:is>
      </x:c>
      <x:c r="I337" s="767"/>
      <x:c r="J337" s="767"/>
      <x:c r="K337" s="767"/>
      <x:c r="L337" s="767"/>
      <x:c r="M337" s="767" t="n">
        <x:v>0</x:v>
      </x:c>
      <x:c r="N337" s="767"/>
      <x:c r="O337" s="767" t="inlineStr">
        <x:is>
          <x:t xml:space="preserve">-</x:t>
        </x:is>
      </x:c>
      <x:c r="P337" s="767" t="n">
        <x:v>1</x:v>
      </x:c>
      <x:c r="Q337" s="774" t="inlineStr">
        <x:is>
          <x:t xml:space="preserve">ANTL</x:t>
        </x:is>
      </x:c>
    </x:row>
    <x:row r="338">
      <x:c r="A338" s="773" t="n">
        <x:v>1927</x:v>
      </x:c>
      <x:c r="B338" s="767" t="inlineStr">
        <x:is>
          <x:t xml:space="preserve">TEST240FFG13</x:t>
        </x:is>
      </x:c>
      <x:c r="C338" s="767" t="inlineStr">
        <x:is>
          <x:t xml:space="preserve">240 kärl/4:e vecka 2-delat kärl färgat o ofärgat glas TEST</x:t>
        </x:is>
      </x:c>
      <x:c r="D338" s="767" t="inlineStr">
        <x:is>
          <x:t xml:space="preserve">RENH</x:t>
        </x:is>
      </x:c>
      <x:c r="E338" s="767" t="inlineStr">
        <x:is>
          <x:t xml:space="preserve">HUSH</x:t>
        </x:is>
      </x:c>
      <x:c r="F338" s="767" t="n">
        <x:v>1</x:v>
      </x:c>
      <x:c r="G338" s="767" t="inlineStr">
        <x:is>
          <x:t xml:space="preserve">ÅRKV</x:t>
        </x:is>
      </x:c>
      <x:c r="H338" s="767" t="inlineStr">
        <x:is>
          <x:t xml:space="preserve">240 l kärl/4 vecka test glas färgat ofärgat</x:t>
        </x:is>
      </x:c>
      <x:c r="I338" s="767"/>
      <x:c r="J338" s="767"/>
      <x:c r="K338" s="767"/>
      <x:c r="L338" s="767"/>
      <x:c r="M338" s="767" t="n">
        <x:v>0</x:v>
      </x:c>
      <x:c r="N338" s="767"/>
      <x:c r="O338" s="767" t="inlineStr">
        <x:is>
          <x:t xml:space="preserve">X</x:t>
        </x:is>
      </x:c>
      <x:c r="P338" s="767" t="n">
        <x:v>1</x:v>
      </x:c>
      <x:c r="Q338" s="774" t="inlineStr">
        <x:is>
          <x:t xml:space="preserve">antb</x:t>
        </x:is>
      </x:c>
    </x:row>
    <x:row r="339">
      <x:c r="A339" s="773" t="n">
        <x:v>1928</x:v>
      </x:c>
      <x:c r="B339" s="767" t="inlineStr">
        <x:is>
          <x:t xml:space="preserve">TEST240FFG13</x:t>
        </x:is>
      </x:c>
      <x:c r="C339" s="767" t="inlineStr">
        <x:is>
          <x:t xml:space="preserve">240 kärl/4:e vecka 2-delat kärl färgat o ofärgat glas TEST</x:t>
        </x:is>
      </x:c>
      <x:c r="D339" s="767" t="inlineStr">
        <x:is>
          <x:t xml:space="preserve">RENH</x:t>
        </x:is>
      </x:c>
      <x:c r="E339" s="767" t="inlineStr">
        <x:is>
          <x:t xml:space="preserve">HUSH</x:t>
        </x:is>
      </x:c>
      <x:c r="F339" s="767" t="n">
        <x:v>2</x:v>
      </x:c>
      <x:c r="G339" s="767" t="inlineStr">
        <x:is>
          <x:t xml:space="preserve">KVAN</x:t>
        </x:is>
      </x:c>
      <x:c r="H339" s="767" t="inlineStr">
        <x:is>
          <x:t xml:space="preserve">240 l kärl - viktavgift färgat och ofärgat test</x:t>
        </x:is>
      </x:c>
      <x:c r="I339" s="767"/>
      <x:c r="J339" s="767"/>
      <x:c r="K339" s="767"/>
      <x:c r="L339" s="767"/>
      <x:c r="M339" s="767" t="n">
        <x:v>0</x:v>
      </x:c>
      <x:c r="N339" s="767"/>
      <x:c r="O339" s="767" t="inlineStr">
        <x:is>
          <x:t xml:space="preserve">X</x:t>
        </x:is>
      </x:c>
      <x:c r="P339" s="767" t="n">
        <x:v>1</x:v>
      </x:c>
      <x:c r="Q339" s="774" t="inlineStr">
        <x:is>
          <x:t xml:space="preserve">vikg</x:t>
        </x:is>
      </x:c>
    </x:row>
    <x:row r="340">
      <x:c r="A340" s="773" t="n">
        <x:v>1929</x:v>
      </x:c>
      <x:c r="B340" s="767" t="inlineStr">
        <x:is>
          <x:t xml:space="preserve">TEST240METE13</x:t>
        </x:is>
      </x:c>
      <x:c r="C340" s="767" t="inlineStr">
        <x:is>
          <x:t xml:space="preserve">240 kärl/4 vecka 2-delat metallförp textil TEST</x:t>
        </x:is>
      </x:c>
      <x:c r="D340" s="767" t="inlineStr">
        <x:is>
          <x:t xml:space="preserve">RENH</x:t>
        </x:is>
      </x:c>
      <x:c r="E340" s="767" t="inlineStr">
        <x:is>
          <x:t xml:space="preserve">HUSH</x:t>
        </x:is>
      </x:c>
      <x:c r="F340" s="767" t="n">
        <x:v>1</x:v>
      </x:c>
      <x:c r="G340" s="767" t="inlineStr">
        <x:is>
          <x:t xml:space="preserve">ÅRKV</x:t>
        </x:is>
      </x:c>
      <x:c r="H340" s="767" t="inlineStr">
        <x:is>
          <x:t xml:space="preserve">240 kärl/4 test metallförp textil</x:t>
        </x:is>
      </x:c>
      <x:c r="I340" s="767"/>
      <x:c r="J340" s="767"/>
      <x:c r="K340" s="767"/>
      <x:c r="L340" s="767"/>
      <x:c r="M340" s="767" t="n">
        <x:v>0</x:v>
      </x:c>
      <x:c r="N340" s="767"/>
      <x:c r="O340" s="767" t="inlineStr">
        <x:is>
          <x:t xml:space="preserve">X</x:t>
        </x:is>
      </x:c>
      <x:c r="P340" s="767" t="n">
        <x:v>1</x:v>
      </x:c>
      <x:c r="Q340" s="774" t="inlineStr">
        <x:is>
          <x:t xml:space="preserve">ANTB</x:t>
        </x:is>
      </x:c>
    </x:row>
    <x:row r="341">
      <x:c r="A341" s="773" t="n">
        <x:v>1930</x:v>
      </x:c>
      <x:c r="B341" s="767" t="inlineStr">
        <x:is>
          <x:t xml:space="preserve">TEST240METE13</x:t>
        </x:is>
      </x:c>
      <x:c r="C341" s="767" t="inlineStr">
        <x:is>
          <x:t xml:space="preserve">240 kärl/4 vecka 2-delat metallförp textil TEST</x:t>
        </x:is>
      </x:c>
      <x:c r="D341" s="767" t="inlineStr">
        <x:is>
          <x:t xml:space="preserve">RENH</x:t>
        </x:is>
      </x:c>
      <x:c r="E341" s="767" t="inlineStr">
        <x:is>
          <x:t xml:space="preserve">HUSH</x:t>
        </x:is>
      </x:c>
      <x:c r="F341" s="767" t="n">
        <x:v>2</x:v>
      </x:c>
      <x:c r="G341" s="767" t="inlineStr">
        <x:is>
          <x:t xml:space="preserve">KVAN</x:t>
        </x:is>
      </x:c>
      <x:c r="H341" s="767" t="inlineStr">
        <x:is>
          <x:t xml:space="preserve">240 l kärl viktavg metallförp textil TEST</x:t>
        </x:is>
      </x:c>
      <x:c r="I341" s="767"/>
      <x:c r="J341" s="767"/>
      <x:c r="K341" s="767"/>
      <x:c r="L341" s="767"/>
      <x:c r="M341" s="767" t="n">
        <x:v>0</x:v>
      </x:c>
      <x:c r="N341" s="767"/>
      <x:c r="O341" s="767" t="inlineStr">
        <x:is>
          <x:t xml:space="preserve">X</x:t>
        </x:is>
      </x:c>
      <x:c r="P341" s="767" t="n">
        <x:v>1</x:v>
      </x:c>
      <x:c r="Q341" s="774" t="inlineStr">
        <x:is>
          <x:t xml:space="preserve">VIKG</x:t>
        </x:is>
      </x:c>
    </x:row>
    <x:row r="342">
      <x:c r="A342" s="773" t="n">
        <x:v>1925</x:v>
      </x:c>
      <x:c r="B342" s="767" t="inlineStr">
        <x:is>
          <x:t xml:space="preserve">TEST370VV</x:t>
        </x:is>
      </x:c>
      <x:c r="C342" s="767" t="inlineStr">
        <x:is>
          <x:t xml:space="preserve">370 I Kärl/14 dgr 2-delat kärl papper o plast</x:t>
        </x:is>
      </x:c>
      <x:c r="D342" s="767" t="inlineStr">
        <x:is>
          <x:t xml:space="preserve">RENH</x:t>
        </x:is>
      </x:c>
      <x:c r="E342" s="767" t="inlineStr">
        <x:is>
          <x:t xml:space="preserve">HUSH</x:t>
        </x:is>
      </x:c>
      <x:c r="F342" s="767" t="n">
        <x:v>1</x:v>
      </x:c>
      <x:c r="G342" s="767" t="inlineStr">
        <x:is>
          <x:t xml:space="preserve">ÅRKV</x:t>
        </x:is>
      </x:c>
      <x:c r="H342" s="767" t="inlineStr">
        <x:is>
          <x:t xml:space="preserve">370 I Kärl/14 dgr TEST papper plast</x:t>
        </x:is>
      </x:c>
      <x:c r="I342" s="767"/>
      <x:c r="J342" s="767"/>
      <x:c r="K342" s="767"/>
      <x:c r="L342" s="767"/>
      <x:c r="M342" s="767" t="n">
        <x:v>0</x:v>
      </x:c>
      <x:c r="N342" s="767"/>
      <x:c r="O342" s="767" t="inlineStr">
        <x:is>
          <x:t xml:space="preserve">X</x:t>
        </x:is>
      </x:c>
      <x:c r="P342" s="767" t="n">
        <x:v>1</x:v>
      </x:c>
      <x:c r="Q342" s="774" t="inlineStr">
        <x:is>
          <x:t xml:space="preserve">ANTB</x:t>
        </x:is>
      </x:c>
    </x:row>
    <x:row r="343">
      <x:c r="A343" s="773" t="n">
        <x:v>1926</x:v>
      </x:c>
      <x:c r="B343" s="767" t="inlineStr">
        <x:is>
          <x:t xml:space="preserve">TEST370VV</x:t>
        </x:is>
      </x:c>
      <x:c r="C343" s="767" t="inlineStr">
        <x:is>
          <x:t xml:space="preserve">370 I Kärl/14 dgr 2-delat kärl papper o plast</x:t>
        </x:is>
      </x:c>
      <x:c r="D343" s="767" t="inlineStr">
        <x:is>
          <x:t xml:space="preserve">RENH</x:t>
        </x:is>
      </x:c>
      <x:c r="E343" s="767" t="inlineStr">
        <x:is>
          <x:t xml:space="preserve">HUSH</x:t>
        </x:is>
      </x:c>
      <x:c r="F343" s="767" t="n">
        <x:v>2</x:v>
      </x:c>
      <x:c r="G343" s="767" t="inlineStr">
        <x:is>
          <x:t xml:space="preserve">KVAN</x:t>
        </x:is>
      </x:c>
      <x:c r="H343" s="767" t="inlineStr">
        <x:is>
          <x:t xml:space="preserve">370 I Kärl - viktavgift papper och plast TEST</x:t>
        </x:is>
      </x:c>
      <x:c r="I343" s="767"/>
      <x:c r="J343" s="767"/>
      <x:c r="K343" s="767"/>
      <x:c r="L343" s="767"/>
      <x:c r="M343" s="767" t="n">
        <x:v>0</x:v>
      </x:c>
      <x:c r="N343" s="767"/>
      <x:c r="O343" s="767" t="inlineStr">
        <x:is>
          <x:t xml:space="preserve">X</x:t>
        </x:is>
      </x:c>
      <x:c r="P343" s="767" t="n">
        <x:v>1</x:v>
      </x:c>
      <x:c r="Q343" s="774" t="inlineStr">
        <x:is>
          <x:t xml:space="preserve">VIKG</x:t>
        </x:is>
      </x:c>
    </x:row>
    <x:row r="344">
      <x:c r="A344" s="773" t="n">
        <x:v>1664</x:v>
      </x:c>
      <x:c r="B344" s="767" t="inlineStr">
        <x:is>
          <x:t xml:space="preserve">VS0</x:t>
        </x:is>
      </x:c>
      <x:c r="C344" s="767" t="inlineStr">
        <x:is>
          <x:t xml:space="preserve">Dummytaxa för tjänst</x:t>
        </x:is>
      </x:c>
      <x:c r="D344" s="767" t="inlineStr">
        <x:is>
          <x:t xml:space="preserve">VA</x:t>
        </x:is>
      </x:c>
      <x:c r="E344" s="767"/>
      <x:c r="F344" s="767" t="n">
        <x:v>1</x:v>
      </x:c>
      <x:c r="G344" s="767" t="inlineStr">
        <x:is>
          <x:t xml:space="preserve">KVAN</x:t>
        </x:is>
      </x:c>
      <x:c r="H344" s="767" t="inlineStr">
        <x:is>
          <x:t xml:space="preserve">Dummytaxa för tjänst</x:t>
        </x:is>
      </x:c>
      <x:c r="I344" s="767"/>
      <x:c r="J344" s="767"/>
      <x:c r="K344" s="767"/>
      <x:c r="L344" s="767"/>
      <x:c r="M344" s="767" t="n">
        <x:v>0</x:v>
      </x:c>
      <x:c r="N344" s="767"/>
      <x:c r="O344" s="767" t="inlineStr">
        <x:is>
          <x:t xml:space="preserve">-</x:t>
        </x:is>
      </x:c>
      <x:c r="P344" s="767" t="n">
        <x:v>1</x:v>
      </x:c>
      <x:c r="Q344" s="774"/>
    </x:row>
    <x:row r="345">
      <x:c r="A345" s="773" t="n">
        <x:v>1663</x:v>
      </x:c>
      <x:c r="B345" s="767" t="inlineStr">
        <x:is>
          <x:t xml:space="preserve">VSKORR</x:t>
        </x:is>
      </x:c>
      <x:c r="C345" s="767" t="inlineStr">
        <x:is>
          <x:t xml:space="preserve">Korrigering av händelse, konto och pris sätts manuellt</x:t>
        </x:is>
      </x:c>
      <x:c r="D345" s="767" t="inlineStr">
        <x:is>
          <x:t xml:space="preserve">VA</x:t>
        </x:is>
      </x:c>
      <x:c r="E345" s="767"/>
      <x:c r="F345" s="767" t="n">
        <x:v>1</x:v>
      </x:c>
      <x:c r="G345" s="767" t="inlineStr">
        <x:is>
          <x:t xml:space="preserve">KVAN</x:t>
        </x:is>
      </x:c>
      <x:c r="H345" s="767" t="inlineStr">
        <x:is>
          <x:t xml:space="preserve">Korrigering av händelse, konto och pris sätts manuellt</x:t>
        </x:is>
      </x:c>
      <x:c r="I345" s="767"/>
      <x:c r="J345" s="767"/>
      <x:c r="K345" s="767"/>
      <x:c r="L345" s="767"/>
      <x:c r="M345" s="767" t="n">
        <x:v>0</x:v>
      </x:c>
      <x:c r="N345" s="767"/>
      <x:c r="O345" s="767" t="inlineStr">
        <x:is>
          <x:t xml:space="preserve">-</x:t>
        </x:is>
      </x:c>
      <x:c r="P345" s="767" t="n">
        <x:v>1</x:v>
      </x:c>
      <x:c r="Q345" s="774"/>
    </x:row>
    <x:row r="346">
      <x:c r="A346" s="773" t="n">
        <x:v>1873</x:v>
      </x:c>
      <x:c r="B346" s="767" t="inlineStr">
        <x:is>
          <x:t xml:space="preserve">ÅBEHGF</x:t>
        </x:is>
      </x:c>
      <x:c r="C346" s="767" t="inlineStr">
        <x:is>
          <x:t xml:space="preserve">ÅVS behandling glasförpackningar, färgade</x:t>
        </x:is>
      </x:c>
      <x:c r="D346" s="767" t="inlineStr">
        <x:is>
          <x:t xml:space="preserve">RENH</x:t>
        </x:is>
      </x:c>
      <x:c r="E346" s="767" t="inlineStr">
        <x:is>
          <x:t xml:space="preserve">ÅVS</x:t>
        </x:is>
      </x:c>
      <x:c r="F346" s="767" t="n">
        <x:v>1</x:v>
      </x:c>
      <x:c r="G346" s="767" t="inlineStr">
        <x:is>
          <x:t xml:space="preserve">KVAN</x:t>
        </x:is>
      </x:c>
      <x:c r="H346" s="767" t="inlineStr">
        <x:is>
          <x:t xml:space="preserve">ÅVS behandling glasförpackningar, färgade</x:t>
        </x:is>
      </x:c>
      <x:c r="I346" s="767"/>
      <x:c r="J346" s="767"/>
      <x:c r="K346" s="767"/>
      <x:c r="L346" s="767"/>
      <x:c r="M346" s="767" t="n">
        <x:v>0</x:v>
      </x:c>
      <x:c r="N346" s="767"/>
      <x:c r="O346" s="767" t="inlineStr">
        <x:is>
          <x:t xml:space="preserve">-</x:t>
        </x:is>
      </x:c>
      <x:c r="P346" s="767" t="n">
        <x:v>1</x:v>
      </x:c>
      <x:c r="Q346" s="774" t="inlineStr">
        <x:is>
          <x:t xml:space="preserve">VIKG</x:t>
        </x:is>
      </x:c>
    </x:row>
    <x:row r="347">
      <x:c r="A347" s="773" t="n">
        <x:v>1880</x:v>
      </x:c>
      <x:c r="B347" s="767" t="inlineStr">
        <x:is>
          <x:t xml:space="preserve">ÅBEHGO</x:t>
        </x:is>
      </x:c>
      <x:c r="C347" s="767" t="inlineStr">
        <x:is>
          <x:t xml:space="preserve">ÅVS behandling glasförpackningar, ofärgade</x:t>
        </x:is>
      </x:c>
      <x:c r="D347" s="767" t="inlineStr">
        <x:is>
          <x:t xml:space="preserve">RENH</x:t>
        </x:is>
      </x:c>
      <x:c r="E347" s="767" t="inlineStr">
        <x:is>
          <x:t xml:space="preserve">ÅVS</x:t>
        </x:is>
      </x:c>
      <x:c r="F347" s="767" t="n">
        <x:v>1</x:v>
      </x:c>
      <x:c r="G347" s="767" t="inlineStr">
        <x:is>
          <x:t xml:space="preserve">KVAN</x:t>
        </x:is>
      </x:c>
      <x:c r="H347" s="767" t="inlineStr">
        <x:is>
          <x:t xml:space="preserve">ÅVS behandling glasförpackningar, ofärgade</x:t>
        </x:is>
      </x:c>
      <x:c r="I347" s="767"/>
      <x:c r="J347" s="767"/>
      <x:c r="K347" s="767"/>
      <x:c r="L347" s="767"/>
      <x:c r="M347" s="767" t="n">
        <x:v>0</x:v>
      </x:c>
      <x:c r="N347" s="767"/>
      <x:c r="O347" s="767" t="inlineStr">
        <x:is>
          <x:t xml:space="preserve">-</x:t>
        </x:is>
      </x:c>
      <x:c r="P347" s="767" t="n">
        <x:v>1</x:v>
      </x:c>
      <x:c r="Q347" s="774" t="inlineStr">
        <x:is>
          <x:t xml:space="preserve">VIKG</x:t>
        </x:is>
      </x:c>
    </x:row>
    <x:row r="348">
      <x:c r="A348" s="773" t="n">
        <x:v>1894</x:v>
      </x:c>
      <x:c r="B348" s="767" t="inlineStr">
        <x:is>
          <x:t xml:space="preserve">ÅBEHMA</x:t>
        </x:is>
      </x:c>
      <x:c r="C348" s="767" t="inlineStr">
        <x:is>
          <x:t xml:space="preserve">ÅVS behandling matavfall</x:t>
        </x:is>
      </x:c>
      <x:c r="D348" s="767" t="inlineStr">
        <x:is>
          <x:t xml:space="preserve">RENH</x:t>
        </x:is>
      </x:c>
      <x:c r="E348" s="767" t="inlineStr">
        <x:is>
          <x:t xml:space="preserve">ÅVS</x:t>
        </x:is>
      </x:c>
      <x:c r="F348" s="767" t="n">
        <x:v>1</x:v>
      </x:c>
      <x:c r="G348" s="767" t="inlineStr">
        <x:is>
          <x:t xml:space="preserve">KVAN</x:t>
        </x:is>
      </x:c>
      <x:c r="H348" s="767" t="inlineStr">
        <x:is>
          <x:t xml:space="preserve">ÅVS behandling matavfall</x:t>
        </x:is>
      </x:c>
      <x:c r="I348" s="767"/>
      <x:c r="J348" s="767"/>
      <x:c r="K348" s="767"/>
      <x:c r="L348" s="767"/>
      <x:c r="M348" s="767" t="n">
        <x:v>0</x:v>
      </x:c>
      <x:c r="N348" s="767"/>
      <x:c r="O348" s="767" t="inlineStr">
        <x:is>
          <x:t xml:space="preserve">-</x:t>
        </x:is>
      </x:c>
      <x:c r="P348" s="767" t="n">
        <x:v>1</x:v>
      </x:c>
      <x:c r="Q348" s="774" t="inlineStr">
        <x:is>
          <x:t xml:space="preserve">VIKG</x:t>
        </x:is>
      </x:c>
    </x:row>
    <x:row r="349">
      <x:c r="A349" s="773" t="n">
        <x:v>1883</x:v>
      </x:c>
      <x:c r="B349" s="767" t="inlineStr">
        <x:is>
          <x:t xml:space="preserve">ÅBEHME</x:t>
        </x:is>
      </x:c>
      <x:c r="C349" s="767" t="inlineStr">
        <x:is>
          <x:t xml:space="preserve">ÅVS behandling metallförpackningar</x:t>
        </x:is>
      </x:c>
      <x:c r="D349" s="767" t="inlineStr">
        <x:is>
          <x:t xml:space="preserve">RENH</x:t>
        </x:is>
      </x:c>
      <x:c r="E349" s="767" t="inlineStr">
        <x:is>
          <x:t xml:space="preserve">ÅVS</x:t>
        </x:is>
      </x:c>
      <x:c r="F349" s="767" t="n">
        <x:v>1</x:v>
      </x:c>
      <x:c r="G349" s="767" t="inlineStr">
        <x:is>
          <x:t xml:space="preserve">KVAN</x:t>
        </x:is>
      </x:c>
      <x:c r="H349" s="767" t="inlineStr">
        <x:is>
          <x:t xml:space="preserve">ÅVS behandling metallförpackningar</x:t>
        </x:is>
      </x:c>
      <x:c r="I349" s="767"/>
      <x:c r="J349" s="767"/>
      <x:c r="K349" s="767"/>
      <x:c r="L349" s="767"/>
      <x:c r="M349" s="767" t="n">
        <x:v>0</x:v>
      </x:c>
      <x:c r="N349" s="767"/>
      <x:c r="O349" s="767" t="inlineStr">
        <x:is>
          <x:t xml:space="preserve">-</x:t>
        </x:is>
      </x:c>
      <x:c r="P349" s="767" t="n">
        <x:v>1</x:v>
      </x:c>
      <x:c r="Q349" s="774" t="inlineStr">
        <x:is>
          <x:t xml:space="preserve">VIKG</x:t>
        </x:is>
      </x:c>
    </x:row>
    <x:row r="350">
      <x:c r="A350" s="773" t="n">
        <x:v>1885</x:v>
      </x:c>
      <x:c r="B350" s="767" t="inlineStr">
        <x:is>
          <x:t xml:space="preserve">ÅBEHPA</x:t>
        </x:is>
      </x:c>
      <x:c r="C350" s="767" t="inlineStr">
        <x:is>
          <x:t xml:space="preserve">ÅVS behandling pappersförpackningar</x:t>
        </x:is>
      </x:c>
      <x:c r="D350" s="767" t="inlineStr">
        <x:is>
          <x:t xml:space="preserve">RENH</x:t>
        </x:is>
      </x:c>
      <x:c r="E350" s="767" t="inlineStr">
        <x:is>
          <x:t xml:space="preserve">ÅVS</x:t>
        </x:is>
      </x:c>
      <x:c r="F350" s="767" t="n">
        <x:v>1</x:v>
      </x:c>
      <x:c r="G350" s="767" t="inlineStr">
        <x:is>
          <x:t xml:space="preserve">KVAN</x:t>
        </x:is>
      </x:c>
      <x:c r="H350" s="767" t="inlineStr">
        <x:is>
          <x:t xml:space="preserve">ÅVS behandling pappersförpackningar</x:t>
        </x:is>
      </x:c>
      <x:c r="I350" s="767"/>
      <x:c r="J350" s="767"/>
      <x:c r="K350" s="767"/>
      <x:c r="L350" s="767"/>
      <x:c r="M350" s="767" t="n">
        <x:v>0</x:v>
      </x:c>
      <x:c r="N350" s="767"/>
      <x:c r="O350" s="767" t="inlineStr">
        <x:is>
          <x:t xml:space="preserve">-</x:t>
        </x:is>
      </x:c>
      <x:c r="P350" s="767" t="n">
        <x:v>1</x:v>
      </x:c>
      <x:c r="Q350" s="774" t="inlineStr">
        <x:is>
          <x:t xml:space="preserve">VIKG</x:t>
        </x:is>
      </x:c>
    </x:row>
    <x:row r="351">
      <x:c r="A351" s="773" t="n">
        <x:v>1887</x:v>
      </x:c>
      <x:c r="B351" s="767" t="inlineStr">
        <x:is>
          <x:t xml:space="preserve">ÅBEHPL</x:t>
        </x:is>
      </x:c>
      <x:c r="C351" s="767" t="inlineStr">
        <x:is>
          <x:t xml:space="preserve">ÅVS behandling plastförpackningar</x:t>
        </x:is>
      </x:c>
      <x:c r="D351" s="767" t="inlineStr">
        <x:is>
          <x:t xml:space="preserve">RENH</x:t>
        </x:is>
      </x:c>
      <x:c r="E351" s="767" t="inlineStr">
        <x:is>
          <x:t xml:space="preserve">ÅVS</x:t>
        </x:is>
      </x:c>
      <x:c r="F351" s="767" t="n">
        <x:v>1</x:v>
      </x:c>
      <x:c r="G351" s="767" t="inlineStr">
        <x:is>
          <x:t xml:space="preserve">KVAN</x:t>
        </x:is>
      </x:c>
      <x:c r="H351" s="767" t="inlineStr">
        <x:is>
          <x:t xml:space="preserve">ÅVS behandling plastförpackningar</x:t>
        </x:is>
      </x:c>
      <x:c r="I351" s="767"/>
      <x:c r="J351" s="767"/>
      <x:c r="K351" s="767"/>
      <x:c r="L351" s="767"/>
      <x:c r="M351" s="767" t="n">
        <x:v>0</x:v>
      </x:c>
      <x:c r="N351" s="767"/>
      <x:c r="O351" s="767" t="inlineStr">
        <x:is>
          <x:t xml:space="preserve">-</x:t>
        </x:is>
      </x:c>
      <x:c r="P351" s="767" t="n">
        <x:v>1</x:v>
      </x:c>
      <x:c r="Q351" s="774" t="inlineStr">
        <x:is>
          <x:t xml:space="preserve">VIKG</x:t>
        </x:is>
      </x:c>
    </x:row>
    <x:row r="352">
      <x:c r="A352" s="773" t="n">
        <x:v>1896</x:v>
      </x:c>
      <x:c r="B352" s="767" t="inlineStr">
        <x:is>
          <x:t xml:space="preserve">ÅBEHREST</x:t>
        </x:is>
      </x:c>
      <x:c r="C352" s="767" t="inlineStr">
        <x:is>
          <x:t xml:space="preserve">ÅVS behandling restavfall</x:t>
        </x:is>
      </x:c>
      <x:c r="D352" s="767" t="inlineStr">
        <x:is>
          <x:t xml:space="preserve">RENH</x:t>
        </x:is>
      </x:c>
      <x:c r="E352" s="767" t="inlineStr">
        <x:is>
          <x:t xml:space="preserve">ÅVS</x:t>
        </x:is>
      </x:c>
      <x:c r="F352" s="767" t="n">
        <x:v>1</x:v>
      </x:c>
      <x:c r="G352" s="767" t="inlineStr">
        <x:is>
          <x:t xml:space="preserve">KVAN</x:t>
        </x:is>
      </x:c>
      <x:c r="H352" s="767" t="inlineStr">
        <x:is>
          <x:t xml:space="preserve">ÅVS behandling restavfall</x:t>
        </x:is>
      </x:c>
      <x:c r="I352" s="767"/>
      <x:c r="J352" s="767"/>
      <x:c r="K352" s="767"/>
      <x:c r="L352" s="767"/>
      <x:c r="M352" s="767" t="n">
        <x:v>0</x:v>
      </x:c>
      <x:c r="N352" s="767"/>
      <x:c r="O352" s="767" t="inlineStr">
        <x:is>
          <x:t xml:space="preserve">-</x:t>
        </x:is>
      </x:c>
      <x:c r="P352" s="767" t="n">
        <x:v>1</x:v>
      </x:c>
      <x:c r="Q352" s="774" t="inlineStr">
        <x:is>
          <x:t xml:space="preserve">VIKG</x:t>
        </x:is>
      </x:c>
    </x:row>
    <x:row r="353">
      <x:c r="A353" s="773" t="n">
        <x:v>1889</x:v>
      </x:c>
      <x:c r="B353" s="767" t="inlineStr">
        <x:is>
          <x:t xml:space="preserve">ÅBEHTI</x:t>
        </x:is>
      </x:c>
      <x:c r="C353" s="767" t="inlineStr">
        <x:is>
          <x:t xml:space="preserve">ÅVS behandling tidningar</x:t>
        </x:is>
      </x:c>
      <x:c r="D353" s="767" t="inlineStr">
        <x:is>
          <x:t xml:space="preserve">RENH</x:t>
        </x:is>
      </x:c>
      <x:c r="E353" s="767" t="inlineStr">
        <x:is>
          <x:t xml:space="preserve">ÅVS</x:t>
        </x:is>
      </x:c>
      <x:c r="F353" s="767" t="n">
        <x:v>1</x:v>
      </x:c>
      <x:c r="G353" s="767" t="inlineStr">
        <x:is>
          <x:t xml:space="preserve">KVAN</x:t>
        </x:is>
      </x:c>
      <x:c r="H353" s="767" t="inlineStr">
        <x:is>
          <x:t xml:space="preserve">ÅVS behandling tidningar</x:t>
        </x:is>
      </x:c>
      <x:c r="I353" s="767"/>
      <x:c r="J353" s="767"/>
      <x:c r="K353" s="767"/>
      <x:c r="L353" s="767"/>
      <x:c r="M353" s="767" t="n">
        <x:v>0</x:v>
      </x:c>
      <x:c r="N353" s="767"/>
      <x:c r="O353" s="767" t="inlineStr">
        <x:is>
          <x:t xml:space="preserve">-</x:t>
        </x:is>
      </x:c>
      <x:c r="P353" s="767" t="n">
        <x:v>1</x:v>
      </x:c>
      <x:c r="Q353" s="774" t="inlineStr">
        <x:is>
          <x:t xml:space="preserve">VIKG</x:t>
        </x:is>
      </x:c>
    </x:row>
    <x:row r="354">
      <x:c r="A354" s="773" t="n">
        <x:v>1876</x:v>
      </x:c>
      <x:c r="B354" s="767" t="inlineStr">
        <x:is>
          <x:t xml:space="preserve">ÅSVME</x:t>
        </x:is>
      </x:c>
      <x:c r="C354" s="767" t="inlineStr">
        <x:is>
          <x:t xml:space="preserve">ÅVS metallförpackningar. Tjänsttaxa</x:t>
        </x:is>
      </x:c>
      <x:c r="D354" s="767" t="inlineStr">
        <x:is>
          <x:t xml:space="preserve">RENH</x:t>
        </x:is>
      </x:c>
      <x:c r="E354" s="767" t="inlineStr">
        <x:is>
          <x:t xml:space="preserve">ÅVS</x:t>
        </x:is>
      </x:c>
      <x:c r="F354" s="767" t="n">
        <x:v>1</x:v>
      </x:c>
      <x:c r="G354" s="767" t="inlineStr">
        <x:is>
          <x:t xml:space="preserve">ÅRKV</x:t>
        </x:is>
      </x:c>
      <x:c r="H354" s="767" t="inlineStr">
        <x:is>
          <x:t xml:space="preserve">ÅVS metallförpackningar. Tjänsttaxa</x:t>
        </x:is>
      </x:c>
      <x:c r="I354" s="767"/>
      <x:c r="J354" s="767"/>
      <x:c r="K354" s="767"/>
      <x:c r="L354" s="767"/>
      <x:c r="M354" s="767" t="n">
        <x:v>0</x:v>
      </x:c>
      <x:c r="N354" s="767"/>
      <x:c r="O354" s="767" t="inlineStr">
        <x:is>
          <x:t xml:space="preserve">-</x:t>
        </x:is>
      </x:c>
      <x:c r="P354" s="767" t="n">
        <x:v>1</x:v>
      </x:c>
      <x:c r="Q354" s="774" t="inlineStr">
        <x:is>
          <x:t xml:space="preserve">0</x:t>
        </x:is>
      </x:c>
    </x:row>
    <x:row r="355">
      <x:c r="A355" s="773" t="n">
        <x:v>1872</x:v>
      </x:c>
      <x:c r="B355" s="767" t="inlineStr">
        <x:is>
          <x:t xml:space="preserve">ÅTÖMGF</x:t>
        </x:is>
      </x:c>
      <x:c r="C355" s="767" t="inlineStr">
        <x:is>
          <x:t xml:space="preserve">ÅVS tömning, glasförpackningar, färgade</x:t>
        </x:is>
      </x:c>
      <x:c r="D355" s="767" t="inlineStr">
        <x:is>
          <x:t xml:space="preserve">RENH</x:t>
        </x:is>
      </x:c>
      <x:c r="E355" s="767" t="inlineStr">
        <x:is>
          <x:t xml:space="preserve">ÅVS</x:t>
        </x:is>
      </x:c>
      <x:c r="F355" s="767" t="n">
        <x:v>1</x:v>
      </x:c>
      <x:c r="G355" s="767" t="inlineStr">
        <x:is>
          <x:t xml:space="preserve">KVAN</x:t>
        </x:is>
      </x:c>
      <x:c r="H355" s="767" t="inlineStr">
        <x:is>
          <x:t xml:space="preserve">ÅVS tömning, glasförpackningar, färgade</x:t>
        </x:is>
      </x:c>
      <x:c r="I355" s="767"/>
      <x:c r="J355" s="767"/>
      <x:c r="K355" s="767"/>
      <x:c r="L355" s="767"/>
      <x:c r="M355" s="767" t="n">
        <x:v>0</x:v>
      </x:c>
      <x:c r="N355" s="767"/>
      <x:c r="O355" s="767" t="inlineStr">
        <x:is>
          <x:t xml:space="preserve">-</x:t>
        </x:is>
      </x:c>
      <x:c r="P355" s="767" t="n">
        <x:v>1</x:v>
      </x:c>
      <x:c r="Q355" s="774" t="inlineStr">
        <x:is>
          <x:t xml:space="preserve">ANTB</x:t>
        </x:is>
      </x:c>
    </x:row>
    <x:row r="356">
      <x:c r="A356" s="773" t="n">
        <x:v>1879</x:v>
      </x:c>
      <x:c r="B356" s="767" t="inlineStr">
        <x:is>
          <x:t xml:space="preserve">ÅTÖMGO</x:t>
        </x:is>
      </x:c>
      <x:c r="C356" s="767" t="inlineStr">
        <x:is>
          <x:t xml:space="preserve">ÅVS tömning glasförpackningar, ofärgade</x:t>
        </x:is>
      </x:c>
      <x:c r="D356" s="767" t="inlineStr">
        <x:is>
          <x:t xml:space="preserve">RENH</x:t>
        </x:is>
      </x:c>
      <x:c r="E356" s="767" t="inlineStr">
        <x:is>
          <x:t xml:space="preserve">ÅVS</x:t>
        </x:is>
      </x:c>
      <x:c r="F356" s="767" t="n">
        <x:v>1</x:v>
      </x:c>
      <x:c r="G356" s="767" t="inlineStr">
        <x:is>
          <x:t xml:space="preserve">KVAN</x:t>
        </x:is>
      </x:c>
      <x:c r="H356" s="767" t="inlineStr">
        <x:is>
          <x:t xml:space="preserve">ÅVS tömning glasförpackningar, ofärgade</x:t>
        </x:is>
      </x:c>
      <x:c r="I356" s="767"/>
      <x:c r="J356" s="767"/>
      <x:c r="K356" s="767"/>
      <x:c r="L356" s="767"/>
      <x:c r="M356" s="767" t="n">
        <x:v>0</x:v>
      </x:c>
      <x:c r="N356" s="767"/>
      <x:c r="O356" s="767" t="inlineStr">
        <x:is>
          <x:t xml:space="preserve">-</x:t>
        </x:is>
      </x:c>
      <x:c r="P356" s="767" t="n">
        <x:v>1</x:v>
      </x:c>
      <x:c r="Q356" s="774" t="inlineStr">
        <x:is>
          <x:t xml:space="preserve">ANTB</x:t>
        </x:is>
      </x:c>
    </x:row>
    <x:row r="357">
      <x:c r="A357" s="773" t="n">
        <x:v>1893</x:v>
      </x:c>
      <x:c r="B357" s="767" t="inlineStr">
        <x:is>
          <x:t xml:space="preserve">ÅTÖMMA</x:t>
        </x:is>
      </x:c>
      <x:c r="C357" s="767" t="inlineStr">
        <x:is>
          <x:t xml:space="preserve">ÅVS tömning matavfall</x:t>
        </x:is>
      </x:c>
      <x:c r="D357" s="767" t="inlineStr">
        <x:is>
          <x:t xml:space="preserve">RENH</x:t>
        </x:is>
      </x:c>
      <x:c r="E357" s="767" t="inlineStr">
        <x:is>
          <x:t xml:space="preserve">ÅVS</x:t>
        </x:is>
      </x:c>
      <x:c r="F357" s="767" t="n">
        <x:v>1</x:v>
      </x:c>
      <x:c r="G357" s="767" t="inlineStr">
        <x:is>
          <x:t xml:space="preserve">KVAN</x:t>
        </x:is>
      </x:c>
      <x:c r="H357" s="767" t="inlineStr">
        <x:is>
          <x:t xml:space="preserve">ÅVS tömning matavfall</x:t>
        </x:is>
      </x:c>
      <x:c r="I357" s="767"/>
      <x:c r="J357" s="767"/>
      <x:c r="K357" s="767"/>
      <x:c r="L357" s="767"/>
      <x:c r="M357" s="767" t="n">
        <x:v>0</x:v>
      </x:c>
      <x:c r="N357" s="767"/>
      <x:c r="O357" s="767" t="inlineStr">
        <x:is>
          <x:t xml:space="preserve">-</x:t>
        </x:is>
      </x:c>
      <x:c r="P357" s="767" t="n">
        <x:v>1</x:v>
      </x:c>
      <x:c r="Q357" s="774" t="inlineStr">
        <x:is>
          <x:t xml:space="preserve">ANTB</x:t>
        </x:is>
      </x:c>
    </x:row>
    <x:row r="358">
      <x:c r="A358" s="773" t="n">
        <x:v>1882</x:v>
      </x:c>
      <x:c r="B358" s="767" t="inlineStr">
        <x:is>
          <x:t xml:space="preserve">ÅTÖMME</x:t>
        </x:is>
      </x:c>
      <x:c r="C358" s="767" t="inlineStr">
        <x:is>
          <x:t xml:space="preserve">ÅVS tömning metallförpackningar</x:t>
        </x:is>
      </x:c>
      <x:c r="D358" s="767" t="inlineStr">
        <x:is>
          <x:t xml:space="preserve">RENH</x:t>
        </x:is>
      </x:c>
      <x:c r="E358" s="767" t="inlineStr">
        <x:is>
          <x:t xml:space="preserve">ÅVS</x:t>
        </x:is>
      </x:c>
      <x:c r="F358" s="767" t="n">
        <x:v>1</x:v>
      </x:c>
      <x:c r="G358" s="767" t="inlineStr">
        <x:is>
          <x:t xml:space="preserve">KVAN</x:t>
        </x:is>
      </x:c>
      <x:c r="H358" s="767" t="inlineStr">
        <x:is>
          <x:t xml:space="preserve">ÅVS tömning metallförpackningar</x:t>
        </x:is>
      </x:c>
      <x:c r="I358" s="767"/>
      <x:c r="J358" s="767"/>
      <x:c r="K358" s="767"/>
      <x:c r="L358" s="767"/>
      <x:c r="M358" s="767" t="n">
        <x:v>0</x:v>
      </x:c>
      <x:c r="N358" s="767"/>
      <x:c r="O358" s="767" t="inlineStr">
        <x:is>
          <x:t xml:space="preserve">-</x:t>
        </x:is>
      </x:c>
      <x:c r="P358" s="767" t="n">
        <x:v>1</x:v>
      </x:c>
      <x:c r="Q358" s="774" t="inlineStr">
        <x:is>
          <x:t xml:space="preserve">ANTB</x:t>
        </x:is>
      </x:c>
    </x:row>
    <x:row r="359">
      <x:c r="A359" s="773" t="n">
        <x:v>1884</x:v>
      </x:c>
      <x:c r="B359" s="767" t="inlineStr">
        <x:is>
          <x:t xml:space="preserve">ÅTÖMPA</x:t>
        </x:is>
      </x:c>
      <x:c r="C359" s="767" t="inlineStr">
        <x:is>
          <x:t xml:space="preserve">ÅVS tömning pappersförpackningar</x:t>
        </x:is>
      </x:c>
      <x:c r="D359" s="767" t="inlineStr">
        <x:is>
          <x:t xml:space="preserve">RENH</x:t>
        </x:is>
      </x:c>
      <x:c r="E359" s="767" t="inlineStr">
        <x:is>
          <x:t xml:space="preserve">ÅVS</x:t>
        </x:is>
      </x:c>
      <x:c r="F359" s="767" t="n">
        <x:v>1</x:v>
      </x:c>
      <x:c r="G359" s="767" t="inlineStr">
        <x:is>
          <x:t xml:space="preserve">KVAN</x:t>
        </x:is>
      </x:c>
      <x:c r="H359" s="767" t="inlineStr">
        <x:is>
          <x:t xml:space="preserve">ÅVS tömning pappersförpackningar</x:t>
        </x:is>
      </x:c>
      <x:c r="I359" s="767"/>
      <x:c r="J359" s="767"/>
      <x:c r="K359" s="767"/>
      <x:c r="L359" s="767"/>
      <x:c r="M359" s="767" t="n">
        <x:v>0</x:v>
      </x:c>
      <x:c r="N359" s="767"/>
      <x:c r="O359" s="767" t="inlineStr">
        <x:is>
          <x:t xml:space="preserve">-</x:t>
        </x:is>
      </x:c>
      <x:c r="P359" s="767" t="n">
        <x:v>1</x:v>
      </x:c>
      <x:c r="Q359" s="774" t="inlineStr">
        <x:is>
          <x:t xml:space="preserve">ANTB</x:t>
        </x:is>
      </x:c>
    </x:row>
    <x:row r="360">
      <x:c r="A360" s="773" t="n">
        <x:v>1886</x:v>
      </x:c>
      <x:c r="B360" s="767" t="inlineStr">
        <x:is>
          <x:t xml:space="preserve">ÅTÖMPL</x:t>
        </x:is>
      </x:c>
      <x:c r="C360" s="767" t="inlineStr">
        <x:is>
          <x:t xml:space="preserve">ÅVS tömning plastförpackningar</x:t>
        </x:is>
      </x:c>
      <x:c r="D360" s="767" t="inlineStr">
        <x:is>
          <x:t xml:space="preserve">RENH</x:t>
        </x:is>
      </x:c>
      <x:c r="E360" s="767" t="inlineStr">
        <x:is>
          <x:t xml:space="preserve">ÅVS</x:t>
        </x:is>
      </x:c>
      <x:c r="F360" s="767" t="n">
        <x:v>1</x:v>
      </x:c>
      <x:c r="G360" s="767" t="inlineStr">
        <x:is>
          <x:t xml:space="preserve">KVAN</x:t>
        </x:is>
      </x:c>
      <x:c r="H360" s="767" t="inlineStr">
        <x:is>
          <x:t xml:space="preserve">ÅVS tömning plastförpackningar</x:t>
        </x:is>
      </x:c>
      <x:c r="I360" s="767"/>
      <x:c r="J360" s="767"/>
      <x:c r="K360" s="767"/>
      <x:c r="L360" s="767"/>
      <x:c r="M360" s="767" t="n">
        <x:v>0</x:v>
      </x:c>
      <x:c r="N360" s="767"/>
      <x:c r="O360" s="767" t="inlineStr">
        <x:is>
          <x:t xml:space="preserve">-</x:t>
        </x:is>
      </x:c>
      <x:c r="P360" s="767" t="n">
        <x:v>1</x:v>
      </x:c>
      <x:c r="Q360" s="774" t="inlineStr">
        <x:is>
          <x:t xml:space="preserve">ANTB</x:t>
        </x:is>
      </x:c>
    </x:row>
    <x:row r="361">
      <x:c r="A361" s="773" t="n">
        <x:v>1895</x:v>
      </x:c>
      <x:c r="B361" s="767" t="inlineStr">
        <x:is>
          <x:t xml:space="preserve">ÅTÖMREST</x:t>
        </x:is>
      </x:c>
      <x:c r="C361" s="767" t="inlineStr">
        <x:is>
          <x:t xml:space="preserve">ÅVS tömning restavfall</x:t>
        </x:is>
      </x:c>
      <x:c r="D361" s="767" t="inlineStr">
        <x:is>
          <x:t xml:space="preserve">RENH</x:t>
        </x:is>
      </x:c>
      <x:c r="E361" s="767" t="inlineStr">
        <x:is>
          <x:t xml:space="preserve">ÅVS</x:t>
        </x:is>
      </x:c>
      <x:c r="F361" s="767" t="n">
        <x:v>1</x:v>
      </x:c>
      <x:c r="G361" s="767" t="inlineStr">
        <x:is>
          <x:t xml:space="preserve">KVAN</x:t>
        </x:is>
      </x:c>
      <x:c r="H361" s="767" t="inlineStr">
        <x:is>
          <x:t xml:space="preserve">ÅVS tömning restavfall</x:t>
        </x:is>
      </x:c>
      <x:c r="I361" s="767"/>
      <x:c r="J361" s="767"/>
      <x:c r="K361" s="767"/>
      <x:c r="L361" s="767"/>
      <x:c r="M361" s="767" t="n">
        <x:v>0</x:v>
      </x:c>
      <x:c r="N361" s="767"/>
      <x:c r="O361" s="767" t="inlineStr">
        <x:is>
          <x:t xml:space="preserve">-</x:t>
        </x:is>
      </x:c>
      <x:c r="P361" s="767" t="n">
        <x:v>1</x:v>
      </x:c>
      <x:c r="Q361" s="774" t="inlineStr">
        <x:is>
          <x:t xml:space="preserve">ANTB</x:t>
        </x:is>
      </x:c>
    </x:row>
    <x:row r="362">
      <x:c r="A362" s="773" t="n">
        <x:v>1888</x:v>
      </x:c>
      <x:c r="B362" s="767" t="inlineStr">
        <x:is>
          <x:t xml:space="preserve">ÅTÖMTI</x:t>
        </x:is>
      </x:c>
      <x:c r="C362" s="767" t="inlineStr">
        <x:is>
          <x:t xml:space="preserve">ÅVS tömning tidningar</x:t>
        </x:is>
      </x:c>
      <x:c r="D362" s="767" t="inlineStr">
        <x:is>
          <x:t xml:space="preserve">RENH</x:t>
        </x:is>
      </x:c>
      <x:c r="E362" s="767" t="inlineStr">
        <x:is>
          <x:t xml:space="preserve">ÅVS</x:t>
        </x:is>
      </x:c>
      <x:c r="F362" s="767" t="n">
        <x:v>1</x:v>
      </x:c>
      <x:c r="G362" s="767" t="inlineStr">
        <x:is>
          <x:t xml:space="preserve">KVAN</x:t>
        </x:is>
      </x:c>
      <x:c r="H362" s="767" t="inlineStr">
        <x:is>
          <x:t xml:space="preserve">ÅVS tömning tidningar</x:t>
        </x:is>
      </x:c>
      <x:c r="I362" s="767"/>
      <x:c r="J362" s="767"/>
      <x:c r="K362" s="767"/>
      <x:c r="L362" s="767"/>
      <x:c r="M362" s="767" t="n">
        <x:v>0</x:v>
      </x:c>
      <x:c r="N362" s="767"/>
      <x:c r="O362" s="767" t="inlineStr">
        <x:is>
          <x:t xml:space="preserve">-</x:t>
        </x:is>
      </x:c>
      <x:c r="P362" s="767" t="n">
        <x:v>1</x:v>
      </x:c>
      <x:c r="Q362" s="774" t="inlineStr">
        <x:is>
          <x:t xml:space="preserve">ANTB</x:t>
        </x:is>
      </x:c>
    </x:row>
    <x:row r="363">
      <x:c r="A363" s="773" t="n">
        <x:v>1874</x:v>
      </x:c>
      <x:c r="B363" s="767" t="inlineStr">
        <x:is>
          <x:t xml:space="preserve">ÅVSFYLL</x:t>
        </x:is>
      </x:c>
      <x:c r="C363" s="767" t="inlineStr">
        <x:is>
          <x:t xml:space="preserve">Fyllnadsgrad</x:t>
        </x:is>
      </x:c>
      <x:c r="D363" s="767" t="inlineStr">
        <x:is>
          <x:t xml:space="preserve">RENH</x:t>
        </x:is>
      </x:c>
      <x:c r="E363" s="767" t="inlineStr">
        <x:is>
          <x:t xml:space="preserve">ÅVS</x:t>
        </x:is>
      </x:c>
      <x:c r="F363" s="767" t="n">
        <x:v>1</x:v>
      </x:c>
      <x:c r="G363" s="767" t="inlineStr">
        <x:is>
          <x:t xml:space="preserve">KVAN</x:t>
        </x:is>
      </x:c>
      <x:c r="H363" s="767" t="inlineStr">
        <x:is>
          <x:t xml:space="preserve">Fyllnadsgrad</x:t>
        </x:is>
      </x:c>
      <x:c r="I363" s="767"/>
      <x:c r="J363" s="767"/>
      <x:c r="K363" s="767"/>
      <x:c r="L363" s="767"/>
      <x:c r="M363" s="767" t="n">
        <x:v>0</x:v>
      </x:c>
      <x:c r="N363" s="767"/>
      <x:c r="O363" s="767" t="inlineStr">
        <x:is>
          <x:t xml:space="preserve">-</x:t>
        </x:is>
      </x:c>
      <x:c r="P363" s="767" t="n">
        <x:v>1</x:v>
      </x:c>
      <x:c r="Q363" s="774" t="inlineStr">
        <x:is>
          <x:t xml:space="preserve">FYLL</x:t>
        </x:is>
      </x:c>
    </x:row>
    <x:row r="364">
      <x:c r="A364" s="773" t="n">
        <x:v>1871</x:v>
      </x:c>
      <x:c r="B364" s="767" t="inlineStr">
        <x:is>
          <x:t xml:space="preserve">ÅVSGF</x:t>
        </x:is>
      </x:c>
      <x:c r="C364" s="767" t="inlineStr">
        <x:is>
          <x:t xml:space="preserve">ÅVS, glasförpackningar, färgade, Tjänsttaxa</x:t>
        </x:is>
      </x:c>
      <x:c r="D364" s="767" t="inlineStr">
        <x:is>
          <x:t xml:space="preserve">RENH</x:t>
        </x:is>
      </x:c>
      <x:c r="E364" s="767" t="inlineStr">
        <x:is>
          <x:t xml:space="preserve">ÅVS</x:t>
        </x:is>
      </x:c>
      <x:c r="F364" s="767" t="n">
        <x:v>1</x:v>
      </x:c>
      <x:c r="G364" s="767" t="inlineStr">
        <x:is>
          <x:t xml:space="preserve">ÅRKV</x:t>
        </x:is>
      </x:c>
      <x:c r="H364" s="767" t="inlineStr">
        <x:is>
          <x:t xml:space="preserve">ÅVS, glasförpackningar, färgade, Tjänsttaxa</x:t>
        </x:is>
      </x:c>
      <x:c r="I364" s="767"/>
      <x:c r="J364" s="767"/>
      <x:c r="K364" s="767"/>
      <x:c r="L364" s="767"/>
      <x:c r="M364" s="767" t="n">
        <x:v>0</x:v>
      </x:c>
      <x:c r="N364" s="767"/>
      <x:c r="O364" s="767" t="inlineStr">
        <x:is>
          <x:t xml:space="preserve">-</x:t>
        </x:is>
      </x:c>
      <x:c r="P364" s="767" t="n">
        <x:v>1</x:v>
      </x:c>
      <x:c r="Q364" s="774" t="inlineStr">
        <x:is>
          <x:t xml:space="preserve">0</x:t>
        </x:is>
      </x:c>
    </x:row>
    <x:row r="365">
      <x:c r="A365" s="773" t="n">
        <x:v>1875</x:v>
      </x:c>
      <x:c r="B365" s="767" t="inlineStr">
        <x:is>
          <x:t xml:space="preserve">ÅVSGO</x:t>
        </x:is>
      </x:c>
      <x:c r="C365" s="767" t="inlineStr">
        <x:is>
          <x:t xml:space="preserve">ÅVS glasförpackningar, ofärgade. Tjänsttaxa</x:t>
        </x:is>
      </x:c>
      <x:c r="D365" s="767" t="inlineStr">
        <x:is>
          <x:t xml:space="preserve">RENH</x:t>
        </x:is>
      </x:c>
      <x:c r="E365" s="767" t="inlineStr">
        <x:is>
          <x:t xml:space="preserve">ÅVS</x:t>
        </x:is>
      </x:c>
      <x:c r="F365" s="767" t="n">
        <x:v>1</x:v>
      </x:c>
      <x:c r="G365" s="767" t="inlineStr">
        <x:is>
          <x:t xml:space="preserve">ÅRKV</x:t>
        </x:is>
      </x:c>
      <x:c r="H365" s="767" t="inlineStr">
        <x:is>
          <x:t xml:space="preserve">ÅVS glasförpackningar, ofärgade. Tjänsttaxa</x:t>
        </x:is>
      </x:c>
      <x:c r="I365" s="767"/>
      <x:c r="J365" s="767"/>
      <x:c r="K365" s="767"/>
      <x:c r="L365" s="767"/>
      <x:c r="M365" s="767" t="n">
        <x:v>0</x:v>
      </x:c>
      <x:c r="N365" s="767"/>
      <x:c r="O365" s="767" t="inlineStr">
        <x:is>
          <x:t xml:space="preserve">-</x:t>
        </x:is>
      </x:c>
      <x:c r="P365" s="767" t="n">
        <x:v>1</x:v>
      </x:c>
      <x:c r="Q365" s="774" t="inlineStr">
        <x:is>
          <x:t xml:space="preserve">0</x:t>
        </x:is>
      </x:c>
    </x:row>
    <x:row r="366">
      <x:c r="A366" s="773" t="n">
        <x:v>1891</x:v>
      </x:c>
      <x:c r="B366" s="767" t="inlineStr">
        <x:is>
          <x:t xml:space="preserve">ÅVSMAT</x:t>
        </x:is>
      </x:c>
      <x:c r="C366" s="767" t="inlineStr">
        <x:is>
          <x:t xml:space="preserve">ÅVS matavfall. Tjänsttaxa</x:t>
        </x:is>
      </x:c>
      <x:c r="D366" s="767" t="inlineStr">
        <x:is>
          <x:t xml:space="preserve">RENH</x:t>
        </x:is>
      </x:c>
      <x:c r="E366" s="767" t="inlineStr">
        <x:is>
          <x:t xml:space="preserve">ÅVS</x:t>
        </x:is>
      </x:c>
      <x:c r="F366" s="767" t="n">
        <x:v>1</x:v>
      </x:c>
      <x:c r="G366" s="767" t="inlineStr">
        <x:is>
          <x:t xml:space="preserve">ÅRKV</x:t>
        </x:is>
      </x:c>
      <x:c r="H366" s="767" t="inlineStr">
        <x:is>
          <x:t xml:space="preserve">ÅVS matavfall. Tjänsttaxa</x:t>
        </x:is>
      </x:c>
      <x:c r="I366" s="767"/>
      <x:c r="J366" s="767"/>
      <x:c r="K366" s="767"/>
      <x:c r="L366" s="767"/>
      <x:c r="M366" s="767" t="n">
        <x:v>0</x:v>
      </x:c>
      <x:c r="N366" s="767"/>
      <x:c r="O366" s="767" t="inlineStr">
        <x:is>
          <x:t xml:space="preserve">-</x:t>
        </x:is>
      </x:c>
      <x:c r="P366" s="767" t="n">
        <x:v>1</x:v>
      </x:c>
      <x:c r="Q366" s="774" t="inlineStr">
        <x:is>
          <x:t xml:space="preserve">0</x:t>
        </x:is>
      </x:c>
    </x:row>
    <x:row r="367">
      <x:c r="A367" s="773" t="n">
        <x:v>1890</x:v>
      </x:c>
      <x:c r="B367" s="767" t="inlineStr">
        <x:is>
          <x:t xml:space="preserve">ÅVSME</x:t>
        </x:is>
      </x:c>
      <x:c r="C367" s="767" t="inlineStr">
        <x:is>
          <x:t xml:space="preserve">ÅVS metallförpackningar. Tjänsttaxa</x:t>
        </x:is>
      </x:c>
      <x:c r="D367" s="767" t="inlineStr">
        <x:is>
          <x:t xml:space="preserve">RENH</x:t>
        </x:is>
      </x:c>
      <x:c r="E367" s="767" t="inlineStr">
        <x:is>
          <x:t xml:space="preserve">ÅVS</x:t>
        </x:is>
      </x:c>
      <x:c r="F367" s="767" t="n">
        <x:v>1</x:v>
      </x:c>
      <x:c r="G367" s="767" t="inlineStr">
        <x:is>
          <x:t xml:space="preserve">ÅRKV</x:t>
        </x:is>
      </x:c>
      <x:c r="H367" s="767" t="inlineStr">
        <x:is>
          <x:t xml:space="preserve">ÅVS metallförpackningar. Tjänsttaxa</x:t>
        </x:is>
      </x:c>
      <x:c r="I367" s="767"/>
      <x:c r="J367" s="767"/>
      <x:c r="K367" s="767"/>
      <x:c r="L367" s="767"/>
      <x:c r="M367" s="767" t="n">
        <x:v>0</x:v>
      </x:c>
      <x:c r="N367" s="767"/>
      <x:c r="O367" s="767" t="inlineStr">
        <x:is>
          <x:t xml:space="preserve">-</x:t>
        </x:is>
      </x:c>
      <x:c r="P367" s="767" t="n">
        <x:v>1</x:v>
      </x:c>
      <x:c r="Q367" s="774" t="inlineStr">
        <x:is>
          <x:t xml:space="preserve">0</x:t>
        </x:is>
      </x:c>
    </x:row>
    <x:row r="368">
      <x:c r="A368" s="773" t="n">
        <x:v>1877</x:v>
      </x:c>
      <x:c r="B368" s="767" t="inlineStr">
        <x:is>
          <x:t xml:space="preserve">ÅVSPA</x:t>
        </x:is>
      </x:c>
      <x:c r="C368" s="767" t="inlineStr">
        <x:is>
          <x:t xml:space="preserve">ÅVS pappersförpackningar. Tjänsttaxa</x:t>
        </x:is>
      </x:c>
      <x:c r="D368" s="767" t="inlineStr">
        <x:is>
          <x:t xml:space="preserve">RENH</x:t>
        </x:is>
      </x:c>
      <x:c r="E368" s="767" t="inlineStr">
        <x:is>
          <x:t xml:space="preserve">ÅVS</x:t>
        </x:is>
      </x:c>
      <x:c r="F368" s="767" t="n">
        <x:v>1</x:v>
      </x:c>
      <x:c r="G368" s="767" t="inlineStr">
        <x:is>
          <x:t xml:space="preserve">ÅRKV</x:t>
        </x:is>
      </x:c>
      <x:c r="H368" s="767" t="inlineStr">
        <x:is>
          <x:t xml:space="preserve">ÅVS pappersförpackningar. Tjänsttaxa</x:t>
        </x:is>
      </x:c>
      <x:c r="I368" s="767"/>
      <x:c r="J368" s="767"/>
      <x:c r="K368" s="767"/>
      <x:c r="L368" s="767"/>
      <x:c r="M368" s="767" t="n">
        <x:v>0</x:v>
      </x:c>
      <x:c r="N368" s="767"/>
      <x:c r="O368" s="767" t="inlineStr">
        <x:is>
          <x:t xml:space="preserve">-</x:t>
        </x:is>
      </x:c>
      <x:c r="P368" s="767" t="n">
        <x:v>1</x:v>
      </x:c>
      <x:c r="Q368" s="774" t="inlineStr">
        <x:is>
          <x:t xml:space="preserve">0</x:t>
        </x:is>
      </x:c>
    </x:row>
    <x:row r="369">
      <x:c r="A369" s="773" t="n">
        <x:v>1878</x:v>
      </x:c>
      <x:c r="B369" s="767" t="inlineStr">
        <x:is>
          <x:t xml:space="preserve">ÅVSPL</x:t>
        </x:is>
      </x:c>
      <x:c r="C369" s="767" t="inlineStr">
        <x:is>
          <x:t xml:space="preserve">ÅVS plastförpackningar. Tjänsttaxa</x:t>
        </x:is>
      </x:c>
      <x:c r="D369" s="767" t="inlineStr">
        <x:is>
          <x:t xml:space="preserve">RENH</x:t>
        </x:is>
      </x:c>
      <x:c r="E369" s="767" t="inlineStr">
        <x:is>
          <x:t xml:space="preserve">ÅVS</x:t>
        </x:is>
      </x:c>
      <x:c r="F369" s="767" t="n">
        <x:v>1</x:v>
      </x:c>
      <x:c r="G369" s="767" t="inlineStr">
        <x:is>
          <x:t xml:space="preserve">ÅRKV</x:t>
        </x:is>
      </x:c>
      <x:c r="H369" s="767" t="inlineStr">
        <x:is>
          <x:t xml:space="preserve">ÅVS plastförpackningar. Tjänsttaxa</x:t>
        </x:is>
      </x:c>
      <x:c r="I369" s="767"/>
      <x:c r="J369" s="767"/>
      <x:c r="K369" s="767"/>
      <x:c r="L369" s="767"/>
      <x:c r="M369" s="767" t="n">
        <x:v>0</x:v>
      </x:c>
      <x:c r="N369" s="767"/>
      <x:c r="O369" s="767" t="inlineStr">
        <x:is>
          <x:t xml:space="preserve">-</x:t>
        </x:is>
      </x:c>
      <x:c r="P369" s="767" t="n">
        <x:v>1</x:v>
      </x:c>
      <x:c r="Q369" s="774" t="inlineStr">
        <x:is>
          <x:t xml:space="preserve">0</x:t>
        </x:is>
      </x:c>
    </x:row>
    <x:row r="370">
      <x:c r="A370" s="773" t="n">
        <x:v>1892</x:v>
      </x:c>
      <x:c r="B370" s="767" t="inlineStr">
        <x:is>
          <x:t xml:space="preserve">ÅVSREST</x:t>
        </x:is>
      </x:c>
      <x:c r="C370" s="767" t="inlineStr">
        <x:is>
          <x:t xml:space="preserve">ÅVS restavfall. Tjänsttaxa</x:t>
        </x:is>
      </x:c>
      <x:c r="D370" s="767" t="inlineStr">
        <x:is>
          <x:t xml:space="preserve">RENH</x:t>
        </x:is>
      </x:c>
      <x:c r="E370" s="767" t="inlineStr">
        <x:is>
          <x:t xml:space="preserve">ÅVS</x:t>
        </x:is>
      </x:c>
      <x:c r="F370" s="767" t="n">
        <x:v>1</x:v>
      </x:c>
      <x:c r="G370" s="767" t="inlineStr">
        <x:is>
          <x:t xml:space="preserve">ÅRKV</x:t>
        </x:is>
      </x:c>
      <x:c r="H370" s="767" t="inlineStr">
        <x:is>
          <x:t xml:space="preserve">ÅVS restavfall. Tjänsttaxa</x:t>
        </x:is>
      </x:c>
      <x:c r="I370" s="767"/>
      <x:c r="J370" s="767"/>
      <x:c r="K370" s="767"/>
      <x:c r="L370" s="767"/>
      <x:c r="M370" s="767" t="n">
        <x:v>0</x:v>
      </x:c>
      <x:c r="N370" s="767"/>
      <x:c r="O370" s="767" t="inlineStr">
        <x:is>
          <x:t xml:space="preserve">-</x:t>
        </x:is>
      </x:c>
      <x:c r="P370" s="767" t="n">
        <x:v>1</x:v>
      </x:c>
      <x:c r="Q370" s="774" t="inlineStr">
        <x:is>
          <x:t xml:space="preserve">0</x:t>
        </x:is>
      </x:c>
    </x:row>
    <x:row r="371">
      <x:c r="A371" s="840" t="n">
        <x:v>1881</x:v>
      </x:c>
      <x:c r="B371" s="841" t="inlineStr">
        <x:is>
          <x:t xml:space="preserve">ÅVSTI</x:t>
        </x:is>
      </x:c>
      <x:c r="C371" s="841" t="inlineStr">
        <x:is>
          <x:t xml:space="preserve">ÅVS tidningar. Tjänsttaxa</x:t>
        </x:is>
      </x:c>
      <x:c r="D371" s="841" t="inlineStr">
        <x:is>
          <x:t xml:space="preserve">RENH</x:t>
        </x:is>
      </x:c>
      <x:c r="E371" s="841" t="inlineStr">
        <x:is>
          <x:t xml:space="preserve">ÅVS</x:t>
        </x:is>
      </x:c>
      <x:c r="F371" s="841" t="n">
        <x:v>1</x:v>
      </x:c>
      <x:c r="G371" s="841" t="inlineStr">
        <x:is>
          <x:t xml:space="preserve">ÅRKV</x:t>
        </x:is>
      </x:c>
      <x:c r="H371" s="841" t="inlineStr">
        <x:is>
          <x:t xml:space="preserve">ÅVS tidningar. Tjänsttaxa</x:t>
        </x:is>
      </x:c>
      <x:c r="I371" s="841"/>
      <x:c r="J371" s="841"/>
      <x:c r="K371" s="841"/>
      <x:c r="L371" s="841"/>
      <x:c r="M371" s="841" t="n">
        <x:v>0</x:v>
      </x:c>
      <x:c r="N371" s="841"/>
      <x:c r="O371" s="841" t="inlineStr">
        <x:is>
          <x:t xml:space="preserve">-</x:t>
        </x:is>
      </x:c>
      <x:c r="P371" s="841" t="n">
        <x:v>1</x:v>
      </x:c>
      <x:c r="Q371" s="842" t="inlineStr">
        <x:is>
          <x:t xml:space="preserve">0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 s="54" customFormat="1" ht="45" customHeight="1">
      <x:c r="A1" s="856" t="inlineStr">
        <x:is>
          <x:t xml:space="preserve">intRecnum</x:t>
        </x:is>
      </x:c>
      <x:c r="B1" s="857" t="inlineStr">
        <x:is>
          <x:t xml:space="preserve">strTaxekod</x:t>
        </x:is>
      </x:c>
      <x:c r="C1" s="857" t="inlineStr">
        <x:is>
          <x:t xml:space="preserve">strTaxebenamning</x:t>
        </x:is>
      </x:c>
      <x:c r="D1" s="857" t="inlineStr">
        <x:is>
          <x:t xml:space="preserve">strProdukt</x:t>
        </x:is>
      </x:c>
      <x:c r="E1" s="857" t="inlineStr">
        <x:is>
          <x:t xml:space="preserve">strDelProdukt</x:t>
        </x:is>
      </x:c>
      <x:c r="F1" s="857" t="inlineStr">
        <x:is>
          <x:t xml:space="preserve">bytDelradnr</x:t>
        </x:is>
      </x:c>
      <x:c r="G1" s="857" t="inlineStr">
        <x:is>
          <x:t xml:space="preserve">strFaktor</x:t>
        </x:is>
      </x:c>
      <x:c r="H1" s="857" t="inlineStr">
        <x:is>
          <x:t xml:space="preserve">strTaxedelAvser</x:t>
        </x:is>
      </x:c>
      <x:c r="I1" s="857" t="inlineStr">
        <x:is>
          <x:t xml:space="preserve">strEntreprenorkod</x:t>
        </x:is>
      </x:c>
      <x:c r="J1" s="857" t="inlineStr">
        <x:is>
          <x:t xml:space="preserve">strRenhDistrKod</x:t>
        </x:is>
      </x:c>
      <x:c r="K1" s="857" t="inlineStr">
        <x:is>
          <x:t xml:space="preserve">curNuvarandePris</x:t>
        </x:is>
      </x:c>
      <x:c r="L1" s="857" t="inlineStr">
        <x:is>
          <x:t xml:space="preserve">datNuvarandePrisDatum</x:t>
        </x:is>
      </x:c>
      <x:c r="M1" s="857" t="inlineStr">
        <x:is>
          <x:t xml:space="preserve">bolPrisPerTomning</x:t>
        </x:is>
      </x:c>
      <x:c r="N1" s="857" t="inlineStr">
        <x:is>
          <x:t xml:space="preserve">strAvvikandeFormel</x:t>
        </x:is>
      </x:c>
      <x:c r="O1" s="857" t="inlineStr">
        <x:is>
          <x:t xml:space="preserve">bolPriserInklMoms</x:t>
        </x:is>
      </x:c>
      <x:c r="P1" s="857" t="inlineStr">
        <x:is>
          <x:t xml:space="preserve">bytMomskod</x:t>
        </x:is>
      </x:c>
      <x:c r="Q1" s="858" t="inlineStr">
        <x:is>
          <x:t xml:space="preserve">strFormel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61"/>
      <x:c r="B1" s="862" t="inlineStr">
        <x:is>
          <x:t xml:space="preserve">Sammanställning – total intäkt per paragraf</x:t>
        </x:is>
      </x:c>
      <x:c r="C1" s="845"/>
      <x:c r="D1" s="772"/>
    </x:row>
    <x:row r="2">
      <x:c r="A2" s="773"/>
      <x:c r="B2" s="767"/>
      <x:c r="C2" s="767"/>
      <x:c r="D2" s="774"/>
    </x:row>
    <x:row r="3" s="54" customFormat="1" ht="45" customHeight="1">
      <x:c r="A3" s="773"/>
      <x:c r="B3" s="859" t="inlineStr">
        <x:is>
          <x:t xml:space="preserve">Paragraf</x:t>
        </x:is>
      </x:c>
      <x:c r="C3" s="859" t="inlineStr">
        <x:is>
          <x:t xml:space="preserve">Paragrafnamn</x:t>
        </x:is>
      </x:c>
      <x:c r="D3" s="863" t="inlineStr">
        <x:is>
          <x:t xml:space="preserve">Total intäkt (kr)</x:t>
        </x:is>
      </x:c>
    </x:row>
    <x:row r="4" s="54" customFormat="1" ht="30" customHeight="1">
      <x:c r="A4" s="773"/>
      <x:c r="B4" s="848" t="inlineStr">
        <x:is>
          <x:t xml:space="preserve">§2.1</x:t>
        </x:is>
      </x:c>
      <x:c r="C4" s="848" t="inlineStr">
        <x:is>
          <x:t xml:space="preserve">Grundavgift</x:t>
        </x:is>
      </x:c>
      <x:c r="D4" s="864" t="e">
        <x:f>SUMIF(Taxepunkter!A:A,"§2.1",Taxepunkter!I:I)</x:f>
      </x:c>
    </x:row>
    <x:row r="5" s="54" customFormat="1" ht="90" customHeight="1">
      <x:c r="A5" s="773"/>
      <x:c r="B5" s="848" t="inlineStr">
        <x:is>
          <x:t xml:space="preserve">§2.2.1</x:t>
        </x:is>
      </x:c>
      <x:c r="C5" s="848" t="inlineStr">
        <x:is>
          <x:t xml:space="preserve">Hämtningsavgift per år för en- och tvåbostadshus</x:t>
        </x:is>
      </x:c>
      <x:c r="D5" s="864" t="e">
        <x:f>SUMIF(Taxepunkter!A:A,"§2.2.1",Taxepunkter!I:I)</x:f>
      </x:c>
    </x:row>
    <x:row r="6" s="54" customFormat="1" ht="75" customHeight="1">
      <x:c r="A6" s="773"/>
      <x:c r="B6" s="848" t="inlineStr">
        <x:is>
          <x:t xml:space="preserve">§2.2.2</x:t>
        </x:is>
      </x:c>
      <x:c r="C6" s="848" t="inlineStr">
        <x:is>
          <x:t xml:space="preserve">Hämtningsavgift per år för fritidshus</x:t>
        </x:is>
      </x:c>
      <x:c r="D6" s="864" t="e">
        <x:f>SUMIF(Taxepunkter!A:A,"§2.2.2",Taxepunkter!I:I)</x:f>
      </x:c>
    </x:row>
    <x:row r="7" s="54" customFormat="1" ht="165" customHeight="1">
      <x:c r="A7" s="773"/>
      <x:c r="B7" s="848" t="inlineStr">
        <x:is>
          <x:t xml:space="preserve">§2.2.3</x:t>
        </x:is>
      </x:c>
      <x:c r="C7" s="848" t="inlineStr">
        <x:is>
          <x:t xml:space="preserve">Hämtningsavgift per år gemensam uppsamlingsplats för hämtningsområde X</x:t>
        </x:is>
      </x:c>
      <x:c r="D7" s="864" t="e">
        <x:f>SUMIF(Taxepunkter!A:A,"§2.2.3",Taxepunkter!I:I)</x:f>
      </x:c>
    </x:row>
    <x:row r="8" s="54" customFormat="1" ht="75" customHeight="1">
      <x:c r="A8" s="773"/>
      <x:c r="B8" s="848" t="inlineStr">
        <x:is>
          <x:t xml:space="preserve">§2.2.4</x:t>
        </x:is>
      </x:c>
      <x:c r="C8" s="848" t="inlineStr">
        <x:is>
          <x:t xml:space="preserve">Hämtningsavgift per år för flerbostadshus</x:t>
        </x:is>
      </x:c>
      <x:c r="D8" s="864" t="e">
        <x:f>SUMIF(Taxepunkter!A:A,"§2.2.4",Taxepunkter!I:I)</x:f>
      </x:c>
    </x:row>
    <x:row r="9" s="54" customFormat="1" ht="75" customHeight="1">
      <x:c r="A9" s="773"/>
      <x:c r="B9" s="848" t="inlineStr">
        <x:is>
          <x:t xml:space="preserve">§2.2.5</x:t>
        </x:is>
      </x:c>
      <x:c r="C9" s="848" t="inlineStr">
        <x:is>
          <x:t xml:space="preserve">Hämtningsavgift per år för verksamheter</x:t>
        </x:is>
      </x:c>
      <x:c r="D9" s="864" t="e">
        <x:f>SUMIF(Taxepunkter!A:A,"§2.2.5",Taxepunkter!I:I)</x:f>
      </x:c>
    </x:row>
    <x:row r="10" s="54" customFormat="1" ht="105" customHeight="1">
      <x:c r="A10" s="773"/>
      <x:c r="B10" s="848" t="inlineStr">
        <x:is>
          <x:t xml:space="preserve">§2.3</x:t>
        </x:is>
      </x:c>
      <x:c r="C10" s="848" t="inlineStr">
        <x:is>
          <x:t xml:space="preserve">Rörlig avgift (gäller ej gemensam uppsamlingsplats)</x:t>
        </x:is>
      </x:c>
      <x:c r="D10" s="864" t="e">
        <x:f>SUMIF(Taxepunkter!A:A,"§2.3",Taxepunkter!I:I)</x:f>
      </x:c>
    </x:row>
    <x:row r="11" s="54" customFormat="1" ht="45" customHeight="1">
      <x:c r="A11" s="773"/>
      <x:c r="B11" s="848" t="inlineStr">
        <x:is>
          <x:t xml:space="preserve">§2.4</x:t>
        </x:is>
      </x:c>
      <x:c r="C11" s="848" t="inlineStr">
        <x:is>
          <x:t xml:space="preserve">Betalsäck och akutsäck</x:t>
        </x:is>
      </x:c>
      <x:c r="D11" s="864" t="n">
        <x:f>SUMIF(Taxepunkter!A:A,"§2.4",Taxepunkter!I:I)</x:f>
        <x:v>0</x:v>
      </x:c>
    </x:row>
    <x:row r="12" s="54" customFormat="1" ht="30" customHeight="1">
      <x:c r="A12" s="773"/>
      <x:c r="B12" s="848" t="inlineStr">
        <x:is>
          <x:t xml:space="preserve">§2.5</x:t>
        </x:is>
      </x:c>
      <x:c r="C12" s="848" t="inlineStr">
        <x:is>
          <x:t xml:space="preserve">Matavfallspåsar</x:t>
        </x:is>
      </x:c>
      <x:c r="D12" s="864" t="n">
        <x:f>SUMIF(Taxepunkter!A:A,"§2.5",Taxepunkter!I:I)</x:f>
        <x:v>0</x:v>
      </x:c>
    </x:row>
    <x:row r="13" s="54" customFormat="1" ht="30" customHeight="1">
      <x:c r="A13" s="773"/>
      <x:c r="B13" s="848" t="inlineStr">
        <x:is>
          <x:t xml:space="preserve">§2.6.1</x:t>
        </x:is>
      </x:c>
      <x:c r="C13" s="848" t="inlineStr">
        <x:is>
          <x:t xml:space="preserve">Fakturaavgift</x:t>
        </x:is>
      </x:c>
      <x:c r="D13" s="864" t="n">
        <x:f>SUMIF(Taxepunkter!A:A,"§2.6.1",Taxepunkter!I:I)</x:f>
        <x:v>0</x:v>
      </x:c>
    </x:row>
    <x:row r="14" s="54" customFormat="1" ht="45" customHeight="1">
      <x:c r="A14" s="773"/>
      <x:c r="B14" s="848" t="inlineStr">
        <x:is>
          <x:t xml:space="preserve">§2.6.2</x:t>
        </x:is>
      </x:c>
      <x:c r="C14" s="848" t="inlineStr">
        <x:is>
          <x:t xml:space="preserve">Överviktsavgift kärl</x:t>
        </x:is>
      </x:c>
      <x:c r="D14" s="864" t="n">
        <x:f>SUMIF(Taxepunkter!A:A,"§2.6.2",Taxepunkter!I:I)</x:f>
        <x:v>0</x:v>
      </x:c>
    </x:row>
    <x:row r="15" s="54" customFormat="1" ht="90" customHeight="1">
      <x:c r="A15" s="773"/>
      <x:c r="B15" s="848" t="inlineStr">
        <x:is>
          <x:t xml:space="preserve">§2.6.3</x:t>
        </x:is>
      </x:c>
      <x:c r="C15" s="848" t="inlineStr">
        <x:is>
          <x:t xml:space="preserve">Överfullt kärl/bottentömmande behållare</x:t>
        </x:is>
      </x:c>
      <x:c r="D15" s="864" t="n">
        <x:f>SUMIF(Taxepunkter!A:A,"§2.6.3",Taxepunkter!I:I)</x:f>
        <x:v>0</x:v>
      </x:c>
    </x:row>
    <x:row r="16" s="54" customFormat="1" ht="45" customHeight="1">
      <x:c r="A16" s="773"/>
      <x:c r="B16" s="848" t="inlineStr">
        <x:is>
          <x:t xml:space="preserve">§2.6.4</x:t>
        </x:is>
      </x:c>
      <x:c r="C16" s="848" t="inlineStr">
        <x:is>
          <x:t xml:space="preserve">Byte av trasigt kärl</x:t>
        </x:is>
      </x:c>
      <x:c r="D16" s="864" t="n">
        <x:f>SUMIF(Taxepunkter!A:A,"§2.6.4",Taxepunkter!I:I)</x:f>
        <x:v>0</x:v>
      </x:c>
    </x:row>
    <x:row r="17" s="54" customFormat="1" ht="45" customHeight="1">
      <x:c r="A17" s="773"/>
      <x:c r="B17" s="848" t="inlineStr">
        <x:is>
          <x:t xml:space="preserve">§2.6.5</x:t>
        </x:is>
      </x:c>
      <x:c r="C17" s="848" t="inlineStr">
        <x:is>
          <x:t xml:space="preserve">Byte av abonnemang</x:t>
        </x:is>
      </x:c>
      <x:c r="D17" s="864" t="n">
        <x:f>SUMIF(Taxepunkter!A:A,"§2.6.5",Taxepunkter!I:I)</x:f>
        <x:v>0</x:v>
      </x:c>
    </x:row>
    <x:row r="18" s="54" customFormat="1" ht="45" customHeight="1">
      <x:c r="A18" s="773"/>
      <x:c r="B18" s="848" t="inlineStr">
        <x:is>
          <x:t xml:space="preserve">§2.6.6</x:t>
        </x:is>
      </x:c>
      <x:c r="C18" s="848" t="inlineStr">
        <x:is>
          <x:t xml:space="preserve">Felsorteringsavgift</x:t>
        </x:is>
      </x:c>
      <x:c r="D18" s="864" t="n">
        <x:f>SUMIF(Taxepunkter!A:A,"§2.6.6",Taxepunkter!I:I)</x:f>
        <x:v>0</x:v>
      </x:c>
    </x:row>
    <x:row r="19" s="54" customFormat="1" ht="60" customHeight="1">
      <x:c r="A19" s="773"/>
      <x:c r="B19" s="848" t="inlineStr">
        <x:is>
          <x:t xml:space="preserve">§2.6.7</x:t>
        </x:is>
      </x:c>
      <x:c r="C19" s="848" t="inlineStr">
        <x:is>
          <x:t xml:space="preserve">Dragväg och avfallsutrymmen</x:t>
        </x:is>
      </x:c>
      <x:c r="D19" s="864" t="n">
        <x:f>SUMIF(Taxepunkter!A:A,"§2.6.7",Taxepunkter!I:I)</x:f>
        <x:v>0</x:v>
      </x:c>
    </x:row>
    <x:row r="20" s="54" customFormat="1" ht="90" customHeight="1">
      <x:c r="A20" s="773"/>
      <x:c r="B20" s="848" t="inlineStr">
        <x:is>
          <x:t xml:space="preserve">§2.6.8</x:t>
        </x:is>
      </x:c>
      <x:c r="C20" s="848" t="inlineStr">
        <x:is>
          <x:t xml:space="preserve">Evenemang och andra tillfälliga händelser</x:t>
        </x:is>
      </x:c>
      <x:c r="D20" s="864" t="n">
        <x:f>SUMIF(Taxepunkter!A:A,"§2.6.8",Taxepunkter!I:I)</x:f>
        <x:v>0</x:v>
      </x:c>
    </x:row>
    <x:row r="21" s="54" customFormat="1" ht="75" customHeight="1">
      <x:c r="A21" s="773"/>
      <x:c r="B21" s="848" t="inlineStr">
        <x:is>
          <x:t xml:space="preserve">§2.6.9</x:t>
        </x:is>
      </x:c>
      <x:c r="C21" s="848" t="inlineStr">
        <x:is>
          <x:t xml:space="preserve">Budning av mat- och restavfall</x:t>
        </x:is>
      </x:c>
      <x:c r="D21" s="864" t="n">
        <x:f>SUMIF(Taxepunkter!A:A,"§2.6.9",Taxepunkter!I:I)</x:f>
        <x:v>0</x:v>
      </x:c>
    </x:row>
    <x:row r="22" s="54" customFormat="1" ht="135" customHeight="1">
      <x:c r="A22" s="773"/>
      <x:c r="B22" s="848" t="inlineStr">
        <x:is>
          <x:t xml:space="preserve">§2.7.1</x:t>
        </x:is>
      </x:c>
      <x:c r="C22" s="848" t="inlineStr">
        <x:is>
          <x:t xml:space="preserve">Hanteringsavgifter för avfall inlämnat på återvinningscentral</x:t>
        </x:is>
      </x:c>
      <x:c r="D22" s="864" t="n">
        <x:f>SUMIF(Taxepunkter!A:A,"§2.7.1",Taxepunkter!I:I)</x:f>
        <x:v>0</x:v>
      </x:c>
    </x:row>
    <x:row r="23" s="54" customFormat="1" ht="45" customHeight="1">
      <x:c r="A23" s="773"/>
      <x:c r="B23" s="848" t="inlineStr">
        <x:is>
          <x:t xml:space="preserve">§2.7.2</x:t>
        </x:is>
      </x:c>
      <x:c r="C23" s="848" t="inlineStr">
        <x:is>
          <x:t xml:space="preserve">Inpassering på ÅVC</x:t>
        </x:is>
      </x:c>
      <x:c r="D23" s="864" t="n">
        <x:f>SUMIF(Taxepunkter!A:A,"§2.7.2",Taxepunkter!I:I)</x:f>
        <x:v>0</x:v>
      </x:c>
    </x:row>
    <x:row r="24" s="54" customFormat="1" ht="45" customHeight="1">
      <x:c r="A24" s="773"/>
      <x:c r="B24" s="848" t="inlineStr">
        <x:is>
          <x:t xml:space="preserve">§2.7.3</x:t>
        </x:is>
      </x:c>
      <x:c r="C24" s="848" t="inlineStr">
        <x:is>
          <x:t xml:space="preserve">Hyra av container</x:t>
        </x:is>
      </x:c>
      <x:c r="D24" s="864" t="n">
        <x:f>SUMIF(Taxepunkter!A:A,"§2.7.3",Taxepunkter!I:I)</x:f>
        <x:v>0</x:v>
      </x:c>
    </x:row>
    <x:row r="25" s="54" customFormat="1" ht="120" customHeight="1">
      <x:c r="A25" s="773"/>
      <x:c r="B25" s="848" t="inlineStr">
        <x:is>
          <x:t xml:space="preserve">§2.7.4</x:t>
        </x:is>
      </x:c>
      <x:c r="C25" s="848" t="inlineStr">
        <x:is>
          <x:t xml:space="preserve">Budning för fastighetsnära hämtning av kommunalt avfall</x:t>
        </x:is>
      </x:c>
      <x:c r="D25" s="864" t="n">
        <x:f>SUMIF(Taxepunkter!A:A,"§2.7.4",Taxepunkter!I:I)</x:f>
        <x:v>0</x:v>
      </x:c>
    </x:row>
    <x:row r="26" s="54" customFormat="1" ht="60" customHeight="1">
      <x:c r="A26" s="773"/>
      <x:c r="B26" s="848" t="inlineStr">
        <x:is>
          <x:t xml:space="preserve">§3.1</x:t>
        </x:is>
      </x:c>
      <x:c r="C26" s="848" t="inlineStr">
        <x:is>
          <x:t xml:space="preserve">Ordinarie tömning slam</x:t>
        </x:is>
      </x:c>
      <x:c r="D26" s="864" t="e">
        <x:f>SUMIF(Taxepunkter!A:A,"§3.1",Taxepunkter!I:I)</x:f>
      </x:c>
    </x:row>
    <x:row r="27" s="54" customFormat="1" ht="45" customHeight="1">
      <x:c r="A27" s="773"/>
      <x:c r="B27" s="848" t="inlineStr">
        <x:is>
          <x:t xml:space="preserve">§3.2</x:t>
        </x:is>
      </x:c>
      <x:c r="C27" s="848" t="inlineStr">
        <x:is>
          <x:t xml:space="preserve">Tilläggstjänster slam</x:t>
        </x:is>
      </x:c>
      <x:c r="D27" s="864" t="e">
        <x:f>SUMIF(Taxepunkter!A:A,"§3.2",Taxepunkter!I:I)</x:f>
      </x:c>
    </x:row>
    <x:row r="28" s="54" customFormat="1" ht="75" customHeight="1">
      <x:c r="A28" s="773"/>
      <x:c r="B28" s="848" t="inlineStr">
        <x:is>
          <x:t xml:space="preserve">§3.3</x:t>
        </x:is>
      </x:c>
      <x:c r="C28" s="848" t="inlineStr">
        <x:is>
          <x:t xml:space="preserve">Övriga avgifter och tillägg slam</x:t>
        </x:is>
      </x:c>
      <x:c r="D28" s="864" t="e">
        <x:f>SUMIF(Taxepunkter!A:A,"§3.3",Taxepunkter!I:I)</x:f>
      </x:c>
    </x:row>
    <x:row r="29" s="54" customFormat="1" ht="75" customHeight="1">
      <x:c r="A29" s="773"/>
      <x:c r="B29" s="848" t="inlineStr">
        <x:is>
          <x:t xml:space="preserve">§4.1</x:t>
        </x:is>
      </x:c>
      <x:c r="C29" s="848" t="inlineStr">
        <x:is>
          <x:t xml:space="preserve">Budad hämtning fosforfilter</x:t>
        </x:is>
      </x:c>
      <x:c r="D29" s="864" t="e">
        <x:f>SUMIF(Taxepunkter!A:A,"§4.1",Taxepunkter!I:I)</x:f>
      </x:c>
    </x:row>
    <x:row r="30" s="54" customFormat="1" ht="60" customHeight="1">
      <x:c r="A30" s="773"/>
      <x:c r="B30" s="848" t="inlineStr">
        <x:is>
          <x:t xml:space="preserve">§4.2</x:t>
        </x:is>
      </x:c>
      <x:c r="C30" s="848" t="inlineStr">
        <x:is>
          <x:t xml:space="preserve">Tilläggstjänster fosforfilter</x:t>
        </x:is>
      </x:c>
      <x:c r="D30" s="864" t="e">
        <x:f>SUMIF(Taxepunkter!A:A,"§4.2",Taxepunkter!I:I)</x:f>
      </x:c>
    </x:row>
    <x:row r="31" s="54" customFormat="1" ht="90" customHeight="1">
      <x:c r="A31" s="773"/>
      <x:c r="B31" s="848" t="inlineStr">
        <x:is>
          <x:t xml:space="preserve">§4.3</x:t>
        </x:is>
      </x:c>
      <x:c r="C31" s="848" t="inlineStr">
        <x:is>
          <x:t xml:space="preserve">Övriga avgifter och tillägg fosforfällor</x:t>
        </x:is>
      </x:c>
      <x:c r="D31" s="864" t="n">
        <x:f>SUMIF(Taxepunkter!A:A,"§4.3",Taxepunkter!I:I)</x:f>
        <x:v>0</x:v>
      </x:c>
    </x:row>
    <x:row r="32" s="54" customFormat="1" ht="90" customHeight="1">
      <x:c r="A32" s="773"/>
      <x:c r="B32" s="848" t="inlineStr">
        <x:is>
          <x:t xml:space="preserve">§5.1</x:t>
        </x:is>
      </x:c>
      <x:c r="C32" s="848" t="inlineStr">
        <x:is>
          <x:t xml:space="preserve">Ordinarie tömning av fettavskiljare</x:t>
        </x:is>
      </x:c>
      <x:c r="D32" s="864" t="e">
        <x:f>SUMIF(Taxepunkter!A:A,"§5.1",Taxepunkter!I:I)</x:f>
      </x:c>
    </x:row>
    <x:row r="33" s="54" customFormat="1" ht="60" customHeight="1">
      <x:c r="A33" s="773"/>
      <x:c r="B33" s="848" t="inlineStr">
        <x:is>
          <x:t xml:space="preserve">§5.2</x:t>
        </x:is>
      </x:c>
      <x:c r="C33" s="848" t="inlineStr">
        <x:is>
          <x:t xml:space="preserve">Tilläggstjänster fettavskiljare</x:t>
        </x:is>
      </x:c>
      <x:c r="D33" s="864" t="e">
        <x:f>SUMIF(Taxepunkter!A:A,"§5.2",Taxepunkter!I:I)</x:f>
      </x:c>
    </x:row>
    <x:row r="34" s="54" customFormat="1" ht="90" customHeight="1">
      <x:c r="A34" s="773"/>
      <x:c r="B34" s="848" t="inlineStr">
        <x:is>
          <x:t xml:space="preserve">§5.3</x:t>
        </x:is>
      </x:c>
      <x:c r="C34" s="848" t="inlineStr">
        <x:is>
          <x:t xml:space="preserve">Övriga avgifter och tillägg fettavskiljare</x:t>
        </x:is>
      </x:c>
      <x:c r="D34" s="864" t="e">
        <x:f>SUMIF(Taxepunkter!A:A,"§5.3",Taxepunkter!I:I)</x:f>
      </x:c>
    </x:row>
    <x:row r="35" s="54" customFormat="1" ht="120" customHeight="1">
      <x:c r="A35" s="840"/>
      <x:c r="B35" s="865" t="inlineStr">
        <x:is>
          <x:t xml:space="preserve">§6</x:t>
        </x:is>
      </x:c>
      <x:c r="C35" s="865" t="inlineStr">
        <x:is>
          <x:t xml:space="preserve">Verksamhetsavfall inlämnat på återvinningscentral</x:t>
        </x:is>
      </x:c>
      <x:c r="D35" s="866" t="n">
        <x:f>SUMIF(Taxepunkter!A:A,"§6",Taxepunkter!I:I)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 s="54" customFormat="1" ht="18.75" customHeight="1">
      <x:c r="A1" s="861"/>
      <x:c r="B1" s="862" t="inlineStr">
        <x:is>
          <x:t xml:space="preserve">Kostnadstäckningsgrad vs självkostnad</x:t>
        </x:is>
      </x:c>
      <x:c r="C1" s="772"/>
    </x:row>
    <x:row r="2">
      <x:c r="A2" s="773"/>
      <x:c r="B2" s="767"/>
      <x:c r="C2" s="774"/>
    </x:row>
    <x:row r="3">
      <x:c r="A3" s="773"/>
      <x:c r="B3" s="768" t="inlineStr">
        <x:is>
          <x:t xml:space="preserve">Total intäkt (kr)</x:t>
        </x:is>
      </x:c>
      <x:c r="C3" s="776" t="e">
        <x:f>SUM(Taxepunkter!I:I)</x:f>
      </x:c>
    </x:row>
    <x:row r="4">
      <x:c r="A4" s="773"/>
      <x:c r="B4" s="768" t="inlineStr">
        <x:is>
          <x:t xml:space="preserve">Självkostnad (kr) – ange här</x:t>
        </x:is>
      </x:c>
      <x:c r="C4" s="868" t="n">
        <x:v>0</x:v>
      </x:c>
    </x:row>
    <x:row r="5">
      <x:c r="A5" s="840"/>
      <x:c r="B5" s="869" t="inlineStr">
        <x:is>
          <x:t xml:space="preserve">Kostnadstäckningsgrad</x:t>
        </x:is>
      </x:c>
      <x:c r="C5" s="870" t="str">
        <x:f>IF(C4=0,"",C3/C4)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54" customWidth="1"/>
    <x:col min="2" max="2" width="95" style="54" customWidth="1"/>
  </x:cols>
  <x:sheetData>
    <x:row r="1">
      <x:c r="A1" s="872" t="inlineStr">
        <x:is>
          <x:t xml:space="preserve">Kontroll</x:t>
        </x:is>
      </x:c>
      <x:c r="B1" s="873" t="inlineStr">
        <x:is>
          <x:t xml:space="preserve">Status</x:t>
        </x:is>
      </x:c>
    </x:row>
    <x:row r="2">
      <x:c r="A2" s="773" t="inlineStr">
        <x:is>
          <x:t xml:space="preserve">Källfil Word</x:t>
        </x:is>
      </x:c>
      <x:c r="B2" s="774" t="inlineStr">
        <x:is>
          <x:t xml:space="preserve">Förslag till taxestruktur mall ASN 2026-03-13 v2(2).docx</x:t>
        </x:is>
      </x:c>
    </x:row>
    <x:row r="3">
      <x:c r="A3" s="773" t="inlineStr">
        <x:is>
          <x:t xml:space="preserve">Källfil Excel</x:t>
        </x:is>
      </x:c>
      <x:c r="B3" s="774" t="inlineStr">
        <x:is>
          <x:t xml:space="preserve">Avfallstaxa_redigerbar_korrigerad_tom_2_2_6(1).xlsx</x:t>
        </x:is>
      </x:c>
    </x:row>
    <x:row r="4">
      <x:c r="A4" s="773" t="inlineStr">
        <x:is>
          <x:t xml:space="preserve">Åtgärd</x:t>
        </x:is>
      </x:c>
      <x:c r="B4" s="774" t="inlineStr">
        <x:is>
          <x:t xml:space="preserve">Taxepunkter har byggts om så att varje prisfält i Word motsvarar en egen rad i Excel.</x:t>
        </x:is>
      </x:c>
    </x:row>
    <x:row r="5">
      <x:c r="A5" s="773" t="inlineStr">
        <x:is>
          <x:t xml:space="preserve">Antal rader i Taxepunkter efter korrigering</x:t>
        </x:is>
      </x:c>
      <x:c r="B5" s="774" t="n">
        <x:v>367</x:v>
      </x:c>
    </x:row>
    <x:row r="6">
      <x:c r="A6" s="773"/>
      <x:c r="B6" s="774"/>
    </x:row>
    <x:row r="7">
      <x:c r="A7" s="773" t="inlineStr">
        <x:is>
          <x:t xml:space="preserve">Tillagda/korrigerade huvudområden</x:t>
        </x:is>
      </x:c>
      <x:c r="B7" s="774" t="inlineStr">
        <x:is>
          <x:t xml:space="preserve">Kommentar</x:t>
        </x:is>
      </x:c>
    </x:row>
    <x:row r="8">
      <x:c r="A8" s="773" t="inlineStr">
        <x:is>
          <x:t xml:space="preserve">§2.2.6</x:t>
        </x:is>
      </x:c>
      <x:c r="B8" s="774" t="inlineStr">
        <x:is>
          <x:t xml:space="preserve">Saknad paragraf byggd med samtliga 15 prispunkter.</x:t>
        </x:is>
      </x:c>
    </x:row>
    <x:row r="9">
      <x:c r="A9" s="773" t="inlineStr">
        <x:is>
          <x:t xml:space="preserve">§2.2.7</x:t>
        </x:is>
      </x:c>
      <x:c r="B9" s="774" t="inlineStr">
        <x:is>
          <x:t xml:space="preserve">Saknad paragraf byggd med 3 prispunkter.</x:t>
        </x:is>
      </x:c>
    </x:row>
    <x:row r="10">
      <x:c r="A10" s="773" t="inlineStr">
        <x:is>
          <x:t xml:space="preserve">§2.2.1–§2.2.2</x:t>
        </x:is>
      </x:c>
      <x:c r="B10" s="774" t="inlineStr">
        <x:is>
          <x:t xml:space="preserve">Rader delade upp per hämtningsintervall enligt Word.</x:t>
        </x:is>
      </x:c>
    </x:row>
    <x:row r="11">
      <x:c r="A11" s="773" t="inlineStr">
        <x:is>
          <x:t xml:space="preserve">§2.4.1–§2.4.11</x:t>
        </x:is>
      </x:c>
      <x:c r="B11" s="774" t="inlineStr">
        <x:is>
          <x:t xml:space="preserve">Tidigare §2.6.* och separata 2.4/2.5 har byggts om enligt Word-numrering.</x:t>
        </x:is>
      </x:c>
    </x:row>
    <x:row r="12">
      <x:c r="A12" s="773" t="inlineStr">
        <x:is>
          <x:t xml:space="preserve">§2.5.1</x:t>
        </x:is>
      </x:c>
      <x:c r="B12" s="774" t="inlineStr">
        <x:is>
          <x:t xml:space="preserve">Budning för fastighetsnära hämtning flyttad från tidigare §2.7.4 till Word-strukturen.</x:t>
        </x:is>
      </x:c>
    </x:row>
    <x:row r="13">
      <x:c r="A13" s="773" t="inlineStr">
        <x:is>
          <x:t xml:space="preserve">§3–§5</x:t>
        </x:is>
      </x:c>
      <x:c r="B13" s="774" t="inlineStr">
        <x:is>
          <x:t xml:space="preserve">Saknade rader för tillägg per m3, extra tank/brunn, latrin, fosforfilter och fettavskiljare har lagts till enligt Word.</x:t>
        </x:is>
      </x:c>
    </x:row>
    <x:row r="14">
      <x:c r="A14" s="773" t="inlineStr">
        <x:is>
          <x:t xml:space="preserve">§6.1.1–§6.1.4</x:t>
        </x:is>
      </x:c>
      <x:c r="B14" s="774" t="inlineStr">
        <x:is>
          <x:t xml:space="preserve">ÅVC-struktur byggd enligt Word-numrering; befintliga §6- och tidigare §2.7-rader har bevarats under §6.</x:t>
        </x:is>
      </x:c>
    </x:row>
    <x:row r="15">
      <x:c r="A15" s="773"/>
      <x:c r="B15" s="774"/>
    </x:row>
    <x:row r="16">
      <x:c r="A16" s="840" t="inlineStr">
        <x:is>
          <x:t xml:space="preserve">Obs</x:t>
        </x:is>
      </x:c>
      <x:c r="B16" s="842" t="inlineStr">
        <x:is>
          <x:t xml:space="preserve">Taxakod/pris har bara bevarats där befintlig rad kunde matchas. Nya rader saknar taxakod/pris tills ni fyller i dessa.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2" style="54" hidden="0" customWidth="1"/>
    <x:col min="2" max="2" width="10" style="54" hidden="0" customWidth="1"/>
    <x:col min="3" max="3" width="16" style="54" hidden="0" customWidth="1"/>
    <x:col min="4" max="4" width="44" style="54" hidden="0" customWidth="1"/>
    <x:col min="5" max="5" width="36" style="54" hidden="0" customWidth="1"/>
    <x:col min="6" max="6" width="44" style="54" hidden="0" customWidth="1"/>
    <x:col min="7" max="7" width="22" style="54" hidden="0" customWidth="1"/>
    <x:col min="8" max="8" width="14" style="54" hidden="0" customWidth="1"/>
    <x:col min="9" max="9" width="50" style="54" hidden="0" customWidth="1"/>
    <x:col min="10" max="10" width="22" style="54" hidden="0" customWidth="1"/>
    <x:col min="11" max="11" width="44" style="54" hidden="0" customWidth="1"/>
    <x:col min="12" max="12" width="12" style="54" hidden="0" customWidth="1"/>
    <x:col min="13" max="13" width="14" style="54" hidden="0" customWidth="1"/>
    <x:col min="14" max="14" width="12" style="54" hidden="0" customWidth="1"/>
    <x:col min="15" max="15" width="14" style="54" hidden="0" customWidth="1"/>
    <x:col min="16" max="16" width="48" style="54" hidden="0" customWidth="1"/>
    <x:col min="17" max="17" width="14" style="54" hidden="0" customWidth="1"/>
    <x:col min="18" max="18" width="14" style="54" hidden="0" customWidth="1"/>
    <x:col min="19" max="19" width="16" style="54" hidden="0" customWidth="1"/>
    <x:col min="20" max="20" width="16" style="54" hidden="0" customWidth="1"/>
    <x:col min="21" max="21" width="14" style="54" hidden="0" customWidth="1"/>
    <x:col min="22" max="22" width="18" style="54" hidden="0" customWidth="1"/>
    <x:col min="23" max="23" width="14" style="54" hidden="0" customWidth="1"/>
    <x:col min="24" max="24" width="12" style="54" hidden="0" customWidth="1"/>
    <x:col min="25" max="25" width="18" style="54" hidden="0" customWidth="1"/>
  </x:cols>
  <x:sheetData>
    <x:row r="1">
      <x:c r="A1" s="942" t="str">
        <x:v>Källparagraf</x:v>
      </x:c>
      <x:c r="B1" s="943" t="str">
        <x:v>Källpunkt</x:v>
      </x:c>
      <x:c r="C1" s="943" t="str">
        <x:v>Rad i Taxepunkter</x:v>
      </x:c>
      <x:c r="D1" s="943" t="str">
        <x:v>Wordtext</x:v>
      </x:c>
      <x:c r="E1" s="943" t="str">
        <x:v>Status</x:v>
      </x:c>
      <x:c r="F1" s="943" t="str">
        <x:v>Matchmetod</x:v>
      </x:c>
      <x:c r="G1" s="943" t="str">
        <x:v>FöreslagenTaxekod</x:v>
      </x:c>
      <x:c r="H1" s="943" t="str">
        <x:v>intRecnum</x:v>
      </x:c>
      <x:c r="I1" s="943" t="str">
        <x:v>Taxepunkt</x:v>
      </x:c>
      <x:c r="J1" s="943" t="str">
        <x:v>strTaxekod</x:v>
      </x:c>
      <x:c r="K1" s="943" t="str">
        <x:v>strTaxebenamning</x:v>
      </x:c>
      <x:c r="L1" s="943" t="str">
        <x:v>strProdukt</x:v>
      </x:c>
      <x:c r="M1" s="943" t="str">
        <x:v>strDelProdukt</x:v>
      </x:c>
      <x:c r="N1" s="943" t="str">
        <x:v>bytDelradnr</x:v>
      </x:c>
      <x:c r="O1" s="943" t="str">
        <x:v>strFaktor</x:v>
      </x:c>
      <x:c r="P1" s="943" t="str">
        <x:v>strTaxedelAvser</x:v>
      </x:c>
      <x:c r="Q1" s="943" t="str">
        <x:v>strEntreprenorkod</x:v>
      </x:c>
      <x:c r="R1" s="943" t="str">
        <x:v>strRenhDistrKod</x:v>
      </x:c>
      <x:c r="S1" s="943" t="str">
        <x:v>curNuvarandePris</x:v>
      </x:c>
      <x:c r="T1" s="943" t="str">
        <x:v>datNuvarandePrisDatum</x:v>
      </x:c>
      <x:c r="U1" s="943" t="str">
        <x:v>bolPrisPerTomning</x:v>
      </x:c>
      <x:c r="V1" s="943" t="str">
        <x:v>strAvvikandeFormel</x:v>
      </x:c>
      <x:c r="W1" s="943" t="str">
        <x:v>bolPriserInklMoms</x:v>
      </x:c>
      <x:c r="X1" s="943" t="str">
        <x:v>bytMomskod</x:v>
      </x:c>
      <x:c r="Y1" s="944" t="str">
        <x:v>strFormel</x:v>
      </x:c>
    </x:row>
    <x:row r="2">
      <x:c r="A2" s="882" t="str">
        <x:v>§2.1</x:v>
      </x:c>
      <x:c r="B2" s="875" t="n">
        <x:v>5</x:v>
      </x:c>
      <x:c r="C2" s="875" t="n">
        <x:v>11</x:v>
      </x:c>
      <x:c r="D2" s="875" t="str">
        <x:v>Lägenhet för specialändamål</x:v>
      </x:c>
      <x:c r="E2" s="875" t="str">
        <x:v>Saknas i EDP – föreslagen ny taxa</x:v>
      </x:c>
      <x:c r="F2" s="875" t="str">
        <x:v>Kodförslag baserat på prefix/suffix och text i Taxepunkter</x:v>
      </x:c>
      <x:c r="G2" s="876" t="str">
        <x:v>GRUNDSPEC</x:v>
      </x:c>
      <x:c r="H2" s="875" t="n">
        <x:v>11</x:v>
      </x:c>
      <x:c r="I2" s="875" t="str">
        <x:v>Grundavgift / Lägenhet för specialändamål</x:v>
      </x:c>
      <x:c r="J2" s="877" t="str">
        <x:v>GRUNDSPEC</x:v>
      </x:c>
      <x:c r="K2" s="877" t="str">
        <x:v>Lägenhet för specialändamål</x:v>
      </x:c>
      <x:c r="L2" s="877" t="str">
        <x:v>RENH</x:v>
      </x:c>
      <x:c r="M2" s="877" t="str">
        <x:v>HUSH</x:v>
      </x:c>
      <x:c r="N2" s="877" t="n">
        <x:v>1</x:v>
      </x:c>
      <x:c r="O2" s="877" t="str">
        <x:v>ÅRKV</x:v>
      </x:c>
      <x:c r="P2" s="877" t="str">
        <x:v>Lägenhet för specialändamål</x:v>
      </x:c>
      <x:c r="Q2" s="877"/>
      <x:c r="R2" s="877"/>
      <x:c r="S2" s="877"/>
      <x:c r="T2" s="877"/>
      <x:c r="U2" s="877" t="n">
        <x:v>0</x:v>
      </x:c>
      <x:c r="V2" s="877"/>
      <x:c r="W2" s="877" t="str">
        <x:v>-</x:v>
      </x:c>
      <x:c r="X2" s="877" t="n">
        <x:v>1</x:v>
      </x:c>
      <x:c r="Y2" s="883" t="str">
        <x:v>ANTB</x:v>
      </x:c>
    </x:row>
    <x:row r="3">
      <x:c r="A3" s="882" t="str">
        <x:v>§2.1</x:v>
      </x:c>
      <x:c r="B3" s="875" t="n">
        <x:v>6</x:v>
      </x:c>
      <x:c r="C3" s="875" t="n">
        <x:v>12</x:v>
      </x:c>
      <x:c r="D3" s="875" t="str">
        <x:v>Anläggning</x:v>
      </x:c>
      <x:c r="E3" s="875" t="str">
        <x:v>Saknas i EDP – föreslagen ny taxa</x:v>
      </x:c>
      <x:c r="F3" s="875" t="str">
        <x:v>Kodförslag baserat på prefix/suffix och text i Taxepunkter</x:v>
      </x:c>
      <x:c r="G3" s="876" t="str">
        <x:v>GRUNDANL</x:v>
      </x:c>
      <x:c r="H3" s="875" t="n">
        <x:v>12</x:v>
      </x:c>
      <x:c r="I3" s="875" t="str">
        <x:v>Grundavgift / Anläggning</x:v>
      </x:c>
      <x:c r="J3" s="877" t="str">
        <x:v>GRUNDANL</x:v>
      </x:c>
      <x:c r="K3" s="877" t="str">
        <x:v>Anläggning</x:v>
      </x:c>
      <x:c r="L3" s="877" t="str">
        <x:v>RENH</x:v>
      </x:c>
      <x:c r="M3" s="877" t="str">
        <x:v>HUSH</x:v>
      </x:c>
      <x:c r="N3" s="877" t="n">
        <x:v>1</x:v>
      </x:c>
      <x:c r="O3" s="877" t="str">
        <x:v>ÅRKV</x:v>
      </x:c>
      <x:c r="P3" s="877" t="str">
        <x:v>Anläggning</x:v>
      </x:c>
      <x:c r="Q3" s="877"/>
      <x:c r="R3" s="877"/>
      <x:c r="S3" s="877"/>
      <x:c r="T3" s="877"/>
      <x:c r="U3" s="877" t="n">
        <x:v>0</x:v>
      </x:c>
      <x:c r="V3" s="877"/>
      <x:c r="W3" s="877" t="str">
        <x:v>-</x:v>
      </x:c>
      <x:c r="X3" s="877" t="n">
        <x:v>1</x:v>
      </x:c>
      <x:c r="Y3" s="883" t="str">
        <x:v>ANTB</x:v>
      </x:c>
    </x:row>
    <x:row r="4">
      <x:c r="A4" s="882" t="str">
        <x:v>§2.1</x:v>
      </x:c>
      <x:c r="B4" s="875" t="n">
        <x:v>7</x:v>
      </x:c>
      <x:c r="C4" s="875" t="n">
        <x:v>13</x:v>
      </x:c>
      <x:c r="D4" s="875" t="str">
        <x:v>Säsongsbaserad uppställningsplats</x:v>
      </x:c>
      <x:c r="E4" s="875" t="str">
        <x:v>Saknas i EDP – föreslagen ny taxa</x:v>
      </x:c>
      <x:c r="F4" s="875" t="str">
        <x:v>Kodförslag baserat på prefix/suffix och text i Taxepunkter</x:v>
      </x:c>
      <x:c r="G4" s="876" t="str">
        <x:v>GRUNDSÄS</x:v>
      </x:c>
      <x:c r="H4" s="875" t="n">
        <x:v>13</x:v>
      </x:c>
      <x:c r="I4" s="875" t="str">
        <x:v>Grundavgift / Säsongsbaserad uppställningsplats</x:v>
      </x:c>
      <x:c r="J4" s="877" t="str">
        <x:v>GRUNDSÄS</x:v>
      </x:c>
      <x:c r="K4" s="877" t="str">
        <x:v>Säsongsbaserad uppställningsplats</x:v>
      </x:c>
      <x:c r="L4" s="877" t="str">
        <x:v>RENH</x:v>
      </x:c>
      <x:c r="M4" s="877" t="str">
        <x:v>HUSH</x:v>
      </x:c>
      <x:c r="N4" s="877" t="n">
        <x:v>1</x:v>
      </x:c>
      <x:c r="O4" s="877" t="str">
        <x:v>ÅRKV</x:v>
      </x:c>
      <x:c r="P4" s="877" t="str">
        <x:v>Säsongsbaserad uppställningsplats</x:v>
      </x:c>
      <x:c r="Q4" s="877"/>
      <x:c r="R4" s="877"/>
      <x:c r="S4" s="877"/>
      <x:c r="T4" s="877"/>
      <x:c r="U4" s="877" t="n">
        <x:v>0</x:v>
      </x:c>
      <x:c r="V4" s="877"/>
      <x:c r="W4" s="877" t="str">
        <x:v>-</x:v>
      </x:c>
      <x:c r="X4" s="877" t="n">
        <x:v>1</x:v>
      </x:c>
      <x:c r="Y4" s="883" t="str">
        <x:v>ANTB</x:v>
      </x:c>
    </x:row>
    <x:row r="5">
      <x:c r="A5" s="882" t="str">
        <x:v>§2.1</x:v>
      </x:c>
      <x:c r="B5" s="875" t="n">
        <x:v>8</x:v>
      </x:c>
      <x:c r="C5" s="875" t="n">
        <x:v>14</x:v>
      </x:c>
      <x:c r="D5" s="875" t="str">
        <x:v>Campingstuga/-lägenhet</x:v>
      </x:c>
      <x:c r="E5" s="875" t="str">
        <x:v>Saknas i EDP – föreslagen ny taxa</x:v>
      </x:c>
      <x:c r="F5" s="875" t="str">
        <x:v>Kodförslag baserat på prefix/suffix och text i Taxepunkter</x:v>
      </x:c>
      <x:c r="G5" s="876" t="str">
        <x:v>GRUNDCAMP</x:v>
      </x:c>
      <x:c r="H5" s="875" t="n">
        <x:v>14</x:v>
      </x:c>
      <x:c r="I5" s="875" t="str">
        <x:v>Grundavgift / Campingstuga/-lägenhet</x:v>
      </x:c>
      <x:c r="J5" s="877" t="str">
        <x:v>GRUNDCAMP</x:v>
      </x:c>
      <x:c r="K5" s="877" t="str">
        <x:v>Campingstuga/-lägenhet</x:v>
      </x:c>
      <x:c r="L5" s="877" t="str">
        <x:v>RENH</x:v>
      </x:c>
      <x:c r="M5" s="877" t="str">
        <x:v>HUSH</x:v>
      </x:c>
      <x:c r="N5" s="877" t="n">
        <x:v>1</x:v>
      </x:c>
      <x:c r="O5" s="877" t="str">
        <x:v>ÅRKV</x:v>
      </x:c>
      <x:c r="P5" s="877" t="str">
        <x:v>Campingstuga/-lägenhet</x:v>
      </x:c>
      <x:c r="Q5" s="877"/>
      <x:c r="R5" s="877"/>
      <x:c r="S5" s="877"/>
      <x:c r="T5" s="877"/>
      <x:c r="U5" s="877" t="n">
        <x:v>0</x:v>
      </x:c>
      <x:c r="V5" s="877"/>
      <x:c r="W5" s="877" t="str">
        <x:v>-</x:v>
      </x:c>
      <x:c r="X5" s="877" t="n">
        <x:v>1</x:v>
      </x:c>
      <x:c r="Y5" s="883" t="str">
        <x:v>ANTB</x:v>
      </x:c>
    </x:row>
    <x:row r="6">
      <x:c r="A6" s="882" t="str">
        <x:v>§2.1</x:v>
      </x:c>
      <x:c r="B6" s="875" t="n">
        <x:v>9</x:v>
      </x:c>
      <x:c r="C6" s="875" t="n">
        <x:v>15</x:v>
      </x:c>
      <x:c r="D6" s="875" t="str">
        <x:v>Administrativ avgift vid beviljad dispens om uppehåll i hämtning eller eget omhändertagande av avfall under kommunalt ansvar</x:v>
      </x:c>
      <x:c r="E6" s="875" t="str">
        <x:v>Saknas i EDP – föreslagen ny taxa</x:v>
      </x:c>
      <x:c r="F6" s="875" t="str">
        <x:v>Kodförslag baserat på prefix/suffix och text i Taxepunkter</x:v>
      </x:c>
      <x:c r="G6" s="876" t="str">
        <x:v>ADMINDISP</x:v>
      </x:c>
      <x:c r="H6" s="875" t="n">
        <x:v>15</x:v>
      </x:c>
      <x:c r="I6" s="875" t="str">
        <x:v>Grundavgift / Administrativ avgift vid beviljad dispens om uppehåll i hämtning eller eget omhändertagande av avfall under kommunalt ansvar</x:v>
      </x:c>
      <x:c r="J6" s="877" t="str">
        <x:v>ADMINDISP</x:v>
      </x:c>
      <x:c r="K6" s="877" t="str">
        <x:v>Administrativ avgift vid beviljad dispens om uppehåll i hämtning eller eget omhändertagande av avfall under kommunalt ansvar</x:v>
      </x:c>
      <x:c r="L6" s="877" t="str">
        <x:v>RENH</x:v>
      </x:c>
      <x:c r="M6" s="877" t="str">
        <x:v>HUSH</x:v>
      </x:c>
      <x:c r="N6" s="877" t="n">
        <x:v>1</x:v>
      </x:c>
      <x:c r="O6" s="877" t="str">
        <x:v>ÅRKV</x:v>
      </x:c>
      <x:c r="P6" s="877" t="str">
        <x:v>Administrativ avgift vid beviljad dispens om uppehåll i hämtning eller eget omhändertagande av avfall under kommunalt ansvar</x:v>
      </x:c>
      <x:c r="Q6" s="877"/>
      <x:c r="R6" s="877"/>
      <x:c r="S6" s="877"/>
      <x:c r="T6" s="877"/>
      <x:c r="U6" s="877" t="n">
        <x:v>0</x:v>
      </x:c>
      <x:c r="V6" s="877"/>
      <x:c r="W6" s="877" t="str">
        <x:v>-</x:v>
      </x:c>
      <x:c r="X6" s="877" t="n">
        <x:v>1</x:v>
      </x:c>
      <x:c r="Y6" s="883" t="str">
        <x:v>ANTB</x:v>
      </x:c>
    </x:row>
    <x:row r="7">
      <x:c r="A7" s="882" t="str">
        <x:v>§2.2.1</x:v>
      </x:c>
      <x:c r="B7" s="875" t="n">
        <x:v>11</x:v>
      </x:c>
      <x:c r="C7" s="875" t="n">
        <x:v>19</x:v>
      </x:c>
      <x:c r="D7" s="875" t="str">
        <x:v>Kärl 240 l (mat-/restavfall) Hämtning månadsvis</x:v>
      </x:c>
      <x:c r="E7" s="875" t="str">
        <x:v>Saknas i EDP – föreslagen ny taxa</x:v>
      </x:c>
      <x:c r="F7" s="875" t="str">
        <x:v>Kodförslag baserat på prefix/suffix och text i Taxepunkter</x:v>
      </x:c>
      <x:c r="G7" s="876" t="str">
        <x:v>KÄ240RM12</x:v>
      </x:c>
      <x:c r="H7" s="875" t="n">
        <x:v>19</x:v>
      </x:c>
      <x:c r="I7" s="875" t="str">
        <x:v>Hämtningsavgift per år för en- och tvåbostadshus / Kärl 240 l (mat-/restavfall)</x:v>
      </x:c>
      <x:c r="J7" s="877" t="str">
        <x:v>KÄ240RM12</x:v>
      </x:c>
      <x:c r="K7" s="877" t="str">
        <x:v>Kärl 240 l (mat-/restavfall). Hämtning månadsvis</x:v>
      </x:c>
      <x:c r="L7" s="877" t="str">
        <x:v>RENH</x:v>
      </x:c>
      <x:c r="M7" s="877" t="str">
        <x:v>HUSH</x:v>
      </x:c>
      <x:c r="N7" s="877" t="n">
        <x:v>1</x:v>
      </x:c>
      <x:c r="O7" s="877" t="str">
        <x:v>ÅRKV</x:v>
      </x:c>
      <x:c r="P7" s="877" t="str">
        <x:v>Kärl 240 l (mat-/restavfall) Hämtning månadsvis</x:v>
      </x:c>
      <x:c r="Q7" s="877"/>
      <x:c r="R7" s="877"/>
      <x:c r="S7" s="877"/>
      <x:c r="T7" s="877"/>
      <x:c r="U7" s="877" t="n">
        <x:v>0</x:v>
      </x:c>
      <x:c r="V7" s="877"/>
      <x:c r="W7" s="877" t="str">
        <x:v>-</x:v>
      </x:c>
      <x:c r="X7" s="877" t="n">
        <x:v>1</x:v>
      </x:c>
      <x:c r="Y7" s="883" t="str">
        <x:v>ANTB</x:v>
      </x:c>
    </x:row>
    <x:row r="8">
      <x:c r="A8" s="882" t="str">
        <x:v>§2.2.1</x:v>
      </x:c>
      <x:c r="B8" s="875" t="n">
        <x:v>13</x:v>
      </x:c>
      <x:c r="C8" s="875" t="n">
        <x:v>21</x:v>
      </x:c>
      <x:c r="D8" s="875" t="str">
        <x:v>Extrakärl 190 l (restavfall) Hämtning månadsvis</x:v>
      </x:c>
      <x:c r="E8" s="875" t="str">
        <x:v>Saknas i EDP – föreslagen ny taxa</x:v>
      </x:c>
      <x:c r="F8" s="875" t="str">
        <x:v>Kodförslag baserat på prefix/suffix och text i Taxepunkter</x:v>
      </x:c>
      <x:c r="G8" s="876" t="str">
        <x:v>KÄ190XRM12</x:v>
      </x:c>
      <x:c r="H8" s="875" t="n">
        <x:v>21</x:v>
      </x:c>
      <x:c r="I8" s="875" t="str">
        <x:v>Hämtningsavgift per år för en- och tvåbostadshus / Extrakärl 190 l (restavfall)</x:v>
      </x:c>
      <x:c r="J8" s="877" t="str">
        <x:v>KÄ190XRM12</x:v>
      </x:c>
      <x:c r="K8" s="877" t="str">
        <x:v>Extrakärl 190 l (restavfall). Hämtning månadsvis</x:v>
      </x:c>
      <x:c r="L8" s="877" t="str">
        <x:v>RENH</x:v>
      </x:c>
      <x:c r="M8" s="877" t="str">
        <x:v>HUSH</x:v>
      </x:c>
      <x:c r="N8" s="877" t="n">
        <x:v>1</x:v>
      </x:c>
      <x:c r="O8" s="877" t="str">
        <x:v>ÅRKV</x:v>
      </x:c>
      <x:c r="P8" s="877" t="str">
        <x:v>Extrakärl 190 l (restavfall) Hämtning månadsvis</x:v>
      </x:c>
      <x:c r="Q8" s="877"/>
      <x:c r="R8" s="877"/>
      <x:c r="S8" s="877"/>
      <x:c r="T8" s="877"/>
      <x:c r="U8" s="877" t="n">
        <x:v>0</x:v>
      </x:c>
      <x:c r="V8" s="877"/>
      <x:c r="W8" s="877" t="str">
        <x:v>-</x:v>
      </x:c>
      <x:c r="X8" s="877" t="n">
        <x:v>1</x:v>
      </x:c>
      <x:c r="Y8" s="883" t="str">
        <x:v>ANTB</x:v>
      </x:c>
    </x:row>
    <x:row r="9">
      <x:c r="A9" s="882" t="str">
        <x:v>§2.2.2</x:v>
      </x:c>
      <x:c r="B9" s="875" t="n">
        <x:v>15</x:v>
      </x:c>
      <x:c r="C9" s="875" t="n">
        <x:v>26</x:v>
      </x:c>
      <x:c r="D9" s="875" t="str">
        <x:v>Kärl 240 l (mat-/restavfall) Hämtning månadsvis</x:v>
      </x:c>
      <x:c r="E9" s="875" t="str">
        <x:v>Saknas i EDP – föreslagen ny taxa</x:v>
      </x:c>
      <x:c r="F9" s="875" t="str">
        <x:v>Kodförslag baserat på prefix/suffix och text i Taxepunkter</x:v>
      </x:c>
      <x:c r="G9" s="876" t="str">
        <x:v>KÄ240RM12FRI</x:v>
      </x:c>
      <x:c r="H9" s="875" t="n">
        <x:v>26</x:v>
      </x:c>
      <x:c r="I9" s="875" t="str">
        <x:v>Hämtningsavgift per år för fritidshus / Kärl 240 l (mat-/restavfall)</x:v>
      </x:c>
      <x:c r="J9" s="877" t="str">
        <x:v>KÄ240RM12FRI</x:v>
      </x:c>
      <x:c r="K9" s="877" t="str">
        <x:v>Kärl 240 l (mat-/restavfall). Hämtning månadsvis</x:v>
      </x:c>
      <x:c r="L9" s="877" t="str">
        <x:v>RENH</x:v>
      </x:c>
      <x:c r="M9" s="877" t="str">
        <x:v>HUSH</x:v>
      </x:c>
      <x:c r="N9" s="877" t="n">
        <x:v>1</x:v>
      </x:c>
      <x:c r="O9" s="877" t="str">
        <x:v>ÅRKV</x:v>
      </x:c>
      <x:c r="P9" s="877" t="str">
        <x:v>Kärl 240 l (mat-/restavfall) Hämtning månadsvis</x:v>
      </x:c>
      <x:c r="Q9" s="877"/>
      <x:c r="R9" s="877"/>
      <x:c r="S9" s="877"/>
      <x:c r="T9" s="877"/>
      <x:c r="U9" s="877" t="n">
        <x:v>0</x:v>
      </x:c>
      <x:c r="V9" s="877"/>
      <x:c r="W9" s="877" t="str">
        <x:v>-</x:v>
      </x:c>
      <x:c r="X9" s="877" t="n">
        <x:v>1</x:v>
      </x:c>
      <x:c r="Y9" s="883" t="str">
        <x:v>ANTB</x:v>
      </x:c>
    </x:row>
    <x:row r="10">
      <x:c r="A10" s="882" t="str">
        <x:v>§2.2.2</x:v>
      </x:c>
      <x:c r="B10" s="875" t="n">
        <x:v>16</x:v>
      </x:c>
      <x:c r="C10" s="875" t="n">
        <x:v>27</x:v>
      </x:c>
      <x:c r="D10" s="875" t="str">
        <x:v>Extrakärl 190 l (restavfall) Hämtning var 14:e dag</x:v>
      </x:c>
      <x:c r="E10" s="875" t="str">
        <x:v>Saknas i EDP – föreslagen ny taxa</x:v>
      </x:c>
      <x:c r="F10" s="875" t="str">
        <x:v>Kodförslag baserat på prefix/suffix och text i Taxepunkter</x:v>
      </x:c>
      <x:c r="G10" s="876" t="str">
        <x:v>KÄ190XRM26FRI</x:v>
      </x:c>
      <x:c r="H10" s="875" t="n">
        <x:v>27</x:v>
      </x:c>
      <x:c r="I10" s="875" t="str">
        <x:v>Hämtningsavgift per år för fritidshus / Extrakärl 190 l (restavfall)</x:v>
      </x:c>
      <x:c r="J10" s="877" t="str">
        <x:v>KÄ190XRM26FRI</x:v>
      </x:c>
      <x:c r="K10" s="877" t="str">
        <x:v>Extrakärl 190 l (restavfall). Hämtning var 14:e dag</x:v>
      </x:c>
      <x:c r="L10" s="877" t="str">
        <x:v>RENH</x:v>
      </x:c>
      <x:c r="M10" s="877" t="str">
        <x:v>HUSH</x:v>
      </x:c>
      <x:c r="N10" s="877" t="n">
        <x:v>1</x:v>
      </x:c>
      <x:c r="O10" s="877" t="str">
        <x:v>ÅRKV</x:v>
      </x:c>
      <x:c r="P10" s="877" t="str">
        <x:v>Extrakärl 190 l (restavfall) Hämtning var 14:e dag</x:v>
      </x:c>
      <x:c r="Q10" s="877"/>
      <x:c r="R10" s="877"/>
      <x:c r="S10" s="877"/>
      <x:c r="T10" s="877"/>
      <x:c r="U10" s="877" t="n">
        <x:v>0</x:v>
      </x:c>
      <x:c r="V10" s="877"/>
      <x:c r="W10" s="877" t="str">
        <x:v>-</x:v>
      </x:c>
      <x:c r="X10" s="877" t="n">
        <x:v>1</x:v>
      </x:c>
      <x:c r="Y10" s="883" t="str">
        <x:v>ANTB</x:v>
      </x:c>
    </x:row>
    <x:row r="11">
      <x:c r="A11" s="882" t="str">
        <x:v>§2.2.2</x:v>
      </x:c>
      <x:c r="B11" s="875" t="n">
        <x:v>17</x:v>
      </x:c>
      <x:c r="C11" s="875" t="n">
        <x:v>28</x:v>
      </x:c>
      <x:c r="D11" s="875" t="str">
        <x:v>Extrakärl 190 l (restavfall) Hämtning månadsvis</x:v>
      </x:c>
      <x:c r="E11" s="875" t="str">
        <x:v>Saknas i EDP – föreslagen ny taxa</x:v>
      </x:c>
      <x:c r="F11" s="875" t="str">
        <x:v>Kodförslag baserat på prefix/suffix och text i Taxepunkter</x:v>
      </x:c>
      <x:c r="G11" s="876" t="str">
        <x:v>KÄ190XRM12FRI</x:v>
      </x:c>
      <x:c r="H11" s="875" t="n">
        <x:v>28</x:v>
      </x:c>
      <x:c r="I11" s="875" t="str">
        <x:v>Hämtningsavgift per år för fritidshus / Extrakärl 190 l (restavfall)</x:v>
      </x:c>
      <x:c r="J11" s="877" t="str">
        <x:v>KÄ190XRM12FRI</x:v>
      </x:c>
      <x:c r="K11" s="877" t="str">
        <x:v>Extrakärl 190 l (restavfall). Hämtning månadsvis</x:v>
      </x:c>
      <x:c r="L11" s="877" t="str">
        <x:v>RENH</x:v>
      </x:c>
      <x:c r="M11" s="877" t="str">
        <x:v>HUSH</x:v>
      </x:c>
      <x:c r="N11" s="877" t="n">
        <x:v>1</x:v>
      </x:c>
      <x:c r="O11" s="877" t="str">
        <x:v>ÅRKV</x:v>
      </x:c>
      <x:c r="P11" s="877" t="str">
        <x:v>Extrakärl 190 l (restavfall) Hämtning månadsvis</x:v>
      </x:c>
      <x:c r="Q11" s="877"/>
      <x:c r="R11" s="877"/>
      <x:c r="S11" s="877"/>
      <x:c r="T11" s="877"/>
      <x:c r="U11" s="877" t="n">
        <x:v>0</x:v>
      </x:c>
      <x:c r="V11" s="877"/>
      <x:c r="W11" s="877" t="str">
        <x:v>-</x:v>
      </x:c>
      <x:c r="X11" s="877" t="n">
        <x:v>1</x:v>
      </x:c>
      <x:c r="Y11" s="883" t="str">
        <x:v>ANTB</x:v>
      </x:c>
    </x:row>
    <x:row r="12">
      <x:c r="A12" s="882" t="str">
        <x:v>§2.2.3</x:v>
      </x:c>
      <x:c r="B12" s="875" t="n">
        <x:v>18</x:v>
      </x:c>
      <x:c r="C12" s="875" t="n">
        <x:v>32</x:v>
      </x:c>
      <x:c r="D12" s="875" t="str">
        <x:v>Gemensam uppsamlingsplats för mat-/restavfall</x:v>
      </x:c>
      <x:c r="E12" s="875" t="str">
        <x:v>Saknas i EDP – föreslagen ny taxa</x:v>
      </x:c>
      <x:c r="F12" s="875" t="str">
        <x:v>Kodförslag baserat på prefix/suffix och text i Taxepunkter</x:v>
      </x:c>
      <x:c r="G12" s="876" t="str">
        <x:v>GEMUPPMR</x:v>
      </x:c>
      <x:c r="H12" s="875" t="n">
        <x:v>32</x:v>
      </x:c>
      <x:c r="I12" s="875" t="str">
        <x:v>Gemensam uppsamlingsplats inom hämtningsområde X / Gemensam uppsamlingsplats för mat-/restavfall</x:v>
      </x:c>
      <x:c r="J12" s="877" t="str">
        <x:v>GEMUPPMR</x:v>
      </x:c>
      <x:c r="K12" s="877" t="str">
        <x:v>Gemensam uppsamlingsplats för mat-/restavfall</x:v>
      </x:c>
      <x:c r="L12" s="877" t="str">
        <x:v>RENH</x:v>
      </x:c>
      <x:c r="M12" s="877" t="str">
        <x:v>HUSH</x:v>
      </x:c>
      <x:c r="N12" s="877" t="n">
        <x:v>1</x:v>
      </x:c>
      <x:c r="O12" s="877" t="str">
        <x:v>ÅRKV</x:v>
      </x:c>
      <x:c r="P12" s="877" t="str">
        <x:v>Gemensam uppsamlingsplats för mat-/restavfall</x:v>
      </x:c>
      <x:c r="Q12" s="877"/>
      <x:c r="R12" s="877"/>
      <x:c r="S12" s="877"/>
      <x:c r="T12" s="877"/>
      <x:c r="U12" s="877" t="n">
        <x:v>0</x:v>
      </x:c>
      <x:c r="V12" s="877"/>
      <x:c r="W12" s="877" t="str">
        <x:v>-</x:v>
      </x:c>
      <x:c r="X12" s="877" t="n">
        <x:v>1</x:v>
      </x:c>
      <x:c r="Y12" s="883" t="str">
        <x:v>ANTB</x:v>
      </x:c>
    </x:row>
    <x:row r="13">
      <x:c r="A13" s="882" t="str">
        <x:v>§2.2.3</x:v>
      </x:c>
      <x:c r="B13" s="875" t="n">
        <x:v>19</x:v>
      </x:c>
      <x:c r="C13" s="875" t="n">
        <x:v>34</x:v>
      </x:c>
      <x:c r="D13" s="875" t="str">
        <x:v>Extra digital licens (årskostnad)</x:v>
      </x:c>
      <x:c r="E13" s="875" t="str">
        <x:v>Saknas i EDP – föreslagen ny taxa</x:v>
      </x:c>
      <x:c r="F13" s="875" t="str">
        <x:v>Kodförslag baserat på prefix/suffix och text i Taxepunkter</x:v>
      </x:c>
      <x:c r="G13" s="876" t="str">
        <x:v>GEMUPPEXTRA</x:v>
      </x:c>
      <x:c r="H13" s="875" t="n">
        <x:v>34</x:v>
      </x:c>
      <x:c r="I13" s="875" t="str">
        <x:v>Gemensam uppsamlingsplats inom hämtningsområde X / Extra digital licens (årskostnad)</x:v>
      </x:c>
      <x:c r="J13" s="877" t="str">
        <x:v>GEMUPPEXTRA</x:v>
      </x:c>
      <x:c r="K13" s="877" t="str">
        <x:v>Extra digital licens (årskostnad)</x:v>
      </x:c>
      <x:c r="L13" s="877" t="str">
        <x:v>RENH</x:v>
      </x:c>
      <x:c r="M13" s="877" t="str">
        <x:v>HUSH</x:v>
      </x:c>
      <x:c r="N13" s="877" t="n">
        <x:v>1</x:v>
      </x:c>
      <x:c r="O13" s="877" t="str">
        <x:v>ÅRKV</x:v>
      </x:c>
      <x:c r="P13" s="877" t="str">
        <x:v>Extra digital licens (årskostnad)</x:v>
      </x:c>
      <x:c r="Q13" s="877"/>
      <x:c r="R13" s="877"/>
      <x:c r="S13" s="877"/>
      <x:c r="T13" s="877"/>
      <x:c r="U13" s="877" t="n">
        <x:v>0</x:v>
      </x:c>
      <x:c r="V13" s="877"/>
      <x:c r="W13" s="877" t="str">
        <x:v>-</x:v>
      </x:c>
      <x:c r="X13" s="877" t="n">
        <x:v>1</x:v>
      </x:c>
      <x:c r="Y13" s="883" t="str">
        <x:v>ANTB</x:v>
      </x:c>
    </x:row>
    <x:row r="14">
      <x:c r="A14" s="882" t="str">
        <x:v>§2.2.3</x:v>
      </x:c>
      <x:c r="B14" s="875" t="n">
        <x:v>20</x:v>
      </x:c>
      <x:c r="C14" s="875" t="n">
        <x:v>35</x:v>
      </x:c>
      <x:c r="D14" s="875" t="str">
        <x:v>Fysisk nyckel, kallad fob (engångskostnad)</x:v>
      </x:c>
      <x:c r="E14" s="875" t="str">
        <x:v>Saknas i EDP – föreslagen ny taxa</x:v>
      </x:c>
      <x:c r="F14" s="875" t="str">
        <x:v>Kodförslag baserat på prefix/suffix och text i Taxepunkter</x:v>
      </x:c>
      <x:c r="G14" s="876" t="str">
        <x:v>GEMUPPFOB</x:v>
      </x:c>
      <x:c r="H14" s="875" t="n">
        <x:v>35</x:v>
      </x:c>
      <x:c r="I14" s="875" t="str">
        <x:v>Gemensam uppsamlingsplats inom hämtningsområde X / Fysisk nyckel, kallad fob (engångskostnad)</x:v>
      </x:c>
      <x:c r="J14" s="877" t="str">
        <x:v>GEMUPPFOB</x:v>
      </x:c>
      <x:c r="K14" s="877" t="str">
        <x:v>Fysisk nyckel, kallad fob (engångskostnad)</x:v>
      </x:c>
      <x:c r="L14" s="877" t="str">
        <x:v>RENH</x:v>
      </x:c>
      <x:c r="M14" s="877" t="str">
        <x:v>HUSH</x:v>
      </x:c>
      <x:c r="N14" s="877" t="n">
        <x:v>1</x:v>
      </x:c>
      <x:c r="O14" s="877" t="str">
        <x:v>ÅRKV</x:v>
      </x:c>
      <x:c r="P14" s="877" t="str">
        <x:v>Fysisk nyckel, kallad fob (engångskostnad)</x:v>
      </x:c>
      <x:c r="Q14" s="877"/>
      <x:c r="R14" s="877"/>
      <x:c r="S14" s="877"/>
      <x:c r="T14" s="877"/>
      <x:c r="U14" s="877" t="n">
        <x:v>0</x:v>
      </x:c>
      <x:c r="V14" s="877"/>
      <x:c r="W14" s="877" t="str">
        <x:v>-</x:v>
      </x:c>
      <x:c r="X14" s="877" t="n">
        <x:v>1</x:v>
      </x:c>
      <x:c r="Y14" s="883" t="str">
        <x:v>ANTB</x:v>
      </x:c>
    </x:row>
    <x:row r="15">
      <x:c r="A15" s="882" t="str">
        <x:v>§2.2.3</x:v>
      </x:c>
      <x:c r="B15" s="875" t="n">
        <x:v>21</x:v>
      </x:c>
      <x:c r="C15" s="875" t="n">
        <x:v>36</x:v>
      </x:c>
      <x:c r="D15" s="875" t="str">
        <x:v>Byte av telefonnummer kopplat till licens</x:v>
      </x:c>
      <x:c r="E15" s="875" t="str">
        <x:v>Saknas i EDP – föreslagen ny taxa</x:v>
      </x:c>
      <x:c r="F15" s="875" t="str">
        <x:v>Kodförslag baserat på prefix/suffix och text i Taxepunkter</x:v>
      </x:c>
      <x:c r="G15" s="876" t="str">
        <x:v>GEMUPPBYTE</x:v>
      </x:c>
      <x:c r="H15" s="875" t="n">
        <x:v>36</x:v>
      </x:c>
      <x:c r="I15" s="875" t="str">
        <x:v>Gemensam uppsamlingsplats inom hämtningsområde X / Byte av telefonnummer kopplat till licens</x:v>
      </x:c>
      <x:c r="J15" s="877" t="str">
        <x:v>GEMUPPBYTE</x:v>
      </x:c>
      <x:c r="K15" s="877" t="str">
        <x:v>Byte av telefonnummer kopplat till licens</x:v>
      </x:c>
      <x:c r="L15" s="877" t="str">
        <x:v>RENH</x:v>
      </x:c>
      <x:c r="M15" s="877" t="str">
        <x:v>HUSH</x:v>
      </x:c>
      <x:c r="N15" s="877" t="n">
        <x:v>1</x:v>
      </x:c>
      <x:c r="O15" s="877" t="str">
        <x:v>ÅRKV</x:v>
      </x:c>
      <x:c r="P15" s="877" t="str">
        <x:v>Byte av telefonnummer kopplat till licens</x:v>
      </x:c>
      <x:c r="Q15" s="877"/>
      <x:c r="R15" s="877"/>
      <x:c r="S15" s="877"/>
      <x:c r="T15" s="877"/>
      <x:c r="U15" s="877" t="n">
        <x:v>0</x:v>
      </x:c>
      <x:c r="V15" s="877"/>
      <x:c r="W15" s="877" t="str">
        <x:v>-</x:v>
      </x:c>
      <x:c r="X15" s="877" t="n">
        <x:v>1</x:v>
      </x:c>
      <x:c r="Y15" s="883" t="str">
        <x:v>ANTB</x:v>
      </x:c>
    </x:row>
    <x:row r="16">
      <x:c r="A16" s="882" t="str">
        <x:v>§2.2.3</x:v>
      </x:c>
      <x:c r="B16" s="875" t="n">
        <x:v>22</x:v>
      </x:c>
      <x:c r="C16" s="875" t="n">
        <x:v>37</x:v>
      </x:c>
      <x:c r="D16" s="875" t="str">
        <x:v>Kostnad för öppning av behållare</x:v>
      </x:c>
      <x:c r="E16" s="875" t="str">
        <x:v>Saknas i EDP – föreslagen ny taxa</x:v>
      </x:c>
      <x:c r="F16" s="875" t="str">
        <x:v>Kodförslag baserat på prefix/suffix och text i Taxepunkter</x:v>
      </x:c>
      <x:c r="G16" s="876" t="str">
        <x:v>GEMUPPÖPP</x:v>
      </x:c>
      <x:c r="H16" s="875" t="n">
        <x:v>37</x:v>
      </x:c>
      <x:c r="I16" s="875" t="str">
        <x:v>Gemensam uppsamlingsplats inom hämtningsområde X / Kostnad för öppning av behållare</x:v>
      </x:c>
      <x:c r="J16" s="877" t="str">
        <x:v>GEMUPPÖPP</x:v>
      </x:c>
      <x:c r="K16" s="877" t="str">
        <x:v>Kostnad för öppning av behållare</x:v>
      </x:c>
      <x:c r="L16" s="877" t="str">
        <x:v>RENH</x:v>
      </x:c>
      <x:c r="M16" s="877" t="str">
        <x:v>HUSH</x:v>
      </x:c>
      <x:c r="N16" s="877" t="n">
        <x:v>1</x:v>
      </x:c>
      <x:c r="O16" s="877" t="str">
        <x:v>ÅRKV</x:v>
      </x:c>
      <x:c r="P16" s="877" t="str">
        <x:v>Kostnad för öppning av behållare</x:v>
      </x:c>
      <x:c r="Q16" s="877"/>
      <x:c r="R16" s="877"/>
      <x:c r="S16" s="877"/>
      <x:c r="T16" s="877"/>
      <x:c r="U16" s="877" t="n">
        <x:v>0</x:v>
      </x:c>
      <x:c r="V16" s="877"/>
      <x:c r="W16" s="877" t="str">
        <x:v>-</x:v>
      </x:c>
      <x:c r="X16" s="877" t="n">
        <x:v>1</x:v>
      </x:c>
      <x:c r="Y16" s="883" t="str">
        <x:v>ANTB</x:v>
      </x:c>
    </x:row>
    <x:row r="17">
      <x:c r="A17" s="882" t="str">
        <x:v>§2.2.4</x:v>
      </x:c>
      <x:c r="B17" s="875" t="n">
        <x:v>25</x:v>
      </x:c>
      <x:c r="C17" s="875" t="n">
        <x:v>42</x:v>
      </x:c>
      <x:c r="D17" s="875" t="str">
        <x:v>Kärl 240 l (mat-/restavfall) Hämtning månadsvis</x:v>
      </x:c>
      <x:c r="E17" s="875" t="str">
        <x:v>Saknas i EDP – föreslagen ny taxa</x:v>
      </x:c>
      <x:c r="F17" s="875" t="str">
        <x:v>Kodförslag baserat på prefix/suffix och text i Taxepunkter</x:v>
      </x:c>
      <x:c r="G17" s="876" t="str">
        <x:v>KÄ240RM12FV</x:v>
      </x:c>
      <x:c r="H17" s="875" t="n">
        <x:v>42</x:v>
      </x:c>
      <x:c r="I17" s="875" t="str">
        <x:v>Hämtningsavgift per år för flerbostadshus / Kärl 240 l (mat-/restavfall)</x:v>
      </x:c>
      <x:c r="J17" s="877" t="str">
        <x:v>KÄ240RM12FV</x:v>
      </x:c>
      <x:c r="K17" s="877" t="str">
        <x:v>Kärl 240 l (mat-/restavfall). Hämtning månadsvis</x:v>
      </x:c>
      <x:c r="L17" s="877" t="str">
        <x:v>RENH</x:v>
      </x:c>
      <x:c r="M17" s="877" t="str">
        <x:v>HUSH</x:v>
      </x:c>
      <x:c r="N17" s="877" t="n">
        <x:v>1</x:v>
      </x:c>
      <x:c r="O17" s="877" t="str">
        <x:v>ÅRKV</x:v>
      </x:c>
      <x:c r="P17" s="877" t="str">
        <x:v>Kärl 240 l (mat-/restavfall) Hämtning månadsvis</x:v>
      </x:c>
      <x:c r="Q17" s="877"/>
      <x:c r="R17" s="877"/>
      <x:c r="S17" s="877"/>
      <x:c r="T17" s="877"/>
      <x:c r="U17" s="877" t="n">
        <x:v>0</x:v>
      </x:c>
      <x:c r="V17" s="877"/>
      <x:c r="W17" s="877" t="str">
        <x:v>-</x:v>
      </x:c>
      <x:c r="X17" s="877" t="n">
        <x:v>1</x:v>
      </x:c>
      <x:c r="Y17" s="883" t="str">
        <x:v>ANTB</x:v>
      </x:c>
    </x:row>
    <x:row r="18">
      <x:c r="A18" s="882" t="str">
        <x:v>§2.2.4</x:v>
      </x:c>
      <x:c r="B18" s="875" t="n">
        <x:v>28</x:v>
      </x:c>
      <x:c r="C18" s="875" t="n">
        <x:v>45</x:v>
      </x:c>
      <x:c r="D18" s="875" t="str">
        <x:v>Kärl 370 l (restavfall) Hämtning månadsvis</x:v>
      </x:c>
      <x:c r="E18" s="875" t="str">
        <x:v>Saknas i EDP – föreslagen ny taxa</x:v>
      </x:c>
      <x:c r="F18" s="875" t="str">
        <x:v>Kodförslag baserat på prefix/suffix och text i Taxepunkter</x:v>
      </x:c>
      <x:c r="G18" s="876" t="str">
        <x:v>KÄ370RE12FV</x:v>
      </x:c>
      <x:c r="H18" s="875" t="n">
        <x:v>45</x:v>
      </x:c>
      <x:c r="I18" s="875" t="str">
        <x:v>Hämtningsavgift per år för flerbostadshus / Kärl 370 l (restavfall)</x:v>
      </x:c>
      <x:c r="J18" s="877" t="str">
        <x:v>KÄ370RE12FV</x:v>
      </x:c>
      <x:c r="K18" s="877" t="str">
        <x:v>Kärl 370 l (restavfall). Hämtning månadsvis</x:v>
      </x:c>
      <x:c r="L18" s="877" t="str">
        <x:v>RENH</x:v>
      </x:c>
      <x:c r="M18" s="877" t="str">
        <x:v>HUSH</x:v>
      </x:c>
      <x:c r="N18" s="877" t="n">
        <x:v>1</x:v>
      </x:c>
      <x:c r="O18" s="877" t="str">
        <x:v>ÅRKV</x:v>
      </x:c>
      <x:c r="P18" s="877" t="str">
        <x:v>Kärl 370 l (restavfall) Hämtning månadsvis</x:v>
      </x:c>
      <x:c r="Q18" s="877"/>
      <x:c r="R18" s="877"/>
      <x:c r="S18" s="877"/>
      <x:c r="T18" s="877"/>
      <x:c r="U18" s="877" t="n">
        <x:v>0</x:v>
      </x:c>
      <x:c r="V18" s="877"/>
      <x:c r="W18" s="877" t="str">
        <x:v>-</x:v>
      </x:c>
      <x:c r="X18" s="877" t="n">
        <x:v>1</x:v>
      </x:c>
      <x:c r="Y18" s="883" t="str">
        <x:v>ANTB</x:v>
      </x:c>
    </x:row>
    <x:row r="19">
      <x:c r="A19" s="882" t="str">
        <x:v>§2.2.4</x:v>
      </x:c>
      <x:c r="B19" s="875" t="n">
        <x:v>31</x:v>
      </x:c>
      <x:c r="C19" s="875" t="n">
        <x:v>48</x:v>
      </x:c>
      <x:c r="D19" s="875" t="str">
        <x:v>Kärl 660 l (restavfall) Hämtning månadsvis</x:v>
      </x:c>
      <x:c r="E19" s="875" t="str">
        <x:v>Saknas i EDP – föreslagen ny taxa</x:v>
      </x:c>
      <x:c r="F19" s="875" t="str">
        <x:v>Kodförslag baserat på prefix/suffix och text i Taxepunkter</x:v>
      </x:c>
      <x:c r="G19" s="876" t="str">
        <x:v>KÄ660RE12FV</x:v>
      </x:c>
      <x:c r="H19" s="875" t="n">
        <x:v>48</x:v>
      </x:c>
      <x:c r="I19" s="875" t="str">
        <x:v>Hämtningsavgift per år för flerbostadshus / Kärl 660 l (restavfall)</x:v>
      </x:c>
      <x:c r="J19" s="877" t="str">
        <x:v>KÄ660RE12FV</x:v>
      </x:c>
      <x:c r="K19" s="877" t="str">
        <x:v>Kärl 660 l (restavfall). Hämtning månadsvis</x:v>
      </x:c>
      <x:c r="L19" s="877" t="str">
        <x:v>RENH</x:v>
      </x:c>
      <x:c r="M19" s="877" t="str">
        <x:v>HUSH</x:v>
      </x:c>
      <x:c r="N19" s="877" t="n">
        <x:v>1</x:v>
      </x:c>
      <x:c r="O19" s="877" t="str">
        <x:v>ÅRKV</x:v>
      </x:c>
      <x:c r="P19" s="877" t="str">
        <x:v>Kärl 660 l (restavfall) Hämtning månadsvis</x:v>
      </x:c>
      <x:c r="Q19" s="877"/>
      <x:c r="R19" s="877"/>
      <x:c r="S19" s="877"/>
      <x:c r="T19" s="877"/>
      <x:c r="U19" s="877" t="n">
        <x:v>0</x:v>
      </x:c>
      <x:c r="V19" s="877"/>
      <x:c r="W19" s="877" t="str">
        <x:v>-</x:v>
      </x:c>
      <x:c r="X19" s="877" t="n">
        <x:v>1</x:v>
      </x:c>
      <x:c r="Y19" s="883" t="str">
        <x:v>ANTB</x:v>
      </x:c>
    </x:row>
    <x:row r="20">
      <x:c r="A20" s="882" t="str">
        <x:v>§2.2.4</x:v>
      </x:c>
      <x:c r="B20" s="875" t="n">
        <x:v>34</x:v>
      </x:c>
      <x:c r="C20" s="875" t="n">
        <x:v>51</x:v>
      </x:c>
      <x:c r="D20" s="875" t="str">
        <x:v>Kärl 140 l (matavfall) Hämtning månadsvis</x:v>
      </x:c>
      <x:c r="E20" s="875" t="str">
        <x:v>Saknas i EDP – föreslagen ny taxa</x:v>
      </x:c>
      <x:c r="F20" s="875" t="str">
        <x:v>Kodförslag baserat på prefix/suffix och text i Taxepunkter</x:v>
      </x:c>
      <x:c r="G20" s="876" t="str">
        <x:v>KÄ140MA12FV</x:v>
      </x:c>
      <x:c r="H20" s="875" t="n">
        <x:v>51</x:v>
      </x:c>
      <x:c r="I20" s="875" t="str">
        <x:v>Hämtningsavgift per år för flerbostadshus / Kärl 140 l (matavfall)</x:v>
      </x:c>
      <x:c r="J20" s="877" t="str">
        <x:v>KÄ140MA12FV</x:v>
      </x:c>
      <x:c r="K20" s="877" t="str">
        <x:v>Kärl 140 l (matavfall). Hämtning månadsvis</x:v>
      </x:c>
      <x:c r="L20" s="877" t="str">
        <x:v>RENH</x:v>
      </x:c>
      <x:c r="M20" s="877" t="str">
        <x:v>HUSH</x:v>
      </x:c>
      <x:c r="N20" s="877" t="n">
        <x:v>1</x:v>
      </x:c>
      <x:c r="O20" s="877" t="str">
        <x:v>ÅRKV</x:v>
      </x:c>
      <x:c r="P20" s="877" t="str">
        <x:v>Kärl 140 l (matavfall) Hämtning månadsvis</x:v>
      </x:c>
      <x:c r="Q20" s="877"/>
      <x:c r="R20" s="877"/>
      <x:c r="S20" s="877"/>
      <x:c r="T20" s="877"/>
      <x:c r="U20" s="877" t="n">
        <x:v>0</x:v>
      </x:c>
      <x:c r="V20" s="877"/>
      <x:c r="W20" s="877" t="str">
        <x:v>-</x:v>
      </x:c>
      <x:c r="X20" s="877" t="n">
        <x:v>1</x:v>
      </x:c>
      <x:c r="Y20" s="883" t="str">
        <x:v>ANTB</x:v>
      </x:c>
    </x:row>
    <x:row r="21">
      <x:c r="A21" s="882" t="str">
        <x:v>§2.2.4</x:v>
      </x:c>
      <x:c r="B21" s="875" t="n">
        <x:v>35</x:v>
      </x:c>
      <x:c r="C21" s="875" t="n">
        <x:v>52</x:v>
      </x:c>
      <x:c r="D21" s="875" t="str">
        <x:v>Kärl 190 l (förpackningar) Hämtning varje vecka</x:v>
      </x:c>
      <x:c r="E21" s="875" t="str">
        <x:v>Saknas i EDP – föreslagen ny taxa</x:v>
      </x:c>
      <x:c r="F21" s="875" t="str">
        <x:v>Kodförslag baserat på prefix/suffix och text i Taxepunkter</x:v>
      </x:c>
      <x:c r="G21" s="876" t="str">
        <x:v>KÄ190FP52FV</x:v>
      </x:c>
      <x:c r="H21" s="875" t="n">
        <x:v>52</x:v>
      </x:c>
      <x:c r="I21" s="875" t="str">
        <x:v>Hämtningsavgift per år för flerbostadshus / Kärl 190 l (förpackningar)</x:v>
      </x:c>
      <x:c r="J21" s="877" t="str">
        <x:v>KÄ190FP52FV</x:v>
      </x:c>
      <x:c r="K21" s="877" t="str">
        <x:v>Kärl 190 l (förpackningar). Hämtning varje vecka</x:v>
      </x:c>
      <x:c r="L21" s="877" t="str">
        <x:v>RENH</x:v>
      </x:c>
      <x:c r="M21" s="877" t="str">
        <x:v>HUSH</x:v>
      </x:c>
      <x:c r="N21" s="877" t="n">
        <x:v>1</x:v>
      </x:c>
      <x:c r="O21" s="877" t="str">
        <x:v>ÅRKV</x:v>
      </x:c>
      <x:c r="P21" s="877" t="str">
        <x:v>Kärl 190 l (förpackningar) Hämtning varje vecka</x:v>
      </x:c>
      <x:c r="Q21" s="877"/>
      <x:c r="R21" s="877"/>
      <x:c r="S21" s="877"/>
      <x:c r="T21" s="877"/>
      <x:c r="U21" s="877" t="n">
        <x:v>0</x:v>
      </x:c>
      <x:c r="V21" s="877"/>
      <x:c r="W21" s="877" t="str">
        <x:v>-</x:v>
      </x:c>
      <x:c r="X21" s="877" t="n">
        <x:v>1</x:v>
      </x:c>
      <x:c r="Y21" s="883" t="str">
        <x:v>ANTB</x:v>
      </x:c>
    </x:row>
    <x:row r="22">
      <x:c r="A22" s="882" t="str">
        <x:v>§2.2.4</x:v>
      </x:c>
      <x:c r="B22" s="875" t="n">
        <x:v>36</x:v>
      </x:c>
      <x:c r="C22" s="875" t="n">
        <x:v>53</x:v>
      </x:c>
      <x:c r="D22" s="875" t="str">
        <x:v>Kärl 190 l (förpackningar) Hämtning var 14:e dag</x:v>
      </x:c>
      <x:c r="E22" s="875" t="str">
        <x:v>Saknas i EDP – föreslagen ny taxa</x:v>
      </x:c>
      <x:c r="F22" s="875" t="str">
        <x:v>Kodförslag baserat på prefix/suffix och text i Taxepunkter</x:v>
      </x:c>
      <x:c r="G22" s="876" t="str">
        <x:v>KÄ190FP26FV</x:v>
      </x:c>
      <x:c r="H22" s="875" t="n">
        <x:v>53</x:v>
      </x:c>
      <x:c r="I22" s="875" t="str">
        <x:v>Hämtningsavgift per år för flerbostadshus / Kärl 190 l (förpackningar)</x:v>
      </x:c>
      <x:c r="J22" s="877" t="str">
        <x:v>KÄ190FP26FV</x:v>
      </x:c>
      <x:c r="K22" s="877" t="str">
        <x:v>Kärl 190 l (förpackningar). Hämtning var 14:e dag</x:v>
      </x:c>
      <x:c r="L22" s="877" t="str">
        <x:v>RENH</x:v>
      </x:c>
      <x:c r="M22" s="877" t="str">
        <x:v>HUSH</x:v>
      </x:c>
      <x:c r="N22" s="877" t="n">
        <x:v>1</x:v>
      </x:c>
      <x:c r="O22" s="877" t="str">
        <x:v>ÅRKV</x:v>
      </x:c>
      <x:c r="P22" s="877" t="str">
        <x:v>Kärl 190 l (förpackningar) Hämtning var 14:e dag</x:v>
      </x:c>
      <x:c r="Q22" s="877"/>
      <x:c r="R22" s="877"/>
      <x:c r="S22" s="877"/>
      <x:c r="T22" s="877"/>
      <x:c r="U22" s="877" t="n">
        <x:v>0</x:v>
      </x:c>
      <x:c r="V22" s="877"/>
      <x:c r="W22" s="877" t="str">
        <x:v>-</x:v>
      </x:c>
      <x:c r="X22" s="877" t="n">
        <x:v>1</x:v>
      </x:c>
      <x:c r="Y22" s="883" t="str">
        <x:v>ANTB</x:v>
      </x:c>
    </x:row>
    <x:row r="23">
      <x:c r="A23" s="882" t="str">
        <x:v>§2.2.4</x:v>
      </x:c>
      <x:c r="B23" s="875" t="n">
        <x:v>37</x:v>
      </x:c>
      <x:c r="C23" s="875" t="n">
        <x:v>54</x:v>
      </x:c>
      <x:c r="D23" s="875" t="str">
        <x:v>Kärl 190 l (förpackningar) Hämtning månadsvis</x:v>
      </x:c>
      <x:c r="E23" s="875" t="str">
        <x:v>Saknas i EDP – föreslagen ny taxa</x:v>
      </x:c>
      <x:c r="F23" s="875" t="str">
        <x:v>Kodförslag baserat på prefix/suffix och text i Taxepunkter</x:v>
      </x:c>
      <x:c r="G23" s="876" t="str">
        <x:v>KÄ190FP12FV</x:v>
      </x:c>
      <x:c r="H23" s="875" t="n">
        <x:v>54</x:v>
      </x:c>
      <x:c r="I23" s="875" t="str">
        <x:v>Hämtningsavgift per år för flerbostadshus / Kärl 190 l (förpackningar)</x:v>
      </x:c>
      <x:c r="J23" s="877" t="str">
        <x:v>KÄ190FP12FV</x:v>
      </x:c>
      <x:c r="K23" s="877" t="str">
        <x:v>Kärl 190 l (förpackningar). Hämtning månadsvis</x:v>
      </x:c>
      <x:c r="L23" s="877" t="str">
        <x:v>RENH</x:v>
      </x:c>
      <x:c r="M23" s="877" t="str">
        <x:v>HUSH</x:v>
      </x:c>
      <x:c r="N23" s="877" t="n">
        <x:v>1</x:v>
      </x:c>
      <x:c r="O23" s="877" t="str">
        <x:v>ÅRKV</x:v>
      </x:c>
      <x:c r="P23" s="877" t="str">
        <x:v>Kärl 190 l (förpackningar) Hämtning månadsvis</x:v>
      </x:c>
      <x:c r="Q23" s="877"/>
      <x:c r="R23" s="877"/>
      <x:c r="S23" s="877"/>
      <x:c r="T23" s="877"/>
      <x:c r="U23" s="877" t="n">
        <x:v>0</x:v>
      </x:c>
      <x:c r="V23" s="877"/>
      <x:c r="W23" s="877" t="str">
        <x:v>-</x:v>
      </x:c>
      <x:c r="X23" s="877" t="n">
        <x:v>1</x:v>
      </x:c>
      <x:c r="Y23" s="883" t="str">
        <x:v>ANTB</x:v>
      </x:c>
    </x:row>
    <x:row r="24">
      <x:c r="A24" s="882" t="str">
        <x:v>§2.2.4</x:v>
      </x:c>
      <x:c r="B24" s="875" t="n">
        <x:v>38</x:v>
      </x:c>
      <x:c r="C24" s="875" t="n">
        <x:v>55</x:v>
      </x:c>
      <x:c r="D24" s="875" t="str">
        <x:v>Kärl 370 l (förpackningar) Hämtning varje vecka</x:v>
      </x:c>
      <x:c r="E24" s="875" t="str">
        <x:v>Saknas i EDP – föreslagen ny taxa</x:v>
      </x:c>
      <x:c r="F24" s="875" t="str">
        <x:v>Kodförslag baserat på prefix/suffix och text i Taxepunkter</x:v>
      </x:c>
      <x:c r="G24" s="876" t="str">
        <x:v>KÄ370FP52FV</x:v>
      </x:c>
      <x:c r="H24" s="875" t="n">
        <x:v>55</x:v>
      </x:c>
      <x:c r="I24" s="875" t="str">
        <x:v>Hämtningsavgift per år för flerbostadshus / Kärl 370 l (förpackningar)</x:v>
      </x:c>
      <x:c r="J24" s="877" t="str">
        <x:v>KÄ370FP52FV</x:v>
      </x:c>
      <x:c r="K24" s="877" t="str">
        <x:v>Kärl 370 l (förpackningar). Hämtning varje vecka</x:v>
      </x:c>
      <x:c r="L24" s="877" t="str">
        <x:v>RENH</x:v>
      </x:c>
      <x:c r="M24" s="877" t="str">
        <x:v>HUSH</x:v>
      </x:c>
      <x:c r="N24" s="877" t="n">
        <x:v>1</x:v>
      </x:c>
      <x:c r="O24" s="877" t="str">
        <x:v>ÅRKV</x:v>
      </x:c>
      <x:c r="P24" s="877" t="str">
        <x:v>Kärl 370 l (förpackningar) Hämtning varje vecka</x:v>
      </x:c>
      <x:c r="Q24" s="877"/>
      <x:c r="R24" s="877"/>
      <x:c r="S24" s="877"/>
      <x:c r="T24" s="877"/>
      <x:c r="U24" s="877" t="n">
        <x:v>0</x:v>
      </x:c>
      <x:c r="V24" s="877"/>
      <x:c r="W24" s="877" t="str">
        <x:v>-</x:v>
      </x:c>
      <x:c r="X24" s="877" t="n">
        <x:v>1</x:v>
      </x:c>
      <x:c r="Y24" s="883" t="str">
        <x:v>ANTB</x:v>
      </x:c>
    </x:row>
    <x:row r="25">
      <x:c r="A25" s="882" t="str">
        <x:v>§2.2.4</x:v>
      </x:c>
      <x:c r="B25" s="875" t="n">
        <x:v>39</x:v>
      </x:c>
      <x:c r="C25" s="875" t="n">
        <x:v>56</x:v>
      </x:c>
      <x:c r="D25" s="875" t="str">
        <x:v>Kärl 370 l (förpackningar) Hämtning var 14:e dag</x:v>
      </x:c>
      <x:c r="E25" s="875" t="str">
        <x:v>Saknas i EDP – föreslagen ny taxa</x:v>
      </x:c>
      <x:c r="F25" s="875" t="str">
        <x:v>Kodförslag baserat på prefix/suffix och text i Taxepunkter</x:v>
      </x:c>
      <x:c r="G25" s="876" t="str">
        <x:v>KÄ370FP26FV</x:v>
      </x:c>
      <x:c r="H25" s="875" t="n">
        <x:v>56</x:v>
      </x:c>
      <x:c r="I25" s="875" t="str">
        <x:v>Hämtningsavgift per år för flerbostadshus / Kärl 370 l (förpackningar)</x:v>
      </x:c>
      <x:c r="J25" s="877" t="str">
        <x:v>KÄ370FP26FV</x:v>
      </x:c>
      <x:c r="K25" s="877" t="str">
        <x:v>Kärl 370 l (förpackningar). Hämtning var 14:e dag</x:v>
      </x:c>
      <x:c r="L25" s="877" t="str">
        <x:v>RENH</x:v>
      </x:c>
      <x:c r="M25" s="877" t="str">
        <x:v>HUSH</x:v>
      </x:c>
      <x:c r="N25" s="877" t="n">
        <x:v>1</x:v>
      </x:c>
      <x:c r="O25" s="877" t="str">
        <x:v>ÅRKV</x:v>
      </x:c>
      <x:c r="P25" s="877" t="str">
        <x:v>Kärl 370 l (förpackningar) Hämtning var 14:e dag</x:v>
      </x:c>
      <x:c r="Q25" s="877"/>
      <x:c r="R25" s="877"/>
      <x:c r="S25" s="877"/>
      <x:c r="T25" s="877"/>
      <x:c r="U25" s="877" t="n">
        <x:v>0</x:v>
      </x:c>
      <x:c r="V25" s="877"/>
      <x:c r="W25" s="877" t="str">
        <x:v>-</x:v>
      </x:c>
      <x:c r="X25" s="877" t="n">
        <x:v>1</x:v>
      </x:c>
      <x:c r="Y25" s="883" t="str">
        <x:v>ANTB</x:v>
      </x:c>
    </x:row>
    <x:row r="26">
      <x:c r="A26" s="882" t="str">
        <x:v>§2.2.4</x:v>
      </x:c>
      <x:c r="B26" s="875" t="n">
        <x:v>40</x:v>
      </x:c>
      <x:c r="C26" s="875" t="n">
        <x:v>57</x:v>
      </x:c>
      <x:c r="D26" s="875" t="str">
        <x:v>Kärl 370 l (förpackningar) Hämtning månadsvis</x:v>
      </x:c>
      <x:c r="E26" s="875" t="str">
        <x:v>Saknas i EDP – föreslagen ny taxa</x:v>
      </x:c>
      <x:c r="F26" s="875" t="str">
        <x:v>Kodförslag baserat på prefix/suffix och text i Taxepunkter</x:v>
      </x:c>
      <x:c r="G26" s="876" t="str">
        <x:v>KÄ370FP12FV</x:v>
      </x:c>
      <x:c r="H26" s="875" t="n">
        <x:v>57</x:v>
      </x:c>
      <x:c r="I26" s="875" t="str">
        <x:v>Hämtningsavgift per år för flerbostadshus / Kärl 370 l (förpackningar)</x:v>
      </x:c>
      <x:c r="J26" s="877" t="str">
        <x:v>KÄ370FP12FV</x:v>
      </x:c>
      <x:c r="K26" s="877" t="str">
        <x:v>Kärl 370 l (förpackningar). Hämtning månadsvis</x:v>
      </x:c>
      <x:c r="L26" s="877" t="str">
        <x:v>RENH</x:v>
      </x:c>
      <x:c r="M26" s="877" t="str">
        <x:v>HUSH</x:v>
      </x:c>
      <x:c r="N26" s="877" t="n">
        <x:v>1</x:v>
      </x:c>
      <x:c r="O26" s="877" t="str">
        <x:v>ÅRKV</x:v>
      </x:c>
      <x:c r="P26" s="877" t="str">
        <x:v>Kärl 370 l (förpackningar) Hämtning månadsvis</x:v>
      </x:c>
      <x:c r="Q26" s="877"/>
      <x:c r="R26" s="877"/>
      <x:c r="S26" s="877"/>
      <x:c r="T26" s="877"/>
      <x:c r="U26" s="877" t="n">
        <x:v>0</x:v>
      </x:c>
      <x:c r="V26" s="877"/>
      <x:c r="W26" s="877" t="str">
        <x:v>-</x:v>
      </x:c>
      <x:c r="X26" s="877" t="n">
        <x:v>1</x:v>
      </x:c>
      <x:c r="Y26" s="883" t="str">
        <x:v>ANTB</x:v>
      </x:c>
    </x:row>
    <x:row r="27">
      <x:c r="A27" s="882" t="str">
        <x:v>§2.2.4</x:v>
      </x:c>
      <x:c r="B27" s="875" t="n">
        <x:v>41</x:v>
      </x:c>
      <x:c r="C27" s="875" t="n">
        <x:v>58</x:v>
      </x:c>
      <x:c r="D27" s="875" t="str">
        <x:v>Kärl 660 l (förpackningar) Hämtning varje vecka</x:v>
      </x:c>
      <x:c r="E27" s="875" t="str">
        <x:v>Saknas i EDP – föreslagen ny taxa</x:v>
      </x:c>
      <x:c r="F27" s="875" t="str">
        <x:v>Kodförslag baserat på prefix/suffix och text i Taxepunkter</x:v>
      </x:c>
      <x:c r="G27" s="876" t="str">
        <x:v>KÄ660FP52FV</x:v>
      </x:c>
      <x:c r="H27" s="875" t="n">
        <x:v>58</x:v>
      </x:c>
      <x:c r="I27" s="875" t="str">
        <x:v>Hämtningsavgift per år för flerbostadshus / Kärl 660 l (förpackningar)</x:v>
      </x:c>
      <x:c r="J27" s="877" t="str">
        <x:v>KÄ660FP52FV</x:v>
      </x:c>
      <x:c r="K27" s="877" t="str">
        <x:v>Kärl 660 l (förpackningar). Hämtning varje vecka</x:v>
      </x:c>
      <x:c r="L27" s="877" t="str">
        <x:v>RENH</x:v>
      </x:c>
      <x:c r="M27" s="877" t="str">
        <x:v>HUSH</x:v>
      </x:c>
      <x:c r="N27" s="877" t="n">
        <x:v>1</x:v>
      </x:c>
      <x:c r="O27" s="877" t="str">
        <x:v>ÅRKV</x:v>
      </x:c>
      <x:c r="P27" s="877" t="str">
        <x:v>Kärl 660 l (förpackningar) Hämtning varje vecka</x:v>
      </x:c>
      <x:c r="Q27" s="877"/>
      <x:c r="R27" s="877"/>
      <x:c r="S27" s="877"/>
      <x:c r="T27" s="877"/>
      <x:c r="U27" s="877" t="n">
        <x:v>0</x:v>
      </x:c>
      <x:c r="V27" s="877"/>
      <x:c r="W27" s="877" t="str">
        <x:v>-</x:v>
      </x:c>
      <x:c r="X27" s="877" t="n">
        <x:v>1</x:v>
      </x:c>
      <x:c r="Y27" s="883" t="str">
        <x:v>ANTB</x:v>
      </x:c>
    </x:row>
    <x:row r="28">
      <x:c r="A28" s="882" t="str">
        <x:v>§2.2.4</x:v>
      </x:c>
      <x:c r="B28" s="875" t="n">
        <x:v>42</x:v>
      </x:c>
      <x:c r="C28" s="875" t="n">
        <x:v>59</x:v>
      </x:c>
      <x:c r="D28" s="875" t="str">
        <x:v>Kärl 660 l (förpackningar) Hämtning var 14:e dag</x:v>
      </x:c>
      <x:c r="E28" s="875" t="str">
        <x:v>Saknas i EDP – föreslagen ny taxa</x:v>
      </x:c>
      <x:c r="F28" s="875" t="str">
        <x:v>Kodförslag baserat på prefix/suffix och text i Taxepunkter</x:v>
      </x:c>
      <x:c r="G28" s="876" t="str">
        <x:v>KÄ660FP26FV</x:v>
      </x:c>
      <x:c r="H28" s="875" t="n">
        <x:v>59</x:v>
      </x:c>
      <x:c r="I28" s="875" t="str">
        <x:v>Hämtningsavgift per år för flerbostadshus / Kärl 660 l (förpackningar)</x:v>
      </x:c>
      <x:c r="J28" s="877" t="str">
        <x:v>KÄ660FP26FV</x:v>
      </x:c>
      <x:c r="K28" s="877" t="str">
        <x:v>Kärl 660 l (förpackningar). Hämtning var 14:e dag</x:v>
      </x:c>
      <x:c r="L28" s="877" t="str">
        <x:v>RENH</x:v>
      </x:c>
      <x:c r="M28" s="877" t="str">
        <x:v>HUSH</x:v>
      </x:c>
      <x:c r="N28" s="877" t="n">
        <x:v>1</x:v>
      </x:c>
      <x:c r="O28" s="877" t="str">
        <x:v>ÅRKV</x:v>
      </x:c>
      <x:c r="P28" s="877" t="str">
        <x:v>Kärl 660 l (förpackningar) Hämtning var 14:e dag</x:v>
      </x:c>
      <x:c r="Q28" s="877"/>
      <x:c r="R28" s="877"/>
      <x:c r="S28" s="877"/>
      <x:c r="T28" s="877"/>
      <x:c r="U28" s="877" t="n">
        <x:v>0</x:v>
      </x:c>
      <x:c r="V28" s="877"/>
      <x:c r="W28" s="877" t="str">
        <x:v>-</x:v>
      </x:c>
      <x:c r="X28" s="877" t="n">
        <x:v>1</x:v>
      </x:c>
      <x:c r="Y28" s="883" t="str">
        <x:v>ANTB</x:v>
      </x:c>
    </x:row>
    <x:row r="29">
      <x:c r="A29" s="882" t="str">
        <x:v>§2.2.4</x:v>
      </x:c>
      <x:c r="B29" s="875" t="n">
        <x:v>43</x:v>
      </x:c>
      <x:c r="C29" s="875" t="n">
        <x:v>60</x:v>
      </x:c>
      <x:c r="D29" s="875" t="str">
        <x:v>Kärl 660 l (förpackningar) Hämtning månadsvis</x:v>
      </x:c>
      <x:c r="E29" s="875" t="str">
        <x:v>Saknas i EDP – föreslagen ny taxa</x:v>
      </x:c>
      <x:c r="F29" s="875" t="str">
        <x:v>Kodförslag baserat på prefix/suffix och text i Taxepunkter</x:v>
      </x:c>
      <x:c r="G29" s="876" t="str">
        <x:v>KÄ660FP12FV</x:v>
      </x:c>
      <x:c r="H29" s="875" t="n">
        <x:v>60</x:v>
      </x:c>
      <x:c r="I29" s="875" t="str">
        <x:v>Hämtningsavgift per år för flerbostadshus / Kärl 660 l (förpackningar)</x:v>
      </x:c>
      <x:c r="J29" s="877" t="str">
        <x:v>KÄ660FP12FV</x:v>
      </x:c>
      <x:c r="K29" s="877" t="str">
        <x:v>Kärl 660 l (förpackningar). Hämtning månadsvis</x:v>
      </x:c>
      <x:c r="L29" s="877" t="str">
        <x:v>RENH</x:v>
      </x:c>
      <x:c r="M29" s="877" t="str">
        <x:v>HUSH</x:v>
      </x:c>
      <x:c r="N29" s="877" t="n">
        <x:v>1</x:v>
      </x:c>
      <x:c r="O29" s="877" t="str">
        <x:v>ÅRKV</x:v>
      </x:c>
      <x:c r="P29" s="877" t="str">
        <x:v>Kärl 660 l (förpackningar) Hämtning månadsvis</x:v>
      </x:c>
      <x:c r="Q29" s="877"/>
      <x:c r="R29" s="877"/>
      <x:c r="S29" s="877"/>
      <x:c r="T29" s="877"/>
      <x:c r="U29" s="877" t="n">
        <x:v>0</x:v>
      </x:c>
      <x:c r="V29" s="877"/>
      <x:c r="W29" s="877" t="str">
        <x:v>-</x:v>
      </x:c>
      <x:c r="X29" s="877" t="n">
        <x:v>1</x:v>
      </x:c>
      <x:c r="Y29" s="883" t="str">
        <x:v>ANTB</x:v>
      </x:c>
    </x:row>
    <x:row r="30">
      <x:c r="A30" s="882" t="str">
        <x:v>§2.2.4</x:v>
      </x:c>
      <x:c r="B30" s="875" t="n">
        <x:v>44</x:v>
      </x:c>
      <x:c r="C30" s="875" t="n">
        <x:v>61</x:v>
      </x:c>
      <x:c r="D30" s="875" t="str">
        <x:v>Kärl 190 l (tidningar och returpapper) Hämtning varje vecka</x:v>
      </x:c>
      <x:c r="E30" s="875" t="str">
        <x:v>Saknas i EDP – föreslagen ny taxa</x:v>
      </x:c>
      <x:c r="F30" s="875" t="str">
        <x:v>Kodförslag baserat på prefix/suffix och text i Taxepunkter</x:v>
      </x:c>
      <x:c r="G30" s="876" t="str">
        <x:v>KÄ190TI52FV</x:v>
      </x:c>
      <x:c r="H30" s="875" t="n">
        <x:v>61</x:v>
      </x:c>
      <x:c r="I30" s="875" t="str">
        <x:v>Hämtningsavgift per år för flerbostadshus / Kärl 190 l (tidningar och returpapper)</x:v>
      </x:c>
      <x:c r="J30" s="877" t="str">
        <x:v>KÄ190TI52FV</x:v>
      </x:c>
      <x:c r="K30" s="877" t="str">
        <x:v>Kärl 190 l (tidningar och returpapper). Hämtning varje vecka</x:v>
      </x:c>
      <x:c r="L30" s="877" t="str">
        <x:v>RENH</x:v>
      </x:c>
      <x:c r="M30" s="877" t="str">
        <x:v>HUSH</x:v>
      </x:c>
      <x:c r="N30" s="877" t="n">
        <x:v>1</x:v>
      </x:c>
      <x:c r="O30" s="877" t="str">
        <x:v>ÅRKV</x:v>
      </x:c>
      <x:c r="P30" s="877" t="str">
        <x:v>Kärl 190 l (tidningar och returpapper) Hämtning varje vecka</x:v>
      </x:c>
      <x:c r="Q30" s="877"/>
      <x:c r="R30" s="877"/>
      <x:c r="S30" s="877"/>
      <x:c r="T30" s="877"/>
      <x:c r="U30" s="877" t="n">
        <x:v>0</x:v>
      </x:c>
      <x:c r="V30" s="877"/>
      <x:c r="W30" s="877" t="str">
        <x:v>-</x:v>
      </x:c>
      <x:c r="X30" s="877" t="n">
        <x:v>1</x:v>
      </x:c>
      <x:c r="Y30" s="883" t="str">
        <x:v>ANTB</x:v>
      </x:c>
    </x:row>
    <x:row r="31">
      <x:c r="A31" s="882" t="str">
        <x:v>§2.2.4</x:v>
      </x:c>
      <x:c r="B31" s="875" t="n">
        <x:v>45</x:v>
      </x:c>
      <x:c r="C31" s="875" t="n">
        <x:v>62</x:v>
      </x:c>
      <x:c r="D31" s="875" t="str">
        <x:v>Kärl 190 l (tidningar och returpapper) Hämtning var 14:e dag</x:v>
      </x:c>
      <x:c r="E31" s="875" t="str">
        <x:v>Saknas i EDP – föreslagen ny taxa</x:v>
      </x:c>
      <x:c r="F31" s="875" t="str">
        <x:v>Kodförslag baserat på prefix/suffix och text i Taxepunkter</x:v>
      </x:c>
      <x:c r="G31" s="876" t="str">
        <x:v>KÄ190TI26FV</x:v>
      </x:c>
      <x:c r="H31" s="875" t="n">
        <x:v>62</x:v>
      </x:c>
      <x:c r="I31" s="875" t="str">
        <x:v>Hämtningsavgift per år för flerbostadshus / Kärl 190 l (tidningar och returpapper)</x:v>
      </x:c>
      <x:c r="J31" s="877" t="str">
        <x:v>KÄ190TI26FV</x:v>
      </x:c>
      <x:c r="K31" s="877" t="str">
        <x:v>Kärl 190 l (tidningar och returpapper). Hämtning var 14:e dag</x:v>
      </x:c>
      <x:c r="L31" s="877" t="str">
        <x:v>RENH</x:v>
      </x:c>
      <x:c r="M31" s="877" t="str">
        <x:v>HUSH</x:v>
      </x:c>
      <x:c r="N31" s="877" t="n">
        <x:v>1</x:v>
      </x:c>
      <x:c r="O31" s="877" t="str">
        <x:v>ÅRKV</x:v>
      </x:c>
      <x:c r="P31" s="877" t="str">
        <x:v>Kärl 190 l (tidningar och returpapper) Hämtning var 14:e dag</x:v>
      </x:c>
      <x:c r="Q31" s="877"/>
      <x:c r="R31" s="877"/>
      <x:c r="S31" s="877"/>
      <x:c r="T31" s="877"/>
      <x:c r="U31" s="877" t="n">
        <x:v>0</x:v>
      </x:c>
      <x:c r="V31" s="877"/>
      <x:c r="W31" s="877" t="str">
        <x:v>-</x:v>
      </x:c>
      <x:c r="X31" s="877" t="n">
        <x:v>1</x:v>
      </x:c>
      <x:c r="Y31" s="883" t="str">
        <x:v>ANTB</x:v>
      </x:c>
    </x:row>
    <x:row r="32">
      <x:c r="A32" s="882" t="str">
        <x:v>§2.2.4</x:v>
      </x:c>
      <x:c r="B32" s="875" t="n">
        <x:v>46</x:v>
      </x:c>
      <x:c r="C32" s="875" t="n">
        <x:v>63</x:v>
      </x:c>
      <x:c r="D32" s="875" t="str">
        <x:v>Kärl 190 l (tidningar och returpapper) Hämtning månadsvis</x:v>
      </x:c>
      <x:c r="E32" s="875" t="str">
        <x:v>Saknas i EDP – föreslagen ny taxa</x:v>
      </x:c>
      <x:c r="F32" s="875" t="str">
        <x:v>Kodförslag baserat på prefix/suffix och text i Taxepunkter</x:v>
      </x:c>
      <x:c r="G32" s="876" t="str">
        <x:v>KÄ190TI12FV</x:v>
      </x:c>
      <x:c r="H32" s="875" t="n">
        <x:v>63</x:v>
      </x:c>
      <x:c r="I32" s="875" t="str">
        <x:v>Hämtningsavgift per år för flerbostadshus / Kärl 190 l (tidningar och returpapper)</x:v>
      </x:c>
      <x:c r="J32" s="877" t="str">
        <x:v>KÄ190TI12FV</x:v>
      </x:c>
      <x:c r="K32" s="877" t="str">
        <x:v>Kärl 190 l (tidningar och returpapper). Hämtning månadsvis</x:v>
      </x:c>
      <x:c r="L32" s="877" t="str">
        <x:v>RENH</x:v>
      </x:c>
      <x:c r="M32" s="877" t="str">
        <x:v>HUSH</x:v>
      </x:c>
      <x:c r="N32" s="877" t="n">
        <x:v>1</x:v>
      </x:c>
      <x:c r="O32" s="877" t="str">
        <x:v>ÅRKV</x:v>
      </x:c>
      <x:c r="P32" s="877" t="str">
        <x:v>Kärl 190 l (tidningar och returpapper) Hämtning månadsvis</x:v>
      </x:c>
      <x:c r="Q32" s="877"/>
      <x:c r="R32" s="877"/>
      <x:c r="S32" s="877"/>
      <x:c r="T32" s="877"/>
      <x:c r="U32" s="877" t="n">
        <x:v>0</x:v>
      </x:c>
      <x:c r="V32" s="877"/>
      <x:c r="W32" s="877" t="str">
        <x:v>-</x:v>
      </x:c>
      <x:c r="X32" s="877" t="n">
        <x:v>1</x:v>
      </x:c>
      <x:c r="Y32" s="883" t="str">
        <x:v>ANTB</x:v>
      </x:c>
    </x:row>
    <x:row r="33">
      <x:c r="A33" s="882" t="str">
        <x:v>§2.2.4</x:v>
      </x:c>
      <x:c r="B33" s="875" t="n">
        <x:v>47</x:v>
      </x:c>
      <x:c r="C33" s="875" t="n">
        <x:v>64</x:v>
      </x:c>
      <x:c r="D33" s="875" t="str">
        <x:v>Kärl 370 l (tidningar och returpapper) Hämtning varje vecka</x:v>
      </x:c>
      <x:c r="E33" s="875" t="str">
        <x:v>Saknas i EDP – föreslagen ny taxa</x:v>
      </x:c>
      <x:c r="F33" s="875" t="str">
        <x:v>Kodförslag baserat på prefix/suffix och text i Taxepunkter</x:v>
      </x:c>
      <x:c r="G33" s="876" t="str">
        <x:v>KÄ370TI52FV</x:v>
      </x:c>
      <x:c r="H33" s="875" t="n">
        <x:v>64</x:v>
      </x:c>
      <x:c r="I33" s="875" t="str">
        <x:v>Hämtningsavgift per år för flerbostadshus / Kärl 370 l (tidningar och returpapper)</x:v>
      </x:c>
      <x:c r="J33" s="877" t="str">
        <x:v>KÄ370TI52FV</x:v>
      </x:c>
      <x:c r="K33" s="877" t="str">
        <x:v>Kärl 370 l (tidningar och returpapper). Hämtning varje vecka</x:v>
      </x:c>
      <x:c r="L33" s="877" t="str">
        <x:v>RENH</x:v>
      </x:c>
      <x:c r="M33" s="877" t="str">
        <x:v>HUSH</x:v>
      </x:c>
      <x:c r="N33" s="877" t="n">
        <x:v>1</x:v>
      </x:c>
      <x:c r="O33" s="877" t="str">
        <x:v>ÅRKV</x:v>
      </x:c>
      <x:c r="P33" s="877" t="str">
        <x:v>Kärl 370 l (tidningar och returpapper) Hämtning varje vecka</x:v>
      </x:c>
      <x:c r="Q33" s="877"/>
      <x:c r="R33" s="877"/>
      <x:c r="S33" s="877"/>
      <x:c r="T33" s="877"/>
      <x:c r="U33" s="877" t="n">
        <x:v>0</x:v>
      </x:c>
      <x:c r="V33" s="877"/>
      <x:c r="W33" s="877" t="str">
        <x:v>-</x:v>
      </x:c>
      <x:c r="X33" s="877" t="n">
        <x:v>1</x:v>
      </x:c>
      <x:c r="Y33" s="883" t="str">
        <x:v>ANTB</x:v>
      </x:c>
    </x:row>
    <x:row r="34">
      <x:c r="A34" s="882" t="str">
        <x:v>§2.2.4</x:v>
      </x:c>
      <x:c r="B34" s="875" t="n">
        <x:v>48</x:v>
      </x:c>
      <x:c r="C34" s="875" t="n">
        <x:v>65</x:v>
      </x:c>
      <x:c r="D34" s="875" t="str">
        <x:v>Kärl 370 l (tidningar och returpapper) Hämtning var 14:e dag</x:v>
      </x:c>
      <x:c r="E34" s="875" t="str">
        <x:v>Saknas i EDP – föreslagen ny taxa</x:v>
      </x:c>
      <x:c r="F34" s="875" t="str">
        <x:v>Kodförslag baserat på prefix/suffix och text i Taxepunkter</x:v>
      </x:c>
      <x:c r="G34" s="876" t="str">
        <x:v>KÄ370TI26FV</x:v>
      </x:c>
      <x:c r="H34" s="875" t="n">
        <x:v>65</x:v>
      </x:c>
      <x:c r="I34" s="875" t="str">
        <x:v>Hämtningsavgift per år för flerbostadshus / Kärl 370 l (tidningar och returpapper)</x:v>
      </x:c>
      <x:c r="J34" s="877" t="str">
        <x:v>KÄ370TI26FV</x:v>
      </x:c>
      <x:c r="K34" s="877" t="str">
        <x:v>Kärl 370 l (tidningar och returpapper). Hämtning var 14:e dag</x:v>
      </x:c>
      <x:c r="L34" s="877" t="str">
        <x:v>RENH</x:v>
      </x:c>
      <x:c r="M34" s="877" t="str">
        <x:v>HUSH</x:v>
      </x:c>
      <x:c r="N34" s="877" t="n">
        <x:v>1</x:v>
      </x:c>
      <x:c r="O34" s="877" t="str">
        <x:v>ÅRKV</x:v>
      </x:c>
      <x:c r="P34" s="877" t="str">
        <x:v>Kärl 370 l (tidningar och returpapper) Hämtning var 14:e dag</x:v>
      </x:c>
      <x:c r="Q34" s="877"/>
      <x:c r="R34" s="877"/>
      <x:c r="S34" s="877"/>
      <x:c r="T34" s="877"/>
      <x:c r="U34" s="877" t="n">
        <x:v>0</x:v>
      </x:c>
      <x:c r="V34" s="877"/>
      <x:c r="W34" s="877" t="str">
        <x:v>-</x:v>
      </x:c>
      <x:c r="X34" s="877" t="n">
        <x:v>1</x:v>
      </x:c>
      <x:c r="Y34" s="883" t="str">
        <x:v>ANTB</x:v>
      </x:c>
    </x:row>
    <x:row r="35">
      <x:c r="A35" s="882" t="str">
        <x:v>§2.2.4</x:v>
      </x:c>
      <x:c r="B35" s="875" t="n">
        <x:v>49</x:v>
      </x:c>
      <x:c r="C35" s="875" t="n">
        <x:v>66</x:v>
      </x:c>
      <x:c r="D35" s="875" t="str">
        <x:v>Kärl 370 l (tidningar och returpapper) Hämtning månadsvis</x:v>
      </x:c>
      <x:c r="E35" s="875" t="str">
        <x:v>Saknas i EDP – föreslagen ny taxa</x:v>
      </x:c>
      <x:c r="F35" s="875" t="str">
        <x:v>Kodförslag baserat på prefix/suffix och text i Taxepunkter</x:v>
      </x:c>
      <x:c r="G35" s="876" t="str">
        <x:v>KÄ370TI12FV</x:v>
      </x:c>
      <x:c r="H35" s="875" t="n">
        <x:v>66</x:v>
      </x:c>
      <x:c r="I35" s="875" t="str">
        <x:v>Hämtningsavgift per år för flerbostadshus / Kärl 370 l (tidningar och returpapper)</x:v>
      </x:c>
      <x:c r="J35" s="877" t="str">
        <x:v>KÄ370TI12FV</x:v>
      </x:c>
      <x:c r="K35" s="877" t="str">
        <x:v>Kärl 370 l (tidningar och returpapper). Hämtning månadsvis</x:v>
      </x:c>
      <x:c r="L35" s="877" t="str">
        <x:v>RENH</x:v>
      </x:c>
      <x:c r="M35" s="877" t="str">
        <x:v>HUSH</x:v>
      </x:c>
      <x:c r="N35" s="877" t="n">
        <x:v>1</x:v>
      </x:c>
      <x:c r="O35" s="877" t="str">
        <x:v>ÅRKV</x:v>
      </x:c>
      <x:c r="P35" s="877" t="str">
        <x:v>Kärl 370 l (tidningar och returpapper) Hämtning månadsvis</x:v>
      </x:c>
      <x:c r="Q35" s="877"/>
      <x:c r="R35" s="877"/>
      <x:c r="S35" s="877"/>
      <x:c r="T35" s="877"/>
      <x:c r="U35" s="877" t="n">
        <x:v>0</x:v>
      </x:c>
      <x:c r="V35" s="877"/>
      <x:c r="W35" s="877" t="str">
        <x:v>-</x:v>
      </x:c>
      <x:c r="X35" s="877" t="n">
        <x:v>1</x:v>
      </x:c>
      <x:c r="Y35" s="883" t="str">
        <x:v>ANTB</x:v>
      </x:c>
    </x:row>
    <x:row r="36">
      <x:c r="A36" s="882" t="str">
        <x:v>§2.2.4</x:v>
      </x:c>
      <x:c r="B36" s="875" t="n">
        <x:v>50</x:v>
      </x:c>
      <x:c r="C36" s="875" t="n">
        <x:v>67</x:v>
      </x:c>
      <x:c r="D36" s="875" t="str">
        <x:v>Bottentömmande behållare (mat-/restavfall, förpackningar) Avgift per tömning</x:v>
      </x:c>
      <x:c r="E36" s="875" t="str">
        <x:v>Saknas i EDP – föreslagen ny taxa</x:v>
      </x:c>
      <x:c r="F36" s="875" t="str">
        <x:v>Kodförslag uppdaterat enligt regel: bottentömmande använder MB-prefix / gemensam uppsamlingsplats särskild funktionskod</x:v>
      </x:c>
      <x:c r="G36" s="876" t="str">
        <x:v>MBRMFPFV</x:v>
      </x:c>
      <x:c r="H36" s="875" t="n">
        <x:v>67</x:v>
      </x:c>
      <x:c r="I36" s="875" t="str">
        <x:v>Hämtningsavgift per år för flerbostadshus / Bottentömmande behållare (mat-/restavfall, förpackningar)</x:v>
      </x:c>
      <x:c r="J36" s="877" t="str">
        <x:v>MBRMFPFV</x:v>
      </x:c>
      <x:c r="K36" s="877" t="str">
        <x:v>Bottentömmande behållare (mat-/restavfall, förpackningar). Avgift per tömning. Flerbostadshus</x:v>
      </x:c>
      <x:c r="L36" s="877" t="str">
        <x:v>RENH</x:v>
      </x:c>
      <x:c r="M36" s="877" t="str">
        <x:v>HUSH</x:v>
      </x:c>
      <x:c r="N36" s="877" t="n">
        <x:v>1</x:v>
      </x:c>
      <x:c r="O36" s="877" t="str">
        <x:v>ÅRKV</x:v>
      </x:c>
      <x:c r="P36" s="877" t="str">
        <x:v>Bottentömmande behållare (mat-/restavfall, förpackningar). Avgift per tömning. Flerbostadshus</x:v>
      </x:c>
      <x:c r="Q36" s="877"/>
      <x:c r="R36" s="877"/>
      <x:c r="S36" s="877"/>
      <x:c r="T36" s="877"/>
      <x:c r="U36" s="877" t="n">
        <x:v>0</x:v>
      </x:c>
      <x:c r="V36" s="877"/>
      <x:c r="W36" s="877" t="str">
        <x:v>-</x:v>
      </x:c>
      <x:c r="X36" s="877" t="n">
        <x:v>1</x:v>
      </x:c>
      <x:c r="Y36" s="883" t="str">
        <x:v>ANTL</x:v>
      </x:c>
    </x:row>
    <x:row r="37">
      <x:c r="A37" s="882" t="str">
        <x:v>§2.2.4</x:v>
      </x:c>
      <x:c r="B37" s="875" t="n">
        <x:v>51</x:v>
      </x:c>
      <x:c r="C37" s="875" t="n">
        <x:v>68</x:v>
      </x:c>
      <x:c r="D37" s="875" t="str">
        <x:v>Bottentömmande behållare (mat-/restavfall, förpackningar) Tillägg för två tömningar per vecka</x:v>
      </x:c>
      <x:c r="E37" s="875" t="str">
        <x:v>Saknas i EDP – föreslagen ny taxa</x:v>
      </x:c>
      <x:c r="F37" s="875" t="str">
        <x:v>Kodförslag uppdaterat enligt regel: bottentömmande använder MB-prefix / gemensam uppsamlingsplats särskild funktionskod</x:v>
      </x:c>
      <x:c r="G37" s="876" t="str">
        <x:v>MBRMFP2VFV</x:v>
      </x:c>
      <x:c r="H37" s="875" t="n">
        <x:v>68</x:v>
      </x:c>
      <x:c r="I37" s="875" t="str">
        <x:v>Hämtningsavgift per år för flerbostadshus / Bottentömmande behållare (mat-/restavfall, förpackningar)</x:v>
      </x:c>
      <x:c r="J37" s="877" t="str">
        <x:v>MBRMFP2VFV</x:v>
      </x:c>
      <x:c r="K37" s="877" t="str">
        <x:v>Bottentömmande behållare (mat-/restavfall, förpackningar). Tillägg för två tömningar per vecka. Flerbostadshus</x:v>
      </x:c>
      <x:c r="L37" s="877" t="str">
        <x:v>RENH</x:v>
      </x:c>
      <x:c r="M37" s="877" t="str">
        <x:v>HUSH</x:v>
      </x:c>
      <x:c r="N37" s="877" t="n">
        <x:v>1</x:v>
      </x:c>
      <x:c r="O37" s="877" t="str">
        <x:v>ÅRKV</x:v>
      </x:c>
      <x:c r="P37" s="877" t="str">
        <x:v>Bottentömmande behållare (mat-/restavfall, förpackningar). Tillägg för två tömningar per vecka. Flerbostadshus</x:v>
      </x:c>
      <x:c r="Q37" s="877"/>
      <x:c r="R37" s="877"/>
      <x:c r="S37" s="877"/>
      <x:c r="T37" s="877"/>
      <x:c r="U37" s="877" t="n">
        <x:v>0</x:v>
      </x:c>
      <x:c r="V37" s="877"/>
      <x:c r="W37" s="877" t="str">
        <x:v>-</x:v>
      </x:c>
      <x:c r="X37" s="877" t="n">
        <x:v>1</x:v>
      </x:c>
      <x:c r="Y37" s="883" t="str">
        <x:v>ANTL</x:v>
      </x:c>
    </x:row>
    <x:row r="38">
      <x:c r="A38" s="882" t="str">
        <x:v>§2.2.4</x:v>
      </x:c>
      <x:c r="B38" s="875" t="n">
        <x:v>52</x:v>
      </x:c>
      <x:c r="C38" s="875" t="n">
        <x:v>69</x:v>
      </x:c>
      <x:c r="D38" s="875" t="str">
        <x:v>Gemensam uppsamlingsplats för mat-/restavfall, förpackningar Avgift per lägenhet</x:v>
      </x:c>
      <x:c r="E38" s="875" t="str">
        <x:v>Saknas i EDP – föreslagen ny taxa</x:v>
      </x:c>
      <x:c r="F38" s="875" t="str">
        <x:v>Kodförslag uppdaterat enligt regel: bottentömmande använder MB-prefix / gemensam uppsamlingsplats särskild funktionskod</x:v>
      </x:c>
      <x:c r="G38" s="876" t="str">
        <x:v>GEMUPPMRFPFLB</x:v>
      </x:c>
      <x:c r="H38" s="875" t="n">
        <x:v>69</x:v>
      </x:c>
      <x:c r="I38" s="875" t="str">
        <x:v>Hämtningsavgift per år för flerbostadshus / Gemensam uppsamlingsplats för mat-/restavfall, förpackningar</x:v>
      </x:c>
      <x:c r="J38" s="877" t="str">
        <x:v>GEMUPPMRFPFLB</x:v>
      </x:c>
      <x:c r="K38" s="877" t="str">
        <x:v>Gemensam uppsamlingsplats för mat-/restavfall och förpackningar. Avgift per lägenhet. Flerbostadshus</x:v>
      </x:c>
      <x:c r="L38" s="877" t="str">
        <x:v>RENH</x:v>
      </x:c>
      <x:c r="M38" s="877" t="str">
        <x:v>HUSH</x:v>
      </x:c>
      <x:c r="N38" s="877" t="n">
        <x:v>1</x:v>
      </x:c>
      <x:c r="O38" s="877" t="str">
        <x:v>ÅRKV</x:v>
      </x:c>
      <x:c r="P38" s="877" t="str">
        <x:v>Gemensam uppsamlingsplats för mat-/restavfall och förpackningar. Avgift per lägenhet. Flerbostadshus</x:v>
      </x:c>
      <x:c r="Q38" s="877"/>
      <x:c r="R38" s="877"/>
      <x:c r="S38" s="877"/>
      <x:c r="T38" s="877"/>
      <x:c r="U38" s="877" t="n">
        <x:v>0</x:v>
      </x:c>
      <x:c r="V38" s="877"/>
      <x:c r="W38" s="877" t="str">
        <x:v>-</x:v>
      </x:c>
      <x:c r="X38" s="877" t="n">
        <x:v>1</x:v>
      </x:c>
      <x:c r="Y38" s="883" t="str">
        <x:v>LÄGH</x:v>
      </x:c>
    </x:row>
    <x:row r="39">
      <x:c r="A39" s="882" t="str">
        <x:v>§2.2.5</x:v>
      </x:c>
      <x:c r="B39" s="875" t="n">
        <x:v>53</x:v>
      </x:c>
      <x:c r="C39" s="875" t="n">
        <x:v>72</x:v>
      </x:c>
      <x:c r="D39" s="875" t="str">
        <x:v>Kärl 240 l (mat-/restavfall) Hämtning varje vecka</x:v>
      </x:c>
      <x:c r="E39" s="875" t="str">
        <x:v>Åtgärdad – FV-taxekod återanvänds efter godkännande</x:v>
      </x:c>
      <x:c r="F39" s="875" t="str">
        <x:v>EDP-träff via strTaxebenamning/strTaxedelAvser; FV = flerbostadshus eller verksamhet</x:v>
      </x:c>
      <x:c r="G39" s="876" t="str">
        <x:v>KÄ240RM52FV</x:v>
      </x:c>
      <x:c r="H39" s="875" t="n">
        <x:v>72</x:v>
      </x:c>
      <x:c r="I39" s="875" t="str">
        <x:v>Hämtningsavgift per år för verksamheter / Kärl 240 l (mat-/restavfall)</x:v>
      </x:c>
      <x:c r="J39" s="877" t="str">
        <x:v>KÄ240RM52FV</x:v>
      </x:c>
      <x:c r="K39" s="877" t="str">
        <x:v>Tvåfackskärl 240L, rest/matavfall. Varje vecka. FLB/VHT</x:v>
      </x:c>
      <x:c r="L39" s="877" t="str">
        <x:v>RENH</x:v>
      </x:c>
      <x:c r="M39" s="877" t="str">
        <x:v>HUSH</x:v>
      </x:c>
      <x:c r="N39" s="877" t="n">
        <x:v>5</x:v>
      </x:c>
      <x:c r="O39" s="877" t="str">
        <x:v>ÅRKV</x:v>
      </x:c>
      <x:c r="P39" s="877" t="str">
        <x:v>Dragväg 10,1-20 meter</x:v>
      </x:c>
      <x:c r="Q39" s="877"/>
      <x:c r="R39" s="877"/>
      <x:c r="S39" s="877" t="n">
        <x:v>0</x:v>
      </x:c>
      <x:c r="T39" s="878" t="n">
        <x:v>44927</x:v>
      </x:c>
      <x:c r="U39" s="877" t="n">
        <x:v>0</x:v>
      </x:c>
      <x:c r="V39" s="877"/>
      <x:c r="W39" s="877" t="str">
        <x:v>-</x:v>
      </x:c>
      <x:c r="X39" s="877" t="n">
        <x:v>1</x:v>
      </x:c>
      <x:c r="Y39" s="883" t="str">
        <x:v>DR20</x:v>
      </x:c>
    </x:row>
    <x:row r="40">
      <x:c r="A40" s="882" t="str">
        <x:v>§2.2.5</x:v>
      </x:c>
      <x:c r="B40" s="875" t="n">
        <x:v>54</x:v>
      </x:c>
      <x:c r="C40" s="875" t="n">
        <x:v>73</x:v>
      </x:c>
      <x:c r="D40" s="875" t="str">
        <x:v>Kärl 240 l (mat-/restavfall) Hämtning var 14:e dag</x:v>
      </x:c>
      <x:c r="E40" s="875" t="str">
        <x:v>Åtgärdad – FV-taxekod återanvänds efter godkännande</x:v>
      </x:c>
      <x:c r="F40" s="875" t="str">
        <x:v>EDP-träff via strTaxebenamning/strTaxedelAvser; FV = flerbostadshus eller verksamhet</x:v>
      </x:c>
      <x:c r="G40" s="876" t="str">
        <x:v>KÄ240RM26FV</x:v>
      </x:c>
      <x:c r="H40" s="875" t="n">
        <x:v>73</x:v>
      </x:c>
      <x:c r="I40" s="875" t="str">
        <x:v>Hämtningsavgift per år för verksamheter / Kärl 240 l (mat-/restavfall)</x:v>
      </x:c>
      <x:c r="J40" s="877" t="str">
        <x:v>KÄ240RM26FV</x:v>
      </x:c>
      <x:c r="K40" s="877" t="str">
        <x:v>Tvåfackskärl 240L, rest/matavfall. Var 14:e dag. FLB/VHT</x:v>
      </x:c>
      <x:c r="L40" s="877" t="str">
        <x:v>RENH</x:v>
      </x:c>
      <x:c r="M40" s="877" t="str">
        <x:v>HUSH</x:v>
      </x:c>
      <x:c r="N40" s="877" t="n">
        <x:v>5</x:v>
      </x:c>
      <x:c r="O40" s="877" t="str">
        <x:v>ÅRKV</x:v>
      </x:c>
      <x:c r="P40" s="877" t="str">
        <x:v>Dragväg 10,1-20 meter</x:v>
      </x:c>
      <x:c r="Q40" s="877"/>
      <x:c r="R40" s="877"/>
      <x:c r="S40" s="877" t="n">
        <x:v>0</x:v>
      </x:c>
      <x:c r="T40" s="878" t="n">
        <x:v>46023</x:v>
      </x:c>
      <x:c r="U40" s="877" t="n">
        <x:v>0</x:v>
      </x:c>
      <x:c r="V40" s="877"/>
      <x:c r="W40" s="877" t="str">
        <x:v>-</x:v>
      </x:c>
      <x:c r="X40" s="877" t="n">
        <x:v>1</x:v>
      </x:c>
      <x:c r="Y40" s="883" t="str">
        <x:v>DR20</x:v>
      </x:c>
    </x:row>
    <x:row r="41">
      <x:c r="A41" s="882" t="str">
        <x:v>§2.2.5</x:v>
      </x:c>
      <x:c r="B41" s="875" t="n">
        <x:v>55</x:v>
      </x:c>
      <x:c r="C41" s="875" t="n">
        <x:v>74</x:v>
      </x:c>
      <x:c r="D41" s="875" t="str">
        <x:v>Kärl 240 l (mat-/restavfall) Hämtning månadsvis</x:v>
      </x:c>
      <x:c r="E41" s="875" t="str">
        <x:v>Saknas i EDP – föreslagen ny taxa</x:v>
      </x:c>
      <x:c r="F41" s="875" t="str">
        <x:v>Kodförslag baserat på prefix/suffix och text i Taxepunkter</x:v>
      </x:c>
      <x:c r="G41" s="876" t="str">
        <x:v>KÄ240RM12FV</x:v>
      </x:c>
      <x:c r="H41" s="875" t="n">
        <x:v>74</x:v>
      </x:c>
      <x:c r="I41" s="875" t="str">
        <x:v>Hämtningsavgift per år för verksamheter / Kärl 240 l (mat-/restavfall)</x:v>
      </x:c>
      <x:c r="J41" s="877" t="str">
        <x:v>KÄ240RM12FV</x:v>
      </x:c>
      <x:c r="K41" s="877" t="str">
        <x:v>Kärl 240 l (mat-/restavfall). Hämtning månadsvis</x:v>
      </x:c>
      <x:c r="L41" s="877" t="str">
        <x:v>RENH</x:v>
      </x:c>
      <x:c r="M41" s="877" t="str">
        <x:v>HUSH</x:v>
      </x:c>
      <x:c r="N41" s="877" t="n">
        <x:v>1</x:v>
      </x:c>
      <x:c r="O41" s="877" t="str">
        <x:v>ÅRKV</x:v>
      </x:c>
      <x:c r="P41" s="877" t="str">
        <x:v>Kärl 240 l (mat-/restavfall) Hämtning månadsvis</x:v>
      </x:c>
      <x:c r="Q41" s="877"/>
      <x:c r="R41" s="877"/>
      <x:c r="S41" s="877"/>
      <x:c r="T41" s="877"/>
      <x:c r="U41" s="877" t="n">
        <x:v>0</x:v>
      </x:c>
      <x:c r="V41" s="877"/>
      <x:c r="W41" s="877" t="str">
        <x:v>-</x:v>
      </x:c>
      <x:c r="X41" s="877" t="n">
        <x:v>1</x:v>
      </x:c>
      <x:c r="Y41" s="883" t="str">
        <x:v>ANTB</x:v>
      </x:c>
    </x:row>
    <x:row r="42">
      <x:c r="A42" s="882" t="str">
        <x:v>§2.2.5</x:v>
      </x:c>
      <x:c r="B42" s="875" t="n">
        <x:v>56</x:v>
      </x:c>
      <x:c r="C42" s="875" t="n">
        <x:v>75</x:v>
      </x:c>
      <x:c r="D42" s="875" t="str">
        <x:v>Kärl 370 l (restavfall) Hämtning varje vecka</x:v>
      </x:c>
      <x:c r="E42" s="875" t="str">
        <x:v>Åtgärdad – FV-taxekod återanvänds efter godkännande</x:v>
      </x:c>
      <x:c r="F42" s="875" t="str">
        <x:v>EDP-träff via strTaxebenamning/strTaxedelAvser; FV = flerbostadshus eller verksamhet</x:v>
      </x:c>
      <x:c r="G42" s="876" t="str">
        <x:v>KÄ370RE52FV</x:v>
      </x:c>
      <x:c r="H42" s="875" t="n">
        <x:v>75</x:v>
      </x:c>
      <x:c r="I42" s="875" t="str">
        <x:v>Hämtningsavgift per år för verksamheter / Kärl 370 l (restavfall)</x:v>
      </x:c>
      <x:c r="J42" s="877" t="str">
        <x:v>KÄ370RE52FV</x:v>
      </x:c>
      <x:c r="K42" s="877" t="str">
        <x:v>Kärl 370L, restavfall. Varje vecka. FLB/VHT</x:v>
      </x:c>
      <x:c r="L42" s="877" t="str">
        <x:v>RENH</x:v>
      </x:c>
      <x:c r="M42" s="877" t="str">
        <x:v>HUSH</x:v>
      </x:c>
      <x:c r="N42" s="877" t="n">
        <x:v>5</x:v>
      </x:c>
      <x:c r="O42" s="877" t="str">
        <x:v>KVAN</x:v>
      </x:c>
      <x:c r="P42" s="877" t="str">
        <x:v>Kärl 370L 52V Överviktsavgift vikt över 60 kg, restavfall</x:v>
      </x:c>
      <x:c r="Q42" s="877"/>
      <x:c r="R42" s="877"/>
      <x:c r="S42" s="877" t="n">
        <x:v>6.4</x:v>
      </x:c>
      <x:c r="T42" s="878" t="n">
        <x:v>46023</x:v>
      </x:c>
      <x:c r="U42" s="877" t="n">
        <x:v>0</x:v>
      </x:c>
      <x:c r="V42" s="877"/>
      <x:c r="W42" s="877" t="str">
        <x:v>-</x:v>
      </x:c>
      <x:c r="X42" s="877" t="n">
        <x:v>1</x:v>
      </x:c>
      <x:c r="Y42" s="883" t="str">
        <x:v>VIKG-60,MIN0</x:v>
      </x:c>
    </x:row>
    <x:row r="43">
      <x:c r="A43" s="882" t="str">
        <x:v>§2.2.5</x:v>
      </x:c>
      <x:c r="B43" s="875" t="n">
        <x:v>57</x:v>
      </x:c>
      <x:c r="C43" s="875" t="n">
        <x:v>76</x:v>
      </x:c>
      <x:c r="D43" s="875" t="str">
        <x:v>Kärl 370 l (restavfall) Hämtning var 14:e dag</x:v>
      </x:c>
      <x:c r="E43" s="875" t="str">
        <x:v>Åtgärdad – FV-taxekod återanvänds efter godkännande</x:v>
      </x:c>
      <x:c r="F43" s="875" t="str">
        <x:v>EDP-träff via strTaxebenamning/strTaxedelAvser; FV = flerbostadshus eller verksamhet</x:v>
      </x:c>
      <x:c r="G43" s="876" t="str">
        <x:v>KÄ370RE26FV</x:v>
      </x:c>
      <x:c r="H43" s="875" t="n">
        <x:v>76</x:v>
      </x:c>
      <x:c r="I43" s="875" t="str">
        <x:v>Hämtningsavgift per år för verksamheter / Kärl 370 l (restavfall)</x:v>
      </x:c>
      <x:c r="J43" s="877" t="str">
        <x:v>KÄ370RE26FV</x:v>
      </x:c>
      <x:c r="K43" s="877" t="str">
        <x:v>Kärl 370L, restavfall. Var 14:e dag. FLB/VHT</x:v>
      </x:c>
      <x:c r="L43" s="877" t="str">
        <x:v>RENH</x:v>
      </x:c>
      <x:c r="M43" s="877" t="str">
        <x:v>HUSH</x:v>
      </x:c>
      <x:c r="N43" s="877" t="n">
        <x:v>5</x:v>
      </x:c>
      <x:c r="O43" s="877" t="str">
        <x:v>KVAN</x:v>
      </x:c>
      <x:c r="P43" s="877" t="str">
        <x:v>Kärl 370L 26V Överviktsavgift vikt över 60 kg, restavfall</x:v>
      </x:c>
      <x:c r="Q43" s="877"/>
      <x:c r="R43" s="877"/>
      <x:c r="S43" s="877" t="n">
        <x:v>6.4</x:v>
      </x:c>
      <x:c r="T43" s="878" t="n">
        <x:v>46023</x:v>
      </x:c>
      <x:c r="U43" s="877" t="n">
        <x:v>0</x:v>
      </x:c>
      <x:c r="V43" s="877"/>
      <x:c r="W43" s="877" t="str">
        <x:v>-</x:v>
      </x:c>
      <x:c r="X43" s="877" t="n">
        <x:v>1</x:v>
      </x:c>
      <x:c r="Y43" s="883" t="str">
        <x:v>VIKG-60,MIN0</x:v>
      </x:c>
    </x:row>
    <x:row r="44">
      <x:c r="A44" s="882" t="str">
        <x:v>§2.2.5</x:v>
      </x:c>
      <x:c r="B44" s="875" t="n">
        <x:v>58</x:v>
      </x:c>
      <x:c r="C44" s="875" t="n">
        <x:v>77</x:v>
      </x:c>
      <x:c r="D44" s="875" t="str">
        <x:v>Kärl 370 l (restavfall) Hämtning månadsvis</x:v>
      </x:c>
      <x:c r="E44" s="875" t="str">
        <x:v>Saknas i EDP – föreslagen ny taxa</x:v>
      </x:c>
      <x:c r="F44" s="875" t="str">
        <x:v>Kodförslag baserat på prefix/suffix och text i Taxepunkter</x:v>
      </x:c>
      <x:c r="G44" s="876" t="str">
        <x:v>KÄ370RE12FV</x:v>
      </x:c>
      <x:c r="H44" s="875" t="n">
        <x:v>77</x:v>
      </x:c>
      <x:c r="I44" s="875" t="str">
        <x:v>Hämtningsavgift per år för verksamheter / Kärl 370 l (restavfall)</x:v>
      </x:c>
      <x:c r="J44" s="877" t="str">
        <x:v>KÄ370RE12FV</x:v>
      </x:c>
      <x:c r="K44" s="877" t="str">
        <x:v>Kärl 370 l (restavfall). Hämtning månadsvis</x:v>
      </x:c>
      <x:c r="L44" s="877" t="str">
        <x:v>RENH</x:v>
      </x:c>
      <x:c r="M44" s="877" t="str">
        <x:v>HUSH</x:v>
      </x:c>
      <x:c r="N44" s="877" t="n">
        <x:v>1</x:v>
      </x:c>
      <x:c r="O44" s="877" t="str">
        <x:v>ÅRKV</x:v>
      </x:c>
      <x:c r="P44" s="877" t="str">
        <x:v>Kärl 370 l (restavfall) Hämtning månadsvis</x:v>
      </x:c>
      <x:c r="Q44" s="877"/>
      <x:c r="R44" s="877"/>
      <x:c r="S44" s="877"/>
      <x:c r="T44" s="877"/>
      <x:c r="U44" s="877" t="n">
        <x:v>0</x:v>
      </x:c>
      <x:c r="V44" s="877"/>
      <x:c r="W44" s="877" t="str">
        <x:v>-</x:v>
      </x:c>
      <x:c r="X44" s="877" t="n">
        <x:v>1</x:v>
      </x:c>
      <x:c r="Y44" s="883" t="str">
        <x:v>ANTB</x:v>
      </x:c>
    </x:row>
    <x:row r="45">
      <x:c r="A45" s="882" t="str">
        <x:v>§2.2.5</x:v>
      </x:c>
      <x:c r="B45" s="875" t="n">
        <x:v>59</x:v>
      </x:c>
      <x:c r="C45" s="875" t="n">
        <x:v>78</x:v>
      </x:c>
      <x:c r="D45" s="875" t="str">
        <x:v>Kärl 660 l (restavfall) Hämtning varje vecka</x:v>
      </x:c>
      <x:c r="E45" s="875" t="str">
        <x:v>Åtgärdad – FV-taxekod återanvänds efter godkännande</x:v>
      </x:c>
      <x:c r="F45" s="875" t="str">
        <x:v>EDP-träff via strTaxebenamning/strTaxedelAvser; FV = flerbostadshus eller verksamhet</x:v>
      </x:c>
      <x:c r="G45" s="876" t="str">
        <x:v>KÄ660RE52FV</x:v>
      </x:c>
      <x:c r="H45" s="875" t="n">
        <x:v>78</x:v>
      </x:c>
      <x:c r="I45" s="875" t="str">
        <x:v>Hämtningsavgift per år för verksamheter / Kärl 660 l (restavfall)</x:v>
      </x:c>
      <x:c r="J45" s="877" t="str">
        <x:v>KÄ660RE52FV</x:v>
      </x:c>
      <x:c r="K45" s="877" t="str">
        <x:v>Kärl 660L, restavfall. Varje vecka. FLB/VHT</x:v>
      </x:c>
      <x:c r="L45" s="877" t="str">
        <x:v>RENH</x:v>
      </x:c>
      <x:c r="M45" s="877" t="str">
        <x:v>HUSH</x:v>
      </x:c>
      <x:c r="N45" s="877" t="n">
        <x:v>5</x:v>
      </x:c>
      <x:c r="O45" s="877" t="str">
        <x:v>KVAN</x:v>
      </x:c>
      <x:c r="P45" s="877" t="str">
        <x:v>Kärl 660L 52V Överviktsavgift vikt över 100 kg, restavfall</x:v>
      </x:c>
      <x:c r="Q45" s="877"/>
      <x:c r="R45" s="877"/>
      <x:c r="S45" s="877" t="n">
        <x:v>8</x:v>
      </x:c>
      <x:c r="T45" s="878" t="n">
        <x:v>46023</x:v>
      </x:c>
      <x:c r="U45" s="877" t="n">
        <x:v>0</x:v>
      </x:c>
      <x:c r="V45" s="877"/>
      <x:c r="W45" s="877" t="str">
        <x:v>-</x:v>
      </x:c>
      <x:c r="X45" s="877" t="n">
        <x:v>1</x:v>
      </x:c>
      <x:c r="Y45" s="883" t="str">
        <x:v>VIKG-100,MIN0</x:v>
      </x:c>
    </x:row>
    <x:row r="46">
      <x:c r="A46" s="882" t="str">
        <x:v>§2.2.5</x:v>
      </x:c>
      <x:c r="B46" s="875" t="n">
        <x:v>60</x:v>
      </x:c>
      <x:c r="C46" s="875" t="n">
        <x:v>79</x:v>
      </x:c>
      <x:c r="D46" s="875" t="str">
        <x:v>Kärl 660 l (restavfall) Hämtning var 14:e dag</x:v>
      </x:c>
      <x:c r="E46" s="875" t="str">
        <x:v>Åtgärdad – FV-taxekod återanvänds efter godkännande</x:v>
      </x:c>
      <x:c r="F46" s="875" t="str">
        <x:v>EDP-träff via strTaxebenamning/strTaxedelAvser; FV = flerbostadshus eller verksamhet</x:v>
      </x:c>
      <x:c r="G46" s="876" t="str">
        <x:v>KÄ660RE26FV</x:v>
      </x:c>
      <x:c r="H46" s="875" t="n">
        <x:v>79</x:v>
      </x:c>
      <x:c r="I46" s="875" t="str">
        <x:v>Hämtningsavgift per år för verksamheter / Kärl 660 l (restavfall)</x:v>
      </x:c>
      <x:c r="J46" s="877" t="str">
        <x:v>KÄ660RE26FV</x:v>
      </x:c>
      <x:c r="K46" s="877" t="str">
        <x:v>Kärl 660L, restavfall. Var 14:e dag FLB/VHT</x:v>
      </x:c>
      <x:c r="L46" s="877" t="str">
        <x:v>RENH</x:v>
      </x:c>
      <x:c r="M46" s="877" t="str">
        <x:v>HUSH</x:v>
      </x:c>
      <x:c r="N46" s="877" t="n">
        <x:v>5</x:v>
      </x:c>
      <x:c r="O46" s="877" t="str">
        <x:v>KVAN</x:v>
      </x:c>
      <x:c r="P46" s="877" t="str">
        <x:v>Kärl 660L 26V Överviktsavgift vikt över 100 kg, restavfall</x:v>
      </x:c>
      <x:c r="Q46" s="877"/>
      <x:c r="R46" s="877"/>
      <x:c r="S46" s="877" t="n">
        <x:v>8</x:v>
      </x:c>
      <x:c r="T46" s="878" t="n">
        <x:v>46023</x:v>
      </x:c>
      <x:c r="U46" s="877" t="n">
        <x:v>0</x:v>
      </x:c>
      <x:c r="V46" s="877"/>
      <x:c r="W46" s="877" t="str">
        <x:v>-</x:v>
      </x:c>
      <x:c r="X46" s="877" t="n">
        <x:v>1</x:v>
      </x:c>
      <x:c r="Y46" s="883" t="str">
        <x:v>VIKG-100,MIN0</x:v>
      </x:c>
    </x:row>
    <x:row r="47">
      <x:c r="A47" s="882" t="str">
        <x:v>§2.2.5</x:v>
      </x:c>
      <x:c r="B47" s="875" t="n">
        <x:v>61</x:v>
      </x:c>
      <x:c r="C47" s="875" t="n">
        <x:v>80</x:v>
      </x:c>
      <x:c r="D47" s="875" t="str">
        <x:v>Kärl 660 l (restavfall) Hämtning månadsvis</x:v>
      </x:c>
      <x:c r="E47" s="875" t="str">
        <x:v>Saknas i EDP – föreslagen ny taxa</x:v>
      </x:c>
      <x:c r="F47" s="875" t="str">
        <x:v>Kodförslag baserat på prefix/suffix och text i Taxepunkter</x:v>
      </x:c>
      <x:c r="G47" s="876" t="str">
        <x:v>KÄ660RE12FV</x:v>
      </x:c>
      <x:c r="H47" s="875" t="n">
        <x:v>80</x:v>
      </x:c>
      <x:c r="I47" s="875" t="str">
        <x:v>Hämtningsavgift per år för verksamheter / Kärl 660 l (restavfall)</x:v>
      </x:c>
      <x:c r="J47" s="877" t="str">
        <x:v>KÄ660RE12FV</x:v>
      </x:c>
      <x:c r="K47" s="877" t="str">
        <x:v>Kärl 660 l (restavfall). Hämtning månadsvis</x:v>
      </x:c>
      <x:c r="L47" s="877" t="str">
        <x:v>RENH</x:v>
      </x:c>
      <x:c r="M47" s="877" t="str">
        <x:v>HUSH</x:v>
      </x:c>
      <x:c r="N47" s="877" t="n">
        <x:v>1</x:v>
      </x:c>
      <x:c r="O47" s="877" t="str">
        <x:v>ÅRKV</x:v>
      </x:c>
      <x:c r="P47" s="877" t="str">
        <x:v>Kärl 660 l (restavfall) Hämtning månadsvis</x:v>
      </x:c>
      <x:c r="Q47" s="877"/>
      <x:c r="R47" s="877"/>
      <x:c r="S47" s="877"/>
      <x:c r="T47" s="877"/>
      <x:c r="U47" s="877" t="n">
        <x:v>0</x:v>
      </x:c>
      <x:c r="V47" s="877"/>
      <x:c r="W47" s="877" t="str">
        <x:v>-</x:v>
      </x:c>
      <x:c r="X47" s="877" t="n">
        <x:v>1</x:v>
      </x:c>
      <x:c r="Y47" s="883" t="str">
        <x:v>ANTB</x:v>
      </x:c>
    </x:row>
    <x:row r="48">
      <x:c r="A48" s="882" t="str">
        <x:v>§2.2.5</x:v>
      </x:c>
      <x:c r="B48" s="875" t="n">
        <x:v>62</x:v>
      </x:c>
      <x:c r="C48" s="875" t="n">
        <x:v>81</x:v>
      </x:c>
      <x:c r="D48" s="875" t="str">
        <x:v>Kärl 140 l (matavfall) Hämtning varje vecka</x:v>
      </x:c>
      <x:c r="E48" s="875" t="str">
        <x:v>Åtgärdad – FV-taxekod återanvänds efter godkännande</x:v>
      </x:c>
      <x:c r="F48" s="875" t="str">
        <x:v>EDP-träff via strTaxebenamning/strTaxedelAvser; FV = flerbostadshus eller verksamhet</x:v>
      </x:c>
      <x:c r="G48" s="876" t="str">
        <x:v>KÄ140MA52FV</x:v>
      </x:c>
      <x:c r="H48" s="875" t="n">
        <x:v>81</x:v>
      </x:c>
      <x:c r="I48" s="875" t="str">
        <x:v>Hämtningsavgift per år för verksamheter / Kärl 140 l (matavfall)</x:v>
      </x:c>
      <x:c r="J48" s="877" t="str">
        <x:v>KÄ140MA52FV</x:v>
      </x:c>
      <x:c r="K48" s="877" t="str">
        <x:v>Kärl 140L, matavfall. Varje vecka. FLB/VHT</x:v>
      </x:c>
      <x:c r="L48" s="877" t="str">
        <x:v>RENH</x:v>
      </x:c>
      <x:c r="M48" s="877" t="str">
        <x:v>HUSH</x:v>
      </x:c>
      <x:c r="N48" s="877" t="n">
        <x:v>5</x:v>
      </x:c>
      <x:c r="O48" s="877" t="str">
        <x:v>KVAN</x:v>
      </x:c>
      <x:c r="P48" s="877" t="str">
        <x:v>Kärl 140L Överviktsavgift för vikt över 60 kg, matavfall</x:v>
      </x:c>
      <x:c r="Q48" s="877"/>
      <x:c r="R48" s="877"/>
      <x:c r="S48" s="877" t="n">
        <x:v>4.8</x:v>
      </x:c>
      <x:c r="T48" s="878" t="n">
        <x:v>46023</x:v>
      </x:c>
      <x:c r="U48" s="877" t="n">
        <x:v>0</x:v>
      </x:c>
      <x:c r="V48" s="877"/>
      <x:c r="W48" s="877" t="str">
        <x:v>-</x:v>
      </x:c>
      <x:c r="X48" s="877" t="n">
        <x:v>1</x:v>
      </x:c>
      <x:c r="Y48" s="883" t="str">
        <x:v>VIKG-60,MIN0</x:v>
      </x:c>
    </x:row>
    <x:row r="49">
      <x:c r="A49" s="882" t="str">
        <x:v>§2.2.5</x:v>
      </x:c>
      <x:c r="B49" s="875" t="n">
        <x:v>63</x:v>
      </x:c>
      <x:c r="C49" s="875" t="n">
        <x:v>82</x:v>
      </x:c>
      <x:c r="D49" s="875" t="str">
        <x:v>Kärl 140 l (matavfall) Hämtning var 14:e dag</x:v>
      </x:c>
      <x:c r="E49" s="875" t="str">
        <x:v>Åtgärdad – FV-taxekod återanvänds efter godkännande</x:v>
      </x:c>
      <x:c r="F49" s="875" t="str">
        <x:v>EDP-träff via strTaxebenamning/strTaxedelAvser; FV = flerbostadshus eller verksamhet</x:v>
      </x:c>
      <x:c r="G49" s="876" t="str">
        <x:v>KÄ140MA26FV</x:v>
      </x:c>
      <x:c r="H49" s="875" t="n">
        <x:v>82</x:v>
      </x:c>
      <x:c r="I49" s="875" t="str">
        <x:v>Hämtningsavgift per år för verksamheter / Kärl 140 l (matavfall)</x:v>
      </x:c>
      <x:c r="J49" s="877" t="str">
        <x:v>KÄ140MA26FV</x:v>
      </x:c>
      <x:c r="K49" s="877" t="str">
        <x:v>Kärl 140L, matavfall. Var 14:e dag. FLB/VHT</x:v>
      </x:c>
      <x:c r="L49" s="877" t="str">
        <x:v>RENH</x:v>
      </x:c>
      <x:c r="M49" s="877" t="str">
        <x:v>HUSH</x:v>
      </x:c>
      <x:c r="N49" s="877" t="n">
        <x:v>5</x:v>
      </x:c>
      <x:c r="O49" s="877" t="str">
        <x:v>KVAN</x:v>
      </x:c>
      <x:c r="P49" s="877" t="str">
        <x:v>Kärl 140L Överviktsavgift för vikt över 60 kg, matavfall</x:v>
      </x:c>
      <x:c r="Q49" s="877"/>
      <x:c r="R49" s="877"/>
      <x:c r="S49" s="877" t="n">
        <x:v>4.8</x:v>
      </x:c>
      <x:c r="T49" s="878" t="n">
        <x:v>46023</x:v>
      </x:c>
      <x:c r="U49" s="877" t="n">
        <x:v>0</x:v>
      </x:c>
      <x:c r="V49" s="877"/>
      <x:c r="W49" s="877" t="str">
        <x:v>-</x:v>
      </x:c>
      <x:c r="X49" s="877" t="n">
        <x:v>1</x:v>
      </x:c>
      <x:c r="Y49" s="883" t="str">
        <x:v>VIKG-60,MIN0</x:v>
      </x:c>
    </x:row>
    <x:row r="50">
      <x:c r="A50" s="882" t="str">
        <x:v>§2.2.5</x:v>
      </x:c>
      <x:c r="B50" s="875" t="n">
        <x:v>64</x:v>
      </x:c>
      <x:c r="C50" s="875" t="n">
        <x:v>83</x:v>
      </x:c>
      <x:c r="D50" s="875" t="str">
        <x:v>Kärl 140 l (matavfall) Hämtning månadsvis</x:v>
      </x:c>
      <x:c r="E50" s="875" t="str">
        <x:v>Saknas i EDP – föreslagen ny taxa</x:v>
      </x:c>
      <x:c r="F50" s="875" t="str">
        <x:v>Kodförslag baserat på prefix/suffix och text i Taxepunkter</x:v>
      </x:c>
      <x:c r="G50" s="876" t="str">
        <x:v>KÄ140MA12FV</x:v>
      </x:c>
      <x:c r="H50" s="875" t="n">
        <x:v>83</x:v>
      </x:c>
      <x:c r="I50" s="875" t="str">
        <x:v>Hämtningsavgift per år för verksamheter / Kärl 140 l (matavfall)</x:v>
      </x:c>
      <x:c r="J50" s="877" t="str">
        <x:v>KÄ140MA12FV</x:v>
      </x:c>
      <x:c r="K50" s="877" t="str">
        <x:v>Kärl 140 l (matavfall). Hämtning månadsvis</x:v>
      </x:c>
      <x:c r="L50" s="877" t="str">
        <x:v>RENH</x:v>
      </x:c>
      <x:c r="M50" s="877" t="str">
        <x:v>HUSH</x:v>
      </x:c>
      <x:c r="N50" s="877" t="n">
        <x:v>1</x:v>
      </x:c>
      <x:c r="O50" s="877" t="str">
        <x:v>ÅRKV</x:v>
      </x:c>
      <x:c r="P50" s="877" t="str">
        <x:v>Kärl 140 l (matavfall) Hämtning månadsvis</x:v>
      </x:c>
      <x:c r="Q50" s="877"/>
      <x:c r="R50" s="877"/>
      <x:c r="S50" s="877"/>
      <x:c r="T50" s="877"/>
      <x:c r="U50" s="877" t="n">
        <x:v>0</x:v>
      </x:c>
      <x:c r="V50" s="877"/>
      <x:c r="W50" s="877" t="str">
        <x:v>-</x:v>
      </x:c>
      <x:c r="X50" s="877" t="n">
        <x:v>1</x:v>
      </x:c>
      <x:c r="Y50" s="883" t="str">
        <x:v>ANTB</x:v>
      </x:c>
    </x:row>
    <x:row r="51">
      <x:c r="A51" s="882" t="str">
        <x:v>§2.2.5</x:v>
      </x:c>
      <x:c r="B51" s="875" t="n">
        <x:v>65</x:v>
      </x:c>
      <x:c r="C51" s="875" t="n">
        <x:v>84</x:v>
      </x:c>
      <x:c r="D51" s="875" t="str">
        <x:v>Bottentömmande behållare (mat-/restavfall) Avgift per tömning</x:v>
      </x:c>
      <x:c r="E51" s="875" t="str">
        <x:v>Saknas i EDP – föreslagen ny taxa</x:v>
      </x:c>
      <x:c r="F51" s="875" t="str">
        <x:v>Kodförslag uppdaterat enligt regel: bottentömmande använder MB-prefix; lastväxlarflak använder LV-prefix</x:v>
      </x:c>
      <x:c r="G51" s="876" t="str">
        <x:v>MBRMFV</x:v>
      </x:c>
      <x:c r="H51" s="875" t="n">
        <x:v>84</x:v>
      </x:c>
      <x:c r="I51" s="875" t="str">
        <x:v>Hämtningsavgift per år för verksamheter / Bottentömmande behållare (mat-/restavfall)</x:v>
      </x:c>
      <x:c r="J51" s="877" t="str">
        <x:v>MBRMFV</x:v>
      </x:c>
      <x:c r="K51" s="877" t="str">
        <x:v>Bottentömmande behållare (mat-/restavfall). Avgift per tömning. Verksamhet/Flerbostadshus</x:v>
      </x:c>
      <x:c r="L51" s="877" t="str">
        <x:v>RENH</x:v>
      </x:c>
      <x:c r="M51" s="877" t="str">
        <x:v>HUSH</x:v>
      </x:c>
      <x:c r="N51" s="877" t="n">
        <x:v>1</x:v>
      </x:c>
      <x:c r="O51" s="877" t="str">
        <x:v>ÅRKV</x:v>
      </x:c>
      <x:c r="P51" s="877" t="str">
        <x:v>Bottentömmande behållare (mat-/restavfall). Avgift per tömning. Verksamhet/Flerbostadshus</x:v>
      </x:c>
      <x:c r="Q51" s="877"/>
      <x:c r="R51" s="877"/>
      <x:c r="S51" s="877"/>
      <x:c r="T51" s="877"/>
      <x:c r="U51" s="877" t="n">
        <x:v>0</x:v>
      </x:c>
      <x:c r="V51" s="877"/>
      <x:c r="W51" s="877" t="str">
        <x:v>-</x:v>
      </x:c>
      <x:c r="X51" s="877" t="n">
        <x:v>1</x:v>
      </x:c>
      <x:c r="Y51" s="883" t="str">
        <x:v>ANTL</x:v>
      </x:c>
    </x:row>
    <x:row r="52">
      <x:c r="A52" s="882" t="str">
        <x:v>§2.2.5</x:v>
      </x:c>
      <x:c r="B52" s="875" t="n">
        <x:v>66</x:v>
      </x:c>
      <x:c r="C52" s="875" t="n">
        <x:v>85</x:v>
      </x:c>
      <x:c r="D52" s="875" t="str">
        <x:v>Lastväxlarflak (restavfall) Avgift per tömning</x:v>
      </x:c>
      <x:c r="E52" s="875" t="str">
        <x:v>Saknas i EDP – föreslagen ny taxa</x:v>
      </x:c>
      <x:c r="F52" s="875" t="str">
        <x:v>Kodförslag uppdaterat enligt regel: bottentömmande använder MB-prefix; lastväxlarflak använder LV-prefix</x:v>
      </x:c>
      <x:c r="G52" s="876" t="str">
        <x:v>LVREFV</x:v>
      </x:c>
      <x:c r="H52" s="875" t="n">
        <x:v>85</x:v>
      </x:c>
      <x:c r="I52" s="875" t="str">
        <x:v>Hämtningsavgift per år för verksamheter / Lastväxlarflak (restavfall)</x:v>
      </x:c>
      <x:c r="J52" s="877" t="str">
        <x:v>LVREFV</x:v>
      </x:c>
      <x:c r="K52" s="877" t="str">
        <x:v>Lastväxlarflak (restavfall). Avgift per tömning. Verksamhet/Flerbostadshus</x:v>
      </x:c>
      <x:c r="L52" s="877" t="str">
        <x:v>RENH</x:v>
      </x:c>
      <x:c r="M52" s="877" t="str">
        <x:v>HUSH</x:v>
      </x:c>
      <x:c r="N52" s="877" t="n">
        <x:v>1</x:v>
      </x:c>
      <x:c r="O52" s="877" t="str">
        <x:v>ÅRKV</x:v>
      </x:c>
      <x:c r="P52" s="877" t="str">
        <x:v>Lastväxlarflak (restavfall). Avgift per tömning. Verksamhet/Flerbostadshus</x:v>
      </x:c>
      <x:c r="Q52" s="877"/>
      <x:c r="R52" s="877"/>
      <x:c r="S52" s="877"/>
      <x:c r="T52" s="877"/>
      <x:c r="U52" s="877" t="n">
        <x:v>0</x:v>
      </x:c>
      <x:c r="V52" s="877"/>
      <x:c r="W52" s="877" t="str">
        <x:v>-</x:v>
      </x:c>
      <x:c r="X52" s="877" t="n">
        <x:v>1</x:v>
      </x:c>
      <x:c r="Y52" s="883" t="str">
        <x:v>ANTL</x:v>
      </x:c>
    </x:row>
    <x:row r="53">
      <x:c r="A53" s="882" t="str">
        <x:v>§2.2.5</x:v>
      </x:c>
      <x:c r="B53" s="875" t="n">
        <x:v>67</x:v>
      </x:c>
      <x:c r="C53" s="875" t="n">
        <x:v>86</x:v>
      </x:c>
      <x:c r="D53" s="875" t="str">
        <x:v>Bottentömmande behållare (mat-/restavfall) Tillägg för två tömningar per vecka</x:v>
      </x:c>
      <x:c r="E53" s="875" t="str">
        <x:v>Saknas i EDP – föreslagen ny taxa</x:v>
      </x:c>
      <x:c r="F53" s="875" t="str">
        <x:v>Kodförslag uppdaterat enligt regel: bottentömmande använder MB-prefix; lastväxlarflak använder LV-prefix</x:v>
      </x:c>
      <x:c r="G53" s="876" t="str">
        <x:v>MBRM2VFV</x:v>
      </x:c>
      <x:c r="H53" s="875" t="n">
        <x:v>86</x:v>
      </x:c>
      <x:c r="I53" s="875" t="str">
        <x:v>Hämtningsavgift per år för verksamheter / Bottentömmande behållare (mat-/restavfall)</x:v>
      </x:c>
      <x:c r="J53" s="877" t="str">
        <x:v>MBRM2VFV</x:v>
      </x:c>
      <x:c r="K53" s="877" t="str">
        <x:v>Bottentömmande behållare (mat-/restavfall). Tillägg för två tömningar per vecka. Verksamhet/Flerbostadshus</x:v>
      </x:c>
      <x:c r="L53" s="877" t="str">
        <x:v>RENH</x:v>
      </x:c>
      <x:c r="M53" s="877" t="str">
        <x:v>HUSH</x:v>
      </x:c>
      <x:c r="N53" s="877" t="n">
        <x:v>1</x:v>
      </x:c>
      <x:c r="O53" s="877" t="str">
        <x:v>ÅRKV</x:v>
      </x:c>
      <x:c r="P53" s="877" t="str">
        <x:v>Bottentömmande behållare (mat-/restavfall). Tillägg för två tömningar per vecka. Verksamhet/Flerbostadshus</x:v>
      </x:c>
      <x:c r="Q53" s="877"/>
      <x:c r="R53" s="877"/>
      <x:c r="S53" s="877"/>
      <x:c r="T53" s="877"/>
      <x:c r="U53" s="877" t="n">
        <x:v>0</x:v>
      </x:c>
      <x:c r="V53" s="877"/>
      <x:c r="W53" s="877" t="str">
        <x:v>-</x:v>
      </x:c>
      <x:c r="X53" s="877" t="n">
        <x:v>1</x:v>
      </x:c>
      <x:c r="Y53" s="883" t="str">
        <x:v>ANTL</x:v>
      </x:c>
    </x:row>
    <x:row r="54">
      <x:c r="A54" s="882" t="str">
        <x:v>§2.2.6</x:v>
      </x:c>
      <x:c r="B54" s="875" t="n">
        <x:v>68</x:v>
      </x:c>
      <x:c r="C54" s="875" t="n">
        <x:v>89</x:v>
      </x:c>
      <x:c r="D54" s="875" t="str">
        <x:v>Kärl 240 l (mat-/restavfall) Hämtning varje vecka</x:v>
      </x:c>
      <x:c r="E54" s="875" t="str">
        <x:v>Saknas i EDP – föreslagen ny taxa</x:v>
      </x:c>
      <x:c r="F54" s="875" t="str">
        <x:v>Kodförslag baserat på DH-regel: detaljhandel med beviljad hantering av kommunalt avfall</x:v>
      </x:c>
      <x:c r="G54" s="876" t="str">
        <x:v>KÄ240RM52DH</x:v>
      </x:c>
      <x:c r="H54" s="875" t="n">
        <x:v>89</x:v>
      </x:c>
      <x:c r="I54" s="875" t="str">
        <x:v>Hämtningsavgift per år för verksamhet inom detaljhandeln med beviljad hantering av kommunalt avfall / Kärl 240 l (mat-/restavfall)</x:v>
      </x:c>
      <x:c r="J54" s="877" t="str">
        <x:v>KÄ240RM52DH</x:v>
      </x:c>
      <x:c r="K54" s="877" t="str">
        <x:v>Tvåfackskärl 240L, rest/matavfall. Varje vecka. Detaljhandel</x:v>
      </x:c>
      <x:c r="L54" s="877" t="str">
        <x:v>RENH</x:v>
      </x:c>
      <x:c r="M54" s="877" t="str">
        <x:v>HUSH</x:v>
      </x:c>
      <x:c r="N54" s="877" t="n">
        <x:v>1</x:v>
      </x:c>
      <x:c r="O54" s="877" t="str">
        <x:v>ÅRKV</x:v>
      </x:c>
      <x:c r="P54" s="877" t="str">
        <x:v>Tvåfackskärl 240L, rest/matavfall. Varje vecka</x:v>
      </x:c>
      <x:c r="Q54" s="877"/>
      <x:c r="R54" s="877"/>
      <x:c r="S54" s="877" t="n">
        <x:v>0</x:v>
      </x:c>
      <x:c r="T54" s="878" t="n">
        <x:v>44927</x:v>
      </x:c>
      <x:c r="U54" s="877" t="n">
        <x:v>0</x:v>
      </x:c>
      <x:c r="V54" s="877"/>
      <x:c r="W54" s="877" t="str">
        <x:v>-</x:v>
      </x:c>
      <x:c r="X54" s="877" t="n">
        <x:v>1</x:v>
      </x:c>
      <x:c r="Y54" s="883" t="str">
        <x:v>ANTB</x:v>
      </x:c>
    </x:row>
    <x:row r="55">
      <x:c r="A55" s="882" t="str">
        <x:v>§2.2.6</x:v>
      </x:c>
      <x:c r="B55" s="875" t="n">
        <x:v>69</x:v>
      </x:c>
      <x:c r="C55" s="875" t="n">
        <x:v>90</x:v>
      </x:c>
      <x:c r="D55" s="875" t="str">
        <x:v>Kärl 240 l (mat-/restavfall) Hämtning var 14:e dag</x:v>
      </x:c>
      <x:c r="E55" s="875" t="str">
        <x:v>Saknas i EDP – föreslagen ny taxa</x:v>
      </x:c>
      <x:c r="F55" s="875" t="str">
        <x:v>Kodförslag baserat på DH-regel: detaljhandel med beviljad hantering av kommunalt avfall</x:v>
      </x:c>
      <x:c r="G55" s="876" t="str">
        <x:v>KÄ240RM26DH</x:v>
      </x:c>
      <x:c r="H55" s="875" t="n">
        <x:v>90</x:v>
      </x:c>
      <x:c r="I55" s="875" t="str">
        <x:v>Hämtningsavgift per år för verksamhet inom detaljhandeln med beviljad hantering av kommunalt avfall / Kärl 240 l (mat-/restavfall)</x:v>
      </x:c>
      <x:c r="J55" s="877" t="str">
        <x:v>KÄ240RM26DH</x:v>
      </x:c>
      <x:c r="K55" s="877" t="str">
        <x:v>Tvåfackskärl 240L, rest/matavfall. Var 14:e dag. Detaljhandel</x:v>
      </x:c>
      <x:c r="L55" s="877" t="str">
        <x:v>RENH</x:v>
      </x:c>
      <x:c r="M55" s="877" t="str">
        <x:v>HUSH</x:v>
      </x:c>
      <x:c r="N55" s="877" t="n">
        <x:v>1</x:v>
      </x:c>
      <x:c r="O55" s="877" t="str">
        <x:v>ÅRKV</x:v>
      </x:c>
      <x:c r="P55" s="877" t="str">
        <x:v>Tvåfackskärl 240L, rest/matavfall. Var 14:e dag</x:v>
      </x:c>
      <x:c r="Q55" s="877"/>
      <x:c r="R55" s="877"/>
      <x:c r="S55" s="877" t="n">
        <x:v>0</x:v>
      </x:c>
      <x:c r="T55" s="878" t="n">
        <x:v>46023</x:v>
      </x:c>
      <x:c r="U55" s="877" t="n">
        <x:v>0</x:v>
      </x:c>
      <x:c r="V55" s="877"/>
      <x:c r="W55" s="877" t="str">
        <x:v>-</x:v>
      </x:c>
      <x:c r="X55" s="877" t="n">
        <x:v>1</x:v>
      </x:c>
      <x:c r="Y55" s="883" t="str">
        <x:v>ANTB</x:v>
      </x:c>
    </x:row>
    <x:row r="56">
      <x:c r="A56" s="882" t="str">
        <x:v>§2.2.6</x:v>
      </x:c>
      <x:c r="B56" s="875" t="n">
        <x:v>70</x:v>
      </x:c>
      <x:c r="C56" s="875" t="n">
        <x:v>91</x:v>
      </x:c>
      <x:c r="D56" s="875" t="str">
        <x:v>Kärl 240 l (mat-/restavfall) Hämtning månadsvis</x:v>
      </x:c>
      <x:c r="E56" s="875" t="str">
        <x:v>Saknas i EDP – föreslagen ny taxa</x:v>
      </x:c>
      <x:c r="F56" s="875" t="str">
        <x:v>Kodförslag baserat på DH-regel: detaljhandel med beviljad hantering av kommunalt avfall</x:v>
      </x:c>
      <x:c r="G56" s="876" t="str">
        <x:v>KÄ240RM12DH</x:v>
      </x:c>
      <x:c r="H56" s="875" t="n">
        <x:v>91</x:v>
      </x:c>
      <x:c r="I56" s="875" t="str">
        <x:v>Hämtningsavgift per år för verksamhet inom detaljhandeln med beviljad hantering av kommunalt avfall / Kärl 240 l (mat-/restavfall)</x:v>
      </x:c>
      <x:c r="J56" s="877" t="str">
        <x:v>KÄ240RM12DH</x:v>
      </x:c>
      <x:c r="K56" s="877" t="str">
        <x:v>Kärl 240 l (mat-/restavfall). Hämtning månadsvis. Detaljhandel</x:v>
      </x:c>
      <x:c r="L56" s="877" t="str">
        <x:v>RENH</x:v>
      </x:c>
      <x:c r="M56" s="877" t="str">
        <x:v>HUSH</x:v>
      </x:c>
      <x:c r="N56" s="877" t="n">
        <x:v>1</x:v>
      </x:c>
      <x:c r="O56" s="877" t="str">
        <x:v>ÅRKV</x:v>
      </x:c>
      <x:c r="P56" s="877" t="str">
        <x:v>Kärl 240 l (mat-/restavfall) Hämtning månadsvis</x:v>
      </x:c>
      <x:c r="Q56" s="877"/>
      <x:c r="R56" s="877"/>
      <x:c r="S56" s="877"/>
      <x:c r="T56" s="877"/>
      <x:c r="U56" s="877" t="n">
        <x:v>0</x:v>
      </x:c>
      <x:c r="V56" s="877"/>
      <x:c r="W56" s="877" t="str">
        <x:v>-</x:v>
      </x:c>
      <x:c r="X56" s="877" t="n">
        <x:v>1</x:v>
      </x:c>
      <x:c r="Y56" s="883" t="str">
        <x:v>ANTB</x:v>
      </x:c>
    </x:row>
    <x:row r="57">
      <x:c r="A57" s="882" t="str">
        <x:v>§2.2.6</x:v>
      </x:c>
      <x:c r="B57" s="875" t="n">
        <x:v>71</x:v>
      </x:c>
      <x:c r="C57" s="875" t="n">
        <x:v>92</x:v>
      </x:c>
      <x:c r="D57" s="875" t="str">
        <x:v>Kärl 370 l (restavfall) Hämtning varje vecka</x:v>
      </x:c>
      <x:c r="E57" s="875" t="str">
        <x:v>Saknas i EDP – föreslagen ny taxa</x:v>
      </x:c>
      <x:c r="F57" s="875" t="str">
        <x:v>Kodförslag baserat på DH-regel: detaljhandel med beviljad hantering av kommunalt avfall</x:v>
      </x:c>
      <x:c r="G57" s="876" t="str">
        <x:v>KÄ370RE52DH</x:v>
      </x:c>
      <x:c r="H57" s="875" t="n">
        <x:v>92</x:v>
      </x:c>
      <x:c r="I57" s="875" t="str">
        <x:v>Hämtningsavgift per år för verksamhet inom detaljhandeln med beviljad hantering av kommunalt avfall / Kärl 370 l (restavfall)</x:v>
      </x:c>
      <x:c r="J57" s="877" t="str">
        <x:v>KÄ370RE52DH</x:v>
      </x:c>
      <x:c r="K57" s="877" t="str">
        <x:v>Kärl 370L, restavfall. Varje vecka. Detaljhandel</x:v>
      </x:c>
      <x:c r="L57" s="877" t="str">
        <x:v>RENH</x:v>
      </x:c>
      <x:c r="M57" s="877" t="str">
        <x:v>HUSH</x:v>
      </x:c>
      <x:c r="N57" s="877" t="n">
        <x:v>1</x:v>
      </x:c>
      <x:c r="O57" s="877" t="str">
        <x:v>KVAN</x:v>
      </x:c>
      <x:c r="P57" s="877" t="str">
        <x:v>Kärl 370L, restavfall. Varje vecka</x:v>
      </x:c>
      <x:c r="Q57" s="877"/>
      <x:c r="R57" s="877"/>
      <x:c r="S57" s="877" t="n">
        <x:v>6.4</x:v>
      </x:c>
      <x:c r="T57" s="878" t="n">
        <x:v>46023</x:v>
      </x:c>
      <x:c r="U57" s="877" t="n">
        <x:v>0</x:v>
      </x:c>
      <x:c r="V57" s="877"/>
      <x:c r="W57" s="877" t="str">
        <x:v>-</x:v>
      </x:c>
      <x:c r="X57" s="877" t="n">
        <x:v>1</x:v>
      </x:c>
      <x:c r="Y57" s="883" t="str">
        <x:v>ANTB</x:v>
      </x:c>
    </x:row>
    <x:row r="58">
      <x:c r="A58" s="882" t="str">
        <x:v>§2.2.6</x:v>
      </x:c>
      <x:c r="B58" s="875" t="n">
        <x:v>72</x:v>
      </x:c>
      <x:c r="C58" s="875" t="n">
        <x:v>93</x:v>
      </x:c>
      <x:c r="D58" s="875" t="str">
        <x:v>Kärl 370 l (restavfall) Hämtning var 14:e dag</x:v>
      </x:c>
      <x:c r="E58" s="875" t="str">
        <x:v>Saknas i EDP – föreslagen ny taxa</x:v>
      </x:c>
      <x:c r="F58" s="875" t="str">
        <x:v>Kodförslag baserat på DH-regel: detaljhandel med beviljad hantering av kommunalt avfall</x:v>
      </x:c>
      <x:c r="G58" s="876" t="str">
        <x:v>KÄ370RE26DH</x:v>
      </x:c>
      <x:c r="H58" s="875" t="n">
        <x:v>93</x:v>
      </x:c>
      <x:c r="I58" s="875" t="str">
        <x:v>Hämtningsavgift per år för verksamhet inom detaljhandeln med beviljad hantering av kommunalt avfall / Kärl 370 l (restavfall)</x:v>
      </x:c>
      <x:c r="J58" s="877" t="str">
        <x:v>KÄ370RE26DH</x:v>
      </x:c>
      <x:c r="K58" s="877" t="str">
        <x:v>Kärl 370L, restavfall. Var 14:e dag. Detaljhandel</x:v>
      </x:c>
      <x:c r="L58" s="877" t="str">
        <x:v>RENH</x:v>
      </x:c>
      <x:c r="M58" s="877" t="str">
        <x:v>HUSH</x:v>
      </x:c>
      <x:c r="N58" s="877" t="n">
        <x:v>1</x:v>
      </x:c>
      <x:c r="O58" s="877" t="str">
        <x:v>KVAN</x:v>
      </x:c>
      <x:c r="P58" s="877" t="str">
        <x:v>Kärl 370L, restavfall. Var 14:e dag</x:v>
      </x:c>
      <x:c r="Q58" s="877"/>
      <x:c r="R58" s="877"/>
      <x:c r="S58" s="877" t="n">
        <x:v>6.4</x:v>
      </x:c>
      <x:c r="T58" s="878" t="n">
        <x:v>46023</x:v>
      </x:c>
      <x:c r="U58" s="877" t="n">
        <x:v>0</x:v>
      </x:c>
      <x:c r="V58" s="877"/>
      <x:c r="W58" s="877" t="str">
        <x:v>-</x:v>
      </x:c>
      <x:c r="X58" s="877" t="n">
        <x:v>1</x:v>
      </x:c>
      <x:c r="Y58" s="883" t="str">
        <x:v>ANTB</x:v>
      </x:c>
    </x:row>
    <x:row r="59">
      <x:c r="A59" s="882" t="str">
        <x:v>§2.2.6</x:v>
      </x:c>
      <x:c r="B59" s="875" t="n">
        <x:v>73</x:v>
      </x:c>
      <x:c r="C59" s="875" t="n">
        <x:v>94</x:v>
      </x:c>
      <x:c r="D59" s="875" t="str">
        <x:v>Kärl 370 l (restavfall) Hämtning månadsvis</x:v>
      </x:c>
      <x:c r="E59" s="875" t="str">
        <x:v>Saknas i EDP – föreslagen ny taxa</x:v>
      </x:c>
      <x:c r="F59" s="875" t="str">
        <x:v>Kodförslag baserat på DH-regel: detaljhandel med beviljad hantering av kommunalt avfall</x:v>
      </x:c>
      <x:c r="G59" s="876" t="str">
        <x:v>KÄ370RE12DH</x:v>
      </x:c>
      <x:c r="H59" s="875" t="n">
        <x:v>94</x:v>
      </x:c>
      <x:c r="I59" s="875" t="str">
        <x:v>Hämtningsavgift per år för verksamhet inom detaljhandeln med beviljad hantering av kommunalt avfall / Kärl 370 l (restavfall)</x:v>
      </x:c>
      <x:c r="J59" s="877" t="str">
        <x:v>KÄ370RE12DH</x:v>
      </x:c>
      <x:c r="K59" s="877" t="str">
        <x:v>Kärl 370 l (restavfall). Hämtning månadsvis. Detaljhandel</x:v>
      </x:c>
      <x:c r="L59" s="877" t="str">
        <x:v>RENH</x:v>
      </x:c>
      <x:c r="M59" s="877" t="str">
        <x:v>HUSH</x:v>
      </x:c>
      <x:c r="N59" s="877" t="n">
        <x:v>1</x:v>
      </x:c>
      <x:c r="O59" s="877" t="str">
        <x:v>ÅRKV</x:v>
      </x:c>
      <x:c r="P59" s="877" t="str">
        <x:v>Kärl 370 l (restavfall) Hämtning månadsvis</x:v>
      </x:c>
      <x:c r="Q59" s="877"/>
      <x:c r="R59" s="877"/>
      <x:c r="S59" s="877"/>
      <x:c r="T59" s="877"/>
      <x:c r="U59" s="877" t="n">
        <x:v>0</x:v>
      </x:c>
      <x:c r="V59" s="877"/>
      <x:c r="W59" s="877" t="str">
        <x:v>-</x:v>
      </x:c>
      <x:c r="X59" s="877" t="n">
        <x:v>1</x:v>
      </x:c>
      <x:c r="Y59" s="883" t="str">
        <x:v>ANTB</x:v>
      </x:c>
    </x:row>
    <x:row r="60">
      <x:c r="A60" s="882" t="str">
        <x:v>§2.2.6</x:v>
      </x:c>
      <x:c r="B60" s="875" t="n">
        <x:v>74</x:v>
      </x:c>
      <x:c r="C60" s="875" t="n">
        <x:v>95</x:v>
      </x:c>
      <x:c r="D60" s="875" t="str">
        <x:v>Kärl 660 l (restavfall) Hämtning varje vecka</x:v>
      </x:c>
      <x:c r="E60" s="875" t="str">
        <x:v>Saknas i EDP – föreslagen ny taxa</x:v>
      </x:c>
      <x:c r="F60" s="875" t="str">
        <x:v>Kodförslag baserat på DH-regel: detaljhandel med beviljad hantering av kommunalt avfall</x:v>
      </x:c>
      <x:c r="G60" s="876" t="str">
        <x:v>KÄ660RE52DH</x:v>
      </x:c>
      <x:c r="H60" s="875" t="n">
        <x:v>95</x:v>
      </x:c>
      <x:c r="I60" s="875" t="str">
        <x:v>Hämtningsavgift per år för verksamhet inom detaljhandeln med beviljad hantering av kommunalt avfall / Kärl 660 l (restavfall)</x:v>
      </x:c>
      <x:c r="J60" s="877" t="str">
        <x:v>KÄ660RE52DH</x:v>
      </x:c>
      <x:c r="K60" s="877" t="str">
        <x:v>Kärl 660L, restavfall. Varje vecka. Detaljhandel</x:v>
      </x:c>
      <x:c r="L60" s="877" t="str">
        <x:v>RENH</x:v>
      </x:c>
      <x:c r="M60" s="877" t="str">
        <x:v>HUSH</x:v>
      </x:c>
      <x:c r="N60" s="877" t="n">
        <x:v>1</x:v>
      </x:c>
      <x:c r="O60" s="877" t="str">
        <x:v>KVAN</x:v>
      </x:c>
      <x:c r="P60" s="877" t="str">
        <x:v>Kärl 660L, restavfall. Varje vecka</x:v>
      </x:c>
      <x:c r="Q60" s="877"/>
      <x:c r="R60" s="877"/>
      <x:c r="S60" s="877" t="n">
        <x:v>8</x:v>
      </x:c>
      <x:c r="T60" s="878" t="n">
        <x:v>46023</x:v>
      </x:c>
      <x:c r="U60" s="877" t="n">
        <x:v>0</x:v>
      </x:c>
      <x:c r="V60" s="877"/>
      <x:c r="W60" s="877" t="str">
        <x:v>-</x:v>
      </x:c>
      <x:c r="X60" s="877" t="n">
        <x:v>1</x:v>
      </x:c>
      <x:c r="Y60" s="883" t="str">
        <x:v>ANTB</x:v>
      </x:c>
    </x:row>
    <x:row r="61">
      <x:c r="A61" s="882" t="str">
        <x:v>§2.2.6</x:v>
      </x:c>
      <x:c r="B61" s="875" t="n">
        <x:v>75</x:v>
      </x:c>
      <x:c r="C61" s="875" t="n">
        <x:v>96</x:v>
      </x:c>
      <x:c r="D61" s="875" t="str">
        <x:v>Kärl 660 l (restavfall) Hämtning var 14:e dag</x:v>
      </x:c>
      <x:c r="E61" s="875" t="str">
        <x:v>Saknas i EDP – föreslagen ny taxa</x:v>
      </x:c>
      <x:c r="F61" s="875" t="str">
        <x:v>Kodförslag baserat på DH-regel: detaljhandel med beviljad hantering av kommunalt avfall</x:v>
      </x:c>
      <x:c r="G61" s="876" t="str">
        <x:v>KÄ660RE26DH</x:v>
      </x:c>
      <x:c r="H61" s="875" t="n">
        <x:v>96</x:v>
      </x:c>
      <x:c r="I61" s="875" t="str">
        <x:v>Hämtningsavgift per år för verksamhet inom detaljhandeln med beviljad hantering av kommunalt avfall / Kärl 660 l (restavfall)</x:v>
      </x:c>
      <x:c r="J61" s="877" t="str">
        <x:v>KÄ660RE26DH</x:v>
      </x:c>
      <x:c r="K61" s="877" t="str">
        <x:v>Kärl 660L, restavfall. Var 14:e dag. Detaljhandel</x:v>
      </x:c>
      <x:c r="L61" s="877" t="str">
        <x:v>RENH</x:v>
      </x:c>
      <x:c r="M61" s="877" t="str">
        <x:v>HUSH</x:v>
      </x:c>
      <x:c r="N61" s="877" t="n">
        <x:v>1</x:v>
      </x:c>
      <x:c r="O61" s="877" t="str">
        <x:v>KVAN</x:v>
      </x:c>
      <x:c r="P61" s="877" t="str">
        <x:v>Kärl 660L, restavfall. Var 14:e dag</x:v>
      </x:c>
      <x:c r="Q61" s="877"/>
      <x:c r="R61" s="877"/>
      <x:c r="S61" s="877" t="n">
        <x:v>8</x:v>
      </x:c>
      <x:c r="T61" s="878" t="n">
        <x:v>46023</x:v>
      </x:c>
      <x:c r="U61" s="877" t="n">
        <x:v>0</x:v>
      </x:c>
      <x:c r="V61" s="877"/>
      <x:c r="W61" s="877" t="str">
        <x:v>-</x:v>
      </x:c>
      <x:c r="X61" s="877" t="n">
        <x:v>1</x:v>
      </x:c>
      <x:c r="Y61" s="883" t="str">
        <x:v>ANTB</x:v>
      </x:c>
    </x:row>
    <x:row r="62">
      <x:c r="A62" s="882" t="str">
        <x:v>§2.2.6</x:v>
      </x:c>
      <x:c r="B62" s="875" t="n">
        <x:v>76</x:v>
      </x:c>
      <x:c r="C62" s="875" t="n">
        <x:v>97</x:v>
      </x:c>
      <x:c r="D62" s="875" t="str">
        <x:v>Kärl 660 l (restavfall) Hämtning månadsvis</x:v>
      </x:c>
      <x:c r="E62" s="875" t="str">
        <x:v>Saknas i EDP – föreslagen ny taxa</x:v>
      </x:c>
      <x:c r="F62" s="875" t="str">
        <x:v>Kodförslag baserat på DH-regel: detaljhandel med beviljad hantering av kommunalt avfall</x:v>
      </x:c>
      <x:c r="G62" s="876" t="str">
        <x:v>KÄ660RE12DH</x:v>
      </x:c>
      <x:c r="H62" s="875" t="n">
        <x:v>97</x:v>
      </x:c>
      <x:c r="I62" s="875" t="str">
        <x:v>Hämtningsavgift per år för verksamhet inom detaljhandeln med beviljad hantering av kommunalt avfall / Kärl 660 l (restavfall)</x:v>
      </x:c>
      <x:c r="J62" s="877" t="str">
        <x:v>KÄ660RE12DH</x:v>
      </x:c>
      <x:c r="K62" s="877" t="str">
        <x:v>Kärl 660 l (restavfall). Hämtning månadsvis. Detaljhandel</x:v>
      </x:c>
      <x:c r="L62" s="877" t="str">
        <x:v>RENH</x:v>
      </x:c>
      <x:c r="M62" s="877" t="str">
        <x:v>HUSH</x:v>
      </x:c>
      <x:c r="N62" s="877" t="n">
        <x:v>1</x:v>
      </x:c>
      <x:c r="O62" s="877" t="str">
        <x:v>ÅRKV</x:v>
      </x:c>
      <x:c r="P62" s="877" t="str">
        <x:v>Kärl 660 l (restavfall) Hämtning månadsvis</x:v>
      </x:c>
      <x:c r="Q62" s="877"/>
      <x:c r="R62" s="877"/>
      <x:c r="S62" s="877"/>
      <x:c r="T62" s="877"/>
      <x:c r="U62" s="877" t="n">
        <x:v>0</x:v>
      </x:c>
      <x:c r="V62" s="877"/>
      <x:c r="W62" s="877" t="str">
        <x:v>-</x:v>
      </x:c>
      <x:c r="X62" s="877" t="n">
        <x:v>1</x:v>
      </x:c>
      <x:c r="Y62" s="883" t="str">
        <x:v>ANTB</x:v>
      </x:c>
    </x:row>
    <x:row r="63">
      <x:c r="A63" s="882" t="str">
        <x:v>§2.2.6</x:v>
      </x:c>
      <x:c r="B63" s="875" t="n">
        <x:v>77</x:v>
      </x:c>
      <x:c r="C63" s="875" t="n">
        <x:v>98</x:v>
      </x:c>
      <x:c r="D63" s="875" t="str">
        <x:v>Kärl 140 l (matavfall) Hämtning varje vecka</x:v>
      </x:c>
      <x:c r="E63" s="875" t="str">
        <x:v>Saknas i EDP – föreslagen ny taxa</x:v>
      </x:c>
      <x:c r="F63" s="875" t="str">
        <x:v>Kodförslag baserat på DH-regel: detaljhandel med beviljad hantering av kommunalt avfall</x:v>
      </x:c>
      <x:c r="G63" s="876" t="str">
        <x:v>KÄ140MA52DH</x:v>
      </x:c>
      <x:c r="H63" s="875" t="n">
        <x:v>98</x:v>
      </x:c>
      <x:c r="I63" s="875" t="str">
        <x:v>Hämtningsavgift per år för verksamhet inom detaljhandeln med beviljad hantering av kommunalt avfall / Kärl 140 l (matavfall)</x:v>
      </x:c>
      <x:c r="J63" s="877" t="str">
        <x:v>KÄ140MA52DH</x:v>
      </x:c>
      <x:c r="K63" s="877" t="str">
        <x:v>Kärl 140L, matavfall. Varje vecka. Detaljhandel</x:v>
      </x:c>
      <x:c r="L63" s="877" t="str">
        <x:v>RENH</x:v>
      </x:c>
      <x:c r="M63" s="877" t="str">
        <x:v>HUSH</x:v>
      </x:c>
      <x:c r="N63" s="877" t="n">
        <x:v>1</x:v>
      </x:c>
      <x:c r="O63" s="877" t="str">
        <x:v>KVAN</x:v>
      </x:c>
      <x:c r="P63" s="877" t="str">
        <x:v>Kärl 140L, matavfall. Varje vecka</x:v>
      </x:c>
      <x:c r="Q63" s="877"/>
      <x:c r="R63" s="877"/>
      <x:c r="S63" s="877" t="n">
        <x:v>4.8</x:v>
      </x:c>
      <x:c r="T63" s="878" t="n">
        <x:v>46023</x:v>
      </x:c>
      <x:c r="U63" s="877" t="n">
        <x:v>0</x:v>
      </x:c>
      <x:c r="V63" s="877"/>
      <x:c r="W63" s="877" t="str">
        <x:v>-</x:v>
      </x:c>
      <x:c r="X63" s="877" t="n">
        <x:v>1</x:v>
      </x:c>
      <x:c r="Y63" s="883" t="str">
        <x:v>ANTB</x:v>
      </x:c>
    </x:row>
    <x:row r="64">
      <x:c r="A64" s="882" t="str">
        <x:v>§2.2.6</x:v>
      </x:c>
      <x:c r="B64" s="875" t="n">
        <x:v>78</x:v>
      </x:c>
      <x:c r="C64" s="875" t="n">
        <x:v>99</x:v>
      </x:c>
      <x:c r="D64" s="875" t="str">
        <x:v>Kärl 140 l (matavfall) Hämtning var 14:e dag</x:v>
      </x:c>
      <x:c r="E64" s="875" t="str">
        <x:v>Saknas i EDP – föreslagen ny taxa</x:v>
      </x:c>
      <x:c r="F64" s="875" t="str">
        <x:v>Kodförslag baserat på DH-regel: detaljhandel med beviljad hantering av kommunalt avfall</x:v>
      </x:c>
      <x:c r="G64" s="876" t="str">
        <x:v>KÄ140MA26DH</x:v>
      </x:c>
      <x:c r="H64" s="875" t="n">
        <x:v>99</x:v>
      </x:c>
      <x:c r="I64" s="875" t="str">
        <x:v>Hämtningsavgift per år för verksamhet inom detaljhandeln med beviljad hantering av kommunalt avfall / Kärl 140 l (matavfall)</x:v>
      </x:c>
      <x:c r="J64" s="877" t="str">
        <x:v>KÄ140MA26DH</x:v>
      </x:c>
      <x:c r="K64" s="877" t="str">
        <x:v>Kärl 140L, matavfall. Var 14:e dag. Detaljhandel</x:v>
      </x:c>
      <x:c r="L64" s="877" t="str">
        <x:v>RENH</x:v>
      </x:c>
      <x:c r="M64" s="877" t="str">
        <x:v>HUSH</x:v>
      </x:c>
      <x:c r="N64" s="877" t="n">
        <x:v>1</x:v>
      </x:c>
      <x:c r="O64" s="877" t="str">
        <x:v>KVAN</x:v>
      </x:c>
      <x:c r="P64" s="877" t="str">
        <x:v>Kärl 140L, matavfall. Var 14:e dag</x:v>
      </x:c>
      <x:c r="Q64" s="877"/>
      <x:c r="R64" s="877"/>
      <x:c r="S64" s="877" t="n">
        <x:v>4.8</x:v>
      </x:c>
      <x:c r="T64" s="878" t="n">
        <x:v>46023</x:v>
      </x:c>
      <x:c r="U64" s="877" t="n">
        <x:v>0</x:v>
      </x:c>
      <x:c r="V64" s="877"/>
      <x:c r="W64" s="877" t="str">
        <x:v>-</x:v>
      </x:c>
      <x:c r="X64" s="877" t="n">
        <x:v>1</x:v>
      </x:c>
      <x:c r="Y64" s="883" t="str">
        <x:v>ANTB</x:v>
      </x:c>
    </x:row>
    <x:row r="65">
      <x:c r="A65" s="882" t="str">
        <x:v>§2.2.6</x:v>
      </x:c>
      <x:c r="B65" s="875" t="n">
        <x:v>79</x:v>
      </x:c>
      <x:c r="C65" s="875" t="n">
        <x:v>100</x:v>
      </x:c>
      <x:c r="D65" s="875" t="str">
        <x:v>Kärl 140 l (matavfall) Hämtning månadsvis</x:v>
      </x:c>
      <x:c r="E65" s="875" t="str">
        <x:v>Saknas i EDP – föreslagen ny taxa</x:v>
      </x:c>
      <x:c r="F65" s="875" t="str">
        <x:v>Kodförslag baserat på DH-regel: detaljhandel med beviljad hantering av kommunalt avfall</x:v>
      </x:c>
      <x:c r="G65" s="876" t="str">
        <x:v>KÄ140MA12DH</x:v>
      </x:c>
      <x:c r="H65" s="875" t="n">
        <x:v>100</x:v>
      </x:c>
      <x:c r="I65" s="875" t="str">
        <x:v>Hämtningsavgift per år för verksamhet inom detaljhandeln med beviljad hantering av kommunalt avfall / Kärl 140 l (matavfall)</x:v>
      </x:c>
      <x:c r="J65" s="877" t="str">
        <x:v>KÄ140MA12DH</x:v>
      </x:c>
      <x:c r="K65" s="877" t="str">
        <x:v>Kärl 140 l (matavfall). Hämtning månadsvis. Detaljhandel</x:v>
      </x:c>
      <x:c r="L65" s="877" t="str">
        <x:v>RENH</x:v>
      </x:c>
      <x:c r="M65" s="877" t="str">
        <x:v>HUSH</x:v>
      </x:c>
      <x:c r="N65" s="877" t="n">
        <x:v>1</x:v>
      </x:c>
      <x:c r="O65" s="877" t="str">
        <x:v>ÅRKV</x:v>
      </x:c>
      <x:c r="P65" s="877" t="str">
        <x:v>Kärl 140 l (matavfall) Hämtning månadsvis</x:v>
      </x:c>
      <x:c r="Q65" s="877"/>
      <x:c r="R65" s="877"/>
      <x:c r="S65" s="877"/>
      <x:c r="T65" s="877"/>
      <x:c r="U65" s="877" t="n">
        <x:v>0</x:v>
      </x:c>
      <x:c r="V65" s="877"/>
      <x:c r="W65" s="877" t="str">
        <x:v>-</x:v>
      </x:c>
      <x:c r="X65" s="877" t="n">
        <x:v>1</x:v>
      </x:c>
      <x:c r="Y65" s="883" t="str">
        <x:v>ANTB</x:v>
      </x:c>
    </x:row>
    <x:row r="66">
      <x:c r="A66" s="882" t="str">
        <x:v>§2.2.6</x:v>
      </x:c>
      <x:c r="B66" s="875" t="n">
        <x:v>80</x:v>
      </x:c>
      <x:c r="C66" s="875" t="n">
        <x:v>101</x:v>
      </x:c>
      <x:c r="D66" s="875" t="str">
        <x:v>Bottentömmande behållare (mat-/restavfall) Avgift per tömning</x:v>
      </x:c>
      <x:c r="E66" s="875" t="str">
        <x:v>Saknas i EDP – föreslagen ny taxa</x:v>
      </x:c>
      <x:c r="F66" s="875" t="str">
        <x:v>Kodförslag uppdaterat enligt regel: detaljhandel använder DH-suffix och bottentömmande använder MB-prefix</x:v>
      </x:c>
      <x:c r="G66" s="876" t="str">
        <x:v>MBRMDH</x:v>
      </x:c>
      <x:c r="H66" s="875" t="n">
        <x:v>101</x:v>
      </x:c>
      <x:c r="I66" s="875" t="str">
        <x:v>Hämtningsavgift per år för verksamhet inom detaljhandeln med beviljad hantering av kommunalt avfall / Bottentömmande behållare (mat-/restavfall)</x:v>
      </x:c>
      <x:c r="J66" s="877" t="str">
        <x:v>MBRMDH</x:v>
      </x:c>
      <x:c r="K66" s="877" t="str">
        <x:v>Bottentömmande/markbehållare (mat-/restavfall). Avgift per tömning. Detaljhandel</x:v>
      </x:c>
      <x:c r="L66" s="877" t="str">
        <x:v>RENH</x:v>
      </x:c>
      <x:c r="M66" s="877" t="str">
        <x:v>HUSH</x:v>
      </x:c>
      <x:c r="N66" s="877" t="n">
        <x:v>1</x:v>
      </x:c>
      <x:c r="O66" s="877" t="str">
        <x:v>ÅRKV</x:v>
      </x:c>
      <x:c r="P66" s="877" t="str">
        <x:v>Bottentömmande/markbehållare (mat-/restavfall). Avgift per tömning. Detaljhandel</x:v>
      </x:c>
      <x:c r="Q66" s="877"/>
      <x:c r="R66" s="877"/>
      <x:c r="S66" s="877"/>
      <x:c r="T66" s="877"/>
      <x:c r="U66" s="877" t="n">
        <x:v>0</x:v>
      </x:c>
      <x:c r="V66" s="877"/>
      <x:c r="W66" s="877" t="str">
        <x:v>-</x:v>
      </x:c>
      <x:c r="X66" s="877" t="n">
        <x:v>1</x:v>
      </x:c>
      <x:c r="Y66" s="883" t="str">
        <x:v>ANTL</x:v>
      </x:c>
    </x:row>
    <x:row r="67">
      <x:c r="A67" s="882" t="str">
        <x:v>§2.2.6</x:v>
      </x:c>
      <x:c r="B67" s="875" t="n">
        <x:v>81</x:v>
      </x:c>
      <x:c r="C67" s="875" t="n">
        <x:v>102</x:v>
      </x:c>
      <x:c r="D67" s="875" t="str">
        <x:v>Lastväxlarflak (restavfall) Avgift per tömning</x:v>
      </x:c>
      <x:c r="E67" s="875" t="str">
        <x:v>Saknas i EDP – föreslagen ny taxa</x:v>
      </x:c>
      <x:c r="F67" s="875" t="str">
        <x:v>Kodförslag uppdaterat enligt regel: detaljhandel använder DH-suffix och bottentömmande använder MB-prefix</x:v>
      </x:c>
      <x:c r="G67" s="876" t="str">
        <x:v>LVREDH</x:v>
      </x:c>
      <x:c r="H67" s="875" t="n">
        <x:v>102</x:v>
      </x:c>
      <x:c r="I67" s="875" t="str">
        <x:v>Hämtningsavgift per år för verksamhet inom detaljhandeln med beviljad hantering av kommunalt avfall / Lastväxlarflak (restavfall)</x:v>
      </x:c>
      <x:c r="J67" s="877" t="str">
        <x:v>LVREDH</x:v>
      </x:c>
      <x:c r="K67" s="877" t="str">
        <x:v>Lastväxlarflak (restavfall). Avgift per tömning. Detaljhandel</x:v>
      </x:c>
      <x:c r="L67" s="877" t="str">
        <x:v>RENH</x:v>
      </x:c>
      <x:c r="M67" s="877" t="str">
        <x:v>HUSH</x:v>
      </x:c>
      <x:c r="N67" s="877" t="n">
        <x:v>1</x:v>
      </x:c>
      <x:c r="O67" s="877" t="str">
        <x:v>ÅRKV</x:v>
      </x:c>
      <x:c r="P67" s="877" t="str">
        <x:v>Lastväxlarflak (restavfall). Avgift per tömning. Detaljhandel</x:v>
      </x:c>
      <x:c r="Q67" s="877"/>
      <x:c r="R67" s="877"/>
      <x:c r="S67" s="877"/>
      <x:c r="T67" s="877"/>
      <x:c r="U67" s="877" t="n">
        <x:v>0</x:v>
      </x:c>
      <x:c r="V67" s="877"/>
      <x:c r="W67" s="877" t="str">
        <x:v>-</x:v>
      </x:c>
      <x:c r="X67" s="877" t="n">
        <x:v>1</x:v>
      </x:c>
      <x:c r="Y67" s="883" t="str">
        <x:v>ANTL</x:v>
      </x:c>
    </x:row>
    <x:row r="68">
      <x:c r="A68" s="882" t="str">
        <x:v>§2.2.6</x:v>
      </x:c>
      <x:c r="B68" s="875" t="n">
        <x:v>82</x:v>
      </x:c>
      <x:c r="C68" s="875" t="n">
        <x:v>103</x:v>
      </x:c>
      <x:c r="D68" s="875" t="str">
        <x:v>Bottentömmande behållare (mat-/restavfall) Tillägg för två tömningar per vecka</x:v>
      </x:c>
      <x:c r="E68" s="875" t="str">
        <x:v>Saknas i EDP – föreslagen ny taxa</x:v>
      </x:c>
      <x:c r="F68" s="875" t="str">
        <x:v>Kodförslag uppdaterat enligt regel: detaljhandel använder DH-suffix och bottentömmande använder MB-prefix</x:v>
      </x:c>
      <x:c r="G68" s="876" t="str">
        <x:v>MBRM2VDH</x:v>
      </x:c>
      <x:c r="H68" s="875" t="n">
        <x:v>103</x:v>
      </x:c>
      <x:c r="I68" s="875" t="str">
        <x:v>Hämtningsavgift per år för verksamhet inom detaljhandeln med beviljad hantering av kommunalt avfall / Bottentömmande behållare (mat-/restavfall)</x:v>
      </x:c>
      <x:c r="J68" s="877" t="str">
        <x:v>MBRM2VDH</x:v>
      </x:c>
      <x:c r="K68" s="877" t="str">
        <x:v>Bottentömmande/markbehållare (mat-/restavfall). Tillägg för två tömningar per vecka. Detaljhandel</x:v>
      </x:c>
      <x:c r="L68" s="877" t="str">
        <x:v>RENH</x:v>
      </x:c>
      <x:c r="M68" s="877" t="str">
        <x:v>HUSH</x:v>
      </x:c>
      <x:c r="N68" s="877" t="n">
        <x:v>1</x:v>
      </x:c>
      <x:c r="O68" s="877" t="str">
        <x:v>ÅRKV</x:v>
      </x:c>
      <x:c r="P68" s="877" t="str">
        <x:v>Bottentömmande/markbehållare (mat-/restavfall). Tillägg för två tömningar per vecka. Detaljhandel</x:v>
      </x:c>
      <x:c r="Q68" s="877"/>
      <x:c r="R68" s="877"/>
      <x:c r="S68" s="877"/>
      <x:c r="T68" s="877"/>
      <x:c r="U68" s="877" t="n">
        <x:v>0</x:v>
      </x:c>
      <x:c r="V68" s="877"/>
      <x:c r="W68" s="877" t="str">
        <x:v>-</x:v>
      </x:c>
      <x:c r="X68" s="877" t="n">
        <x:v>1</x:v>
      </x:c>
      <x:c r="Y68" s="883" t="str">
        <x:v>ANTL</x:v>
      </x:c>
    </x:row>
    <x:row r="69">
      <x:c r="A69" s="884" t="str">
        <x:v>§2.2.1</x:v>
      </x:c>
      <x:c r="B69" s="798"/>
      <x:c r="C69" s="798" t="n">
        <x:v>22</x:v>
      </x:c>
      <x:c r="D69" s="798" t="str">
        <x:v>Kärl 370 l (papper-/plastförpackningar) Kostnadsfritt</x:v>
      </x:c>
      <x:c r="E69" s="798" t="str">
        <x:v>Saknas i EDP – kostnadsfri rad från Word</x:v>
      </x:c>
      <x:c r="F69" s="798" t="str">
        <x:v>Kodförslag baserat på kostnadsfri rad i Word och FP-regel</x:v>
      </x:c>
      <x:c r="G69" s="799" t="str">
        <x:v>KÄ370FP</x:v>
      </x:c>
      <x:c r="H69" s="798" t="n">
        <x:v>22</x:v>
      </x:c>
      <x:c r="I69" s="798" t="str">
        <x:v>Hämtningsavgift per år för en- och tvåbostadshus / Kärl 370 l (papper-/plastförpackningar)</x:v>
      </x:c>
      <x:c r="J69" s="800" t="str">
        <x:v>KÄ370FP</x:v>
      </x:c>
      <x:c r="K69" s="800" t="str">
        <x:v>Kärl 370 l (papper-/plastförpackningar). Kostnadsfritt</x:v>
      </x:c>
      <x:c r="L69" s="800" t="str">
        <x:v>RENH</x:v>
      </x:c>
      <x:c r="M69" s="800" t="str">
        <x:v>HUSH</x:v>
      </x:c>
      <x:c r="N69" s="800" t="n">
        <x:v>1</x:v>
      </x:c>
      <x:c r="O69" s="800" t="str">
        <x:v>ÅRKV</x:v>
      </x:c>
      <x:c r="P69" s="800" t="str">
        <x:v>Kärl 370 l (papper-/plastförpackningar) Kostnadsfritt</x:v>
      </x:c>
      <x:c r="Q69" s="800"/>
      <x:c r="R69" s="800"/>
      <x:c r="S69" s="800"/>
      <x:c r="T69" s="800"/>
      <x:c r="U69" s="800" t="n">
        <x:v>0</x:v>
      </x:c>
      <x:c r="V69" s="800"/>
      <x:c r="W69" s="800" t="str">
        <x:v>-</x:v>
      </x:c>
      <x:c r="X69" s="800" t="n">
        <x:v>1</x:v>
      </x:c>
      <x:c r="Y69" s="885" t="str">
        <x:v>ANTB</x:v>
      </x:c>
    </x:row>
    <x:row r="70">
      <x:c r="A70" s="884" t="str">
        <x:v>§2.2.2</x:v>
      </x:c>
      <x:c r="B70" s="798"/>
      <x:c r="C70" s="798" t="n">
        <x:v>29</x:v>
      </x:c>
      <x:c r="D70" s="798" t="str">
        <x:v>Kärl 370 l (papper-/plastförpackningar) Kostnadsfritt</x:v>
      </x:c>
      <x:c r="E70" s="798" t="str">
        <x:v>Saknas i EDP – kostnadsfri rad från Word</x:v>
      </x:c>
      <x:c r="F70" s="798" t="str">
        <x:v>Kodförslag baserat på kostnadsfri rad i Word, FP-regel och FRI-suffix</x:v>
      </x:c>
      <x:c r="G70" s="799" t="str">
        <x:v>KÄ370FPFRI</x:v>
      </x:c>
      <x:c r="H70" s="798" t="n">
        <x:v>29</x:v>
      </x:c>
      <x:c r="I70" s="798" t="str">
        <x:v>Hämtningsavgift per år för fritidshus / Kärl 370 l (papper-/plastförpackningar)</x:v>
      </x:c>
      <x:c r="J70" s="800" t="str">
        <x:v>KÄ370FPFRI</x:v>
      </x:c>
      <x:c r="K70" s="800" t="str">
        <x:v>Kärl 370 l (papper-/plastförpackningar). Kostnadsfritt. Fritidshus</x:v>
      </x:c>
      <x:c r="L70" s="800" t="str">
        <x:v>RENH</x:v>
      </x:c>
      <x:c r="M70" s="800" t="str">
        <x:v>HUSH</x:v>
      </x:c>
      <x:c r="N70" s="800" t="n">
        <x:v>1</x:v>
      </x:c>
      <x:c r="O70" s="800" t="str">
        <x:v>ÅRKV</x:v>
      </x:c>
      <x:c r="P70" s="800" t="str">
        <x:v>Kärl 370 l (papper-/plastförpackningar) Kostnadsfritt</x:v>
      </x:c>
      <x:c r="Q70" s="800"/>
      <x:c r="R70" s="800"/>
      <x:c r="S70" s="800"/>
      <x:c r="T70" s="800"/>
      <x:c r="U70" s="800" t="n">
        <x:v>0</x:v>
      </x:c>
      <x:c r="V70" s="800"/>
      <x:c r="W70" s="800" t="str">
        <x:v>-</x:v>
      </x:c>
      <x:c r="X70" s="800" t="n">
        <x:v>1</x:v>
      </x:c>
      <x:c r="Y70" s="885" t="str">
        <x:v>ANTB</x:v>
      </x:c>
    </x:row>
    <x:row r="71">
      <x:c r="A71" s="884" t="str">
        <x:v>§2.2.3</x:v>
      </x:c>
      <x:c r="B71" s="798"/>
      <x:c r="C71" s="798" t="n">
        <x:v>33</x:v>
      </x:c>
      <x:c r="D71" s="798" t="str">
        <x:v>Gemensam uppsamlingsplats för förpackningar Kostnadsfritt</x:v>
      </x:c>
      <x:c r="E71" s="798" t="str">
        <x:v>Saknas i EDP – kostnadsfri rad från Word</x:v>
      </x:c>
      <x:c r="F71" s="798" t="str">
        <x:v>Kodförslag baserat på GEMUPP-regel och förpackningar</x:v>
      </x:c>
      <x:c r="G71" s="799" t="str">
        <x:v>GEMUPPFPFRI</x:v>
      </x:c>
      <x:c r="H71" s="798" t="n">
        <x:v>33</x:v>
      </x:c>
      <x:c r="I71" s="798" t="str">
        <x:v>Gemensam uppsamlingsplats inom hämtningsområde X / Gemensam uppsamlingsplats för förpackningar</x:v>
      </x:c>
      <x:c r="J71" s="800" t="str">
        <x:v>GEMUPPFPFRI</x:v>
      </x:c>
      <x:c r="K71" s="800" t="str">
        <x:v>Gemensam uppsamlingsplats för förpackningar. Kostnadsfritt</x:v>
      </x:c>
      <x:c r="L71" s="800" t="str">
        <x:v>RENH</x:v>
      </x:c>
      <x:c r="M71" s="800" t="str">
        <x:v>HUSH</x:v>
      </x:c>
      <x:c r="N71" s="800" t="n">
        <x:v>1</x:v>
      </x:c>
      <x:c r="O71" s="800" t="str">
        <x:v>ÅRKV</x:v>
      </x:c>
      <x:c r="P71" s="800" t="str">
        <x:v>Gemensam uppsamlingsplats för förpackningar Kostnadsfritt</x:v>
      </x:c>
      <x:c r="Q71" s="800"/>
      <x:c r="R71" s="800"/>
      <x:c r="S71" s="800"/>
      <x:c r="T71" s="800"/>
      <x:c r="U71" s="800" t="n">
        <x:v>0</x:v>
      </x:c>
      <x:c r="V71" s="800"/>
      <x:c r="W71" s="800" t="str">
        <x:v>-</x:v>
      </x:c>
      <x:c r="X71" s="800" t="n">
        <x:v>1</x:v>
      </x:c>
      <x:c r="Y71" s="885" t="str">
        <x:v>FAST</x:v>
      </x:c>
    </x:row>
    <x:row r="72">
      <x:c r="A72" s="1116" t="str">
        <x:v>§2.2.7</x:v>
      </x:c>
      <x:c r="B72" s="1117" t="n">
        <x:v>83</x:v>
      </x:c>
      <x:c r="C72" s="1117" t="n">
        <x:v>106</x:v>
      </x:c>
      <x:c r="D72" s="1117" t="str">
        <x:v>Kärl 140 l (kontors-/returpapper)</x:v>
      </x:c>
      <x:c r="E72" s="1117" t="str">
        <x:v>Saknas i EDP – föreslagen ny taxa</x:v>
      </x:c>
      <x:c r="F72" s="1117" t="str">
        <x:v>Kodförslag baserat på TI-regel: tidningar/returpapper, utökat till kontors-/returpapper enligt Word</x:v>
      </x:c>
      <x:c r="G72" s="1118" t="str">
        <x:v>KÄ140TI</x:v>
      </x:c>
      <x:c r="H72" s="1119" t="n">
        <x:v>106</x:v>
      </x:c>
      <x:c r="I72" s="1119" t="str">
        <x:v>Verksamheter med beviljad hantering av förbrukat matfett, kontorspapper eller returpapper / Kärl 140 l (kontors-/returpapper)</x:v>
      </x:c>
      <x:c r="J72" s="1119" t="str">
        <x:v>KÄ140TI</x:v>
      </x:c>
      <x:c r="K72" s="1119" t="str">
        <x:v>Kärl 140 l (kontors-/returpapper)</x:v>
      </x:c>
      <x:c r="L72" s="1119" t="str">
        <x:v>RENH</x:v>
      </x:c>
      <x:c r="M72" s="1119" t="str">
        <x:v>HUSH</x:v>
      </x:c>
      <x:c r="N72" s="1119" t="n">
        <x:v>1</x:v>
      </x:c>
      <x:c r="O72" s="1119" t="str">
        <x:v>ÅRKV</x:v>
      </x:c>
      <x:c r="P72" s="1119" t="str">
        <x:v>Kärl 140 l (kontors-/returpapper)</x:v>
      </x:c>
      <x:c r="Q72" s="1119"/>
      <x:c r="R72" s="1119"/>
      <x:c r="S72" s="1119"/>
      <x:c r="T72" s="1119"/>
      <x:c r="U72" s="1119" t="n">
        <x:v>0</x:v>
      </x:c>
      <x:c r="V72" s="1119"/>
      <x:c r="W72" s="1119" t="str">
        <x:v>-</x:v>
      </x:c>
      <x:c r="X72" s="1119" t="n">
        <x:v>1</x:v>
      </x:c>
      <x:c r="Y72" s="1120" t="str">
        <x:v>ANTB</x:v>
      </x:c>
    </x:row>
    <x:row r="73">
      <x:c r="A73" s="884" t="str">
        <x:v>§2.2.7</x:v>
      </x:c>
      <x:c r="B73" s="798" t="n">
        <x:v>84</x:v>
      </x:c>
      <x:c r="C73" s="798" t="n">
        <x:v>107</x:v>
      </x:c>
      <x:c r="D73" s="798" t="str">
        <x:v>Egen överlämning av förbrukat kontors-/returpapper enligt anvisning</x:v>
      </x:c>
      <x:c r="E73" s="798" t="str">
        <x:v>Saknas i EDP – föreslagen ny taxa</x:v>
      </x:c>
      <x:c r="F73" s="798" t="str">
        <x:v>Kodförslag baserat på Wordtext: egen överlämning kontors-/returpapper</x:v>
      </x:c>
      <x:c r="G73" s="799" t="str">
        <x:v>EGENKONTRET</x:v>
      </x:c>
      <x:c r="H73" s="800" t="n">
        <x:v>107</x:v>
      </x:c>
      <x:c r="I73" s="800" t="str">
        <x:v>Verksamheter med beviljad hantering av förbrukat matfett, kontorspapper eller returpapper / Egen överlämning av förbrukat kontors-/returpapper enligt anvisning</x:v>
      </x:c>
      <x:c r="J73" s="800" t="str">
        <x:v>EGENKONTRET</x:v>
      </x:c>
      <x:c r="K73" s="800" t="str">
        <x:v>Egen överlämning av förbrukat kontors-/returpapper enligt anvisning</x:v>
      </x:c>
      <x:c r="L73" s="800" t="str">
        <x:v>RENH</x:v>
      </x:c>
      <x:c r="M73" s="800" t="str">
        <x:v>HUSH</x:v>
      </x:c>
      <x:c r="N73" s="800" t="n">
        <x:v>1</x:v>
      </x:c>
      <x:c r="O73" s="800" t="str">
        <x:v>ÅRKV</x:v>
      </x:c>
      <x:c r="P73" s="800" t="str">
        <x:v>Egen överlämning av förbrukat kontors-/returpapper enligt anvisning</x:v>
      </x:c>
      <x:c r="Q73" s="800"/>
      <x:c r="R73" s="800"/>
      <x:c r="S73" s="800"/>
      <x:c r="T73" s="800"/>
      <x:c r="U73" s="800" t="n">
        <x:v>0</x:v>
      </x:c>
      <x:c r="V73" s="800"/>
      <x:c r="W73" s="800" t="str">
        <x:v>-</x:v>
      </x:c>
      <x:c r="X73" s="800" t="n">
        <x:v>1</x:v>
      </x:c>
      <x:c r="Y73" s="885" t="str">
        <x:v>ANTL</x:v>
      </x:c>
    </x:row>
    <x:row r="74">
      <x:c r="A74" s="886" t="str">
        <x:v>§2.2.7</x:v>
      </x:c>
      <x:c r="B74" s="887" t="n">
        <x:v>85</x:v>
      </x:c>
      <x:c r="C74" s="887" t="n">
        <x:v>108</x:v>
      </x:c>
      <x:c r="D74" s="887" t="str">
        <x:v>Egen överlämning av förbrukat matfett enligt anvisning</x:v>
      </x:c>
      <x:c r="E74" s="887" t="str">
        <x:v>Saknas i EDP – föreslagen ny taxa</x:v>
      </x:c>
      <x:c r="F74" s="887" t="str">
        <x:v>Kodförslag baserat på Wordtext: egen överlämning förbrukat matfett</x:v>
      </x:c>
      <x:c r="G74" s="888" t="str">
        <x:v>EGENMATFETT</x:v>
      </x:c>
      <x:c r="H74" s="889" t="n">
        <x:v>108</x:v>
      </x:c>
      <x:c r="I74" s="889" t="str">
        <x:v>Verksamheter med beviljad hantering av förbrukat matfett, kontorspapper eller returpapper / Egen överlämning av förbrukat matfett enligt anvisning</x:v>
      </x:c>
      <x:c r="J74" s="889" t="str">
        <x:v>EGENMATFETT</x:v>
      </x:c>
      <x:c r="K74" s="889" t="str">
        <x:v>Egen överlämning av förbrukat matfett enligt anvisning</x:v>
      </x:c>
      <x:c r="L74" s="889" t="str">
        <x:v>RENH</x:v>
      </x:c>
      <x:c r="M74" s="889" t="str">
        <x:v>HUSH</x:v>
      </x:c>
      <x:c r="N74" s="889" t="n">
        <x:v>1</x:v>
      </x:c>
      <x:c r="O74" s="889" t="str">
        <x:v>ÅRKV</x:v>
      </x:c>
      <x:c r="P74" s="889" t="str">
        <x:v>Egen överlämning av förbrukat matfett enligt anvisning</x:v>
      </x:c>
      <x:c r="Q74" s="889"/>
      <x:c r="R74" s="889"/>
      <x:c r="S74" s="889"/>
      <x:c r="T74" s="889"/>
      <x:c r="U74" s="889" t="n">
        <x:v>0</x:v>
      </x:c>
      <x:c r="V74" s="889"/>
      <x:c r="W74" s="889" t="str">
        <x:v>-</x:v>
      </x:c>
      <x:c r="X74" s="889" t="n">
        <x:v>1</x:v>
      </x:c>
      <x:c r="Y74" s="890" t="str">
        <x:v>ANTL</x:v>
      </x:c>
    </x:row>
    <x:row r="75">
      <x:c r="A75" s="884" t="str">
        <x:f>IF($C75="","",INDEX(Taxepunkter!$A:$A,$C75))</x:f>
      </x:c>
      <x:c r="B75" s="798"/>
      <x:c r="C75" s="798"/>
      <x:c r="D75" s="798" t="str">
        <x:f>IF($C75="","",TEXTJOIN(" ",TRUE,INDEX(Taxepunkter!$C:$C,$C75),INDEX(Taxepunkter!$D:$D,$C75)))</x:f>
      </x:c>
      <x:c r="E75" s="798" t="str">
        <x:f>IF($C75="","","Saknas i EDP – föreslagen ny taxa")</x:f>
      </x:c>
      <x:c r="F75" s="798" t="str">
        <x:f>IF($C75="","","Automatiserad mall: fyll Rad i Taxepunkter och FöreslagenTaxekod")</x:f>
      </x:c>
      <x:c r="G75" s="799"/>
      <x:c r="H75" s="800" t="str">
        <x:f>IF($C75="","",$C75)</x:f>
      </x:c>
      <x:c r="I75" s="800" t="str">
        <x:f>IF($C75="","",INDEX(Taxepunkter!$B:$B,$C75)&amp;" / "&amp;INDEX(Taxepunkter!$C:$C,$C75))</x:f>
      </x:c>
      <x:c r="J75" s="800" t="str">
        <x:f>IF($G75="","",$G75)</x:f>
      </x:c>
      <x:c r="K75" s="800" t="str">
        <x:f>IF($C75="","",INDEX(Taxepunkter!$C:$C,$C75)&amp;IF(INDEX(Taxepunkter!$D:$D,$C75)="","",". "&amp;INDEX(Taxepunkter!$D:$D,$C75)))</x:f>
      </x:c>
      <x:c r="L75" s="800" t="str">
        <x:f>IF($C75="","","RENH")</x:f>
      </x:c>
      <x:c r="M75" s="800" t="str">
        <x:f>IF($C75="","","HUSH")</x:f>
      </x:c>
      <x:c r="N75" s="800" t="str">
        <x:f>IF($C75="","",1)</x:f>
      </x:c>
      <x:c r="O75" s="800" t="str">
        <x:f>IF($C75="","","ÅRKV")</x:f>
      </x:c>
      <x:c r="P75" s="800" t="str">
        <x:f>IF($C75="","",TEXTJOIN(" ",TRUE,INDEX(Taxepunkter!$C:$C,$C75),INDEX(Taxepunkter!$D:$D,$C75)))</x:f>
      </x:c>
      <x:c r="Q75" s="800"/>
      <x:c r="R75" s="800"/>
      <x:c r="S75" s="800"/>
      <x:c r="T75" s="800"/>
      <x:c r="U75" s="800" t="str">
        <x:f>IF($C75="","",0)</x:f>
      </x:c>
      <x:c r="V75" s="800"/>
      <x:c r="W75" s="800" t="str">
        <x:f>IF($C75="","","-")</x:f>
      </x:c>
      <x:c r="X75" s="800" t="str">
        <x:f>IF($C75="","",1)</x:f>
      </x:c>
      <x:c r="Y75" s="885" t="str">
        <x:f>IF($C75="","","ANTB")</x:f>
      </x:c>
    </x:row>
    <x:row r="76">
      <x:c r="A76" s="884" t="str">
        <x:f>IF($C76="","",INDEX(Taxepunkter!$A:$A,$C76))</x:f>
      </x:c>
      <x:c r="B76" s="798"/>
      <x:c r="C76" s="798"/>
      <x:c r="D76" s="798" t="str">
        <x:f>IF($C76="","",TEXTJOIN(" ",TRUE,INDEX(Taxepunkter!$C:$C,$C76),INDEX(Taxepunkter!$D:$D,$C76)))</x:f>
      </x:c>
      <x:c r="E76" s="798" t="str">
        <x:f>IF($C76="","","Saknas i EDP – föreslagen ny taxa")</x:f>
      </x:c>
      <x:c r="F76" s="798" t="str">
        <x:f>IF($C76="","","Automatiserad mall: fyll Rad i Taxepunkter och FöreslagenTaxekod")</x:f>
      </x:c>
      <x:c r="G76" s="799"/>
      <x:c r="H76" s="800" t="str">
        <x:f>IF($C76="","",$C76)</x:f>
      </x:c>
      <x:c r="I76" s="800" t="str">
        <x:f>IF($C76="","",INDEX(Taxepunkter!$B:$B,$C76)&amp;" / "&amp;INDEX(Taxepunkter!$C:$C,$C76))</x:f>
      </x:c>
      <x:c r="J76" s="800" t="str">
        <x:f>IF($G76="","",$G76)</x:f>
      </x:c>
      <x:c r="K76" s="800" t="str">
        <x:f>IF($C76="","",INDEX(Taxepunkter!$C:$C,$C76)&amp;IF(INDEX(Taxepunkter!$D:$D,$C76)="","",". "&amp;INDEX(Taxepunkter!$D:$D,$C76)))</x:f>
      </x:c>
      <x:c r="L76" s="800" t="str">
        <x:f>IF($C76="","","RENH")</x:f>
      </x:c>
      <x:c r="M76" s="800" t="str">
        <x:f>IF($C76="","","HUSH")</x:f>
      </x:c>
      <x:c r="N76" s="800" t="str">
        <x:f>IF($C76="","",1)</x:f>
      </x:c>
      <x:c r="O76" s="800" t="str">
        <x:f>IF($C76="","","ÅRKV")</x:f>
      </x:c>
      <x:c r="P76" s="800" t="str">
        <x:f>IF($C76="","",TEXTJOIN(" ",TRUE,INDEX(Taxepunkter!$C:$C,$C76),INDEX(Taxepunkter!$D:$D,$C76)))</x:f>
      </x:c>
      <x:c r="Q76" s="800"/>
      <x:c r="R76" s="800"/>
      <x:c r="S76" s="800"/>
      <x:c r="T76" s="800"/>
      <x:c r="U76" s="800" t="str">
        <x:f>IF($C76="","",0)</x:f>
      </x:c>
      <x:c r="V76" s="800"/>
      <x:c r="W76" s="800" t="str">
        <x:f>IF($C76="","","-")</x:f>
      </x:c>
      <x:c r="X76" s="800" t="str">
        <x:f>IF($C76="","",1)</x:f>
      </x:c>
      <x:c r="Y76" s="885" t="str">
        <x:f>IF($C76="","","ANTB")</x:f>
      </x:c>
    </x:row>
    <x:row r="77">
      <x:c r="A77" s="884" t="str">
        <x:f>IF($C77="","",INDEX(Taxepunkter!$A:$A,$C77))</x:f>
      </x:c>
      <x:c r="B77" s="798"/>
      <x:c r="C77" s="798"/>
      <x:c r="D77" s="798" t="str">
        <x:f>IF($C77="","",TEXTJOIN(" ",TRUE,INDEX(Taxepunkter!$C:$C,$C77),INDEX(Taxepunkter!$D:$D,$C77)))</x:f>
      </x:c>
      <x:c r="E77" s="798" t="str">
        <x:f>IF($C77="","","Saknas i EDP – föreslagen ny taxa")</x:f>
      </x:c>
      <x:c r="F77" s="798" t="str">
        <x:f>IF($C77="","","Automatiserad mall: fyll Rad i Taxepunkter och FöreslagenTaxekod")</x:f>
      </x:c>
      <x:c r="G77" s="799"/>
      <x:c r="H77" s="800" t="str">
        <x:f>IF($C77="","",$C77)</x:f>
      </x:c>
      <x:c r="I77" s="800" t="str">
        <x:f>IF($C77="","",INDEX(Taxepunkter!$B:$B,$C77)&amp;" / "&amp;INDEX(Taxepunkter!$C:$C,$C77))</x:f>
      </x:c>
      <x:c r="J77" s="800" t="str">
        <x:f>IF($G77="","",$G77)</x:f>
      </x:c>
      <x:c r="K77" s="800" t="str">
        <x:f>IF($C77="","",INDEX(Taxepunkter!$C:$C,$C77)&amp;IF(INDEX(Taxepunkter!$D:$D,$C77)="","",". "&amp;INDEX(Taxepunkter!$D:$D,$C77)))</x:f>
      </x:c>
      <x:c r="L77" s="800" t="str">
        <x:f>IF($C77="","","RENH")</x:f>
      </x:c>
      <x:c r="M77" s="800" t="str">
        <x:f>IF($C77="","","HUSH")</x:f>
      </x:c>
      <x:c r="N77" s="800" t="str">
        <x:f>IF($C77="","",1)</x:f>
      </x:c>
      <x:c r="O77" s="800" t="str">
        <x:f>IF($C77="","","ÅRKV")</x:f>
      </x:c>
      <x:c r="P77" s="800" t="str">
        <x:f>IF($C77="","",TEXTJOIN(" ",TRUE,INDEX(Taxepunkter!$C:$C,$C77),INDEX(Taxepunkter!$D:$D,$C77)))</x:f>
      </x:c>
      <x:c r="Q77" s="800"/>
      <x:c r="R77" s="800"/>
      <x:c r="S77" s="800"/>
      <x:c r="T77" s="800"/>
      <x:c r="U77" s="800" t="str">
        <x:f>IF($C77="","",0)</x:f>
      </x:c>
      <x:c r="V77" s="800"/>
      <x:c r="W77" s="800" t="str">
        <x:f>IF($C77="","","-")</x:f>
      </x:c>
      <x:c r="X77" s="800" t="str">
        <x:f>IF($C77="","",1)</x:f>
      </x:c>
      <x:c r="Y77" s="885" t="str">
        <x:f>IF($C77="","","ANTB")</x:f>
      </x:c>
    </x:row>
    <x:row r="78">
      <x:c r="A78" s="884" t="str">
        <x:f>IF($C78="","",INDEX(Taxepunkter!$A:$A,$C78))</x:f>
      </x:c>
      <x:c r="B78" s="798"/>
      <x:c r="C78" s="798"/>
      <x:c r="D78" s="798" t="str">
        <x:f>IF($C78="","",TEXTJOIN(" ",TRUE,INDEX(Taxepunkter!$C:$C,$C78),INDEX(Taxepunkter!$D:$D,$C78)))</x:f>
      </x:c>
      <x:c r="E78" s="798" t="str">
        <x:f>IF($C78="","","Saknas i EDP – föreslagen ny taxa")</x:f>
      </x:c>
      <x:c r="F78" s="798" t="str">
        <x:f>IF($C78="","","Automatiserad mall: fyll Rad i Taxepunkter och FöreslagenTaxekod")</x:f>
      </x:c>
      <x:c r="G78" s="799"/>
      <x:c r="H78" s="800" t="str">
        <x:f>IF($C78="","",$C78)</x:f>
      </x:c>
      <x:c r="I78" s="800" t="str">
        <x:f>IF($C78="","",INDEX(Taxepunkter!$B:$B,$C78)&amp;" / "&amp;INDEX(Taxepunkter!$C:$C,$C78))</x:f>
      </x:c>
      <x:c r="J78" s="800" t="str">
        <x:f>IF($G78="","",$G78)</x:f>
      </x:c>
      <x:c r="K78" s="800" t="str">
        <x:f>IF($C78="","",INDEX(Taxepunkter!$C:$C,$C78)&amp;IF(INDEX(Taxepunkter!$D:$D,$C78)="","",". "&amp;INDEX(Taxepunkter!$D:$D,$C78)))</x:f>
      </x:c>
      <x:c r="L78" s="800" t="str">
        <x:f>IF($C78="","","RENH")</x:f>
      </x:c>
      <x:c r="M78" s="800" t="str">
        <x:f>IF($C78="","","HUSH")</x:f>
      </x:c>
      <x:c r="N78" s="800" t="str">
        <x:f>IF($C78="","",1)</x:f>
      </x:c>
      <x:c r="O78" s="800" t="str">
        <x:f>IF($C78="","","ÅRKV")</x:f>
      </x:c>
      <x:c r="P78" s="800" t="str">
        <x:f>IF($C78="","",TEXTJOIN(" ",TRUE,INDEX(Taxepunkter!$C:$C,$C78),INDEX(Taxepunkter!$D:$D,$C78)))</x:f>
      </x:c>
      <x:c r="Q78" s="800"/>
      <x:c r="R78" s="800"/>
      <x:c r="S78" s="800"/>
      <x:c r="T78" s="800"/>
      <x:c r="U78" s="800" t="str">
        <x:f>IF($C78="","",0)</x:f>
      </x:c>
      <x:c r="V78" s="800"/>
      <x:c r="W78" s="800" t="str">
        <x:f>IF($C78="","","-")</x:f>
      </x:c>
      <x:c r="X78" s="800" t="str">
        <x:f>IF($C78="","",1)</x:f>
      </x:c>
      <x:c r="Y78" s="885" t="str">
        <x:f>IF($C78="","","ANTB")</x:f>
      </x:c>
    </x:row>
    <x:row r="79">
      <x:c r="A79" s="884" t="str">
        <x:f>IF($C79="","",INDEX(Taxepunkter!$A:$A,$C79))</x:f>
      </x:c>
      <x:c r="B79" s="798"/>
      <x:c r="C79" s="798"/>
      <x:c r="D79" s="798" t="str">
        <x:f>IF($C79="","",TEXTJOIN(" ",TRUE,INDEX(Taxepunkter!$C:$C,$C79),INDEX(Taxepunkter!$D:$D,$C79)))</x:f>
      </x:c>
      <x:c r="E79" s="798" t="str">
        <x:f>IF($C79="","","Saknas i EDP – föreslagen ny taxa")</x:f>
      </x:c>
      <x:c r="F79" s="798" t="str">
        <x:f>IF($C79="","","Automatiserad mall: fyll Rad i Taxepunkter och FöreslagenTaxekod")</x:f>
      </x:c>
      <x:c r="G79" s="799"/>
      <x:c r="H79" s="800" t="str">
        <x:f>IF($C79="","",$C79)</x:f>
      </x:c>
      <x:c r="I79" s="800" t="str">
        <x:f>IF($C79="","",INDEX(Taxepunkter!$B:$B,$C79)&amp;" / "&amp;INDEX(Taxepunkter!$C:$C,$C79))</x:f>
      </x:c>
      <x:c r="J79" s="800" t="str">
        <x:f>IF($G79="","",$G79)</x:f>
      </x:c>
      <x:c r="K79" s="800" t="str">
        <x:f>IF($C79="","",INDEX(Taxepunkter!$C:$C,$C79)&amp;IF(INDEX(Taxepunkter!$D:$D,$C79)="","",". "&amp;INDEX(Taxepunkter!$D:$D,$C79)))</x:f>
      </x:c>
      <x:c r="L79" s="800" t="str">
        <x:f>IF($C79="","","RENH")</x:f>
      </x:c>
      <x:c r="M79" s="800" t="str">
        <x:f>IF($C79="","","HUSH")</x:f>
      </x:c>
      <x:c r="N79" s="800" t="str">
        <x:f>IF($C79="","",1)</x:f>
      </x:c>
      <x:c r="O79" s="800" t="str">
        <x:f>IF($C79="","","ÅRKV")</x:f>
      </x:c>
      <x:c r="P79" s="800" t="str">
        <x:f>IF($C79="","",TEXTJOIN(" ",TRUE,INDEX(Taxepunkter!$C:$C,$C79),INDEX(Taxepunkter!$D:$D,$C79)))</x:f>
      </x:c>
      <x:c r="Q79" s="800"/>
      <x:c r="R79" s="800"/>
      <x:c r="S79" s="800"/>
      <x:c r="T79" s="800"/>
      <x:c r="U79" s="800" t="str">
        <x:f>IF($C79="","",0)</x:f>
      </x:c>
      <x:c r="V79" s="800"/>
      <x:c r="W79" s="800" t="str">
        <x:f>IF($C79="","","-")</x:f>
      </x:c>
      <x:c r="X79" s="800" t="str">
        <x:f>IF($C79="","",1)</x:f>
      </x:c>
      <x:c r="Y79" s="885" t="str">
        <x:f>IF($C79="","","ANTB")</x:f>
      </x:c>
    </x:row>
    <x:row r="80">
      <x:c r="A80" s="884" t="str">
        <x:f>IF($C80="","",INDEX(Taxepunkter!$A:$A,$C80))</x:f>
      </x:c>
      <x:c r="B80" s="798"/>
      <x:c r="C80" s="798"/>
      <x:c r="D80" s="798" t="str">
        <x:f>IF($C80="","",TEXTJOIN(" ",TRUE,INDEX(Taxepunkter!$C:$C,$C80),INDEX(Taxepunkter!$D:$D,$C80)))</x:f>
      </x:c>
      <x:c r="E80" s="798" t="str">
        <x:f>IF($C80="","","Saknas i EDP – föreslagen ny taxa")</x:f>
      </x:c>
      <x:c r="F80" s="798" t="str">
        <x:f>IF($C80="","","Automatiserad mall: fyll Rad i Taxepunkter och FöreslagenTaxekod")</x:f>
      </x:c>
      <x:c r="G80" s="799"/>
      <x:c r="H80" s="800" t="str">
        <x:f>IF($C80="","",$C80)</x:f>
      </x:c>
      <x:c r="I80" s="800" t="str">
        <x:f>IF($C80="","",INDEX(Taxepunkter!$B:$B,$C80)&amp;" / "&amp;INDEX(Taxepunkter!$C:$C,$C80))</x:f>
      </x:c>
      <x:c r="J80" s="800" t="str">
        <x:f>IF($G80="","",$G80)</x:f>
      </x:c>
      <x:c r="K80" s="800" t="str">
        <x:f>IF($C80="","",INDEX(Taxepunkter!$C:$C,$C80)&amp;IF(INDEX(Taxepunkter!$D:$D,$C80)="","",". "&amp;INDEX(Taxepunkter!$D:$D,$C80)))</x:f>
      </x:c>
      <x:c r="L80" s="800" t="str">
        <x:f>IF($C80="","","RENH")</x:f>
      </x:c>
      <x:c r="M80" s="800" t="str">
        <x:f>IF($C80="","","HUSH")</x:f>
      </x:c>
      <x:c r="N80" s="800" t="str">
        <x:f>IF($C80="","",1)</x:f>
      </x:c>
      <x:c r="O80" s="800" t="str">
        <x:f>IF($C80="","","ÅRKV")</x:f>
      </x:c>
      <x:c r="P80" s="800" t="str">
        <x:f>IF($C80="","",TEXTJOIN(" ",TRUE,INDEX(Taxepunkter!$C:$C,$C80),INDEX(Taxepunkter!$D:$D,$C80)))</x:f>
      </x:c>
      <x:c r="Q80" s="800"/>
      <x:c r="R80" s="800"/>
      <x:c r="S80" s="800"/>
      <x:c r="T80" s="800"/>
      <x:c r="U80" s="800" t="str">
        <x:f>IF($C80="","",0)</x:f>
      </x:c>
      <x:c r="V80" s="800"/>
      <x:c r="W80" s="800" t="str">
        <x:f>IF($C80="","","-")</x:f>
      </x:c>
      <x:c r="X80" s="800" t="str">
        <x:f>IF($C80="","",1)</x:f>
      </x:c>
      <x:c r="Y80" s="885" t="str">
        <x:f>IF($C80="","","ANTB")</x:f>
      </x:c>
    </x:row>
    <x:row r="81">
      <x:c r="A81" s="884" t="str">
        <x:f>IF($C81="","",INDEX(Taxepunkter!$A:$A,$C81))</x:f>
      </x:c>
      <x:c r="B81" s="798"/>
      <x:c r="C81" s="798"/>
      <x:c r="D81" s="798" t="str">
        <x:f>IF($C81="","",TEXTJOIN(" ",TRUE,INDEX(Taxepunkter!$C:$C,$C81),INDEX(Taxepunkter!$D:$D,$C81)))</x:f>
      </x:c>
      <x:c r="E81" s="798" t="str">
        <x:f>IF($C81="","","Saknas i EDP – föreslagen ny taxa")</x:f>
      </x:c>
      <x:c r="F81" s="798" t="str">
        <x:f>IF($C81="","","Automatiserad mall: fyll Rad i Taxepunkter och FöreslagenTaxekod")</x:f>
      </x:c>
      <x:c r="G81" s="799"/>
      <x:c r="H81" s="800" t="str">
        <x:f>IF($C81="","",$C81)</x:f>
      </x:c>
      <x:c r="I81" s="800" t="str">
        <x:f>IF($C81="","",INDEX(Taxepunkter!$B:$B,$C81)&amp;" / "&amp;INDEX(Taxepunkter!$C:$C,$C81))</x:f>
      </x:c>
      <x:c r="J81" s="800" t="str">
        <x:f>IF($G81="","",$G81)</x:f>
      </x:c>
      <x:c r="K81" s="800" t="str">
        <x:f>IF($C81="","",INDEX(Taxepunkter!$C:$C,$C81)&amp;IF(INDEX(Taxepunkter!$D:$D,$C81)="","",". "&amp;INDEX(Taxepunkter!$D:$D,$C81)))</x:f>
      </x:c>
      <x:c r="L81" s="800" t="str">
        <x:f>IF($C81="","","RENH")</x:f>
      </x:c>
      <x:c r="M81" s="800" t="str">
        <x:f>IF($C81="","","HUSH")</x:f>
      </x:c>
      <x:c r="N81" s="800" t="str">
        <x:f>IF($C81="","",1)</x:f>
      </x:c>
      <x:c r="O81" s="800" t="str">
        <x:f>IF($C81="","","ÅRKV")</x:f>
      </x:c>
      <x:c r="P81" s="800" t="str">
        <x:f>IF($C81="","",TEXTJOIN(" ",TRUE,INDEX(Taxepunkter!$C:$C,$C81),INDEX(Taxepunkter!$D:$D,$C81)))</x:f>
      </x:c>
      <x:c r="Q81" s="800"/>
      <x:c r="R81" s="800"/>
      <x:c r="S81" s="800"/>
      <x:c r="T81" s="800"/>
      <x:c r="U81" s="800" t="str">
        <x:f>IF($C81="","",0)</x:f>
      </x:c>
      <x:c r="V81" s="800"/>
      <x:c r="W81" s="800" t="str">
        <x:f>IF($C81="","","-")</x:f>
      </x:c>
      <x:c r="X81" s="800" t="str">
        <x:f>IF($C81="","",1)</x:f>
      </x:c>
      <x:c r="Y81" s="885" t="str">
        <x:f>IF($C81="","","ANTB")</x:f>
      </x:c>
    </x:row>
    <x:row r="82">
      <x:c r="A82" s="884" t="str">
        <x:f>IF($C82="","",INDEX(Taxepunkter!$A:$A,$C82))</x:f>
      </x:c>
      <x:c r="B82" s="798"/>
      <x:c r="C82" s="798"/>
      <x:c r="D82" s="798" t="str">
        <x:f>IF($C82="","",TEXTJOIN(" ",TRUE,INDEX(Taxepunkter!$C:$C,$C82),INDEX(Taxepunkter!$D:$D,$C82)))</x:f>
      </x:c>
      <x:c r="E82" s="798" t="str">
        <x:f>IF($C82="","","Saknas i EDP – föreslagen ny taxa")</x:f>
      </x:c>
      <x:c r="F82" s="798" t="str">
        <x:f>IF($C82="","","Automatiserad mall: fyll Rad i Taxepunkter och FöreslagenTaxekod")</x:f>
      </x:c>
      <x:c r="G82" s="799"/>
      <x:c r="H82" s="800" t="str">
        <x:f>IF($C82="","",$C82)</x:f>
      </x:c>
      <x:c r="I82" s="800" t="str">
        <x:f>IF($C82="","",INDEX(Taxepunkter!$B:$B,$C82)&amp;" / "&amp;INDEX(Taxepunkter!$C:$C,$C82))</x:f>
      </x:c>
      <x:c r="J82" s="800" t="str">
        <x:f>IF($G82="","",$G82)</x:f>
      </x:c>
      <x:c r="K82" s="800" t="str">
        <x:f>IF($C82="","",INDEX(Taxepunkter!$C:$C,$C82)&amp;IF(INDEX(Taxepunkter!$D:$D,$C82)="","",". "&amp;INDEX(Taxepunkter!$D:$D,$C82)))</x:f>
      </x:c>
      <x:c r="L82" s="800" t="str">
        <x:f>IF($C82="","","RENH")</x:f>
      </x:c>
      <x:c r="M82" s="800" t="str">
        <x:f>IF($C82="","","HUSH")</x:f>
      </x:c>
      <x:c r="N82" s="800" t="str">
        <x:f>IF($C82="","",1)</x:f>
      </x:c>
      <x:c r="O82" s="800" t="str">
        <x:f>IF($C82="","","ÅRKV")</x:f>
      </x:c>
      <x:c r="P82" s="800" t="str">
        <x:f>IF($C82="","",TEXTJOIN(" ",TRUE,INDEX(Taxepunkter!$C:$C,$C82),INDEX(Taxepunkter!$D:$D,$C82)))</x:f>
      </x:c>
      <x:c r="Q82" s="800"/>
      <x:c r="R82" s="800"/>
      <x:c r="S82" s="800"/>
      <x:c r="T82" s="800"/>
      <x:c r="U82" s="800" t="str">
        <x:f>IF($C82="","",0)</x:f>
      </x:c>
      <x:c r="V82" s="800"/>
      <x:c r="W82" s="800" t="str">
        <x:f>IF($C82="","","-")</x:f>
      </x:c>
      <x:c r="X82" s="800" t="str">
        <x:f>IF($C82="","",1)</x:f>
      </x:c>
      <x:c r="Y82" s="885" t="str">
        <x:f>IF($C82="","","ANTB")</x:f>
      </x:c>
    </x:row>
    <x:row r="83">
      <x:c r="A83" s="884" t="str">
        <x:f>IF($C83="","",INDEX(Taxepunkter!$A:$A,$C83))</x:f>
      </x:c>
      <x:c r="B83" s="798"/>
      <x:c r="C83" s="798"/>
      <x:c r="D83" s="798" t="str">
        <x:f>IF($C83="","",TEXTJOIN(" ",TRUE,INDEX(Taxepunkter!$C:$C,$C83),INDEX(Taxepunkter!$D:$D,$C83)))</x:f>
      </x:c>
      <x:c r="E83" s="798" t="str">
        <x:f>IF($C83="","","Saknas i EDP – föreslagen ny taxa")</x:f>
      </x:c>
      <x:c r="F83" s="798" t="str">
        <x:f>IF($C83="","","Automatiserad mall: fyll Rad i Taxepunkter och FöreslagenTaxekod")</x:f>
      </x:c>
      <x:c r="G83" s="799"/>
      <x:c r="H83" s="800" t="str">
        <x:f>IF($C83="","",$C83)</x:f>
      </x:c>
      <x:c r="I83" s="800" t="str">
        <x:f>IF($C83="","",INDEX(Taxepunkter!$B:$B,$C83)&amp;" / "&amp;INDEX(Taxepunkter!$C:$C,$C83))</x:f>
      </x:c>
      <x:c r="J83" s="800" t="str">
        <x:f>IF($G83="","",$G83)</x:f>
      </x:c>
      <x:c r="K83" s="800" t="str">
        <x:f>IF($C83="","",INDEX(Taxepunkter!$C:$C,$C83)&amp;IF(INDEX(Taxepunkter!$D:$D,$C83)="","",". "&amp;INDEX(Taxepunkter!$D:$D,$C83)))</x:f>
      </x:c>
      <x:c r="L83" s="800" t="str">
        <x:f>IF($C83="","","RENH")</x:f>
      </x:c>
      <x:c r="M83" s="800" t="str">
        <x:f>IF($C83="","","HUSH")</x:f>
      </x:c>
      <x:c r="N83" s="800" t="str">
        <x:f>IF($C83="","",1)</x:f>
      </x:c>
      <x:c r="O83" s="800" t="str">
        <x:f>IF($C83="","","ÅRKV")</x:f>
      </x:c>
      <x:c r="P83" s="800" t="str">
        <x:f>IF($C83="","",TEXTJOIN(" ",TRUE,INDEX(Taxepunkter!$C:$C,$C83),INDEX(Taxepunkter!$D:$D,$C83)))</x:f>
      </x:c>
      <x:c r="Q83" s="800"/>
      <x:c r="R83" s="800"/>
      <x:c r="S83" s="800"/>
      <x:c r="T83" s="800"/>
      <x:c r="U83" s="800" t="str">
        <x:f>IF($C83="","",0)</x:f>
      </x:c>
      <x:c r="V83" s="800"/>
      <x:c r="W83" s="800" t="str">
        <x:f>IF($C83="","","-")</x:f>
      </x:c>
      <x:c r="X83" s="800" t="str">
        <x:f>IF($C83="","",1)</x:f>
      </x:c>
      <x:c r="Y83" s="885" t="str">
        <x:f>IF($C83="","","ANTB")</x:f>
      </x:c>
    </x:row>
    <x:row r="84">
      <x:c r="A84" s="884" t="str">
        <x:f>IF($C84="","",INDEX(Taxepunkter!$A:$A,$C84))</x:f>
      </x:c>
      <x:c r="B84" s="798"/>
      <x:c r="C84" s="798"/>
      <x:c r="D84" s="798" t="str">
        <x:f>IF($C84="","",TEXTJOIN(" ",TRUE,INDEX(Taxepunkter!$C:$C,$C84),INDEX(Taxepunkter!$D:$D,$C84)))</x:f>
      </x:c>
      <x:c r="E84" s="798" t="str">
        <x:f>IF($C84="","","Saknas i EDP – föreslagen ny taxa")</x:f>
      </x:c>
      <x:c r="F84" s="798" t="str">
        <x:f>IF($C84="","","Automatiserad mall: fyll Rad i Taxepunkter och FöreslagenTaxekod")</x:f>
      </x:c>
      <x:c r="G84" s="799"/>
      <x:c r="H84" s="800" t="str">
        <x:f>IF($C84="","",$C84)</x:f>
      </x:c>
      <x:c r="I84" s="800" t="str">
        <x:f>IF($C84="","",INDEX(Taxepunkter!$B:$B,$C84)&amp;" / "&amp;INDEX(Taxepunkter!$C:$C,$C84))</x:f>
      </x:c>
      <x:c r="J84" s="800" t="str">
        <x:f>IF($G84="","",$G84)</x:f>
      </x:c>
      <x:c r="K84" s="800" t="str">
        <x:f>IF($C84="","",INDEX(Taxepunkter!$C:$C,$C84)&amp;IF(INDEX(Taxepunkter!$D:$D,$C84)="","",". "&amp;INDEX(Taxepunkter!$D:$D,$C84)))</x:f>
      </x:c>
      <x:c r="L84" s="800" t="str">
        <x:f>IF($C84="","","RENH")</x:f>
      </x:c>
      <x:c r="M84" s="800" t="str">
        <x:f>IF($C84="","","HUSH")</x:f>
      </x:c>
      <x:c r="N84" s="800" t="str">
        <x:f>IF($C84="","",1)</x:f>
      </x:c>
      <x:c r="O84" s="800" t="str">
        <x:f>IF($C84="","","ÅRKV")</x:f>
      </x:c>
      <x:c r="P84" s="800" t="str">
        <x:f>IF($C84="","",TEXTJOIN(" ",TRUE,INDEX(Taxepunkter!$C:$C,$C84),INDEX(Taxepunkter!$D:$D,$C84)))</x:f>
      </x:c>
      <x:c r="Q84" s="800"/>
      <x:c r="R84" s="800"/>
      <x:c r="S84" s="800"/>
      <x:c r="T84" s="800"/>
      <x:c r="U84" s="800" t="str">
        <x:f>IF($C84="","",0)</x:f>
      </x:c>
      <x:c r="V84" s="800"/>
      <x:c r="W84" s="800" t="str">
        <x:f>IF($C84="","","-")</x:f>
      </x:c>
      <x:c r="X84" s="800" t="str">
        <x:f>IF($C84="","",1)</x:f>
      </x:c>
      <x:c r="Y84" s="885" t="str">
        <x:f>IF($C84="","","ANTB")</x:f>
      </x:c>
    </x:row>
    <x:row r="85">
      <x:c r="A85" s="884" t="str">
        <x:f>IF($C85="","",INDEX(Taxepunkter!$A:$A,$C85))</x:f>
      </x:c>
      <x:c r="B85" s="798"/>
      <x:c r="C85" s="798"/>
      <x:c r="D85" s="798" t="str">
        <x:f>IF($C85="","",TEXTJOIN(" ",TRUE,INDEX(Taxepunkter!$C:$C,$C85),INDEX(Taxepunkter!$D:$D,$C85)))</x:f>
      </x:c>
      <x:c r="E85" s="798" t="str">
        <x:f>IF($C85="","","Saknas i EDP – föreslagen ny taxa")</x:f>
      </x:c>
      <x:c r="F85" s="798" t="str">
        <x:f>IF($C85="","","Automatiserad mall: fyll Rad i Taxepunkter och FöreslagenTaxekod")</x:f>
      </x:c>
      <x:c r="G85" s="799"/>
      <x:c r="H85" s="800" t="str">
        <x:f>IF($C85="","",$C85)</x:f>
      </x:c>
      <x:c r="I85" s="800" t="str">
        <x:f>IF($C85="","",INDEX(Taxepunkter!$B:$B,$C85)&amp;" / "&amp;INDEX(Taxepunkter!$C:$C,$C85))</x:f>
      </x:c>
      <x:c r="J85" s="800" t="str">
        <x:f>IF($G85="","",$G85)</x:f>
      </x:c>
      <x:c r="K85" s="800" t="str">
        <x:f>IF($C85="","",INDEX(Taxepunkter!$C:$C,$C85)&amp;IF(INDEX(Taxepunkter!$D:$D,$C85)="","",". "&amp;INDEX(Taxepunkter!$D:$D,$C85)))</x:f>
      </x:c>
      <x:c r="L85" s="800" t="str">
        <x:f>IF($C85="","","RENH")</x:f>
      </x:c>
      <x:c r="M85" s="800" t="str">
        <x:f>IF($C85="","","HUSH")</x:f>
      </x:c>
      <x:c r="N85" s="800" t="str">
        <x:f>IF($C85="","",1)</x:f>
      </x:c>
      <x:c r="O85" s="800" t="str">
        <x:f>IF($C85="","","ÅRKV")</x:f>
      </x:c>
      <x:c r="P85" s="800" t="str">
        <x:f>IF($C85="","",TEXTJOIN(" ",TRUE,INDEX(Taxepunkter!$C:$C,$C85),INDEX(Taxepunkter!$D:$D,$C85)))</x:f>
      </x:c>
      <x:c r="Q85" s="800"/>
      <x:c r="R85" s="800"/>
      <x:c r="S85" s="800"/>
      <x:c r="T85" s="800"/>
      <x:c r="U85" s="800" t="str">
        <x:f>IF($C85="","",0)</x:f>
      </x:c>
      <x:c r="V85" s="800"/>
      <x:c r="W85" s="800" t="str">
        <x:f>IF($C85="","","-")</x:f>
      </x:c>
      <x:c r="X85" s="800" t="str">
        <x:f>IF($C85="","",1)</x:f>
      </x:c>
      <x:c r="Y85" s="885" t="str">
        <x:f>IF($C85="","","ANTB")</x:f>
      </x:c>
    </x:row>
    <x:row r="86">
      <x:c r="A86" s="884" t="str">
        <x:f>IF($C86="","",INDEX(Taxepunkter!$A:$A,$C86))</x:f>
      </x:c>
      <x:c r="B86" s="798"/>
      <x:c r="C86" s="798"/>
      <x:c r="D86" s="798" t="str">
        <x:f>IF($C86="","",TEXTJOIN(" ",TRUE,INDEX(Taxepunkter!$C:$C,$C86),INDEX(Taxepunkter!$D:$D,$C86)))</x:f>
      </x:c>
      <x:c r="E86" s="798" t="str">
        <x:f>IF($C86="","","Saknas i EDP – föreslagen ny taxa")</x:f>
      </x:c>
      <x:c r="F86" s="798" t="str">
        <x:f>IF($C86="","","Automatiserad mall: fyll Rad i Taxepunkter och FöreslagenTaxekod")</x:f>
      </x:c>
      <x:c r="G86" s="799"/>
      <x:c r="H86" s="800" t="str">
        <x:f>IF($C86="","",$C86)</x:f>
      </x:c>
      <x:c r="I86" s="800" t="str">
        <x:f>IF($C86="","",INDEX(Taxepunkter!$B:$B,$C86)&amp;" / "&amp;INDEX(Taxepunkter!$C:$C,$C86))</x:f>
      </x:c>
      <x:c r="J86" s="800" t="str">
        <x:f>IF($G86="","",$G86)</x:f>
      </x:c>
      <x:c r="K86" s="800" t="str">
        <x:f>IF($C86="","",INDEX(Taxepunkter!$C:$C,$C86)&amp;IF(INDEX(Taxepunkter!$D:$D,$C86)="","",". "&amp;INDEX(Taxepunkter!$D:$D,$C86)))</x:f>
      </x:c>
      <x:c r="L86" s="800" t="str">
        <x:f>IF($C86="","","RENH")</x:f>
      </x:c>
      <x:c r="M86" s="800" t="str">
        <x:f>IF($C86="","","HUSH")</x:f>
      </x:c>
      <x:c r="N86" s="800" t="str">
        <x:f>IF($C86="","",1)</x:f>
      </x:c>
      <x:c r="O86" s="800" t="str">
        <x:f>IF($C86="","","ÅRKV")</x:f>
      </x:c>
      <x:c r="P86" s="800" t="str">
        <x:f>IF($C86="","",TEXTJOIN(" ",TRUE,INDEX(Taxepunkter!$C:$C,$C86),INDEX(Taxepunkter!$D:$D,$C86)))</x:f>
      </x:c>
      <x:c r="Q86" s="800"/>
      <x:c r="R86" s="800"/>
      <x:c r="S86" s="800"/>
      <x:c r="T86" s="800"/>
      <x:c r="U86" s="800" t="str">
        <x:f>IF($C86="","",0)</x:f>
      </x:c>
      <x:c r="V86" s="800"/>
      <x:c r="W86" s="800" t="str">
        <x:f>IF($C86="","","-")</x:f>
      </x:c>
      <x:c r="X86" s="800" t="str">
        <x:f>IF($C86="","",1)</x:f>
      </x:c>
      <x:c r="Y86" s="885" t="str">
        <x:f>IF($C86="","","ANTB")</x:f>
      </x:c>
    </x:row>
    <x:row r="87">
      <x:c r="A87" s="884" t="str">
        <x:f>IF($C87="","",INDEX(Taxepunkter!$A:$A,$C87))</x:f>
      </x:c>
      <x:c r="B87" s="798"/>
      <x:c r="C87" s="798"/>
      <x:c r="D87" s="798" t="str">
        <x:f>IF($C87="","",TEXTJOIN(" ",TRUE,INDEX(Taxepunkter!$C:$C,$C87),INDEX(Taxepunkter!$D:$D,$C87)))</x:f>
      </x:c>
      <x:c r="E87" s="798" t="str">
        <x:f>IF($C87="","","Saknas i EDP – föreslagen ny taxa")</x:f>
      </x:c>
      <x:c r="F87" s="798" t="str">
        <x:f>IF($C87="","","Automatiserad mall: fyll Rad i Taxepunkter och FöreslagenTaxekod")</x:f>
      </x:c>
      <x:c r="G87" s="799"/>
      <x:c r="H87" s="800" t="str">
        <x:f>IF($C87="","",$C87)</x:f>
      </x:c>
      <x:c r="I87" s="800" t="str">
        <x:f>IF($C87="","",INDEX(Taxepunkter!$B:$B,$C87)&amp;" / "&amp;INDEX(Taxepunkter!$C:$C,$C87))</x:f>
      </x:c>
      <x:c r="J87" s="800" t="str">
        <x:f>IF($G87="","",$G87)</x:f>
      </x:c>
      <x:c r="K87" s="800" t="str">
        <x:f>IF($C87="","",INDEX(Taxepunkter!$C:$C,$C87)&amp;IF(INDEX(Taxepunkter!$D:$D,$C87)="","",". "&amp;INDEX(Taxepunkter!$D:$D,$C87)))</x:f>
      </x:c>
      <x:c r="L87" s="800" t="str">
        <x:f>IF($C87="","","RENH")</x:f>
      </x:c>
      <x:c r="M87" s="800" t="str">
        <x:f>IF($C87="","","HUSH")</x:f>
      </x:c>
      <x:c r="N87" s="800" t="str">
        <x:f>IF($C87="","",1)</x:f>
      </x:c>
      <x:c r="O87" s="800" t="str">
        <x:f>IF($C87="","","ÅRKV")</x:f>
      </x:c>
      <x:c r="P87" s="800" t="str">
        <x:f>IF($C87="","",TEXTJOIN(" ",TRUE,INDEX(Taxepunkter!$C:$C,$C87),INDEX(Taxepunkter!$D:$D,$C87)))</x:f>
      </x:c>
      <x:c r="Q87" s="800"/>
      <x:c r="R87" s="800"/>
      <x:c r="S87" s="800"/>
      <x:c r="T87" s="800"/>
      <x:c r="U87" s="800" t="str">
        <x:f>IF($C87="","",0)</x:f>
      </x:c>
      <x:c r="V87" s="800"/>
      <x:c r="W87" s="800" t="str">
        <x:f>IF($C87="","","-")</x:f>
      </x:c>
      <x:c r="X87" s="800" t="str">
        <x:f>IF($C87="","",1)</x:f>
      </x:c>
      <x:c r="Y87" s="885" t="str">
        <x:f>IF($C87="","","ANTB")</x:f>
      </x:c>
    </x:row>
    <x:row r="88">
      <x:c r="A88" s="884" t="str">
        <x:f>IF($C88="","",INDEX(Taxepunkter!$A:$A,$C88))</x:f>
      </x:c>
      <x:c r="B88" s="798"/>
      <x:c r="C88" s="798"/>
      <x:c r="D88" s="798" t="str">
        <x:f>IF($C88="","",TEXTJOIN(" ",TRUE,INDEX(Taxepunkter!$C:$C,$C88),INDEX(Taxepunkter!$D:$D,$C88)))</x:f>
      </x:c>
      <x:c r="E88" s="798" t="str">
        <x:f>IF($C88="","","Saknas i EDP – föreslagen ny taxa")</x:f>
      </x:c>
      <x:c r="F88" s="798" t="str">
        <x:f>IF($C88="","","Automatiserad mall: fyll Rad i Taxepunkter och FöreslagenTaxekod")</x:f>
      </x:c>
      <x:c r="G88" s="799"/>
      <x:c r="H88" s="800" t="str">
        <x:f>IF($C88="","",$C88)</x:f>
      </x:c>
      <x:c r="I88" s="800" t="str">
        <x:f>IF($C88="","",INDEX(Taxepunkter!$B:$B,$C88)&amp;" / "&amp;INDEX(Taxepunkter!$C:$C,$C88))</x:f>
      </x:c>
      <x:c r="J88" s="800" t="str">
        <x:f>IF($G88="","",$G88)</x:f>
      </x:c>
      <x:c r="K88" s="800" t="str">
        <x:f>IF($C88="","",INDEX(Taxepunkter!$C:$C,$C88)&amp;IF(INDEX(Taxepunkter!$D:$D,$C88)="","",". "&amp;INDEX(Taxepunkter!$D:$D,$C88)))</x:f>
      </x:c>
      <x:c r="L88" s="800" t="str">
        <x:f>IF($C88="","","RENH")</x:f>
      </x:c>
      <x:c r="M88" s="800" t="str">
        <x:f>IF($C88="","","HUSH")</x:f>
      </x:c>
      <x:c r="N88" s="800" t="str">
        <x:f>IF($C88="","",1)</x:f>
      </x:c>
      <x:c r="O88" s="800" t="str">
        <x:f>IF($C88="","","ÅRKV")</x:f>
      </x:c>
      <x:c r="P88" s="800" t="str">
        <x:f>IF($C88="","",TEXTJOIN(" ",TRUE,INDEX(Taxepunkter!$C:$C,$C88),INDEX(Taxepunkter!$D:$D,$C88)))</x:f>
      </x:c>
      <x:c r="Q88" s="800"/>
      <x:c r="R88" s="800"/>
      <x:c r="S88" s="800"/>
      <x:c r="T88" s="800"/>
      <x:c r="U88" s="800" t="str">
        <x:f>IF($C88="","",0)</x:f>
      </x:c>
      <x:c r="V88" s="800"/>
      <x:c r="W88" s="800" t="str">
        <x:f>IF($C88="","","-")</x:f>
      </x:c>
      <x:c r="X88" s="800" t="str">
        <x:f>IF($C88="","",1)</x:f>
      </x:c>
      <x:c r="Y88" s="885" t="str">
        <x:f>IF($C88="","","ANTB")</x:f>
      </x:c>
    </x:row>
    <x:row r="89">
      <x:c r="A89" s="884" t="str">
        <x:f>IF($C89="","",INDEX(Taxepunkter!$A:$A,$C89))</x:f>
      </x:c>
      <x:c r="B89" s="798"/>
      <x:c r="C89" s="798"/>
      <x:c r="D89" s="798" t="str">
        <x:f>IF($C89="","",TEXTJOIN(" ",TRUE,INDEX(Taxepunkter!$C:$C,$C89),INDEX(Taxepunkter!$D:$D,$C89)))</x:f>
      </x:c>
      <x:c r="E89" s="798" t="str">
        <x:f>IF($C89="","","Saknas i EDP – föreslagen ny taxa")</x:f>
      </x:c>
      <x:c r="F89" s="798" t="str">
        <x:f>IF($C89="","","Automatiserad mall: fyll Rad i Taxepunkter och FöreslagenTaxekod")</x:f>
      </x:c>
      <x:c r="G89" s="799"/>
      <x:c r="H89" s="800" t="str">
        <x:f>IF($C89="","",$C89)</x:f>
      </x:c>
      <x:c r="I89" s="800" t="str">
        <x:f>IF($C89="","",INDEX(Taxepunkter!$B:$B,$C89)&amp;" / "&amp;INDEX(Taxepunkter!$C:$C,$C89))</x:f>
      </x:c>
      <x:c r="J89" s="800" t="str">
        <x:f>IF($G89="","",$G89)</x:f>
      </x:c>
      <x:c r="K89" s="800" t="str">
        <x:f>IF($C89="","",INDEX(Taxepunkter!$C:$C,$C89)&amp;IF(INDEX(Taxepunkter!$D:$D,$C89)="","",". "&amp;INDEX(Taxepunkter!$D:$D,$C89)))</x:f>
      </x:c>
      <x:c r="L89" s="800" t="str">
        <x:f>IF($C89="","","RENH")</x:f>
      </x:c>
      <x:c r="M89" s="800" t="str">
        <x:f>IF($C89="","","HUSH")</x:f>
      </x:c>
      <x:c r="N89" s="800" t="str">
        <x:f>IF($C89="","",1)</x:f>
      </x:c>
      <x:c r="O89" s="800" t="str">
        <x:f>IF($C89="","","ÅRKV")</x:f>
      </x:c>
      <x:c r="P89" s="800" t="str">
        <x:f>IF($C89="","",TEXTJOIN(" ",TRUE,INDEX(Taxepunkter!$C:$C,$C89),INDEX(Taxepunkter!$D:$D,$C89)))</x:f>
      </x:c>
      <x:c r="Q89" s="800"/>
      <x:c r="R89" s="800"/>
      <x:c r="S89" s="800"/>
      <x:c r="T89" s="800"/>
      <x:c r="U89" s="800" t="str">
        <x:f>IF($C89="","",0)</x:f>
      </x:c>
      <x:c r="V89" s="800"/>
      <x:c r="W89" s="800" t="str">
        <x:f>IF($C89="","","-")</x:f>
      </x:c>
      <x:c r="X89" s="800" t="str">
        <x:f>IF($C89="","",1)</x:f>
      </x:c>
      <x:c r="Y89" s="885" t="str">
        <x:f>IF($C89="","","ANTB")</x:f>
      </x:c>
    </x:row>
    <x:row r="90">
      <x:c r="A90" s="884" t="str">
        <x:f>IF($C90="","",INDEX(Taxepunkter!$A:$A,$C90))</x:f>
      </x:c>
      <x:c r="B90" s="798"/>
      <x:c r="C90" s="798"/>
      <x:c r="D90" s="798" t="str">
        <x:f>IF($C90="","",TEXTJOIN(" ",TRUE,INDEX(Taxepunkter!$C:$C,$C90),INDEX(Taxepunkter!$D:$D,$C90)))</x:f>
      </x:c>
      <x:c r="E90" s="798" t="str">
        <x:f>IF($C90="","","Saknas i EDP – föreslagen ny taxa")</x:f>
      </x:c>
      <x:c r="F90" s="798" t="str">
        <x:f>IF($C90="","","Automatiserad mall: fyll Rad i Taxepunkter och FöreslagenTaxekod")</x:f>
      </x:c>
      <x:c r="G90" s="799"/>
      <x:c r="H90" s="800" t="str">
        <x:f>IF($C90="","",$C90)</x:f>
      </x:c>
      <x:c r="I90" s="800" t="str">
        <x:f>IF($C90="","",INDEX(Taxepunkter!$B:$B,$C90)&amp;" / "&amp;INDEX(Taxepunkter!$C:$C,$C90))</x:f>
      </x:c>
      <x:c r="J90" s="800" t="str">
        <x:f>IF($G90="","",$G90)</x:f>
      </x:c>
      <x:c r="K90" s="800" t="str">
        <x:f>IF($C90="","",INDEX(Taxepunkter!$C:$C,$C90)&amp;IF(INDEX(Taxepunkter!$D:$D,$C90)="","",". "&amp;INDEX(Taxepunkter!$D:$D,$C90)))</x:f>
      </x:c>
      <x:c r="L90" s="800" t="str">
        <x:f>IF($C90="","","RENH")</x:f>
      </x:c>
      <x:c r="M90" s="800" t="str">
        <x:f>IF($C90="","","HUSH")</x:f>
      </x:c>
      <x:c r="N90" s="800" t="str">
        <x:f>IF($C90="","",1)</x:f>
      </x:c>
      <x:c r="O90" s="800" t="str">
        <x:f>IF($C90="","","ÅRKV")</x:f>
      </x:c>
      <x:c r="P90" s="800" t="str">
        <x:f>IF($C90="","",TEXTJOIN(" ",TRUE,INDEX(Taxepunkter!$C:$C,$C90),INDEX(Taxepunkter!$D:$D,$C90)))</x:f>
      </x:c>
      <x:c r="Q90" s="800"/>
      <x:c r="R90" s="800"/>
      <x:c r="S90" s="800"/>
      <x:c r="T90" s="800"/>
      <x:c r="U90" s="800" t="str">
        <x:f>IF($C90="","",0)</x:f>
      </x:c>
      <x:c r="V90" s="800"/>
      <x:c r="W90" s="800" t="str">
        <x:f>IF($C90="","","-")</x:f>
      </x:c>
      <x:c r="X90" s="800" t="str">
        <x:f>IF($C90="","",1)</x:f>
      </x:c>
      <x:c r="Y90" s="885" t="str">
        <x:f>IF($C90="","","ANTB")</x:f>
      </x:c>
    </x:row>
    <x:row r="91">
      <x:c r="A91" s="884" t="str">
        <x:f>IF($C91="","",INDEX(Taxepunkter!$A:$A,$C91))</x:f>
      </x:c>
      <x:c r="B91" s="798"/>
      <x:c r="C91" s="798"/>
      <x:c r="D91" s="798" t="str">
        <x:f>IF($C91="","",TEXTJOIN(" ",TRUE,INDEX(Taxepunkter!$C:$C,$C91),INDEX(Taxepunkter!$D:$D,$C91)))</x:f>
      </x:c>
      <x:c r="E91" s="798" t="str">
        <x:f>IF($C91="","","Saknas i EDP – föreslagen ny taxa")</x:f>
      </x:c>
      <x:c r="F91" s="798" t="str">
        <x:f>IF($C91="","","Automatiserad mall: fyll Rad i Taxepunkter och FöreslagenTaxekod")</x:f>
      </x:c>
      <x:c r="G91" s="799"/>
      <x:c r="H91" s="800" t="str">
        <x:f>IF($C91="","",$C91)</x:f>
      </x:c>
      <x:c r="I91" s="800" t="str">
        <x:f>IF($C91="","",INDEX(Taxepunkter!$B:$B,$C91)&amp;" / "&amp;INDEX(Taxepunkter!$C:$C,$C91))</x:f>
      </x:c>
      <x:c r="J91" s="800" t="str">
        <x:f>IF($G91="","",$G91)</x:f>
      </x:c>
      <x:c r="K91" s="800" t="str">
        <x:f>IF($C91="","",INDEX(Taxepunkter!$C:$C,$C91)&amp;IF(INDEX(Taxepunkter!$D:$D,$C91)="","",". "&amp;INDEX(Taxepunkter!$D:$D,$C91)))</x:f>
      </x:c>
      <x:c r="L91" s="800" t="str">
        <x:f>IF($C91="","","RENH")</x:f>
      </x:c>
      <x:c r="M91" s="800" t="str">
        <x:f>IF($C91="","","HUSH")</x:f>
      </x:c>
      <x:c r="N91" s="800" t="str">
        <x:f>IF($C91="","",1)</x:f>
      </x:c>
      <x:c r="O91" s="800" t="str">
        <x:f>IF($C91="","","ÅRKV")</x:f>
      </x:c>
      <x:c r="P91" s="800" t="str">
        <x:f>IF($C91="","",TEXTJOIN(" ",TRUE,INDEX(Taxepunkter!$C:$C,$C91),INDEX(Taxepunkter!$D:$D,$C91)))</x:f>
      </x:c>
      <x:c r="Q91" s="800"/>
      <x:c r="R91" s="800"/>
      <x:c r="S91" s="800"/>
      <x:c r="T91" s="800"/>
      <x:c r="U91" s="800" t="str">
        <x:f>IF($C91="","",0)</x:f>
      </x:c>
      <x:c r="V91" s="800"/>
      <x:c r="W91" s="800" t="str">
        <x:f>IF($C91="","","-")</x:f>
      </x:c>
      <x:c r="X91" s="800" t="str">
        <x:f>IF($C91="","",1)</x:f>
      </x:c>
      <x:c r="Y91" s="885" t="str">
        <x:f>IF($C91="","","ANTB")</x:f>
      </x:c>
    </x:row>
    <x:row r="92">
      <x:c r="A92" s="884" t="str">
        <x:f>IF($C92="","",INDEX(Taxepunkter!$A:$A,$C92))</x:f>
      </x:c>
      <x:c r="B92" s="798"/>
      <x:c r="C92" s="798"/>
      <x:c r="D92" s="798" t="str">
        <x:f>IF($C92="","",TEXTJOIN(" ",TRUE,INDEX(Taxepunkter!$C:$C,$C92),INDEX(Taxepunkter!$D:$D,$C92)))</x:f>
      </x:c>
      <x:c r="E92" s="798" t="str">
        <x:f>IF($C92="","","Saknas i EDP – föreslagen ny taxa")</x:f>
      </x:c>
      <x:c r="F92" s="798" t="str">
        <x:f>IF($C92="","","Automatiserad mall: fyll Rad i Taxepunkter och FöreslagenTaxekod")</x:f>
      </x:c>
      <x:c r="G92" s="799"/>
      <x:c r="H92" s="800" t="str">
        <x:f>IF($C92="","",$C92)</x:f>
      </x:c>
      <x:c r="I92" s="800" t="str">
        <x:f>IF($C92="","",INDEX(Taxepunkter!$B:$B,$C92)&amp;" / "&amp;INDEX(Taxepunkter!$C:$C,$C92))</x:f>
      </x:c>
      <x:c r="J92" s="800" t="str">
        <x:f>IF($G92="","",$G92)</x:f>
      </x:c>
      <x:c r="K92" s="800" t="str">
        <x:f>IF($C92="","",INDEX(Taxepunkter!$C:$C,$C92)&amp;IF(INDEX(Taxepunkter!$D:$D,$C92)="","",". "&amp;INDEX(Taxepunkter!$D:$D,$C92)))</x:f>
      </x:c>
      <x:c r="L92" s="800" t="str">
        <x:f>IF($C92="","","RENH")</x:f>
      </x:c>
      <x:c r="M92" s="800" t="str">
        <x:f>IF($C92="","","HUSH")</x:f>
      </x:c>
      <x:c r="N92" s="800" t="str">
        <x:f>IF($C92="","",1)</x:f>
      </x:c>
      <x:c r="O92" s="800" t="str">
        <x:f>IF($C92="","","ÅRKV")</x:f>
      </x:c>
      <x:c r="P92" s="800" t="str">
        <x:f>IF($C92="","",TEXTJOIN(" ",TRUE,INDEX(Taxepunkter!$C:$C,$C92),INDEX(Taxepunkter!$D:$D,$C92)))</x:f>
      </x:c>
      <x:c r="Q92" s="800"/>
      <x:c r="R92" s="800"/>
      <x:c r="S92" s="800"/>
      <x:c r="T92" s="800"/>
      <x:c r="U92" s="800" t="str">
        <x:f>IF($C92="","",0)</x:f>
      </x:c>
      <x:c r="V92" s="800"/>
      <x:c r="W92" s="800" t="str">
        <x:f>IF($C92="","","-")</x:f>
      </x:c>
      <x:c r="X92" s="800" t="str">
        <x:f>IF($C92="","",1)</x:f>
      </x:c>
      <x:c r="Y92" s="885" t="str">
        <x:f>IF($C92="","","ANTB")</x:f>
      </x:c>
    </x:row>
    <x:row r="93">
      <x:c r="A93" s="884" t="str">
        <x:f>IF($C93="","",INDEX(Taxepunkter!$A:$A,$C93))</x:f>
      </x:c>
      <x:c r="B93" s="798"/>
      <x:c r="C93" s="798"/>
      <x:c r="D93" s="798" t="str">
        <x:f>IF($C93="","",TEXTJOIN(" ",TRUE,INDEX(Taxepunkter!$C:$C,$C93),INDEX(Taxepunkter!$D:$D,$C93)))</x:f>
      </x:c>
      <x:c r="E93" s="798" t="str">
        <x:f>IF($C93="","","Saknas i EDP – föreslagen ny taxa")</x:f>
      </x:c>
      <x:c r="F93" s="798" t="str">
        <x:f>IF($C93="","","Automatiserad mall: fyll Rad i Taxepunkter och FöreslagenTaxekod")</x:f>
      </x:c>
      <x:c r="G93" s="799"/>
      <x:c r="H93" s="800" t="str">
        <x:f>IF($C93="","",$C93)</x:f>
      </x:c>
      <x:c r="I93" s="800" t="str">
        <x:f>IF($C93="","",INDEX(Taxepunkter!$B:$B,$C93)&amp;" / "&amp;INDEX(Taxepunkter!$C:$C,$C93))</x:f>
      </x:c>
      <x:c r="J93" s="800" t="str">
        <x:f>IF($G93="","",$G93)</x:f>
      </x:c>
      <x:c r="K93" s="800" t="str">
        <x:f>IF($C93="","",INDEX(Taxepunkter!$C:$C,$C93)&amp;IF(INDEX(Taxepunkter!$D:$D,$C93)="","",". "&amp;INDEX(Taxepunkter!$D:$D,$C93)))</x:f>
      </x:c>
      <x:c r="L93" s="800" t="str">
        <x:f>IF($C93="","","RENH")</x:f>
      </x:c>
      <x:c r="M93" s="800" t="str">
        <x:f>IF($C93="","","HUSH")</x:f>
      </x:c>
      <x:c r="N93" s="800" t="str">
        <x:f>IF($C93="","",1)</x:f>
      </x:c>
      <x:c r="O93" s="800" t="str">
        <x:f>IF($C93="","","ÅRKV")</x:f>
      </x:c>
      <x:c r="P93" s="800" t="str">
        <x:f>IF($C93="","",TEXTJOIN(" ",TRUE,INDEX(Taxepunkter!$C:$C,$C93),INDEX(Taxepunkter!$D:$D,$C93)))</x:f>
      </x:c>
      <x:c r="Q93" s="800"/>
      <x:c r="R93" s="800"/>
      <x:c r="S93" s="800"/>
      <x:c r="T93" s="800"/>
      <x:c r="U93" s="800" t="str">
        <x:f>IF($C93="","",0)</x:f>
      </x:c>
      <x:c r="V93" s="800"/>
      <x:c r="W93" s="800" t="str">
        <x:f>IF($C93="","","-")</x:f>
      </x:c>
      <x:c r="X93" s="800" t="str">
        <x:f>IF($C93="","",1)</x:f>
      </x:c>
      <x:c r="Y93" s="885" t="str">
        <x:f>IF($C93="","","ANTB")</x:f>
      </x:c>
    </x:row>
    <x:row r="94">
      <x:c r="A94" s="884" t="str">
        <x:f>IF($C94="","",INDEX(Taxepunkter!$A:$A,$C94))</x:f>
      </x:c>
      <x:c r="B94" s="798"/>
      <x:c r="C94" s="798"/>
      <x:c r="D94" s="798" t="str">
        <x:f>IF($C94="","",TEXTJOIN(" ",TRUE,INDEX(Taxepunkter!$C:$C,$C94),INDEX(Taxepunkter!$D:$D,$C94)))</x:f>
      </x:c>
      <x:c r="E94" s="798" t="str">
        <x:f>IF($C94="","","Saknas i EDP – föreslagen ny taxa")</x:f>
      </x:c>
      <x:c r="F94" s="798" t="str">
        <x:f>IF($C94="","","Automatiserad mall: fyll Rad i Taxepunkter och FöreslagenTaxekod")</x:f>
      </x:c>
      <x:c r="G94" s="799"/>
      <x:c r="H94" s="800" t="str">
        <x:f>IF($C94="","",$C94)</x:f>
      </x:c>
      <x:c r="I94" s="800" t="str">
        <x:f>IF($C94="","",INDEX(Taxepunkter!$B:$B,$C94)&amp;" / "&amp;INDEX(Taxepunkter!$C:$C,$C94))</x:f>
      </x:c>
      <x:c r="J94" s="800" t="str">
        <x:f>IF($G94="","",$G94)</x:f>
      </x:c>
      <x:c r="K94" s="800" t="str">
        <x:f>IF($C94="","",INDEX(Taxepunkter!$C:$C,$C94)&amp;IF(INDEX(Taxepunkter!$D:$D,$C94)="","",". "&amp;INDEX(Taxepunkter!$D:$D,$C94)))</x:f>
      </x:c>
      <x:c r="L94" s="800" t="str">
        <x:f>IF($C94="","","RENH")</x:f>
      </x:c>
      <x:c r="M94" s="800" t="str">
        <x:f>IF($C94="","","HUSH")</x:f>
      </x:c>
      <x:c r="N94" s="800" t="str">
        <x:f>IF($C94="","",1)</x:f>
      </x:c>
      <x:c r="O94" s="800" t="str">
        <x:f>IF($C94="","","ÅRKV")</x:f>
      </x:c>
      <x:c r="P94" s="800" t="str">
        <x:f>IF($C94="","",TEXTJOIN(" ",TRUE,INDEX(Taxepunkter!$C:$C,$C94),INDEX(Taxepunkter!$D:$D,$C94)))</x:f>
      </x:c>
      <x:c r="Q94" s="800"/>
      <x:c r="R94" s="800"/>
      <x:c r="S94" s="800"/>
      <x:c r="T94" s="800"/>
      <x:c r="U94" s="800" t="str">
        <x:f>IF($C94="","",0)</x:f>
      </x:c>
      <x:c r="V94" s="800"/>
      <x:c r="W94" s="800" t="str">
        <x:f>IF($C94="","","-")</x:f>
      </x:c>
      <x:c r="X94" s="800" t="str">
        <x:f>IF($C94="","",1)</x:f>
      </x:c>
      <x:c r="Y94" s="885" t="str">
        <x:f>IF($C94="","","ANTB")</x:f>
      </x:c>
    </x:row>
    <x:row r="95">
      <x:c r="A95" s="884" t="str">
        <x:f>IF($C95="","",INDEX(Taxepunkter!$A:$A,$C95))</x:f>
      </x:c>
      <x:c r="B95" s="798"/>
      <x:c r="C95" s="798"/>
      <x:c r="D95" s="798" t="str">
        <x:f>IF($C95="","",TEXTJOIN(" ",TRUE,INDEX(Taxepunkter!$C:$C,$C95),INDEX(Taxepunkter!$D:$D,$C95)))</x:f>
      </x:c>
      <x:c r="E95" s="798" t="str">
        <x:f>IF($C95="","","Saknas i EDP – föreslagen ny taxa")</x:f>
      </x:c>
      <x:c r="F95" s="798" t="str">
        <x:f>IF($C95="","","Automatiserad mall: fyll Rad i Taxepunkter och FöreslagenTaxekod")</x:f>
      </x:c>
      <x:c r="G95" s="799"/>
      <x:c r="H95" s="800" t="str">
        <x:f>IF($C95="","",$C95)</x:f>
      </x:c>
      <x:c r="I95" s="800" t="str">
        <x:f>IF($C95="","",INDEX(Taxepunkter!$B:$B,$C95)&amp;" / "&amp;INDEX(Taxepunkter!$C:$C,$C95))</x:f>
      </x:c>
      <x:c r="J95" s="800" t="str">
        <x:f>IF($G95="","",$G95)</x:f>
      </x:c>
      <x:c r="K95" s="800" t="str">
        <x:f>IF($C95="","",INDEX(Taxepunkter!$C:$C,$C95)&amp;IF(INDEX(Taxepunkter!$D:$D,$C95)="","",". "&amp;INDEX(Taxepunkter!$D:$D,$C95)))</x:f>
      </x:c>
      <x:c r="L95" s="800" t="str">
        <x:f>IF($C95="","","RENH")</x:f>
      </x:c>
      <x:c r="M95" s="800" t="str">
        <x:f>IF($C95="","","HUSH")</x:f>
      </x:c>
      <x:c r="N95" s="800" t="str">
        <x:f>IF($C95="","",1)</x:f>
      </x:c>
      <x:c r="O95" s="800" t="str">
        <x:f>IF($C95="","","ÅRKV")</x:f>
      </x:c>
      <x:c r="P95" s="800" t="str">
        <x:f>IF($C95="","",TEXTJOIN(" ",TRUE,INDEX(Taxepunkter!$C:$C,$C95),INDEX(Taxepunkter!$D:$D,$C95)))</x:f>
      </x:c>
      <x:c r="Q95" s="800"/>
      <x:c r="R95" s="800"/>
      <x:c r="S95" s="800"/>
      <x:c r="T95" s="800"/>
      <x:c r="U95" s="800" t="str">
        <x:f>IF($C95="","",0)</x:f>
      </x:c>
      <x:c r="V95" s="800"/>
      <x:c r="W95" s="800" t="str">
        <x:f>IF($C95="","","-")</x:f>
      </x:c>
      <x:c r="X95" s="800" t="str">
        <x:f>IF($C95="","",1)</x:f>
      </x:c>
      <x:c r="Y95" s="885" t="str">
        <x:f>IF($C95="","","ANTB")</x:f>
      </x:c>
    </x:row>
    <x:row r="96">
      <x:c r="A96" s="884" t="str">
        <x:f>IF($C96="","",INDEX(Taxepunkter!$A:$A,$C96))</x:f>
      </x:c>
      <x:c r="B96" s="798"/>
      <x:c r="C96" s="798"/>
      <x:c r="D96" s="798" t="str">
        <x:f>IF($C96="","",TEXTJOIN(" ",TRUE,INDEX(Taxepunkter!$C:$C,$C96),INDEX(Taxepunkter!$D:$D,$C96)))</x:f>
      </x:c>
      <x:c r="E96" s="798" t="str">
        <x:f>IF($C96="","","Saknas i EDP – föreslagen ny taxa")</x:f>
      </x:c>
      <x:c r="F96" s="798" t="str">
        <x:f>IF($C96="","","Automatiserad mall: fyll Rad i Taxepunkter och FöreslagenTaxekod")</x:f>
      </x:c>
      <x:c r="G96" s="799"/>
      <x:c r="H96" s="800" t="str">
        <x:f>IF($C96="","",$C96)</x:f>
      </x:c>
      <x:c r="I96" s="800" t="str">
        <x:f>IF($C96="","",INDEX(Taxepunkter!$B:$B,$C96)&amp;" / "&amp;INDEX(Taxepunkter!$C:$C,$C96))</x:f>
      </x:c>
      <x:c r="J96" s="800" t="str">
        <x:f>IF($G96="","",$G96)</x:f>
      </x:c>
      <x:c r="K96" s="800" t="str">
        <x:f>IF($C96="","",INDEX(Taxepunkter!$C:$C,$C96)&amp;IF(INDEX(Taxepunkter!$D:$D,$C96)="","",". "&amp;INDEX(Taxepunkter!$D:$D,$C96)))</x:f>
      </x:c>
      <x:c r="L96" s="800" t="str">
        <x:f>IF($C96="","","RENH")</x:f>
      </x:c>
      <x:c r="M96" s="800" t="str">
        <x:f>IF($C96="","","HUSH")</x:f>
      </x:c>
      <x:c r="N96" s="800" t="str">
        <x:f>IF($C96="","",1)</x:f>
      </x:c>
      <x:c r="O96" s="800" t="str">
        <x:f>IF($C96="","","ÅRKV")</x:f>
      </x:c>
      <x:c r="P96" s="800" t="str">
        <x:f>IF($C96="","",TEXTJOIN(" ",TRUE,INDEX(Taxepunkter!$C:$C,$C96),INDEX(Taxepunkter!$D:$D,$C96)))</x:f>
      </x:c>
      <x:c r="Q96" s="800"/>
      <x:c r="R96" s="800"/>
      <x:c r="S96" s="800"/>
      <x:c r="T96" s="800"/>
      <x:c r="U96" s="800" t="str">
        <x:f>IF($C96="","",0)</x:f>
      </x:c>
      <x:c r="V96" s="800"/>
      <x:c r="W96" s="800" t="str">
        <x:f>IF($C96="","","-")</x:f>
      </x:c>
      <x:c r="X96" s="800" t="str">
        <x:f>IF($C96="","",1)</x:f>
      </x:c>
      <x:c r="Y96" s="885" t="str">
        <x:f>IF($C96="","","ANTB")</x:f>
      </x:c>
    </x:row>
    <x:row r="97">
      <x:c r="A97" s="884" t="str">
        <x:f>IF($C97="","",INDEX(Taxepunkter!$A:$A,$C97))</x:f>
      </x:c>
      <x:c r="B97" s="798"/>
      <x:c r="C97" s="798"/>
      <x:c r="D97" s="798" t="str">
        <x:f>IF($C97="","",TEXTJOIN(" ",TRUE,INDEX(Taxepunkter!$C:$C,$C97),INDEX(Taxepunkter!$D:$D,$C97)))</x:f>
      </x:c>
      <x:c r="E97" s="798" t="str">
        <x:f>IF($C97="","","Saknas i EDP – föreslagen ny taxa")</x:f>
      </x:c>
      <x:c r="F97" s="798" t="str">
        <x:f>IF($C97="","","Automatiserad mall: fyll Rad i Taxepunkter och FöreslagenTaxekod")</x:f>
      </x:c>
      <x:c r="G97" s="799"/>
      <x:c r="H97" s="800" t="str">
        <x:f>IF($C97="","",$C97)</x:f>
      </x:c>
      <x:c r="I97" s="800" t="str">
        <x:f>IF($C97="","",INDEX(Taxepunkter!$B:$B,$C97)&amp;" / "&amp;INDEX(Taxepunkter!$C:$C,$C97))</x:f>
      </x:c>
      <x:c r="J97" s="800" t="str">
        <x:f>IF($G97="","",$G97)</x:f>
      </x:c>
      <x:c r="K97" s="800" t="str">
        <x:f>IF($C97="","",INDEX(Taxepunkter!$C:$C,$C97)&amp;IF(INDEX(Taxepunkter!$D:$D,$C97)="","",". "&amp;INDEX(Taxepunkter!$D:$D,$C97)))</x:f>
      </x:c>
      <x:c r="L97" s="800" t="str">
        <x:f>IF($C97="","","RENH")</x:f>
      </x:c>
      <x:c r="M97" s="800" t="str">
        <x:f>IF($C97="","","HUSH")</x:f>
      </x:c>
      <x:c r="N97" s="800" t="str">
        <x:f>IF($C97="","",1)</x:f>
      </x:c>
      <x:c r="O97" s="800" t="str">
        <x:f>IF($C97="","","ÅRKV")</x:f>
      </x:c>
      <x:c r="P97" s="800" t="str">
        <x:f>IF($C97="","",TEXTJOIN(" ",TRUE,INDEX(Taxepunkter!$C:$C,$C97),INDEX(Taxepunkter!$D:$D,$C97)))</x:f>
      </x:c>
      <x:c r="Q97" s="800"/>
      <x:c r="R97" s="800"/>
      <x:c r="S97" s="800"/>
      <x:c r="T97" s="800"/>
      <x:c r="U97" s="800" t="str">
        <x:f>IF($C97="","",0)</x:f>
      </x:c>
      <x:c r="V97" s="800"/>
      <x:c r="W97" s="800" t="str">
        <x:f>IF($C97="","","-")</x:f>
      </x:c>
      <x:c r="X97" s="800" t="str">
        <x:f>IF($C97="","",1)</x:f>
      </x:c>
      <x:c r="Y97" s="885" t="str">
        <x:f>IF($C97="","","ANTB")</x:f>
      </x:c>
    </x:row>
    <x:row r="98">
      <x:c r="A98" s="884" t="str">
        <x:f>IF($C98="","",INDEX(Taxepunkter!$A:$A,$C98))</x:f>
      </x:c>
      <x:c r="B98" s="798"/>
      <x:c r="C98" s="798"/>
      <x:c r="D98" s="798" t="str">
        <x:f>IF($C98="","",TEXTJOIN(" ",TRUE,INDEX(Taxepunkter!$C:$C,$C98),INDEX(Taxepunkter!$D:$D,$C98)))</x:f>
      </x:c>
      <x:c r="E98" s="798" t="str">
        <x:f>IF($C98="","","Saknas i EDP – föreslagen ny taxa")</x:f>
      </x:c>
      <x:c r="F98" s="798" t="str">
        <x:f>IF($C98="","","Automatiserad mall: fyll Rad i Taxepunkter och FöreslagenTaxekod")</x:f>
      </x:c>
      <x:c r="G98" s="799"/>
      <x:c r="H98" s="800" t="str">
        <x:f>IF($C98="","",$C98)</x:f>
      </x:c>
      <x:c r="I98" s="800" t="str">
        <x:f>IF($C98="","",INDEX(Taxepunkter!$B:$B,$C98)&amp;" / "&amp;INDEX(Taxepunkter!$C:$C,$C98))</x:f>
      </x:c>
      <x:c r="J98" s="800" t="str">
        <x:f>IF($G98="","",$G98)</x:f>
      </x:c>
      <x:c r="K98" s="800" t="str">
        <x:f>IF($C98="","",INDEX(Taxepunkter!$C:$C,$C98)&amp;IF(INDEX(Taxepunkter!$D:$D,$C98)="","",". "&amp;INDEX(Taxepunkter!$D:$D,$C98)))</x:f>
      </x:c>
      <x:c r="L98" s="800" t="str">
        <x:f>IF($C98="","","RENH")</x:f>
      </x:c>
      <x:c r="M98" s="800" t="str">
        <x:f>IF($C98="","","HUSH")</x:f>
      </x:c>
      <x:c r="N98" s="800" t="str">
        <x:f>IF($C98="","",1)</x:f>
      </x:c>
      <x:c r="O98" s="800" t="str">
        <x:f>IF($C98="","","ÅRKV")</x:f>
      </x:c>
      <x:c r="P98" s="800" t="str">
        <x:f>IF($C98="","",TEXTJOIN(" ",TRUE,INDEX(Taxepunkter!$C:$C,$C98),INDEX(Taxepunkter!$D:$D,$C98)))</x:f>
      </x:c>
      <x:c r="Q98" s="800"/>
      <x:c r="R98" s="800"/>
      <x:c r="S98" s="800"/>
      <x:c r="T98" s="800"/>
      <x:c r="U98" s="800" t="str">
        <x:f>IF($C98="","",0)</x:f>
      </x:c>
      <x:c r="V98" s="800"/>
      <x:c r="W98" s="800" t="str">
        <x:f>IF($C98="","","-")</x:f>
      </x:c>
      <x:c r="X98" s="800" t="str">
        <x:f>IF($C98="","",1)</x:f>
      </x:c>
      <x:c r="Y98" s="885" t="str">
        <x:f>IF($C98="","","ANTB")</x:f>
      </x:c>
    </x:row>
    <x:row r="99">
      <x:c r="A99" s="884" t="str">
        <x:f>IF($C99="","",INDEX(Taxepunkter!$A:$A,$C99))</x:f>
      </x:c>
      <x:c r="B99" s="798"/>
      <x:c r="C99" s="798"/>
      <x:c r="D99" s="798" t="str">
        <x:f>IF($C99="","",TEXTJOIN(" ",TRUE,INDEX(Taxepunkter!$C:$C,$C99),INDEX(Taxepunkter!$D:$D,$C99)))</x:f>
      </x:c>
      <x:c r="E99" s="798" t="str">
        <x:f>IF($C99="","","Saknas i EDP – föreslagen ny taxa")</x:f>
      </x:c>
      <x:c r="F99" s="798" t="str">
        <x:f>IF($C99="","","Automatiserad mall: fyll Rad i Taxepunkter och FöreslagenTaxekod")</x:f>
      </x:c>
      <x:c r="G99" s="799"/>
      <x:c r="H99" s="800" t="str">
        <x:f>IF($C99="","",$C99)</x:f>
      </x:c>
      <x:c r="I99" s="800" t="str">
        <x:f>IF($C99="","",INDEX(Taxepunkter!$B:$B,$C99)&amp;" / "&amp;INDEX(Taxepunkter!$C:$C,$C99))</x:f>
      </x:c>
      <x:c r="J99" s="800" t="str">
        <x:f>IF($G99="","",$G99)</x:f>
      </x:c>
      <x:c r="K99" s="800" t="str">
        <x:f>IF($C99="","",INDEX(Taxepunkter!$C:$C,$C99)&amp;IF(INDEX(Taxepunkter!$D:$D,$C99)="","",". "&amp;INDEX(Taxepunkter!$D:$D,$C99)))</x:f>
      </x:c>
      <x:c r="L99" s="800" t="str">
        <x:f>IF($C99="","","RENH")</x:f>
      </x:c>
      <x:c r="M99" s="800" t="str">
        <x:f>IF($C99="","","HUSH")</x:f>
      </x:c>
      <x:c r="N99" s="800" t="str">
        <x:f>IF($C99="","",1)</x:f>
      </x:c>
      <x:c r="O99" s="800" t="str">
        <x:f>IF($C99="","","ÅRKV")</x:f>
      </x:c>
      <x:c r="P99" s="800" t="str">
        <x:f>IF($C99="","",TEXTJOIN(" ",TRUE,INDEX(Taxepunkter!$C:$C,$C99),INDEX(Taxepunkter!$D:$D,$C99)))</x:f>
      </x:c>
      <x:c r="Q99" s="800"/>
      <x:c r="R99" s="800"/>
      <x:c r="S99" s="800"/>
      <x:c r="T99" s="800"/>
      <x:c r="U99" s="800" t="str">
        <x:f>IF($C99="","",0)</x:f>
      </x:c>
      <x:c r="V99" s="800"/>
      <x:c r="W99" s="800" t="str">
        <x:f>IF($C99="","","-")</x:f>
      </x:c>
      <x:c r="X99" s="800" t="str">
        <x:f>IF($C99="","",1)</x:f>
      </x:c>
      <x:c r="Y99" s="885" t="str">
        <x:f>IF($C99="","","ANTB")</x:f>
      </x:c>
    </x:row>
    <x:row r="100">
      <x:c r="A100" s="884" t="str">
        <x:f>IF($C100="","",INDEX(Taxepunkter!$A:$A,$C100))</x:f>
      </x:c>
      <x:c r="B100" s="798"/>
      <x:c r="C100" s="798"/>
      <x:c r="D100" s="798" t="str">
        <x:f>IF($C100="","",TEXTJOIN(" ",TRUE,INDEX(Taxepunkter!$C:$C,$C100),INDEX(Taxepunkter!$D:$D,$C100)))</x:f>
      </x:c>
      <x:c r="E100" s="798" t="str">
        <x:f>IF($C100="","","Saknas i EDP – föreslagen ny taxa")</x:f>
      </x:c>
      <x:c r="F100" s="798" t="str">
        <x:f>IF($C100="","","Automatiserad mall: fyll Rad i Taxepunkter och FöreslagenTaxekod")</x:f>
      </x:c>
      <x:c r="G100" s="799"/>
      <x:c r="H100" s="800" t="str">
        <x:f>IF($C100="","",$C100)</x:f>
      </x:c>
      <x:c r="I100" s="800" t="str">
        <x:f>IF($C100="","",INDEX(Taxepunkter!$B:$B,$C100)&amp;" / "&amp;INDEX(Taxepunkter!$C:$C,$C100))</x:f>
      </x:c>
      <x:c r="J100" s="800" t="str">
        <x:f>IF($G100="","",$G100)</x:f>
      </x:c>
      <x:c r="K100" s="800" t="str">
        <x:f>IF($C100="","",INDEX(Taxepunkter!$C:$C,$C100)&amp;IF(INDEX(Taxepunkter!$D:$D,$C100)="","",". "&amp;INDEX(Taxepunkter!$D:$D,$C100)))</x:f>
      </x:c>
      <x:c r="L100" s="800" t="str">
        <x:f>IF($C100="","","RENH")</x:f>
      </x:c>
      <x:c r="M100" s="800" t="str">
        <x:f>IF($C100="","","HUSH")</x:f>
      </x:c>
      <x:c r="N100" s="800" t="str">
        <x:f>IF($C100="","",1)</x:f>
      </x:c>
      <x:c r="O100" s="800" t="str">
        <x:f>IF($C100="","","ÅRKV")</x:f>
      </x:c>
      <x:c r="P100" s="800" t="str">
        <x:f>IF($C100="","",TEXTJOIN(" ",TRUE,INDEX(Taxepunkter!$C:$C,$C100),INDEX(Taxepunkter!$D:$D,$C100)))</x:f>
      </x:c>
      <x:c r="Q100" s="800"/>
      <x:c r="R100" s="800"/>
      <x:c r="S100" s="800"/>
      <x:c r="T100" s="800"/>
      <x:c r="U100" s="800" t="str">
        <x:f>IF($C100="","",0)</x:f>
      </x:c>
      <x:c r="V100" s="800"/>
      <x:c r="W100" s="800" t="str">
        <x:f>IF($C100="","","-")</x:f>
      </x:c>
      <x:c r="X100" s="800" t="str">
        <x:f>IF($C100="","",1)</x:f>
      </x:c>
      <x:c r="Y100" s="885" t="str">
        <x:f>IF($C100="","","ANTB")</x:f>
      </x:c>
    </x:row>
    <x:row r="101">
      <x:c r="A101" s="884" t="str">
        <x:f>IF($C101="","",INDEX(Taxepunkter!$A:$A,$C101))</x:f>
      </x:c>
      <x:c r="B101" s="798"/>
      <x:c r="C101" s="798"/>
      <x:c r="D101" s="798" t="str">
        <x:f>IF($C101="","",TEXTJOIN(" ",TRUE,INDEX(Taxepunkter!$C:$C,$C101),INDEX(Taxepunkter!$D:$D,$C101)))</x:f>
      </x:c>
      <x:c r="E101" s="798" t="str">
        <x:f>IF($C101="","","Saknas i EDP – föreslagen ny taxa")</x:f>
      </x:c>
      <x:c r="F101" s="798" t="str">
        <x:f>IF($C101="","","Automatiserad mall: fyll Rad i Taxepunkter och FöreslagenTaxekod")</x:f>
      </x:c>
      <x:c r="G101" s="799"/>
      <x:c r="H101" s="800" t="str">
        <x:f>IF($C101="","",$C101)</x:f>
      </x:c>
      <x:c r="I101" s="800" t="str">
        <x:f>IF($C101="","",INDEX(Taxepunkter!$B:$B,$C101)&amp;" / "&amp;INDEX(Taxepunkter!$C:$C,$C101))</x:f>
      </x:c>
      <x:c r="J101" s="800" t="str">
        <x:f>IF($G101="","",$G101)</x:f>
      </x:c>
      <x:c r="K101" s="800" t="str">
        <x:f>IF($C101="","",INDEX(Taxepunkter!$C:$C,$C101)&amp;IF(INDEX(Taxepunkter!$D:$D,$C101)="","",". "&amp;INDEX(Taxepunkter!$D:$D,$C101)))</x:f>
      </x:c>
      <x:c r="L101" s="800" t="str">
        <x:f>IF($C101="","","RENH")</x:f>
      </x:c>
      <x:c r="M101" s="800" t="str">
        <x:f>IF($C101="","","HUSH")</x:f>
      </x:c>
      <x:c r="N101" s="800" t="str">
        <x:f>IF($C101="","",1)</x:f>
      </x:c>
      <x:c r="O101" s="800" t="str">
        <x:f>IF($C101="","","ÅRKV")</x:f>
      </x:c>
      <x:c r="P101" s="800" t="str">
        <x:f>IF($C101="","",TEXTJOIN(" ",TRUE,INDEX(Taxepunkter!$C:$C,$C101),INDEX(Taxepunkter!$D:$D,$C101)))</x:f>
      </x:c>
      <x:c r="Q101" s="800"/>
      <x:c r="R101" s="800"/>
      <x:c r="S101" s="800"/>
      <x:c r="T101" s="800"/>
      <x:c r="U101" s="800" t="str">
        <x:f>IF($C101="","",0)</x:f>
      </x:c>
      <x:c r="V101" s="800"/>
      <x:c r="W101" s="800" t="str">
        <x:f>IF($C101="","","-")</x:f>
      </x:c>
      <x:c r="X101" s="800" t="str">
        <x:f>IF($C101="","",1)</x:f>
      </x:c>
      <x:c r="Y101" s="885" t="str">
        <x:f>IF($C101="","","ANTB")</x:f>
      </x:c>
    </x:row>
    <x:row r="102">
      <x:c r="A102" s="884" t="str">
        <x:f>IF($C102="","",INDEX(Taxepunkter!$A:$A,$C102))</x:f>
      </x:c>
      <x:c r="B102" s="798"/>
      <x:c r="C102" s="798"/>
      <x:c r="D102" s="798" t="str">
        <x:f>IF($C102="","",TEXTJOIN(" ",TRUE,INDEX(Taxepunkter!$C:$C,$C102),INDEX(Taxepunkter!$D:$D,$C102)))</x:f>
      </x:c>
      <x:c r="E102" s="798" t="str">
        <x:f>IF($C102="","","Saknas i EDP – föreslagen ny taxa")</x:f>
      </x:c>
      <x:c r="F102" s="798" t="str">
        <x:f>IF($C102="","","Automatiserad mall: fyll Rad i Taxepunkter och FöreslagenTaxekod")</x:f>
      </x:c>
      <x:c r="G102" s="799"/>
      <x:c r="H102" s="800" t="str">
        <x:f>IF($C102="","",$C102)</x:f>
      </x:c>
      <x:c r="I102" s="800" t="str">
        <x:f>IF($C102="","",INDEX(Taxepunkter!$B:$B,$C102)&amp;" / "&amp;INDEX(Taxepunkter!$C:$C,$C102))</x:f>
      </x:c>
      <x:c r="J102" s="800" t="str">
        <x:f>IF($G102="","",$G102)</x:f>
      </x:c>
      <x:c r="K102" s="800" t="str">
        <x:f>IF($C102="","",INDEX(Taxepunkter!$C:$C,$C102)&amp;IF(INDEX(Taxepunkter!$D:$D,$C102)="","",". "&amp;INDEX(Taxepunkter!$D:$D,$C102)))</x:f>
      </x:c>
      <x:c r="L102" s="800" t="str">
        <x:f>IF($C102="","","RENH")</x:f>
      </x:c>
      <x:c r="M102" s="800" t="str">
        <x:f>IF($C102="","","HUSH")</x:f>
      </x:c>
      <x:c r="N102" s="800" t="str">
        <x:f>IF($C102="","",1)</x:f>
      </x:c>
      <x:c r="O102" s="800" t="str">
        <x:f>IF($C102="","","ÅRKV")</x:f>
      </x:c>
      <x:c r="P102" s="800" t="str">
        <x:f>IF($C102="","",TEXTJOIN(" ",TRUE,INDEX(Taxepunkter!$C:$C,$C102),INDEX(Taxepunkter!$D:$D,$C102)))</x:f>
      </x:c>
      <x:c r="Q102" s="800"/>
      <x:c r="R102" s="800"/>
      <x:c r="S102" s="800"/>
      <x:c r="T102" s="800"/>
      <x:c r="U102" s="800" t="str">
        <x:f>IF($C102="","",0)</x:f>
      </x:c>
      <x:c r="V102" s="800"/>
      <x:c r="W102" s="800" t="str">
        <x:f>IF($C102="","","-")</x:f>
      </x:c>
      <x:c r="X102" s="800" t="str">
        <x:f>IF($C102="","",1)</x:f>
      </x:c>
      <x:c r="Y102" s="885" t="str">
        <x:f>IF($C102="","","ANTB")</x:f>
      </x:c>
    </x:row>
    <x:row r="103">
      <x:c r="A103" s="884" t="str">
        <x:f>IF($C103="","",INDEX(Taxepunkter!$A:$A,$C103))</x:f>
      </x:c>
      <x:c r="B103" s="798"/>
      <x:c r="C103" s="798"/>
      <x:c r="D103" s="798" t="str">
        <x:f>IF($C103="","",TEXTJOIN(" ",TRUE,INDEX(Taxepunkter!$C:$C,$C103),INDEX(Taxepunkter!$D:$D,$C103)))</x:f>
      </x:c>
      <x:c r="E103" s="798" t="str">
        <x:f>IF($C103="","","Saknas i EDP – föreslagen ny taxa")</x:f>
      </x:c>
      <x:c r="F103" s="798" t="str">
        <x:f>IF($C103="","","Automatiserad mall: fyll Rad i Taxepunkter och FöreslagenTaxekod")</x:f>
      </x:c>
      <x:c r="G103" s="799"/>
      <x:c r="H103" s="800" t="str">
        <x:f>IF($C103="","",$C103)</x:f>
      </x:c>
      <x:c r="I103" s="800" t="str">
        <x:f>IF($C103="","",INDEX(Taxepunkter!$B:$B,$C103)&amp;" / "&amp;INDEX(Taxepunkter!$C:$C,$C103))</x:f>
      </x:c>
      <x:c r="J103" s="800" t="str">
        <x:f>IF($G103="","",$G103)</x:f>
      </x:c>
      <x:c r="K103" s="800" t="str">
        <x:f>IF($C103="","",INDEX(Taxepunkter!$C:$C,$C103)&amp;IF(INDEX(Taxepunkter!$D:$D,$C103)="","",". "&amp;INDEX(Taxepunkter!$D:$D,$C103)))</x:f>
      </x:c>
      <x:c r="L103" s="800" t="str">
        <x:f>IF($C103="","","RENH")</x:f>
      </x:c>
      <x:c r="M103" s="800" t="str">
        <x:f>IF($C103="","","HUSH")</x:f>
      </x:c>
      <x:c r="N103" s="800" t="str">
        <x:f>IF($C103="","",1)</x:f>
      </x:c>
      <x:c r="O103" s="800" t="str">
        <x:f>IF($C103="","","ÅRKV")</x:f>
      </x:c>
      <x:c r="P103" s="800" t="str">
        <x:f>IF($C103="","",TEXTJOIN(" ",TRUE,INDEX(Taxepunkter!$C:$C,$C103),INDEX(Taxepunkter!$D:$D,$C103)))</x:f>
      </x:c>
      <x:c r="Q103" s="800"/>
      <x:c r="R103" s="800"/>
      <x:c r="S103" s="800"/>
      <x:c r="T103" s="800"/>
      <x:c r="U103" s="800" t="str">
        <x:f>IF($C103="","",0)</x:f>
      </x:c>
      <x:c r="V103" s="800"/>
      <x:c r="W103" s="800" t="str">
        <x:f>IF($C103="","","-")</x:f>
      </x:c>
      <x:c r="X103" s="800" t="str">
        <x:f>IF($C103="","",1)</x:f>
      </x:c>
      <x:c r="Y103" s="885" t="str">
        <x:f>IF($C103="","","ANTB")</x:f>
      </x:c>
    </x:row>
    <x:row r="104">
      <x:c r="A104" s="884" t="str">
        <x:f>IF($C104="","",INDEX(Taxepunkter!$A:$A,$C104))</x:f>
      </x:c>
      <x:c r="B104" s="798"/>
      <x:c r="C104" s="798"/>
      <x:c r="D104" s="798" t="str">
        <x:f>IF($C104="","",TEXTJOIN(" ",TRUE,INDEX(Taxepunkter!$C:$C,$C104),INDEX(Taxepunkter!$D:$D,$C104)))</x:f>
      </x:c>
      <x:c r="E104" s="798" t="str">
        <x:f>IF($C104="","","Saknas i EDP – föreslagen ny taxa")</x:f>
      </x:c>
      <x:c r="F104" s="798" t="str">
        <x:f>IF($C104="","","Automatiserad mall: fyll Rad i Taxepunkter och FöreslagenTaxekod")</x:f>
      </x:c>
      <x:c r="G104" s="799"/>
      <x:c r="H104" s="800" t="str">
        <x:f>IF($C104="","",$C104)</x:f>
      </x:c>
      <x:c r="I104" s="800" t="str">
        <x:f>IF($C104="","",INDEX(Taxepunkter!$B:$B,$C104)&amp;" / "&amp;INDEX(Taxepunkter!$C:$C,$C104))</x:f>
      </x:c>
      <x:c r="J104" s="800" t="str">
        <x:f>IF($G104="","",$G104)</x:f>
      </x:c>
      <x:c r="K104" s="800" t="str">
        <x:f>IF($C104="","",INDEX(Taxepunkter!$C:$C,$C104)&amp;IF(INDEX(Taxepunkter!$D:$D,$C104)="","",". "&amp;INDEX(Taxepunkter!$D:$D,$C104)))</x:f>
      </x:c>
      <x:c r="L104" s="800" t="str">
        <x:f>IF($C104="","","RENH")</x:f>
      </x:c>
      <x:c r="M104" s="800" t="str">
        <x:f>IF($C104="","","HUSH")</x:f>
      </x:c>
      <x:c r="N104" s="800" t="str">
        <x:f>IF($C104="","",1)</x:f>
      </x:c>
      <x:c r="O104" s="800" t="str">
        <x:f>IF($C104="","","ÅRKV")</x:f>
      </x:c>
      <x:c r="P104" s="800" t="str">
        <x:f>IF($C104="","",TEXTJOIN(" ",TRUE,INDEX(Taxepunkter!$C:$C,$C104),INDEX(Taxepunkter!$D:$D,$C104)))</x:f>
      </x:c>
      <x:c r="Q104" s="800"/>
      <x:c r="R104" s="800"/>
      <x:c r="S104" s="800"/>
      <x:c r="T104" s="800"/>
      <x:c r="U104" s="800" t="str">
        <x:f>IF($C104="","",0)</x:f>
      </x:c>
      <x:c r="V104" s="800"/>
      <x:c r="W104" s="800" t="str">
        <x:f>IF($C104="","","-")</x:f>
      </x:c>
      <x:c r="X104" s="800" t="str">
        <x:f>IF($C104="","",1)</x:f>
      </x:c>
      <x:c r="Y104" s="885" t="str">
        <x:f>IF($C104="","","ANTB")</x:f>
      </x:c>
    </x:row>
    <x:row r="105">
      <x:c r="A105" s="884" t="str">
        <x:f>IF($C105="","",INDEX(Taxepunkter!$A:$A,$C105))</x:f>
      </x:c>
      <x:c r="B105" s="798"/>
      <x:c r="C105" s="798"/>
      <x:c r="D105" s="798" t="str">
        <x:f>IF($C105="","",TEXTJOIN(" ",TRUE,INDEX(Taxepunkter!$C:$C,$C105),INDEX(Taxepunkter!$D:$D,$C105)))</x:f>
      </x:c>
      <x:c r="E105" s="798" t="str">
        <x:f>IF($C105="","","Saknas i EDP – föreslagen ny taxa")</x:f>
      </x:c>
      <x:c r="F105" s="798" t="str">
        <x:f>IF($C105="","","Automatiserad mall: fyll Rad i Taxepunkter och FöreslagenTaxekod")</x:f>
      </x:c>
      <x:c r="G105" s="799"/>
      <x:c r="H105" s="800" t="str">
        <x:f>IF($C105="","",$C105)</x:f>
      </x:c>
      <x:c r="I105" s="800" t="str">
        <x:f>IF($C105="","",INDEX(Taxepunkter!$B:$B,$C105)&amp;" / "&amp;INDEX(Taxepunkter!$C:$C,$C105))</x:f>
      </x:c>
      <x:c r="J105" s="800" t="str">
        <x:f>IF($G105="","",$G105)</x:f>
      </x:c>
      <x:c r="K105" s="800" t="str">
        <x:f>IF($C105="","",INDEX(Taxepunkter!$C:$C,$C105)&amp;IF(INDEX(Taxepunkter!$D:$D,$C105)="","",". "&amp;INDEX(Taxepunkter!$D:$D,$C105)))</x:f>
      </x:c>
      <x:c r="L105" s="800" t="str">
        <x:f>IF($C105="","","RENH")</x:f>
      </x:c>
      <x:c r="M105" s="800" t="str">
        <x:f>IF($C105="","","HUSH")</x:f>
      </x:c>
      <x:c r="N105" s="800" t="str">
        <x:f>IF($C105="","",1)</x:f>
      </x:c>
      <x:c r="O105" s="800" t="str">
        <x:f>IF($C105="","","ÅRKV")</x:f>
      </x:c>
      <x:c r="P105" s="800" t="str">
        <x:f>IF($C105="","",TEXTJOIN(" ",TRUE,INDEX(Taxepunkter!$C:$C,$C105),INDEX(Taxepunkter!$D:$D,$C105)))</x:f>
      </x:c>
      <x:c r="Q105" s="800"/>
      <x:c r="R105" s="800"/>
      <x:c r="S105" s="800"/>
      <x:c r="T105" s="800"/>
      <x:c r="U105" s="800" t="str">
        <x:f>IF($C105="","",0)</x:f>
      </x:c>
      <x:c r="V105" s="800"/>
      <x:c r="W105" s="800" t="str">
        <x:f>IF($C105="","","-")</x:f>
      </x:c>
      <x:c r="X105" s="800" t="str">
        <x:f>IF($C105="","",1)</x:f>
      </x:c>
      <x:c r="Y105" s="885" t="str">
        <x:f>IF($C105="","","ANTB")</x:f>
      </x:c>
    </x:row>
    <x:row r="106">
      <x:c r="A106" s="884" t="str">
        <x:f>IF($C106="","",INDEX(Taxepunkter!$A:$A,$C106))</x:f>
      </x:c>
      <x:c r="B106" s="798"/>
      <x:c r="C106" s="798"/>
      <x:c r="D106" s="798" t="str">
        <x:f>IF($C106="","",TEXTJOIN(" ",TRUE,INDEX(Taxepunkter!$C:$C,$C106),INDEX(Taxepunkter!$D:$D,$C106)))</x:f>
      </x:c>
      <x:c r="E106" s="798" t="str">
        <x:f>IF($C106="","","Saknas i EDP – föreslagen ny taxa")</x:f>
      </x:c>
      <x:c r="F106" s="798" t="str">
        <x:f>IF($C106="","","Automatiserad mall: fyll Rad i Taxepunkter och FöreslagenTaxekod")</x:f>
      </x:c>
      <x:c r="G106" s="799"/>
      <x:c r="H106" s="800" t="str">
        <x:f>IF($C106="","",$C106)</x:f>
      </x:c>
      <x:c r="I106" s="800" t="str">
        <x:f>IF($C106="","",INDEX(Taxepunkter!$B:$B,$C106)&amp;" / "&amp;INDEX(Taxepunkter!$C:$C,$C106))</x:f>
      </x:c>
      <x:c r="J106" s="800" t="str">
        <x:f>IF($G106="","",$G106)</x:f>
      </x:c>
      <x:c r="K106" s="800" t="str">
        <x:f>IF($C106="","",INDEX(Taxepunkter!$C:$C,$C106)&amp;IF(INDEX(Taxepunkter!$D:$D,$C106)="","",". "&amp;INDEX(Taxepunkter!$D:$D,$C106)))</x:f>
      </x:c>
      <x:c r="L106" s="800" t="str">
        <x:f>IF($C106="","","RENH")</x:f>
      </x:c>
      <x:c r="M106" s="800" t="str">
        <x:f>IF($C106="","","HUSH")</x:f>
      </x:c>
      <x:c r="N106" s="800" t="str">
        <x:f>IF($C106="","",1)</x:f>
      </x:c>
      <x:c r="O106" s="800" t="str">
        <x:f>IF($C106="","","ÅRKV")</x:f>
      </x:c>
      <x:c r="P106" s="800" t="str">
        <x:f>IF($C106="","",TEXTJOIN(" ",TRUE,INDEX(Taxepunkter!$C:$C,$C106),INDEX(Taxepunkter!$D:$D,$C106)))</x:f>
      </x:c>
      <x:c r="Q106" s="800"/>
      <x:c r="R106" s="800"/>
      <x:c r="S106" s="800"/>
      <x:c r="T106" s="800"/>
      <x:c r="U106" s="800" t="str">
        <x:f>IF($C106="","",0)</x:f>
      </x:c>
      <x:c r="V106" s="800"/>
      <x:c r="W106" s="800" t="str">
        <x:f>IF($C106="","","-")</x:f>
      </x:c>
      <x:c r="X106" s="800" t="str">
        <x:f>IF($C106="","",1)</x:f>
      </x:c>
      <x:c r="Y106" s="885" t="str">
        <x:f>IF($C106="","","ANTB")</x:f>
      </x:c>
    </x:row>
    <x:row r="107">
      <x:c r="A107" s="884" t="str">
        <x:f>IF($C107="","",INDEX(Taxepunkter!$A:$A,$C107))</x:f>
      </x:c>
      <x:c r="B107" s="798"/>
      <x:c r="C107" s="798"/>
      <x:c r="D107" s="798" t="str">
        <x:f>IF($C107="","",TEXTJOIN(" ",TRUE,INDEX(Taxepunkter!$C:$C,$C107),INDEX(Taxepunkter!$D:$D,$C107)))</x:f>
      </x:c>
      <x:c r="E107" s="798" t="str">
        <x:f>IF($C107="","","Saknas i EDP – föreslagen ny taxa")</x:f>
      </x:c>
      <x:c r="F107" s="798" t="str">
        <x:f>IF($C107="","","Automatiserad mall: fyll Rad i Taxepunkter och FöreslagenTaxekod")</x:f>
      </x:c>
      <x:c r="G107" s="799"/>
      <x:c r="H107" s="800" t="str">
        <x:f>IF($C107="","",$C107)</x:f>
      </x:c>
      <x:c r="I107" s="800" t="str">
        <x:f>IF($C107="","",INDEX(Taxepunkter!$B:$B,$C107)&amp;" / "&amp;INDEX(Taxepunkter!$C:$C,$C107))</x:f>
      </x:c>
      <x:c r="J107" s="800" t="str">
        <x:f>IF($G107="","",$G107)</x:f>
      </x:c>
      <x:c r="K107" s="800" t="str">
        <x:f>IF($C107="","",INDEX(Taxepunkter!$C:$C,$C107)&amp;IF(INDEX(Taxepunkter!$D:$D,$C107)="","",". "&amp;INDEX(Taxepunkter!$D:$D,$C107)))</x:f>
      </x:c>
      <x:c r="L107" s="800" t="str">
        <x:f>IF($C107="","","RENH")</x:f>
      </x:c>
      <x:c r="M107" s="800" t="str">
        <x:f>IF($C107="","","HUSH")</x:f>
      </x:c>
      <x:c r="N107" s="800" t="str">
        <x:f>IF($C107="","",1)</x:f>
      </x:c>
      <x:c r="O107" s="800" t="str">
        <x:f>IF($C107="","","ÅRKV")</x:f>
      </x:c>
      <x:c r="P107" s="800" t="str">
        <x:f>IF($C107="","",TEXTJOIN(" ",TRUE,INDEX(Taxepunkter!$C:$C,$C107),INDEX(Taxepunkter!$D:$D,$C107)))</x:f>
      </x:c>
      <x:c r="Q107" s="800"/>
      <x:c r="R107" s="800"/>
      <x:c r="S107" s="800"/>
      <x:c r="T107" s="800"/>
      <x:c r="U107" s="800" t="str">
        <x:f>IF($C107="","",0)</x:f>
      </x:c>
      <x:c r="V107" s="800"/>
      <x:c r="W107" s="800" t="str">
        <x:f>IF($C107="","","-")</x:f>
      </x:c>
      <x:c r="X107" s="800" t="str">
        <x:f>IF($C107="","",1)</x:f>
      </x:c>
      <x:c r="Y107" s="885" t="str">
        <x:f>IF($C107="","","ANTB")</x:f>
      </x:c>
    </x:row>
    <x:row r="108">
      <x:c r="A108" s="884" t="str">
        <x:f>IF($C108="","",INDEX(Taxepunkter!$A:$A,$C108))</x:f>
      </x:c>
      <x:c r="B108" s="798"/>
      <x:c r="C108" s="798"/>
      <x:c r="D108" s="798" t="str">
        <x:f>IF($C108="","",TEXTJOIN(" ",TRUE,INDEX(Taxepunkter!$C:$C,$C108),INDEX(Taxepunkter!$D:$D,$C108)))</x:f>
      </x:c>
      <x:c r="E108" s="798" t="str">
        <x:f>IF($C108="","","Saknas i EDP – föreslagen ny taxa")</x:f>
      </x:c>
      <x:c r="F108" s="798" t="str">
        <x:f>IF($C108="","","Automatiserad mall: fyll Rad i Taxepunkter och FöreslagenTaxekod")</x:f>
      </x:c>
      <x:c r="G108" s="799"/>
      <x:c r="H108" s="800" t="str">
        <x:f>IF($C108="","",$C108)</x:f>
      </x:c>
      <x:c r="I108" s="800" t="str">
        <x:f>IF($C108="","",INDEX(Taxepunkter!$B:$B,$C108)&amp;" / "&amp;INDEX(Taxepunkter!$C:$C,$C108))</x:f>
      </x:c>
      <x:c r="J108" s="800" t="str">
        <x:f>IF($G108="","",$G108)</x:f>
      </x:c>
      <x:c r="K108" s="800" t="str">
        <x:f>IF($C108="","",INDEX(Taxepunkter!$C:$C,$C108)&amp;IF(INDEX(Taxepunkter!$D:$D,$C108)="","",". "&amp;INDEX(Taxepunkter!$D:$D,$C108)))</x:f>
      </x:c>
      <x:c r="L108" s="800" t="str">
        <x:f>IF($C108="","","RENH")</x:f>
      </x:c>
      <x:c r="M108" s="800" t="str">
        <x:f>IF($C108="","","HUSH")</x:f>
      </x:c>
      <x:c r="N108" s="800" t="str">
        <x:f>IF($C108="","",1)</x:f>
      </x:c>
      <x:c r="O108" s="800" t="str">
        <x:f>IF($C108="","","ÅRKV")</x:f>
      </x:c>
      <x:c r="P108" s="800" t="str">
        <x:f>IF($C108="","",TEXTJOIN(" ",TRUE,INDEX(Taxepunkter!$C:$C,$C108),INDEX(Taxepunkter!$D:$D,$C108)))</x:f>
      </x:c>
      <x:c r="Q108" s="800"/>
      <x:c r="R108" s="800"/>
      <x:c r="S108" s="800"/>
      <x:c r="T108" s="800"/>
      <x:c r="U108" s="800" t="str">
        <x:f>IF($C108="","",0)</x:f>
      </x:c>
      <x:c r="V108" s="800"/>
      <x:c r="W108" s="800" t="str">
        <x:f>IF($C108="","","-")</x:f>
      </x:c>
      <x:c r="X108" s="800" t="str">
        <x:f>IF($C108="","",1)</x:f>
      </x:c>
      <x:c r="Y108" s="885" t="str">
        <x:f>IF($C108="","","ANTB")</x:f>
      </x:c>
    </x:row>
    <x:row r="109">
      <x:c r="A109" s="884" t="str">
        <x:f>IF($C109="","",INDEX(Taxepunkter!$A:$A,$C109))</x:f>
      </x:c>
      <x:c r="B109" s="798"/>
      <x:c r="C109" s="798"/>
      <x:c r="D109" s="798" t="str">
        <x:f>IF($C109="","",TEXTJOIN(" ",TRUE,INDEX(Taxepunkter!$C:$C,$C109),INDEX(Taxepunkter!$D:$D,$C109)))</x:f>
      </x:c>
      <x:c r="E109" s="798" t="str">
        <x:f>IF($C109="","","Saknas i EDP – föreslagen ny taxa")</x:f>
      </x:c>
      <x:c r="F109" s="798" t="str">
        <x:f>IF($C109="","","Automatiserad mall: fyll Rad i Taxepunkter och FöreslagenTaxekod")</x:f>
      </x:c>
      <x:c r="G109" s="799"/>
      <x:c r="H109" s="800" t="str">
        <x:f>IF($C109="","",$C109)</x:f>
      </x:c>
      <x:c r="I109" s="800" t="str">
        <x:f>IF($C109="","",INDEX(Taxepunkter!$B:$B,$C109)&amp;" / "&amp;INDEX(Taxepunkter!$C:$C,$C109))</x:f>
      </x:c>
      <x:c r="J109" s="800" t="str">
        <x:f>IF($G109="","",$G109)</x:f>
      </x:c>
      <x:c r="K109" s="800" t="str">
        <x:f>IF($C109="","",INDEX(Taxepunkter!$C:$C,$C109)&amp;IF(INDEX(Taxepunkter!$D:$D,$C109)="","",". "&amp;INDEX(Taxepunkter!$D:$D,$C109)))</x:f>
      </x:c>
      <x:c r="L109" s="800" t="str">
        <x:f>IF($C109="","","RENH")</x:f>
      </x:c>
      <x:c r="M109" s="800" t="str">
        <x:f>IF($C109="","","HUSH")</x:f>
      </x:c>
      <x:c r="N109" s="800" t="str">
        <x:f>IF($C109="","",1)</x:f>
      </x:c>
      <x:c r="O109" s="800" t="str">
        <x:f>IF($C109="","","ÅRKV")</x:f>
      </x:c>
      <x:c r="P109" s="800" t="str">
        <x:f>IF($C109="","",TEXTJOIN(" ",TRUE,INDEX(Taxepunkter!$C:$C,$C109),INDEX(Taxepunkter!$D:$D,$C109)))</x:f>
      </x:c>
      <x:c r="Q109" s="800"/>
      <x:c r="R109" s="800"/>
      <x:c r="S109" s="800"/>
      <x:c r="T109" s="800"/>
      <x:c r="U109" s="800" t="str">
        <x:f>IF($C109="","",0)</x:f>
      </x:c>
      <x:c r="V109" s="800"/>
      <x:c r="W109" s="800" t="str">
        <x:f>IF($C109="","","-")</x:f>
      </x:c>
      <x:c r="X109" s="800" t="str">
        <x:f>IF($C109="","",1)</x:f>
      </x:c>
      <x:c r="Y109" s="885" t="str">
        <x:f>IF($C109="","","ANTB")</x:f>
      </x:c>
    </x:row>
    <x:row r="110">
      <x:c r="A110" s="884" t="str">
        <x:f>IF($C110="","",INDEX(Taxepunkter!$A:$A,$C110))</x:f>
      </x:c>
      <x:c r="B110" s="798"/>
      <x:c r="C110" s="798"/>
      <x:c r="D110" s="798" t="str">
        <x:f>IF($C110="","",TEXTJOIN(" ",TRUE,INDEX(Taxepunkter!$C:$C,$C110),INDEX(Taxepunkter!$D:$D,$C110)))</x:f>
      </x:c>
      <x:c r="E110" s="798" t="str">
        <x:f>IF($C110="","","Saknas i EDP – föreslagen ny taxa")</x:f>
      </x:c>
      <x:c r="F110" s="798" t="str">
        <x:f>IF($C110="","","Automatiserad mall: fyll Rad i Taxepunkter och FöreslagenTaxekod")</x:f>
      </x:c>
      <x:c r="G110" s="799"/>
      <x:c r="H110" s="800" t="str">
        <x:f>IF($C110="","",$C110)</x:f>
      </x:c>
      <x:c r="I110" s="800" t="str">
        <x:f>IF($C110="","",INDEX(Taxepunkter!$B:$B,$C110)&amp;" / "&amp;INDEX(Taxepunkter!$C:$C,$C110))</x:f>
      </x:c>
      <x:c r="J110" s="800" t="str">
        <x:f>IF($G110="","",$G110)</x:f>
      </x:c>
      <x:c r="K110" s="800" t="str">
        <x:f>IF($C110="","",INDEX(Taxepunkter!$C:$C,$C110)&amp;IF(INDEX(Taxepunkter!$D:$D,$C110)="","",". "&amp;INDEX(Taxepunkter!$D:$D,$C110)))</x:f>
      </x:c>
      <x:c r="L110" s="800" t="str">
        <x:f>IF($C110="","","RENH")</x:f>
      </x:c>
      <x:c r="M110" s="800" t="str">
        <x:f>IF($C110="","","HUSH")</x:f>
      </x:c>
      <x:c r="N110" s="800" t="str">
        <x:f>IF($C110="","",1)</x:f>
      </x:c>
      <x:c r="O110" s="800" t="str">
        <x:f>IF($C110="","","ÅRKV")</x:f>
      </x:c>
      <x:c r="P110" s="800" t="str">
        <x:f>IF($C110="","",TEXTJOIN(" ",TRUE,INDEX(Taxepunkter!$C:$C,$C110),INDEX(Taxepunkter!$D:$D,$C110)))</x:f>
      </x:c>
      <x:c r="Q110" s="800"/>
      <x:c r="R110" s="800"/>
      <x:c r="S110" s="800"/>
      <x:c r="T110" s="800"/>
      <x:c r="U110" s="800" t="str">
        <x:f>IF($C110="","",0)</x:f>
      </x:c>
      <x:c r="V110" s="800"/>
      <x:c r="W110" s="800" t="str">
        <x:f>IF($C110="","","-")</x:f>
      </x:c>
      <x:c r="X110" s="800" t="str">
        <x:f>IF($C110="","",1)</x:f>
      </x:c>
      <x:c r="Y110" s="885" t="str">
        <x:f>IF($C110="","","ANTB")</x:f>
      </x:c>
    </x:row>
    <x:row r="111">
      <x:c r="A111" s="884" t="str">
        <x:f>IF($C111="","",INDEX(Taxepunkter!$A:$A,$C111))</x:f>
      </x:c>
      <x:c r="B111" s="798"/>
      <x:c r="C111" s="798"/>
      <x:c r="D111" s="798" t="str">
        <x:f>IF($C111="","",TEXTJOIN(" ",TRUE,INDEX(Taxepunkter!$C:$C,$C111),INDEX(Taxepunkter!$D:$D,$C111)))</x:f>
      </x:c>
      <x:c r="E111" s="798" t="str">
        <x:f>IF($C111="","","Saknas i EDP – föreslagen ny taxa")</x:f>
      </x:c>
      <x:c r="F111" s="798" t="str">
        <x:f>IF($C111="","","Automatiserad mall: fyll Rad i Taxepunkter och FöreslagenTaxekod")</x:f>
      </x:c>
      <x:c r="G111" s="799"/>
      <x:c r="H111" s="800" t="str">
        <x:f>IF($C111="","",$C111)</x:f>
      </x:c>
      <x:c r="I111" s="800" t="str">
        <x:f>IF($C111="","",INDEX(Taxepunkter!$B:$B,$C111)&amp;" / "&amp;INDEX(Taxepunkter!$C:$C,$C111))</x:f>
      </x:c>
      <x:c r="J111" s="800" t="str">
        <x:f>IF($G111="","",$G111)</x:f>
      </x:c>
      <x:c r="K111" s="800" t="str">
        <x:f>IF($C111="","",INDEX(Taxepunkter!$C:$C,$C111)&amp;IF(INDEX(Taxepunkter!$D:$D,$C111)="","",". "&amp;INDEX(Taxepunkter!$D:$D,$C111)))</x:f>
      </x:c>
      <x:c r="L111" s="800" t="str">
        <x:f>IF($C111="","","RENH")</x:f>
      </x:c>
      <x:c r="M111" s="800" t="str">
        <x:f>IF($C111="","","HUSH")</x:f>
      </x:c>
      <x:c r="N111" s="800" t="str">
        <x:f>IF($C111="","",1)</x:f>
      </x:c>
      <x:c r="O111" s="800" t="str">
        <x:f>IF($C111="","","ÅRKV")</x:f>
      </x:c>
      <x:c r="P111" s="800" t="str">
        <x:f>IF($C111="","",TEXTJOIN(" ",TRUE,INDEX(Taxepunkter!$C:$C,$C111),INDEX(Taxepunkter!$D:$D,$C111)))</x:f>
      </x:c>
      <x:c r="Q111" s="800"/>
      <x:c r="R111" s="800"/>
      <x:c r="S111" s="800"/>
      <x:c r="T111" s="800"/>
      <x:c r="U111" s="800" t="str">
        <x:f>IF($C111="","",0)</x:f>
      </x:c>
      <x:c r="V111" s="800"/>
      <x:c r="W111" s="800" t="str">
        <x:f>IF($C111="","","-")</x:f>
      </x:c>
      <x:c r="X111" s="800" t="str">
        <x:f>IF($C111="","",1)</x:f>
      </x:c>
      <x:c r="Y111" s="885" t="str">
        <x:f>IF($C111="","","ANTB")</x:f>
      </x:c>
    </x:row>
    <x:row r="112">
      <x:c r="A112" s="884" t="str">
        <x:f>IF($C112="","",INDEX(Taxepunkter!$A:$A,$C112))</x:f>
      </x:c>
      <x:c r="B112" s="798"/>
      <x:c r="C112" s="798"/>
      <x:c r="D112" s="798" t="str">
        <x:f>IF($C112="","",TEXTJOIN(" ",TRUE,INDEX(Taxepunkter!$C:$C,$C112),INDEX(Taxepunkter!$D:$D,$C112)))</x:f>
      </x:c>
      <x:c r="E112" s="798" t="str">
        <x:f>IF($C112="","","Saknas i EDP – föreslagen ny taxa")</x:f>
      </x:c>
      <x:c r="F112" s="798" t="str">
        <x:f>IF($C112="","","Automatiserad mall: fyll Rad i Taxepunkter och FöreslagenTaxekod")</x:f>
      </x:c>
      <x:c r="G112" s="799"/>
      <x:c r="H112" s="800" t="str">
        <x:f>IF($C112="","",$C112)</x:f>
      </x:c>
      <x:c r="I112" s="800" t="str">
        <x:f>IF($C112="","",INDEX(Taxepunkter!$B:$B,$C112)&amp;" / "&amp;INDEX(Taxepunkter!$C:$C,$C112))</x:f>
      </x:c>
      <x:c r="J112" s="800" t="str">
        <x:f>IF($G112="","",$G112)</x:f>
      </x:c>
      <x:c r="K112" s="800" t="str">
        <x:f>IF($C112="","",INDEX(Taxepunkter!$C:$C,$C112)&amp;IF(INDEX(Taxepunkter!$D:$D,$C112)="","",". "&amp;INDEX(Taxepunkter!$D:$D,$C112)))</x:f>
      </x:c>
      <x:c r="L112" s="800" t="str">
        <x:f>IF($C112="","","RENH")</x:f>
      </x:c>
      <x:c r="M112" s="800" t="str">
        <x:f>IF($C112="","","HUSH")</x:f>
      </x:c>
      <x:c r="N112" s="800" t="str">
        <x:f>IF($C112="","",1)</x:f>
      </x:c>
      <x:c r="O112" s="800" t="str">
        <x:f>IF($C112="","","ÅRKV")</x:f>
      </x:c>
      <x:c r="P112" s="800" t="str">
        <x:f>IF($C112="","",TEXTJOIN(" ",TRUE,INDEX(Taxepunkter!$C:$C,$C112),INDEX(Taxepunkter!$D:$D,$C112)))</x:f>
      </x:c>
      <x:c r="Q112" s="800"/>
      <x:c r="R112" s="800"/>
      <x:c r="S112" s="800"/>
      <x:c r="T112" s="800"/>
      <x:c r="U112" s="800" t="str">
        <x:f>IF($C112="","",0)</x:f>
      </x:c>
      <x:c r="V112" s="800"/>
      <x:c r="W112" s="800" t="str">
        <x:f>IF($C112="","","-")</x:f>
      </x:c>
      <x:c r="X112" s="800" t="str">
        <x:f>IF($C112="","",1)</x:f>
      </x:c>
      <x:c r="Y112" s="885" t="str">
        <x:f>IF($C112="","","ANTB")</x:f>
      </x:c>
    </x:row>
    <x:row r="113">
      <x:c r="A113" s="884" t="str">
        <x:f>IF($C113="","",INDEX(Taxepunkter!$A:$A,$C113))</x:f>
      </x:c>
      <x:c r="B113" s="798"/>
      <x:c r="C113" s="798"/>
      <x:c r="D113" s="798" t="str">
        <x:f>IF($C113="","",TEXTJOIN(" ",TRUE,INDEX(Taxepunkter!$C:$C,$C113),INDEX(Taxepunkter!$D:$D,$C113)))</x:f>
      </x:c>
      <x:c r="E113" s="798" t="str">
        <x:f>IF($C113="","","Saknas i EDP – föreslagen ny taxa")</x:f>
      </x:c>
      <x:c r="F113" s="798" t="str">
        <x:f>IF($C113="","","Automatiserad mall: fyll Rad i Taxepunkter och FöreslagenTaxekod")</x:f>
      </x:c>
      <x:c r="G113" s="799"/>
      <x:c r="H113" s="800" t="str">
        <x:f>IF($C113="","",$C113)</x:f>
      </x:c>
      <x:c r="I113" s="800" t="str">
        <x:f>IF($C113="","",INDEX(Taxepunkter!$B:$B,$C113)&amp;" / "&amp;INDEX(Taxepunkter!$C:$C,$C113))</x:f>
      </x:c>
      <x:c r="J113" s="800" t="str">
        <x:f>IF($G113="","",$G113)</x:f>
      </x:c>
      <x:c r="K113" s="800" t="str">
        <x:f>IF($C113="","",INDEX(Taxepunkter!$C:$C,$C113)&amp;IF(INDEX(Taxepunkter!$D:$D,$C113)="","",". "&amp;INDEX(Taxepunkter!$D:$D,$C113)))</x:f>
      </x:c>
      <x:c r="L113" s="800" t="str">
        <x:f>IF($C113="","","RENH")</x:f>
      </x:c>
      <x:c r="M113" s="800" t="str">
        <x:f>IF($C113="","","HUSH")</x:f>
      </x:c>
      <x:c r="N113" s="800" t="str">
        <x:f>IF($C113="","",1)</x:f>
      </x:c>
      <x:c r="O113" s="800" t="str">
        <x:f>IF($C113="","","ÅRKV")</x:f>
      </x:c>
      <x:c r="P113" s="800" t="str">
        <x:f>IF($C113="","",TEXTJOIN(" ",TRUE,INDEX(Taxepunkter!$C:$C,$C113),INDEX(Taxepunkter!$D:$D,$C113)))</x:f>
      </x:c>
      <x:c r="Q113" s="800"/>
      <x:c r="R113" s="800"/>
      <x:c r="S113" s="800"/>
      <x:c r="T113" s="800"/>
      <x:c r="U113" s="800" t="str">
        <x:f>IF($C113="","",0)</x:f>
      </x:c>
      <x:c r="V113" s="800"/>
      <x:c r="W113" s="800" t="str">
        <x:f>IF($C113="","","-")</x:f>
      </x:c>
      <x:c r="X113" s="800" t="str">
        <x:f>IF($C113="","",1)</x:f>
      </x:c>
      <x:c r="Y113" s="885" t="str">
        <x:f>IF($C113="","","ANTB")</x:f>
      </x:c>
    </x:row>
    <x:row r="114">
      <x:c r="A114" s="884" t="str">
        <x:f>IF($C114="","",INDEX(Taxepunkter!$A:$A,$C114))</x:f>
      </x:c>
      <x:c r="B114" s="798"/>
      <x:c r="C114" s="798"/>
      <x:c r="D114" s="798" t="str">
        <x:f>IF($C114="","",TEXTJOIN(" ",TRUE,INDEX(Taxepunkter!$C:$C,$C114),INDEX(Taxepunkter!$D:$D,$C114)))</x:f>
      </x:c>
      <x:c r="E114" s="798" t="str">
        <x:f>IF($C114="","","Saknas i EDP – föreslagen ny taxa")</x:f>
      </x:c>
      <x:c r="F114" s="798" t="str">
        <x:f>IF($C114="","","Automatiserad mall: fyll Rad i Taxepunkter och FöreslagenTaxekod")</x:f>
      </x:c>
      <x:c r="G114" s="799"/>
      <x:c r="H114" s="800" t="str">
        <x:f>IF($C114="","",$C114)</x:f>
      </x:c>
      <x:c r="I114" s="800" t="str">
        <x:f>IF($C114="","",INDEX(Taxepunkter!$B:$B,$C114)&amp;" / "&amp;INDEX(Taxepunkter!$C:$C,$C114))</x:f>
      </x:c>
      <x:c r="J114" s="800" t="str">
        <x:f>IF($G114="","",$G114)</x:f>
      </x:c>
      <x:c r="K114" s="800" t="str">
        <x:f>IF($C114="","",INDEX(Taxepunkter!$C:$C,$C114)&amp;IF(INDEX(Taxepunkter!$D:$D,$C114)="","",". "&amp;INDEX(Taxepunkter!$D:$D,$C114)))</x:f>
      </x:c>
      <x:c r="L114" s="800" t="str">
        <x:f>IF($C114="","","RENH")</x:f>
      </x:c>
      <x:c r="M114" s="800" t="str">
        <x:f>IF($C114="","","HUSH")</x:f>
      </x:c>
      <x:c r="N114" s="800" t="str">
        <x:f>IF($C114="","",1)</x:f>
      </x:c>
      <x:c r="O114" s="800" t="str">
        <x:f>IF($C114="","","ÅRKV")</x:f>
      </x:c>
      <x:c r="P114" s="800" t="str">
        <x:f>IF($C114="","",TEXTJOIN(" ",TRUE,INDEX(Taxepunkter!$C:$C,$C114),INDEX(Taxepunkter!$D:$D,$C114)))</x:f>
      </x:c>
      <x:c r="Q114" s="800"/>
      <x:c r="R114" s="800"/>
      <x:c r="S114" s="800"/>
      <x:c r="T114" s="800"/>
      <x:c r="U114" s="800" t="str">
        <x:f>IF($C114="","",0)</x:f>
      </x:c>
      <x:c r="V114" s="800"/>
      <x:c r="W114" s="800" t="str">
        <x:f>IF($C114="","","-")</x:f>
      </x:c>
      <x:c r="X114" s="800" t="str">
        <x:f>IF($C114="","",1)</x:f>
      </x:c>
      <x:c r="Y114" s="885" t="str">
        <x:f>IF($C114="","","ANTB")</x:f>
      </x:c>
    </x:row>
    <x:row r="115">
      <x:c r="A115" s="884" t="str">
        <x:f>IF($C115="","",INDEX(Taxepunkter!$A:$A,$C115))</x:f>
      </x:c>
      <x:c r="B115" s="798"/>
      <x:c r="C115" s="798"/>
      <x:c r="D115" s="798" t="str">
        <x:f>IF($C115="","",TEXTJOIN(" ",TRUE,INDEX(Taxepunkter!$C:$C,$C115),INDEX(Taxepunkter!$D:$D,$C115)))</x:f>
      </x:c>
      <x:c r="E115" s="798" t="str">
        <x:f>IF($C115="","","Saknas i EDP – föreslagen ny taxa")</x:f>
      </x:c>
      <x:c r="F115" s="798" t="str">
        <x:f>IF($C115="","","Automatiserad mall: fyll Rad i Taxepunkter och FöreslagenTaxekod")</x:f>
      </x:c>
      <x:c r="G115" s="799"/>
      <x:c r="H115" s="800" t="str">
        <x:f>IF($C115="","",$C115)</x:f>
      </x:c>
      <x:c r="I115" s="800" t="str">
        <x:f>IF($C115="","",INDEX(Taxepunkter!$B:$B,$C115)&amp;" / "&amp;INDEX(Taxepunkter!$C:$C,$C115))</x:f>
      </x:c>
      <x:c r="J115" s="800" t="str">
        <x:f>IF($G115="","",$G115)</x:f>
      </x:c>
      <x:c r="K115" s="800" t="str">
        <x:f>IF($C115="","",INDEX(Taxepunkter!$C:$C,$C115)&amp;IF(INDEX(Taxepunkter!$D:$D,$C115)="","",". "&amp;INDEX(Taxepunkter!$D:$D,$C115)))</x:f>
      </x:c>
      <x:c r="L115" s="800" t="str">
        <x:f>IF($C115="","","RENH")</x:f>
      </x:c>
      <x:c r="M115" s="800" t="str">
        <x:f>IF($C115="","","HUSH")</x:f>
      </x:c>
      <x:c r="N115" s="800" t="str">
        <x:f>IF($C115="","",1)</x:f>
      </x:c>
      <x:c r="O115" s="800" t="str">
        <x:f>IF($C115="","","ÅRKV")</x:f>
      </x:c>
      <x:c r="P115" s="800" t="str">
        <x:f>IF($C115="","",TEXTJOIN(" ",TRUE,INDEX(Taxepunkter!$C:$C,$C115),INDEX(Taxepunkter!$D:$D,$C115)))</x:f>
      </x:c>
      <x:c r="Q115" s="800"/>
      <x:c r="R115" s="800"/>
      <x:c r="S115" s="800"/>
      <x:c r="T115" s="800"/>
      <x:c r="U115" s="800" t="str">
        <x:f>IF($C115="","",0)</x:f>
      </x:c>
      <x:c r="V115" s="800"/>
      <x:c r="W115" s="800" t="str">
        <x:f>IF($C115="","","-")</x:f>
      </x:c>
      <x:c r="X115" s="800" t="str">
        <x:f>IF($C115="","",1)</x:f>
      </x:c>
      <x:c r="Y115" s="885" t="str">
        <x:f>IF($C115="","","ANTB")</x:f>
      </x:c>
    </x:row>
    <x:row r="116">
      <x:c r="A116" s="884" t="str">
        <x:f>IF($C116="","",INDEX(Taxepunkter!$A:$A,$C116))</x:f>
      </x:c>
      <x:c r="B116" s="798"/>
      <x:c r="C116" s="798"/>
      <x:c r="D116" s="798" t="str">
        <x:f>IF($C116="","",TEXTJOIN(" ",TRUE,INDEX(Taxepunkter!$C:$C,$C116),INDEX(Taxepunkter!$D:$D,$C116)))</x:f>
      </x:c>
      <x:c r="E116" s="798" t="str">
        <x:f>IF($C116="","","Saknas i EDP – föreslagen ny taxa")</x:f>
      </x:c>
      <x:c r="F116" s="798" t="str">
        <x:f>IF($C116="","","Automatiserad mall: fyll Rad i Taxepunkter och FöreslagenTaxekod")</x:f>
      </x:c>
      <x:c r="G116" s="799"/>
      <x:c r="H116" s="800" t="str">
        <x:f>IF($C116="","",$C116)</x:f>
      </x:c>
      <x:c r="I116" s="800" t="str">
        <x:f>IF($C116="","",INDEX(Taxepunkter!$B:$B,$C116)&amp;" / "&amp;INDEX(Taxepunkter!$C:$C,$C116))</x:f>
      </x:c>
      <x:c r="J116" s="800" t="str">
        <x:f>IF($G116="","",$G116)</x:f>
      </x:c>
      <x:c r="K116" s="800" t="str">
        <x:f>IF($C116="","",INDEX(Taxepunkter!$C:$C,$C116)&amp;IF(INDEX(Taxepunkter!$D:$D,$C116)="","",". "&amp;INDEX(Taxepunkter!$D:$D,$C116)))</x:f>
      </x:c>
      <x:c r="L116" s="800" t="str">
        <x:f>IF($C116="","","RENH")</x:f>
      </x:c>
      <x:c r="M116" s="800" t="str">
        <x:f>IF($C116="","","HUSH")</x:f>
      </x:c>
      <x:c r="N116" s="800" t="str">
        <x:f>IF($C116="","",1)</x:f>
      </x:c>
      <x:c r="O116" s="800" t="str">
        <x:f>IF($C116="","","ÅRKV")</x:f>
      </x:c>
      <x:c r="P116" s="800" t="str">
        <x:f>IF($C116="","",TEXTJOIN(" ",TRUE,INDEX(Taxepunkter!$C:$C,$C116),INDEX(Taxepunkter!$D:$D,$C116)))</x:f>
      </x:c>
      <x:c r="Q116" s="800"/>
      <x:c r="R116" s="800"/>
      <x:c r="S116" s="800"/>
      <x:c r="T116" s="800"/>
      <x:c r="U116" s="800" t="str">
        <x:f>IF($C116="","",0)</x:f>
      </x:c>
      <x:c r="V116" s="800"/>
      <x:c r="W116" s="800" t="str">
        <x:f>IF($C116="","","-")</x:f>
      </x:c>
      <x:c r="X116" s="800" t="str">
        <x:f>IF($C116="","",1)</x:f>
      </x:c>
      <x:c r="Y116" s="885" t="str">
        <x:f>IF($C116="","","ANTB")</x:f>
      </x:c>
    </x:row>
    <x:row r="117">
      <x:c r="A117" s="884" t="str">
        <x:f>IF($C117="","",INDEX(Taxepunkter!$A:$A,$C117))</x:f>
      </x:c>
      <x:c r="B117" s="798"/>
      <x:c r="C117" s="798"/>
      <x:c r="D117" s="798" t="str">
        <x:f>IF($C117="","",TEXTJOIN(" ",TRUE,INDEX(Taxepunkter!$C:$C,$C117),INDEX(Taxepunkter!$D:$D,$C117)))</x:f>
      </x:c>
      <x:c r="E117" s="798" t="str">
        <x:f>IF($C117="","","Saknas i EDP – föreslagen ny taxa")</x:f>
      </x:c>
      <x:c r="F117" s="798" t="str">
        <x:f>IF($C117="","","Automatiserad mall: fyll Rad i Taxepunkter och FöreslagenTaxekod")</x:f>
      </x:c>
      <x:c r="G117" s="799"/>
      <x:c r="H117" s="800" t="str">
        <x:f>IF($C117="","",$C117)</x:f>
      </x:c>
      <x:c r="I117" s="800" t="str">
        <x:f>IF($C117="","",INDEX(Taxepunkter!$B:$B,$C117)&amp;" / "&amp;INDEX(Taxepunkter!$C:$C,$C117))</x:f>
      </x:c>
      <x:c r="J117" s="800" t="str">
        <x:f>IF($G117="","",$G117)</x:f>
      </x:c>
      <x:c r="K117" s="800" t="str">
        <x:f>IF($C117="","",INDEX(Taxepunkter!$C:$C,$C117)&amp;IF(INDEX(Taxepunkter!$D:$D,$C117)="","",". "&amp;INDEX(Taxepunkter!$D:$D,$C117)))</x:f>
      </x:c>
      <x:c r="L117" s="800" t="str">
        <x:f>IF($C117="","","RENH")</x:f>
      </x:c>
      <x:c r="M117" s="800" t="str">
        <x:f>IF($C117="","","HUSH")</x:f>
      </x:c>
      <x:c r="N117" s="800" t="str">
        <x:f>IF($C117="","",1)</x:f>
      </x:c>
      <x:c r="O117" s="800" t="str">
        <x:f>IF($C117="","","ÅRKV")</x:f>
      </x:c>
      <x:c r="P117" s="800" t="str">
        <x:f>IF($C117="","",TEXTJOIN(" ",TRUE,INDEX(Taxepunkter!$C:$C,$C117),INDEX(Taxepunkter!$D:$D,$C117)))</x:f>
      </x:c>
      <x:c r="Q117" s="800"/>
      <x:c r="R117" s="800"/>
      <x:c r="S117" s="800"/>
      <x:c r="T117" s="800"/>
      <x:c r="U117" s="800" t="str">
        <x:f>IF($C117="","",0)</x:f>
      </x:c>
      <x:c r="V117" s="800"/>
      <x:c r="W117" s="800" t="str">
        <x:f>IF($C117="","","-")</x:f>
      </x:c>
      <x:c r="X117" s="800" t="str">
        <x:f>IF($C117="","",1)</x:f>
      </x:c>
      <x:c r="Y117" s="885" t="str">
        <x:f>IF($C117="","","ANTB")</x:f>
      </x:c>
    </x:row>
    <x:row r="118">
      <x:c r="A118" s="884" t="str">
        <x:f>IF($C118="","",INDEX(Taxepunkter!$A:$A,$C118))</x:f>
      </x:c>
      <x:c r="B118" s="798"/>
      <x:c r="C118" s="798"/>
      <x:c r="D118" s="798" t="str">
        <x:f>IF($C118="","",TEXTJOIN(" ",TRUE,INDEX(Taxepunkter!$C:$C,$C118),INDEX(Taxepunkter!$D:$D,$C118)))</x:f>
      </x:c>
      <x:c r="E118" s="798" t="str">
        <x:f>IF($C118="","","Saknas i EDP – föreslagen ny taxa")</x:f>
      </x:c>
      <x:c r="F118" s="798" t="str">
        <x:f>IF($C118="","","Automatiserad mall: fyll Rad i Taxepunkter och FöreslagenTaxekod")</x:f>
      </x:c>
      <x:c r="G118" s="799"/>
      <x:c r="H118" s="800" t="str">
        <x:f>IF($C118="","",$C118)</x:f>
      </x:c>
      <x:c r="I118" s="800" t="str">
        <x:f>IF($C118="","",INDEX(Taxepunkter!$B:$B,$C118)&amp;" / "&amp;INDEX(Taxepunkter!$C:$C,$C118))</x:f>
      </x:c>
      <x:c r="J118" s="800" t="str">
        <x:f>IF($G118="","",$G118)</x:f>
      </x:c>
      <x:c r="K118" s="800" t="str">
        <x:f>IF($C118="","",INDEX(Taxepunkter!$C:$C,$C118)&amp;IF(INDEX(Taxepunkter!$D:$D,$C118)="","",". "&amp;INDEX(Taxepunkter!$D:$D,$C118)))</x:f>
      </x:c>
      <x:c r="L118" s="800" t="str">
        <x:f>IF($C118="","","RENH")</x:f>
      </x:c>
      <x:c r="M118" s="800" t="str">
        <x:f>IF($C118="","","HUSH")</x:f>
      </x:c>
      <x:c r="N118" s="800" t="str">
        <x:f>IF($C118="","",1)</x:f>
      </x:c>
      <x:c r="O118" s="800" t="str">
        <x:f>IF($C118="","","ÅRKV")</x:f>
      </x:c>
      <x:c r="P118" s="800" t="str">
        <x:f>IF($C118="","",TEXTJOIN(" ",TRUE,INDEX(Taxepunkter!$C:$C,$C118),INDEX(Taxepunkter!$D:$D,$C118)))</x:f>
      </x:c>
      <x:c r="Q118" s="800"/>
      <x:c r="R118" s="800"/>
      <x:c r="S118" s="800"/>
      <x:c r="T118" s="800"/>
      <x:c r="U118" s="800" t="str">
        <x:f>IF($C118="","",0)</x:f>
      </x:c>
      <x:c r="V118" s="800"/>
      <x:c r="W118" s="800" t="str">
        <x:f>IF($C118="","","-")</x:f>
      </x:c>
      <x:c r="X118" s="800" t="str">
        <x:f>IF($C118="","",1)</x:f>
      </x:c>
      <x:c r="Y118" s="885" t="str">
        <x:f>IF($C118="","","ANTB")</x:f>
      </x:c>
    </x:row>
    <x:row r="119">
      <x:c r="A119" s="884" t="str">
        <x:f>IF($C119="","",INDEX(Taxepunkter!$A:$A,$C119))</x:f>
      </x:c>
      <x:c r="B119" s="798"/>
      <x:c r="C119" s="798"/>
      <x:c r="D119" s="798" t="str">
        <x:f>IF($C119="","",TEXTJOIN(" ",TRUE,INDEX(Taxepunkter!$C:$C,$C119),INDEX(Taxepunkter!$D:$D,$C119)))</x:f>
      </x:c>
      <x:c r="E119" s="798" t="str">
        <x:f>IF($C119="","","Saknas i EDP – föreslagen ny taxa")</x:f>
      </x:c>
      <x:c r="F119" s="798" t="str">
        <x:f>IF($C119="","","Automatiserad mall: fyll Rad i Taxepunkter och FöreslagenTaxekod")</x:f>
      </x:c>
      <x:c r="G119" s="799"/>
      <x:c r="H119" s="800" t="str">
        <x:f>IF($C119="","",$C119)</x:f>
      </x:c>
      <x:c r="I119" s="800" t="str">
        <x:f>IF($C119="","",INDEX(Taxepunkter!$B:$B,$C119)&amp;" / "&amp;INDEX(Taxepunkter!$C:$C,$C119))</x:f>
      </x:c>
      <x:c r="J119" s="800" t="str">
        <x:f>IF($G119="","",$G119)</x:f>
      </x:c>
      <x:c r="K119" s="800" t="str">
        <x:f>IF($C119="","",INDEX(Taxepunkter!$C:$C,$C119)&amp;IF(INDEX(Taxepunkter!$D:$D,$C119)="","",". "&amp;INDEX(Taxepunkter!$D:$D,$C119)))</x:f>
      </x:c>
      <x:c r="L119" s="800" t="str">
        <x:f>IF($C119="","","RENH")</x:f>
      </x:c>
      <x:c r="M119" s="800" t="str">
        <x:f>IF($C119="","","HUSH")</x:f>
      </x:c>
      <x:c r="N119" s="800" t="str">
        <x:f>IF($C119="","",1)</x:f>
      </x:c>
      <x:c r="O119" s="800" t="str">
        <x:f>IF($C119="","","ÅRKV")</x:f>
      </x:c>
      <x:c r="P119" s="800" t="str">
        <x:f>IF($C119="","",TEXTJOIN(" ",TRUE,INDEX(Taxepunkter!$C:$C,$C119),INDEX(Taxepunkter!$D:$D,$C119)))</x:f>
      </x:c>
      <x:c r="Q119" s="800"/>
      <x:c r="R119" s="800"/>
      <x:c r="S119" s="800"/>
      <x:c r="T119" s="800"/>
      <x:c r="U119" s="800" t="str">
        <x:f>IF($C119="","",0)</x:f>
      </x:c>
      <x:c r="V119" s="800"/>
      <x:c r="W119" s="800" t="str">
        <x:f>IF($C119="","","-")</x:f>
      </x:c>
      <x:c r="X119" s="800" t="str">
        <x:f>IF($C119="","",1)</x:f>
      </x:c>
      <x:c r="Y119" s="885" t="str">
        <x:f>IF($C119="","","ANTB")</x:f>
      </x:c>
    </x:row>
    <x:row r="120">
      <x:c r="A120" s="884" t="str">
        <x:f>IF($C120="","",INDEX(Taxepunkter!$A:$A,$C120))</x:f>
      </x:c>
      <x:c r="B120" s="798"/>
      <x:c r="C120" s="798"/>
      <x:c r="D120" s="798" t="str">
        <x:f>IF($C120="","",TEXTJOIN(" ",TRUE,INDEX(Taxepunkter!$C:$C,$C120),INDEX(Taxepunkter!$D:$D,$C120)))</x:f>
      </x:c>
      <x:c r="E120" s="798" t="str">
        <x:f>IF($C120="","","Saknas i EDP – föreslagen ny taxa")</x:f>
      </x:c>
      <x:c r="F120" s="798" t="str">
        <x:f>IF($C120="","","Automatiserad mall: fyll Rad i Taxepunkter och FöreslagenTaxekod")</x:f>
      </x:c>
      <x:c r="G120" s="799"/>
      <x:c r="H120" s="800" t="str">
        <x:f>IF($C120="","",$C120)</x:f>
      </x:c>
      <x:c r="I120" s="800" t="str">
        <x:f>IF($C120="","",INDEX(Taxepunkter!$B:$B,$C120)&amp;" / "&amp;INDEX(Taxepunkter!$C:$C,$C120))</x:f>
      </x:c>
      <x:c r="J120" s="800" t="str">
        <x:f>IF($G120="","",$G120)</x:f>
      </x:c>
      <x:c r="K120" s="800" t="str">
        <x:f>IF($C120="","",INDEX(Taxepunkter!$C:$C,$C120)&amp;IF(INDEX(Taxepunkter!$D:$D,$C120)="","",". "&amp;INDEX(Taxepunkter!$D:$D,$C120)))</x:f>
      </x:c>
      <x:c r="L120" s="800" t="str">
        <x:f>IF($C120="","","RENH")</x:f>
      </x:c>
      <x:c r="M120" s="800" t="str">
        <x:f>IF($C120="","","HUSH")</x:f>
      </x:c>
      <x:c r="N120" s="800" t="str">
        <x:f>IF($C120="","",1)</x:f>
      </x:c>
      <x:c r="O120" s="800" t="str">
        <x:f>IF($C120="","","ÅRKV")</x:f>
      </x:c>
      <x:c r="P120" s="800" t="str">
        <x:f>IF($C120="","",TEXTJOIN(" ",TRUE,INDEX(Taxepunkter!$C:$C,$C120),INDEX(Taxepunkter!$D:$D,$C120)))</x:f>
      </x:c>
      <x:c r="Q120" s="800"/>
      <x:c r="R120" s="800"/>
      <x:c r="S120" s="800"/>
      <x:c r="T120" s="800"/>
      <x:c r="U120" s="800" t="str">
        <x:f>IF($C120="","",0)</x:f>
      </x:c>
      <x:c r="V120" s="800"/>
      <x:c r="W120" s="800" t="str">
        <x:f>IF($C120="","","-")</x:f>
      </x:c>
      <x:c r="X120" s="800" t="str">
        <x:f>IF($C120="","",1)</x:f>
      </x:c>
      <x:c r="Y120" s="885" t="str">
        <x:f>IF($C120="","","ANTB")</x:f>
      </x:c>
    </x:row>
    <x:row r="121">
      <x:c r="A121" s="884" t="str">
        <x:f>IF($C121="","",INDEX(Taxepunkter!$A:$A,$C121))</x:f>
      </x:c>
      <x:c r="B121" s="798"/>
      <x:c r="C121" s="798"/>
      <x:c r="D121" s="798" t="str">
        <x:f>IF($C121="","",TEXTJOIN(" ",TRUE,INDEX(Taxepunkter!$C:$C,$C121),INDEX(Taxepunkter!$D:$D,$C121)))</x:f>
      </x:c>
      <x:c r="E121" s="798" t="str">
        <x:f>IF($C121="","","Saknas i EDP – föreslagen ny taxa")</x:f>
      </x:c>
      <x:c r="F121" s="798" t="str">
        <x:f>IF($C121="","","Automatiserad mall: fyll Rad i Taxepunkter och FöreslagenTaxekod")</x:f>
      </x:c>
      <x:c r="G121" s="799"/>
      <x:c r="H121" s="800" t="str">
        <x:f>IF($C121="","",$C121)</x:f>
      </x:c>
      <x:c r="I121" s="800" t="str">
        <x:f>IF($C121="","",INDEX(Taxepunkter!$B:$B,$C121)&amp;" / "&amp;INDEX(Taxepunkter!$C:$C,$C121))</x:f>
      </x:c>
      <x:c r="J121" s="800" t="str">
        <x:f>IF($G121="","",$G121)</x:f>
      </x:c>
      <x:c r="K121" s="800" t="str">
        <x:f>IF($C121="","",INDEX(Taxepunkter!$C:$C,$C121)&amp;IF(INDEX(Taxepunkter!$D:$D,$C121)="","",". "&amp;INDEX(Taxepunkter!$D:$D,$C121)))</x:f>
      </x:c>
      <x:c r="L121" s="800" t="str">
        <x:f>IF($C121="","","RENH")</x:f>
      </x:c>
      <x:c r="M121" s="800" t="str">
        <x:f>IF($C121="","","HUSH")</x:f>
      </x:c>
      <x:c r="N121" s="800" t="str">
        <x:f>IF($C121="","",1)</x:f>
      </x:c>
      <x:c r="O121" s="800" t="str">
        <x:f>IF($C121="","","ÅRKV")</x:f>
      </x:c>
      <x:c r="P121" s="800" t="str">
        <x:f>IF($C121="","",TEXTJOIN(" ",TRUE,INDEX(Taxepunkter!$C:$C,$C121),INDEX(Taxepunkter!$D:$D,$C121)))</x:f>
      </x:c>
      <x:c r="Q121" s="800"/>
      <x:c r="R121" s="800"/>
      <x:c r="S121" s="800"/>
      <x:c r="T121" s="800"/>
      <x:c r="U121" s="800" t="str">
        <x:f>IF($C121="","",0)</x:f>
      </x:c>
      <x:c r="V121" s="800"/>
      <x:c r="W121" s="800" t="str">
        <x:f>IF($C121="","","-")</x:f>
      </x:c>
      <x:c r="X121" s="800" t="str">
        <x:f>IF($C121="","",1)</x:f>
      </x:c>
      <x:c r="Y121" s="885" t="str">
        <x:f>IF($C121="","","ANTB")</x:f>
      </x:c>
    </x:row>
    <x:row r="122">
      <x:c r="A122" s="884" t="str">
        <x:f>IF($C122="","",INDEX(Taxepunkter!$A:$A,$C122))</x:f>
      </x:c>
      <x:c r="B122" s="798"/>
      <x:c r="C122" s="798"/>
      <x:c r="D122" s="798" t="str">
        <x:f>IF($C122="","",TEXTJOIN(" ",TRUE,INDEX(Taxepunkter!$C:$C,$C122),INDEX(Taxepunkter!$D:$D,$C122)))</x:f>
      </x:c>
      <x:c r="E122" s="798" t="str">
        <x:f>IF($C122="","","Saknas i EDP – föreslagen ny taxa")</x:f>
      </x:c>
      <x:c r="F122" s="798" t="str">
        <x:f>IF($C122="","","Automatiserad mall: fyll Rad i Taxepunkter och FöreslagenTaxekod")</x:f>
      </x:c>
      <x:c r="G122" s="799"/>
      <x:c r="H122" s="800" t="str">
        <x:f>IF($C122="","",$C122)</x:f>
      </x:c>
      <x:c r="I122" s="800" t="str">
        <x:f>IF($C122="","",INDEX(Taxepunkter!$B:$B,$C122)&amp;" / "&amp;INDEX(Taxepunkter!$C:$C,$C122))</x:f>
      </x:c>
      <x:c r="J122" s="800" t="str">
        <x:f>IF($G122="","",$G122)</x:f>
      </x:c>
      <x:c r="K122" s="800" t="str">
        <x:f>IF($C122="","",INDEX(Taxepunkter!$C:$C,$C122)&amp;IF(INDEX(Taxepunkter!$D:$D,$C122)="","",". "&amp;INDEX(Taxepunkter!$D:$D,$C122)))</x:f>
      </x:c>
      <x:c r="L122" s="800" t="str">
        <x:f>IF($C122="","","RENH")</x:f>
      </x:c>
      <x:c r="M122" s="800" t="str">
        <x:f>IF($C122="","","HUSH")</x:f>
      </x:c>
      <x:c r="N122" s="800" t="str">
        <x:f>IF($C122="","",1)</x:f>
      </x:c>
      <x:c r="O122" s="800" t="str">
        <x:f>IF($C122="","","ÅRKV")</x:f>
      </x:c>
      <x:c r="P122" s="800" t="str">
        <x:f>IF($C122="","",TEXTJOIN(" ",TRUE,INDEX(Taxepunkter!$C:$C,$C122),INDEX(Taxepunkter!$D:$D,$C122)))</x:f>
      </x:c>
      <x:c r="Q122" s="800"/>
      <x:c r="R122" s="800"/>
      <x:c r="S122" s="800"/>
      <x:c r="T122" s="800"/>
      <x:c r="U122" s="800" t="str">
        <x:f>IF($C122="","",0)</x:f>
      </x:c>
      <x:c r="V122" s="800"/>
      <x:c r="W122" s="800" t="str">
        <x:f>IF($C122="","","-")</x:f>
      </x:c>
      <x:c r="X122" s="800" t="str">
        <x:f>IF($C122="","",1)</x:f>
      </x:c>
      <x:c r="Y122" s="885" t="str">
        <x:f>IF($C122="","","ANTB")</x:f>
      </x:c>
    </x:row>
    <x:row r="123">
      <x:c r="A123" s="884" t="str">
        <x:f>IF($C123="","",INDEX(Taxepunkter!$A:$A,$C123))</x:f>
      </x:c>
      <x:c r="B123" s="798"/>
      <x:c r="C123" s="798"/>
      <x:c r="D123" s="798" t="str">
        <x:f>IF($C123="","",TEXTJOIN(" ",TRUE,INDEX(Taxepunkter!$C:$C,$C123),INDEX(Taxepunkter!$D:$D,$C123)))</x:f>
      </x:c>
      <x:c r="E123" s="798" t="str">
        <x:f>IF($C123="","","Saknas i EDP – föreslagen ny taxa")</x:f>
      </x:c>
      <x:c r="F123" s="798" t="str">
        <x:f>IF($C123="","","Automatiserad mall: fyll Rad i Taxepunkter och FöreslagenTaxekod")</x:f>
      </x:c>
      <x:c r="G123" s="799"/>
      <x:c r="H123" s="800" t="str">
        <x:f>IF($C123="","",$C123)</x:f>
      </x:c>
      <x:c r="I123" s="800" t="str">
        <x:f>IF($C123="","",INDEX(Taxepunkter!$B:$B,$C123)&amp;" / "&amp;INDEX(Taxepunkter!$C:$C,$C123))</x:f>
      </x:c>
      <x:c r="J123" s="800" t="str">
        <x:f>IF($G123="","",$G123)</x:f>
      </x:c>
      <x:c r="K123" s="800" t="str">
        <x:f>IF($C123="","",INDEX(Taxepunkter!$C:$C,$C123)&amp;IF(INDEX(Taxepunkter!$D:$D,$C123)="","",". "&amp;INDEX(Taxepunkter!$D:$D,$C123)))</x:f>
      </x:c>
      <x:c r="L123" s="800" t="str">
        <x:f>IF($C123="","","RENH")</x:f>
      </x:c>
      <x:c r="M123" s="800" t="str">
        <x:f>IF($C123="","","HUSH")</x:f>
      </x:c>
      <x:c r="N123" s="800" t="str">
        <x:f>IF($C123="","",1)</x:f>
      </x:c>
      <x:c r="O123" s="800" t="str">
        <x:f>IF($C123="","","ÅRKV")</x:f>
      </x:c>
      <x:c r="P123" s="800" t="str">
        <x:f>IF($C123="","",TEXTJOIN(" ",TRUE,INDEX(Taxepunkter!$C:$C,$C123),INDEX(Taxepunkter!$D:$D,$C123)))</x:f>
      </x:c>
      <x:c r="Q123" s="800"/>
      <x:c r="R123" s="800"/>
      <x:c r="S123" s="800"/>
      <x:c r="T123" s="800"/>
      <x:c r="U123" s="800" t="str">
        <x:f>IF($C123="","",0)</x:f>
      </x:c>
      <x:c r="V123" s="800"/>
      <x:c r="W123" s="800" t="str">
        <x:f>IF($C123="","","-")</x:f>
      </x:c>
      <x:c r="X123" s="800" t="str">
        <x:f>IF($C123="","",1)</x:f>
      </x:c>
      <x:c r="Y123" s="885" t="str">
        <x:f>IF($C123="","","ANTB")</x:f>
      </x:c>
    </x:row>
    <x:row r="124">
      <x:c r="A124" s="884" t="str">
        <x:f>IF($C124="","",INDEX(Taxepunkter!$A:$A,$C124))</x:f>
      </x:c>
      <x:c r="B124" s="798"/>
      <x:c r="C124" s="798"/>
      <x:c r="D124" s="798" t="str">
        <x:f>IF($C124="","",TEXTJOIN(" ",TRUE,INDEX(Taxepunkter!$C:$C,$C124),INDEX(Taxepunkter!$D:$D,$C124)))</x:f>
      </x:c>
      <x:c r="E124" s="798" t="str">
        <x:f>IF($C124="","","Saknas i EDP – föreslagen ny taxa")</x:f>
      </x:c>
      <x:c r="F124" s="798" t="str">
        <x:f>IF($C124="","","Automatiserad mall: fyll Rad i Taxepunkter och FöreslagenTaxekod")</x:f>
      </x:c>
      <x:c r="G124" s="799"/>
      <x:c r="H124" s="800" t="str">
        <x:f>IF($C124="","",$C124)</x:f>
      </x:c>
      <x:c r="I124" s="800" t="str">
        <x:f>IF($C124="","",INDEX(Taxepunkter!$B:$B,$C124)&amp;" / "&amp;INDEX(Taxepunkter!$C:$C,$C124))</x:f>
      </x:c>
      <x:c r="J124" s="800" t="str">
        <x:f>IF($G124="","",$G124)</x:f>
      </x:c>
      <x:c r="K124" s="800" t="str">
        <x:f>IF($C124="","",INDEX(Taxepunkter!$C:$C,$C124)&amp;IF(INDEX(Taxepunkter!$D:$D,$C124)="","",". "&amp;INDEX(Taxepunkter!$D:$D,$C124)))</x:f>
      </x:c>
      <x:c r="L124" s="800" t="str">
        <x:f>IF($C124="","","RENH")</x:f>
      </x:c>
      <x:c r="M124" s="800" t="str">
        <x:f>IF($C124="","","HUSH")</x:f>
      </x:c>
      <x:c r="N124" s="800" t="str">
        <x:f>IF($C124="","",1)</x:f>
      </x:c>
      <x:c r="O124" s="800" t="str">
        <x:f>IF($C124="","","ÅRKV")</x:f>
      </x:c>
      <x:c r="P124" s="800" t="str">
        <x:f>IF($C124="","",TEXTJOIN(" ",TRUE,INDEX(Taxepunkter!$C:$C,$C124),INDEX(Taxepunkter!$D:$D,$C124)))</x:f>
      </x:c>
      <x:c r="Q124" s="800"/>
      <x:c r="R124" s="800"/>
      <x:c r="S124" s="800"/>
      <x:c r="T124" s="800"/>
      <x:c r="U124" s="800" t="str">
        <x:f>IF($C124="","",0)</x:f>
      </x:c>
      <x:c r="V124" s="800"/>
      <x:c r="W124" s="800" t="str">
        <x:f>IF($C124="","","-")</x:f>
      </x:c>
      <x:c r="X124" s="800" t="str">
        <x:f>IF($C124="","",1)</x:f>
      </x:c>
      <x:c r="Y124" s="885" t="str">
        <x:f>IF($C124="","","ANTB")</x:f>
      </x:c>
    </x:row>
    <x:row r="125">
      <x:c r="A125" s="884" t="str">
        <x:f>IF($C125="","",INDEX(Taxepunkter!$A:$A,$C125))</x:f>
      </x:c>
      <x:c r="B125" s="798"/>
      <x:c r="C125" s="798"/>
      <x:c r="D125" s="798" t="str">
        <x:f>IF($C125="","",TEXTJOIN(" ",TRUE,INDEX(Taxepunkter!$C:$C,$C125),INDEX(Taxepunkter!$D:$D,$C125)))</x:f>
      </x:c>
      <x:c r="E125" s="798" t="str">
        <x:f>IF($C125="","","Saknas i EDP – föreslagen ny taxa")</x:f>
      </x:c>
      <x:c r="F125" s="798" t="str">
        <x:f>IF($C125="","","Automatiserad mall: fyll Rad i Taxepunkter och FöreslagenTaxekod")</x:f>
      </x:c>
      <x:c r="G125" s="799"/>
      <x:c r="H125" s="800" t="str">
        <x:f>IF($C125="","",$C125)</x:f>
      </x:c>
      <x:c r="I125" s="800" t="str">
        <x:f>IF($C125="","",INDEX(Taxepunkter!$B:$B,$C125)&amp;" / "&amp;INDEX(Taxepunkter!$C:$C,$C125))</x:f>
      </x:c>
      <x:c r="J125" s="800" t="str">
        <x:f>IF($G125="","",$G125)</x:f>
      </x:c>
      <x:c r="K125" s="800" t="str">
        <x:f>IF($C125="","",INDEX(Taxepunkter!$C:$C,$C125)&amp;IF(INDEX(Taxepunkter!$D:$D,$C125)="","",". "&amp;INDEX(Taxepunkter!$D:$D,$C125)))</x:f>
      </x:c>
      <x:c r="L125" s="800" t="str">
        <x:f>IF($C125="","","RENH")</x:f>
      </x:c>
      <x:c r="M125" s="800" t="str">
        <x:f>IF($C125="","","HUSH")</x:f>
      </x:c>
      <x:c r="N125" s="800" t="str">
        <x:f>IF($C125="","",1)</x:f>
      </x:c>
      <x:c r="O125" s="800" t="str">
        <x:f>IF($C125="","","ÅRKV")</x:f>
      </x:c>
      <x:c r="P125" s="800" t="str">
        <x:f>IF($C125="","",TEXTJOIN(" ",TRUE,INDEX(Taxepunkter!$C:$C,$C125),INDEX(Taxepunkter!$D:$D,$C125)))</x:f>
      </x:c>
      <x:c r="Q125" s="800"/>
      <x:c r="R125" s="800"/>
      <x:c r="S125" s="800"/>
      <x:c r="T125" s="800"/>
      <x:c r="U125" s="800" t="str">
        <x:f>IF($C125="","",0)</x:f>
      </x:c>
      <x:c r="V125" s="800"/>
      <x:c r="W125" s="800" t="str">
        <x:f>IF($C125="","","-")</x:f>
      </x:c>
      <x:c r="X125" s="800" t="str">
        <x:f>IF($C125="","",1)</x:f>
      </x:c>
      <x:c r="Y125" s="885" t="str">
        <x:f>IF($C125="","","ANTB")</x:f>
      </x:c>
    </x:row>
    <x:row r="126">
      <x:c r="A126" s="884" t="str">
        <x:f>IF($C126="","",INDEX(Taxepunkter!$A:$A,$C126))</x:f>
      </x:c>
      <x:c r="B126" s="798"/>
      <x:c r="C126" s="798"/>
      <x:c r="D126" s="798" t="str">
        <x:f>IF($C126="","",TEXTJOIN(" ",TRUE,INDEX(Taxepunkter!$C:$C,$C126),INDEX(Taxepunkter!$D:$D,$C126)))</x:f>
      </x:c>
      <x:c r="E126" s="798" t="str">
        <x:f>IF($C126="","","Saknas i EDP – föreslagen ny taxa")</x:f>
      </x:c>
      <x:c r="F126" s="798" t="str">
        <x:f>IF($C126="","","Automatiserad mall: fyll Rad i Taxepunkter och FöreslagenTaxekod")</x:f>
      </x:c>
      <x:c r="G126" s="799"/>
      <x:c r="H126" s="800" t="str">
        <x:f>IF($C126="","",$C126)</x:f>
      </x:c>
      <x:c r="I126" s="800" t="str">
        <x:f>IF($C126="","",INDEX(Taxepunkter!$B:$B,$C126)&amp;" / "&amp;INDEX(Taxepunkter!$C:$C,$C126))</x:f>
      </x:c>
      <x:c r="J126" s="800" t="str">
        <x:f>IF($G126="","",$G126)</x:f>
      </x:c>
      <x:c r="K126" s="800" t="str">
        <x:f>IF($C126="","",INDEX(Taxepunkter!$C:$C,$C126)&amp;IF(INDEX(Taxepunkter!$D:$D,$C126)="","",". "&amp;INDEX(Taxepunkter!$D:$D,$C126)))</x:f>
      </x:c>
      <x:c r="L126" s="800" t="str">
        <x:f>IF($C126="","","RENH")</x:f>
      </x:c>
      <x:c r="M126" s="800" t="str">
        <x:f>IF($C126="","","HUSH")</x:f>
      </x:c>
      <x:c r="N126" s="800" t="str">
        <x:f>IF($C126="","",1)</x:f>
      </x:c>
      <x:c r="O126" s="800" t="str">
        <x:f>IF($C126="","","ÅRKV")</x:f>
      </x:c>
      <x:c r="P126" s="800" t="str">
        <x:f>IF($C126="","",TEXTJOIN(" ",TRUE,INDEX(Taxepunkter!$C:$C,$C126),INDEX(Taxepunkter!$D:$D,$C126)))</x:f>
      </x:c>
      <x:c r="Q126" s="800"/>
      <x:c r="R126" s="800"/>
      <x:c r="S126" s="800"/>
      <x:c r="T126" s="800"/>
      <x:c r="U126" s="800" t="str">
        <x:f>IF($C126="","",0)</x:f>
      </x:c>
      <x:c r="V126" s="800"/>
      <x:c r="W126" s="800" t="str">
        <x:f>IF($C126="","","-")</x:f>
      </x:c>
      <x:c r="X126" s="800" t="str">
        <x:f>IF($C126="","",1)</x:f>
      </x:c>
      <x:c r="Y126" s="885" t="str">
        <x:f>IF($C126="","","ANTB")</x:f>
      </x:c>
    </x:row>
    <x:row r="127">
      <x:c r="A127" s="884" t="str">
        <x:f>IF($C127="","",INDEX(Taxepunkter!$A:$A,$C127))</x:f>
      </x:c>
      <x:c r="B127" s="798"/>
      <x:c r="C127" s="798"/>
      <x:c r="D127" s="798" t="str">
        <x:f>IF($C127="","",TEXTJOIN(" ",TRUE,INDEX(Taxepunkter!$C:$C,$C127),INDEX(Taxepunkter!$D:$D,$C127)))</x:f>
      </x:c>
      <x:c r="E127" s="798" t="str">
        <x:f>IF($C127="","","Saknas i EDP – föreslagen ny taxa")</x:f>
      </x:c>
      <x:c r="F127" s="798" t="str">
        <x:f>IF($C127="","","Automatiserad mall: fyll Rad i Taxepunkter och FöreslagenTaxekod")</x:f>
      </x:c>
      <x:c r="G127" s="799"/>
      <x:c r="H127" s="800" t="str">
        <x:f>IF($C127="","",$C127)</x:f>
      </x:c>
      <x:c r="I127" s="800" t="str">
        <x:f>IF($C127="","",INDEX(Taxepunkter!$B:$B,$C127)&amp;" / "&amp;INDEX(Taxepunkter!$C:$C,$C127))</x:f>
      </x:c>
      <x:c r="J127" s="800" t="str">
        <x:f>IF($G127="","",$G127)</x:f>
      </x:c>
      <x:c r="K127" s="800" t="str">
        <x:f>IF($C127="","",INDEX(Taxepunkter!$C:$C,$C127)&amp;IF(INDEX(Taxepunkter!$D:$D,$C127)="","",". "&amp;INDEX(Taxepunkter!$D:$D,$C127)))</x:f>
      </x:c>
      <x:c r="L127" s="800" t="str">
        <x:f>IF($C127="","","RENH")</x:f>
      </x:c>
      <x:c r="M127" s="800" t="str">
        <x:f>IF($C127="","","HUSH")</x:f>
      </x:c>
      <x:c r="N127" s="800" t="str">
        <x:f>IF($C127="","",1)</x:f>
      </x:c>
      <x:c r="O127" s="800" t="str">
        <x:f>IF($C127="","","ÅRKV")</x:f>
      </x:c>
      <x:c r="P127" s="800" t="str">
        <x:f>IF($C127="","",TEXTJOIN(" ",TRUE,INDEX(Taxepunkter!$C:$C,$C127),INDEX(Taxepunkter!$D:$D,$C127)))</x:f>
      </x:c>
      <x:c r="Q127" s="800"/>
      <x:c r="R127" s="800"/>
      <x:c r="S127" s="800"/>
      <x:c r="T127" s="800"/>
      <x:c r="U127" s="800" t="str">
        <x:f>IF($C127="","",0)</x:f>
      </x:c>
      <x:c r="V127" s="800"/>
      <x:c r="W127" s="800" t="str">
        <x:f>IF($C127="","","-")</x:f>
      </x:c>
      <x:c r="X127" s="800" t="str">
        <x:f>IF($C127="","",1)</x:f>
      </x:c>
      <x:c r="Y127" s="885" t="str">
        <x:f>IF($C127="","","ANTB")</x:f>
      </x:c>
    </x:row>
    <x:row r="128">
      <x:c r="A128" s="884" t="str">
        <x:f>IF($C128="","",INDEX(Taxepunkter!$A:$A,$C128))</x:f>
      </x:c>
      <x:c r="B128" s="798"/>
      <x:c r="C128" s="798"/>
      <x:c r="D128" s="798" t="str">
        <x:f>IF($C128="","",TEXTJOIN(" ",TRUE,INDEX(Taxepunkter!$C:$C,$C128),INDEX(Taxepunkter!$D:$D,$C128)))</x:f>
      </x:c>
      <x:c r="E128" s="798" t="str">
        <x:f>IF($C128="","","Saknas i EDP – föreslagen ny taxa")</x:f>
      </x:c>
      <x:c r="F128" s="798" t="str">
        <x:f>IF($C128="","","Automatiserad mall: fyll Rad i Taxepunkter och FöreslagenTaxekod")</x:f>
      </x:c>
      <x:c r="G128" s="799"/>
      <x:c r="H128" s="800" t="str">
        <x:f>IF($C128="","",$C128)</x:f>
      </x:c>
      <x:c r="I128" s="800" t="str">
        <x:f>IF($C128="","",INDEX(Taxepunkter!$B:$B,$C128)&amp;" / "&amp;INDEX(Taxepunkter!$C:$C,$C128))</x:f>
      </x:c>
      <x:c r="J128" s="800" t="str">
        <x:f>IF($G128="","",$G128)</x:f>
      </x:c>
      <x:c r="K128" s="800" t="str">
        <x:f>IF($C128="","",INDEX(Taxepunkter!$C:$C,$C128)&amp;IF(INDEX(Taxepunkter!$D:$D,$C128)="","",". "&amp;INDEX(Taxepunkter!$D:$D,$C128)))</x:f>
      </x:c>
      <x:c r="L128" s="800" t="str">
        <x:f>IF($C128="","","RENH")</x:f>
      </x:c>
      <x:c r="M128" s="800" t="str">
        <x:f>IF($C128="","","HUSH")</x:f>
      </x:c>
      <x:c r="N128" s="800" t="str">
        <x:f>IF($C128="","",1)</x:f>
      </x:c>
      <x:c r="O128" s="800" t="str">
        <x:f>IF($C128="","","ÅRKV")</x:f>
      </x:c>
      <x:c r="P128" s="800" t="str">
        <x:f>IF($C128="","",TEXTJOIN(" ",TRUE,INDEX(Taxepunkter!$C:$C,$C128),INDEX(Taxepunkter!$D:$D,$C128)))</x:f>
      </x:c>
      <x:c r="Q128" s="800"/>
      <x:c r="R128" s="800"/>
      <x:c r="S128" s="800"/>
      <x:c r="T128" s="800"/>
      <x:c r="U128" s="800" t="str">
        <x:f>IF($C128="","",0)</x:f>
      </x:c>
      <x:c r="V128" s="800"/>
      <x:c r="W128" s="800" t="str">
        <x:f>IF($C128="","","-")</x:f>
      </x:c>
      <x:c r="X128" s="800" t="str">
        <x:f>IF($C128="","",1)</x:f>
      </x:c>
      <x:c r="Y128" s="885" t="str">
        <x:f>IF($C128="","","ANTB")</x:f>
      </x:c>
    </x:row>
    <x:row r="129">
      <x:c r="A129" s="884" t="str">
        <x:f>IF($C129="","",INDEX(Taxepunkter!$A:$A,$C129))</x:f>
      </x:c>
      <x:c r="B129" s="798"/>
      <x:c r="C129" s="798"/>
      <x:c r="D129" s="798" t="str">
        <x:f>IF($C129="","",TEXTJOIN(" ",TRUE,INDEX(Taxepunkter!$C:$C,$C129),INDEX(Taxepunkter!$D:$D,$C129)))</x:f>
      </x:c>
      <x:c r="E129" s="798" t="str">
        <x:f>IF($C129="","","Saknas i EDP – föreslagen ny taxa")</x:f>
      </x:c>
      <x:c r="F129" s="798" t="str">
        <x:f>IF($C129="","","Automatiserad mall: fyll Rad i Taxepunkter och FöreslagenTaxekod")</x:f>
      </x:c>
      <x:c r="G129" s="799"/>
      <x:c r="H129" s="800" t="str">
        <x:f>IF($C129="","",$C129)</x:f>
      </x:c>
      <x:c r="I129" s="800" t="str">
        <x:f>IF($C129="","",INDEX(Taxepunkter!$B:$B,$C129)&amp;" / "&amp;INDEX(Taxepunkter!$C:$C,$C129))</x:f>
      </x:c>
      <x:c r="J129" s="800" t="str">
        <x:f>IF($G129="","",$G129)</x:f>
      </x:c>
      <x:c r="K129" s="800" t="str">
        <x:f>IF($C129="","",INDEX(Taxepunkter!$C:$C,$C129)&amp;IF(INDEX(Taxepunkter!$D:$D,$C129)="","",". "&amp;INDEX(Taxepunkter!$D:$D,$C129)))</x:f>
      </x:c>
      <x:c r="L129" s="800" t="str">
        <x:f>IF($C129="","","RENH")</x:f>
      </x:c>
      <x:c r="M129" s="800" t="str">
        <x:f>IF($C129="","","HUSH")</x:f>
      </x:c>
      <x:c r="N129" s="800" t="str">
        <x:f>IF($C129="","",1)</x:f>
      </x:c>
      <x:c r="O129" s="800" t="str">
        <x:f>IF($C129="","","ÅRKV")</x:f>
      </x:c>
      <x:c r="P129" s="800" t="str">
        <x:f>IF($C129="","",TEXTJOIN(" ",TRUE,INDEX(Taxepunkter!$C:$C,$C129),INDEX(Taxepunkter!$D:$D,$C129)))</x:f>
      </x:c>
      <x:c r="Q129" s="800"/>
      <x:c r="R129" s="800"/>
      <x:c r="S129" s="800"/>
      <x:c r="T129" s="800"/>
      <x:c r="U129" s="800" t="str">
        <x:f>IF($C129="","",0)</x:f>
      </x:c>
      <x:c r="V129" s="800"/>
      <x:c r="W129" s="800" t="str">
        <x:f>IF($C129="","","-")</x:f>
      </x:c>
      <x:c r="X129" s="800" t="str">
        <x:f>IF($C129="","",1)</x:f>
      </x:c>
      <x:c r="Y129" s="885" t="str">
        <x:f>IF($C129="","","ANTB")</x:f>
      </x:c>
    </x:row>
    <x:row r="130">
      <x:c r="A130" s="884" t="str">
        <x:f>IF($C130="","",INDEX(Taxepunkter!$A:$A,$C130))</x:f>
      </x:c>
      <x:c r="B130" s="798"/>
      <x:c r="C130" s="798"/>
      <x:c r="D130" s="798" t="str">
        <x:f>IF($C130="","",TEXTJOIN(" ",TRUE,INDEX(Taxepunkter!$C:$C,$C130),INDEX(Taxepunkter!$D:$D,$C130)))</x:f>
      </x:c>
      <x:c r="E130" s="798" t="str">
        <x:f>IF($C130="","","Saknas i EDP – föreslagen ny taxa")</x:f>
      </x:c>
      <x:c r="F130" s="798" t="str">
        <x:f>IF($C130="","","Automatiserad mall: fyll Rad i Taxepunkter och FöreslagenTaxekod")</x:f>
      </x:c>
      <x:c r="G130" s="799"/>
      <x:c r="H130" s="800" t="str">
        <x:f>IF($C130="","",$C130)</x:f>
      </x:c>
      <x:c r="I130" s="800" t="str">
        <x:f>IF($C130="","",INDEX(Taxepunkter!$B:$B,$C130)&amp;" / "&amp;INDEX(Taxepunkter!$C:$C,$C130))</x:f>
      </x:c>
      <x:c r="J130" s="800" t="str">
        <x:f>IF($G130="","",$G130)</x:f>
      </x:c>
      <x:c r="K130" s="800" t="str">
        <x:f>IF($C130="","",INDEX(Taxepunkter!$C:$C,$C130)&amp;IF(INDEX(Taxepunkter!$D:$D,$C130)="","",". "&amp;INDEX(Taxepunkter!$D:$D,$C130)))</x:f>
      </x:c>
      <x:c r="L130" s="800" t="str">
        <x:f>IF($C130="","","RENH")</x:f>
      </x:c>
      <x:c r="M130" s="800" t="str">
        <x:f>IF($C130="","","HUSH")</x:f>
      </x:c>
      <x:c r="N130" s="800" t="str">
        <x:f>IF($C130="","",1)</x:f>
      </x:c>
      <x:c r="O130" s="800" t="str">
        <x:f>IF($C130="","","ÅRKV")</x:f>
      </x:c>
      <x:c r="P130" s="800" t="str">
        <x:f>IF($C130="","",TEXTJOIN(" ",TRUE,INDEX(Taxepunkter!$C:$C,$C130),INDEX(Taxepunkter!$D:$D,$C130)))</x:f>
      </x:c>
      <x:c r="Q130" s="800"/>
      <x:c r="R130" s="800"/>
      <x:c r="S130" s="800"/>
      <x:c r="T130" s="800"/>
      <x:c r="U130" s="800" t="str">
        <x:f>IF($C130="","",0)</x:f>
      </x:c>
      <x:c r="V130" s="800"/>
      <x:c r="W130" s="800" t="str">
        <x:f>IF($C130="","","-")</x:f>
      </x:c>
      <x:c r="X130" s="800" t="str">
        <x:f>IF($C130="","",1)</x:f>
      </x:c>
      <x:c r="Y130" s="885" t="str">
        <x:f>IF($C130="","","ANTB")</x:f>
      </x:c>
    </x:row>
    <x:row r="131">
      <x:c r="A131" s="884" t="str">
        <x:f>IF($C131="","",INDEX(Taxepunkter!$A:$A,$C131))</x:f>
      </x:c>
      <x:c r="B131" s="798"/>
      <x:c r="C131" s="798"/>
      <x:c r="D131" s="798" t="str">
        <x:f>IF($C131="","",TEXTJOIN(" ",TRUE,INDEX(Taxepunkter!$C:$C,$C131),INDEX(Taxepunkter!$D:$D,$C131)))</x:f>
      </x:c>
      <x:c r="E131" s="798" t="str">
        <x:f>IF($C131="","","Saknas i EDP – föreslagen ny taxa")</x:f>
      </x:c>
      <x:c r="F131" s="798" t="str">
        <x:f>IF($C131="","","Automatiserad mall: fyll Rad i Taxepunkter och FöreslagenTaxekod")</x:f>
      </x:c>
      <x:c r="G131" s="799"/>
      <x:c r="H131" s="800" t="str">
        <x:f>IF($C131="","",$C131)</x:f>
      </x:c>
      <x:c r="I131" s="800" t="str">
        <x:f>IF($C131="","",INDEX(Taxepunkter!$B:$B,$C131)&amp;" / "&amp;INDEX(Taxepunkter!$C:$C,$C131))</x:f>
      </x:c>
      <x:c r="J131" s="800" t="str">
        <x:f>IF($G131="","",$G131)</x:f>
      </x:c>
      <x:c r="K131" s="800" t="str">
        <x:f>IF($C131="","",INDEX(Taxepunkter!$C:$C,$C131)&amp;IF(INDEX(Taxepunkter!$D:$D,$C131)="","",". "&amp;INDEX(Taxepunkter!$D:$D,$C131)))</x:f>
      </x:c>
      <x:c r="L131" s="800" t="str">
        <x:f>IF($C131="","","RENH")</x:f>
      </x:c>
      <x:c r="M131" s="800" t="str">
        <x:f>IF($C131="","","HUSH")</x:f>
      </x:c>
      <x:c r="N131" s="800" t="str">
        <x:f>IF($C131="","",1)</x:f>
      </x:c>
      <x:c r="O131" s="800" t="str">
        <x:f>IF($C131="","","ÅRKV")</x:f>
      </x:c>
      <x:c r="P131" s="800" t="str">
        <x:f>IF($C131="","",TEXTJOIN(" ",TRUE,INDEX(Taxepunkter!$C:$C,$C131),INDEX(Taxepunkter!$D:$D,$C131)))</x:f>
      </x:c>
      <x:c r="Q131" s="800"/>
      <x:c r="R131" s="800"/>
      <x:c r="S131" s="800"/>
      <x:c r="T131" s="800"/>
      <x:c r="U131" s="800" t="str">
        <x:f>IF($C131="","",0)</x:f>
      </x:c>
      <x:c r="V131" s="800"/>
      <x:c r="W131" s="800" t="str">
        <x:f>IF($C131="","","-")</x:f>
      </x:c>
      <x:c r="X131" s="800" t="str">
        <x:f>IF($C131="","",1)</x:f>
      </x:c>
      <x:c r="Y131" s="885" t="str">
        <x:f>IF($C131="","","ANTB")</x:f>
      </x:c>
    </x:row>
    <x:row r="132">
      <x:c r="A132" s="884" t="str">
        <x:f>IF($C132="","",INDEX(Taxepunkter!$A:$A,$C132))</x:f>
      </x:c>
      <x:c r="B132" s="798"/>
      <x:c r="C132" s="798"/>
      <x:c r="D132" s="798" t="str">
        <x:f>IF($C132="","",TEXTJOIN(" ",TRUE,INDEX(Taxepunkter!$C:$C,$C132),INDEX(Taxepunkter!$D:$D,$C132)))</x:f>
      </x:c>
      <x:c r="E132" s="798" t="str">
        <x:f>IF($C132="","","Saknas i EDP – föreslagen ny taxa")</x:f>
      </x:c>
      <x:c r="F132" s="798" t="str">
        <x:f>IF($C132="","","Automatiserad mall: fyll Rad i Taxepunkter och FöreslagenTaxekod")</x:f>
      </x:c>
      <x:c r="G132" s="799"/>
      <x:c r="H132" s="800" t="str">
        <x:f>IF($C132="","",$C132)</x:f>
      </x:c>
      <x:c r="I132" s="800" t="str">
        <x:f>IF($C132="","",INDEX(Taxepunkter!$B:$B,$C132)&amp;" / "&amp;INDEX(Taxepunkter!$C:$C,$C132))</x:f>
      </x:c>
      <x:c r="J132" s="800" t="str">
        <x:f>IF($G132="","",$G132)</x:f>
      </x:c>
      <x:c r="K132" s="800" t="str">
        <x:f>IF($C132="","",INDEX(Taxepunkter!$C:$C,$C132)&amp;IF(INDEX(Taxepunkter!$D:$D,$C132)="","",". "&amp;INDEX(Taxepunkter!$D:$D,$C132)))</x:f>
      </x:c>
      <x:c r="L132" s="800" t="str">
        <x:f>IF($C132="","","RENH")</x:f>
      </x:c>
      <x:c r="M132" s="800" t="str">
        <x:f>IF($C132="","","HUSH")</x:f>
      </x:c>
      <x:c r="N132" s="800" t="str">
        <x:f>IF($C132="","",1)</x:f>
      </x:c>
      <x:c r="O132" s="800" t="str">
        <x:f>IF($C132="","","ÅRKV")</x:f>
      </x:c>
      <x:c r="P132" s="800" t="str">
        <x:f>IF($C132="","",TEXTJOIN(" ",TRUE,INDEX(Taxepunkter!$C:$C,$C132),INDEX(Taxepunkter!$D:$D,$C132)))</x:f>
      </x:c>
      <x:c r="Q132" s="800"/>
      <x:c r="R132" s="800"/>
      <x:c r="S132" s="800"/>
      <x:c r="T132" s="800"/>
      <x:c r="U132" s="800" t="str">
        <x:f>IF($C132="","",0)</x:f>
      </x:c>
      <x:c r="V132" s="800"/>
      <x:c r="W132" s="800" t="str">
        <x:f>IF($C132="","","-")</x:f>
      </x:c>
      <x:c r="X132" s="800" t="str">
        <x:f>IF($C132="","",1)</x:f>
      </x:c>
      <x:c r="Y132" s="885" t="str">
        <x:f>IF($C132="","","ANTB")</x:f>
      </x:c>
    </x:row>
    <x:row r="133">
      <x:c r="A133" s="884" t="str">
        <x:f>IF($C133="","",INDEX(Taxepunkter!$A:$A,$C133))</x:f>
      </x:c>
      <x:c r="B133" s="798"/>
      <x:c r="C133" s="798"/>
      <x:c r="D133" s="798" t="str">
        <x:f>IF($C133="","",TEXTJOIN(" ",TRUE,INDEX(Taxepunkter!$C:$C,$C133),INDEX(Taxepunkter!$D:$D,$C133)))</x:f>
      </x:c>
      <x:c r="E133" s="798" t="str">
        <x:f>IF($C133="","","Saknas i EDP – föreslagen ny taxa")</x:f>
      </x:c>
      <x:c r="F133" s="798" t="str">
        <x:f>IF($C133="","","Automatiserad mall: fyll Rad i Taxepunkter och FöreslagenTaxekod")</x:f>
      </x:c>
      <x:c r="G133" s="799"/>
      <x:c r="H133" s="800" t="str">
        <x:f>IF($C133="","",$C133)</x:f>
      </x:c>
      <x:c r="I133" s="800" t="str">
        <x:f>IF($C133="","",INDEX(Taxepunkter!$B:$B,$C133)&amp;" / "&amp;INDEX(Taxepunkter!$C:$C,$C133))</x:f>
      </x:c>
      <x:c r="J133" s="800" t="str">
        <x:f>IF($G133="","",$G133)</x:f>
      </x:c>
      <x:c r="K133" s="800" t="str">
        <x:f>IF($C133="","",INDEX(Taxepunkter!$C:$C,$C133)&amp;IF(INDEX(Taxepunkter!$D:$D,$C133)="","",". "&amp;INDEX(Taxepunkter!$D:$D,$C133)))</x:f>
      </x:c>
      <x:c r="L133" s="800" t="str">
        <x:f>IF($C133="","","RENH")</x:f>
      </x:c>
      <x:c r="M133" s="800" t="str">
        <x:f>IF($C133="","","HUSH")</x:f>
      </x:c>
      <x:c r="N133" s="800" t="str">
        <x:f>IF($C133="","",1)</x:f>
      </x:c>
      <x:c r="O133" s="800" t="str">
        <x:f>IF($C133="","","ÅRKV")</x:f>
      </x:c>
      <x:c r="P133" s="800" t="str">
        <x:f>IF($C133="","",TEXTJOIN(" ",TRUE,INDEX(Taxepunkter!$C:$C,$C133),INDEX(Taxepunkter!$D:$D,$C133)))</x:f>
      </x:c>
      <x:c r="Q133" s="800"/>
      <x:c r="R133" s="800"/>
      <x:c r="S133" s="800"/>
      <x:c r="T133" s="800"/>
      <x:c r="U133" s="800" t="str">
        <x:f>IF($C133="","",0)</x:f>
      </x:c>
      <x:c r="V133" s="800"/>
      <x:c r="W133" s="800" t="str">
        <x:f>IF($C133="","","-")</x:f>
      </x:c>
      <x:c r="X133" s="800" t="str">
        <x:f>IF($C133="","",1)</x:f>
      </x:c>
      <x:c r="Y133" s="885" t="str">
        <x:f>IF($C133="","","ANTB")</x:f>
      </x:c>
    </x:row>
    <x:row r="134">
      <x:c r="A134" s="884" t="str">
        <x:f>IF($C134="","",INDEX(Taxepunkter!$A:$A,$C134))</x:f>
      </x:c>
      <x:c r="B134" s="798"/>
      <x:c r="C134" s="798"/>
      <x:c r="D134" s="798" t="str">
        <x:f>IF($C134="","",TEXTJOIN(" ",TRUE,INDEX(Taxepunkter!$C:$C,$C134),INDEX(Taxepunkter!$D:$D,$C134)))</x:f>
      </x:c>
      <x:c r="E134" s="798" t="str">
        <x:f>IF($C134="","","Saknas i EDP – föreslagen ny taxa")</x:f>
      </x:c>
      <x:c r="F134" s="798" t="str">
        <x:f>IF($C134="","","Automatiserad mall: fyll Rad i Taxepunkter och FöreslagenTaxekod")</x:f>
      </x:c>
      <x:c r="G134" s="799"/>
      <x:c r="H134" s="800" t="str">
        <x:f>IF($C134="","",$C134)</x:f>
      </x:c>
      <x:c r="I134" s="800" t="str">
        <x:f>IF($C134="","",INDEX(Taxepunkter!$B:$B,$C134)&amp;" / "&amp;INDEX(Taxepunkter!$C:$C,$C134))</x:f>
      </x:c>
      <x:c r="J134" s="800" t="str">
        <x:f>IF($G134="","",$G134)</x:f>
      </x:c>
      <x:c r="K134" s="800" t="str">
        <x:f>IF($C134="","",INDEX(Taxepunkter!$C:$C,$C134)&amp;IF(INDEX(Taxepunkter!$D:$D,$C134)="","",". "&amp;INDEX(Taxepunkter!$D:$D,$C134)))</x:f>
      </x:c>
      <x:c r="L134" s="800" t="str">
        <x:f>IF($C134="","","RENH")</x:f>
      </x:c>
      <x:c r="M134" s="800" t="str">
        <x:f>IF($C134="","","HUSH")</x:f>
      </x:c>
      <x:c r="N134" s="800" t="str">
        <x:f>IF($C134="","",1)</x:f>
      </x:c>
      <x:c r="O134" s="800" t="str">
        <x:f>IF($C134="","","ÅRKV")</x:f>
      </x:c>
      <x:c r="P134" s="800" t="str">
        <x:f>IF($C134="","",TEXTJOIN(" ",TRUE,INDEX(Taxepunkter!$C:$C,$C134),INDEX(Taxepunkter!$D:$D,$C134)))</x:f>
      </x:c>
      <x:c r="Q134" s="800"/>
      <x:c r="R134" s="800"/>
      <x:c r="S134" s="800"/>
      <x:c r="T134" s="800"/>
      <x:c r="U134" s="800" t="str">
        <x:f>IF($C134="","",0)</x:f>
      </x:c>
      <x:c r="V134" s="800"/>
      <x:c r="W134" s="800" t="str">
        <x:f>IF($C134="","","-")</x:f>
      </x:c>
      <x:c r="X134" s="800" t="str">
        <x:f>IF($C134="","",1)</x:f>
      </x:c>
      <x:c r="Y134" s="885" t="str">
        <x:f>IF($C134="","","ANTB")</x:f>
      </x:c>
    </x:row>
    <x:row r="135">
      <x:c r="A135" s="884" t="str">
        <x:f>IF($C135="","",INDEX(Taxepunkter!$A:$A,$C135))</x:f>
      </x:c>
      <x:c r="B135" s="798"/>
      <x:c r="C135" s="798"/>
      <x:c r="D135" s="798" t="str">
        <x:f>IF($C135="","",TEXTJOIN(" ",TRUE,INDEX(Taxepunkter!$C:$C,$C135),INDEX(Taxepunkter!$D:$D,$C135)))</x:f>
      </x:c>
      <x:c r="E135" s="798" t="str">
        <x:f>IF($C135="","","Saknas i EDP – föreslagen ny taxa")</x:f>
      </x:c>
      <x:c r="F135" s="798" t="str">
        <x:f>IF($C135="","","Automatiserad mall: fyll Rad i Taxepunkter och FöreslagenTaxekod")</x:f>
      </x:c>
      <x:c r="G135" s="799"/>
      <x:c r="H135" s="800" t="str">
        <x:f>IF($C135="","",$C135)</x:f>
      </x:c>
      <x:c r="I135" s="800" t="str">
        <x:f>IF($C135="","",INDEX(Taxepunkter!$B:$B,$C135)&amp;" / "&amp;INDEX(Taxepunkter!$C:$C,$C135))</x:f>
      </x:c>
      <x:c r="J135" s="800" t="str">
        <x:f>IF($G135="","",$G135)</x:f>
      </x:c>
      <x:c r="K135" s="800" t="str">
        <x:f>IF($C135="","",INDEX(Taxepunkter!$C:$C,$C135)&amp;IF(INDEX(Taxepunkter!$D:$D,$C135)="","",". "&amp;INDEX(Taxepunkter!$D:$D,$C135)))</x:f>
      </x:c>
      <x:c r="L135" s="800" t="str">
        <x:f>IF($C135="","","RENH")</x:f>
      </x:c>
      <x:c r="M135" s="800" t="str">
        <x:f>IF($C135="","","HUSH")</x:f>
      </x:c>
      <x:c r="N135" s="800" t="str">
        <x:f>IF($C135="","",1)</x:f>
      </x:c>
      <x:c r="O135" s="800" t="str">
        <x:f>IF($C135="","","ÅRKV")</x:f>
      </x:c>
      <x:c r="P135" s="800" t="str">
        <x:f>IF($C135="","",TEXTJOIN(" ",TRUE,INDEX(Taxepunkter!$C:$C,$C135),INDEX(Taxepunkter!$D:$D,$C135)))</x:f>
      </x:c>
      <x:c r="Q135" s="800"/>
      <x:c r="R135" s="800"/>
      <x:c r="S135" s="800"/>
      <x:c r="T135" s="800"/>
      <x:c r="U135" s="800" t="str">
        <x:f>IF($C135="","",0)</x:f>
      </x:c>
      <x:c r="V135" s="800"/>
      <x:c r="W135" s="800" t="str">
        <x:f>IF($C135="","","-")</x:f>
      </x:c>
      <x:c r="X135" s="800" t="str">
        <x:f>IF($C135="","",1)</x:f>
      </x:c>
      <x:c r="Y135" s="885" t="str">
        <x:f>IF($C135="","","ANTB")</x:f>
      </x:c>
    </x:row>
    <x:row r="136">
      <x:c r="A136" s="884" t="str">
        <x:f>IF($C136="","",INDEX(Taxepunkter!$A:$A,$C136))</x:f>
      </x:c>
      <x:c r="B136" s="798"/>
      <x:c r="C136" s="798"/>
      <x:c r="D136" s="798" t="str">
        <x:f>IF($C136="","",TEXTJOIN(" ",TRUE,INDEX(Taxepunkter!$C:$C,$C136),INDEX(Taxepunkter!$D:$D,$C136)))</x:f>
      </x:c>
      <x:c r="E136" s="798" t="str">
        <x:f>IF($C136="","","Saknas i EDP – föreslagen ny taxa")</x:f>
      </x:c>
      <x:c r="F136" s="798" t="str">
        <x:f>IF($C136="","","Automatiserad mall: fyll Rad i Taxepunkter och FöreslagenTaxekod")</x:f>
      </x:c>
      <x:c r="G136" s="799"/>
      <x:c r="H136" s="800" t="str">
        <x:f>IF($C136="","",$C136)</x:f>
      </x:c>
      <x:c r="I136" s="800" t="str">
        <x:f>IF($C136="","",INDEX(Taxepunkter!$B:$B,$C136)&amp;" / "&amp;INDEX(Taxepunkter!$C:$C,$C136))</x:f>
      </x:c>
      <x:c r="J136" s="800" t="str">
        <x:f>IF($G136="","",$G136)</x:f>
      </x:c>
      <x:c r="K136" s="800" t="str">
        <x:f>IF($C136="","",INDEX(Taxepunkter!$C:$C,$C136)&amp;IF(INDEX(Taxepunkter!$D:$D,$C136)="","",". "&amp;INDEX(Taxepunkter!$D:$D,$C136)))</x:f>
      </x:c>
      <x:c r="L136" s="800" t="str">
        <x:f>IF($C136="","","RENH")</x:f>
      </x:c>
      <x:c r="M136" s="800" t="str">
        <x:f>IF($C136="","","HUSH")</x:f>
      </x:c>
      <x:c r="N136" s="800" t="str">
        <x:f>IF($C136="","",1)</x:f>
      </x:c>
      <x:c r="O136" s="800" t="str">
        <x:f>IF($C136="","","ÅRKV")</x:f>
      </x:c>
      <x:c r="P136" s="800" t="str">
        <x:f>IF($C136="","",TEXTJOIN(" ",TRUE,INDEX(Taxepunkter!$C:$C,$C136),INDEX(Taxepunkter!$D:$D,$C136)))</x:f>
      </x:c>
      <x:c r="Q136" s="800"/>
      <x:c r="R136" s="800"/>
      <x:c r="S136" s="800"/>
      <x:c r="T136" s="800"/>
      <x:c r="U136" s="800" t="str">
        <x:f>IF($C136="","",0)</x:f>
      </x:c>
      <x:c r="V136" s="800"/>
      <x:c r="W136" s="800" t="str">
        <x:f>IF($C136="","","-")</x:f>
      </x:c>
      <x:c r="X136" s="800" t="str">
        <x:f>IF($C136="","",1)</x:f>
      </x:c>
      <x:c r="Y136" s="885" t="str">
        <x:f>IF($C136="","","ANTB")</x:f>
      </x:c>
    </x:row>
    <x:row r="137">
      <x:c r="A137" s="884" t="str">
        <x:f>IF($C137="","",INDEX(Taxepunkter!$A:$A,$C137))</x:f>
      </x:c>
      <x:c r="B137" s="798"/>
      <x:c r="C137" s="798"/>
      <x:c r="D137" s="798" t="str">
        <x:f>IF($C137="","",TEXTJOIN(" ",TRUE,INDEX(Taxepunkter!$C:$C,$C137),INDEX(Taxepunkter!$D:$D,$C137)))</x:f>
      </x:c>
      <x:c r="E137" s="798" t="str">
        <x:f>IF($C137="","","Saknas i EDP – föreslagen ny taxa")</x:f>
      </x:c>
      <x:c r="F137" s="798" t="str">
        <x:f>IF($C137="","","Automatiserad mall: fyll Rad i Taxepunkter och FöreslagenTaxekod")</x:f>
      </x:c>
      <x:c r="G137" s="799"/>
      <x:c r="H137" s="800" t="str">
        <x:f>IF($C137="","",$C137)</x:f>
      </x:c>
      <x:c r="I137" s="800" t="str">
        <x:f>IF($C137="","",INDEX(Taxepunkter!$B:$B,$C137)&amp;" / "&amp;INDEX(Taxepunkter!$C:$C,$C137))</x:f>
      </x:c>
      <x:c r="J137" s="800" t="str">
        <x:f>IF($G137="","",$G137)</x:f>
      </x:c>
      <x:c r="K137" s="800" t="str">
        <x:f>IF($C137="","",INDEX(Taxepunkter!$C:$C,$C137)&amp;IF(INDEX(Taxepunkter!$D:$D,$C137)="","",". "&amp;INDEX(Taxepunkter!$D:$D,$C137)))</x:f>
      </x:c>
      <x:c r="L137" s="800" t="str">
        <x:f>IF($C137="","","RENH")</x:f>
      </x:c>
      <x:c r="M137" s="800" t="str">
        <x:f>IF($C137="","","HUSH")</x:f>
      </x:c>
      <x:c r="N137" s="800" t="str">
        <x:f>IF($C137="","",1)</x:f>
      </x:c>
      <x:c r="O137" s="800" t="str">
        <x:f>IF($C137="","","ÅRKV")</x:f>
      </x:c>
      <x:c r="P137" s="800" t="str">
        <x:f>IF($C137="","",TEXTJOIN(" ",TRUE,INDEX(Taxepunkter!$C:$C,$C137),INDEX(Taxepunkter!$D:$D,$C137)))</x:f>
      </x:c>
      <x:c r="Q137" s="800"/>
      <x:c r="R137" s="800"/>
      <x:c r="S137" s="800"/>
      <x:c r="T137" s="800"/>
      <x:c r="U137" s="800" t="str">
        <x:f>IF($C137="","",0)</x:f>
      </x:c>
      <x:c r="V137" s="800"/>
      <x:c r="W137" s="800" t="str">
        <x:f>IF($C137="","","-")</x:f>
      </x:c>
      <x:c r="X137" s="800" t="str">
        <x:f>IF($C137="","",1)</x:f>
      </x:c>
      <x:c r="Y137" s="885" t="str">
        <x:f>IF($C137="","","ANTB")</x:f>
      </x:c>
    </x:row>
    <x:row r="138">
      <x:c r="A138" s="884" t="str">
        <x:f>IF($C138="","",INDEX(Taxepunkter!$A:$A,$C138))</x:f>
      </x:c>
      <x:c r="B138" s="798"/>
      <x:c r="C138" s="798"/>
      <x:c r="D138" s="798" t="str">
        <x:f>IF($C138="","",TEXTJOIN(" ",TRUE,INDEX(Taxepunkter!$C:$C,$C138),INDEX(Taxepunkter!$D:$D,$C138)))</x:f>
      </x:c>
      <x:c r="E138" s="798" t="str">
        <x:f>IF($C138="","","Saknas i EDP – föreslagen ny taxa")</x:f>
      </x:c>
      <x:c r="F138" s="798" t="str">
        <x:f>IF($C138="","","Automatiserad mall: fyll Rad i Taxepunkter och FöreslagenTaxekod")</x:f>
      </x:c>
      <x:c r="G138" s="799"/>
      <x:c r="H138" s="800" t="str">
        <x:f>IF($C138="","",$C138)</x:f>
      </x:c>
      <x:c r="I138" s="800" t="str">
        <x:f>IF($C138="","",INDEX(Taxepunkter!$B:$B,$C138)&amp;" / "&amp;INDEX(Taxepunkter!$C:$C,$C138))</x:f>
      </x:c>
      <x:c r="J138" s="800" t="str">
        <x:f>IF($G138="","",$G138)</x:f>
      </x:c>
      <x:c r="K138" s="800" t="str">
        <x:f>IF($C138="","",INDEX(Taxepunkter!$C:$C,$C138)&amp;IF(INDEX(Taxepunkter!$D:$D,$C138)="","",". "&amp;INDEX(Taxepunkter!$D:$D,$C138)))</x:f>
      </x:c>
      <x:c r="L138" s="800" t="str">
        <x:f>IF($C138="","","RENH")</x:f>
      </x:c>
      <x:c r="M138" s="800" t="str">
        <x:f>IF($C138="","","HUSH")</x:f>
      </x:c>
      <x:c r="N138" s="800" t="str">
        <x:f>IF($C138="","",1)</x:f>
      </x:c>
      <x:c r="O138" s="800" t="str">
        <x:f>IF($C138="","","ÅRKV")</x:f>
      </x:c>
      <x:c r="P138" s="800" t="str">
        <x:f>IF($C138="","",TEXTJOIN(" ",TRUE,INDEX(Taxepunkter!$C:$C,$C138),INDEX(Taxepunkter!$D:$D,$C138)))</x:f>
      </x:c>
      <x:c r="Q138" s="800"/>
      <x:c r="R138" s="800"/>
      <x:c r="S138" s="800"/>
      <x:c r="T138" s="800"/>
      <x:c r="U138" s="800" t="str">
        <x:f>IF($C138="","",0)</x:f>
      </x:c>
      <x:c r="V138" s="800"/>
      <x:c r="W138" s="800" t="str">
        <x:f>IF($C138="","","-")</x:f>
      </x:c>
      <x:c r="X138" s="800" t="str">
        <x:f>IF($C138="","",1)</x:f>
      </x:c>
      <x:c r="Y138" s="885" t="str">
        <x:f>IF($C138="","","ANTB")</x:f>
      </x:c>
    </x:row>
    <x:row r="139">
      <x:c r="A139" s="884" t="str">
        <x:f>IF($C139="","",INDEX(Taxepunkter!$A:$A,$C139))</x:f>
      </x:c>
      <x:c r="B139" s="798"/>
      <x:c r="C139" s="798"/>
      <x:c r="D139" s="798" t="str">
        <x:f>IF($C139="","",TEXTJOIN(" ",TRUE,INDEX(Taxepunkter!$C:$C,$C139),INDEX(Taxepunkter!$D:$D,$C139)))</x:f>
      </x:c>
      <x:c r="E139" s="798" t="str">
        <x:f>IF($C139="","","Saknas i EDP – föreslagen ny taxa")</x:f>
      </x:c>
      <x:c r="F139" s="798" t="str">
        <x:f>IF($C139="","","Automatiserad mall: fyll Rad i Taxepunkter och FöreslagenTaxekod")</x:f>
      </x:c>
      <x:c r="G139" s="799"/>
      <x:c r="H139" s="800" t="str">
        <x:f>IF($C139="","",$C139)</x:f>
      </x:c>
      <x:c r="I139" s="800" t="str">
        <x:f>IF($C139="","",INDEX(Taxepunkter!$B:$B,$C139)&amp;" / "&amp;INDEX(Taxepunkter!$C:$C,$C139))</x:f>
      </x:c>
      <x:c r="J139" s="800" t="str">
        <x:f>IF($G139="","",$G139)</x:f>
      </x:c>
      <x:c r="K139" s="800" t="str">
        <x:f>IF($C139="","",INDEX(Taxepunkter!$C:$C,$C139)&amp;IF(INDEX(Taxepunkter!$D:$D,$C139)="","",". "&amp;INDEX(Taxepunkter!$D:$D,$C139)))</x:f>
      </x:c>
      <x:c r="L139" s="800" t="str">
        <x:f>IF($C139="","","RENH")</x:f>
      </x:c>
      <x:c r="M139" s="800" t="str">
        <x:f>IF($C139="","","HUSH")</x:f>
      </x:c>
      <x:c r="N139" s="800" t="str">
        <x:f>IF($C139="","",1)</x:f>
      </x:c>
      <x:c r="O139" s="800" t="str">
        <x:f>IF($C139="","","ÅRKV")</x:f>
      </x:c>
      <x:c r="P139" s="800" t="str">
        <x:f>IF($C139="","",TEXTJOIN(" ",TRUE,INDEX(Taxepunkter!$C:$C,$C139),INDEX(Taxepunkter!$D:$D,$C139)))</x:f>
      </x:c>
      <x:c r="Q139" s="800"/>
      <x:c r="R139" s="800"/>
      <x:c r="S139" s="800"/>
      <x:c r="T139" s="800"/>
      <x:c r="U139" s="800" t="str">
        <x:f>IF($C139="","",0)</x:f>
      </x:c>
      <x:c r="V139" s="800"/>
      <x:c r="W139" s="800" t="str">
        <x:f>IF($C139="","","-")</x:f>
      </x:c>
      <x:c r="X139" s="800" t="str">
        <x:f>IF($C139="","",1)</x:f>
      </x:c>
      <x:c r="Y139" s="885" t="str">
        <x:f>IF($C139="","","ANTB")</x:f>
      </x:c>
    </x:row>
    <x:row r="140">
      <x:c r="A140" s="884" t="str">
        <x:f>IF($C140="","",INDEX(Taxepunkter!$A:$A,$C140))</x:f>
      </x:c>
      <x:c r="B140" s="798"/>
      <x:c r="C140" s="798"/>
      <x:c r="D140" s="798" t="str">
        <x:f>IF($C140="","",TEXTJOIN(" ",TRUE,INDEX(Taxepunkter!$C:$C,$C140),INDEX(Taxepunkter!$D:$D,$C140)))</x:f>
      </x:c>
      <x:c r="E140" s="798" t="str">
        <x:f>IF($C140="","","Saknas i EDP – föreslagen ny taxa")</x:f>
      </x:c>
      <x:c r="F140" s="798" t="str">
        <x:f>IF($C140="","","Automatiserad mall: fyll Rad i Taxepunkter och FöreslagenTaxekod")</x:f>
      </x:c>
      <x:c r="G140" s="799"/>
      <x:c r="H140" s="800" t="str">
        <x:f>IF($C140="","",$C140)</x:f>
      </x:c>
      <x:c r="I140" s="800" t="str">
        <x:f>IF($C140="","",INDEX(Taxepunkter!$B:$B,$C140)&amp;" / "&amp;INDEX(Taxepunkter!$C:$C,$C140))</x:f>
      </x:c>
      <x:c r="J140" s="800" t="str">
        <x:f>IF($G140="","",$G140)</x:f>
      </x:c>
      <x:c r="K140" s="800" t="str">
        <x:f>IF($C140="","",INDEX(Taxepunkter!$C:$C,$C140)&amp;IF(INDEX(Taxepunkter!$D:$D,$C140)="","",". "&amp;INDEX(Taxepunkter!$D:$D,$C140)))</x:f>
      </x:c>
      <x:c r="L140" s="800" t="str">
        <x:f>IF($C140="","","RENH")</x:f>
      </x:c>
      <x:c r="M140" s="800" t="str">
        <x:f>IF($C140="","","HUSH")</x:f>
      </x:c>
      <x:c r="N140" s="800" t="str">
        <x:f>IF($C140="","",1)</x:f>
      </x:c>
      <x:c r="O140" s="800" t="str">
        <x:f>IF($C140="","","ÅRKV")</x:f>
      </x:c>
      <x:c r="P140" s="800" t="str">
        <x:f>IF($C140="","",TEXTJOIN(" ",TRUE,INDEX(Taxepunkter!$C:$C,$C140),INDEX(Taxepunkter!$D:$D,$C140)))</x:f>
      </x:c>
      <x:c r="Q140" s="800"/>
      <x:c r="R140" s="800"/>
      <x:c r="S140" s="800"/>
      <x:c r="T140" s="800"/>
      <x:c r="U140" s="800" t="str">
        <x:f>IF($C140="","",0)</x:f>
      </x:c>
      <x:c r="V140" s="800"/>
      <x:c r="W140" s="800" t="str">
        <x:f>IF($C140="","","-")</x:f>
      </x:c>
      <x:c r="X140" s="800" t="str">
        <x:f>IF($C140="","",1)</x:f>
      </x:c>
      <x:c r="Y140" s="885" t="str">
        <x:f>IF($C140="","","ANTB")</x:f>
      </x:c>
    </x:row>
    <x:row r="141">
      <x:c r="A141" s="884" t="str">
        <x:f>IF($C141="","",INDEX(Taxepunkter!$A:$A,$C141))</x:f>
      </x:c>
      <x:c r="B141" s="798"/>
      <x:c r="C141" s="798"/>
      <x:c r="D141" s="798" t="str">
        <x:f>IF($C141="","",TEXTJOIN(" ",TRUE,INDEX(Taxepunkter!$C:$C,$C141),INDEX(Taxepunkter!$D:$D,$C141)))</x:f>
      </x:c>
      <x:c r="E141" s="798" t="str">
        <x:f>IF($C141="","","Saknas i EDP – föreslagen ny taxa")</x:f>
      </x:c>
      <x:c r="F141" s="798" t="str">
        <x:f>IF($C141="","","Automatiserad mall: fyll Rad i Taxepunkter och FöreslagenTaxekod")</x:f>
      </x:c>
      <x:c r="G141" s="799"/>
      <x:c r="H141" s="800" t="str">
        <x:f>IF($C141="","",$C141)</x:f>
      </x:c>
      <x:c r="I141" s="800" t="str">
        <x:f>IF($C141="","",INDEX(Taxepunkter!$B:$B,$C141)&amp;" / "&amp;INDEX(Taxepunkter!$C:$C,$C141))</x:f>
      </x:c>
      <x:c r="J141" s="800" t="str">
        <x:f>IF($G141="","",$G141)</x:f>
      </x:c>
      <x:c r="K141" s="800" t="str">
        <x:f>IF($C141="","",INDEX(Taxepunkter!$C:$C,$C141)&amp;IF(INDEX(Taxepunkter!$D:$D,$C141)="","",". "&amp;INDEX(Taxepunkter!$D:$D,$C141)))</x:f>
      </x:c>
      <x:c r="L141" s="800" t="str">
        <x:f>IF($C141="","","RENH")</x:f>
      </x:c>
      <x:c r="M141" s="800" t="str">
        <x:f>IF($C141="","","HUSH")</x:f>
      </x:c>
      <x:c r="N141" s="800" t="str">
        <x:f>IF($C141="","",1)</x:f>
      </x:c>
      <x:c r="O141" s="800" t="str">
        <x:f>IF($C141="","","ÅRKV")</x:f>
      </x:c>
      <x:c r="P141" s="800" t="str">
        <x:f>IF($C141="","",TEXTJOIN(" ",TRUE,INDEX(Taxepunkter!$C:$C,$C141),INDEX(Taxepunkter!$D:$D,$C141)))</x:f>
      </x:c>
      <x:c r="Q141" s="800"/>
      <x:c r="R141" s="800"/>
      <x:c r="S141" s="800"/>
      <x:c r="T141" s="800"/>
      <x:c r="U141" s="800" t="str">
        <x:f>IF($C141="","",0)</x:f>
      </x:c>
      <x:c r="V141" s="800"/>
      <x:c r="W141" s="800" t="str">
        <x:f>IF($C141="","","-")</x:f>
      </x:c>
      <x:c r="X141" s="800" t="str">
        <x:f>IF($C141="","",1)</x:f>
      </x:c>
      <x:c r="Y141" s="885" t="str">
        <x:f>IF($C141="","","ANTB")</x:f>
      </x:c>
    </x:row>
    <x:row r="142">
      <x:c r="A142" s="884" t="str">
        <x:f>IF($C142="","",INDEX(Taxepunkter!$A:$A,$C142))</x:f>
      </x:c>
      <x:c r="B142" s="798"/>
      <x:c r="C142" s="798"/>
      <x:c r="D142" s="798" t="str">
        <x:f>IF($C142="","",TEXTJOIN(" ",TRUE,INDEX(Taxepunkter!$C:$C,$C142),INDEX(Taxepunkter!$D:$D,$C142)))</x:f>
      </x:c>
      <x:c r="E142" s="798" t="str">
        <x:f>IF($C142="","","Saknas i EDP – föreslagen ny taxa")</x:f>
      </x:c>
      <x:c r="F142" s="798" t="str">
        <x:f>IF($C142="","","Automatiserad mall: fyll Rad i Taxepunkter och FöreslagenTaxekod")</x:f>
      </x:c>
      <x:c r="G142" s="799"/>
      <x:c r="H142" s="800" t="str">
        <x:f>IF($C142="","",$C142)</x:f>
      </x:c>
      <x:c r="I142" s="800" t="str">
        <x:f>IF($C142="","",INDEX(Taxepunkter!$B:$B,$C142)&amp;" / "&amp;INDEX(Taxepunkter!$C:$C,$C142))</x:f>
      </x:c>
      <x:c r="J142" s="800" t="str">
        <x:f>IF($G142="","",$G142)</x:f>
      </x:c>
      <x:c r="K142" s="800" t="str">
        <x:f>IF($C142="","",INDEX(Taxepunkter!$C:$C,$C142)&amp;IF(INDEX(Taxepunkter!$D:$D,$C142)="","",". "&amp;INDEX(Taxepunkter!$D:$D,$C142)))</x:f>
      </x:c>
      <x:c r="L142" s="800" t="str">
        <x:f>IF($C142="","","RENH")</x:f>
      </x:c>
      <x:c r="M142" s="800" t="str">
        <x:f>IF($C142="","","HUSH")</x:f>
      </x:c>
      <x:c r="N142" s="800" t="str">
        <x:f>IF($C142="","",1)</x:f>
      </x:c>
      <x:c r="O142" s="800" t="str">
        <x:f>IF($C142="","","ÅRKV")</x:f>
      </x:c>
      <x:c r="P142" s="800" t="str">
        <x:f>IF($C142="","",TEXTJOIN(" ",TRUE,INDEX(Taxepunkter!$C:$C,$C142),INDEX(Taxepunkter!$D:$D,$C142)))</x:f>
      </x:c>
      <x:c r="Q142" s="800"/>
      <x:c r="R142" s="800"/>
      <x:c r="S142" s="800"/>
      <x:c r="T142" s="800"/>
      <x:c r="U142" s="800" t="str">
        <x:f>IF($C142="","",0)</x:f>
      </x:c>
      <x:c r="V142" s="800"/>
      <x:c r="W142" s="800" t="str">
        <x:f>IF($C142="","","-")</x:f>
      </x:c>
      <x:c r="X142" s="800" t="str">
        <x:f>IF($C142="","",1)</x:f>
      </x:c>
      <x:c r="Y142" s="885" t="str">
        <x:f>IF($C142="","","ANTB")</x:f>
      </x:c>
    </x:row>
    <x:row r="143">
      <x:c r="A143" s="884" t="str">
        <x:f>IF($C143="","",INDEX(Taxepunkter!$A:$A,$C143))</x:f>
      </x:c>
      <x:c r="B143" s="798"/>
      <x:c r="C143" s="798"/>
      <x:c r="D143" s="798" t="str">
        <x:f>IF($C143="","",TEXTJOIN(" ",TRUE,INDEX(Taxepunkter!$C:$C,$C143),INDEX(Taxepunkter!$D:$D,$C143)))</x:f>
      </x:c>
      <x:c r="E143" s="798" t="str">
        <x:f>IF($C143="","","Saknas i EDP – föreslagen ny taxa")</x:f>
      </x:c>
      <x:c r="F143" s="798" t="str">
        <x:f>IF($C143="","","Automatiserad mall: fyll Rad i Taxepunkter och FöreslagenTaxekod")</x:f>
      </x:c>
      <x:c r="G143" s="799"/>
      <x:c r="H143" s="800" t="str">
        <x:f>IF($C143="","",$C143)</x:f>
      </x:c>
      <x:c r="I143" s="800" t="str">
        <x:f>IF($C143="","",INDEX(Taxepunkter!$B:$B,$C143)&amp;" / "&amp;INDEX(Taxepunkter!$C:$C,$C143))</x:f>
      </x:c>
      <x:c r="J143" s="800" t="str">
        <x:f>IF($G143="","",$G143)</x:f>
      </x:c>
      <x:c r="K143" s="800" t="str">
        <x:f>IF($C143="","",INDEX(Taxepunkter!$C:$C,$C143)&amp;IF(INDEX(Taxepunkter!$D:$D,$C143)="","",". "&amp;INDEX(Taxepunkter!$D:$D,$C143)))</x:f>
      </x:c>
      <x:c r="L143" s="800" t="str">
        <x:f>IF($C143="","","RENH")</x:f>
      </x:c>
      <x:c r="M143" s="800" t="str">
        <x:f>IF($C143="","","HUSH")</x:f>
      </x:c>
      <x:c r="N143" s="800" t="str">
        <x:f>IF($C143="","",1)</x:f>
      </x:c>
      <x:c r="O143" s="800" t="str">
        <x:f>IF($C143="","","ÅRKV")</x:f>
      </x:c>
      <x:c r="P143" s="800" t="str">
        <x:f>IF($C143="","",TEXTJOIN(" ",TRUE,INDEX(Taxepunkter!$C:$C,$C143),INDEX(Taxepunkter!$D:$D,$C143)))</x:f>
      </x:c>
      <x:c r="Q143" s="800"/>
      <x:c r="R143" s="800"/>
      <x:c r="S143" s="800"/>
      <x:c r="T143" s="800"/>
      <x:c r="U143" s="800" t="str">
        <x:f>IF($C143="","",0)</x:f>
      </x:c>
      <x:c r="V143" s="800"/>
      <x:c r="W143" s="800" t="str">
        <x:f>IF($C143="","","-")</x:f>
      </x:c>
      <x:c r="X143" s="800" t="str">
        <x:f>IF($C143="","",1)</x:f>
      </x:c>
      <x:c r="Y143" s="885" t="str">
        <x:f>IF($C143="","","ANTB")</x:f>
      </x:c>
    </x:row>
    <x:row r="144">
      <x:c r="A144" s="884" t="str">
        <x:f>IF($C144="","",INDEX(Taxepunkter!$A:$A,$C144))</x:f>
      </x:c>
      <x:c r="B144" s="798"/>
      <x:c r="C144" s="798"/>
      <x:c r="D144" s="798" t="str">
        <x:f>IF($C144="","",TEXTJOIN(" ",TRUE,INDEX(Taxepunkter!$C:$C,$C144),INDEX(Taxepunkter!$D:$D,$C144)))</x:f>
      </x:c>
      <x:c r="E144" s="798" t="str">
        <x:f>IF($C144="","","Saknas i EDP – föreslagen ny taxa")</x:f>
      </x:c>
      <x:c r="F144" s="798" t="str">
        <x:f>IF($C144="","","Automatiserad mall: fyll Rad i Taxepunkter och FöreslagenTaxekod")</x:f>
      </x:c>
      <x:c r="G144" s="799"/>
      <x:c r="H144" s="800" t="str">
        <x:f>IF($C144="","",$C144)</x:f>
      </x:c>
      <x:c r="I144" s="800" t="str">
        <x:f>IF($C144="","",INDEX(Taxepunkter!$B:$B,$C144)&amp;" / "&amp;INDEX(Taxepunkter!$C:$C,$C144))</x:f>
      </x:c>
      <x:c r="J144" s="800" t="str">
        <x:f>IF($G144="","",$G144)</x:f>
      </x:c>
      <x:c r="K144" s="800" t="str">
        <x:f>IF($C144="","",INDEX(Taxepunkter!$C:$C,$C144)&amp;IF(INDEX(Taxepunkter!$D:$D,$C144)="","",". "&amp;INDEX(Taxepunkter!$D:$D,$C144)))</x:f>
      </x:c>
      <x:c r="L144" s="800" t="str">
        <x:f>IF($C144="","","RENH")</x:f>
      </x:c>
      <x:c r="M144" s="800" t="str">
        <x:f>IF($C144="","","HUSH")</x:f>
      </x:c>
      <x:c r="N144" s="800" t="str">
        <x:f>IF($C144="","",1)</x:f>
      </x:c>
      <x:c r="O144" s="800" t="str">
        <x:f>IF($C144="","","ÅRKV")</x:f>
      </x:c>
      <x:c r="P144" s="800" t="str">
        <x:f>IF($C144="","",TEXTJOIN(" ",TRUE,INDEX(Taxepunkter!$C:$C,$C144),INDEX(Taxepunkter!$D:$D,$C144)))</x:f>
      </x:c>
      <x:c r="Q144" s="800"/>
      <x:c r="R144" s="800"/>
      <x:c r="S144" s="800"/>
      <x:c r="T144" s="800"/>
      <x:c r="U144" s="800" t="str">
        <x:f>IF($C144="","",0)</x:f>
      </x:c>
      <x:c r="V144" s="800"/>
      <x:c r="W144" s="800" t="str">
        <x:f>IF($C144="","","-")</x:f>
      </x:c>
      <x:c r="X144" s="800" t="str">
        <x:f>IF($C144="","",1)</x:f>
      </x:c>
      <x:c r="Y144" s="885" t="str">
        <x:f>IF($C144="","","ANTB")</x:f>
      </x:c>
    </x:row>
    <x:row r="145">
      <x:c r="A145" s="884" t="str">
        <x:f>IF($C145="","",INDEX(Taxepunkter!$A:$A,$C145))</x:f>
      </x:c>
      <x:c r="B145" s="798"/>
      <x:c r="C145" s="798"/>
      <x:c r="D145" s="798" t="str">
        <x:f>IF($C145="","",TEXTJOIN(" ",TRUE,INDEX(Taxepunkter!$C:$C,$C145),INDEX(Taxepunkter!$D:$D,$C145)))</x:f>
      </x:c>
      <x:c r="E145" s="798" t="str">
        <x:f>IF($C145="","","Saknas i EDP – föreslagen ny taxa")</x:f>
      </x:c>
      <x:c r="F145" s="798" t="str">
        <x:f>IF($C145="","","Automatiserad mall: fyll Rad i Taxepunkter och FöreslagenTaxekod")</x:f>
      </x:c>
      <x:c r="G145" s="799"/>
      <x:c r="H145" s="800" t="str">
        <x:f>IF($C145="","",$C145)</x:f>
      </x:c>
      <x:c r="I145" s="800" t="str">
        <x:f>IF($C145="","",INDEX(Taxepunkter!$B:$B,$C145)&amp;" / "&amp;INDEX(Taxepunkter!$C:$C,$C145))</x:f>
      </x:c>
      <x:c r="J145" s="800" t="str">
        <x:f>IF($G145="","",$G145)</x:f>
      </x:c>
      <x:c r="K145" s="800" t="str">
        <x:f>IF($C145="","",INDEX(Taxepunkter!$C:$C,$C145)&amp;IF(INDEX(Taxepunkter!$D:$D,$C145)="","",". "&amp;INDEX(Taxepunkter!$D:$D,$C145)))</x:f>
      </x:c>
      <x:c r="L145" s="800" t="str">
        <x:f>IF($C145="","","RENH")</x:f>
      </x:c>
      <x:c r="M145" s="800" t="str">
        <x:f>IF($C145="","","HUSH")</x:f>
      </x:c>
      <x:c r="N145" s="800" t="str">
        <x:f>IF($C145="","",1)</x:f>
      </x:c>
      <x:c r="O145" s="800" t="str">
        <x:f>IF($C145="","","ÅRKV")</x:f>
      </x:c>
      <x:c r="P145" s="800" t="str">
        <x:f>IF($C145="","",TEXTJOIN(" ",TRUE,INDEX(Taxepunkter!$C:$C,$C145),INDEX(Taxepunkter!$D:$D,$C145)))</x:f>
      </x:c>
      <x:c r="Q145" s="800"/>
      <x:c r="R145" s="800"/>
      <x:c r="S145" s="800"/>
      <x:c r="T145" s="800"/>
      <x:c r="U145" s="800" t="str">
        <x:f>IF($C145="","",0)</x:f>
      </x:c>
      <x:c r="V145" s="800"/>
      <x:c r="W145" s="800" t="str">
        <x:f>IF($C145="","","-")</x:f>
      </x:c>
      <x:c r="X145" s="800" t="str">
        <x:f>IF($C145="","",1)</x:f>
      </x:c>
      <x:c r="Y145" s="885" t="str">
        <x:f>IF($C145="","","ANTB")</x:f>
      </x:c>
    </x:row>
    <x:row r="146">
      <x:c r="A146" s="884" t="str">
        <x:f>IF($C146="","",INDEX(Taxepunkter!$A:$A,$C146))</x:f>
      </x:c>
      <x:c r="B146" s="798"/>
      <x:c r="C146" s="798"/>
      <x:c r="D146" s="798" t="str">
        <x:f>IF($C146="","",TEXTJOIN(" ",TRUE,INDEX(Taxepunkter!$C:$C,$C146),INDEX(Taxepunkter!$D:$D,$C146)))</x:f>
      </x:c>
      <x:c r="E146" s="798" t="str">
        <x:f>IF($C146="","","Saknas i EDP – föreslagen ny taxa")</x:f>
      </x:c>
      <x:c r="F146" s="798" t="str">
        <x:f>IF($C146="","","Automatiserad mall: fyll Rad i Taxepunkter och FöreslagenTaxekod")</x:f>
      </x:c>
      <x:c r="G146" s="799"/>
      <x:c r="H146" s="800" t="str">
        <x:f>IF($C146="","",$C146)</x:f>
      </x:c>
      <x:c r="I146" s="800" t="str">
        <x:f>IF($C146="","",INDEX(Taxepunkter!$B:$B,$C146)&amp;" / "&amp;INDEX(Taxepunkter!$C:$C,$C146))</x:f>
      </x:c>
      <x:c r="J146" s="800" t="str">
        <x:f>IF($G146="","",$G146)</x:f>
      </x:c>
      <x:c r="K146" s="800" t="str">
        <x:f>IF($C146="","",INDEX(Taxepunkter!$C:$C,$C146)&amp;IF(INDEX(Taxepunkter!$D:$D,$C146)="","",". "&amp;INDEX(Taxepunkter!$D:$D,$C146)))</x:f>
      </x:c>
      <x:c r="L146" s="800" t="str">
        <x:f>IF($C146="","","RENH")</x:f>
      </x:c>
      <x:c r="M146" s="800" t="str">
        <x:f>IF($C146="","","HUSH")</x:f>
      </x:c>
      <x:c r="N146" s="800" t="str">
        <x:f>IF($C146="","",1)</x:f>
      </x:c>
      <x:c r="O146" s="800" t="str">
        <x:f>IF($C146="","","ÅRKV")</x:f>
      </x:c>
      <x:c r="P146" s="800" t="str">
        <x:f>IF($C146="","",TEXTJOIN(" ",TRUE,INDEX(Taxepunkter!$C:$C,$C146),INDEX(Taxepunkter!$D:$D,$C146)))</x:f>
      </x:c>
      <x:c r="Q146" s="800"/>
      <x:c r="R146" s="800"/>
      <x:c r="S146" s="800"/>
      <x:c r="T146" s="800"/>
      <x:c r="U146" s="800" t="str">
        <x:f>IF($C146="","",0)</x:f>
      </x:c>
      <x:c r="V146" s="800"/>
      <x:c r="W146" s="800" t="str">
        <x:f>IF($C146="","","-")</x:f>
      </x:c>
      <x:c r="X146" s="800" t="str">
        <x:f>IF($C146="","",1)</x:f>
      </x:c>
      <x:c r="Y146" s="885" t="str">
        <x:f>IF($C146="","","ANTB")</x:f>
      </x:c>
    </x:row>
    <x:row r="147">
      <x:c r="A147" s="884" t="str">
        <x:f>IF($C147="","",INDEX(Taxepunkter!$A:$A,$C147))</x:f>
      </x:c>
      <x:c r="B147" s="798"/>
      <x:c r="C147" s="798"/>
      <x:c r="D147" s="798" t="str">
        <x:f>IF($C147="","",TEXTJOIN(" ",TRUE,INDEX(Taxepunkter!$C:$C,$C147),INDEX(Taxepunkter!$D:$D,$C147)))</x:f>
      </x:c>
      <x:c r="E147" s="798" t="str">
        <x:f>IF($C147="","","Saknas i EDP – föreslagen ny taxa")</x:f>
      </x:c>
      <x:c r="F147" s="798" t="str">
        <x:f>IF($C147="","","Automatiserad mall: fyll Rad i Taxepunkter och FöreslagenTaxekod")</x:f>
      </x:c>
      <x:c r="G147" s="799"/>
      <x:c r="H147" s="800" t="str">
        <x:f>IF($C147="","",$C147)</x:f>
      </x:c>
      <x:c r="I147" s="800" t="str">
        <x:f>IF($C147="","",INDEX(Taxepunkter!$B:$B,$C147)&amp;" / "&amp;INDEX(Taxepunkter!$C:$C,$C147))</x:f>
      </x:c>
      <x:c r="J147" s="800" t="str">
        <x:f>IF($G147="","",$G147)</x:f>
      </x:c>
      <x:c r="K147" s="800" t="str">
        <x:f>IF($C147="","",INDEX(Taxepunkter!$C:$C,$C147)&amp;IF(INDEX(Taxepunkter!$D:$D,$C147)="","",". "&amp;INDEX(Taxepunkter!$D:$D,$C147)))</x:f>
      </x:c>
      <x:c r="L147" s="800" t="str">
        <x:f>IF($C147="","","RENH")</x:f>
      </x:c>
      <x:c r="M147" s="800" t="str">
        <x:f>IF($C147="","","HUSH")</x:f>
      </x:c>
      <x:c r="N147" s="800" t="str">
        <x:f>IF($C147="","",1)</x:f>
      </x:c>
      <x:c r="O147" s="800" t="str">
        <x:f>IF($C147="","","ÅRKV")</x:f>
      </x:c>
      <x:c r="P147" s="800" t="str">
        <x:f>IF($C147="","",TEXTJOIN(" ",TRUE,INDEX(Taxepunkter!$C:$C,$C147),INDEX(Taxepunkter!$D:$D,$C147)))</x:f>
      </x:c>
      <x:c r="Q147" s="800"/>
      <x:c r="R147" s="800"/>
      <x:c r="S147" s="800"/>
      <x:c r="T147" s="800"/>
      <x:c r="U147" s="800" t="str">
        <x:f>IF($C147="","",0)</x:f>
      </x:c>
      <x:c r="V147" s="800"/>
      <x:c r="W147" s="800" t="str">
        <x:f>IF($C147="","","-")</x:f>
      </x:c>
      <x:c r="X147" s="800" t="str">
        <x:f>IF($C147="","",1)</x:f>
      </x:c>
      <x:c r="Y147" s="885" t="str">
        <x:f>IF($C147="","","ANTB")</x:f>
      </x:c>
    </x:row>
    <x:row r="148">
      <x:c r="A148" s="884" t="str">
        <x:f>IF($C148="","",INDEX(Taxepunkter!$A:$A,$C148))</x:f>
      </x:c>
      <x:c r="B148" s="798"/>
      <x:c r="C148" s="798"/>
      <x:c r="D148" s="798" t="str">
        <x:f>IF($C148="","",TEXTJOIN(" ",TRUE,INDEX(Taxepunkter!$C:$C,$C148),INDEX(Taxepunkter!$D:$D,$C148)))</x:f>
      </x:c>
      <x:c r="E148" s="798" t="str">
        <x:f>IF($C148="","","Saknas i EDP – föreslagen ny taxa")</x:f>
      </x:c>
      <x:c r="F148" s="798" t="str">
        <x:f>IF($C148="","","Automatiserad mall: fyll Rad i Taxepunkter och FöreslagenTaxekod")</x:f>
      </x:c>
      <x:c r="G148" s="799"/>
      <x:c r="H148" s="800" t="str">
        <x:f>IF($C148="","",$C148)</x:f>
      </x:c>
      <x:c r="I148" s="800" t="str">
        <x:f>IF($C148="","",INDEX(Taxepunkter!$B:$B,$C148)&amp;" / "&amp;INDEX(Taxepunkter!$C:$C,$C148))</x:f>
      </x:c>
      <x:c r="J148" s="800" t="str">
        <x:f>IF($G148="","",$G148)</x:f>
      </x:c>
      <x:c r="K148" s="800" t="str">
        <x:f>IF($C148="","",INDEX(Taxepunkter!$C:$C,$C148)&amp;IF(INDEX(Taxepunkter!$D:$D,$C148)="","",". "&amp;INDEX(Taxepunkter!$D:$D,$C148)))</x:f>
      </x:c>
      <x:c r="L148" s="800" t="str">
        <x:f>IF($C148="","","RENH")</x:f>
      </x:c>
      <x:c r="M148" s="800" t="str">
        <x:f>IF($C148="","","HUSH")</x:f>
      </x:c>
      <x:c r="N148" s="800" t="str">
        <x:f>IF($C148="","",1)</x:f>
      </x:c>
      <x:c r="O148" s="800" t="str">
        <x:f>IF($C148="","","ÅRKV")</x:f>
      </x:c>
      <x:c r="P148" s="800" t="str">
        <x:f>IF($C148="","",TEXTJOIN(" ",TRUE,INDEX(Taxepunkter!$C:$C,$C148),INDEX(Taxepunkter!$D:$D,$C148)))</x:f>
      </x:c>
      <x:c r="Q148" s="800"/>
      <x:c r="R148" s="800"/>
      <x:c r="S148" s="800"/>
      <x:c r="T148" s="800"/>
      <x:c r="U148" s="800" t="str">
        <x:f>IF($C148="","",0)</x:f>
      </x:c>
      <x:c r="V148" s="800"/>
      <x:c r="W148" s="800" t="str">
        <x:f>IF($C148="","","-")</x:f>
      </x:c>
      <x:c r="X148" s="800" t="str">
        <x:f>IF($C148="","",1)</x:f>
      </x:c>
      <x:c r="Y148" s="885" t="str">
        <x:f>IF($C148="","","ANTB")</x:f>
      </x:c>
    </x:row>
    <x:row r="149">
      <x:c r="A149" s="884" t="str">
        <x:f>IF($C149="","",INDEX(Taxepunkter!$A:$A,$C149))</x:f>
      </x:c>
      <x:c r="B149" s="798"/>
      <x:c r="C149" s="798"/>
      <x:c r="D149" s="798" t="str">
        <x:f>IF($C149="","",TEXTJOIN(" ",TRUE,INDEX(Taxepunkter!$C:$C,$C149),INDEX(Taxepunkter!$D:$D,$C149)))</x:f>
      </x:c>
      <x:c r="E149" s="798" t="str">
        <x:f>IF($C149="","","Saknas i EDP – föreslagen ny taxa")</x:f>
      </x:c>
      <x:c r="F149" s="798" t="str">
        <x:f>IF($C149="","","Automatiserad mall: fyll Rad i Taxepunkter och FöreslagenTaxekod")</x:f>
      </x:c>
      <x:c r="G149" s="799"/>
      <x:c r="H149" s="800" t="str">
        <x:f>IF($C149="","",$C149)</x:f>
      </x:c>
      <x:c r="I149" s="800" t="str">
        <x:f>IF($C149="","",INDEX(Taxepunkter!$B:$B,$C149)&amp;" / "&amp;INDEX(Taxepunkter!$C:$C,$C149))</x:f>
      </x:c>
      <x:c r="J149" s="800" t="str">
        <x:f>IF($G149="","",$G149)</x:f>
      </x:c>
      <x:c r="K149" s="800" t="str">
        <x:f>IF($C149="","",INDEX(Taxepunkter!$C:$C,$C149)&amp;IF(INDEX(Taxepunkter!$D:$D,$C149)="","",". "&amp;INDEX(Taxepunkter!$D:$D,$C149)))</x:f>
      </x:c>
      <x:c r="L149" s="800" t="str">
        <x:f>IF($C149="","","RENH")</x:f>
      </x:c>
      <x:c r="M149" s="800" t="str">
        <x:f>IF($C149="","","HUSH")</x:f>
      </x:c>
      <x:c r="N149" s="800" t="str">
        <x:f>IF($C149="","",1)</x:f>
      </x:c>
      <x:c r="O149" s="800" t="str">
        <x:f>IF($C149="","","ÅRKV")</x:f>
      </x:c>
      <x:c r="P149" s="800" t="str">
        <x:f>IF($C149="","",TEXTJOIN(" ",TRUE,INDEX(Taxepunkter!$C:$C,$C149),INDEX(Taxepunkter!$D:$D,$C149)))</x:f>
      </x:c>
      <x:c r="Q149" s="800"/>
      <x:c r="R149" s="800"/>
      <x:c r="S149" s="800"/>
      <x:c r="T149" s="800"/>
      <x:c r="U149" s="800" t="str">
        <x:f>IF($C149="","",0)</x:f>
      </x:c>
      <x:c r="V149" s="800"/>
      <x:c r="W149" s="800" t="str">
        <x:f>IF($C149="","","-")</x:f>
      </x:c>
      <x:c r="X149" s="800" t="str">
        <x:f>IF($C149="","",1)</x:f>
      </x:c>
      <x:c r="Y149" s="885" t="str">
        <x:f>IF($C149="","","ANTB")</x:f>
      </x:c>
    </x:row>
    <x:row r="150">
      <x:c r="A150" s="884" t="str">
        <x:f>IF($C150="","",INDEX(Taxepunkter!$A:$A,$C150))</x:f>
      </x:c>
      <x:c r="B150" s="798"/>
      <x:c r="C150" s="798"/>
      <x:c r="D150" s="798" t="str">
        <x:f>IF($C150="","",TEXTJOIN(" ",TRUE,INDEX(Taxepunkter!$C:$C,$C150),INDEX(Taxepunkter!$D:$D,$C150)))</x:f>
      </x:c>
      <x:c r="E150" s="798" t="str">
        <x:f>IF($C150="","","Saknas i EDP – föreslagen ny taxa")</x:f>
      </x:c>
      <x:c r="F150" s="798" t="str">
        <x:f>IF($C150="","","Automatiserad mall: fyll Rad i Taxepunkter och FöreslagenTaxekod")</x:f>
      </x:c>
      <x:c r="G150" s="799"/>
      <x:c r="H150" s="800" t="str">
        <x:f>IF($C150="","",$C150)</x:f>
      </x:c>
      <x:c r="I150" s="800" t="str">
        <x:f>IF($C150="","",INDEX(Taxepunkter!$B:$B,$C150)&amp;" / "&amp;INDEX(Taxepunkter!$C:$C,$C150))</x:f>
      </x:c>
      <x:c r="J150" s="800" t="str">
        <x:f>IF($G150="","",$G150)</x:f>
      </x:c>
      <x:c r="K150" s="800" t="str">
        <x:f>IF($C150="","",INDEX(Taxepunkter!$C:$C,$C150)&amp;IF(INDEX(Taxepunkter!$D:$D,$C150)="","",". "&amp;INDEX(Taxepunkter!$D:$D,$C150)))</x:f>
      </x:c>
      <x:c r="L150" s="800" t="str">
        <x:f>IF($C150="","","RENH")</x:f>
      </x:c>
      <x:c r="M150" s="800" t="str">
        <x:f>IF($C150="","","HUSH")</x:f>
      </x:c>
      <x:c r="N150" s="800" t="str">
        <x:f>IF($C150="","",1)</x:f>
      </x:c>
      <x:c r="O150" s="800" t="str">
        <x:f>IF($C150="","","ÅRKV")</x:f>
      </x:c>
      <x:c r="P150" s="800" t="str">
        <x:f>IF($C150="","",TEXTJOIN(" ",TRUE,INDEX(Taxepunkter!$C:$C,$C150),INDEX(Taxepunkter!$D:$D,$C150)))</x:f>
      </x:c>
      <x:c r="Q150" s="800"/>
      <x:c r="R150" s="800"/>
      <x:c r="S150" s="800"/>
      <x:c r="T150" s="800"/>
      <x:c r="U150" s="800" t="str">
        <x:f>IF($C150="","",0)</x:f>
      </x:c>
      <x:c r="V150" s="800"/>
      <x:c r="W150" s="800" t="str">
        <x:f>IF($C150="","","-")</x:f>
      </x:c>
      <x:c r="X150" s="800" t="str">
        <x:f>IF($C150="","",1)</x:f>
      </x:c>
      <x:c r="Y150" s="885" t="str">
        <x:f>IF($C150="","","ANTB")</x:f>
      </x:c>
    </x:row>
    <x:row r="151">
      <x:c r="A151" s="884" t="str">
        <x:f>IF($C151="","",INDEX(Taxepunkter!$A:$A,$C151))</x:f>
      </x:c>
      <x:c r="B151" s="798"/>
      <x:c r="C151" s="798"/>
      <x:c r="D151" s="798" t="str">
        <x:f>IF($C151="","",TEXTJOIN(" ",TRUE,INDEX(Taxepunkter!$C:$C,$C151),INDEX(Taxepunkter!$D:$D,$C151)))</x:f>
      </x:c>
      <x:c r="E151" s="798" t="str">
        <x:f>IF($C151="","","Saknas i EDP – föreslagen ny taxa")</x:f>
      </x:c>
      <x:c r="F151" s="798" t="str">
        <x:f>IF($C151="","","Automatiserad mall: fyll Rad i Taxepunkter och FöreslagenTaxekod")</x:f>
      </x:c>
      <x:c r="G151" s="799"/>
      <x:c r="H151" s="800" t="str">
        <x:f>IF($C151="","",$C151)</x:f>
      </x:c>
      <x:c r="I151" s="800" t="str">
        <x:f>IF($C151="","",INDEX(Taxepunkter!$B:$B,$C151)&amp;" / "&amp;INDEX(Taxepunkter!$C:$C,$C151))</x:f>
      </x:c>
      <x:c r="J151" s="800" t="str">
        <x:f>IF($G151="","",$G151)</x:f>
      </x:c>
      <x:c r="K151" s="800" t="str">
        <x:f>IF($C151="","",INDEX(Taxepunkter!$C:$C,$C151)&amp;IF(INDEX(Taxepunkter!$D:$D,$C151)="","",". "&amp;INDEX(Taxepunkter!$D:$D,$C151)))</x:f>
      </x:c>
      <x:c r="L151" s="800" t="str">
        <x:f>IF($C151="","","RENH")</x:f>
      </x:c>
      <x:c r="M151" s="800" t="str">
        <x:f>IF($C151="","","HUSH")</x:f>
      </x:c>
      <x:c r="N151" s="800" t="str">
        <x:f>IF($C151="","",1)</x:f>
      </x:c>
      <x:c r="O151" s="800" t="str">
        <x:f>IF($C151="","","ÅRKV")</x:f>
      </x:c>
      <x:c r="P151" s="800" t="str">
        <x:f>IF($C151="","",TEXTJOIN(" ",TRUE,INDEX(Taxepunkter!$C:$C,$C151),INDEX(Taxepunkter!$D:$D,$C151)))</x:f>
      </x:c>
      <x:c r="Q151" s="800"/>
      <x:c r="R151" s="800"/>
      <x:c r="S151" s="800"/>
      <x:c r="T151" s="800"/>
      <x:c r="U151" s="800" t="str">
        <x:f>IF($C151="","",0)</x:f>
      </x:c>
      <x:c r="V151" s="800"/>
      <x:c r="W151" s="800" t="str">
        <x:f>IF($C151="","","-")</x:f>
      </x:c>
      <x:c r="X151" s="800" t="str">
        <x:f>IF($C151="","",1)</x:f>
      </x:c>
      <x:c r="Y151" s="885" t="str">
        <x:f>IF($C151="","","ANTB")</x:f>
      </x:c>
    </x:row>
    <x:row r="152">
      <x:c r="A152" s="884" t="str">
        <x:f>IF($C152="","",INDEX(Taxepunkter!$A:$A,$C152))</x:f>
      </x:c>
      <x:c r="B152" s="798"/>
      <x:c r="C152" s="798"/>
      <x:c r="D152" s="798" t="str">
        <x:f>IF($C152="","",TEXTJOIN(" ",TRUE,INDEX(Taxepunkter!$C:$C,$C152),INDEX(Taxepunkter!$D:$D,$C152)))</x:f>
      </x:c>
      <x:c r="E152" s="798" t="str">
        <x:f>IF($C152="","","Saknas i EDP – föreslagen ny taxa")</x:f>
      </x:c>
      <x:c r="F152" s="798" t="str">
        <x:f>IF($C152="","","Automatiserad mall: fyll Rad i Taxepunkter och FöreslagenTaxekod")</x:f>
      </x:c>
      <x:c r="G152" s="799"/>
      <x:c r="H152" s="800" t="str">
        <x:f>IF($C152="","",$C152)</x:f>
      </x:c>
      <x:c r="I152" s="800" t="str">
        <x:f>IF($C152="","",INDEX(Taxepunkter!$B:$B,$C152)&amp;" / "&amp;INDEX(Taxepunkter!$C:$C,$C152))</x:f>
      </x:c>
      <x:c r="J152" s="800" t="str">
        <x:f>IF($G152="","",$G152)</x:f>
      </x:c>
      <x:c r="K152" s="800" t="str">
        <x:f>IF($C152="","",INDEX(Taxepunkter!$C:$C,$C152)&amp;IF(INDEX(Taxepunkter!$D:$D,$C152)="","",". "&amp;INDEX(Taxepunkter!$D:$D,$C152)))</x:f>
      </x:c>
      <x:c r="L152" s="800" t="str">
        <x:f>IF($C152="","","RENH")</x:f>
      </x:c>
      <x:c r="M152" s="800" t="str">
        <x:f>IF($C152="","","HUSH")</x:f>
      </x:c>
      <x:c r="N152" s="800" t="str">
        <x:f>IF($C152="","",1)</x:f>
      </x:c>
      <x:c r="O152" s="800" t="str">
        <x:f>IF($C152="","","ÅRKV")</x:f>
      </x:c>
      <x:c r="P152" s="800" t="str">
        <x:f>IF($C152="","",TEXTJOIN(" ",TRUE,INDEX(Taxepunkter!$C:$C,$C152),INDEX(Taxepunkter!$D:$D,$C152)))</x:f>
      </x:c>
      <x:c r="Q152" s="800"/>
      <x:c r="R152" s="800"/>
      <x:c r="S152" s="800"/>
      <x:c r="T152" s="800"/>
      <x:c r="U152" s="800" t="str">
        <x:f>IF($C152="","",0)</x:f>
      </x:c>
      <x:c r="V152" s="800"/>
      <x:c r="W152" s="800" t="str">
        <x:f>IF($C152="","","-")</x:f>
      </x:c>
      <x:c r="X152" s="800" t="str">
        <x:f>IF($C152="","",1)</x:f>
      </x:c>
      <x:c r="Y152" s="885" t="str">
        <x:f>IF($C152="","","ANTB")</x:f>
      </x:c>
    </x:row>
    <x:row r="153">
      <x:c r="A153" s="884" t="str">
        <x:f>IF($C153="","",INDEX(Taxepunkter!$A:$A,$C153))</x:f>
      </x:c>
      <x:c r="B153" s="798"/>
      <x:c r="C153" s="798"/>
      <x:c r="D153" s="798" t="str">
        <x:f>IF($C153="","",TEXTJOIN(" ",TRUE,INDEX(Taxepunkter!$C:$C,$C153),INDEX(Taxepunkter!$D:$D,$C153)))</x:f>
      </x:c>
      <x:c r="E153" s="798" t="str">
        <x:f>IF($C153="","","Saknas i EDP – föreslagen ny taxa")</x:f>
      </x:c>
      <x:c r="F153" s="798" t="str">
        <x:f>IF($C153="","","Automatiserad mall: fyll Rad i Taxepunkter och FöreslagenTaxekod")</x:f>
      </x:c>
      <x:c r="G153" s="799"/>
      <x:c r="H153" s="800" t="str">
        <x:f>IF($C153="","",$C153)</x:f>
      </x:c>
      <x:c r="I153" s="800" t="str">
        <x:f>IF($C153="","",INDEX(Taxepunkter!$B:$B,$C153)&amp;" / "&amp;INDEX(Taxepunkter!$C:$C,$C153))</x:f>
      </x:c>
      <x:c r="J153" s="800" t="str">
        <x:f>IF($G153="","",$G153)</x:f>
      </x:c>
      <x:c r="K153" s="800" t="str">
        <x:f>IF($C153="","",INDEX(Taxepunkter!$C:$C,$C153)&amp;IF(INDEX(Taxepunkter!$D:$D,$C153)="","",". "&amp;INDEX(Taxepunkter!$D:$D,$C153)))</x:f>
      </x:c>
      <x:c r="L153" s="800" t="str">
        <x:f>IF($C153="","","RENH")</x:f>
      </x:c>
      <x:c r="M153" s="800" t="str">
        <x:f>IF($C153="","","HUSH")</x:f>
      </x:c>
      <x:c r="N153" s="800" t="str">
        <x:f>IF($C153="","",1)</x:f>
      </x:c>
      <x:c r="O153" s="800" t="str">
        <x:f>IF($C153="","","ÅRKV")</x:f>
      </x:c>
      <x:c r="P153" s="800" t="str">
        <x:f>IF($C153="","",TEXTJOIN(" ",TRUE,INDEX(Taxepunkter!$C:$C,$C153),INDEX(Taxepunkter!$D:$D,$C153)))</x:f>
      </x:c>
      <x:c r="Q153" s="800"/>
      <x:c r="R153" s="800"/>
      <x:c r="S153" s="800"/>
      <x:c r="T153" s="800"/>
      <x:c r="U153" s="800" t="str">
        <x:f>IF($C153="","",0)</x:f>
      </x:c>
      <x:c r="V153" s="800"/>
      <x:c r="W153" s="800" t="str">
        <x:f>IF($C153="","","-")</x:f>
      </x:c>
      <x:c r="X153" s="800" t="str">
        <x:f>IF($C153="","",1)</x:f>
      </x:c>
      <x:c r="Y153" s="885" t="str">
        <x:f>IF($C153="","","ANTB")</x:f>
      </x:c>
    </x:row>
    <x:row r="154">
      <x:c r="A154" s="884" t="str">
        <x:f>IF($C154="","",INDEX(Taxepunkter!$A:$A,$C154))</x:f>
      </x:c>
      <x:c r="B154" s="798"/>
      <x:c r="C154" s="798"/>
      <x:c r="D154" s="798" t="str">
        <x:f>IF($C154="","",TEXTJOIN(" ",TRUE,INDEX(Taxepunkter!$C:$C,$C154),INDEX(Taxepunkter!$D:$D,$C154)))</x:f>
      </x:c>
      <x:c r="E154" s="798" t="str">
        <x:f>IF($C154="","","Saknas i EDP – föreslagen ny taxa")</x:f>
      </x:c>
      <x:c r="F154" s="798" t="str">
        <x:f>IF($C154="","","Automatiserad mall: fyll Rad i Taxepunkter och FöreslagenTaxekod")</x:f>
      </x:c>
      <x:c r="G154" s="799"/>
      <x:c r="H154" s="800" t="str">
        <x:f>IF($C154="","",$C154)</x:f>
      </x:c>
      <x:c r="I154" s="800" t="str">
        <x:f>IF($C154="","",INDEX(Taxepunkter!$B:$B,$C154)&amp;" / "&amp;INDEX(Taxepunkter!$C:$C,$C154))</x:f>
      </x:c>
      <x:c r="J154" s="800" t="str">
        <x:f>IF($G154="","",$G154)</x:f>
      </x:c>
      <x:c r="K154" s="800" t="str">
        <x:f>IF($C154="","",INDEX(Taxepunkter!$C:$C,$C154)&amp;IF(INDEX(Taxepunkter!$D:$D,$C154)="","",". "&amp;INDEX(Taxepunkter!$D:$D,$C154)))</x:f>
      </x:c>
      <x:c r="L154" s="800" t="str">
        <x:f>IF($C154="","","RENH")</x:f>
      </x:c>
      <x:c r="M154" s="800" t="str">
        <x:f>IF($C154="","","HUSH")</x:f>
      </x:c>
      <x:c r="N154" s="800" t="str">
        <x:f>IF($C154="","",1)</x:f>
      </x:c>
      <x:c r="O154" s="800" t="str">
        <x:f>IF($C154="","","ÅRKV")</x:f>
      </x:c>
      <x:c r="P154" s="800" t="str">
        <x:f>IF($C154="","",TEXTJOIN(" ",TRUE,INDEX(Taxepunkter!$C:$C,$C154),INDEX(Taxepunkter!$D:$D,$C154)))</x:f>
      </x:c>
      <x:c r="Q154" s="800"/>
      <x:c r="R154" s="800"/>
      <x:c r="S154" s="800"/>
      <x:c r="T154" s="800"/>
      <x:c r="U154" s="800" t="str">
        <x:f>IF($C154="","",0)</x:f>
      </x:c>
      <x:c r="V154" s="800"/>
      <x:c r="W154" s="800" t="str">
        <x:f>IF($C154="","","-")</x:f>
      </x:c>
      <x:c r="X154" s="800" t="str">
        <x:f>IF($C154="","",1)</x:f>
      </x:c>
      <x:c r="Y154" s="885" t="str">
        <x:f>IF($C154="","","ANTB")</x:f>
      </x:c>
    </x:row>
    <x:row r="155">
      <x:c r="A155" s="884" t="str">
        <x:f>IF($C155="","",INDEX(Taxepunkter!$A:$A,$C155))</x:f>
      </x:c>
      <x:c r="B155" s="798"/>
      <x:c r="C155" s="798"/>
      <x:c r="D155" s="798" t="str">
        <x:f>IF($C155="","",TEXTJOIN(" ",TRUE,INDEX(Taxepunkter!$C:$C,$C155),INDEX(Taxepunkter!$D:$D,$C155)))</x:f>
      </x:c>
      <x:c r="E155" s="798" t="str">
        <x:f>IF($C155="","","Saknas i EDP – föreslagen ny taxa")</x:f>
      </x:c>
      <x:c r="F155" s="798" t="str">
        <x:f>IF($C155="","","Automatiserad mall: fyll Rad i Taxepunkter och FöreslagenTaxekod")</x:f>
      </x:c>
      <x:c r="G155" s="799"/>
      <x:c r="H155" s="800" t="str">
        <x:f>IF($C155="","",$C155)</x:f>
      </x:c>
      <x:c r="I155" s="800" t="str">
        <x:f>IF($C155="","",INDEX(Taxepunkter!$B:$B,$C155)&amp;" / "&amp;INDEX(Taxepunkter!$C:$C,$C155))</x:f>
      </x:c>
      <x:c r="J155" s="800" t="str">
        <x:f>IF($G155="","",$G155)</x:f>
      </x:c>
      <x:c r="K155" s="800" t="str">
        <x:f>IF($C155="","",INDEX(Taxepunkter!$C:$C,$C155)&amp;IF(INDEX(Taxepunkter!$D:$D,$C155)="","",". "&amp;INDEX(Taxepunkter!$D:$D,$C155)))</x:f>
      </x:c>
      <x:c r="L155" s="800" t="str">
        <x:f>IF($C155="","","RENH")</x:f>
      </x:c>
      <x:c r="M155" s="800" t="str">
        <x:f>IF($C155="","","HUSH")</x:f>
      </x:c>
      <x:c r="N155" s="800" t="str">
        <x:f>IF($C155="","",1)</x:f>
      </x:c>
      <x:c r="O155" s="800" t="str">
        <x:f>IF($C155="","","ÅRKV")</x:f>
      </x:c>
      <x:c r="P155" s="800" t="str">
        <x:f>IF($C155="","",TEXTJOIN(" ",TRUE,INDEX(Taxepunkter!$C:$C,$C155),INDEX(Taxepunkter!$D:$D,$C155)))</x:f>
      </x:c>
      <x:c r="Q155" s="800"/>
      <x:c r="R155" s="800"/>
      <x:c r="S155" s="800"/>
      <x:c r="T155" s="800"/>
      <x:c r="U155" s="800" t="str">
        <x:f>IF($C155="","",0)</x:f>
      </x:c>
      <x:c r="V155" s="800"/>
      <x:c r="W155" s="800" t="str">
        <x:f>IF($C155="","","-")</x:f>
      </x:c>
      <x:c r="X155" s="800" t="str">
        <x:f>IF($C155="","",1)</x:f>
      </x:c>
      <x:c r="Y155" s="885" t="str">
        <x:f>IF($C155="","","ANTB")</x:f>
      </x:c>
    </x:row>
    <x:row r="156">
      <x:c r="A156" s="884" t="str">
        <x:f>IF($C156="","",INDEX(Taxepunkter!$A:$A,$C156))</x:f>
      </x:c>
      <x:c r="B156" s="798"/>
      <x:c r="C156" s="798"/>
      <x:c r="D156" s="798" t="str">
        <x:f>IF($C156="","",TEXTJOIN(" ",TRUE,INDEX(Taxepunkter!$C:$C,$C156),INDEX(Taxepunkter!$D:$D,$C156)))</x:f>
      </x:c>
      <x:c r="E156" s="798" t="str">
        <x:f>IF($C156="","","Saknas i EDP – föreslagen ny taxa")</x:f>
      </x:c>
      <x:c r="F156" s="798" t="str">
        <x:f>IF($C156="","","Automatiserad mall: fyll Rad i Taxepunkter och FöreslagenTaxekod")</x:f>
      </x:c>
      <x:c r="G156" s="799"/>
      <x:c r="H156" s="800" t="str">
        <x:f>IF($C156="","",$C156)</x:f>
      </x:c>
      <x:c r="I156" s="800" t="str">
        <x:f>IF($C156="","",INDEX(Taxepunkter!$B:$B,$C156)&amp;" / "&amp;INDEX(Taxepunkter!$C:$C,$C156))</x:f>
      </x:c>
      <x:c r="J156" s="800" t="str">
        <x:f>IF($G156="","",$G156)</x:f>
      </x:c>
      <x:c r="K156" s="800" t="str">
        <x:f>IF($C156="","",INDEX(Taxepunkter!$C:$C,$C156)&amp;IF(INDEX(Taxepunkter!$D:$D,$C156)="","",". "&amp;INDEX(Taxepunkter!$D:$D,$C156)))</x:f>
      </x:c>
      <x:c r="L156" s="800" t="str">
        <x:f>IF($C156="","","RENH")</x:f>
      </x:c>
      <x:c r="M156" s="800" t="str">
        <x:f>IF($C156="","","HUSH")</x:f>
      </x:c>
      <x:c r="N156" s="800" t="str">
        <x:f>IF($C156="","",1)</x:f>
      </x:c>
      <x:c r="O156" s="800" t="str">
        <x:f>IF($C156="","","ÅRKV")</x:f>
      </x:c>
      <x:c r="P156" s="800" t="str">
        <x:f>IF($C156="","",TEXTJOIN(" ",TRUE,INDEX(Taxepunkter!$C:$C,$C156),INDEX(Taxepunkter!$D:$D,$C156)))</x:f>
      </x:c>
      <x:c r="Q156" s="800"/>
      <x:c r="R156" s="800"/>
      <x:c r="S156" s="800"/>
      <x:c r="T156" s="800"/>
      <x:c r="U156" s="800" t="str">
        <x:f>IF($C156="","",0)</x:f>
      </x:c>
      <x:c r="V156" s="800"/>
      <x:c r="W156" s="800" t="str">
        <x:f>IF($C156="","","-")</x:f>
      </x:c>
      <x:c r="X156" s="800" t="str">
        <x:f>IF($C156="","",1)</x:f>
      </x:c>
      <x:c r="Y156" s="885" t="str">
        <x:f>IF($C156="","","ANTB")</x:f>
      </x:c>
    </x:row>
    <x:row r="157">
      <x:c r="A157" s="884" t="str">
        <x:f>IF($C157="","",INDEX(Taxepunkter!$A:$A,$C157))</x:f>
      </x:c>
      <x:c r="B157" s="798"/>
      <x:c r="C157" s="798"/>
      <x:c r="D157" s="798" t="str">
        <x:f>IF($C157="","",TEXTJOIN(" ",TRUE,INDEX(Taxepunkter!$C:$C,$C157),INDEX(Taxepunkter!$D:$D,$C157)))</x:f>
      </x:c>
      <x:c r="E157" s="798" t="str">
        <x:f>IF($C157="","","Saknas i EDP – föreslagen ny taxa")</x:f>
      </x:c>
      <x:c r="F157" s="798" t="str">
        <x:f>IF($C157="","","Automatiserad mall: fyll Rad i Taxepunkter och FöreslagenTaxekod")</x:f>
      </x:c>
      <x:c r="G157" s="799"/>
      <x:c r="H157" s="800" t="str">
        <x:f>IF($C157="","",$C157)</x:f>
      </x:c>
      <x:c r="I157" s="800" t="str">
        <x:f>IF($C157="","",INDEX(Taxepunkter!$B:$B,$C157)&amp;" / "&amp;INDEX(Taxepunkter!$C:$C,$C157))</x:f>
      </x:c>
      <x:c r="J157" s="800" t="str">
        <x:f>IF($G157="","",$G157)</x:f>
      </x:c>
      <x:c r="K157" s="800" t="str">
        <x:f>IF($C157="","",INDEX(Taxepunkter!$C:$C,$C157)&amp;IF(INDEX(Taxepunkter!$D:$D,$C157)="","",". "&amp;INDEX(Taxepunkter!$D:$D,$C157)))</x:f>
      </x:c>
      <x:c r="L157" s="800" t="str">
        <x:f>IF($C157="","","RENH")</x:f>
      </x:c>
      <x:c r="M157" s="800" t="str">
        <x:f>IF($C157="","","HUSH")</x:f>
      </x:c>
      <x:c r="N157" s="800" t="str">
        <x:f>IF($C157="","",1)</x:f>
      </x:c>
      <x:c r="O157" s="800" t="str">
        <x:f>IF($C157="","","ÅRKV")</x:f>
      </x:c>
      <x:c r="P157" s="800" t="str">
        <x:f>IF($C157="","",TEXTJOIN(" ",TRUE,INDEX(Taxepunkter!$C:$C,$C157),INDEX(Taxepunkter!$D:$D,$C157)))</x:f>
      </x:c>
      <x:c r="Q157" s="800"/>
      <x:c r="R157" s="800"/>
      <x:c r="S157" s="800"/>
      <x:c r="T157" s="800"/>
      <x:c r="U157" s="800" t="str">
        <x:f>IF($C157="","",0)</x:f>
      </x:c>
      <x:c r="V157" s="800"/>
      <x:c r="W157" s="800" t="str">
        <x:f>IF($C157="","","-")</x:f>
      </x:c>
      <x:c r="X157" s="800" t="str">
        <x:f>IF($C157="","",1)</x:f>
      </x:c>
      <x:c r="Y157" s="885" t="str">
        <x:f>IF($C157="","","ANTB")</x:f>
      </x:c>
    </x:row>
    <x:row r="158">
      <x:c r="A158" s="884" t="str">
        <x:f>IF($C158="","",INDEX(Taxepunkter!$A:$A,$C158))</x:f>
      </x:c>
      <x:c r="B158" s="798"/>
      <x:c r="C158" s="798"/>
      <x:c r="D158" s="798" t="str">
        <x:f>IF($C158="","",TEXTJOIN(" ",TRUE,INDEX(Taxepunkter!$C:$C,$C158),INDEX(Taxepunkter!$D:$D,$C158)))</x:f>
      </x:c>
      <x:c r="E158" s="798" t="str">
        <x:f>IF($C158="","","Saknas i EDP – föreslagen ny taxa")</x:f>
      </x:c>
      <x:c r="F158" s="798" t="str">
        <x:f>IF($C158="","","Automatiserad mall: fyll Rad i Taxepunkter och FöreslagenTaxekod")</x:f>
      </x:c>
      <x:c r="G158" s="799"/>
      <x:c r="H158" s="800" t="str">
        <x:f>IF($C158="","",$C158)</x:f>
      </x:c>
      <x:c r="I158" s="800" t="str">
        <x:f>IF($C158="","",INDEX(Taxepunkter!$B:$B,$C158)&amp;" / "&amp;INDEX(Taxepunkter!$C:$C,$C158))</x:f>
      </x:c>
      <x:c r="J158" s="800" t="str">
        <x:f>IF($G158="","",$G158)</x:f>
      </x:c>
      <x:c r="K158" s="800" t="str">
        <x:f>IF($C158="","",INDEX(Taxepunkter!$C:$C,$C158)&amp;IF(INDEX(Taxepunkter!$D:$D,$C158)="","",". "&amp;INDEX(Taxepunkter!$D:$D,$C158)))</x:f>
      </x:c>
      <x:c r="L158" s="800" t="str">
        <x:f>IF($C158="","","RENH")</x:f>
      </x:c>
      <x:c r="M158" s="800" t="str">
        <x:f>IF($C158="","","HUSH")</x:f>
      </x:c>
      <x:c r="N158" s="800" t="str">
        <x:f>IF($C158="","",1)</x:f>
      </x:c>
      <x:c r="O158" s="800" t="str">
        <x:f>IF($C158="","","ÅRKV")</x:f>
      </x:c>
      <x:c r="P158" s="800" t="str">
        <x:f>IF($C158="","",TEXTJOIN(" ",TRUE,INDEX(Taxepunkter!$C:$C,$C158),INDEX(Taxepunkter!$D:$D,$C158)))</x:f>
      </x:c>
      <x:c r="Q158" s="800"/>
      <x:c r="R158" s="800"/>
      <x:c r="S158" s="800"/>
      <x:c r="T158" s="800"/>
      <x:c r="U158" s="800" t="str">
        <x:f>IF($C158="","",0)</x:f>
      </x:c>
      <x:c r="V158" s="800"/>
      <x:c r="W158" s="800" t="str">
        <x:f>IF($C158="","","-")</x:f>
      </x:c>
      <x:c r="X158" s="800" t="str">
        <x:f>IF($C158="","",1)</x:f>
      </x:c>
      <x:c r="Y158" s="885" t="str">
        <x:f>IF($C158="","","ANTB")</x:f>
      </x:c>
    </x:row>
    <x:row r="159">
      <x:c r="A159" s="884" t="str">
        <x:f>IF($C159="","",INDEX(Taxepunkter!$A:$A,$C159))</x:f>
      </x:c>
      <x:c r="B159" s="798"/>
      <x:c r="C159" s="798"/>
      <x:c r="D159" s="798" t="str">
        <x:f>IF($C159="","",TEXTJOIN(" ",TRUE,INDEX(Taxepunkter!$C:$C,$C159),INDEX(Taxepunkter!$D:$D,$C159)))</x:f>
      </x:c>
      <x:c r="E159" s="798" t="str">
        <x:f>IF($C159="","","Saknas i EDP – föreslagen ny taxa")</x:f>
      </x:c>
      <x:c r="F159" s="798" t="str">
        <x:f>IF($C159="","","Automatiserad mall: fyll Rad i Taxepunkter och FöreslagenTaxekod")</x:f>
      </x:c>
      <x:c r="G159" s="799"/>
      <x:c r="H159" s="800" t="str">
        <x:f>IF($C159="","",$C159)</x:f>
      </x:c>
      <x:c r="I159" s="800" t="str">
        <x:f>IF($C159="","",INDEX(Taxepunkter!$B:$B,$C159)&amp;" / "&amp;INDEX(Taxepunkter!$C:$C,$C159))</x:f>
      </x:c>
      <x:c r="J159" s="800" t="str">
        <x:f>IF($G159="","",$G159)</x:f>
      </x:c>
      <x:c r="K159" s="800" t="str">
        <x:f>IF($C159="","",INDEX(Taxepunkter!$C:$C,$C159)&amp;IF(INDEX(Taxepunkter!$D:$D,$C159)="","",". "&amp;INDEX(Taxepunkter!$D:$D,$C159)))</x:f>
      </x:c>
      <x:c r="L159" s="800" t="str">
        <x:f>IF($C159="","","RENH")</x:f>
      </x:c>
      <x:c r="M159" s="800" t="str">
        <x:f>IF($C159="","","HUSH")</x:f>
      </x:c>
      <x:c r="N159" s="800" t="str">
        <x:f>IF($C159="","",1)</x:f>
      </x:c>
      <x:c r="O159" s="800" t="str">
        <x:f>IF($C159="","","ÅRKV")</x:f>
      </x:c>
      <x:c r="P159" s="800" t="str">
        <x:f>IF($C159="","",TEXTJOIN(" ",TRUE,INDEX(Taxepunkter!$C:$C,$C159),INDEX(Taxepunkter!$D:$D,$C159)))</x:f>
      </x:c>
      <x:c r="Q159" s="800"/>
      <x:c r="R159" s="800"/>
      <x:c r="S159" s="800"/>
      <x:c r="T159" s="800"/>
      <x:c r="U159" s="800" t="str">
        <x:f>IF($C159="","",0)</x:f>
      </x:c>
      <x:c r="V159" s="800"/>
      <x:c r="W159" s="800" t="str">
        <x:f>IF($C159="","","-")</x:f>
      </x:c>
      <x:c r="X159" s="800" t="str">
        <x:f>IF($C159="","",1)</x:f>
      </x:c>
      <x:c r="Y159" s="885" t="str">
        <x:f>IF($C159="","","ANTB")</x:f>
      </x:c>
    </x:row>
    <x:row r="160">
      <x:c r="A160" s="884" t="str">
        <x:f>IF($C160="","",INDEX(Taxepunkter!$A:$A,$C160))</x:f>
      </x:c>
      <x:c r="B160" s="798"/>
      <x:c r="C160" s="798"/>
      <x:c r="D160" s="798" t="str">
        <x:f>IF($C160="","",TEXTJOIN(" ",TRUE,INDEX(Taxepunkter!$C:$C,$C160),INDEX(Taxepunkter!$D:$D,$C160)))</x:f>
      </x:c>
      <x:c r="E160" s="798" t="str">
        <x:f>IF($C160="","","Saknas i EDP – föreslagen ny taxa")</x:f>
      </x:c>
      <x:c r="F160" s="798" t="str">
        <x:f>IF($C160="","","Automatiserad mall: fyll Rad i Taxepunkter och FöreslagenTaxekod")</x:f>
      </x:c>
      <x:c r="G160" s="799"/>
      <x:c r="H160" s="800" t="str">
        <x:f>IF($C160="","",$C160)</x:f>
      </x:c>
      <x:c r="I160" s="800" t="str">
        <x:f>IF($C160="","",INDEX(Taxepunkter!$B:$B,$C160)&amp;" / "&amp;INDEX(Taxepunkter!$C:$C,$C160))</x:f>
      </x:c>
      <x:c r="J160" s="800" t="str">
        <x:f>IF($G160="","",$G160)</x:f>
      </x:c>
      <x:c r="K160" s="800" t="str">
        <x:f>IF($C160="","",INDEX(Taxepunkter!$C:$C,$C160)&amp;IF(INDEX(Taxepunkter!$D:$D,$C160)="","",". "&amp;INDEX(Taxepunkter!$D:$D,$C160)))</x:f>
      </x:c>
      <x:c r="L160" s="800" t="str">
        <x:f>IF($C160="","","RENH")</x:f>
      </x:c>
      <x:c r="M160" s="800" t="str">
        <x:f>IF($C160="","","HUSH")</x:f>
      </x:c>
      <x:c r="N160" s="800" t="str">
        <x:f>IF($C160="","",1)</x:f>
      </x:c>
      <x:c r="O160" s="800" t="str">
        <x:f>IF($C160="","","ÅRKV")</x:f>
      </x:c>
      <x:c r="P160" s="800" t="str">
        <x:f>IF($C160="","",TEXTJOIN(" ",TRUE,INDEX(Taxepunkter!$C:$C,$C160),INDEX(Taxepunkter!$D:$D,$C160)))</x:f>
      </x:c>
      <x:c r="Q160" s="800"/>
      <x:c r="R160" s="800"/>
      <x:c r="S160" s="800"/>
      <x:c r="T160" s="800"/>
      <x:c r="U160" s="800" t="str">
        <x:f>IF($C160="","",0)</x:f>
      </x:c>
      <x:c r="V160" s="800"/>
      <x:c r="W160" s="800" t="str">
        <x:f>IF($C160="","","-")</x:f>
      </x:c>
      <x:c r="X160" s="800" t="str">
        <x:f>IF($C160="","",1)</x:f>
      </x:c>
      <x:c r="Y160" s="885" t="str">
        <x:f>IF($C160="","","ANTB")</x:f>
      </x:c>
    </x:row>
    <x:row r="161">
      <x:c r="A161" s="884" t="str">
        <x:f>IF($C161="","",INDEX(Taxepunkter!$A:$A,$C161))</x:f>
      </x:c>
      <x:c r="B161" s="798"/>
      <x:c r="C161" s="798"/>
      <x:c r="D161" s="798" t="str">
        <x:f>IF($C161="","",TEXTJOIN(" ",TRUE,INDEX(Taxepunkter!$C:$C,$C161),INDEX(Taxepunkter!$D:$D,$C161)))</x:f>
      </x:c>
      <x:c r="E161" s="798" t="str">
        <x:f>IF($C161="","","Saknas i EDP – föreslagen ny taxa")</x:f>
      </x:c>
      <x:c r="F161" s="798" t="str">
        <x:f>IF($C161="","","Automatiserad mall: fyll Rad i Taxepunkter och FöreslagenTaxekod")</x:f>
      </x:c>
      <x:c r="G161" s="799"/>
      <x:c r="H161" s="800" t="str">
        <x:f>IF($C161="","",$C161)</x:f>
      </x:c>
      <x:c r="I161" s="800" t="str">
        <x:f>IF($C161="","",INDEX(Taxepunkter!$B:$B,$C161)&amp;" / "&amp;INDEX(Taxepunkter!$C:$C,$C161))</x:f>
      </x:c>
      <x:c r="J161" s="800" t="str">
        <x:f>IF($G161="","",$G161)</x:f>
      </x:c>
      <x:c r="K161" s="800" t="str">
        <x:f>IF($C161="","",INDEX(Taxepunkter!$C:$C,$C161)&amp;IF(INDEX(Taxepunkter!$D:$D,$C161)="","",". "&amp;INDEX(Taxepunkter!$D:$D,$C161)))</x:f>
      </x:c>
      <x:c r="L161" s="800" t="str">
        <x:f>IF($C161="","","RENH")</x:f>
      </x:c>
      <x:c r="M161" s="800" t="str">
        <x:f>IF($C161="","","HUSH")</x:f>
      </x:c>
      <x:c r="N161" s="800" t="str">
        <x:f>IF($C161="","",1)</x:f>
      </x:c>
      <x:c r="O161" s="800" t="str">
        <x:f>IF($C161="","","ÅRKV")</x:f>
      </x:c>
      <x:c r="P161" s="800" t="str">
        <x:f>IF($C161="","",TEXTJOIN(" ",TRUE,INDEX(Taxepunkter!$C:$C,$C161),INDEX(Taxepunkter!$D:$D,$C161)))</x:f>
      </x:c>
      <x:c r="Q161" s="800"/>
      <x:c r="R161" s="800"/>
      <x:c r="S161" s="800"/>
      <x:c r="T161" s="800"/>
      <x:c r="U161" s="800" t="str">
        <x:f>IF($C161="","",0)</x:f>
      </x:c>
      <x:c r="V161" s="800"/>
      <x:c r="W161" s="800" t="str">
        <x:f>IF($C161="","","-")</x:f>
      </x:c>
      <x:c r="X161" s="800" t="str">
        <x:f>IF($C161="","",1)</x:f>
      </x:c>
      <x:c r="Y161" s="885" t="str">
        <x:f>IF($C161="","","ANTB")</x:f>
      </x:c>
    </x:row>
    <x:row r="162">
      <x:c r="A162" s="884" t="str">
        <x:f>IF($C162="","",INDEX(Taxepunkter!$A:$A,$C162))</x:f>
      </x:c>
      <x:c r="B162" s="798"/>
      <x:c r="C162" s="798"/>
      <x:c r="D162" s="798" t="str">
        <x:f>IF($C162="","",TEXTJOIN(" ",TRUE,INDEX(Taxepunkter!$C:$C,$C162),INDEX(Taxepunkter!$D:$D,$C162)))</x:f>
      </x:c>
      <x:c r="E162" s="798" t="str">
        <x:f>IF($C162="","","Saknas i EDP – föreslagen ny taxa")</x:f>
      </x:c>
      <x:c r="F162" s="798" t="str">
        <x:f>IF($C162="","","Automatiserad mall: fyll Rad i Taxepunkter och FöreslagenTaxekod")</x:f>
      </x:c>
      <x:c r="G162" s="799"/>
      <x:c r="H162" s="800" t="str">
        <x:f>IF($C162="","",$C162)</x:f>
      </x:c>
      <x:c r="I162" s="800" t="str">
        <x:f>IF($C162="","",INDEX(Taxepunkter!$B:$B,$C162)&amp;" / "&amp;INDEX(Taxepunkter!$C:$C,$C162))</x:f>
      </x:c>
      <x:c r="J162" s="800" t="str">
        <x:f>IF($G162="","",$G162)</x:f>
      </x:c>
      <x:c r="K162" s="800" t="str">
        <x:f>IF($C162="","",INDEX(Taxepunkter!$C:$C,$C162)&amp;IF(INDEX(Taxepunkter!$D:$D,$C162)="","",". "&amp;INDEX(Taxepunkter!$D:$D,$C162)))</x:f>
      </x:c>
      <x:c r="L162" s="800" t="str">
        <x:f>IF($C162="","","RENH")</x:f>
      </x:c>
      <x:c r="M162" s="800" t="str">
        <x:f>IF($C162="","","HUSH")</x:f>
      </x:c>
      <x:c r="N162" s="800" t="str">
        <x:f>IF($C162="","",1)</x:f>
      </x:c>
      <x:c r="O162" s="800" t="str">
        <x:f>IF($C162="","","ÅRKV")</x:f>
      </x:c>
      <x:c r="P162" s="800" t="str">
        <x:f>IF($C162="","",TEXTJOIN(" ",TRUE,INDEX(Taxepunkter!$C:$C,$C162),INDEX(Taxepunkter!$D:$D,$C162)))</x:f>
      </x:c>
      <x:c r="Q162" s="800"/>
      <x:c r="R162" s="800"/>
      <x:c r="S162" s="800"/>
      <x:c r="T162" s="800"/>
      <x:c r="U162" s="800" t="str">
        <x:f>IF($C162="","",0)</x:f>
      </x:c>
      <x:c r="V162" s="800"/>
      <x:c r="W162" s="800" t="str">
        <x:f>IF($C162="","","-")</x:f>
      </x:c>
      <x:c r="X162" s="800" t="str">
        <x:f>IF($C162="","",1)</x:f>
      </x:c>
      <x:c r="Y162" s="885" t="str">
        <x:f>IF($C162="","","ANTB")</x:f>
      </x:c>
    </x:row>
    <x:row r="163">
      <x:c r="A163" s="884" t="str">
        <x:f>IF($C163="","",INDEX(Taxepunkter!$A:$A,$C163))</x:f>
      </x:c>
      <x:c r="B163" s="798"/>
      <x:c r="C163" s="798"/>
      <x:c r="D163" s="798" t="str">
        <x:f>IF($C163="","",TEXTJOIN(" ",TRUE,INDEX(Taxepunkter!$C:$C,$C163),INDEX(Taxepunkter!$D:$D,$C163)))</x:f>
      </x:c>
      <x:c r="E163" s="798" t="str">
        <x:f>IF($C163="","","Saknas i EDP – föreslagen ny taxa")</x:f>
      </x:c>
      <x:c r="F163" s="798" t="str">
        <x:f>IF($C163="","","Automatiserad mall: fyll Rad i Taxepunkter och FöreslagenTaxekod")</x:f>
      </x:c>
      <x:c r="G163" s="799"/>
      <x:c r="H163" s="800" t="str">
        <x:f>IF($C163="","",$C163)</x:f>
      </x:c>
      <x:c r="I163" s="800" t="str">
        <x:f>IF($C163="","",INDEX(Taxepunkter!$B:$B,$C163)&amp;" / "&amp;INDEX(Taxepunkter!$C:$C,$C163))</x:f>
      </x:c>
      <x:c r="J163" s="800" t="str">
        <x:f>IF($G163="","",$G163)</x:f>
      </x:c>
      <x:c r="K163" s="800" t="str">
        <x:f>IF($C163="","",INDEX(Taxepunkter!$C:$C,$C163)&amp;IF(INDEX(Taxepunkter!$D:$D,$C163)="","",". "&amp;INDEX(Taxepunkter!$D:$D,$C163)))</x:f>
      </x:c>
      <x:c r="L163" s="800" t="str">
        <x:f>IF($C163="","","RENH")</x:f>
      </x:c>
      <x:c r="M163" s="800" t="str">
        <x:f>IF($C163="","","HUSH")</x:f>
      </x:c>
      <x:c r="N163" s="800" t="str">
        <x:f>IF($C163="","",1)</x:f>
      </x:c>
      <x:c r="O163" s="800" t="str">
        <x:f>IF($C163="","","ÅRKV")</x:f>
      </x:c>
      <x:c r="P163" s="800" t="str">
        <x:f>IF($C163="","",TEXTJOIN(" ",TRUE,INDEX(Taxepunkter!$C:$C,$C163),INDEX(Taxepunkter!$D:$D,$C163)))</x:f>
      </x:c>
      <x:c r="Q163" s="800"/>
      <x:c r="R163" s="800"/>
      <x:c r="S163" s="800"/>
      <x:c r="T163" s="800"/>
      <x:c r="U163" s="800" t="str">
        <x:f>IF($C163="","",0)</x:f>
      </x:c>
      <x:c r="V163" s="800"/>
      <x:c r="W163" s="800" t="str">
        <x:f>IF($C163="","","-")</x:f>
      </x:c>
      <x:c r="X163" s="800" t="str">
        <x:f>IF($C163="","",1)</x:f>
      </x:c>
      <x:c r="Y163" s="885" t="str">
        <x:f>IF($C163="","","ANTB")</x:f>
      </x:c>
    </x:row>
    <x:row r="164">
      <x:c r="A164" s="884" t="str">
        <x:f>IF($C164="","",INDEX(Taxepunkter!$A:$A,$C164))</x:f>
      </x:c>
      <x:c r="B164" s="798"/>
      <x:c r="C164" s="798"/>
      <x:c r="D164" s="798" t="str">
        <x:f>IF($C164="","",TEXTJOIN(" ",TRUE,INDEX(Taxepunkter!$C:$C,$C164),INDEX(Taxepunkter!$D:$D,$C164)))</x:f>
      </x:c>
      <x:c r="E164" s="798" t="str">
        <x:f>IF($C164="","","Saknas i EDP – föreslagen ny taxa")</x:f>
      </x:c>
      <x:c r="F164" s="798" t="str">
        <x:f>IF($C164="","","Automatiserad mall: fyll Rad i Taxepunkter och FöreslagenTaxekod")</x:f>
      </x:c>
      <x:c r="G164" s="799"/>
      <x:c r="H164" s="800" t="str">
        <x:f>IF($C164="","",$C164)</x:f>
      </x:c>
      <x:c r="I164" s="800" t="str">
        <x:f>IF($C164="","",INDEX(Taxepunkter!$B:$B,$C164)&amp;" / "&amp;INDEX(Taxepunkter!$C:$C,$C164))</x:f>
      </x:c>
      <x:c r="J164" s="800" t="str">
        <x:f>IF($G164="","",$G164)</x:f>
      </x:c>
      <x:c r="K164" s="800" t="str">
        <x:f>IF($C164="","",INDEX(Taxepunkter!$C:$C,$C164)&amp;IF(INDEX(Taxepunkter!$D:$D,$C164)="","",". "&amp;INDEX(Taxepunkter!$D:$D,$C164)))</x:f>
      </x:c>
      <x:c r="L164" s="800" t="str">
        <x:f>IF($C164="","","RENH")</x:f>
      </x:c>
      <x:c r="M164" s="800" t="str">
        <x:f>IF($C164="","","HUSH")</x:f>
      </x:c>
      <x:c r="N164" s="800" t="str">
        <x:f>IF($C164="","",1)</x:f>
      </x:c>
      <x:c r="O164" s="800" t="str">
        <x:f>IF($C164="","","ÅRKV")</x:f>
      </x:c>
      <x:c r="P164" s="800" t="str">
        <x:f>IF($C164="","",TEXTJOIN(" ",TRUE,INDEX(Taxepunkter!$C:$C,$C164),INDEX(Taxepunkter!$D:$D,$C164)))</x:f>
      </x:c>
      <x:c r="Q164" s="800"/>
      <x:c r="R164" s="800"/>
      <x:c r="S164" s="800"/>
      <x:c r="T164" s="800"/>
      <x:c r="U164" s="800" t="str">
        <x:f>IF($C164="","",0)</x:f>
      </x:c>
      <x:c r="V164" s="800"/>
      <x:c r="W164" s="800" t="str">
        <x:f>IF($C164="","","-")</x:f>
      </x:c>
      <x:c r="X164" s="800" t="str">
        <x:f>IF($C164="","",1)</x:f>
      </x:c>
      <x:c r="Y164" s="885" t="str">
        <x:f>IF($C164="","","ANTB")</x:f>
      </x:c>
    </x:row>
    <x:row r="165">
      <x:c r="A165" s="884" t="str">
        <x:f>IF($C165="","",INDEX(Taxepunkter!$A:$A,$C165))</x:f>
      </x:c>
      <x:c r="B165" s="798"/>
      <x:c r="C165" s="798"/>
      <x:c r="D165" s="798" t="str">
        <x:f>IF($C165="","",TEXTJOIN(" ",TRUE,INDEX(Taxepunkter!$C:$C,$C165),INDEX(Taxepunkter!$D:$D,$C165)))</x:f>
      </x:c>
      <x:c r="E165" s="798" t="str">
        <x:f>IF($C165="","","Saknas i EDP – föreslagen ny taxa")</x:f>
      </x:c>
      <x:c r="F165" s="798" t="str">
        <x:f>IF($C165="","","Automatiserad mall: fyll Rad i Taxepunkter och FöreslagenTaxekod")</x:f>
      </x:c>
      <x:c r="G165" s="799"/>
      <x:c r="H165" s="800" t="str">
        <x:f>IF($C165="","",$C165)</x:f>
      </x:c>
      <x:c r="I165" s="800" t="str">
        <x:f>IF($C165="","",INDEX(Taxepunkter!$B:$B,$C165)&amp;" / "&amp;INDEX(Taxepunkter!$C:$C,$C165))</x:f>
      </x:c>
      <x:c r="J165" s="800" t="str">
        <x:f>IF($G165="","",$G165)</x:f>
      </x:c>
      <x:c r="K165" s="800" t="str">
        <x:f>IF($C165="","",INDEX(Taxepunkter!$C:$C,$C165)&amp;IF(INDEX(Taxepunkter!$D:$D,$C165)="","",". "&amp;INDEX(Taxepunkter!$D:$D,$C165)))</x:f>
      </x:c>
      <x:c r="L165" s="800" t="str">
        <x:f>IF($C165="","","RENH")</x:f>
      </x:c>
      <x:c r="M165" s="800" t="str">
        <x:f>IF($C165="","","HUSH")</x:f>
      </x:c>
      <x:c r="N165" s="800" t="str">
        <x:f>IF($C165="","",1)</x:f>
      </x:c>
      <x:c r="O165" s="800" t="str">
        <x:f>IF($C165="","","ÅRKV")</x:f>
      </x:c>
      <x:c r="P165" s="800" t="str">
        <x:f>IF($C165="","",TEXTJOIN(" ",TRUE,INDEX(Taxepunkter!$C:$C,$C165),INDEX(Taxepunkter!$D:$D,$C165)))</x:f>
      </x:c>
      <x:c r="Q165" s="800"/>
      <x:c r="R165" s="800"/>
      <x:c r="S165" s="800"/>
      <x:c r="T165" s="800"/>
      <x:c r="U165" s="800" t="str">
        <x:f>IF($C165="","",0)</x:f>
      </x:c>
      <x:c r="V165" s="800"/>
      <x:c r="W165" s="800" t="str">
        <x:f>IF($C165="","","-")</x:f>
      </x:c>
      <x:c r="X165" s="800" t="str">
        <x:f>IF($C165="","",1)</x:f>
      </x:c>
      <x:c r="Y165" s="885" t="str">
        <x:f>IF($C165="","","ANTB")</x:f>
      </x:c>
    </x:row>
    <x:row r="166">
      <x:c r="A166" s="884" t="str">
        <x:f>IF($C166="","",INDEX(Taxepunkter!$A:$A,$C166))</x:f>
      </x:c>
      <x:c r="B166" s="798"/>
      <x:c r="C166" s="798"/>
      <x:c r="D166" s="798" t="str">
        <x:f>IF($C166="","",TEXTJOIN(" ",TRUE,INDEX(Taxepunkter!$C:$C,$C166),INDEX(Taxepunkter!$D:$D,$C166)))</x:f>
      </x:c>
      <x:c r="E166" s="798" t="str">
        <x:f>IF($C166="","","Saknas i EDP – föreslagen ny taxa")</x:f>
      </x:c>
      <x:c r="F166" s="798" t="str">
        <x:f>IF($C166="","","Automatiserad mall: fyll Rad i Taxepunkter och FöreslagenTaxekod")</x:f>
      </x:c>
      <x:c r="G166" s="799"/>
      <x:c r="H166" s="800" t="str">
        <x:f>IF($C166="","",$C166)</x:f>
      </x:c>
      <x:c r="I166" s="800" t="str">
        <x:f>IF($C166="","",INDEX(Taxepunkter!$B:$B,$C166)&amp;" / "&amp;INDEX(Taxepunkter!$C:$C,$C166))</x:f>
      </x:c>
      <x:c r="J166" s="800" t="str">
        <x:f>IF($G166="","",$G166)</x:f>
      </x:c>
      <x:c r="K166" s="800" t="str">
        <x:f>IF($C166="","",INDEX(Taxepunkter!$C:$C,$C166)&amp;IF(INDEX(Taxepunkter!$D:$D,$C166)="","",". "&amp;INDEX(Taxepunkter!$D:$D,$C166)))</x:f>
      </x:c>
      <x:c r="L166" s="800" t="str">
        <x:f>IF($C166="","","RENH")</x:f>
      </x:c>
      <x:c r="M166" s="800" t="str">
        <x:f>IF($C166="","","HUSH")</x:f>
      </x:c>
      <x:c r="N166" s="800" t="str">
        <x:f>IF($C166="","",1)</x:f>
      </x:c>
      <x:c r="O166" s="800" t="str">
        <x:f>IF($C166="","","ÅRKV")</x:f>
      </x:c>
      <x:c r="P166" s="800" t="str">
        <x:f>IF($C166="","",TEXTJOIN(" ",TRUE,INDEX(Taxepunkter!$C:$C,$C166),INDEX(Taxepunkter!$D:$D,$C166)))</x:f>
      </x:c>
      <x:c r="Q166" s="800"/>
      <x:c r="R166" s="800"/>
      <x:c r="S166" s="800"/>
      <x:c r="T166" s="800"/>
      <x:c r="U166" s="800" t="str">
        <x:f>IF($C166="","",0)</x:f>
      </x:c>
      <x:c r="V166" s="800"/>
      <x:c r="W166" s="800" t="str">
        <x:f>IF($C166="","","-")</x:f>
      </x:c>
      <x:c r="X166" s="800" t="str">
        <x:f>IF($C166="","",1)</x:f>
      </x:c>
      <x:c r="Y166" s="885" t="str">
        <x:f>IF($C166="","","ANTB")</x:f>
      </x:c>
    </x:row>
    <x:row r="167">
      <x:c r="A167" s="884" t="str">
        <x:f>IF($C167="","",INDEX(Taxepunkter!$A:$A,$C167))</x:f>
      </x:c>
      <x:c r="B167" s="798"/>
      <x:c r="C167" s="798"/>
      <x:c r="D167" s="798" t="str">
        <x:f>IF($C167="","",TEXTJOIN(" ",TRUE,INDEX(Taxepunkter!$C:$C,$C167),INDEX(Taxepunkter!$D:$D,$C167)))</x:f>
      </x:c>
      <x:c r="E167" s="798" t="str">
        <x:f>IF($C167="","","Saknas i EDP – föreslagen ny taxa")</x:f>
      </x:c>
      <x:c r="F167" s="798" t="str">
        <x:f>IF($C167="","","Automatiserad mall: fyll Rad i Taxepunkter och FöreslagenTaxekod")</x:f>
      </x:c>
      <x:c r="G167" s="799"/>
      <x:c r="H167" s="800" t="str">
        <x:f>IF($C167="","",$C167)</x:f>
      </x:c>
      <x:c r="I167" s="800" t="str">
        <x:f>IF($C167="","",INDEX(Taxepunkter!$B:$B,$C167)&amp;" / "&amp;INDEX(Taxepunkter!$C:$C,$C167))</x:f>
      </x:c>
      <x:c r="J167" s="800" t="str">
        <x:f>IF($G167="","",$G167)</x:f>
      </x:c>
      <x:c r="K167" s="800" t="str">
        <x:f>IF($C167="","",INDEX(Taxepunkter!$C:$C,$C167)&amp;IF(INDEX(Taxepunkter!$D:$D,$C167)="","",". "&amp;INDEX(Taxepunkter!$D:$D,$C167)))</x:f>
      </x:c>
      <x:c r="L167" s="800" t="str">
        <x:f>IF($C167="","","RENH")</x:f>
      </x:c>
      <x:c r="M167" s="800" t="str">
        <x:f>IF($C167="","","HUSH")</x:f>
      </x:c>
      <x:c r="N167" s="800" t="str">
        <x:f>IF($C167="","",1)</x:f>
      </x:c>
      <x:c r="O167" s="800" t="str">
        <x:f>IF($C167="","","ÅRKV")</x:f>
      </x:c>
      <x:c r="P167" s="800" t="str">
        <x:f>IF($C167="","",TEXTJOIN(" ",TRUE,INDEX(Taxepunkter!$C:$C,$C167),INDEX(Taxepunkter!$D:$D,$C167)))</x:f>
      </x:c>
      <x:c r="Q167" s="800"/>
      <x:c r="R167" s="800"/>
      <x:c r="S167" s="800"/>
      <x:c r="T167" s="800"/>
      <x:c r="U167" s="800" t="str">
        <x:f>IF($C167="","",0)</x:f>
      </x:c>
      <x:c r="V167" s="800"/>
      <x:c r="W167" s="800" t="str">
        <x:f>IF($C167="","","-")</x:f>
      </x:c>
      <x:c r="X167" s="800" t="str">
        <x:f>IF($C167="","",1)</x:f>
      </x:c>
      <x:c r="Y167" s="885" t="str">
        <x:f>IF($C167="","","ANTB")</x:f>
      </x:c>
    </x:row>
    <x:row r="168">
      <x:c r="A168" s="884" t="str">
        <x:f>IF($C168="","",INDEX(Taxepunkter!$A:$A,$C168))</x:f>
      </x:c>
      <x:c r="B168" s="798"/>
      <x:c r="C168" s="798"/>
      <x:c r="D168" s="798" t="str">
        <x:f>IF($C168="","",TEXTJOIN(" ",TRUE,INDEX(Taxepunkter!$C:$C,$C168),INDEX(Taxepunkter!$D:$D,$C168)))</x:f>
      </x:c>
      <x:c r="E168" s="798" t="str">
        <x:f>IF($C168="","","Saknas i EDP – föreslagen ny taxa")</x:f>
      </x:c>
      <x:c r="F168" s="798" t="str">
        <x:f>IF($C168="","","Automatiserad mall: fyll Rad i Taxepunkter och FöreslagenTaxekod")</x:f>
      </x:c>
      <x:c r="G168" s="799"/>
      <x:c r="H168" s="800" t="str">
        <x:f>IF($C168="","",$C168)</x:f>
      </x:c>
      <x:c r="I168" s="800" t="str">
        <x:f>IF($C168="","",INDEX(Taxepunkter!$B:$B,$C168)&amp;" / "&amp;INDEX(Taxepunkter!$C:$C,$C168))</x:f>
      </x:c>
      <x:c r="J168" s="800" t="str">
        <x:f>IF($G168="","",$G168)</x:f>
      </x:c>
      <x:c r="K168" s="800" t="str">
        <x:f>IF($C168="","",INDEX(Taxepunkter!$C:$C,$C168)&amp;IF(INDEX(Taxepunkter!$D:$D,$C168)="","",". "&amp;INDEX(Taxepunkter!$D:$D,$C168)))</x:f>
      </x:c>
      <x:c r="L168" s="800" t="str">
        <x:f>IF($C168="","","RENH")</x:f>
      </x:c>
      <x:c r="M168" s="800" t="str">
        <x:f>IF($C168="","","HUSH")</x:f>
      </x:c>
      <x:c r="N168" s="800" t="str">
        <x:f>IF($C168="","",1)</x:f>
      </x:c>
      <x:c r="O168" s="800" t="str">
        <x:f>IF($C168="","","ÅRKV")</x:f>
      </x:c>
      <x:c r="P168" s="800" t="str">
        <x:f>IF($C168="","",TEXTJOIN(" ",TRUE,INDEX(Taxepunkter!$C:$C,$C168),INDEX(Taxepunkter!$D:$D,$C168)))</x:f>
      </x:c>
      <x:c r="Q168" s="800"/>
      <x:c r="R168" s="800"/>
      <x:c r="S168" s="800"/>
      <x:c r="T168" s="800"/>
      <x:c r="U168" s="800" t="str">
        <x:f>IF($C168="","",0)</x:f>
      </x:c>
      <x:c r="V168" s="800"/>
      <x:c r="W168" s="800" t="str">
        <x:f>IF($C168="","","-")</x:f>
      </x:c>
      <x:c r="X168" s="800" t="str">
        <x:f>IF($C168="","",1)</x:f>
      </x:c>
      <x:c r="Y168" s="885" t="str">
        <x:f>IF($C168="","","ANTB")</x:f>
      </x:c>
    </x:row>
    <x:row r="169">
      <x:c r="A169" s="884" t="str">
        <x:f>IF($C169="","",INDEX(Taxepunkter!$A:$A,$C169))</x:f>
      </x:c>
      <x:c r="B169" s="798"/>
      <x:c r="C169" s="798"/>
      <x:c r="D169" s="798" t="str">
        <x:f>IF($C169="","",TEXTJOIN(" ",TRUE,INDEX(Taxepunkter!$C:$C,$C169),INDEX(Taxepunkter!$D:$D,$C169)))</x:f>
      </x:c>
      <x:c r="E169" s="798" t="str">
        <x:f>IF($C169="","","Saknas i EDP – föreslagen ny taxa")</x:f>
      </x:c>
      <x:c r="F169" s="798" t="str">
        <x:f>IF($C169="","","Automatiserad mall: fyll Rad i Taxepunkter och FöreslagenTaxekod")</x:f>
      </x:c>
      <x:c r="G169" s="799"/>
      <x:c r="H169" s="800" t="str">
        <x:f>IF($C169="","",$C169)</x:f>
      </x:c>
      <x:c r="I169" s="800" t="str">
        <x:f>IF($C169="","",INDEX(Taxepunkter!$B:$B,$C169)&amp;" / "&amp;INDEX(Taxepunkter!$C:$C,$C169))</x:f>
      </x:c>
      <x:c r="J169" s="800" t="str">
        <x:f>IF($G169="","",$G169)</x:f>
      </x:c>
      <x:c r="K169" s="800" t="str">
        <x:f>IF($C169="","",INDEX(Taxepunkter!$C:$C,$C169)&amp;IF(INDEX(Taxepunkter!$D:$D,$C169)="","",". "&amp;INDEX(Taxepunkter!$D:$D,$C169)))</x:f>
      </x:c>
      <x:c r="L169" s="800" t="str">
        <x:f>IF($C169="","","RENH")</x:f>
      </x:c>
      <x:c r="M169" s="800" t="str">
        <x:f>IF($C169="","","HUSH")</x:f>
      </x:c>
      <x:c r="N169" s="800" t="str">
        <x:f>IF($C169="","",1)</x:f>
      </x:c>
      <x:c r="O169" s="800" t="str">
        <x:f>IF($C169="","","ÅRKV")</x:f>
      </x:c>
      <x:c r="P169" s="800" t="str">
        <x:f>IF($C169="","",TEXTJOIN(" ",TRUE,INDEX(Taxepunkter!$C:$C,$C169),INDEX(Taxepunkter!$D:$D,$C169)))</x:f>
      </x:c>
      <x:c r="Q169" s="800"/>
      <x:c r="R169" s="800"/>
      <x:c r="S169" s="800"/>
      <x:c r="T169" s="800"/>
      <x:c r="U169" s="800" t="str">
        <x:f>IF($C169="","",0)</x:f>
      </x:c>
      <x:c r="V169" s="800"/>
      <x:c r="W169" s="800" t="str">
        <x:f>IF($C169="","","-")</x:f>
      </x:c>
      <x:c r="X169" s="800" t="str">
        <x:f>IF($C169="","",1)</x:f>
      </x:c>
      <x:c r="Y169" s="885" t="str">
        <x:f>IF($C169="","","ANTB")</x:f>
      </x:c>
    </x:row>
    <x:row r="170">
      <x:c r="A170" s="884" t="str">
        <x:f>IF($C170="","",INDEX(Taxepunkter!$A:$A,$C170))</x:f>
      </x:c>
      <x:c r="B170" s="798"/>
      <x:c r="C170" s="798"/>
      <x:c r="D170" s="798" t="str">
        <x:f>IF($C170="","",TEXTJOIN(" ",TRUE,INDEX(Taxepunkter!$C:$C,$C170),INDEX(Taxepunkter!$D:$D,$C170)))</x:f>
      </x:c>
      <x:c r="E170" s="798" t="str">
        <x:f>IF($C170="","","Saknas i EDP – föreslagen ny taxa")</x:f>
      </x:c>
      <x:c r="F170" s="798" t="str">
        <x:f>IF($C170="","","Automatiserad mall: fyll Rad i Taxepunkter och FöreslagenTaxekod")</x:f>
      </x:c>
      <x:c r="G170" s="799"/>
      <x:c r="H170" s="800" t="str">
        <x:f>IF($C170="","",$C170)</x:f>
      </x:c>
      <x:c r="I170" s="800" t="str">
        <x:f>IF($C170="","",INDEX(Taxepunkter!$B:$B,$C170)&amp;" / "&amp;INDEX(Taxepunkter!$C:$C,$C170))</x:f>
      </x:c>
      <x:c r="J170" s="800" t="str">
        <x:f>IF($G170="","",$G170)</x:f>
      </x:c>
      <x:c r="K170" s="800" t="str">
        <x:f>IF($C170="","",INDEX(Taxepunkter!$C:$C,$C170)&amp;IF(INDEX(Taxepunkter!$D:$D,$C170)="","",". "&amp;INDEX(Taxepunkter!$D:$D,$C170)))</x:f>
      </x:c>
      <x:c r="L170" s="800" t="str">
        <x:f>IF($C170="","","RENH")</x:f>
      </x:c>
      <x:c r="M170" s="800" t="str">
        <x:f>IF($C170="","","HUSH")</x:f>
      </x:c>
      <x:c r="N170" s="800" t="str">
        <x:f>IF($C170="","",1)</x:f>
      </x:c>
      <x:c r="O170" s="800" t="str">
        <x:f>IF($C170="","","ÅRKV")</x:f>
      </x:c>
      <x:c r="P170" s="800" t="str">
        <x:f>IF($C170="","",TEXTJOIN(" ",TRUE,INDEX(Taxepunkter!$C:$C,$C170),INDEX(Taxepunkter!$D:$D,$C170)))</x:f>
      </x:c>
      <x:c r="Q170" s="800"/>
      <x:c r="R170" s="800"/>
      <x:c r="S170" s="800"/>
      <x:c r="T170" s="800"/>
      <x:c r="U170" s="800" t="str">
        <x:f>IF($C170="","",0)</x:f>
      </x:c>
      <x:c r="V170" s="800"/>
      <x:c r="W170" s="800" t="str">
        <x:f>IF($C170="","","-")</x:f>
      </x:c>
      <x:c r="X170" s="800" t="str">
        <x:f>IF($C170="","",1)</x:f>
      </x:c>
      <x:c r="Y170" s="885" t="str">
        <x:f>IF($C170="","","ANTB")</x:f>
      </x:c>
    </x:row>
    <x:row r="171">
      <x:c r="A171" s="884" t="str">
        <x:f>IF($C171="","",INDEX(Taxepunkter!$A:$A,$C171))</x:f>
      </x:c>
      <x:c r="B171" s="798"/>
      <x:c r="C171" s="798"/>
      <x:c r="D171" s="798" t="str">
        <x:f>IF($C171="","",TEXTJOIN(" ",TRUE,INDEX(Taxepunkter!$C:$C,$C171),INDEX(Taxepunkter!$D:$D,$C171)))</x:f>
      </x:c>
      <x:c r="E171" s="798" t="str">
        <x:f>IF($C171="","","Saknas i EDP – föreslagen ny taxa")</x:f>
      </x:c>
      <x:c r="F171" s="798" t="str">
        <x:f>IF($C171="","","Automatiserad mall: fyll Rad i Taxepunkter och FöreslagenTaxekod")</x:f>
      </x:c>
      <x:c r="G171" s="799"/>
      <x:c r="H171" s="800" t="str">
        <x:f>IF($C171="","",$C171)</x:f>
      </x:c>
      <x:c r="I171" s="800" t="str">
        <x:f>IF($C171="","",INDEX(Taxepunkter!$B:$B,$C171)&amp;" / "&amp;INDEX(Taxepunkter!$C:$C,$C171))</x:f>
      </x:c>
      <x:c r="J171" s="800" t="str">
        <x:f>IF($G171="","",$G171)</x:f>
      </x:c>
      <x:c r="K171" s="800" t="str">
        <x:f>IF($C171="","",INDEX(Taxepunkter!$C:$C,$C171)&amp;IF(INDEX(Taxepunkter!$D:$D,$C171)="","",". "&amp;INDEX(Taxepunkter!$D:$D,$C171)))</x:f>
      </x:c>
      <x:c r="L171" s="800" t="str">
        <x:f>IF($C171="","","RENH")</x:f>
      </x:c>
      <x:c r="M171" s="800" t="str">
        <x:f>IF($C171="","","HUSH")</x:f>
      </x:c>
      <x:c r="N171" s="800" t="str">
        <x:f>IF($C171="","",1)</x:f>
      </x:c>
      <x:c r="O171" s="800" t="str">
        <x:f>IF($C171="","","ÅRKV")</x:f>
      </x:c>
      <x:c r="P171" s="800" t="str">
        <x:f>IF($C171="","",TEXTJOIN(" ",TRUE,INDEX(Taxepunkter!$C:$C,$C171),INDEX(Taxepunkter!$D:$D,$C171)))</x:f>
      </x:c>
      <x:c r="Q171" s="800"/>
      <x:c r="R171" s="800"/>
      <x:c r="S171" s="800"/>
      <x:c r="T171" s="800"/>
      <x:c r="U171" s="800" t="str">
        <x:f>IF($C171="","",0)</x:f>
      </x:c>
      <x:c r="V171" s="800"/>
      <x:c r="W171" s="800" t="str">
        <x:f>IF($C171="","","-")</x:f>
      </x:c>
      <x:c r="X171" s="800" t="str">
        <x:f>IF($C171="","",1)</x:f>
      </x:c>
      <x:c r="Y171" s="885" t="str">
        <x:f>IF($C171="","","ANTB")</x:f>
      </x:c>
    </x:row>
    <x:row r="172">
      <x:c r="A172" s="884" t="str">
        <x:f>IF($C172="","",INDEX(Taxepunkter!$A:$A,$C172))</x:f>
      </x:c>
      <x:c r="B172" s="798"/>
      <x:c r="C172" s="798"/>
      <x:c r="D172" s="798" t="str">
        <x:f>IF($C172="","",TEXTJOIN(" ",TRUE,INDEX(Taxepunkter!$C:$C,$C172),INDEX(Taxepunkter!$D:$D,$C172)))</x:f>
      </x:c>
      <x:c r="E172" s="798" t="str">
        <x:f>IF($C172="","","Saknas i EDP – föreslagen ny taxa")</x:f>
      </x:c>
      <x:c r="F172" s="798" t="str">
        <x:f>IF($C172="","","Automatiserad mall: fyll Rad i Taxepunkter och FöreslagenTaxekod")</x:f>
      </x:c>
      <x:c r="G172" s="799"/>
      <x:c r="H172" s="800" t="str">
        <x:f>IF($C172="","",$C172)</x:f>
      </x:c>
      <x:c r="I172" s="800" t="str">
        <x:f>IF($C172="","",INDEX(Taxepunkter!$B:$B,$C172)&amp;" / "&amp;INDEX(Taxepunkter!$C:$C,$C172))</x:f>
      </x:c>
      <x:c r="J172" s="800" t="str">
        <x:f>IF($G172="","",$G172)</x:f>
      </x:c>
      <x:c r="K172" s="800" t="str">
        <x:f>IF($C172="","",INDEX(Taxepunkter!$C:$C,$C172)&amp;IF(INDEX(Taxepunkter!$D:$D,$C172)="","",". "&amp;INDEX(Taxepunkter!$D:$D,$C172)))</x:f>
      </x:c>
      <x:c r="L172" s="800" t="str">
        <x:f>IF($C172="","","RENH")</x:f>
      </x:c>
      <x:c r="M172" s="800" t="str">
        <x:f>IF($C172="","","HUSH")</x:f>
      </x:c>
      <x:c r="N172" s="800" t="str">
        <x:f>IF($C172="","",1)</x:f>
      </x:c>
      <x:c r="O172" s="800" t="str">
        <x:f>IF($C172="","","ÅRKV")</x:f>
      </x:c>
      <x:c r="P172" s="800" t="str">
        <x:f>IF($C172="","",TEXTJOIN(" ",TRUE,INDEX(Taxepunkter!$C:$C,$C172),INDEX(Taxepunkter!$D:$D,$C172)))</x:f>
      </x:c>
      <x:c r="Q172" s="800"/>
      <x:c r="R172" s="800"/>
      <x:c r="S172" s="800"/>
      <x:c r="T172" s="800"/>
      <x:c r="U172" s="800" t="str">
        <x:f>IF($C172="","",0)</x:f>
      </x:c>
      <x:c r="V172" s="800"/>
      <x:c r="W172" s="800" t="str">
        <x:f>IF($C172="","","-")</x:f>
      </x:c>
      <x:c r="X172" s="800" t="str">
        <x:f>IF($C172="","",1)</x:f>
      </x:c>
      <x:c r="Y172" s="885" t="str">
        <x:f>IF($C172="","","ANTB")</x:f>
      </x:c>
    </x:row>
    <x:row r="173">
      <x:c r="A173" s="884" t="str">
        <x:f>IF($C173="","",INDEX(Taxepunkter!$A:$A,$C173))</x:f>
      </x:c>
      <x:c r="B173" s="798"/>
      <x:c r="C173" s="798"/>
      <x:c r="D173" s="798" t="str">
        <x:f>IF($C173="","",TEXTJOIN(" ",TRUE,INDEX(Taxepunkter!$C:$C,$C173),INDEX(Taxepunkter!$D:$D,$C173)))</x:f>
      </x:c>
      <x:c r="E173" s="798" t="str">
        <x:f>IF($C173="","","Saknas i EDP – föreslagen ny taxa")</x:f>
      </x:c>
      <x:c r="F173" s="798" t="str">
        <x:f>IF($C173="","","Automatiserad mall: fyll Rad i Taxepunkter och FöreslagenTaxekod")</x:f>
      </x:c>
      <x:c r="G173" s="799"/>
      <x:c r="H173" s="800" t="str">
        <x:f>IF($C173="","",$C173)</x:f>
      </x:c>
      <x:c r="I173" s="800" t="str">
        <x:f>IF($C173="","",INDEX(Taxepunkter!$B:$B,$C173)&amp;" / "&amp;INDEX(Taxepunkter!$C:$C,$C173))</x:f>
      </x:c>
      <x:c r="J173" s="800" t="str">
        <x:f>IF($G173="","",$G173)</x:f>
      </x:c>
      <x:c r="K173" s="800" t="str">
        <x:f>IF($C173="","",INDEX(Taxepunkter!$C:$C,$C173)&amp;IF(INDEX(Taxepunkter!$D:$D,$C173)="","",". "&amp;INDEX(Taxepunkter!$D:$D,$C173)))</x:f>
      </x:c>
      <x:c r="L173" s="800" t="str">
        <x:f>IF($C173="","","RENH")</x:f>
      </x:c>
      <x:c r="M173" s="800" t="str">
        <x:f>IF($C173="","","HUSH")</x:f>
      </x:c>
      <x:c r="N173" s="800" t="str">
        <x:f>IF($C173="","",1)</x:f>
      </x:c>
      <x:c r="O173" s="800" t="str">
        <x:f>IF($C173="","","ÅRKV")</x:f>
      </x:c>
      <x:c r="P173" s="800" t="str">
        <x:f>IF($C173="","",TEXTJOIN(" ",TRUE,INDEX(Taxepunkter!$C:$C,$C173),INDEX(Taxepunkter!$D:$D,$C173)))</x:f>
      </x:c>
      <x:c r="Q173" s="800"/>
      <x:c r="R173" s="800"/>
      <x:c r="S173" s="800"/>
      <x:c r="T173" s="800"/>
      <x:c r="U173" s="800" t="str">
        <x:f>IF($C173="","",0)</x:f>
      </x:c>
      <x:c r="V173" s="800"/>
      <x:c r="W173" s="800" t="str">
        <x:f>IF($C173="","","-")</x:f>
      </x:c>
      <x:c r="X173" s="800" t="str">
        <x:f>IF($C173="","",1)</x:f>
      </x:c>
      <x:c r="Y173" s="885" t="str">
        <x:f>IF($C173="","","ANTB")</x:f>
      </x:c>
    </x:row>
    <x:row r="174">
      <x:c r="A174" s="884" t="str">
        <x:f>IF($C174="","",INDEX(Taxepunkter!$A:$A,$C174))</x:f>
      </x:c>
      <x:c r="B174" s="798"/>
      <x:c r="C174" s="798"/>
      <x:c r="D174" s="798" t="str">
        <x:f>IF($C174="","",TEXTJOIN(" ",TRUE,INDEX(Taxepunkter!$C:$C,$C174),INDEX(Taxepunkter!$D:$D,$C174)))</x:f>
      </x:c>
      <x:c r="E174" s="798" t="str">
        <x:f>IF($C174="","","Saknas i EDP – föreslagen ny taxa")</x:f>
      </x:c>
      <x:c r="F174" s="798" t="str">
        <x:f>IF($C174="","","Automatiserad mall: fyll Rad i Taxepunkter och FöreslagenTaxekod")</x:f>
      </x:c>
      <x:c r="G174" s="799"/>
      <x:c r="H174" s="800" t="str">
        <x:f>IF($C174="","",$C174)</x:f>
      </x:c>
      <x:c r="I174" s="800" t="str">
        <x:f>IF($C174="","",INDEX(Taxepunkter!$B:$B,$C174)&amp;" / "&amp;INDEX(Taxepunkter!$C:$C,$C174))</x:f>
      </x:c>
      <x:c r="J174" s="800" t="str">
        <x:f>IF($G174="","",$G174)</x:f>
      </x:c>
      <x:c r="K174" s="800" t="str">
        <x:f>IF($C174="","",INDEX(Taxepunkter!$C:$C,$C174)&amp;IF(INDEX(Taxepunkter!$D:$D,$C174)="","",". "&amp;INDEX(Taxepunkter!$D:$D,$C174)))</x:f>
      </x:c>
      <x:c r="L174" s="800" t="str">
        <x:f>IF($C174="","","RENH")</x:f>
      </x:c>
      <x:c r="M174" s="800" t="str">
        <x:f>IF($C174="","","HUSH")</x:f>
      </x:c>
      <x:c r="N174" s="800" t="str">
        <x:f>IF($C174="","",1)</x:f>
      </x:c>
      <x:c r="O174" s="800" t="str">
        <x:f>IF($C174="","","ÅRKV")</x:f>
      </x:c>
      <x:c r="P174" s="800" t="str">
        <x:f>IF($C174="","",TEXTJOIN(" ",TRUE,INDEX(Taxepunkter!$C:$C,$C174),INDEX(Taxepunkter!$D:$D,$C174)))</x:f>
      </x:c>
      <x:c r="Q174" s="800"/>
      <x:c r="R174" s="800"/>
      <x:c r="S174" s="800"/>
      <x:c r="T174" s="800"/>
      <x:c r="U174" s="800" t="str">
        <x:f>IF($C174="","",0)</x:f>
      </x:c>
      <x:c r="V174" s="800"/>
      <x:c r="W174" s="800" t="str">
        <x:f>IF($C174="","","-")</x:f>
      </x:c>
      <x:c r="X174" s="800" t="str">
        <x:f>IF($C174="","",1)</x:f>
      </x:c>
      <x:c r="Y174" s="885" t="str">
        <x:f>IF($C174="","","ANTB")</x:f>
      </x:c>
    </x:row>
    <x:row r="175">
      <x:c r="A175" s="884" t="str">
        <x:f>IF($C175="","",INDEX(Taxepunkter!$A:$A,$C175))</x:f>
      </x:c>
      <x:c r="B175" s="798"/>
      <x:c r="C175" s="798"/>
      <x:c r="D175" s="798" t="str">
        <x:f>IF($C175="","",TEXTJOIN(" ",TRUE,INDEX(Taxepunkter!$C:$C,$C175),INDEX(Taxepunkter!$D:$D,$C175)))</x:f>
      </x:c>
      <x:c r="E175" s="798" t="str">
        <x:f>IF($C175="","","Saknas i EDP – föreslagen ny taxa")</x:f>
      </x:c>
      <x:c r="F175" s="798" t="str">
        <x:f>IF($C175="","","Automatiserad mall: fyll Rad i Taxepunkter och FöreslagenTaxekod")</x:f>
      </x:c>
      <x:c r="G175" s="799"/>
      <x:c r="H175" s="800" t="str">
        <x:f>IF($C175="","",$C175)</x:f>
      </x:c>
      <x:c r="I175" s="800" t="str">
        <x:f>IF($C175="","",INDEX(Taxepunkter!$B:$B,$C175)&amp;" / "&amp;INDEX(Taxepunkter!$C:$C,$C175))</x:f>
      </x:c>
      <x:c r="J175" s="800" t="str">
        <x:f>IF($G175="","",$G175)</x:f>
      </x:c>
      <x:c r="K175" s="800" t="str">
        <x:f>IF($C175="","",INDEX(Taxepunkter!$C:$C,$C175)&amp;IF(INDEX(Taxepunkter!$D:$D,$C175)="","",". "&amp;INDEX(Taxepunkter!$D:$D,$C175)))</x:f>
      </x:c>
      <x:c r="L175" s="800" t="str">
        <x:f>IF($C175="","","RENH")</x:f>
      </x:c>
      <x:c r="M175" s="800" t="str">
        <x:f>IF($C175="","","HUSH")</x:f>
      </x:c>
      <x:c r="N175" s="800" t="str">
        <x:f>IF($C175="","",1)</x:f>
      </x:c>
      <x:c r="O175" s="800" t="str">
        <x:f>IF($C175="","","ÅRKV")</x:f>
      </x:c>
      <x:c r="P175" s="800" t="str">
        <x:f>IF($C175="","",TEXTJOIN(" ",TRUE,INDEX(Taxepunkter!$C:$C,$C175),INDEX(Taxepunkter!$D:$D,$C175)))</x:f>
      </x:c>
      <x:c r="Q175" s="800"/>
      <x:c r="R175" s="800"/>
      <x:c r="S175" s="800"/>
      <x:c r="T175" s="800"/>
      <x:c r="U175" s="800" t="str">
        <x:f>IF($C175="","",0)</x:f>
      </x:c>
      <x:c r="V175" s="800"/>
      <x:c r="W175" s="800" t="str">
        <x:f>IF($C175="","","-")</x:f>
      </x:c>
      <x:c r="X175" s="800" t="str">
        <x:f>IF($C175="","",1)</x:f>
      </x:c>
      <x:c r="Y175" s="885" t="str">
        <x:f>IF($C175="","","ANTB")</x:f>
      </x:c>
    </x:row>
    <x:row r="176">
      <x:c r="A176" s="884" t="str">
        <x:f>IF($C176="","",INDEX(Taxepunkter!$A:$A,$C176))</x:f>
      </x:c>
      <x:c r="B176" s="798"/>
      <x:c r="C176" s="798"/>
      <x:c r="D176" s="798" t="str">
        <x:f>IF($C176="","",TEXTJOIN(" ",TRUE,INDEX(Taxepunkter!$C:$C,$C176),INDEX(Taxepunkter!$D:$D,$C176)))</x:f>
      </x:c>
      <x:c r="E176" s="798" t="str">
        <x:f>IF($C176="","","Saknas i EDP – föreslagen ny taxa")</x:f>
      </x:c>
      <x:c r="F176" s="798" t="str">
        <x:f>IF($C176="","","Automatiserad mall: fyll Rad i Taxepunkter och FöreslagenTaxekod")</x:f>
      </x:c>
      <x:c r="G176" s="799"/>
      <x:c r="H176" s="800" t="str">
        <x:f>IF($C176="","",$C176)</x:f>
      </x:c>
      <x:c r="I176" s="800" t="str">
        <x:f>IF($C176="","",INDEX(Taxepunkter!$B:$B,$C176)&amp;" / "&amp;INDEX(Taxepunkter!$C:$C,$C176))</x:f>
      </x:c>
      <x:c r="J176" s="800" t="str">
        <x:f>IF($G176="","",$G176)</x:f>
      </x:c>
      <x:c r="K176" s="800" t="str">
        <x:f>IF($C176="","",INDEX(Taxepunkter!$C:$C,$C176)&amp;IF(INDEX(Taxepunkter!$D:$D,$C176)="","",". "&amp;INDEX(Taxepunkter!$D:$D,$C176)))</x:f>
      </x:c>
      <x:c r="L176" s="800" t="str">
        <x:f>IF($C176="","","RENH")</x:f>
      </x:c>
      <x:c r="M176" s="800" t="str">
        <x:f>IF($C176="","","HUSH")</x:f>
      </x:c>
      <x:c r="N176" s="800" t="str">
        <x:f>IF($C176="","",1)</x:f>
      </x:c>
      <x:c r="O176" s="800" t="str">
        <x:f>IF($C176="","","ÅRKV")</x:f>
      </x:c>
      <x:c r="P176" s="800" t="str">
        <x:f>IF($C176="","",TEXTJOIN(" ",TRUE,INDEX(Taxepunkter!$C:$C,$C176),INDEX(Taxepunkter!$D:$D,$C176)))</x:f>
      </x:c>
      <x:c r="Q176" s="800"/>
      <x:c r="R176" s="800"/>
      <x:c r="S176" s="800"/>
      <x:c r="T176" s="800"/>
      <x:c r="U176" s="800" t="str">
        <x:f>IF($C176="","",0)</x:f>
      </x:c>
      <x:c r="V176" s="800"/>
      <x:c r="W176" s="800" t="str">
        <x:f>IF($C176="","","-")</x:f>
      </x:c>
      <x:c r="X176" s="800" t="str">
        <x:f>IF($C176="","",1)</x:f>
      </x:c>
      <x:c r="Y176" s="885" t="str">
        <x:f>IF($C176="","","ANTB")</x:f>
      </x:c>
    </x:row>
    <x:row r="177">
      <x:c r="A177" s="884" t="str">
        <x:f>IF($C177="","",INDEX(Taxepunkter!$A:$A,$C177))</x:f>
      </x:c>
      <x:c r="B177" s="798"/>
      <x:c r="C177" s="798"/>
      <x:c r="D177" s="798" t="str">
        <x:f>IF($C177="","",TEXTJOIN(" ",TRUE,INDEX(Taxepunkter!$C:$C,$C177),INDEX(Taxepunkter!$D:$D,$C177)))</x:f>
      </x:c>
      <x:c r="E177" s="798" t="str">
        <x:f>IF($C177="","","Saknas i EDP – föreslagen ny taxa")</x:f>
      </x:c>
      <x:c r="F177" s="798" t="str">
        <x:f>IF($C177="","","Automatiserad mall: fyll Rad i Taxepunkter och FöreslagenTaxekod")</x:f>
      </x:c>
      <x:c r="G177" s="799"/>
      <x:c r="H177" s="800" t="str">
        <x:f>IF($C177="","",$C177)</x:f>
      </x:c>
      <x:c r="I177" s="800" t="str">
        <x:f>IF($C177="","",INDEX(Taxepunkter!$B:$B,$C177)&amp;" / "&amp;INDEX(Taxepunkter!$C:$C,$C177))</x:f>
      </x:c>
      <x:c r="J177" s="800" t="str">
        <x:f>IF($G177="","",$G177)</x:f>
      </x:c>
      <x:c r="K177" s="800" t="str">
        <x:f>IF($C177="","",INDEX(Taxepunkter!$C:$C,$C177)&amp;IF(INDEX(Taxepunkter!$D:$D,$C177)="","",". "&amp;INDEX(Taxepunkter!$D:$D,$C177)))</x:f>
      </x:c>
      <x:c r="L177" s="800" t="str">
        <x:f>IF($C177="","","RENH")</x:f>
      </x:c>
      <x:c r="M177" s="800" t="str">
        <x:f>IF($C177="","","HUSH")</x:f>
      </x:c>
      <x:c r="N177" s="800" t="str">
        <x:f>IF($C177="","",1)</x:f>
      </x:c>
      <x:c r="O177" s="800" t="str">
        <x:f>IF($C177="","","ÅRKV")</x:f>
      </x:c>
      <x:c r="P177" s="800" t="str">
        <x:f>IF($C177="","",TEXTJOIN(" ",TRUE,INDEX(Taxepunkter!$C:$C,$C177),INDEX(Taxepunkter!$D:$D,$C177)))</x:f>
      </x:c>
      <x:c r="Q177" s="800"/>
      <x:c r="R177" s="800"/>
      <x:c r="S177" s="800"/>
      <x:c r="T177" s="800"/>
      <x:c r="U177" s="800" t="str">
        <x:f>IF($C177="","",0)</x:f>
      </x:c>
      <x:c r="V177" s="800"/>
      <x:c r="W177" s="800" t="str">
        <x:f>IF($C177="","","-")</x:f>
      </x:c>
      <x:c r="X177" s="800" t="str">
        <x:f>IF($C177="","",1)</x:f>
      </x:c>
      <x:c r="Y177" s="885" t="str">
        <x:f>IF($C177="","","ANTB")</x:f>
      </x:c>
    </x:row>
    <x:row r="178">
      <x:c r="A178" s="884" t="str">
        <x:f>IF($C178="","",INDEX(Taxepunkter!$A:$A,$C178))</x:f>
      </x:c>
      <x:c r="B178" s="798"/>
      <x:c r="C178" s="798"/>
      <x:c r="D178" s="798" t="str">
        <x:f>IF($C178="","",TEXTJOIN(" ",TRUE,INDEX(Taxepunkter!$C:$C,$C178),INDEX(Taxepunkter!$D:$D,$C178)))</x:f>
      </x:c>
      <x:c r="E178" s="798" t="str">
        <x:f>IF($C178="","","Saknas i EDP – föreslagen ny taxa")</x:f>
      </x:c>
      <x:c r="F178" s="798" t="str">
        <x:f>IF($C178="","","Automatiserad mall: fyll Rad i Taxepunkter och FöreslagenTaxekod")</x:f>
      </x:c>
      <x:c r="G178" s="799"/>
      <x:c r="H178" s="800" t="str">
        <x:f>IF($C178="","",$C178)</x:f>
      </x:c>
      <x:c r="I178" s="800" t="str">
        <x:f>IF($C178="","",INDEX(Taxepunkter!$B:$B,$C178)&amp;" / "&amp;INDEX(Taxepunkter!$C:$C,$C178))</x:f>
      </x:c>
      <x:c r="J178" s="800" t="str">
        <x:f>IF($G178="","",$G178)</x:f>
      </x:c>
      <x:c r="K178" s="800" t="str">
        <x:f>IF($C178="","",INDEX(Taxepunkter!$C:$C,$C178)&amp;IF(INDEX(Taxepunkter!$D:$D,$C178)="","",". "&amp;INDEX(Taxepunkter!$D:$D,$C178)))</x:f>
      </x:c>
      <x:c r="L178" s="800" t="str">
        <x:f>IF($C178="","","RENH")</x:f>
      </x:c>
      <x:c r="M178" s="800" t="str">
        <x:f>IF($C178="","","HUSH")</x:f>
      </x:c>
      <x:c r="N178" s="800" t="str">
        <x:f>IF($C178="","",1)</x:f>
      </x:c>
      <x:c r="O178" s="800" t="str">
        <x:f>IF($C178="","","ÅRKV")</x:f>
      </x:c>
      <x:c r="P178" s="800" t="str">
        <x:f>IF($C178="","",TEXTJOIN(" ",TRUE,INDEX(Taxepunkter!$C:$C,$C178),INDEX(Taxepunkter!$D:$D,$C178)))</x:f>
      </x:c>
      <x:c r="Q178" s="800"/>
      <x:c r="R178" s="800"/>
      <x:c r="S178" s="800"/>
      <x:c r="T178" s="800"/>
      <x:c r="U178" s="800" t="str">
        <x:f>IF($C178="","",0)</x:f>
      </x:c>
      <x:c r="V178" s="800"/>
      <x:c r="W178" s="800" t="str">
        <x:f>IF($C178="","","-")</x:f>
      </x:c>
      <x:c r="X178" s="800" t="str">
        <x:f>IF($C178="","",1)</x:f>
      </x:c>
      <x:c r="Y178" s="885" t="str">
        <x:f>IF($C178="","","ANTB")</x:f>
      </x:c>
    </x:row>
    <x:row r="179">
      <x:c r="A179" s="884" t="str">
        <x:f>IF($C179="","",INDEX(Taxepunkter!$A:$A,$C179))</x:f>
      </x:c>
      <x:c r="B179" s="798"/>
      <x:c r="C179" s="798"/>
      <x:c r="D179" s="798" t="str">
        <x:f>IF($C179="","",TEXTJOIN(" ",TRUE,INDEX(Taxepunkter!$C:$C,$C179),INDEX(Taxepunkter!$D:$D,$C179)))</x:f>
      </x:c>
      <x:c r="E179" s="798" t="str">
        <x:f>IF($C179="","","Saknas i EDP – föreslagen ny taxa")</x:f>
      </x:c>
      <x:c r="F179" s="798" t="str">
        <x:f>IF($C179="","","Automatiserad mall: fyll Rad i Taxepunkter och FöreslagenTaxekod")</x:f>
      </x:c>
      <x:c r="G179" s="799"/>
      <x:c r="H179" s="800" t="str">
        <x:f>IF($C179="","",$C179)</x:f>
      </x:c>
      <x:c r="I179" s="800" t="str">
        <x:f>IF($C179="","",INDEX(Taxepunkter!$B:$B,$C179)&amp;" / "&amp;INDEX(Taxepunkter!$C:$C,$C179))</x:f>
      </x:c>
      <x:c r="J179" s="800" t="str">
        <x:f>IF($G179="","",$G179)</x:f>
      </x:c>
      <x:c r="K179" s="800" t="str">
        <x:f>IF($C179="","",INDEX(Taxepunkter!$C:$C,$C179)&amp;IF(INDEX(Taxepunkter!$D:$D,$C179)="","",". "&amp;INDEX(Taxepunkter!$D:$D,$C179)))</x:f>
      </x:c>
      <x:c r="L179" s="800" t="str">
        <x:f>IF($C179="","","RENH")</x:f>
      </x:c>
      <x:c r="M179" s="800" t="str">
        <x:f>IF($C179="","","HUSH")</x:f>
      </x:c>
      <x:c r="N179" s="800" t="str">
        <x:f>IF($C179="","",1)</x:f>
      </x:c>
      <x:c r="O179" s="800" t="str">
        <x:f>IF($C179="","","ÅRKV")</x:f>
      </x:c>
      <x:c r="P179" s="800" t="str">
        <x:f>IF($C179="","",TEXTJOIN(" ",TRUE,INDEX(Taxepunkter!$C:$C,$C179),INDEX(Taxepunkter!$D:$D,$C179)))</x:f>
      </x:c>
      <x:c r="Q179" s="800"/>
      <x:c r="R179" s="800"/>
      <x:c r="S179" s="800"/>
      <x:c r="T179" s="800"/>
      <x:c r="U179" s="800" t="str">
        <x:f>IF($C179="","",0)</x:f>
      </x:c>
      <x:c r="V179" s="800"/>
      <x:c r="W179" s="800" t="str">
        <x:f>IF($C179="","","-")</x:f>
      </x:c>
      <x:c r="X179" s="800" t="str">
        <x:f>IF($C179="","",1)</x:f>
      </x:c>
      <x:c r="Y179" s="885" t="str">
        <x:f>IF($C179="","","ANTB")</x:f>
      </x:c>
    </x:row>
    <x:row r="180">
      <x:c r="A180" s="884" t="str">
        <x:f>IF($C180="","",INDEX(Taxepunkter!$A:$A,$C180))</x:f>
      </x:c>
      <x:c r="B180" s="798"/>
      <x:c r="C180" s="798"/>
      <x:c r="D180" s="798" t="str">
        <x:f>IF($C180="","",TEXTJOIN(" ",TRUE,INDEX(Taxepunkter!$C:$C,$C180),INDEX(Taxepunkter!$D:$D,$C180)))</x:f>
      </x:c>
      <x:c r="E180" s="798" t="str">
        <x:f>IF($C180="","","Saknas i EDP – föreslagen ny taxa")</x:f>
      </x:c>
      <x:c r="F180" s="798" t="str">
        <x:f>IF($C180="","","Automatiserad mall: fyll Rad i Taxepunkter och FöreslagenTaxekod")</x:f>
      </x:c>
      <x:c r="G180" s="799"/>
      <x:c r="H180" s="800" t="str">
        <x:f>IF($C180="","",$C180)</x:f>
      </x:c>
      <x:c r="I180" s="800" t="str">
        <x:f>IF($C180="","",INDEX(Taxepunkter!$B:$B,$C180)&amp;" / "&amp;INDEX(Taxepunkter!$C:$C,$C180))</x:f>
      </x:c>
      <x:c r="J180" s="800" t="str">
        <x:f>IF($G180="","",$G180)</x:f>
      </x:c>
      <x:c r="K180" s="800" t="str">
        <x:f>IF($C180="","",INDEX(Taxepunkter!$C:$C,$C180)&amp;IF(INDEX(Taxepunkter!$D:$D,$C180)="","",". "&amp;INDEX(Taxepunkter!$D:$D,$C180)))</x:f>
      </x:c>
      <x:c r="L180" s="800" t="str">
        <x:f>IF($C180="","","RENH")</x:f>
      </x:c>
      <x:c r="M180" s="800" t="str">
        <x:f>IF($C180="","","HUSH")</x:f>
      </x:c>
      <x:c r="N180" s="800" t="str">
        <x:f>IF($C180="","",1)</x:f>
      </x:c>
      <x:c r="O180" s="800" t="str">
        <x:f>IF($C180="","","ÅRKV")</x:f>
      </x:c>
      <x:c r="P180" s="800" t="str">
        <x:f>IF($C180="","",TEXTJOIN(" ",TRUE,INDEX(Taxepunkter!$C:$C,$C180),INDEX(Taxepunkter!$D:$D,$C180)))</x:f>
      </x:c>
      <x:c r="Q180" s="800"/>
      <x:c r="R180" s="800"/>
      <x:c r="S180" s="800"/>
      <x:c r="T180" s="800"/>
      <x:c r="U180" s="800" t="str">
        <x:f>IF($C180="","",0)</x:f>
      </x:c>
      <x:c r="V180" s="800"/>
      <x:c r="W180" s="800" t="str">
        <x:f>IF($C180="","","-")</x:f>
      </x:c>
      <x:c r="X180" s="800" t="str">
        <x:f>IF($C180="","",1)</x:f>
      </x:c>
      <x:c r="Y180" s="885" t="str">
        <x:f>IF($C180="","","ANTB")</x:f>
      </x:c>
    </x:row>
    <x:row r="181">
      <x:c r="A181" s="884" t="str">
        <x:f>IF($C181="","",INDEX(Taxepunkter!$A:$A,$C181))</x:f>
      </x:c>
      <x:c r="B181" s="798"/>
      <x:c r="C181" s="798"/>
      <x:c r="D181" s="798" t="str">
        <x:f>IF($C181="","",TEXTJOIN(" ",TRUE,INDEX(Taxepunkter!$C:$C,$C181),INDEX(Taxepunkter!$D:$D,$C181)))</x:f>
      </x:c>
      <x:c r="E181" s="798" t="str">
        <x:f>IF($C181="","","Saknas i EDP – föreslagen ny taxa")</x:f>
      </x:c>
      <x:c r="F181" s="798" t="str">
        <x:f>IF($C181="","","Automatiserad mall: fyll Rad i Taxepunkter och FöreslagenTaxekod")</x:f>
      </x:c>
      <x:c r="G181" s="799"/>
      <x:c r="H181" s="800" t="str">
        <x:f>IF($C181="","",$C181)</x:f>
      </x:c>
      <x:c r="I181" s="800" t="str">
        <x:f>IF($C181="","",INDEX(Taxepunkter!$B:$B,$C181)&amp;" / "&amp;INDEX(Taxepunkter!$C:$C,$C181))</x:f>
      </x:c>
      <x:c r="J181" s="800" t="str">
        <x:f>IF($G181="","",$G181)</x:f>
      </x:c>
      <x:c r="K181" s="800" t="str">
        <x:f>IF($C181="","",INDEX(Taxepunkter!$C:$C,$C181)&amp;IF(INDEX(Taxepunkter!$D:$D,$C181)="","",". "&amp;INDEX(Taxepunkter!$D:$D,$C181)))</x:f>
      </x:c>
      <x:c r="L181" s="800" t="str">
        <x:f>IF($C181="","","RENH")</x:f>
      </x:c>
      <x:c r="M181" s="800" t="str">
        <x:f>IF($C181="","","HUSH")</x:f>
      </x:c>
      <x:c r="N181" s="800" t="str">
        <x:f>IF($C181="","",1)</x:f>
      </x:c>
      <x:c r="O181" s="800" t="str">
        <x:f>IF($C181="","","ÅRKV")</x:f>
      </x:c>
      <x:c r="P181" s="800" t="str">
        <x:f>IF($C181="","",TEXTJOIN(" ",TRUE,INDEX(Taxepunkter!$C:$C,$C181),INDEX(Taxepunkter!$D:$D,$C181)))</x:f>
      </x:c>
      <x:c r="Q181" s="800"/>
      <x:c r="R181" s="800"/>
      <x:c r="S181" s="800"/>
      <x:c r="T181" s="800"/>
      <x:c r="U181" s="800" t="str">
        <x:f>IF($C181="","",0)</x:f>
      </x:c>
      <x:c r="V181" s="800"/>
      <x:c r="W181" s="800" t="str">
        <x:f>IF($C181="","","-")</x:f>
      </x:c>
      <x:c r="X181" s="800" t="str">
        <x:f>IF($C181="","",1)</x:f>
      </x:c>
      <x:c r="Y181" s="885" t="str">
        <x:f>IF($C181="","","ANTB")</x:f>
      </x:c>
    </x:row>
    <x:row r="182">
      <x:c r="A182" s="884" t="str">
        <x:f>IF($C182="","",INDEX(Taxepunkter!$A:$A,$C182))</x:f>
      </x:c>
      <x:c r="B182" s="798"/>
      <x:c r="C182" s="798"/>
      <x:c r="D182" s="798" t="str">
        <x:f>IF($C182="","",TEXTJOIN(" ",TRUE,INDEX(Taxepunkter!$C:$C,$C182),INDEX(Taxepunkter!$D:$D,$C182)))</x:f>
      </x:c>
      <x:c r="E182" s="798" t="str">
        <x:f>IF($C182="","","Saknas i EDP – föreslagen ny taxa")</x:f>
      </x:c>
      <x:c r="F182" s="798" t="str">
        <x:f>IF($C182="","","Automatiserad mall: fyll Rad i Taxepunkter och FöreslagenTaxekod")</x:f>
      </x:c>
      <x:c r="G182" s="799"/>
      <x:c r="H182" s="800" t="str">
        <x:f>IF($C182="","",$C182)</x:f>
      </x:c>
      <x:c r="I182" s="800" t="str">
        <x:f>IF($C182="","",INDEX(Taxepunkter!$B:$B,$C182)&amp;" / "&amp;INDEX(Taxepunkter!$C:$C,$C182))</x:f>
      </x:c>
      <x:c r="J182" s="800" t="str">
        <x:f>IF($G182="","",$G182)</x:f>
      </x:c>
      <x:c r="K182" s="800" t="str">
        <x:f>IF($C182="","",INDEX(Taxepunkter!$C:$C,$C182)&amp;IF(INDEX(Taxepunkter!$D:$D,$C182)="","",". "&amp;INDEX(Taxepunkter!$D:$D,$C182)))</x:f>
      </x:c>
      <x:c r="L182" s="800" t="str">
        <x:f>IF($C182="","","RENH")</x:f>
      </x:c>
      <x:c r="M182" s="800" t="str">
        <x:f>IF($C182="","","HUSH")</x:f>
      </x:c>
      <x:c r="N182" s="800" t="str">
        <x:f>IF($C182="","",1)</x:f>
      </x:c>
      <x:c r="O182" s="800" t="str">
        <x:f>IF($C182="","","ÅRKV")</x:f>
      </x:c>
      <x:c r="P182" s="800" t="str">
        <x:f>IF($C182="","",TEXTJOIN(" ",TRUE,INDEX(Taxepunkter!$C:$C,$C182),INDEX(Taxepunkter!$D:$D,$C182)))</x:f>
      </x:c>
      <x:c r="Q182" s="800"/>
      <x:c r="R182" s="800"/>
      <x:c r="S182" s="800"/>
      <x:c r="T182" s="800"/>
      <x:c r="U182" s="800" t="str">
        <x:f>IF($C182="","",0)</x:f>
      </x:c>
      <x:c r="V182" s="800"/>
      <x:c r="W182" s="800" t="str">
        <x:f>IF($C182="","","-")</x:f>
      </x:c>
      <x:c r="X182" s="800" t="str">
        <x:f>IF($C182="","",1)</x:f>
      </x:c>
      <x:c r="Y182" s="885" t="str">
        <x:f>IF($C182="","","ANTB")</x:f>
      </x:c>
    </x:row>
    <x:row r="183">
      <x:c r="A183" s="884" t="str">
        <x:f>IF($C183="","",INDEX(Taxepunkter!$A:$A,$C183))</x:f>
      </x:c>
      <x:c r="B183" s="798"/>
      <x:c r="C183" s="798"/>
      <x:c r="D183" s="798" t="str">
        <x:f>IF($C183="","",TEXTJOIN(" ",TRUE,INDEX(Taxepunkter!$C:$C,$C183),INDEX(Taxepunkter!$D:$D,$C183)))</x:f>
      </x:c>
      <x:c r="E183" s="798" t="str">
        <x:f>IF($C183="","","Saknas i EDP – föreslagen ny taxa")</x:f>
      </x:c>
      <x:c r="F183" s="798" t="str">
        <x:f>IF($C183="","","Automatiserad mall: fyll Rad i Taxepunkter och FöreslagenTaxekod")</x:f>
      </x:c>
      <x:c r="G183" s="799"/>
      <x:c r="H183" s="800" t="str">
        <x:f>IF($C183="","",$C183)</x:f>
      </x:c>
      <x:c r="I183" s="800" t="str">
        <x:f>IF($C183="","",INDEX(Taxepunkter!$B:$B,$C183)&amp;" / "&amp;INDEX(Taxepunkter!$C:$C,$C183))</x:f>
      </x:c>
      <x:c r="J183" s="800" t="str">
        <x:f>IF($G183="","",$G183)</x:f>
      </x:c>
      <x:c r="K183" s="800" t="str">
        <x:f>IF($C183="","",INDEX(Taxepunkter!$C:$C,$C183)&amp;IF(INDEX(Taxepunkter!$D:$D,$C183)="","",". "&amp;INDEX(Taxepunkter!$D:$D,$C183)))</x:f>
      </x:c>
      <x:c r="L183" s="800" t="str">
        <x:f>IF($C183="","","RENH")</x:f>
      </x:c>
      <x:c r="M183" s="800" t="str">
        <x:f>IF($C183="","","HUSH")</x:f>
      </x:c>
      <x:c r="N183" s="800" t="str">
        <x:f>IF($C183="","",1)</x:f>
      </x:c>
      <x:c r="O183" s="800" t="str">
        <x:f>IF($C183="","","ÅRKV")</x:f>
      </x:c>
      <x:c r="P183" s="800" t="str">
        <x:f>IF($C183="","",TEXTJOIN(" ",TRUE,INDEX(Taxepunkter!$C:$C,$C183),INDEX(Taxepunkter!$D:$D,$C183)))</x:f>
      </x:c>
      <x:c r="Q183" s="800"/>
      <x:c r="R183" s="800"/>
      <x:c r="S183" s="800"/>
      <x:c r="T183" s="800"/>
      <x:c r="U183" s="800" t="str">
        <x:f>IF($C183="","",0)</x:f>
      </x:c>
      <x:c r="V183" s="800"/>
      <x:c r="W183" s="800" t="str">
        <x:f>IF($C183="","","-")</x:f>
      </x:c>
      <x:c r="X183" s="800" t="str">
        <x:f>IF($C183="","",1)</x:f>
      </x:c>
      <x:c r="Y183" s="885" t="str">
        <x:f>IF($C183="","","ANTB")</x:f>
      </x:c>
    </x:row>
    <x:row r="184">
      <x:c r="A184" s="884" t="str">
        <x:f>IF($C184="","",INDEX(Taxepunkter!$A:$A,$C184))</x:f>
      </x:c>
      <x:c r="B184" s="798"/>
      <x:c r="C184" s="798"/>
      <x:c r="D184" s="798" t="str">
        <x:f>IF($C184="","",TEXTJOIN(" ",TRUE,INDEX(Taxepunkter!$C:$C,$C184),INDEX(Taxepunkter!$D:$D,$C184)))</x:f>
      </x:c>
      <x:c r="E184" s="798" t="str">
        <x:f>IF($C184="","","Saknas i EDP – föreslagen ny taxa")</x:f>
      </x:c>
      <x:c r="F184" s="798" t="str">
        <x:f>IF($C184="","","Automatiserad mall: fyll Rad i Taxepunkter och FöreslagenTaxekod")</x:f>
      </x:c>
      <x:c r="G184" s="799"/>
      <x:c r="H184" s="800" t="str">
        <x:f>IF($C184="","",$C184)</x:f>
      </x:c>
      <x:c r="I184" s="800" t="str">
        <x:f>IF($C184="","",INDEX(Taxepunkter!$B:$B,$C184)&amp;" / "&amp;INDEX(Taxepunkter!$C:$C,$C184))</x:f>
      </x:c>
      <x:c r="J184" s="800" t="str">
        <x:f>IF($G184="","",$G184)</x:f>
      </x:c>
      <x:c r="K184" s="800" t="str">
        <x:f>IF($C184="","",INDEX(Taxepunkter!$C:$C,$C184)&amp;IF(INDEX(Taxepunkter!$D:$D,$C184)="","",". "&amp;INDEX(Taxepunkter!$D:$D,$C184)))</x:f>
      </x:c>
      <x:c r="L184" s="800" t="str">
        <x:f>IF($C184="","","RENH")</x:f>
      </x:c>
      <x:c r="M184" s="800" t="str">
        <x:f>IF($C184="","","HUSH")</x:f>
      </x:c>
      <x:c r="N184" s="800" t="str">
        <x:f>IF($C184="","",1)</x:f>
      </x:c>
      <x:c r="O184" s="800" t="str">
        <x:f>IF($C184="","","ÅRKV")</x:f>
      </x:c>
      <x:c r="P184" s="800" t="str">
        <x:f>IF($C184="","",TEXTJOIN(" ",TRUE,INDEX(Taxepunkter!$C:$C,$C184),INDEX(Taxepunkter!$D:$D,$C184)))</x:f>
      </x:c>
      <x:c r="Q184" s="800"/>
      <x:c r="R184" s="800"/>
      <x:c r="S184" s="800"/>
      <x:c r="T184" s="800"/>
      <x:c r="U184" s="800" t="str">
        <x:f>IF($C184="","",0)</x:f>
      </x:c>
      <x:c r="V184" s="800"/>
      <x:c r="W184" s="800" t="str">
        <x:f>IF($C184="","","-")</x:f>
      </x:c>
      <x:c r="X184" s="800" t="str">
        <x:f>IF($C184="","",1)</x:f>
      </x:c>
      <x:c r="Y184" s="885" t="str">
        <x:f>IF($C184="","","ANTB")</x:f>
      </x:c>
    </x:row>
    <x:row r="185">
      <x:c r="A185" s="884" t="str">
        <x:f>IF($C185="","",INDEX(Taxepunkter!$A:$A,$C185))</x:f>
      </x:c>
      <x:c r="B185" s="798"/>
      <x:c r="C185" s="798"/>
      <x:c r="D185" s="798" t="str">
        <x:f>IF($C185="","",TEXTJOIN(" ",TRUE,INDEX(Taxepunkter!$C:$C,$C185),INDEX(Taxepunkter!$D:$D,$C185)))</x:f>
      </x:c>
      <x:c r="E185" s="798" t="str">
        <x:f>IF($C185="","","Saknas i EDP – föreslagen ny taxa")</x:f>
      </x:c>
      <x:c r="F185" s="798" t="str">
        <x:f>IF($C185="","","Automatiserad mall: fyll Rad i Taxepunkter och FöreslagenTaxekod")</x:f>
      </x:c>
      <x:c r="G185" s="799"/>
      <x:c r="H185" s="800" t="str">
        <x:f>IF($C185="","",$C185)</x:f>
      </x:c>
      <x:c r="I185" s="800" t="str">
        <x:f>IF($C185="","",INDEX(Taxepunkter!$B:$B,$C185)&amp;" / "&amp;INDEX(Taxepunkter!$C:$C,$C185))</x:f>
      </x:c>
      <x:c r="J185" s="800" t="str">
        <x:f>IF($G185="","",$G185)</x:f>
      </x:c>
      <x:c r="K185" s="800" t="str">
        <x:f>IF($C185="","",INDEX(Taxepunkter!$C:$C,$C185)&amp;IF(INDEX(Taxepunkter!$D:$D,$C185)="","",". "&amp;INDEX(Taxepunkter!$D:$D,$C185)))</x:f>
      </x:c>
      <x:c r="L185" s="800" t="str">
        <x:f>IF($C185="","","RENH")</x:f>
      </x:c>
      <x:c r="M185" s="800" t="str">
        <x:f>IF($C185="","","HUSH")</x:f>
      </x:c>
      <x:c r="N185" s="800" t="str">
        <x:f>IF($C185="","",1)</x:f>
      </x:c>
      <x:c r="O185" s="800" t="str">
        <x:f>IF($C185="","","ÅRKV")</x:f>
      </x:c>
      <x:c r="P185" s="800" t="str">
        <x:f>IF($C185="","",TEXTJOIN(" ",TRUE,INDEX(Taxepunkter!$C:$C,$C185),INDEX(Taxepunkter!$D:$D,$C185)))</x:f>
      </x:c>
      <x:c r="Q185" s="800"/>
      <x:c r="R185" s="800"/>
      <x:c r="S185" s="800"/>
      <x:c r="T185" s="800"/>
      <x:c r="U185" s="800" t="str">
        <x:f>IF($C185="","",0)</x:f>
      </x:c>
      <x:c r="V185" s="800"/>
      <x:c r="W185" s="800" t="str">
        <x:f>IF($C185="","","-")</x:f>
      </x:c>
      <x:c r="X185" s="800" t="str">
        <x:f>IF($C185="","",1)</x:f>
      </x:c>
      <x:c r="Y185" s="885" t="str">
        <x:f>IF($C185="","","ANTB")</x:f>
      </x:c>
    </x:row>
    <x:row r="186">
      <x:c r="A186" s="884" t="str">
        <x:f>IF($C186="","",INDEX(Taxepunkter!$A:$A,$C186))</x:f>
      </x:c>
      <x:c r="B186" s="798"/>
      <x:c r="C186" s="798"/>
      <x:c r="D186" s="798" t="str">
        <x:f>IF($C186="","",TEXTJOIN(" ",TRUE,INDEX(Taxepunkter!$C:$C,$C186),INDEX(Taxepunkter!$D:$D,$C186)))</x:f>
      </x:c>
      <x:c r="E186" s="798" t="str">
        <x:f>IF($C186="","","Saknas i EDP – föreslagen ny taxa")</x:f>
      </x:c>
      <x:c r="F186" s="798" t="str">
        <x:f>IF($C186="","","Automatiserad mall: fyll Rad i Taxepunkter och FöreslagenTaxekod")</x:f>
      </x:c>
      <x:c r="G186" s="799"/>
      <x:c r="H186" s="800" t="str">
        <x:f>IF($C186="","",$C186)</x:f>
      </x:c>
      <x:c r="I186" s="800" t="str">
        <x:f>IF($C186="","",INDEX(Taxepunkter!$B:$B,$C186)&amp;" / "&amp;INDEX(Taxepunkter!$C:$C,$C186))</x:f>
      </x:c>
      <x:c r="J186" s="800" t="str">
        <x:f>IF($G186="","",$G186)</x:f>
      </x:c>
      <x:c r="K186" s="800" t="str">
        <x:f>IF($C186="","",INDEX(Taxepunkter!$C:$C,$C186)&amp;IF(INDEX(Taxepunkter!$D:$D,$C186)="","",". "&amp;INDEX(Taxepunkter!$D:$D,$C186)))</x:f>
      </x:c>
      <x:c r="L186" s="800" t="str">
        <x:f>IF($C186="","","RENH")</x:f>
      </x:c>
      <x:c r="M186" s="800" t="str">
        <x:f>IF($C186="","","HUSH")</x:f>
      </x:c>
      <x:c r="N186" s="800" t="str">
        <x:f>IF($C186="","",1)</x:f>
      </x:c>
      <x:c r="O186" s="800" t="str">
        <x:f>IF($C186="","","ÅRKV")</x:f>
      </x:c>
      <x:c r="P186" s="800" t="str">
        <x:f>IF($C186="","",TEXTJOIN(" ",TRUE,INDEX(Taxepunkter!$C:$C,$C186),INDEX(Taxepunkter!$D:$D,$C186)))</x:f>
      </x:c>
      <x:c r="Q186" s="800"/>
      <x:c r="R186" s="800"/>
      <x:c r="S186" s="800"/>
      <x:c r="T186" s="800"/>
      <x:c r="U186" s="800" t="str">
        <x:f>IF($C186="","",0)</x:f>
      </x:c>
      <x:c r="V186" s="800"/>
      <x:c r="W186" s="800" t="str">
        <x:f>IF($C186="","","-")</x:f>
      </x:c>
      <x:c r="X186" s="800" t="str">
        <x:f>IF($C186="","",1)</x:f>
      </x:c>
      <x:c r="Y186" s="885" t="str">
        <x:f>IF($C186="","","ANTB")</x:f>
      </x:c>
    </x:row>
    <x:row r="187">
      <x:c r="A187" s="884" t="str">
        <x:f>IF($C187="","",INDEX(Taxepunkter!$A:$A,$C187))</x:f>
      </x:c>
      <x:c r="B187" s="798"/>
      <x:c r="C187" s="798"/>
      <x:c r="D187" s="798" t="str">
        <x:f>IF($C187="","",TEXTJOIN(" ",TRUE,INDEX(Taxepunkter!$C:$C,$C187),INDEX(Taxepunkter!$D:$D,$C187)))</x:f>
      </x:c>
      <x:c r="E187" s="798" t="str">
        <x:f>IF($C187="","","Saknas i EDP – föreslagen ny taxa")</x:f>
      </x:c>
      <x:c r="F187" s="798" t="str">
        <x:f>IF($C187="","","Automatiserad mall: fyll Rad i Taxepunkter och FöreslagenTaxekod")</x:f>
      </x:c>
      <x:c r="G187" s="799"/>
      <x:c r="H187" s="800" t="str">
        <x:f>IF($C187="","",$C187)</x:f>
      </x:c>
      <x:c r="I187" s="800" t="str">
        <x:f>IF($C187="","",INDEX(Taxepunkter!$B:$B,$C187)&amp;" / "&amp;INDEX(Taxepunkter!$C:$C,$C187))</x:f>
      </x:c>
      <x:c r="J187" s="800" t="str">
        <x:f>IF($G187="","",$G187)</x:f>
      </x:c>
      <x:c r="K187" s="800" t="str">
        <x:f>IF($C187="","",INDEX(Taxepunkter!$C:$C,$C187)&amp;IF(INDEX(Taxepunkter!$D:$D,$C187)="","",". "&amp;INDEX(Taxepunkter!$D:$D,$C187)))</x:f>
      </x:c>
      <x:c r="L187" s="800" t="str">
        <x:f>IF($C187="","","RENH")</x:f>
      </x:c>
      <x:c r="M187" s="800" t="str">
        <x:f>IF($C187="","","HUSH")</x:f>
      </x:c>
      <x:c r="N187" s="800" t="str">
        <x:f>IF($C187="","",1)</x:f>
      </x:c>
      <x:c r="O187" s="800" t="str">
        <x:f>IF($C187="","","ÅRKV")</x:f>
      </x:c>
      <x:c r="P187" s="800" t="str">
        <x:f>IF($C187="","",TEXTJOIN(" ",TRUE,INDEX(Taxepunkter!$C:$C,$C187),INDEX(Taxepunkter!$D:$D,$C187)))</x:f>
      </x:c>
      <x:c r="Q187" s="800"/>
      <x:c r="R187" s="800"/>
      <x:c r="S187" s="800"/>
      <x:c r="T187" s="800"/>
      <x:c r="U187" s="800" t="str">
        <x:f>IF($C187="","",0)</x:f>
      </x:c>
      <x:c r="V187" s="800"/>
      <x:c r="W187" s="800" t="str">
        <x:f>IF($C187="","","-")</x:f>
      </x:c>
      <x:c r="X187" s="800" t="str">
        <x:f>IF($C187="","",1)</x:f>
      </x:c>
      <x:c r="Y187" s="885" t="str">
        <x:f>IF($C187="","","ANTB")</x:f>
      </x:c>
    </x:row>
    <x:row r="188">
      <x:c r="A188" s="884" t="str">
        <x:f>IF($C188="","",INDEX(Taxepunkter!$A:$A,$C188))</x:f>
      </x:c>
      <x:c r="B188" s="798"/>
      <x:c r="C188" s="798"/>
      <x:c r="D188" s="798" t="str">
        <x:f>IF($C188="","",TEXTJOIN(" ",TRUE,INDEX(Taxepunkter!$C:$C,$C188),INDEX(Taxepunkter!$D:$D,$C188)))</x:f>
      </x:c>
      <x:c r="E188" s="798" t="str">
        <x:f>IF($C188="","","Saknas i EDP – föreslagen ny taxa")</x:f>
      </x:c>
      <x:c r="F188" s="798" t="str">
        <x:f>IF($C188="","","Automatiserad mall: fyll Rad i Taxepunkter och FöreslagenTaxekod")</x:f>
      </x:c>
      <x:c r="G188" s="799"/>
      <x:c r="H188" s="800" t="str">
        <x:f>IF($C188="","",$C188)</x:f>
      </x:c>
      <x:c r="I188" s="800" t="str">
        <x:f>IF($C188="","",INDEX(Taxepunkter!$B:$B,$C188)&amp;" / "&amp;INDEX(Taxepunkter!$C:$C,$C188))</x:f>
      </x:c>
      <x:c r="J188" s="800" t="str">
        <x:f>IF($G188="","",$G188)</x:f>
      </x:c>
      <x:c r="K188" s="800" t="str">
        <x:f>IF($C188="","",INDEX(Taxepunkter!$C:$C,$C188)&amp;IF(INDEX(Taxepunkter!$D:$D,$C188)="","",". "&amp;INDEX(Taxepunkter!$D:$D,$C188)))</x:f>
      </x:c>
      <x:c r="L188" s="800" t="str">
        <x:f>IF($C188="","","RENH")</x:f>
      </x:c>
      <x:c r="M188" s="800" t="str">
        <x:f>IF($C188="","","HUSH")</x:f>
      </x:c>
      <x:c r="N188" s="800" t="str">
        <x:f>IF($C188="","",1)</x:f>
      </x:c>
      <x:c r="O188" s="800" t="str">
        <x:f>IF($C188="","","ÅRKV")</x:f>
      </x:c>
      <x:c r="P188" s="800" t="str">
        <x:f>IF($C188="","",TEXTJOIN(" ",TRUE,INDEX(Taxepunkter!$C:$C,$C188),INDEX(Taxepunkter!$D:$D,$C188)))</x:f>
      </x:c>
      <x:c r="Q188" s="800"/>
      <x:c r="R188" s="800"/>
      <x:c r="S188" s="800"/>
      <x:c r="T188" s="800"/>
      <x:c r="U188" s="800" t="str">
        <x:f>IF($C188="","",0)</x:f>
      </x:c>
      <x:c r="V188" s="800"/>
      <x:c r="W188" s="800" t="str">
        <x:f>IF($C188="","","-")</x:f>
      </x:c>
      <x:c r="X188" s="800" t="str">
        <x:f>IF($C188="","",1)</x:f>
      </x:c>
      <x:c r="Y188" s="885" t="str">
        <x:f>IF($C188="","","ANTB")</x:f>
      </x:c>
    </x:row>
    <x:row r="189">
      <x:c r="A189" s="884" t="str">
        <x:f>IF($C189="","",INDEX(Taxepunkter!$A:$A,$C189))</x:f>
      </x:c>
      <x:c r="B189" s="798"/>
      <x:c r="C189" s="798"/>
      <x:c r="D189" s="798" t="str">
        <x:f>IF($C189="","",TEXTJOIN(" ",TRUE,INDEX(Taxepunkter!$C:$C,$C189),INDEX(Taxepunkter!$D:$D,$C189)))</x:f>
      </x:c>
      <x:c r="E189" s="798" t="str">
        <x:f>IF($C189="","","Saknas i EDP – föreslagen ny taxa")</x:f>
      </x:c>
      <x:c r="F189" s="798" t="str">
        <x:f>IF($C189="","","Automatiserad mall: fyll Rad i Taxepunkter och FöreslagenTaxekod")</x:f>
      </x:c>
      <x:c r="G189" s="799"/>
      <x:c r="H189" s="800" t="str">
        <x:f>IF($C189="","",$C189)</x:f>
      </x:c>
      <x:c r="I189" s="800" t="str">
        <x:f>IF($C189="","",INDEX(Taxepunkter!$B:$B,$C189)&amp;" / "&amp;INDEX(Taxepunkter!$C:$C,$C189))</x:f>
      </x:c>
      <x:c r="J189" s="800" t="str">
        <x:f>IF($G189="","",$G189)</x:f>
      </x:c>
      <x:c r="K189" s="800" t="str">
        <x:f>IF($C189="","",INDEX(Taxepunkter!$C:$C,$C189)&amp;IF(INDEX(Taxepunkter!$D:$D,$C189)="","",". "&amp;INDEX(Taxepunkter!$D:$D,$C189)))</x:f>
      </x:c>
      <x:c r="L189" s="800" t="str">
        <x:f>IF($C189="","","RENH")</x:f>
      </x:c>
      <x:c r="M189" s="800" t="str">
        <x:f>IF($C189="","","HUSH")</x:f>
      </x:c>
      <x:c r="N189" s="800" t="str">
        <x:f>IF($C189="","",1)</x:f>
      </x:c>
      <x:c r="O189" s="800" t="str">
        <x:f>IF($C189="","","ÅRKV")</x:f>
      </x:c>
      <x:c r="P189" s="800" t="str">
        <x:f>IF($C189="","",TEXTJOIN(" ",TRUE,INDEX(Taxepunkter!$C:$C,$C189),INDEX(Taxepunkter!$D:$D,$C189)))</x:f>
      </x:c>
      <x:c r="Q189" s="800"/>
      <x:c r="R189" s="800"/>
      <x:c r="S189" s="800"/>
      <x:c r="T189" s="800"/>
      <x:c r="U189" s="800" t="str">
        <x:f>IF($C189="","",0)</x:f>
      </x:c>
      <x:c r="V189" s="800"/>
      <x:c r="W189" s="800" t="str">
        <x:f>IF($C189="","","-")</x:f>
      </x:c>
      <x:c r="X189" s="800" t="str">
        <x:f>IF($C189="","",1)</x:f>
      </x:c>
      <x:c r="Y189" s="885" t="str">
        <x:f>IF($C189="","","ANTB")</x:f>
      </x:c>
    </x:row>
    <x:row r="190">
      <x:c r="A190" s="884" t="str">
        <x:f>IF($C190="","",INDEX(Taxepunkter!$A:$A,$C190))</x:f>
      </x:c>
      <x:c r="B190" s="798"/>
      <x:c r="C190" s="798"/>
      <x:c r="D190" s="798" t="str">
        <x:f>IF($C190="","",TEXTJOIN(" ",TRUE,INDEX(Taxepunkter!$C:$C,$C190),INDEX(Taxepunkter!$D:$D,$C190)))</x:f>
      </x:c>
      <x:c r="E190" s="798" t="str">
        <x:f>IF($C190="","","Saknas i EDP – föreslagen ny taxa")</x:f>
      </x:c>
      <x:c r="F190" s="798" t="str">
        <x:f>IF($C190="","","Automatiserad mall: fyll Rad i Taxepunkter och FöreslagenTaxekod")</x:f>
      </x:c>
      <x:c r="G190" s="799"/>
      <x:c r="H190" s="800" t="str">
        <x:f>IF($C190="","",$C190)</x:f>
      </x:c>
      <x:c r="I190" s="800" t="str">
        <x:f>IF($C190="","",INDEX(Taxepunkter!$B:$B,$C190)&amp;" / "&amp;INDEX(Taxepunkter!$C:$C,$C190))</x:f>
      </x:c>
      <x:c r="J190" s="800" t="str">
        <x:f>IF($G190="","",$G190)</x:f>
      </x:c>
      <x:c r="K190" s="800" t="str">
        <x:f>IF($C190="","",INDEX(Taxepunkter!$C:$C,$C190)&amp;IF(INDEX(Taxepunkter!$D:$D,$C190)="","",". "&amp;INDEX(Taxepunkter!$D:$D,$C190)))</x:f>
      </x:c>
      <x:c r="L190" s="800" t="str">
        <x:f>IF($C190="","","RENH")</x:f>
      </x:c>
      <x:c r="M190" s="800" t="str">
        <x:f>IF($C190="","","HUSH")</x:f>
      </x:c>
      <x:c r="N190" s="800" t="str">
        <x:f>IF($C190="","",1)</x:f>
      </x:c>
      <x:c r="O190" s="800" t="str">
        <x:f>IF($C190="","","ÅRKV")</x:f>
      </x:c>
      <x:c r="P190" s="800" t="str">
        <x:f>IF($C190="","",TEXTJOIN(" ",TRUE,INDEX(Taxepunkter!$C:$C,$C190),INDEX(Taxepunkter!$D:$D,$C190)))</x:f>
      </x:c>
      <x:c r="Q190" s="800"/>
      <x:c r="R190" s="800"/>
      <x:c r="S190" s="800"/>
      <x:c r="T190" s="800"/>
      <x:c r="U190" s="800" t="str">
        <x:f>IF($C190="","",0)</x:f>
      </x:c>
      <x:c r="V190" s="800"/>
      <x:c r="W190" s="800" t="str">
        <x:f>IF($C190="","","-")</x:f>
      </x:c>
      <x:c r="X190" s="800" t="str">
        <x:f>IF($C190="","",1)</x:f>
      </x:c>
      <x:c r="Y190" s="885" t="str">
        <x:f>IF($C190="","","ANTB")</x:f>
      </x:c>
    </x:row>
    <x:row r="191">
      <x:c r="A191" s="884" t="str">
        <x:f>IF($C191="","",INDEX(Taxepunkter!$A:$A,$C191))</x:f>
      </x:c>
      <x:c r="B191" s="798"/>
      <x:c r="C191" s="798"/>
      <x:c r="D191" s="798" t="str">
        <x:f>IF($C191="","",TEXTJOIN(" ",TRUE,INDEX(Taxepunkter!$C:$C,$C191),INDEX(Taxepunkter!$D:$D,$C191)))</x:f>
      </x:c>
      <x:c r="E191" s="798" t="str">
        <x:f>IF($C191="","","Saknas i EDP – föreslagen ny taxa")</x:f>
      </x:c>
      <x:c r="F191" s="798" t="str">
        <x:f>IF($C191="","","Automatiserad mall: fyll Rad i Taxepunkter och FöreslagenTaxekod")</x:f>
      </x:c>
      <x:c r="G191" s="799"/>
      <x:c r="H191" s="800" t="str">
        <x:f>IF($C191="","",$C191)</x:f>
      </x:c>
      <x:c r="I191" s="800" t="str">
        <x:f>IF($C191="","",INDEX(Taxepunkter!$B:$B,$C191)&amp;" / "&amp;INDEX(Taxepunkter!$C:$C,$C191))</x:f>
      </x:c>
      <x:c r="J191" s="800" t="str">
        <x:f>IF($G191="","",$G191)</x:f>
      </x:c>
      <x:c r="K191" s="800" t="str">
        <x:f>IF($C191="","",INDEX(Taxepunkter!$C:$C,$C191)&amp;IF(INDEX(Taxepunkter!$D:$D,$C191)="","",". "&amp;INDEX(Taxepunkter!$D:$D,$C191)))</x:f>
      </x:c>
      <x:c r="L191" s="800" t="str">
        <x:f>IF($C191="","","RENH")</x:f>
      </x:c>
      <x:c r="M191" s="800" t="str">
        <x:f>IF($C191="","","HUSH")</x:f>
      </x:c>
      <x:c r="N191" s="800" t="str">
        <x:f>IF($C191="","",1)</x:f>
      </x:c>
      <x:c r="O191" s="800" t="str">
        <x:f>IF($C191="","","ÅRKV")</x:f>
      </x:c>
      <x:c r="P191" s="800" t="str">
        <x:f>IF($C191="","",TEXTJOIN(" ",TRUE,INDEX(Taxepunkter!$C:$C,$C191),INDEX(Taxepunkter!$D:$D,$C191)))</x:f>
      </x:c>
      <x:c r="Q191" s="800"/>
      <x:c r="R191" s="800"/>
      <x:c r="S191" s="800"/>
      <x:c r="T191" s="800"/>
      <x:c r="U191" s="800" t="str">
        <x:f>IF($C191="","",0)</x:f>
      </x:c>
      <x:c r="V191" s="800"/>
      <x:c r="W191" s="800" t="str">
        <x:f>IF($C191="","","-")</x:f>
      </x:c>
      <x:c r="X191" s="800" t="str">
        <x:f>IF($C191="","",1)</x:f>
      </x:c>
      <x:c r="Y191" s="885" t="str">
        <x:f>IF($C191="","","ANTB")</x:f>
      </x:c>
    </x:row>
    <x:row r="192">
      <x:c r="A192" s="884" t="str">
        <x:f>IF($C192="","",INDEX(Taxepunkter!$A:$A,$C192))</x:f>
      </x:c>
      <x:c r="B192" s="798"/>
      <x:c r="C192" s="798"/>
      <x:c r="D192" s="798" t="str">
        <x:f>IF($C192="","",TEXTJOIN(" ",TRUE,INDEX(Taxepunkter!$C:$C,$C192),INDEX(Taxepunkter!$D:$D,$C192)))</x:f>
      </x:c>
      <x:c r="E192" s="798" t="str">
        <x:f>IF($C192="","","Saknas i EDP – föreslagen ny taxa")</x:f>
      </x:c>
      <x:c r="F192" s="798" t="str">
        <x:f>IF($C192="","","Automatiserad mall: fyll Rad i Taxepunkter och FöreslagenTaxekod")</x:f>
      </x:c>
      <x:c r="G192" s="799"/>
      <x:c r="H192" s="800" t="str">
        <x:f>IF($C192="","",$C192)</x:f>
      </x:c>
      <x:c r="I192" s="800" t="str">
        <x:f>IF($C192="","",INDEX(Taxepunkter!$B:$B,$C192)&amp;" / "&amp;INDEX(Taxepunkter!$C:$C,$C192))</x:f>
      </x:c>
      <x:c r="J192" s="800" t="str">
        <x:f>IF($G192="","",$G192)</x:f>
      </x:c>
      <x:c r="K192" s="800" t="str">
        <x:f>IF($C192="","",INDEX(Taxepunkter!$C:$C,$C192)&amp;IF(INDEX(Taxepunkter!$D:$D,$C192)="","",". "&amp;INDEX(Taxepunkter!$D:$D,$C192)))</x:f>
      </x:c>
      <x:c r="L192" s="800" t="str">
        <x:f>IF($C192="","","RENH")</x:f>
      </x:c>
      <x:c r="M192" s="800" t="str">
        <x:f>IF($C192="","","HUSH")</x:f>
      </x:c>
      <x:c r="N192" s="800" t="str">
        <x:f>IF($C192="","",1)</x:f>
      </x:c>
      <x:c r="O192" s="800" t="str">
        <x:f>IF($C192="","","ÅRKV")</x:f>
      </x:c>
      <x:c r="P192" s="800" t="str">
        <x:f>IF($C192="","",TEXTJOIN(" ",TRUE,INDEX(Taxepunkter!$C:$C,$C192),INDEX(Taxepunkter!$D:$D,$C192)))</x:f>
      </x:c>
      <x:c r="Q192" s="800"/>
      <x:c r="R192" s="800"/>
      <x:c r="S192" s="800"/>
      <x:c r="T192" s="800"/>
      <x:c r="U192" s="800" t="str">
        <x:f>IF($C192="","",0)</x:f>
      </x:c>
      <x:c r="V192" s="800"/>
      <x:c r="W192" s="800" t="str">
        <x:f>IF($C192="","","-")</x:f>
      </x:c>
      <x:c r="X192" s="800" t="str">
        <x:f>IF($C192="","",1)</x:f>
      </x:c>
      <x:c r="Y192" s="885" t="str">
        <x:f>IF($C192="","","ANTB")</x:f>
      </x:c>
    </x:row>
    <x:row r="193">
      <x:c r="A193" s="884" t="str">
        <x:f>IF($C193="","",INDEX(Taxepunkter!$A:$A,$C193))</x:f>
      </x:c>
      <x:c r="B193" s="798"/>
      <x:c r="C193" s="798"/>
      <x:c r="D193" s="798" t="str">
        <x:f>IF($C193="","",TEXTJOIN(" ",TRUE,INDEX(Taxepunkter!$C:$C,$C193),INDEX(Taxepunkter!$D:$D,$C193)))</x:f>
      </x:c>
      <x:c r="E193" s="798" t="str">
        <x:f>IF($C193="","","Saknas i EDP – föreslagen ny taxa")</x:f>
      </x:c>
      <x:c r="F193" s="798" t="str">
        <x:f>IF($C193="","","Automatiserad mall: fyll Rad i Taxepunkter och FöreslagenTaxekod")</x:f>
      </x:c>
      <x:c r="G193" s="799"/>
      <x:c r="H193" s="800" t="str">
        <x:f>IF($C193="","",$C193)</x:f>
      </x:c>
      <x:c r="I193" s="800" t="str">
        <x:f>IF($C193="","",INDEX(Taxepunkter!$B:$B,$C193)&amp;" / "&amp;INDEX(Taxepunkter!$C:$C,$C193))</x:f>
      </x:c>
      <x:c r="J193" s="800" t="str">
        <x:f>IF($G193="","",$G193)</x:f>
      </x:c>
      <x:c r="K193" s="800" t="str">
        <x:f>IF($C193="","",INDEX(Taxepunkter!$C:$C,$C193)&amp;IF(INDEX(Taxepunkter!$D:$D,$C193)="","",". "&amp;INDEX(Taxepunkter!$D:$D,$C193)))</x:f>
      </x:c>
      <x:c r="L193" s="800" t="str">
        <x:f>IF($C193="","","RENH")</x:f>
      </x:c>
      <x:c r="M193" s="800" t="str">
        <x:f>IF($C193="","","HUSH")</x:f>
      </x:c>
      <x:c r="N193" s="800" t="str">
        <x:f>IF($C193="","",1)</x:f>
      </x:c>
      <x:c r="O193" s="800" t="str">
        <x:f>IF($C193="","","ÅRKV")</x:f>
      </x:c>
      <x:c r="P193" s="800" t="str">
        <x:f>IF($C193="","",TEXTJOIN(" ",TRUE,INDEX(Taxepunkter!$C:$C,$C193),INDEX(Taxepunkter!$D:$D,$C193)))</x:f>
      </x:c>
      <x:c r="Q193" s="800"/>
      <x:c r="R193" s="800"/>
      <x:c r="S193" s="800"/>
      <x:c r="T193" s="800"/>
      <x:c r="U193" s="800" t="str">
        <x:f>IF($C193="","",0)</x:f>
      </x:c>
      <x:c r="V193" s="800"/>
      <x:c r="W193" s="800" t="str">
        <x:f>IF($C193="","","-")</x:f>
      </x:c>
      <x:c r="X193" s="800" t="str">
        <x:f>IF($C193="","",1)</x:f>
      </x:c>
      <x:c r="Y193" s="885" t="str">
        <x:f>IF($C193="","","ANTB")</x:f>
      </x:c>
    </x:row>
    <x:row r="194">
      <x:c r="A194" s="884" t="str">
        <x:f>IF($C194="","",INDEX(Taxepunkter!$A:$A,$C194))</x:f>
      </x:c>
      <x:c r="B194" s="798"/>
      <x:c r="C194" s="798"/>
      <x:c r="D194" s="798" t="str">
        <x:f>IF($C194="","",TEXTJOIN(" ",TRUE,INDEX(Taxepunkter!$C:$C,$C194),INDEX(Taxepunkter!$D:$D,$C194)))</x:f>
      </x:c>
      <x:c r="E194" s="798" t="str">
        <x:f>IF($C194="","","Saknas i EDP – föreslagen ny taxa")</x:f>
      </x:c>
      <x:c r="F194" s="798" t="str">
        <x:f>IF($C194="","","Automatiserad mall: fyll Rad i Taxepunkter och FöreslagenTaxekod")</x:f>
      </x:c>
      <x:c r="G194" s="799"/>
      <x:c r="H194" s="800" t="str">
        <x:f>IF($C194="","",$C194)</x:f>
      </x:c>
      <x:c r="I194" s="800" t="str">
        <x:f>IF($C194="","",INDEX(Taxepunkter!$B:$B,$C194)&amp;" / "&amp;INDEX(Taxepunkter!$C:$C,$C194))</x:f>
      </x:c>
      <x:c r="J194" s="800" t="str">
        <x:f>IF($G194="","",$G194)</x:f>
      </x:c>
      <x:c r="K194" s="800" t="str">
        <x:f>IF($C194="","",INDEX(Taxepunkter!$C:$C,$C194)&amp;IF(INDEX(Taxepunkter!$D:$D,$C194)="","",". "&amp;INDEX(Taxepunkter!$D:$D,$C194)))</x:f>
      </x:c>
      <x:c r="L194" s="800" t="str">
        <x:f>IF($C194="","","RENH")</x:f>
      </x:c>
      <x:c r="M194" s="800" t="str">
        <x:f>IF($C194="","","HUSH")</x:f>
      </x:c>
      <x:c r="N194" s="800" t="str">
        <x:f>IF($C194="","",1)</x:f>
      </x:c>
      <x:c r="O194" s="800" t="str">
        <x:f>IF($C194="","","ÅRKV")</x:f>
      </x:c>
      <x:c r="P194" s="800" t="str">
        <x:f>IF($C194="","",TEXTJOIN(" ",TRUE,INDEX(Taxepunkter!$C:$C,$C194),INDEX(Taxepunkter!$D:$D,$C194)))</x:f>
      </x:c>
      <x:c r="Q194" s="800"/>
      <x:c r="R194" s="800"/>
      <x:c r="S194" s="800"/>
      <x:c r="T194" s="800"/>
      <x:c r="U194" s="800" t="str">
        <x:f>IF($C194="","",0)</x:f>
      </x:c>
      <x:c r="V194" s="800"/>
      <x:c r="W194" s="800" t="str">
        <x:f>IF($C194="","","-")</x:f>
      </x:c>
      <x:c r="X194" s="800" t="str">
        <x:f>IF($C194="","",1)</x:f>
      </x:c>
      <x:c r="Y194" s="885" t="str">
        <x:f>IF($C194="","","ANTB")</x:f>
      </x:c>
    </x:row>
    <x:row r="195">
      <x:c r="A195" s="884" t="str">
        <x:f>IF($C195="","",INDEX(Taxepunkter!$A:$A,$C195))</x:f>
      </x:c>
      <x:c r="B195" s="798"/>
      <x:c r="C195" s="798"/>
      <x:c r="D195" s="798" t="str">
        <x:f>IF($C195="","",TEXTJOIN(" ",TRUE,INDEX(Taxepunkter!$C:$C,$C195),INDEX(Taxepunkter!$D:$D,$C195)))</x:f>
      </x:c>
      <x:c r="E195" s="798" t="str">
        <x:f>IF($C195="","","Saknas i EDP – föreslagen ny taxa")</x:f>
      </x:c>
      <x:c r="F195" s="798" t="str">
        <x:f>IF($C195="","","Automatiserad mall: fyll Rad i Taxepunkter och FöreslagenTaxekod")</x:f>
      </x:c>
      <x:c r="G195" s="799"/>
      <x:c r="H195" s="800" t="str">
        <x:f>IF($C195="","",$C195)</x:f>
      </x:c>
      <x:c r="I195" s="800" t="str">
        <x:f>IF($C195="","",INDEX(Taxepunkter!$B:$B,$C195)&amp;" / "&amp;INDEX(Taxepunkter!$C:$C,$C195))</x:f>
      </x:c>
      <x:c r="J195" s="800" t="str">
        <x:f>IF($G195="","",$G195)</x:f>
      </x:c>
      <x:c r="K195" s="800" t="str">
        <x:f>IF($C195="","",INDEX(Taxepunkter!$C:$C,$C195)&amp;IF(INDEX(Taxepunkter!$D:$D,$C195)="","",". "&amp;INDEX(Taxepunkter!$D:$D,$C195)))</x:f>
      </x:c>
      <x:c r="L195" s="800" t="str">
        <x:f>IF($C195="","","RENH")</x:f>
      </x:c>
      <x:c r="M195" s="800" t="str">
        <x:f>IF($C195="","","HUSH")</x:f>
      </x:c>
      <x:c r="N195" s="800" t="str">
        <x:f>IF($C195="","",1)</x:f>
      </x:c>
      <x:c r="O195" s="800" t="str">
        <x:f>IF($C195="","","ÅRKV")</x:f>
      </x:c>
      <x:c r="P195" s="800" t="str">
        <x:f>IF($C195="","",TEXTJOIN(" ",TRUE,INDEX(Taxepunkter!$C:$C,$C195),INDEX(Taxepunkter!$D:$D,$C195)))</x:f>
      </x:c>
      <x:c r="Q195" s="800"/>
      <x:c r="R195" s="800"/>
      <x:c r="S195" s="800"/>
      <x:c r="T195" s="800"/>
      <x:c r="U195" s="800" t="str">
        <x:f>IF($C195="","",0)</x:f>
      </x:c>
      <x:c r="V195" s="800"/>
      <x:c r="W195" s="800" t="str">
        <x:f>IF($C195="","","-")</x:f>
      </x:c>
      <x:c r="X195" s="800" t="str">
        <x:f>IF($C195="","",1)</x:f>
      </x:c>
      <x:c r="Y195" s="885" t="str">
        <x:f>IF($C195="","","ANTB")</x:f>
      </x:c>
    </x:row>
    <x:row r="196">
      <x:c r="A196" s="884" t="str">
        <x:f>IF($C196="","",INDEX(Taxepunkter!$A:$A,$C196))</x:f>
      </x:c>
      <x:c r="B196" s="798"/>
      <x:c r="C196" s="798"/>
      <x:c r="D196" s="798" t="str">
        <x:f>IF($C196="","",TEXTJOIN(" ",TRUE,INDEX(Taxepunkter!$C:$C,$C196),INDEX(Taxepunkter!$D:$D,$C196)))</x:f>
      </x:c>
      <x:c r="E196" s="798" t="str">
        <x:f>IF($C196="","","Saknas i EDP – föreslagen ny taxa")</x:f>
      </x:c>
      <x:c r="F196" s="798" t="str">
        <x:f>IF($C196="","","Automatiserad mall: fyll Rad i Taxepunkter och FöreslagenTaxekod")</x:f>
      </x:c>
      <x:c r="G196" s="799"/>
      <x:c r="H196" s="800" t="str">
        <x:f>IF($C196="","",$C196)</x:f>
      </x:c>
      <x:c r="I196" s="800" t="str">
        <x:f>IF($C196="","",INDEX(Taxepunkter!$B:$B,$C196)&amp;" / "&amp;INDEX(Taxepunkter!$C:$C,$C196))</x:f>
      </x:c>
      <x:c r="J196" s="800" t="str">
        <x:f>IF($G196="","",$G196)</x:f>
      </x:c>
      <x:c r="K196" s="800" t="str">
        <x:f>IF($C196="","",INDEX(Taxepunkter!$C:$C,$C196)&amp;IF(INDEX(Taxepunkter!$D:$D,$C196)="","",". "&amp;INDEX(Taxepunkter!$D:$D,$C196)))</x:f>
      </x:c>
      <x:c r="L196" s="800" t="str">
        <x:f>IF($C196="","","RENH")</x:f>
      </x:c>
      <x:c r="M196" s="800" t="str">
        <x:f>IF($C196="","","HUSH")</x:f>
      </x:c>
      <x:c r="N196" s="800" t="str">
        <x:f>IF($C196="","",1)</x:f>
      </x:c>
      <x:c r="O196" s="800" t="str">
        <x:f>IF($C196="","","ÅRKV")</x:f>
      </x:c>
      <x:c r="P196" s="800" t="str">
        <x:f>IF($C196="","",TEXTJOIN(" ",TRUE,INDEX(Taxepunkter!$C:$C,$C196),INDEX(Taxepunkter!$D:$D,$C196)))</x:f>
      </x:c>
      <x:c r="Q196" s="800"/>
      <x:c r="R196" s="800"/>
      <x:c r="S196" s="800"/>
      <x:c r="T196" s="800"/>
      <x:c r="U196" s="800" t="str">
        <x:f>IF($C196="","",0)</x:f>
      </x:c>
      <x:c r="V196" s="800"/>
      <x:c r="W196" s="800" t="str">
        <x:f>IF($C196="","","-")</x:f>
      </x:c>
      <x:c r="X196" s="800" t="str">
        <x:f>IF($C196="","",1)</x:f>
      </x:c>
      <x:c r="Y196" s="885" t="str">
        <x:f>IF($C196="","","ANTB")</x:f>
      </x:c>
    </x:row>
    <x:row r="197">
      <x:c r="A197" s="884" t="str">
        <x:f>IF($C197="","",INDEX(Taxepunkter!$A:$A,$C197))</x:f>
      </x:c>
      <x:c r="B197" s="798"/>
      <x:c r="C197" s="798"/>
      <x:c r="D197" s="798" t="str">
        <x:f>IF($C197="","",TEXTJOIN(" ",TRUE,INDEX(Taxepunkter!$C:$C,$C197),INDEX(Taxepunkter!$D:$D,$C197)))</x:f>
      </x:c>
      <x:c r="E197" s="798" t="str">
        <x:f>IF($C197="","","Saknas i EDP – föreslagen ny taxa")</x:f>
      </x:c>
      <x:c r="F197" s="798" t="str">
        <x:f>IF($C197="","","Automatiserad mall: fyll Rad i Taxepunkter och FöreslagenTaxekod")</x:f>
      </x:c>
      <x:c r="G197" s="799"/>
      <x:c r="H197" s="800" t="str">
        <x:f>IF($C197="","",$C197)</x:f>
      </x:c>
      <x:c r="I197" s="800" t="str">
        <x:f>IF($C197="","",INDEX(Taxepunkter!$B:$B,$C197)&amp;" / "&amp;INDEX(Taxepunkter!$C:$C,$C197))</x:f>
      </x:c>
      <x:c r="J197" s="800" t="str">
        <x:f>IF($G197="","",$G197)</x:f>
      </x:c>
      <x:c r="K197" s="800" t="str">
        <x:f>IF($C197="","",INDEX(Taxepunkter!$C:$C,$C197)&amp;IF(INDEX(Taxepunkter!$D:$D,$C197)="","",". "&amp;INDEX(Taxepunkter!$D:$D,$C197)))</x:f>
      </x:c>
      <x:c r="L197" s="800" t="str">
        <x:f>IF($C197="","","RENH")</x:f>
      </x:c>
      <x:c r="M197" s="800" t="str">
        <x:f>IF($C197="","","HUSH")</x:f>
      </x:c>
      <x:c r="N197" s="800" t="str">
        <x:f>IF($C197="","",1)</x:f>
      </x:c>
      <x:c r="O197" s="800" t="str">
        <x:f>IF($C197="","","ÅRKV")</x:f>
      </x:c>
      <x:c r="P197" s="800" t="str">
        <x:f>IF($C197="","",TEXTJOIN(" ",TRUE,INDEX(Taxepunkter!$C:$C,$C197),INDEX(Taxepunkter!$D:$D,$C197)))</x:f>
      </x:c>
      <x:c r="Q197" s="800"/>
      <x:c r="R197" s="800"/>
      <x:c r="S197" s="800"/>
      <x:c r="T197" s="800"/>
      <x:c r="U197" s="800" t="str">
        <x:f>IF($C197="","",0)</x:f>
      </x:c>
      <x:c r="V197" s="800"/>
      <x:c r="W197" s="800" t="str">
        <x:f>IF($C197="","","-")</x:f>
      </x:c>
      <x:c r="X197" s="800" t="str">
        <x:f>IF($C197="","",1)</x:f>
      </x:c>
      <x:c r="Y197" s="885" t="str">
        <x:f>IF($C197="","","ANTB")</x:f>
      </x:c>
    </x:row>
    <x:row r="198">
      <x:c r="A198" s="884" t="str">
        <x:f>IF($C198="","",INDEX(Taxepunkter!$A:$A,$C198))</x:f>
      </x:c>
      <x:c r="B198" s="798"/>
      <x:c r="C198" s="798"/>
      <x:c r="D198" s="798" t="str">
        <x:f>IF($C198="","",TEXTJOIN(" ",TRUE,INDEX(Taxepunkter!$C:$C,$C198),INDEX(Taxepunkter!$D:$D,$C198)))</x:f>
      </x:c>
      <x:c r="E198" s="798" t="str">
        <x:f>IF($C198="","","Saknas i EDP – föreslagen ny taxa")</x:f>
      </x:c>
      <x:c r="F198" s="798" t="str">
        <x:f>IF($C198="","","Automatiserad mall: fyll Rad i Taxepunkter och FöreslagenTaxekod")</x:f>
      </x:c>
      <x:c r="G198" s="799"/>
      <x:c r="H198" s="800" t="str">
        <x:f>IF($C198="","",$C198)</x:f>
      </x:c>
      <x:c r="I198" s="800" t="str">
        <x:f>IF($C198="","",INDEX(Taxepunkter!$B:$B,$C198)&amp;" / "&amp;INDEX(Taxepunkter!$C:$C,$C198))</x:f>
      </x:c>
      <x:c r="J198" s="800" t="str">
        <x:f>IF($G198="","",$G198)</x:f>
      </x:c>
      <x:c r="K198" s="800" t="str">
        <x:f>IF($C198="","",INDEX(Taxepunkter!$C:$C,$C198)&amp;IF(INDEX(Taxepunkter!$D:$D,$C198)="","",". "&amp;INDEX(Taxepunkter!$D:$D,$C198)))</x:f>
      </x:c>
      <x:c r="L198" s="800" t="str">
        <x:f>IF($C198="","","RENH")</x:f>
      </x:c>
      <x:c r="M198" s="800" t="str">
        <x:f>IF($C198="","","HUSH")</x:f>
      </x:c>
      <x:c r="N198" s="800" t="str">
        <x:f>IF($C198="","",1)</x:f>
      </x:c>
      <x:c r="O198" s="800" t="str">
        <x:f>IF($C198="","","ÅRKV")</x:f>
      </x:c>
      <x:c r="P198" s="800" t="str">
        <x:f>IF($C198="","",TEXTJOIN(" ",TRUE,INDEX(Taxepunkter!$C:$C,$C198),INDEX(Taxepunkter!$D:$D,$C198)))</x:f>
      </x:c>
      <x:c r="Q198" s="800"/>
      <x:c r="R198" s="800"/>
      <x:c r="S198" s="800"/>
      <x:c r="T198" s="800"/>
      <x:c r="U198" s="800" t="str">
        <x:f>IF($C198="","",0)</x:f>
      </x:c>
      <x:c r="V198" s="800"/>
      <x:c r="W198" s="800" t="str">
        <x:f>IF($C198="","","-")</x:f>
      </x:c>
      <x:c r="X198" s="800" t="str">
        <x:f>IF($C198="","",1)</x:f>
      </x:c>
      <x:c r="Y198" s="885" t="str">
        <x:f>IF($C198="","","ANTB")</x:f>
      </x:c>
    </x:row>
    <x:row r="199">
      <x:c r="A199" s="884" t="str">
        <x:f>IF($C199="","",INDEX(Taxepunkter!$A:$A,$C199))</x:f>
      </x:c>
      <x:c r="B199" s="798"/>
      <x:c r="C199" s="798"/>
      <x:c r="D199" s="798" t="str">
        <x:f>IF($C199="","",TEXTJOIN(" ",TRUE,INDEX(Taxepunkter!$C:$C,$C199),INDEX(Taxepunkter!$D:$D,$C199)))</x:f>
      </x:c>
      <x:c r="E199" s="798" t="str">
        <x:f>IF($C199="","","Saknas i EDP – föreslagen ny taxa")</x:f>
      </x:c>
      <x:c r="F199" s="798" t="str">
        <x:f>IF($C199="","","Automatiserad mall: fyll Rad i Taxepunkter och FöreslagenTaxekod")</x:f>
      </x:c>
      <x:c r="G199" s="799"/>
      <x:c r="H199" s="800" t="str">
        <x:f>IF($C199="","",$C199)</x:f>
      </x:c>
      <x:c r="I199" s="800" t="str">
        <x:f>IF($C199="","",INDEX(Taxepunkter!$B:$B,$C199)&amp;" / "&amp;INDEX(Taxepunkter!$C:$C,$C199))</x:f>
      </x:c>
      <x:c r="J199" s="800" t="str">
        <x:f>IF($G199="","",$G199)</x:f>
      </x:c>
      <x:c r="K199" s="800" t="str">
        <x:f>IF($C199="","",INDEX(Taxepunkter!$C:$C,$C199)&amp;IF(INDEX(Taxepunkter!$D:$D,$C199)="","",". "&amp;INDEX(Taxepunkter!$D:$D,$C199)))</x:f>
      </x:c>
      <x:c r="L199" s="800" t="str">
        <x:f>IF($C199="","","RENH")</x:f>
      </x:c>
      <x:c r="M199" s="800" t="str">
        <x:f>IF($C199="","","HUSH")</x:f>
      </x:c>
      <x:c r="N199" s="800" t="str">
        <x:f>IF($C199="","",1)</x:f>
      </x:c>
      <x:c r="O199" s="800" t="str">
        <x:f>IF($C199="","","ÅRKV")</x:f>
      </x:c>
      <x:c r="P199" s="800" t="str">
        <x:f>IF($C199="","",TEXTJOIN(" ",TRUE,INDEX(Taxepunkter!$C:$C,$C199),INDEX(Taxepunkter!$D:$D,$C199)))</x:f>
      </x:c>
      <x:c r="Q199" s="800"/>
      <x:c r="R199" s="800"/>
      <x:c r="S199" s="800"/>
      <x:c r="T199" s="800"/>
      <x:c r="U199" s="800" t="str">
        <x:f>IF($C199="","",0)</x:f>
      </x:c>
      <x:c r="V199" s="800"/>
      <x:c r="W199" s="800" t="str">
        <x:f>IF($C199="","","-")</x:f>
      </x:c>
      <x:c r="X199" s="800" t="str">
        <x:f>IF($C199="","",1)</x:f>
      </x:c>
      <x:c r="Y199" s="885" t="str">
        <x:f>IF($C199="","","ANTB")</x:f>
      </x:c>
    </x:row>
    <x:row r="200">
      <x:c r="A200" s="886" t="str">
        <x:f>IF($C200="","",INDEX(Taxepunkter!$A:$A,$C200))</x:f>
      </x:c>
      <x:c r="B200" s="887"/>
      <x:c r="C200" s="887"/>
      <x:c r="D200" s="887" t="str">
        <x:f>IF($C200="","",TEXTJOIN(" ",TRUE,INDEX(Taxepunkter!$C:$C,$C200),INDEX(Taxepunkter!$D:$D,$C200)))</x:f>
      </x:c>
      <x:c r="E200" s="887" t="str">
        <x:f>IF($C200="","","Saknas i EDP – föreslagen ny taxa")</x:f>
      </x:c>
      <x:c r="F200" s="887" t="str">
        <x:f>IF($C200="","","Automatiserad mall: fyll Rad i Taxepunkter och FöreslagenTaxekod")</x:f>
      </x:c>
      <x:c r="G200" s="888"/>
      <x:c r="H200" s="889" t="str">
        <x:f>IF($C200="","",$C200)</x:f>
      </x:c>
      <x:c r="I200" s="889" t="str">
        <x:f>IF($C200="","",INDEX(Taxepunkter!$B:$B,$C200)&amp;" / "&amp;INDEX(Taxepunkter!$C:$C,$C200))</x:f>
      </x:c>
      <x:c r="J200" s="889" t="str">
        <x:f>IF($G200="","",$G200)</x:f>
      </x:c>
      <x:c r="K200" s="889" t="str">
        <x:f>IF($C200="","",INDEX(Taxepunkter!$C:$C,$C200)&amp;IF(INDEX(Taxepunkter!$D:$D,$C200)="","",". "&amp;INDEX(Taxepunkter!$D:$D,$C200)))</x:f>
      </x:c>
      <x:c r="L200" s="889" t="str">
        <x:f>IF($C200="","","RENH")</x:f>
      </x:c>
      <x:c r="M200" s="889" t="str">
        <x:f>IF($C200="","","HUSH")</x:f>
      </x:c>
      <x:c r="N200" s="889" t="str">
        <x:f>IF($C200="","",1)</x:f>
      </x:c>
      <x:c r="O200" s="889" t="str">
        <x:f>IF($C200="","","ÅRKV")</x:f>
      </x:c>
      <x:c r="P200" s="889" t="str">
        <x:f>IF($C200="","",TEXTJOIN(" ",TRUE,INDEX(Taxepunkter!$C:$C,$C200),INDEX(Taxepunkter!$D:$D,$C200)))</x:f>
      </x:c>
      <x:c r="Q200" s="889"/>
      <x:c r="R200" s="889"/>
      <x:c r="S200" s="889"/>
      <x:c r="T200" s="889"/>
      <x:c r="U200" s="889" t="str">
        <x:f>IF($C200="","",0)</x:f>
      </x:c>
      <x:c r="V200" s="889"/>
      <x:c r="W200" s="889" t="str">
        <x:f>IF($C200="","","-")</x:f>
      </x:c>
      <x:c r="X200" s="889" t="str">
        <x:f>IF($C200="","",1)</x:f>
      </x:c>
      <x:c r="Y200" s="890" t="str">
        <x:f>IF($C200="","","ANTB")</x:f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4" style="54" hidden="0" customWidth="1"/>
    <x:col min="2" max="2" width="24" style="54" hidden="0" customWidth="1"/>
    <x:col min="3" max="3" width="24" style="54" hidden="0" customWidth="1"/>
    <x:col min="4" max="4" width="24" style="54" hidden="0" customWidth="1"/>
    <x:col min="5" max="5" width="24" style="54" hidden="0" customWidth="1"/>
    <x:col min="6" max="6" width="24" style="54" hidden="0" customWidth="1"/>
    <x:col min="7" max="7" width="24" style="54" hidden="0" customWidth="1"/>
    <x:col min="8" max="8" width="24" style="54" hidden="0" customWidth="1"/>
  </x:cols>
  <x:sheetData>
    <x:row r="1">
      <x:c r="A1" s="942" t="inlineStr">
        <x:is>
          <x:t xml:space="preserve">Typ</x:t>
        </x:is>
      </x:c>
      <x:c r="B1" s="943" t="inlineStr">
        <x:is>
          <x:t xml:space="preserve">Paragraf</x:t>
        </x:is>
      </x:c>
      <x:c r="C1" s="943" t="inlineStr">
        <x:is>
          <x:t xml:space="preserve">Rad i Taxepunkter</x:t>
        </x:is>
      </x:c>
      <x:c r="D1" s="943" t="inlineStr">
        <x:is>
          <x:t xml:space="preserve">Källpunkt</x:t>
        </x:is>
      </x:c>
      <x:c r="E1" s="943" t="inlineStr">
        <x:is>
          <x:t xml:space="preserve">Taxapunkt</x:t>
        </x:is>
      </x:c>
      <x:c r="F1" s="943" t="inlineStr">
        <x:is>
          <x:t xml:space="preserve">Variant</x:t>
        </x:is>
      </x:c>
      <x:c r="G1" s="943" t="inlineStr">
        <x:is>
          <x:t xml:space="preserve">Föreslagen taxekod</x:t>
        </x:is>
      </x:c>
      <x:c r="H1" s="944" t="inlineStr">
        <x:is>
          <x:t xml:space="preserve">Status/Kommentar</x:t>
        </x:is>
      </x:c>
    </x:row>
    <x:row r="2">
      <x:c r="A2" s="849" t="inlineStr">
        <x:is>
          <x:t xml:space="preserve">Struktur korrigerad</x:t>
        </x:is>
      </x:c>
      <x:c r="B2" s="848" t="inlineStr">
        <x:is>
          <x:t xml:space="preserve">§2.2.1</x:t>
        </x:is>
      </x:c>
      <x:c r="C2" s="848" t="n">
        <x:v>19</x:v>
      </x:c>
      <x:c r="D2" s="848" t="n">
        <x:v>11</x:v>
      </x:c>
      <x:c r="E2" s="848" t="inlineStr">
        <x:is>
          <x:t xml:space="preserve">Kärl 240 l (mat-/restavfall)</x:t>
        </x:is>
      </x:c>
      <x:c r="F2" s="848" t="inlineStr">
        <x:is>
          <x:t xml:space="preserve">Hämtning månadsvis</x:t>
        </x:is>
      </x:c>
      <x:c r="G2" s="848" t="inlineStr">
        <x:is>
          <x:t xml:space="preserve"/>
        </x:is>
      </x:c>
      <x:c r="H2" s="896" t="inlineStr">
        <x:is>
          <x:t xml:space="preserve">Tidigare tom rad fylld enligt Word.</x:t>
        </x:is>
      </x:c>
    </x:row>
    <x:row r="3">
      <x:c r="A3" s="849" t="inlineStr">
        <x:is>
          <x:t xml:space="preserve">Struktur korrigerad</x:t>
        </x:is>
      </x:c>
      <x:c r="B3" s="848" t="inlineStr">
        <x:is>
          <x:t xml:space="preserve">§2.2.4</x:t>
        </x:is>
      </x:c>
      <x:c r="C3" s="848" t="n">
        <x:v>58</x:v>
      </x:c>
      <x:c r="D3" s="848" t="n">
        <x:v>44</x:v>
      </x:c>
      <x:c r="E3" s="848" t="inlineStr">
        <x:is>
          <x:t xml:space="preserve">Kärl 190 l (tidningar och returpapper)</x:t>
        </x:is>
      </x:c>
      <x:c r="F3" s="848" t="inlineStr">
        <x:is>
          <x:t xml:space="preserve">Hämtning varje vecka</x:t>
        </x:is>
      </x:c>
      <x:c r="G3" s="848" t="inlineStr">
        <x:is>
          <x:t xml:space="preserve"/>
        </x:is>
      </x:c>
      <x:c r="H3" s="896" t="inlineStr">
        <x:is>
          <x:t xml:space="preserve">Tidigare saknad/tom rad fylld enligt Word.</x:t>
        </x:is>
      </x:c>
    </x:row>
    <x:row r="4">
      <x:c r="A4" s="849" t="inlineStr">
        <x:is>
          <x:t xml:space="preserve">Struktur korrigerad</x:t>
        </x:is>
      </x:c>
      <x:c r="B4" s="848" t="inlineStr">
        <x:is>
          <x:t xml:space="preserve">§2.2.5</x:t>
        </x:is>
      </x:c>
      <x:c r="C4" s="848" t="n">
        <x:v>72</x:v>
      </x:c>
      <x:c r="D4" s="848" t="n">
        <x:v>56</x:v>
      </x:c>
      <x:c r="E4" s="848" t="inlineStr">
        <x:is>
          <x:t xml:space="preserve">Kärl 370 l (restavfall)</x:t>
        </x:is>
      </x:c>
      <x:c r="F4" s="848" t="inlineStr">
        <x:is>
          <x:t xml:space="preserve">Hämtning varje vecka</x:t>
        </x:is>
      </x:c>
      <x:c r="G4" s="848" t="inlineStr">
        <x:is>
          <x:t xml:space="preserve"/>
        </x:is>
      </x:c>
      <x:c r="H4" s="896" t="inlineStr">
        <x:is>
          <x:t xml:space="preserve">Tidigare tom rad fylld enligt Word.</x:t>
        </x:is>
      </x:c>
    </x:row>
    <x:row r="5">
      <x:c r="A5" s="849" t="inlineStr">
        <x:is>
          <x:t xml:space="preserve">Struktur korrigerad</x:t>
        </x:is>
      </x:c>
      <x:c r="B5" s="848" t="inlineStr">
        <x:is>
          <x:t xml:space="preserve">§2.2.5</x:t>
        </x:is>
      </x:c>
      <x:c r="C5" s="848" t="n">
        <x:v>76</x:v>
      </x:c>
      <x:c r="D5" s="848" t="n">
        <x:v>60</x:v>
      </x:c>
      <x:c r="E5" s="848" t="inlineStr">
        <x:is>
          <x:t xml:space="preserve">Kärl 660 l (restavfall)</x:t>
        </x:is>
      </x:c>
      <x:c r="F5" s="848" t="inlineStr">
        <x:is>
          <x:t xml:space="preserve">Hämtning var 14:e dag</x:t>
        </x:is>
      </x:c>
      <x:c r="G5" s="848" t="inlineStr">
        <x:is>
          <x:t xml:space="preserve"/>
        </x:is>
      </x:c>
      <x:c r="H5" s="896" t="inlineStr">
        <x:is>
          <x:t xml:space="preserve">Tidigare tom rad fylld enligt Word.</x:t>
        </x:is>
      </x:c>
    </x:row>
    <x:row r="6">
      <x:c r="A6" s="849" t="inlineStr">
        <x:is>
          <x:t xml:space="preserve">Struktur korrigerad</x:t>
        </x:is>
      </x:c>
      <x:c r="B6" s="848" t="inlineStr">
        <x:is>
          <x:t xml:space="preserve">§2.2.5</x:t>
        </x:is>
      </x:c>
      <x:c r="C6" s="848" t="n">
        <x:v>79</x:v>
      </x:c>
      <x:c r="D6" s="848" t="n">
        <x:v>63</x:v>
      </x:c>
      <x:c r="E6" s="848" t="inlineStr">
        <x:is>
          <x:t xml:space="preserve">Kärl 140 l (matavfall)</x:t>
        </x:is>
      </x:c>
      <x:c r="F6" s="848" t="inlineStr">
        <x:is>
          <x:t xml:space="preserve">Hämtning var 14:e dag</x:t>
        </x:is>
      </x:c>
      <x:c r="G6" s="848" t="inlineStr">
        <x:is>
          <x:t xml:space="preserve"/>
        </x:is>
      </x:c>
      <x:c r="H6" s="896" t="inlineStr">
        <x:is>
          <x:t xml:space="preserve">Tidigare tom rad fylld enligt Word.</x:t>
        </x:is>
      </x:c>
    </x:row>
    <x:row r="7">
      <x:c r="A7" s="849" t="inlineStr">
        <x:is>
          <x:t xml:space="preserve">Struktur korrigerad</x:t>
        </x:is>
      </x:c>
      <x:c r="B7" s="848" t="inlineStr">
        <x:is>
          <x:t xml:space="preserve">§2.2.5</x:t>
        </x:is>
      </x:c>
      <x:c r="C7" s="848" t="n">
        <x:v>82</x:v>
      </x:c>
      <x:c r="D7" s="848" t="n">
        <x:v>66</x:v>
      </x:c>
      <x:c r="E7" s="848" t="inlineStr">
        <x:is>
          <x:t xml:space="preserve">Lastväxlarflak (restavfall)</x:t>
        </x:is>
      </x:c>
      <x:c r="F7" s="848" t="inlineStr">
        <x:is>
          <x:t xml:space="preserve">Avgift per tömning</x:t>
        </x:is>
      </x:c>
      <x:c r="G7" s="848" t="inlineStr">
        <x:is>
          <x:t xml:space="preserve"/>
        </x:is>
      </x:c>
      <x:c r="H7" s="896" t="inlineStr">
        <x:is>
          <x:t xml:space="preserve">Flyttad/fylld så ordning följer Word.</x:t>
        </x:is>
      </x:c>
    </x:row>
    <x:row r="8">
      <x:c r="A8" s="849" t="inlineStr">
        <x:is>
          <x:t xml:space="preserve">Struktur korrigerad</x:t>
        </x:is>
      </x:c>
      <x:c r="B8" s="848" t="inlineStr">
        <x:is>
          <x:t xml:space="preserve">§2.2.5</x:t>
        </x:is>
      </x:c>
      <x:c r="C8" s="848" t="n">
        <x:v>83</x:v>
      </x:c>
      <x:c r="D8" s="848" t="n">
        <x:v>67</x:v>
      </x:c>
      <x:c r="E8" s="848" t="inlineStr">
        <x:is>
          <x:t xml:space="preserve">Bottentömmande behållare (mat-/restavfall)</x:t>
        </x:is>
      </x:c>
      <x:c r="F8" s="848" t="inlineStr">
        <x:is>
          <x:t xml:space="preserve">Tillägg för två tömningar per vecka</x:t>
        </x:is>
      </x:c>
      <x:c r="G8" s="848" t="inlineStr">
        <x:is>
          <x:t xml:space="preserve"/>
        </x:is>
      </x:c>
      <x:c r="H8" s="896" t="inlineStr">
        <x:is>
          <x:t xml:space="preserve">Tidigare saknad rad fylld enligt Word.</x:t>
        </x:is>
      </x:c>
    </x:row>
    <x:row r="9">
      <x:c r="A9" s="849" t="inlineStr">
        <x:is>
          <x:t xml:space="preserve">Struktur korrigerad</x:t>
        </x:is>
      </x:c>
      <x:c r="B9" s="848" t="inlineStr">
        <x:is>
          <x:t xml:space="preserve">§2.2.6</x:t>
        </x:is>
      </x:c>
      <x:c r="C9" s="848" t="n">
        <x:v>91</x:v>
      </x:c>
      <x:c r="D9" s="848" t="n">
        <x:v>73</x:v>
      </x:c>
      <x:c r="E9" s="848" t="inlineStr">
        <x:is>
          <x:t xml:space="preserve">Kärl 370 l (restavfall)</x:t>
        </x:is>
      </x:c>
      <x:c r="F9" s="848" t="inlineStr">
        <x:is>
          <x:t xml:space="preserve">Hämtning månadsvis</x:t>
        </x:is>
      </x:c>
      <x:c r="G9" s="848" t="inlineStr">
        <x:is>
          <x:t xml:space="preserve"/>
        </x:is>
      </x:c>
      <x:c r="H9" s="896" t="inlineStr">
        <x:is>
          <x:t xml:space="preserve">Tidigare tom rad fylld enligt Word.</x:t>
        </x:is>
      </x:c>
    </x:row>
    <x:row r="10">
      <x:c r="A10" s="849" t="inlineStr">
        <x:is>
          <x:t xml:space="preserve">Struktur korrigerad</x:t>
        </x:is>
      </x:c>
      <x:c r="B10" s="848" t="inlineStr">
        <x:is>
          <x:t xml:space="preserve">§2.2.6</x:t>
        </x:is>
      </x:c>
      <x:c r="C10" s="848" t="n">
        <x:v>94</x:v>
      </x:c>
      <x:c r="D10" s="848" t="n">
        <x:v>76</x:v>
      </x:c>
      <x:c r="E10" s="848" t="inlineStr">
        <x:is>
          <x:t xml:space="preserve">Kärl 660 l (restavfall)</x:t>
        </x:is>
      </x:c>
      <x:c r="F10" s="848" t="inlineStr">
        <x:is>
          <x:t xml:space="preserve">Hämtning månadsvis</x:t>
        </x:is>
      </x:c>
      <x:c r="G10" s="848" t="inlineStr">
        <x:is>
          <x:t xml:space="preserve"/>
        </x:is>
      </x:c>
      <x:c r="H10" s="896" t="inlineStr">
        <x:is>
          <x:t xml:space="preserve">Tidigare tom rad fylld enligt Word.</x:t>
        </x:is>
      </x:c>
    </x:row>
    <x:row r="11">
      <x:c r="A11" s="849" t="inlineStr">
        <x:is>
          <x:t xml:space="preserve">Struktur korrigerad</x:t>
        </x:is>
      </x:c>
      <x:c r="B11" s="848" t="inlineStr">
        <x:is>
          <x:t xml:space="preserve">§2.2.6</x:t>
        </x:is>
      </x:c>
      <x:c r="C11" s="848" t="n">
        <x:v>97</x:v>
      </x:c>
      <x:c r="D11" s="848" t="n">
        <x:v>79</x:v>
      </x:c>
      <x:c r="E11" s="848" t="inlineStr">
        <x:is>
          <x:t xml:space="preserve">Kärl 140 l (matavfall)</x:t>
        </x:is>
      </x:c>
      <x:c r="F11" s="848" t="inlineStr">
        <x:is>
          <x:t xml:space="preserve">Hämtning månadsvis</x:t>
        </x:is>
      </x:c>
      <x:c r="G11" s="848" t="inlineStr">
        <x:is>
          <x:t xml:space="preserve"/>
        </x:is>
      </x:c>
      <x:c r="H11" s="896" t="inlineStr">
        <x:is>
          <x:t xml:space="preserve">Tidigare tom rad fylld enligt Word.</x:t>
        </x:is>
      </x:c>
    </x:row>
    <x:row r="12">
      <x:c r="A12" s="849" t="inlineStr">
        <x:is>
          <x:t xml:space="preserve">Taxa_Saknas</x:t>
        </x:is>
      </x:c>
      <x:c r="B12" s="848" t="inlineStr">
        <x:is>
          <x:t xml:space="preserve">§2.1</x:t>
        </x:is>
      </x:c>
      <x:c r="C12" s="848" t="n">
        <x:v>11</x:v>
      </x:c>
      <x:c r="D12" s="848" t="n">
        <x:v>5</x:v>
      </x:c>
      <x:c r="E12" s="848" t="inlineStr">
        <x:is>
          <x:t xml:space="preserve">Lägenhet för specialändamål</x:t>
        </x:is>
      </x:c>
      <x:c r="F12" s="848" t="n"/>
      <x:c r="G12" s="848" t="inlineStr">
        <x:is>
          <x:t xml:space="preserve">GRUNDSPEC</x:t>
        </x:is>
      </x:c>
      <x:c r="H12" s="896" t="inlineStr">
        <x:is>
          <x:t xml:space="preserve">Saknas i EDP – föreslagen ny taxa</x:t>
        </x:is>
      </x:c>
    </x:row>
    <x:row r="13">
      <x:c r="A13" s="849" t="inlineStr">
        <x:is>
          <x:t xml:space="preserve">Taxa_Saknas</x:t>
        </x:is>
      </x:c>
      <x:c r="B13" s="848" t="inlineStr">
        <x:is>
          <x:t xml:space="preserve">§2.1</x:t>
        </x:is>
      </x:c>
      <x:c r="C13" s="848" t="n">
        <x:v>12</x:v>
      </x:c>
      <x:c r="D13" s="848" t="n">
        <x:v>6</x:v>
      </x:c>
      <x:c r="E13" s="848" t="inlineStr">
        <x:is>
          <x:t xml:space="preserve">Anläggning</x:t>
        </x:is>
      </x:c>
      <x:c r="F13" s="848" t="n"/>
      <x:c r="G13" s="848" t="inlineStr">
        <x:is>
          <x:t xml:space="preserve">GRUNDANL</x:t>
        </x:is>
      </x:c>
      <x:c r="H13" s="896" t="inlineStr">
        <x:is>
          <x:t xml:space="preserve">Saknas i EDP – föreslagen ny taxa</x:t>
        </x:is>
      </x:c>
    </x:row>
    <x:row r="14">
      <x:c r="A14" s="849" t="inlineStr">
        <x:is>
          <x:t xml:space="preserve">Taxa_Saknas</x:t>
        </x:is>
      </x:c>
      <x:c r="B14" s="848" t="inlineStr">
        <x:is>
          <x:t xml:space="preserve">§2.1</x:t>
        </x:is>
      </x:c>
      <x:c r="C14" s="848" t="n">
        <x:v>13</x:v>
      </x:c>
      <x:c r="D14" s="848" t="n">
        <x:v>7</x:v>
      </x:c>
      <x:c r="E14" s="848" t="inlineStr">
        <x:is>
          <x:t xml:space="preserve">Säsongsbaserad uppställningsplats</x:t>
        </x:is>
      </x:c>
      <x:c r="F14" s="848" t="n"/>
      <x:c r="G14" s="848" t="inlineStr">
        <x:is>
          <x:t xml:space="preserve">GRUNDSÄS</x:t>
        </x:is>
      </x:c>
      <x:c r="H14" s="896" t="inlineStr">
        <x:is>
          <x:t xml:space="preserve">Saknas i EDP – föreslagen ny taxa</x:t>
        </x:is>
      </x:c>
    </x:row>
    <x:row r="15">
      <x:c r="A15" s="849" t="inlineStr">
        <x:is>
          <x:t xml:space="preserve">Taxa_Saknas</x:t>
        </x:is>
      </x:c>
      <x:c r="B15" s="848" t="inlineStr">
        <x:is>
          <x:t xml:space="preserve">§2.1</x:t>
        </x:is>
      </x:c>
      <x:c r="C15" s="848" t="n">
        <x:v>14</x:v>
      </x:c>
      <x:c r="D15" s="848" t="n">
        <x:v>8</x:v>
      </x:c>
      <x:c r="E15" s="848" t="inlineStr">
        <x:is>
          <x:t xml:space="preserve">Campingstuga/-lägenhet</x:t>
        </x:is>
      </x:c>
      <x:c r="F15" s="848" t="n"/>
      <x:c r="G15" s="848" t="inlineStr">
        <x:is>
          <x:t xml:space="preserve">GRUNDCAMP</x:t>
        </x:is>
      </x:c>
      <x:c r="H15" s="896" t="inlineStr">
        <x:is>
          <x:t xml:space="preserve">Saknas i EDP – föreslagen ny taxa</x:t>
        </x:is>
      </x:c>
    </x:row>
    <x:row r="16">
      <x:c r="A16" s="849" t="inlineStr">
        <x:is>
          <x:t xml:space="preserve">Taxa_Saknas</x:t>
        </x:is>
      </x:c>
      <x:c r="B16" s="848" t="inlineStr">
        <x:is>
          <x:t xml:space="preserve">§2.1</x:t>
        </x:is>
      </x:c>
      <x:c r="C16" s="848" t="n">
        <x:v>15</x:v>
      </x:c>
      <x:c r="D16" s="848" t="n">
        <x:v>9</x:v>
      </x:c>
      <x:c r="E16" s="848" t="inlineStr">
        <x:is>
          <x:t xml:space="preserve">Administrativ avgift vid beviljad dispens om uppehåll i hämtning eller eget omhändertagande av avfall under kommunalt ansvar</x:t>
        </x:is>
      </x:c>
      <x:c r="F16" s="848" t="n"/>
      <x:c r="G16" s="848" t="inlineStr">
        <x:is>
          <x:t xml:space="preserve">ADMINDISP</x:t>
        </x:is>
      </x:c>
      <x:c r="H16" s="896" t="inlineStr">
        <x:is>
          <x:t xml:space="preserve">Saknas i EDP – föreslagen ny taxa</x:t>
        </x:is>
      </x:c>
    </x:row>
    <x:row r="17">
      <x:c r="A17" s="849" t="inlineStr">
        <x:is>
          <x:t xml:space="preserve">Taxa_Saknas</x:t>
        </x:is>
      </x:c>
      <x:c r="B17" s="848" t="inlineStr">
        <x:is>
          <x:t xml:space="preserve">§2.2.1</x:t>
        </x:is>
      </x:c>
      <x:c r="C17" s="848" t="n">
        <x:v>19</x:v>
      </x:c>
      <x:c r="D17" s="848" t="n">
        <x:v>11</x:v>
      </x:c>
      <x:c r="E17" s="848" t="inlineStr">
        <x:is>
          <x:t xml:space="preserve">Kärl 240 l (mat-/restavfall)</x:t>
        </x:is>
      </x:c>
      <x:c r="F17" s="848" t="inlineStr">
        <x:is>
          <x:t xml:space="preserve">Hämtning månadsvis</x:t>
        </x:is>
      </x:c>
      <x:c r="G17" s="848" t="inlineStr">
        <x:is>
          <x:t xml:space="preserve">KÄ240RM12</x:t>
        </x:is>
      </x:c>
      <x:c r="H17" s="896" t="inlineStr">
        <x:is>
          <x:t xml:space="preserve">Saknas i EDP – föreslagen ny taxa</x:t>
        </x:is>
      </x:c>
    </x:row>
    <x:row r="18">
      <x:c r="A18" s="849" t="inlineStr">
        <x:is>
          <x:t xml:space="preserve">Taxa_Saknas</x:t>
        </x:is>
      </x:c>
      <x:c r="B18" s="848" t="inlineStr">
        <x:is>
          <x:t xml:space="preserve">§2.2.1</x:t>
        </x:is>
      </x:c>
      <x:c r="C18" s="848" t="n">
        <x:v>21</x:v>
      </x:c>
      <x:c r="D18" s="848" t="n">
        <x:v>13</x:v>
      </x:c>
      <x:c r="E18" s="848" t="inlineStr">
        <x:is>
          <x:t xml:space="preserve">Extrakärl 190 l (restavfall)</x:t>
        </x:is>
      </x:c>
      <x:c r="F18" s="848" t="inlineStr">
        <x:is>
          <x:t xml:space="preserve">Hämtning månadsvis</x:t>
        </x:is>
      </x:c>
      <x:c r="G18" s="848" t="inlineStr">
        <x:is>
          <x:t xml:space="preserve">KÄ190XRM12</x:t>
        </x:is>
      </x:c>
      <x:c r="H18" s="896" t="inlineStr">
        <x:is>
          <x:t xml:space="preserve">Saknas i EDP – föreslagen ny taxa</x:t>
        </x:is>
      </x:c>
    </x:row>
    <x:row r="19">
      <x:c r="A19" s="849" t="inlineStr">
        <x:is>
          <x:t xml:space="preserve">Taxa_Saknas</x:t>
        </x:is>
      </x:c>
      <x:c r="B19" s="848" t="inlineStr">
        <x:is>
          <x:t xml:space="preserve">§2.2.2</x:t>
        </x:is>
      </x:c>
      <x:c r="C19" s="848" t="n">
        <x:v>25</x:v>
      </x:c>
      <x:c r="D19" s="848" t="n">
        <x:v>15</x:v>
      </x:c>
      <x:c r="E19" s="848" t="inlineStr">
        <x:is>
          <x:t xml:space="preserve">Kärl 240 l (mat-/restavfall)</x:t>
        </x:is>
      </x:c>
      <x:c r="F19" s="848" t="inlineStr">
        <x:is>
          <x:t xml:space="preserve">Hämtning månadsvis</x:t>
        </x:is>
      </x:c>
      <x:c r="G19" s="848" t="inlineStr">
        <x:is>
          <x:t xml:space="preserve">KÄ240RM12FRI</x:t>
        </x:is>
      </x:c>
      <x:c r="H19" s="896" t="inlineStr">
        <x:is>
          <x:t xml:space="preserve">Saknas i EDP – föreslagen ny taxa</x:t>
        </x:is>
      </x:c>
    </x:row>
    <x:row r="20">
      <x:c r="A20" s="849" t="inlineStr">
        <x:is>
          <x:t xml:space="preserve">Taxa_Saknas</x:t>
        </x:is>
      </x:c>
      <x:c r="B20" s="848" t="inlineStr">
        <x:is>
          <x:t xml:space="preserve">§2.2.2</x:t>
        </x:is>
      </x:c>
      <x:c r="C20" s="848" t="n">
        <x:v>26</x:v>
      </x:c>
      <x:c r="D20" s="848" t="n">
        <x:v>16</x:v>
      </x:c>
      <x:c r="E20" s="848" t="inlineStr">
        <x:is>
          <x:t xml:space="preserve">Extrakärl 190 l (restavfall)</x:t>
        </x:is>
      </x:c>
      <x:c r="F20" s="848" t="inlineStr">
        <x:is>
          <x:t xml:space="preserve">Hämtning var 14:e dag</x:t>
        </x:is>
      </x:c>
      <x:c r="G20" s="848" t="inlineStr">
        <x:is>
          <x:t xml:space="preserve">KÄ190XRM26FRI</x:t>
        </x:is>
      </x:c>
      <x:c r="H20" s="896" t="inlineStr">
        <x:is>
          <x:t xml:space="preserve">Saknas i EDP – föreslagen ny taxa</x:t>
        </x:is>
      </x:c>
    </x:row>
    <x:row r="21">
      <x:c r="A21" s="849" t="inlineStr">
        <x:is>
          <x:t xml:space="preserve">Taxa_Saknas</x:t>
        </x:is>
      </x:c>
      <x:c r="B21" s="848" t="inlineStr">
        <x:is>
          <x:t xml:space="preserve">§2.2.2</x:t>
        </x:is>
      </x:c>
      <x:c r="C21" s="848" t="n">
        <x:v>27</x:v>
      </x:c>
      <x:c r="D21" s="848" t="n">
        <x:v>17</x:v>
      </x:c>
      <x:c r="E21" s="848" t="inlineStr">
        <x:is>
          <x:t xml:space="preserve">Extrakärl 190 l (restavfall)</x:t>
        </x:is>
      </x:c>
      <x:c r="F21" s="848" t="inlineStr">
        <x:is>
          <x:t xml:space="preserve">Hämtning månadsvis</x:t>
        </x:is>
      </x:c>
      <x:c r="G21" s="848" t="inlineStr">
        <x:is>
          <x:t xml:space="preserve">KÄ190XRM12FRI</x:t>
        </x:is>
      </x:c>
      <x:c r="H21" s="896" t="inlineStr">
        <x:is>
          <x:t xml:space="preserve">Saknas i EDP – föreslagen ny taxa</x:t>
        </x:is>
      </x:c>
    </x:row>
    <x:row r="22">
      <x:c r="A22" s="849" t="inlineStr">
        <x:is>
          <x:t xml:space="preserve">Taxa_Saknas</x:t>
        </x:is>
      </x:c>
      <x:c r="B22" s="848" t="inlineStr">
        <x:is>
          <x:t xml:space="preserve">§2.2.3</x:t>
        </x:is>
      </x:c>
      <x:c r="C22" s="848" t="n">
        <x:v>30</x:v>
      </x:c>
      <x:c r="D22" s="848" t="n">
        <x:v>18</x:v>
      </x:c>
      <x:c r="E22" s="848" t="inlineStr">
        <x:is>
          <x:t xml:space="preserve">Gemensam uppsamlingsplats för mat-/restavfall</x:t>
        </x:is>
      </x:c>
      <x:c r="F22" s="848" t="n"/>
      <x:c r="G22" s="848" t="inlineStr">
        <x:is>
          <x:t xml:space="preserve">GEMUPPMR</x:t>
        </x:is>
      </x:c>
      <x:c r="H22" s="896" t="inlineStr">
        <x:is>
          <x:t xml:space="preserve">Saknas i EDP – föreslagen ny taxa</x:t>
        </x:is>
      </x:c>
    </x:row>
    <x:row r="23">
      <x:c r="A23" s="849" t="inlineStr">
        <x:is>
          <x:t xml:space="preserve">Taxa_Saknas</x:t>
        </x:is>
      </x:c>
      <x:c r="B23" s="848" t="inlineStr">
        <x:is>
          <x:t xml:space="preserve">§2.2.3</x:t>
        </x:is>
      </x:c>
      <x:c r="C23" s="848" t="n">
        <x:v>31</x:v>
      </x:c>
      <x:c r="D23" s="848" t="n">
        <x:v>19</x:v>
      </x:c>
      <x:c r="E23" s="848" t="inlineStr">
        <x:is>
          <x:t xml:space="preserve">Extra digital licens (årskostnad)</x:t>
        </x:is>
      </x:c>
      <x:c r="F23" s="848" t="n"/>
      <x:c r="G23" s="848" t="inlineStr">
        <x:is>
          <x:t xml:space="preserve">GEMUPPEXTRA</x:t>
        </x:is>
      </x:c>
      <x:c r="H23" s="896" t="inlineStr">
        <x:is>
          <x:t xml:space="preserve">Saknas i EDP – föreslagen ny taxa</x:t>
        </x:is>
      </x:c>
    </x:row>
    <x:row r="24">
      <x:c r="A24" s="849" t="inlineStr">
        <x:is>
          <x:t xml:space="preserve">Taxa_Saknas</x:t>
        </x:is>
      </x:c>
      <x:c r="B24" s="848" t="inlineStr">
        <x:is>
          <x:t xml:space="preserve">§2.2.3</x:t>
        </x:is>
      </x:c>
      <x:c r="C24" s="848" t="n">
        <x:v>32</x:v>
      </x:c>
      <x:c r="D24" s="848" t="n">
        <x:v>20</x:v>
      </x:c>
      <x:c r="E24" s="848" t="inlineStr">
        <x:is>
          <x:t xml:space="preserve">Fysisk nyckel, kallad fob (engångskostnad)</x:t>
        </x:is>
      </x:c>
      <x:c r="F24" s="848" t="n"/>
      <x:c r="G24" s="848" t="inlineStr">
        <x:is>
          <x:t xml:space="preserve">GEMUPPFOB</x:t>
        </x:is>
      </x:c>
      <x:c r="H24" s="896" t="inlineStr">
        <x:is>
          <x:t xml:space="preserve">Saknas i EDP – föreslagen ny taxa</x:t>
        </x:is>
      </x:c>
    </x:row>
    <x:row r="25">
      <x:c r="A25" s="849" t="inlineStr">
        <x:is>
          <x:t xml:space="preserve">Taxa_Saknas</x:t>
        </x:is>
      </x:c>
      <x:c r="B25" s="848" t="inlineStr">
        <x:is>
          <x:t xml:space="preserve">§2.2.3</x:t>
        </x:is>
      </x:c>
      <x:c r="C25" s="848" t="n">
        <x:v>33</x:v>
      </x:c>
      <x:c r="D25" s="848" t="n">
        <x:v>21</x:v>
      </x:c>
      <x:c r="E25" s="848" t="inlineStr">
        <x:is>
          <x:t xml:space="preserve">Byte av telefonnummer kopplat till licens</x:t>
        </x:is>
      </x:c>
      <x:c r="F25" s="848" t="n"/>
      <x:c r="G25" s="848" t="inlineStr">
        <x:is>
          <x:t xml:space="preserve">GEMUPPBYTE</x:t>
        </x:is>
      </x:c>
      <x:c r="H25" s="896" t="inlineStr">
        <x:is>
          <x:t xml:space="preserve">Saknas i EDP – föreslagen ny taxa</x:t>
        </x:is>
      </x:c>
    </x:row>
    <x:row r="26">
      <x:c r="A26" s="849" t="inlineStr">
        <x:is>
          <x:t xml:space="preserve">Taxa_Saknas</x:t>
        </x:is>
      </x:c>
      <x:c r="B26" s="848" t="inlineStr">
        <x:is>
          <x:t xml:space="preserve">§2.2.3</x:t>
        </x:is>
      </x:c>
      <x:c r="C26" s="848" t="n">
        <x:v>34</x:v>
      </x:c>
      <x:c r="D26" s="848" t="n">
        <x:v>22</x:v>
      </x:c>
      <x:c r="E26" s="848" t="inlineStr">
        <x:is>
          <x:t xml:space="preserve">Kostnad för öppning av behållare</x:t>
        </x:is>
      </x:c>
      <x:c r="F26" s="848" t="n"/>
      <x:c r="G26" s="848" t="inlineStr">
        <x:is>
          <x:t xml:space="preserve">GEMUPPÖPP</x:t>
        </x:is>
      </x:c>
      <x:c r="H26" s="896" t="inlineStr">
        <x:is>
          <x:t xml:space="preserve">Saknas i EDP – föreslagen ny taxa</x:t>
        </x:is>
      </x:c>
    </x:row>
    <x:row r="27">
      <x:c r="A27" s="849" t="inlineStr">
        <x:is>
          <x:t xml:space="preserve">Taxa_Saknas</x:t>
        </x:is>
      </x:c>
      <x:c r="B27" s="848" t="inlineStr">
        <x:is>
          <x:t xml:space="preserve">§2.2.4</x:t>
        </x:is>
      </x:c>
      <x:c r="C27" s="848" t="n">
        <x:v>39</x:v>
      </x:c>
      <x:c r="D27" s="848" t="n">
        <x:v>25</x:v>
      </x:c>
      <x:c r="E27" s="848" t="inlineStr">
        <x:is>
          <x:t xml:space="preserve">Kärl 240 l (mat-/restavfall)</x:t>
        </x:is>
      </x:c>
      <x:c r="F27" s="848" t="inlineStr">
        <x:is>
          <x:t xml:space="preserve">Hämtning månadsvis</x:t>
        </x:is>
      </x:c>
      <x:c r="G27" s="848" t="inlineStr">
        <x:is>
          <x:t xml:space="preserve">KÄ240RM12FV</x:t>
        </x:is>
      </x:c>
      <x:c r="H27" s="896" t="inlineStr">
        <x:is>
          <x:t xml:space="preserve">Saknas i EDP – föreslagen ny taxa</x:t>
        </x:is>
      </x:c>
    </x:row>
    <x:row r="28">
      <x:c r="A28" s="849" t="inlineStr">
        <x:is>
          <x:t xml:space="preserve">Taxa_Saknas</x:t>
        </x:is>
      </x:c>
      <x:c r="B28" s="848" t="inlineStr">
        <x:is>
          <x:t xml:space="preserve">§2.2.4</x:t>
        </x:is>
      </x:c>
      <x:c r="C28" s="848" t="n">
        <x:v>42</x:v>
      </x:c>
      <x:c r="D28" s="848" t="n">
        <x:v>28</x:v>
      </x:c>
      <x:c r="E28" s="848" t="inlineStr">
        <x:is>
          <x:t xml:space="preserve">Kärl 370 l (restavfall)</x:t>
        </x:is>
      </x:c>
      <x:c r="F28" s="848" t="inlineStr">
        <x:is>
          <x:t xml:space="preserve">Hämtning månadsvis</x:t>
        </x:is>
      </x:c>
      <x:c r="G28" s="848" t="inlineStr">
        <x:is>
          <x:t xml:space="preserve">KÄ370RE12FV</x:t>
        </x:is>
      </x:c>
      <x:c r="H28" s="896" t="inlineStr">
        <x:is>
          <x:t xml:space="preserve">Saknas i EDP – föreslagen ny taxa</x:t>
        </x:is>
      </x:c>
    </x:row>
    <x:row r="29">
      <x:c r="A29" s="849" t="inlineStr">
        <x:is>
          <x:t xml:space="preserve">Taxa_Saknas</x:t>
        </x:is>
      </x:c>
      <x:c r="B29" s="848" t="inlineStr">
        <x:is>
          <x:t xml:space="preserve">§2.2.4</x:t>
        </x:is>
      </x:c>
      <x:c r="C29" s="848" t="n">
        <x:v>45</x:v>
      </x:c>
      <x:c r="D29" s="848" t="n">
        <x:v>31</x:v>
      </x:c>
      <x:c r="E29" s="848" t="inlineStr">
        <x:is>
          <x:t xml:space="preserve">Kärl 660 l (restavfall)</x:t>
        </x:is>
      </x:c>
      <x:c r="F29" s="848" t="inlineStr">
        <x:is>
          <x:t xml:space="preserve">Hämtning månadsvis</x:t>
        </x:is>
      </x:c>
      <x:c r="G29" s="848" t="inlineStr">
        <x:is>
          <x:t xml:space="preserve">KÄ660RE12FV</x:t>
        </x:is>
      </x:c>
      <x:c r="H29" s="896" t="inlineStr">
        <x:is>
          <x:t xml:space="preserve">Saknas i EDP – föreslagen ny taxa</x:t>
        </x:is>
      </x:c>
    </x:row>
    <x:row r="30">
      <x:c r="A30" s="849" t="inlineStr">
        <x:is>
          <x:t xml:space="preserve">Taxa_Saknas</x:t>
        </x:is>
      </x:c>
      <x:c r="B30" s="848" t="inlineStr">
        <x:is>
          <x:t xml:space="preserve">§2.2.4</x:t>
        </x:is>
      </x:c>
      <x:c r="C30" s="848" t="n">
        <x:v>48</x:v>
      </x:c>
      <x:c r="D30" s="848" t="n">
        <x:v>34</x:v>
      </x:c>
      <x:c r="E30" s="848" t="inlineStr">
        <x:is>
          <x:t xml:space="preserve">Kärl 140 l (matavfall)</x:t>
        </x:is>
      </x:c>
      <x:c r="F30" s="848" t="inlineStr">
        <x:is>
          <x:t xml:space="preserve">Hämtning månadsvis</x:t>
        </x:is>
      </x:c>
      <x:c r="G30" s="848" t="inlineStr">
        <x:is>
          <x:t xml:space="preserve">KÄ140MA12FV</x:t>
        </x:is>
      </x:c>
      <x:c r="H30" s="896" t="inlineStr">
        <x:is>
          <x:t xml:space="preserve">Saknas i EDP – föreslagen ny taxa</x:t>
        </x:is>
      </x:c>
    </x:row>
    <x:row r="31">
      <x:c r="A31" s="849" t="inlineStr">
        <x:is>
          <x:t xml:space="preserve">Taxa_Saknas</x:t>
        </x:is>
      </x:c>
      <x:c r="B31" s="848" t="inlineStr">
        <x:is>
          <x:t xml:space="preserve">§2.2.4</x:t>
        </x:is>
      </x:c>
      <x:c r="C31" s="848" t="n">
        <x:v>49</x:v>
      </x:c>
      <x:c r="D31" s="848" t="n">
        <x:v>35</x:v>
      </x:c>
      <x:c r="E31" s="848" t="inlineStr">
        <x:is>
          <x:t xml:space="preserve">Kärl 190 l (förpackningar)</x:t>
        </x:is>
      </x:c>
      <x:c r="F31" s="848" t="inlineStr">
        <x:is>
          <x:t xml:space="preserve">Hämtning varje vecka</x:t>
        </x:is>
      </x:c>
      <x:c r="G31" s="848" t="inlineStr">
        <x:is>
          <x:t xml:space="preserve">KÄ190FP52FV</x:t>
        </x:is>
      </x:c>
      <x:c r="H31" s="896" t="inlineStr">
        <x:is>
          <x:t xml:space="preserve">Saknas i EDP – föreslagen ny taxa</x:t>
        </x:is>
      </x:c>
    </x:row>
    <x:row r="32">
      <x:c r="A32" s="849" t="inlineStr">
        <x:is>
          <x:t xml:space="preserve">Taxa_Saknas</x:t>
        </x:is>
      </x:c>
      <x:c r="B32" s="848" t="inlineStr">
        <x:is>
          <x:t xml:space="preserve">§2.2.4</x:t>
        </x:is>
      </x:c>
      <x:c r="C32" s="848" t="n">
        <x:v>50</x:v>
      </x:c>
      <x:c r="D32" s="848" t="n">
        <x:v>36</x:v>
      </x:c>
      <x:c r="E32" s="848" t="inlineStr">
        <x:is>
          <x:t xml:space="preserve">Kärl 190 l (förpackningar)</x:t>
        </x:is>
      </x:c>
      <x:c r="F32" s="848" t="inlineStr">
        <x:is>
          <x:t xml:space="preserve">Hämtning var 14:e dag</x:t>
        </x:is>
      </x:c>
      <x:c r="G32" s="848" t="inlineStr">
        <x:is>
          <x:t xml:space="preserve">KÄ190FP26FV</x:t>
        </x:is>
      </x:c>
      <x:c r="H32" s="896" t="inlineStr">
        <x:is>
          <x:t xml:space="preserve">Saknas i EDP – föreslagen ny taxa</x:t>
        </x:is>
      </x:c>
    </x:row>
    <x:row r="33">
      <x:c r="A33" s="849" t="inlineStr">
        <x:is>
          <x:t xml:space="preserve">Taxa_Saknas</x:t>
        </x:is>
      </x:c>
      <x:c r="B33" s="848" t="inlineStr">
        <x:is>
          <x:t xml:space="preserve">§2.2.4</x:t>
        </x:is>
      </x:c>
      <x:c r="C33" s="848" t="n">
        <x:v>51</x:v>
      </x:c>
      <x:c r="D33" s="848" t="n">
        <x:v>37</x:v>
      </x:c>
      <x:c r="E33" s="848" t="inlineStr">
        <x:is>
          <x:t xml:space="preserve">Kärl 190 l (förpackningar)</x:t>
        </x:is>
      </x:c>
      <x:c r="F33" s="848" t="inlineStr">
        <x:is>
          <x:t xml:space="preserve">Hämtning månadsvis</x:t>
        </x:is>
      </x:c>
      <x:c r="G33" s="848" t="inlineStr">
        <x:is>
          <x:t xml:space="preserve">KÄ190FP12FV</x:t>
        </x:is>
      </x:c>
      <x:c r="H33" s="896" t="inlineStr">
        <x:is>
          <x:t xml:space="preserve">Saknas i EDP – föreslagen ny taxa</x:t>
        </x:is>
      </x:c>
    </x:row>
    <x:row r="34">
      <x:c r="A34" s="849" t="inlineStr">
        <x:is>
          <x:t xml:space="preserve">Taxa_Saknas</x:t>
        </x:is>
      </x:c>
      <x:c r="B34" s="848" t="inlineStr">
        <x:is>
          <x:t xml:space="preserve">§2.2.4</x:t>
        </x:is>
      </x:c>
      <x:c r="C34" s="848" t="n">
        <x:v>52</x:v>
      </x:c>
      <x:c r="D34" s="848" t="n">
        <x:v>38</x:v>
      </x:c>
      <x:c r="E34" s="848" t="inlineStr">
        <x:is>
          <x:t xml:space="preserve">Kärl 370 l (förpackningar)</x:t>
        </x:is>
      </x:c>
      <x:c r="F34" s="848" t="inlineStr">
        <x:is>
          <x:t xml:space="preserve">Hämtning varje vecka</x:t>
        </x:is>
      </x:c>
      <x:c r="G34" s="848" t="inlineStr">
        <x:is>
          <x:t xml:space="preserve">KÄ370FP52FV</x:t>
        </x:is>
      </x:c>
      <x:c r="H34" s="896" t="inlineStr">
        <x:is>
          <x:t xml:space="preserve">Saknas i EDP – föreslagen ny taxa</x:t>
        </x:is>
      </x:c>
    </x:row>
    <x:row r="35">
      <x:c r="A35" s="849" t="inlineStr">
        <x:is>
          <x:t xml:space="preserve">Taxa_Saknas</x:t>
        </x:is>
      </x:c>
      <x:c r="B35" s="848" t="inlineStr">
        <x:is>
          <x:t xml:space="preserve">§2.2.4</x:t>
        </x:is>
      </x:c>
      <x:c r="C35" s="848" t="n">
        <x:v>53</x:v>
      </x:c>
      <x:c r="D35" s="848" t="n">
        <x:v>39</x:v>
      </x:c>
      <x:c r="E35" s="848" t="inlineStr">
        <x:is>
          <x:t xml:space="preserve">Kärl 370 l (förpackningar)</x:t>
        </x:is>
      </x:c>
      <x:c r="F35" s="848" t="inlineStr">
        <x:is>
          <x:t xml:space="preserve">Hämtning var 14:e dag</x:t>
        </x:is>
      </x:c>
      <x:c r="G35" s="848" t="inlineStr">
        <x:is>
          <x:t xml:space="preserve">KÄ370FP26FV</x:t>
        </x:is>
      </x:c>
      <x:c r="H35" s="896" t="inlineStr">
        <x:is>
          <x:t xml:space="preserve">Saknas i EDP – föreslagen ny taxa</x:t>
        </x:is>
      </x:c>
    </x:row>
    <x:row r="36">
      <x:c r="A36" s="849" t="inlineStr">
        <x:is>
          <x:t xml:space="preserve">Taxa_Saknas</x:t>
        </x:is>
      </x:c>
      <x:c r="B36" s="848" t="inlineStr">
        <x:is>
          <x:t xml:space="preserve">§2.2.4</x:t>
        </x:is>
      </x:c>
      <x:c r="C36" s="848" t="n">
        <x:v>54</x:v>
      </x:c>
      <x:c r="D36" s="848" t="n">
        <x:v>40</x:v>
      </x:c>
      <x:c r="E36" s="848" t="inlineStr">
        <x:is>
          <x:t xml:space="preserve">Kärl 370 l (förpackningar)</x:t>
        </x:is>
      </x:c>
      <x:c r="F36" s="848" t="inlineStr">
        <x:is>
          <x:t xml:space="preserve">Hämtning månadsvis</x:t>
        </x:is>
      </x:c>
      <x:c r="G36" s="848" t="inlineStr">
        <x:is>
          <x:t xml:space="preserve">KÄ370FP12FV</x:t>
        </x:is>
      </x:c>
      <x:c r="H36" s="896" t="inlineStr">
        <x:is>
          <x:t xml:space="preserve">Saknas i EDP – föreslagen ny taxa</x:t>
        </x:is>
      </x:c>
    </x:row>
    <x:row r="37">
      <x:c r="A37" s="849" t="inlineStr">
        <x:is>
          <x:t xml:space="preserve">Taxa_Saknas</x:t>
        </x:is>
      </x:c>
      <x:c r="B37" s="848" t="inlineStr">
        <x:is>
          <x:t xml:space="preserve">§2.2.4</x:t>
        </x:is>
      </x:c>
      <x:c r="C37" s="848" t="n">
        <x:v>55</x:v>
      </x:c>
      <x:c r="D37" s="848" t="n">
        <x:v>41</x:v>
      </x:c>
      <x:c r="E37" s="848" t="inlineStr">
        <x:is>
          <x:t xml:space="preserve">Kärl 660 l (förpackningar)</x:t>
        </x:is>
      </x:c>
      <x:c r="F37" s="848" t="inlineStr">
        <x:is>
          <x:t xml:space="preserve">Hämtning varje vecka</x:t>
        </x:is>
      </x:c>
      <x:c r="G37" s="848" t="inlineStr">
        <x:is>
          <x:t xml:space="preserve">KÄ660FP52FV</x:t>
        </x:is>
      </x:c>
      <x:c r="H37" s="896" t="inlineStr">
        <x:is>
          <x:t xml:space="preserve">Saknas i EDP – föreslagen ny taxa</x:t>
        </x:is>
      </x:c>
    </x:row>
    <x:row r="38">
      <x:c r="A38" s="849" t="inlineStr">
        <x:is>
          <x:t xml:space="preserve">Taxa_Saknas</x:t>
        </x:is>
      </x:c>
      <x:c r="B38" s="848" t="inlineStr">
        <x:is>
          <x:t xml:space="preserve">§2.2.4</x:t>
        </x:is>
      </x:c>
      <x:c r="C38" s="848" t="n">
        <x:v>56</x:v>
      </x:c>
      <x:c r="D38" s="848" t="n">
        <x:v>42</x:v>
      </x:c>
      <x:c r="E38" s="848" t="inlineStr">
        <x:is>
          <x:t xml:space="preserve">Kärl 660 l (förpackningar)</x:t>
        </x:is>
      </x:c>
      <x:c r="F38" s="848" t="inlineStr">
        <x:is>
          <x:t xml:space="preserve">Hämtning var 14:e dag</x:t>
        </x:is>
      </x:c>
      <x:c r="G38" s="848" t="inlineStr">
        <x:is>
          <x:t xml:space="preserve">KÄ660FP26FV</x:t>
        </x:is>
      </x:c>
      <x:c r="H38" s="896" t="inlineStr">
        <x:is>
          <x:t xml:space="preserve">Saknas i EDP – föreslagen ny taxa</x:t>
        </x:is>
      </x:c>
    </x:row>
    <x:row r="39">
      <x:c r="A39" s="849" t="inlineStr">
        <x:is>
          <x:t xml:space="preserve">Taxa_Saknas</x:t>
        </x:is>
      </x:c>
      <x:c r="B39" s="848" t="inlineStr">
        <x:is>
          <x:t xml:space="preserve">§2.2.4</x:t>
        </x:is>
      </x:c>
      <x:c r="C39" s="848" t="n">
        <x:v>57</x:v>
      </x:c>
      <x:c r="D39" s="848" t="n">
        <x:v>43</x:v>
      </x:c>
      <x:c r="E39" s="848" t="inlineStr">
        <x:is>
          <x:t xml:space="preserve">Kärl 660 l (förpackningar)</x:t>
        </x:is>
      </x:c>
      <x:c r="F39" s="848" t="inlineStr">
        <x:is>
          <x:t xml:space="preserve">Hämtning månadsvis</x:t>
        </x:is>
      </x:c>
      <x:c r="G39" s="848" t="inlineStr">
        <x:is>
          <x:t xml:space="preserve">KÄ660FP12FV</x:t>
        </x:is>
      </x:c>
      <x:c r="H39" s="896" t="inlineStr">
        <x:is>
          <x:t xml:space="preserve">Saknas i EDP – föreslagen ny taxa</x:t>
        </x:is>
      </x:c>
    </x:row>
    <x:row r="40">
      <x:c r="A40" s="849" t="inlineStr">
        <x:is>
          <x:t xml:space="preserve">Taxa_Saknas</x:t>
        </x:is>
      </x:c>
      <x:c r="B40" s="848" t="inlineStr">
        <x:is>
          <x:t xml:space="preserve">§2.2.4</x:t>
        </x:is>
      </x:c>
      <x:c r="C40" s="848" t="n">
        <x:v>58</x:v>
      </x:c>
      <x:c r="D40" s="848" t="n">
        <x:v>44</x:v>
      </x:c>
      <x:c r="E40" s="848" t="inlineStr">
        <x:is>
          <x:t xml:space="preserve">Kärl 190 l (tidningar och returpapper)</x:t>
        </x:is>
      </x:c>
      <x:c r="F40" s="848" t="inlineStr">
        <x:is>
          <x:t xml:space="preserve">Hämtning varje vecka</x:t>
        </x:is>
      </x:c>
      <x:c r="G40" s="848" t="inlineStr">
        <x:is>
          <x:t xml:space="preserve">KÄ190TI52FV</x:t>
        </x:is>
      </x:c>
      <x:c r="H40" s="896" t="inlineStr">
        <x:is>
          <x:t xml:space="preserve">Saknas i EDP – föreslagen ny taxa</x:t>
        </x:is>
      </x:c>
    </x:row>
    <x:row r="41">
      <x:c r="A41" s="849" t="inlineStr">
        <x:is>
          <x:t xml:space="preserve">Taxa_Saknas</x:t>
        </x:is>
      </x:c>
      <x:c r="B41" s="848" t="inlineStr">
        <x:is>
          <x:t xml:space="preserve">§2.2.4</x:t>
        </x:is>
      </x:c>
      <x:c r="C41" s="848" t="n">
        <x:v>59</x:v>
      </x:c>
      <x:c r="D41" s="848" t="n">
        <x:v>45</x:v>
      </x:c>
      <x:c r="E41" s="848" t="inlineStr">
        <x:is>
          <x:t xml:space="preserve">Kärl 190 l (tidningar och returpapper)</x:t>
        </x:is>
      </x:c>
      <x:c r="F41" s="848" t="inlineStr">
        <x:is>
          <x:t xml:space="preserve">Hämtning var 14:e dag</x:t>
        </x:is>
      </x:c>
      <x:c r="G41" s="848" t="inlineStr">
        <x:is>
          <x:t xml:space="preserve">KÄ190TI26FV</x:t>
        </x:is>
      </x:c>
      <x:c r="H41" s="896" t="inlineStr">
        <x:is>
          <x:t xml:space="preserve">Saknas i EDP – föreslagen ny taxa</x:t>
        </x:is>
      </x:c>
    </x:row>
    <x:row r="42">
      <x:c r="A42" s="849" t="inlineStr">
        <x:is>
          <x:t xml:space="preserve">Taxa_Saknas</x:t>
        </x:is>
      </x:c>
      <x:c r="B42" s="848" t="inlineStr">
        <x:is>
          <x:t xml:space="preserve">§2.2.4</x:t>
        </x:is>
      </x:c>
      <x:c r="C42" s="848" t="n">
        <x:v>60</x:v>
      </x:c>
      <x:c r="D42" s="848" t="n">
        <x:v>46</x:v>
      </x:c>
      <x:c r="E42" s="848" t="inlineStr">
        <x:is>
          <x:t xml:space="preserve">Kärl 190 l (tidningar och returpapper)</x:t>
        </x:is>
      </x:c>
      <x:c r="F42" s="848" t="inlineStr">
        <x:is>
          <x:t xml:space="preserve">Hämtning månadsvis</x:t>
        </x:is>
      </x:c>
      <x:c r="G42" s="848" t="inlineStr">
        <x:is>
          <x:t xml:space="preserve">KÄ190TI12FV</x:t>
        </x:is>
      </x:c>
      <x:c r="H42" s="896" t="inlineStr">
        <x:is>
          <x:t xml:space="preserve">Saknas i EDP – föreslagen ny taxa</x:t>
        </x:is>
      </x:c>
    </x:row>
    <x:row r="43">
      <x:c r="A43" s="849" t="inlineStr">
        <x:is>
          <x:t xml:space="preserve">Taxa_Saknas</x:t>
        </x:is>
      </x:c>
      <x:c r="B43" s="848" t="inlineStr">
        <x:is>
          <x:t xml:space="preserve">§2.2.4</x:t>
        </x:is>
      </x:c>
      <x:c r="C43" s="848" t="n">
        <x:v>61</x:v>
      </x:c>
      <x:c r="D43" s="848" t="n">
        <x:v>47</x:v>
      </x:c>
      <x:c r="E43" s="848" t="inlineStr">
        <x:is>
          <x:t xml:space="preserve">Kärl 370 l (tidningar och returpapper)</x:t>
        </x:is>
      </x:c>
      <x:c r="F43" s="848" t="inlineStr">
        <x:is>
          <x:t xml:space="preserve">Hämtning varje vecka</x:t>
        </x:is>
      </x:c>
      <x:c r="G43" s="848" t="inlineStr">
        <x:is>
          <x:t xml:space="preserve">KÄ370TI52FV</x:t>
        </x:is>
      </x:c>
      <x:c r="H43" s="896" t="inlineStr">
        <x:is>
          <x:t xml:space="preserve">Saknas i EDP – föreslagen ny taxa</x:t>
        </x:is>
      </x:c>
    </x:row>
    <x:row r="44">
      <x:c r="A44" s="849" t="inlineStr">
        <x:is>
          <x:t xml:space="preserve">Taxa_Saknas</x:t>
        </x:is>
      </x:c>
      <x:c r="B44" s="848" t="inlineStr">
        <x:is>
          <x:t xml:space="preserve">§2.2.4</x:t>
        </x:is>
      </x:c>
      <x:c r="C44" s="848" t="n">
        <x:v>62</x:v>
      </x:c>
      <x:c r="D44" s="848" t="n">
        <x:v>48</x:v>
      </x:c>
      <x:c r="E44" s="848" t="inlineStr">
        <x:is>
          <x:t xml:space="preserve">Kärl 370 l (tidningar och returpapper)</x:t>
        </x:is>
      </x:c>
      <x:c r="F44" s="848" t="inlineStr">
        <x:is>
          <x:t xml:space="preserve">Hämtning var 14:e dag</x:t>
        </x:is>
      </x:c>
      <x:c r="G44" s="848" t="inlineStr">
        <x:is>
          <x:t xml:space="preserve">KÄ370TI26FV</x:t>
        </x:is>
      </x:c>
      <x:c r="H44" s="896" t="inlineStr">
        <x:is>
          <x:t xml:space="preserve">Saknas i EDP – föreslagen ny taxa</x:t>
        </x:is>
      </x:c>
    </x:row>
    <x:row r="45">
      <x:c r="A45" s="849" t="inlineStr">
        <x:is>
          <x:t xml:space="preserve">Taxa_Saknas</x:t>
        </x:is>
      </x:c>
      <x:c r="B45" s="848" t="inlineStr">
        <x:is>
          <x:t xml:space="preserve">§2.2.4</x:t>
        </x:is>
      </x:c>
      <x:c r="C45" s="848" t="n">
        <x:v>63</x:v>
      </x:c>
      <x:c r="D45" s="848" t="n">
        <x:v>49</x:v>
      </x:c>
      <x:c r="E45" s="848" t="inlineStr">
        <x:is>
          <x:t xml:space="preserve">Kärl 370 l (tidningar och returpapper)</x:t>
        </x:is>
      </x:c>
      <x:c r="F45" s="848" t="inlineStr">
        <x:is>
          <x:t xml:space="preserve">Hämtning månadsvis</x:t>
        </x:is>
      </x:c>
      <x:c r="G45" s="848" t="inlineStr">
        <x:is>
          <x:t xml:space="preserve">KÄ370TI12FV</x:t>
        </x:is>
      </x:c>
      <x:c r="H45" s="896" t="inlineStr">
        <x:is>
          <x:t xml:space="preserve">Saknas i EDP – föreslagen ny taxa</x:t>
        </x:is>
      </x:c>
    </x:row>
    <x:row r="46">
      <x:c r="A46" s="849" t="inlineStr">
        <x:is>
          <x:t xml:space="preserve">Taxa_Saknas</x:t>
        </x:is>
      </x:c>
      <x:c r="B46" s="848" t="inlineStr">
        <x:is>
          <x:t xml:space="preserve">§2.2.4</x:t>
        </x:is>
      </x:c>
      <x:c r="C46" s="848" t="n">
        <x:v>64</x:v>
      </x:c>
      <x:c r="D46" s="848" t="n">
        <x:v>50</x:v>
      </x:c>
      <x:c r="E46" s="848" t="inlineStr">
        <x:is>
          <x:t xml:space="preserve">Bottentömmande behållare (mat-/restavfall, förpackningar)</x:t>
        </x:is>
      </x:c>
      <x:c r="F46" s="848" t="inlineStr">
        <x:is>
          <x:t xml:space="preserve">Avgift per tömning</x:t>
        </x:is>
      </x:c>
      <x:c r="G46" s="848" t="inlineStr">
        <x:is>
          <x:t xml:space="preserve">BTMRFV</x:t>
        </x:is>
      </x:c>
      <x:c r="H46" s="896" t="inlineStr">
        <x:is>
          <x:t xml:space="preserve">Saknas i EDP – föreslagen ny taxa</x:t>
        </x:is>
      </x:c>
    </x:row>
    <x:row r="47">
      <x:c r="A47" s="849" t="inlineStr">
        <x:is>
          <x:t xml:space="preserve">Taxa_Saknas</x:t>
        </x:is>
      </x:c>
      <x:c r="B47" s="848" t="inlineStr">
        <x:is>
          <x:t xml:space="preserve">§2.2.4</x:t>
        </x:is>
      </x:c>
      <x:c r="C47" s="848" t="n">
        <x:v>65</x:v>
      </x:c>
      <x:c r="D47" s="848" t="n">
        <x:v>51</x:v>
      </x:c>
      <x:c r="E47" s="848" t="inlineStr">
        <x:is>
          <x:t xml:space="preserve">Bottentömmande behållare (mat-/restavfall, förpackningar)</x:t>
        </x:is>
      </x:c>
      <x:c r="F47" s="848" t="inlineStr">
        <x:is>
          <x:t xml:space="preserve">Tillägg för två tömningar per vecka</x:t>
        </x:is>
      </x:c>
      <x:c r="G47" s="848" t="inlineStr">
        <x:is>
          <x:t xml:space="preserve">BTMR2VFV</x:t>
        </x:is>
      </x:c>
      <x:c r="H47" s="896" t="inlineStr">
        <x:is>
          <x:t xml:space="preserve">Saknas i EDP – föreslagen ny taxa</x:t>
        </x:is>
      </x:c>
    </x:row>
    <x:row r="48">
      <x:c r="A48" s="849" t="inlineStr">
        <x:is>
          <x:t xml:space="preserve">Taxa_Saknas</x:t>
        </x:is>
      </x:c>
      <x:c r="B48" s="848" t="inlineStr">
        <x:is>
          <x:t xml:space="preserve">§2.2.4</x:t>
        </x:is>
      </x:c>
      <x:c r="C48" s="848" t="n">
        <x:v>66</x:v>
      </x:c>
      <x:c r="D48" s="848" t="n">
        <x:v>52</x:v>
      </x:c>
      <x:c r="E48" s="848" t="inlineStr">
        <x:is>
          <x:t xml:space="preserve">Gemensam uppsamlingsplats för mat-/restavfall, förpackningar</x:t>
        </x:is>
      </x:c>
      <x:c r="F48" s="848" t="inlineStr">
        <x:is>
          <x:t xml:space="preserve">Avgift per lägenhet</x:t>
        </x:is>
      </x:c>
      <x:c r="G48" s="848" t="inlineStr">
        <x:is>
          <x:t xml:space="preserve">GEMUPPMRFPFV</x:t>
        </x:is>
      </x:c>
      <x:c r="H48" s="896" t="inlineStr">
        <x:is>
          <x:t xml:space="preserve">Saknas i EDP – föreslagen ny taxa</x:t>
        </x:is>
      </x:c>
    </x:row>
    <x:row r="49">
      <x:c r="A49" s="849" t="inlineStr">
        <x:is>
          <x:t xml:space="preserve">Taxa_Saknas</x:t>
        </x:is>
      </x:c>
      <x:c r="B49" s="848" t="inlineStr">
        <x:is>
          <x:t xml:space="preserve">§2.2.5</x:t>
        </x:is>
      </x:c>
      <x:c r="C49" s="848" t="n">
        <x:v>69</x:v>
      </x:c>
      <x:c r="D49" s="848" t="n">
        <x:v>53</x:v>
      </x:c>
      <x:c r="E49" s="848" t="inlineStr">
        <x:is>
          <x:t xml:space="preserve">Kärl 240 l (mat-/restavfall)</x:t>
        </x:is>
      </x:c>
      <x:c r="F49" s="848" t="inlineStr">
        <x:is>
          <x:t xml:space="preserve">Hämtning varje vecka</x:t>
        </x:is>
      </x:c>
      <x:c r="G49" s="848" t="inlineStr">
        <x:is>
          <x:t xml:space="preserve">KÄ240RM52FV</x:t>
        </x:is>
      </x:c>
      <x:c r="H49" s="896" t="inlineStr">
        <x:is>
          <x:t xml:space="preserve">Dublett/Osäker – befintlig EDP-träff används redan i Taxepunkter</x:t>
        </x:is>
      </x:c>
    </x:row>
    <x:row r="50">
      <x:c r="A50" s="849" t="inlineStr">
        <x:is>
          <x:t xml:space="preserve">Taxa_Saknas</x:t>
        </x:is>
      </x:c>
      <x:c r="B50" s="848" t="inlineStr">
        <x:is>
          <x:t xml:space="preserve">§2.2.5</x:t>
        </x:is>
      </x:c>
      <x:c r="C50" s="848" t="n">
        <x:v>70</x:v>
      </x:c>
      <x:c r="D50" s="848" t="n">
        <x:v>54</x:v>
      </x:c>
      <x:c r="E50" s="848" t="inlineStr">
        <x:is>
          <x:t xml:space="preserve">Kärl 240 l (mat-/restavfall)</x:t>
        </x:is>
      </x:c>
      <x:c r="F50" s="848" t="inlineStr">
        <x:is>
          <x:t xml:space="preserve">Hämtning var 14:e dag</x:t>
        </x:is>
      </x:c>
      <x:c r="G50" s="848" t="inlineStr">
        <x:is>
          <x:t xml:space="preserve">KÄ240RM26FV</x:t>
        </x:is>
      </x:c>
      <x:c r="H50" s="896" t="inlineStr">
        <x:is>
          <x:t xml:space="preserve">Dublett/Osäker – befintlig EDP-träff används redan i Taxepunkter</x:t>
        </x:is>
      </x:c>
    </x:row>
    <x:row r="51">
      <x:c r="A51" s="849" t="inlineStr">
        <x:is>
          <x:t xml:space="preserve">Taxa_Saknas</x:t>
        </x:is>
      </x:c>
      <x:c r="B51" s="848" t="inlineStr">
        <x:is>
          <x:t xml:space="preserve">§2.2.5</x:t>
        </x:is>
      </x:c>
      <x:c r="C51" s="848" t="n">
        <x:v>71</x:v>
      </x:c>
      <x:c r="D51" s="848" t="n">
        <x:v>55</x:v>
      </x:c>
      <x:c r="E51" s="848" t="inlineStr">
        <x:is>
          <x:t xml:space="preserve">Kärl 240 l (mat-/restavfall)</x:t>
        </x:is>
      </x:c>
      <x:c r="F51" s="848" t="inlineStr">
        <x:is>
          <x:t xml:space="preserve">Hämtning månadsvis</x:t>
        </x:is>
      </x:c>
      <x:c r="G51" s="848" t="inlineStr">
        <x:is>
          <x:t xml:space="preserve">KÄ240RM12FV</x:t>
        </x:is>
      </x:c>
      <x:c r="H51" s="896" t="inlineStr">
        <x:is>
          <x:t xml:space="preserve">Saknas i EDP – föreslagen ny taxa</x:t>
        </x:is>
      </x:c>
    </x:row>
    <x:row r="52">
      <x:c r="A52" s="849" t="inlineStr">
        <x:is>
          <x:t xml:space="preserve">Taxa_Saknas</x:t>
        </x:is>
      </x:c>
      <x:c r="B52" s="848" t="inlineStr">
        <x:is>
          <x:t xml:space="preserve">§2.2.5</x:t>
        </x:is>
      </x:c>
      <x:c r="C52" s="848" t="n">
        <x:v>72</x:v>
      </x:c>
      <x:c r="D52" s="848" t="n">
        <x:v>56</x:v>
      </x:c>
      <x:c r="E52" s="848" t="inlineStr">
        <x:is>
          <x:t xml:space="preserve">Kärl 370 l (restavfall)</x:t>
        </x:is>
      </x:c>
      <x:c r="F52" s="848" t="inlineStr">
        <x:is>
          <x:t xml:space="preserve">Hämtning varje vecka</x:t>
        </x:is>
      </x:c>
      <x:c r="G52" s="848" t="inlineStr">
        <x:is>
          <x:t xml:space="preserve">KÄ370RE52FV</x:t>
        </x:is>
      </x:c>
      <x:c r="H52" s="896" t="inlineStr">
        <x:is>
          <x:t xml:space="preserve">Dublett/Osäker – befintlig EDP-träff används redan i Taxepunkter</x:t>
        </x:is>
      </x:c>
    </x:row>
    <x:row r="53">
      <x:c r="A53" s="849" t="inlineStr">
        <x:is>
          <x:t xml:space="preserve">Taxa_Saknas</x:t>
        </x:is>
      </x:c>
      <x:c r="B53" s="848" t="inlineStr">
        <x:is>
          <x:t xml:space="preserve">§2.2.5</x:t>
        </x:is>
      </x:c>
      <x:c r="C53" s="848" t="n">
        <x:v>73</x:v>
      </x:c>
      <x:c r="D53" s="848" t="n">
        <x:v>57</x:v>
      </x:c>
      <x:c r="E53" s="848" t="inlineStr">
        <x:is>
          <x:t xml:space="preserve">Kärl 370 l (restavfall)</x:t>
        </x:is>
      </x:c>
      <x:c r="F53" s="848" t="inlineStr">
        <x:is>
          <x:t xml:space="preserve">Hämtning var 14:e dag</x:t>
        </x:is>
      </x:c>
      <x:c r="G53" s="848" t="inlineStr">
        <x:is>
          <x:t xml:space="preserve">KÄ370RE26FV</x:t>
        </x:is>
      </x:c>
      <x:c r="H53" s="896" t="inlineStr">
        <x:is>
          <x:t xml:space="preserve">Dublett/Osäker – befintlig EDP-träff används redan i Taxepunkter</x:t>
        </x:is>
      </x:c>
    </x:row>
    <x:row r="54">
      <x:c r="A54" s="849" t="inlineStr">
        <x:is>
          <x:t xml:space="preserve">Taxa_Saknas</x:t>
        </x:is>
      </x:c>
      <x:c r="B54" s="848" t="inlineStr">
        <x:is>
          <x:t xml:space="preserve">§2.2.5</x:t>
        </x:is>
      </x:c>
      <x:c r="C54" s="848" t="n">
        <x:v>74</x:v>
      </x:c>
      <x:c r="D54" s="848" t="n">
        <x:v>58</x:v>
      </x:c>
      <x:c r="E54" s="848" t="inlineStr">
        <x:is>
          <x:t xml:space="preserve">Kärl 370 l (restavfall)</x:t>
        </x:is>
      </x:c>
      <x:c r="F54" s="848" t="inlineStr">
        <x:is>
          <x:t xml:space="preserve">Hämtning månadsvis</x:t>
        </x:is>
      </x:c>
      <x:c r="G54" s="848" t="inlineStr">
        <x:is>
          <x:t xml:space="preserve">KÄ370RE12FV</x:t>
        </x:is>
      </x:c>
      <x:c r="H54" s="896" t="inlineStr">
        <x:is>
          <x:t xml:space="preserve">Saknas i EDP – föreslagen ny taxa</x:t>
        </x:is>
      </x:c>
    </x:row>
    <x:row r="55">
      <x:c r="A55" s="849" t="inlineStr">
        <x:is>
          <x:t xml:space="preserve">Taxa_Saknas</x:t>
        </x:is>
      </x:c>
      <x:c r="B55" s="848" t="inlineStr">
        <x:is>
          <x:t xml:space="preserve">§2.2.5</x:t>
        </x:is>
      </x:c>
      <x:c r="C55" s="848" t="n">
        <x:v>75</x:v>
      </x:c>
      <x:c r="D55" s="848" t="n">
        <x:v>59</x:v>
      </x:c>
      <x:c r="E55" s="848" t="inlineStr">
        <x:is>
          <x:t xml:space="preserve">Kärl 660 l (restavfall)</x:t>
        </x:is>
      </x:c>
      <x:c r="F55" s="848" t="inlineStr">
        <x:is>
          <x:t xml:space="preserve">Hämtning varje vecka</x:t>
        </x:is>
      </x:c>
      <x:c r="G55" s="848" t="inlineStr">
        <x:is>
          <x:t xml:space="preserve">KÄ660RE52FV</x:t>
        </x:is>
      </x:c>
      <x:c r="H55" s="896" t="inlineStr">
        <x:is>
          <x:t xml:space="preserve">Dublett/Osäker – befintlig EDP-träff används redan i Taxepunkter</x:t>
        </x:is>
      </x:c>
    </x:row>
    <x:row r="56">
      <x:c r="A56" s="849" t="inlineStr">
        <x:is>
          <x:t xml:space="preserve">Taxa_Saknas</x:t>
        </x:is>
      </x:c>
      <x:c r="B56" s="848" t="inlineStr">
        <x:is>
          <x:t xml:space="preserve">§2.2.5</x:t>
        </x:is>
      </x:c>
      <x:c r="C56" s="848" t="n">
        <x:v>76</x:v>
      </x:c>
      <x:c r="D56" s="848" t="n">
        <x:v>60</x:v>
      </x:c>
      <x:c r="E56" s="848" t="inlineStr">
        <x:is>
          <x:t xml:space="preserve">Kärl 660 l (restavfall)</x:t>
        </x:is>
      </x:c>
      <x:c r="F56" s="848" t="inlineStr">
        <x:is>
          <x:t xml:space="preserve">Hämtning var 14:e dag</x:t>
        </x:is>
      </x:c>
      <x:c r="G56" s="848" t="inlineStr">
        <x:is>
          <x:t xml:space="preserve">KÄ660RE26FV</x:t>
        </x:is>
      </x:c>
      <x:c r="H56" s="896" t="inlineStr">
        <x:is>
          <x:t xml:space="preserve">Dublett/Osäker – befintlig EDP-träff används redan i Taxepunkter</x:t>
        </x:is>
      </x:c>
    </x:row>
    <x:row r="57">
      <x:c r="A57" s="849" t="inlineStr">
        <x:is>
          <x:t xml:space="preserve">Taxa_Saknas</x:t>
        </x:is>
      </x:c>
      <x:c r="B57" s="848" t="inlineStr">
        <x:is>
          <x:t xml:space="preserve">§2.2.5</x:t>
        </x:is>
      </x:c>
      <x:c r="C57" s="848" t="n">
        <x:v>77</x:v>
      </x:c>
      <x:c r="D57" s="848" t="n">
        <x:v>61</x:v>
      </x:c>
      <x:c r="E57" s="848" t="inlineStr">
        <x:is>
          <x:t xml:space="preserve">Kärl 660 l (restavfall)</x:t>
        </x:is>
      </x:c>
      <x:c r="F57" s="848" t="inlineStr">
        <x:is>
          <x:t xml:space="preserve">Hämtning månadsvis</x:t>
        </x:is>
      </x:c>
      <x:c r="G57" s="848" t="inlineStr">
        <x:is>
          <x:t xml:space="preserve">KÄ660RE12FV</x:t>
        </x:is>
      </x:c>
      <x:c r="H57" s="896" t="inlineStr">
        <x:is>
          <x:t xml:space="preserve">Saknas i EDP – föreslagen ny taxa</x:t>
        </x:is>
      </x:c>
    </x:row>
    <x:row r="58">
      <x:c r="A58" s="849" t="inlineStr">
        <x:is>
          <x:t xml:space="preserve">Taxa_Saknas</x:t>
        </x:is>
      </x:c>
      <x:c r="B58" s="848" t="inlineStr">
        <x:is>
          <x:t xml:space="preserve">§2.2.5</x:t>
        </x:is>
      </x:c>
      <x:c r="C58" s="848" t="n">
        <x:v>78</x:v>
      </x:c>
      <x:c r="D58" s="848" t="n">
        <x:v>62</x:v>
      </x:c>
      <x:c r="E58" s="848" t="inlineStr">
        <x:is>
          <x:t xml:space="preserve">Kärl 140 l (matavfall)</x:t>
        </x:is>
      </x:c>
      <x:c r="F58" s="848" t="inlineStr">
        <x:is>
          <x:t xml:space="preserve">Hämtning varje vecka</x:t>
        </x:is>
      </x:c>
      <x:c r="G58" s="848" t="inlineStr">
        <x:is>
          <x:t xml:space="preserve">KÄ140MA52FV</x:t>
        </x:is>
      </x:c>
      <x:c r="H58" s="896" t="inlineStr">
        <x:is>
          <x:t xml:space="preserve">Dublett/Osäker – befintlig EDP-träff används redan i Taxepunkter</x:t>
        </x:is>
      </x:c>
    </x:row>
    <x:row r="59">
      <x:c r="A59" s="849" t="inlineStr">
        <x:is>
          <x:t xml:space="preserve">Taxa_Saknas</x:t>
        </x:is>
      </x:c>
      <x:c r="B59" s="848" t="inlineStr">
        <x:is>
          <x:t xml:space="preserve">§2.2.5</x:t>
        </x:is>
      </x:c>
      <x:c r="C59" s="848" t="n">
        <x:v>79</x:v>
      </x:c>
      <x:c r="D59" s="848" t="n">
        <x:v>63</x:v>
      </x:c>
      <x:c r="E59" s="848" t="inlineStr">
        <x:is>
          <x:t xml:space="preserve">Kärl 140 l (matavfall)</x:t>
        </x:is>
      </x:c>
      <x:c r="F59" s="848" t="inlineStr">
        <x:is>
          <x:t xml:space="preserve">Hämtning var 14:e dag</x:t>
        </x:is>
      </x:c>
      <x:c r="G59" s="848" t="inlineStr">
        <x:is>
          <x:t xml:space="preserve">KÄ140MA26FV</x:t>
        </x:is>
      </x:c>
      <x:c r="H59" s="896" t="inlineStr">
        <x:is>
          <x:t xml:space="preserve">Dublett/Osäker – befintlig EDP-träff används redan i Taxepunkter</x:t>
        </x:is>
      </x:c>
    </x:row>
    <x:row r="60">
      <x:c r="A60" s="849" t="inlineStr">
        <x:is>
          <x:t xml:space="preserve">Taxa_Saknas</x:t>
        </x:is>
      </x:c>
      <x:c r="B60" s="848" t="inlineStr">
        <x:is>
          <x:t xml:space="preserve">§2.2.5</x:t>
        </x:is>
      </x:c>
      <x:c r="C60" s="848" t="n">
        <x:v>80</x:v>
      </x:c>
      <x:c r="D60" s="848" t="n">
        <x:v>64</x:v>
      </x:c>
      <x:c r="E60" s="848" t="inlineStr">
        <x:is>
          <x:t xml:space="preserve">Kärl 140 l (matavfall)</x:t>
        </x:is>
      </x:c>
      <x:c r="F60" s="848" t="inlineStr">
        <x:is>
          <x:t xml:space="preserve">Hämtning månadsvis</x:t>
        </x:is>
      </x:c>
      <x:c r="G60" s="848" t="inlineStr">
        <x:is>
          <x:t xml:space="preserve">KÄ140MA12FV</x:t>
        </x:is>
      </x:c>
      <x:c r="H60" s="896" t="inlineStr">
        <x:is>
          <x:t xml:space="preserve">Saknas i EDP – föreslagen ny taxa</x:t>
        </x:is>
      </x:c>
    </x:row>
    <x:row r="61">
      <x:c r="A61" s="849" t="inlineStr">
        <x:is>
          <x:t xml:space="preserve">Taxa_Saknas</x:t>
        </x:is>
      </x:c>
      <x:c r="B61" s="848" t="inlineStr">
        <x:is>
          <x:t xml:space="preserve">§2.2.5</x:t>
        </x:is>
      </x:c>
      <x:c r="C61" s="848" t="n">
        <x:v>81</x:v>
      </x:c>
      <x:c r="D61" s="848" t="n">
        <x:v>65</x:v>
      </x:c>
      <x:c r="E61" s="848" t="inlineStr">
        <x:is>
          <x:t xml:space="preserve">Bottentömmande behållare (mat-/restavfall)</x:t>
        </x:is>
      </x:c>
      <x:c r="F61" s="848" t="inlineStr">
        <x:is>
          <x:t xml:space="preserve">Avgift per tömning</x:t>
        </x:is>
      </x:c>
      <x:c r="G61" s="848" t="inlineStr">
        <x:is>
          <x:t xml:space="preserve">BTMRFV</x:t>
        </x:is>
      </x:c>
      <x:c r="H61" s="896" t="inlineStr">
        <x:is>
          <x:t xml:space="preserve">Saknas i EDP – föreslagen ny taxa</x:t>
        </x:is>
      </x:c>
    </x:row>
    <x:row r="62">
      <x:c r="A62" s="849" t="inlineStr">
        <x:is>
          <x:t xml:space="preserve">Taxa_Saknas</x:t>
        </x:is>
      </x:c>
      <x:c r="B62" s="848" t="inlineStr">
        <x:is>
          <x:t xml:space="preserve">§2.2.5</x:t>
        </x:is>
      </x:c>
      <x:c r="C62" s="848" t="n">
        <x:v>82</x:v>
      </x:c>
      <x:c r="D62" s="848" t="n">
        <x:v>66</x:v>
      </x:c>
      <x:c r="E62" s="848" t="inlineStr">
        <x:is>
          <x:t xml:space="preserve">Lastväxlarflak (restavfall)</x:t>
        </x:is>
      </x:c>
      <x:c r="F62" s="848" t="inlineStr">
        <x:is>
          <x:t xml:space="preserve">Avgift per tömning</x:t>
        </x:is>
      </x:c>
      <x:c r="G62" s="848" t="inlineStr">
        <x:is>
          <x:t xml:space="preserve">LVREFV</x:t>
        </x:is>
      </x:c>
      <x:c r="H62" s="896" t="inlineStr">
        <x:is>
          <x:t xml:space="preserve">Saknas i EDP – föreslagen ny taxa</x:t>
        </x:is>
      </x:c>
    </x:row>
    <x:row r="63">
      <x:c r="A63" s="849" t="inlineStr">
        <x:is>
          <x:t xml:space="preserve">Taxa_Saknas</x:t>
        </x:is>
      </x:c>
      <x:c r="B63" s="848" t="inlineStr">
        <x:is>
          <x:t xml:space="preserve">§2.2.5</x:t>
        </x:is>
      </x:c>
      <x:c r="C63" s="848" t="n">
        <x:v>83</x:v>
      </x:c>
      <x:c r="D63" s="848" t="n">
        <x:v>67</x:v>
      </x:c>
      <x:c r="E63" s="848" t="inlineStr">
        <x:is>
          <x:t xml:space="preserve">Bottentömmande behållare (mat-/restavfall)</x:t>
        </x:is>
      </x:c>
      <x:c r="F63" s="848" t="inlineStr">
        <x:is>
          <x:t xml:space="preserve">Tillägg för två tömningar per vecka</x:t>
        </x:is>
      </x:c>
      <x:c r="G63" s="848" t="inlineStr">
        <x:is>
          <x:t xml:space="preserve">BTMR2VFV</x:t>
        </x:is>
      </x:c>
      <x:c r="H63" s="896" t="inlineStr">
        <x:is>
          <x:t xml:space="preserve">Saknas i EDP – föreslagen ny taxa</x:t>
        </x:is>
      </x:c>
    </x:row>
    <x:row r="64">
      <x:c r="A64" s="849" t="inlineStr">
        <x:is>
          <x:t xml:space="preserve">Taxa_Saknas</x:t>
        </x:is>
      </x:c>
      <x:c r="B64" s="848" t="inlineStr">
        <x:is>
          <x:t xml:space="preserve">§2.2.6</x:t>
        </x:is>
      </x:c>
      <x:c r="C64" s="848" t="n">
        <x:v>86</x:v>
      </x:c>
      <x:c r="D64" s="848" t="n">
        <x:v>68</x:v>
      </x:c>
      <x:c r="E64" s="848" t="inlineStr">
        <x:is>
          <x:t xml:space="preserve">Kärl 240 l (mat-/restavfall)</x:t>
        </x:is>
      </x:c>
      <x:c r="F64" s="848" t="inlineStr">
        <x:is>
          <x:t xml:space="preserve">Hämtning varje vecka</x:t>
        </x:is>
      </x:c>
      <x:c r="G64" s="848" t="inlineStr">
        <x:is>
          <x:t xml:space="preserve">KÄ240RM52FV</x:t>
        </x:is>
      </x:c>
      <x:c r="H64" s="896" t="inlineStr">
        <x:is>
          <x:t xml:space="preserve">Dublett/Osäker – befintlig EDP-träff används redan i Taxepunkter</x:t>
        </x:is>
      </x:c>
    </x:row>
    <x:row r="65">
      <x:c r="A65" s="849" t="inlineStr">
        <x:is>
          <x:t xml:space="preserve">Taxa_Saknas</x:t>
        </x:is>
      </x:c>
      <x:c r="B65" s="848" t="inlineStr">
        <x:is>
          <x:t xml:space="preserve">§2.2.6</x:t>
        </x:is>
      </x:c>
      <x:c r="C65" s="848" t="n">
        <x:v>87</x:v>
      </x:c>
      <x:c r="D65" s="848" t="n">
        <x:v>69</x:v>
      </x:c>
      <x:c r="E65" s="848" t="inlineStr">
        <x:is>
          <x:t xml:space="preserve">Kärl 240 l (mat-/restavfall)</x:t>
        </x:is>
      </x:c>
      <x:c r="F65" s="848" t="inlineStr">
        <x:is>
          <x:t xml:space="preserve">Hämtning var 14:e dag</x:t>
        </x:is>
      </x:c>
      <x:c r="G65" s="848" t="inlineStr">
        <x:is>
          <x:t xml:space="preserve">KÄ240RM26FV</x:t>
        </x:is>
      </x:c>
      <x:c r="H65" s="896" t="inlineStr">
        <x:is>
          <x:t xml:space="preserve">Dublett/Osäker – befintlig EDP-träff används redan i Taxepunkter</x:t>
        </x:is>
      </x:c>
    </x:row>
    <x:row r="66">
      <x:c r="A66" s="849" t="inlineStr">
        <x:is>
          <x:t xml:space="preserve">Taxa_Saknas</x:t>
        </x:is>
      </x:c>
      <x:c r="B66" s="848" t="inlineStr">
        <x:is>
          <x:t xml:space="preserve">§2.2.6</x:t>
        </x:is>
      </x:c>
      <x:c r="C66" s="848" t="n">
        <x:v>88</x:v>
      </x:c>
      <x:c r="D66" s="848" t="n">
        <x:v>70</x:v>
      </x:c>
      <x:c r="E66" s="848" t="inlineStr">
        <x:is>
          <x:t xml:space="preserve">Kärl 240 l (mat-/restavfall)</x:t>
        </x:is>
      </x:c>
      <x:c r="F66" s="848" t="inlineStr">
        <x:is>
          <x:t xml:space="preserve">Hämtning månadsvis</x:t>
        </x:is>
      </x:c>
      <x:c r="G66" s="848" t="inlineStr">
        <x:is>
          <x:t xml:space="preserve">KÄ240RM12FV</x:t>
        </x:is>
      </x:c>
      <x:c r="H66" s="896" t="inlineStr">
        <x:is>
          <x:t xml:space="preserve">Saknas i EDP – föreslagen ny taxa</x:t>
        </x:is>
      </x:c>
    </x:row>
    <x:row r="67">
      <x:c r="A67" s="849" t="inlineStr">
        <x:is>
          <x:t xml:space="preserve">Taxa_Saknas</x:t>
        </x:is>
      </x:c>
      <x:c r="B67" s="848" t="inlineStr">
        <x:is>
          <x:t xml:space="preserve">§2.2.6</x:t>
        </x:is>
      </x:c>
      <x:c r="C67" s="848" t="n">
        <x:v>89</x:v>
      </x:c>
      <x:c r="D67" s="848" t="n">
        <x:v>71</x:v>
      </x:c>
      <x:c r="E67" s="848" t="inlineStr">
        <x:is>
          <x:t xml:space="preserve">Kärl 370 l (restavfall)</x:t>
        </x:is>
      </x:c>
      <x:c r="F67" s="848" t="inlineStr">
        <x:is>
          <x:t xml:space="preserve">Hämtning varje vecka</x:t>
        </x:is>
      </x:c>
      <x:c r="G67" s="848" t="inlineStr">
        <x:is>
          <x:t xml:space="preserve">KÄ370RE52FV</x:t>
        </x:is>
      </x:c>
      <x:c r="H67" s="896" t="inlineStr">
        <x:is>
          <x:t xml:space="preserve">Dublett/Osäker – befintlig EDP-träff används redan i Taxepunkter</x:t>
        </x:is>
      </x:c>
    </x:row>
    <x:row r="68">
      <x:c r="A68" s="849" t="inlineStr">
        <x:is>
          <x:t xml:space="preserve">Taxa_Saknas</x:t>
        </x:is>
      </x:c>
      <x:c r="B68" s="848" t="inlineStr">
        <x:is>
          <x:t xml:space="preserve">§2.2.6</x:t>
        </x:is>
      </x:c>
      <x:c r="C68" s="848" t="n">
        <x:v>90</x:v>
      </x:c>
      <x:c r="D68" s="848" t="n">
        <x:v>72</x:v>
      </x:c>
      <x:c r="E68" s="848" t="inlineStr">
        <x:is>
          <x:t xml:space="preserve">Kärl 370 l (restavfall)</x:t>
        </x:is>
      </x:c>
      <x:c r="F68" s="848" t="inlineStr">
        <x:is>
          <x:t xml:space="preserve">Hämtning var 14:e dag</x:t>
        </x:is>
      </x:c>
      <x:c r="G68" s="848" t="inlineStr">
        <x:is>
          <x:t xml:space="preserve">KÄ370RE26FV</x:t>
        </x:is>
      </x:c>
      <x:c r="H68" s="896" t="inlineStr">
        <x:is>
          <x:t xml:space="preserve">Dublett/Osäker – befintlig EDP-träff används redan i Taxepunkter</x:t>
        </x:is>
      </x:c>
    </x:row>
    <x:row r="69">
      <x:c r="A69" s="849" t="inlineStr">
        <x:is>
          <x:t xml:space="preserve">Taxa_Saknas</x:t>
        </x:is>
      </x:c>
      <x:c r="B69" s="848" t="inlineStr">
        <x:is>
          <x:t xml:space="preserve">§2.2.6</x:t>
        </x:is>
      </x:c>
      <x:c r="C69" s="848" t="n">
        <x:v>91</x:v>
      </x:c>
      <x:c r="D69" s="848" t="n">
        <x:v>73</x:v>
      </x:c>
      <x:c r="E69" s="848" t="inlineStr">
        <x:is>
          <x:t xml:space="preserve">Kärl 370 l (restavfall)</x:t>
        </x:is>
      </x:c>
      <x:c r="F69" s="848" t="inlineStr">
        <x:is>
          <x:t xml:space="preserve">Hämtning månadsvis</x:t>
        </x:is>
      </x:c>
      <x:c r="G69" s="848" t="inlineStr">
        <x:is>
          <x:t xml:space="preserve">KÄ370RE12FV</x:t>
        </x:is>
      </x:c>
      <x:c r="H69" s="896" t="inlineStr">
        <x:is>
          <x:t xml:space="preserve">Saknas i EDP – föreslagen ny taxa</x:t>
        </x:is>
      </x:c>
    </x:row>
    <x:row r="70">
      <x:c r="A70" s="849" t="inlineStr">
        <x:is>
          <x:t xml:space="preserve">Taxa_Saknas</x:t>
        </x:is>
      </x:c>
      <x:c r="B70" s="848" t="inlineStr">
        <x:is>
          <x:t xml:space="preserve">§2.2.6</x:t>
        </x:is>
      </x:c>
      <x:c r="C70" s="848" t="n">
        <x:v>92</x:v>
      </x:c>
      <x:c r="D70" s="848" t="n">
        <x:v>74</x:v>
      </x:c>
      <x:c r="E70" s="848" t="inlineStr">
        <x:is>
          <x:t xml:space="preserve">Kärl 660 l (restavfall)</x:t>
        </x:is>
      </x:c>
      <x:c r="F70" s="848" t="inlineStr">
        <x:is>
          <x:t xml:space="preserve">Hämtning varje vecka</x:t>
        </x:is>
      </x:c>
      <x:c r="G70" s="848" t="inlineStr">
        <x:is>
          <x:t xml:space="preserve">KÄ660RE52FV</x:t>
        </x:is>
      </x:c>
      <x:c r="H70" s="896" t="inlineStr">
        <x:is>
          <x:t xml:space="preserve">Dublett/Osäker – befintlig EDP-träff används redan i Taxepunkter</x:t>
        </x:is>
      </x:c>
    </x:row>
    <x:row r="71">
      <x:c r="A71" s="849" t="inlineStr">
        <x:is>
          <x:t xml:space="preserve">Taxa_Saknas</x:t>
        </x:is>
      </x:c>
      <x:c r="B71" s="848" t="inlineStr">
        <x:is>
          <x:t xml:space="preserve">§2.2.6</x:t>
        </x:is>
      </x:c>
      <x:c r="C71" s="848" t="n">
        <x:v>93</x:v>
      </x:c>
      <x:c r="D71" s="848" t="n">
        <x:v>75</x:v>
      </x:c>
      <x:c r="E71" s="848" t="inlineStr">
        <x:is>
          <x:t xml:space="preserve">Kärl 660 l (restavfall)</x:t>
        </x:is>
      </x:c>
      <x:c r="F71" s="848" t="inlineStr">
        <x:is>
          <x:t xml:space="preserve">Hämtning var 14:e dag</x:t>
        </x:is>
      </x:c>
      <x:c r="G71" s="848" t="inlineStr">
        <x:is>
          <x:t xml:space="preserve">KÄ660RE26FV</x:t>
        </x:is>
      </x:c>
      <x:c r="H71" s="896" t="inlineStr">
        <x:is>
          <x:t xml:space="preserve">Dublett/Osäker – befintlig EDP-träff används redan i Taxepunkter</x:t>
        </x:is>
      </x:c>
    </x:row>
    <x:row r="72">
      <x:c r="A72" s="849" t="inlineStr">
        <x:is>
          <x:t xml:space="preserve">Taxa_Saknas</x:t>
        </x:is>
      </x:c>
      <x:c r="B72" s="848" t="inlineStr">
        <x:is>
          <x:t xml:space="preserve">§2.2.6</x:t>
        </x:is>
      </x:c>
      <x:c r="C72" s="848" t="n">
        <x:v>94</x:v>
      </x:c>
      <x:c r="D72" s="848" t="n">
        <x:v>76</x:v>
      </x:c>
      <x:c r="E72" s="848" t="inlineStr">
        <x:is>
          <x:t xml:space="preserve">Kärl 660 l (restavfall)</x:t>
        </x:is>
      </x:c>
      <x:c r="F72" s="848" t="inlineStr">
        <x:is>
          <x:t xml:space="preserve">Hämtning månadsvis</x:t>
        </x:is>
      </x:c>
      <x:c r="G72" s="848" t="inlineStr">
        <x:is>
          <x:t xml:space="preserve">KÄ660RE12FV</x:t>
        </x:is>
      </x:c>
      <x:c r="H72" s="896" t="inlineStr">
        <x:is>
          <x:t xml:space="preserve">Saknas i EDP – föreslagen ny taxa</x:t>
        </x:is>
      </x:c>
    </x:row>
    <x:row r="73">
      <x:c r="A73" s="849" t="inlineStr">
        <x:is>
          <x:t xml:space="preserve">Taxa_Saknas</x:t>
        </x:is>
      </x:c>
      <x:c r="B73" s="848" t="inlineStr">
        <x:is>
          <x:t xml:space="preserve">§2.2.6</x:t>
        </x:is>
      </x:c>
      <x:c r="C73" s="848" t="n">
        <x:v>95</x:v>
      </x:c>
      <x:c r="D73" s="848" t="n">
        <x:v>77</x:v>
      </x:c>
      <x:c r="E73" s="848" t="inlineStr">
        <x:is>
          <x:t xml:space="preserve">Kärl 140 l (matavfall)</x:t>
        </x:is>
      </x:c>
      <x:c r="F73" s="848" t="inlineStr">
        <x:is>
          <x:t xml:space="preserve">Hämtning varje vecka</x:t>
        </x:is>
      </x:c>
      <x:c r="G73" s="848" t="inlineStr">
        <x:is>
          <x:t xml:space="preserve">KÄ140MA52FV</x:t>
        </x:is>
      </x:c>
      <x:c r="H73" s="896" t="inlineStr">
        <x:is>
          <x:t xml:space="preserve">Dublett/Osäker – befintlig EDP-träff används redan i Taxepunkter</x:t>
        </x:is>
      </x:c>
    </x:row>
    <x:row r="74">
      <x:c r="A74" s="849" t="inlineStr">
        <x:is>
          <x:t xml:space="preserve">Taxa_Saknas</x:t>
        </x:is>
      </x:c>
      <x:c r="B74" s="848" t="inlineStr">
        <x:is>
          <x:t xml:space="preserve">§2.2.6</x:t>
        </x:is>
      </x:c>
      <x:c r="C74" s="848" t="n">
        <x:v>96</x:v>
      </x:c>
      <x:c r="D74" s="848" t="n">
        <x:v>78</x:v>
      </x:c>
      <x:c r="E74" s="848" t="inlineStr">
        <x:is>
          <x:t xml:space="preserve">Kärl 140 l (matavfall)</x:t>
        </x:is>
      </x:c>
      <x:c r="F74" s="848" t="inlineStr">
        <x:is>
          <x:t xml:space="preserve">Hämtning var 14:e dag</x:t>
        </x:is>
      </x:c>
      <x:c r="G74" s="848" t="inlineStr">
        <x:is>
          <x:t xml:space="preserve">KÄ140MA26FV</x:t>
        </x:is>
      </x:c>
      <x:c r="H74" s="896" t="inlineStr">
        <x:is>
          <x:t xml:space="preserve">Dublett/Osäker – befintlig EDP-träff används redan i Taxepunkter</x:t>
        </x:is>
      </x:c>
    </x:row>
    <x:row r="75">
      <x:c r="A75" s="849" t="inlineStr">
        <x:is>
          <x:t xml:space="preserve">Taxa_Saknas</x:t>
        </x:is>
      </x:c>
      <x:c r="B75" s="848" t="inlineStr">
        <x:is>
          <x:t xml:space="preserve">§2.2.6</x:t>
        </x:is>
      </x:c>
      <x:c r="C75" s="848" t="n">
        <x:v>97</x:v>
      </x:c>
      <x:c r="D75" s="848" t="n">
        <x:v>79</x:v>
      </x:c>
      <x:c r="E75" s="848" t="inlineStr">
        <x:is>
          <x:t xml:space="preserve">Kärl 140 l (matavfall)</x:t>
        </x:is>
      </x:c>
      <x:c r="F75" s="848" t="inlineStr">
        <x:is>
          <x:t xml:space="preserve">Hämtning månadsvis</x:t>
        </x:is>
      </x:c>
      <x:c r="G75" s="848" t="inlineStr">
        <x:is>
          <x:t xml:space="preserve">KÄ140MA12FV</x:t>
        </x:is>
      </x:c>
      <x:c r="H75" s="896" t="inlineStr">
        <x:is>
          <x:t xml:space="preserve">Saknas i EDP – föreslagen ny taxa</x:t>
        </x:is>
      </x:c>
    </x:row>
    <x:row r="76">
      <x:c r="A76" s="849" t="inlineStr">
        <x:is>
          <x:t xml:space="preserve">Taxa_Saknas</x:t>
        </x:is>
      </x:c>
      <x:c r="B76" s="848" t="inlineStr">
        <x:is>
          <x:t xml:space="preserve">§2.2.6</x:t>
        </x:is>
      </x:c>
      <x:c r="C76" s="848" t="n">
        <x:v>98</x:v>
      </x:c>
      <x:c r="D76" s="848" t="n">
        <x:v>80</x:v>
      </x:c>
      <x:c r="E76" s="848" t="inlineStr">
        <x:is>
          <x:t xml:space="preserve">Bottentömmande behållare (mat-/restavfall)</x:t>
        </x:is>
      </x:c>
      <x:c r="F76" s="848" t="inlineStr">
        <x:is>
          <x:t xml:space="preserve">Avgift per tömning</x:t>
        </x:is>
      </x:c>
      <x:c r="G76" s="848" t="inlineStr">
        <x:is>
          <x:t xml:space="preserve">BTMRFV</x:t>
        </x:is>
      </x:c>
      <x:c r="H76" s="896" t="inlineStr">
        <x:is>
          <x:t xml:space="preserve">Saknas i EDP – föreslagen ny taxa</x:t>
        </x:is>
      </x:c>
    </x:row>
    <x:row r="77">
      <x:c r="A77" s="849" t="inlineStr">
        <x:is>
          <x:t xml:space="preserve">Taxa_Saknas</x:t>
        </x:is>
      </x:c>
      <x:c r="B77" s="848" t="inlineStr">
        <x:is>
          <x:t xml:space="preserve">§2.2.6</x:t>
        </x:is>
      </x:c>
      <x:c r="C77" s="848" t="n">
        <x:v>99</x:v>
      </x:c>
      <x:c r="D77" s="848" t="n">
        <x:v>81</x:v>
      </x:c>
      <x:c r="E77" s="848" t="inlineStr">
        <x:is>
          <x:t xml:space="preserve">Lastväxlarflak (restavfall)</x:t>
        </x:is>
      </x:c>
      <x:c r="F77" s="848" t="inlineStr">
        <x:is>
          <x:t xml:space="preserve">Avgift per tömning</x:t>
        </x:is>
      </x:c>
      <x:c r="G77" s="848" t="inlineStr">
        <x:is>
          <x:t xml:space="preserve">LVREFV</x:t>
        </x:is>
      </x:c>
      <x:c r="H77" s="896" t="inlineStr">
        <x:is>
          <x:t xml:space="preserve">Saknas i EDP – föreslagen ny taxa</x:t>
        </x:is>
      </x:c>
    </x:row>
    <x:row r="78">
      <x:c r="A78" s="849" t="inlineStr">
        <x:is>
          <x:t xml:space="preserve">Taxa_Saknas</x:t>
        </x:is>
      </x:c>
      <x:c r="B78" s="848" t="inlineStr">
        <x:is>
          <x:t xml:space="preserve">§2.2.6</x:t>
        </x:is>
      </x:c>
      <x:c r="C78" s="848" t="n">
        <x:v>100</x:v>
      </x:c>
      <x:c r="D78" s="848" t="n">
        <x:v>82</x:v>
      </x:c>
      <x:c r="E78" s="848" t="inlineStr">
        <x:is>
          <x:t xml:space="preserve">Bottentömmande behållare (mat-/restavfall)</x:t>
        </x:is>
      </x:c>
      <x:c r="F78" s="848" t="inlineStr">
        <x:is>
          <x:t xml:space="preserve">Tillägg för två tömningar per vecka</x:t>
        </x:is>
      </x:c>
      <x:c r="G78" s="848" t="inlineStr">
        <x:is>
          <x:t xml:space="preserve">BTMR2VFV</x:t>
        </x:is>
      </x:c>
      <x:c r="H78" s="896" t="inlineStr">
        <x:is>
          <x:t xml:space="preserve">Saknas i EDP – föreslagen ny taxa</x:t>
        </x:is>
      </x:c>
    </x:row>
    <x:row r="79">
      <x:c r="A79" s="773"/>
      <x:c r="B79" s="767"/>
      <x:c r="C79" s="767"/>
      <x:c r="D79" s="767"/>
      <x:c r="E79" s="767"/>
      <x:c r="F79" s="767"/>
      <x:c r="G79" s="767"/>
      <x:c r="H79" s="774"/>
    </x:row>
    <x:row r="80">
      <x:c r="A80" s="773"/>
      <x:c r="B80" s="767"/>
      <x:c r="C80" s="767"/>
      <x:c r="D80" s="767"/>
      <x:c r="E80" s="767"/>
      <x:c r="F80" s="767"/>
      <x:c r="G80" s="767"/>
      <x:c r="H80" s="774"/>
    </x:row>
    <x:row r="81">
      <x:c r="A81" s="773"/>
      <x:c r="B81" s="767"/>
      <x:c r="C81" s="767"/>
      <x:c r="D81" s="767"/>
      <x:c r="E81" s="767"/>
      <x:c r="F81" s="767"/>
      <x:c r="G81" s="767"/>
      <x:c r="H81" s="774"/>
    </x:row>
    <x:row r="82">
      <x:c r="A82" s="897" t="str">
        <x:v>Uppdatering</x:v>
      </x:c>
      <x:c r="B82" s="892" t="str">
        <x:v>Paragraf</x:v>
      </x:c>
      <x:c r="C82" s="892" t="str">
        <x:v>Rad i Taxepunkter</x:v>
      </x:c>
      <x:c r="D82" s="892" t="str">
        <x:v>Taxepunkt</x:v>
      </x:c>
      <x:c r="E82" s="892" t="str">
        <x:v>Åtgärd</x:v>
      </x:c>
      <x:c r="F82" s="892" t="str">
        <x:v>Taxekod</x:v>
      </x:c>
      <x:c r="G82" s="892" t="str">
        <x:v>Kommentar</x:v>
      </x:c>
      <x:c r="H82" s="898" t="str">
        <x:v>Status</x:v>
      </x:c>
    </x:row>
    <x:row r="83">
      <x:c r="A83" s="773" t="str">
        <x:v>FV återanvändning</x:v>
      </x:c>
      <x:c r="B83" s="767" t="str">
        <x:v>§2.2.5</x:v>
      </x:c>
      <x:c r="C83" s="767" t="n">
        <x:v>69</x:v>
      </x:c>
      <x:c r="D83" s="767" t="str">
        <x:v>Kärl 240 l (mat-/restavfall) / Hämtning varje vecka</x:v>
      </x:c>
      <x:c r="E83" s="767" t="str">
        <x:v>Taxekod ifylld</x:v>
      </x:c>
      <x:c r="F83" s="767" t="str">
        <x:v>KÄ240RM52FV</x:v>
      </x:c>
      <x:c r="G83" s="767" t="str">
        <x:v>FV = flerbostadshus eller verksamhet, EDP-träff bekräftad</x:v>
      </x:c>
      <x:c r="H83" s="774" t="str">
        <x:v>OK</x:v>
      </x:c>
    </x:row>
    <x:row r="84">
      <x:c r="A84" s="773" t="str">
        <x:v>FV återanvändning</x:v>
      </x:c>
      <x:c r="B84" s="767" t="str">
        <x:v>§2.2.5</x:v>
      </x:c>
      <x:c r="C84" s="767" t="n">
        <x:v>70</x:v>
      </x:c>
      <x:c r="D84" s="767" t="str">
        <x:v>Kärl 240 l (mat-/restavfall) / Hämtning var 14:e dag</x:v>
      </x:c>
      <x:c r="E84" s="767" t="str">
        <x:v>Taxekod ifylld</x:v>
      </x:c>
      <x:c r="F84" s="767" t="str">
        <x:v>KÄ240RM26FV</x:v>
      </x:c>
      <x:c r="G84" s="767" t="str">
        <x:v>FV = flerbostadshus eller verksamhet, EDP-träff bekräftad</x:v>
      </x:c>
      <x:c r="H84" s="774" t="str">
        <x:v>OK</x:v>
      </x:c>
    </x:row>
    <x:row r="85">
      <x:c r="A85" s="773" t="str">
        <x:v>FV återanvändning</x:v>
      </x:c>
      <x:c r="B85" s="767" t="str">
        <x:v>§2.2.5</x:v>
      </x:c>
      <x:c r="C85" s="767" t="n">
        <x:v>72</x:v>
      </x:c>
      <x:c r="D85" s="767" t="str">
        <x:v>Kärl 370 l (restavfall) / Hämtning varje vecka</x:v>
      </x:c>
      <x:c r="E85" s="767" t="str">
        <x:v>Taxekod ifylld</x:v>
      </x:c>
      <x:c r="F85" s="767" t="str">
        <x:v>KÄ370RE52FV</x:v>
      </x:c>
      <x:c r="G85" s="767" t="str">
        <x:v>FV = flerbostadshus eller verksamhet, EDP-träff bekräftad</x:v>
      </x:c>
      <x:c r="H85" s="774" t="str">
        <x:v>OK</x:v>
      </x:c>
    </x:row>
    <x:row r="86">
      <x:c r="A86" s="773" t="str">
        <x:v>FV återanvändning</x:v>
      </x:c>
      <x:c r="B86" s="767" t="str">
        <x:v>§2.2.5</x:v>
      </x:c>
      <x:c r="C86" s="767" t="n">
        <x:v>73</x:v>
      </x:c>
      <x:c r="D86" s="767" t="str">
        <x:v>Kärl 370 l (restavfall) / Hämtning var 14:e dag</x:v>
      </x:c>
      <x:c r="E86" s="767" t="str">
        <x:v>Taxekod ifylld</x:v>
      </x:c>
      <x:c r="F86" s="767" t="str">
        <x:v>KÄ370RE26FV</x:v>
      </x:c>
      <x:c r="G86" s="767" t="str">
        <x:v>FV = flerbostadshus eller verksamhet, EDP-träff bekräftad</x:v>
      </x:c>
      <x:c r="H86" s="774" t="str">
        <x:v>OK</x:v>
      </x:c>
    </x:row>
    <x:row r="87">
      <x:c r="A87" s="773" t="str">
        <x:v>FV återanvändning</x:v>
      </x:c>
      <x:c r="B87" s="767" t="str">
        <x:v>§2.2.5</x:v>
      </x:c>
      <x:c r="C87" s="767" t="n">
        <x:v>75</x:v>
      </x:c>
      <x:c r="D87" s="767" t="str">
        <x:v>Kärl 660 l (restavfall) / Hämtning varje vecka</x:v>
      </x:c>
      <x:c r="E87" s="767" t="str">
        <x:v>Taxekod ifylld</x:v>
      </x:c>
      <x:c r="F87" s="767" t="str">
        <x:v>KÄ660RE52FV</x:v>
      </x:c>
      <x:c r="G87" s="767" t="str">
        <x:v>FV = flerbostadshus eller verksamhet, EDP-träff bekräftad</x:v>
      </x:c>
      <x:c r="H87" s="774" t="str">
        <x:v>OK</x:v>
      </x:c>
    </x:row>
    <x:row r="88">
      <x:c r="A88" s="773" t="str">
        <x:v>FV återanvändning</x:v>
      </x:c>
      <x:c r="B88" s="767" t="str">
        <x:v>§2.2.5</x:v>
      </x:c>
      <x:c r="C88" s="767" t="n">
        <x:v>76</x:v>
      </x:c>
      <x:c r="D88" s="767" t="str">
        <x:v>Kärl 660 l (restavfall) / Hämtning var 14:e dag</x:v>
      </x:c>
      <x:c r="E88" s="767" t="str">
        <x:v>Taxekod ifylld</x:v>
      </x:c>
      <x:c r="F88" s="767" t="str">
        <x:v>KÄ660RE26FV</x:v>
      </x:c>
      <x:c r="G88" s="767" t="str">
        <x:v>FV = flerbostadshus eller verksamhet, EDP-träff bekräftad</x:v>
      </x:c>
      <x:c r="H88" s="774" t="str">
        <x:v>OK</x:v>
      </x:c>
    </x:row>
    <x:row r="89">
      <x:c r="A89" s="773" t="str">
        <x:v>FV återanvändning</x:v>
      </x:c>
      <x:c r="B89" s="767" t="str">
        <x:v>§2.2.5</x:v>
      </x:c>
      <x:c r="C89" s="767" t="n">
        <x:v>78</x:v>
      </x:c>
      <x:c r="D89" s="767" t="str">
        <x:v>Kärl 140 l (matavfall) / Hämtning varje vecka</x:v>
      </x:c>
      <x:c r="E89" s="767" t="str">
        <x:v>Taxekod ifylld</x:v>
      </x:c>
      <x:c r="F89" s="767" t="str">
        <x:v>KÄ140MA52FV</x:v>
      </x:c>
      <x:c r="G89" s="767" t="str">
        <x:v>FV = flerbostadshus eller verksamhet, EDP-träff bekräftad</x:v>
      </x:c>
      <x:c r="H89" s="774" t="str">
        <x:v>OK</x:v>
      </x:c>
    </x:row>
    <x:row r="90">
      <x:c r="A90" s="773" t="str">
        <x:v>FV återanvändning</x:v>
      </x:c>
      <x:c r="B90" s="767" t="str">
        <x:v>§2.2.5</x:v>
      </x:c>
      <x:c r="C90" s="767" t="n">
        <x:v>79</x:v>
      </x:c>
      <x:c r="D90" s="767" t="str">
        <x:v>Kärl 140 l (matavfall) / Hämtning var 14:e dag</x:v>
      </x:c>
      <x:c r="E90" s="767" t="str">
        <x:v>Taxekod ifylld</x:v>
      </x:c>
      <x:c r="F90" s="767" t="str">
        <x:v>KÄ140MA26FV</x:v>
      </x:c>
      <x:c r="G90" s="767" t="str">
        <x:v>FV = flerbostadshus eller verksamhet, EDP-träff bekräftad</x:v>
      </x:c>
      <x:c r="H90" s="774" t="str">
        <x:v>OK</x:v>
      </x:c>
    </x:row>
    <x:row r="91">
      <x:c r="A91" s="773" t="str">
        <x:v>Tolkning</x:v>
      </x:c>
      <x:c r="B91" s="767" t="str">
        <x:v>Taxa_från_edp</x:v>
      </x:c>
      <x:c r="C91" s="767"/>
      <x:c r="D91" s="767" t="str">
        <x:v>Taxekoder och strFaktor</x:v>
      </x:c>
      <x:c r="E91" s="767" t="str">
        <x:v>Ny flik skapad</x:v>
      </x:c>
      <x:c r="F91" s="767" t="str">
        <x:v>Taxekod_Tolkning</x:v>
      </x:c>
      <x:c r="G91" s="767" t="str">
        <x:v>Tolkningar baserade på strTaxebenamning, strTaxedelAvser och strFaktor</x:v>
      </x:c>
      <x:c r="H91" s="774" t="str">
        <x:v>OK</x:v>
      </x:c>
    </x:row>
    <x:row r="92">
      <x:c r="A92" s="773"/>
      <x:c r="B92" s="767"/>
      <x:c r="C92" s="767"/>
      <x:c r="D92" s="767"/>
      <x:c r="E92" s="767"/>
      <x:c r="F92" s="767"/>
      <x:c r="G92" s="767"/>
      <x:c r="H92" s="774"/>
    </x:row>
    <x:row r="93">
      <x:c r="A93" s="773" t="str">
        <x:v>Korrigering</x:v>
      </x:c>
      <x:c r="B93" s="767" t="str">
        <x:v>Kodtolkning</x:v>
      </x:c>
      <x:c r="C93" s="767" t="str"/>
      <x:c r="D93" s="767" t="str">
        <x:v>MB3600RE26</x:v>
      </x:c>
      <x:c r="E93" s="767" t="str">
        <x:v>Tidigare misstanke borttagen</x:v>
      </x:c>
      <x:c r="F93" s="767" t="str"/>
      <x:c r="G93" s="767" t="str">
        <x:v>Ingen rad hittad där MB3600RE26 anger matavfall i strTaxedelAvser. Tidigare notering var feltolkning.</x:v>
      </x:c>
      <x:c r="H93" s="774" t="str">
        <x:v>OK</x:v>
      </x:c>
    </x:row>
    <x:row r="94">
      <x:c r="A94" s="773"/>
      <x:c r="B94" s="767"/>
      <x:c r="C94" s="767"/>
      <x:c r="D94" s="767"/>
      <x:c r="E94" s="767"/>
      <x:c r="F94" s="767"/>
      <x:c r="G94" s="767"/>
      <x:c r="H94" s="774"/>
    </x:row>
    <x:row r="95">
      <x:c r="A95" s="897" t="str">
        <x:v>Uppdatering</x:v>
      </x:c>
      <x:c r="B95" s="892" t="str">
        <x:v>Paragraf</x:v>
      </x:c>
      <x:c r="C95" s="892" t="str">
        <x:v>Rad/område</x:v>
      </x:c>
      <x:c r="D95" s="892" t="str">
        <x:v>Taxepunkt</x:v>
      </x:c>
      <x:c r="E95" s="892" t="str">
        <x:v>Åtgärd</x:v>
      </x:c>
      <x:c r="F95" s="892" t="str">
        <x:v>Taxekod/Förslag</x:v>
      </x:c>
      <x:c r="G95" s="892" t="str">
        <x:v>Kommentar</x:v>
      </x:c>
      <x:c r="H95" s="898" t="str">
        <x:v>Status</x:v>
      </x:c>
    </x:row>
    <x:row r="96">
      <x:c r="A96" s="773" t="str">
        <x:v>Ny kolumn</x:v>
      </x:c>
      <x:c r="B96" s="767" t="str">
        <x:v>Taxepunkter</x:v>
      </x:c>
      <x:c r="C96" s="767" t="str">
        <x:v>Efter Taxakod</x:v>
      </x:c>
      <x:c r="D96" s="767" t="str">
        <x:v>Föreslagen Taxa</x:v>
      </x:c>
      <x:c r="E96" s="767" t="str">
        <x:v>Kolumn tillagd</x:v>
      </x:c>
      <x:c r="F96" s="767" t="str">
        <x:v>Formelstyrd</x:v>
      </x:c>
      <x:c r="G96" s="767" t="str">
        <x:v>Visar Taxakod om bekräftad, annars FöreslagenTaxekod från Taxa_Saknas baserat på intRecnum/radnummer.</x:v>
      </x:c>
      <x:c r="H96" s="774" t="str">
        <x:v>OK</x:v>
      </x:c>
    </x:row>
    <x:row r="97">
      <x:c r="A97" s="773"/>
      <x:c r="B97" s="767"/>
      <x:c r="C97" s="767"/>
      <x:c r="D97" s="767"/>
      <x:c r="E97" s="767"/>
      <x:c r="F97" s="767"/>
      <x:c r="G97" s="767"/>
      <x:c r="H97" s="774"/>
    </x:row>
    <x:row r="98">
      <x:c r="A98" s="897" t="str">
        <x:v>Uppdatering</x:v>
      </x:c>
      <x:c r="B98" s="892" t="str">
        <x:v>Paragraf</x:v>
      </x:c>
      <x:c r="C98" s="892" t="str">
        <x:v>Rad/område</x:v>
      </x:c>
      <x:c r="D98" s="892" t="str">
        <x:v>Taxepunkt</x:v>
      </x:c>
      <x:c r="E98" s="892" t="str">
        <x:v>Åtgärd</x:v>
      </x:c>
      <x:c r="F98" s="892" t="str">
        <x:v>Taxekod/Förslag</x:v>
      </x:c>
      <x:c r="G98" s="892" t="str">
        <x:v>Kommentar</x:v>
      </x:c>
      <x:c r="H98" s="898" t="str">
        <x:v>Status</x:v>
      </x:c>
    </x:row>
    <x:row r="99">
      <x:c r="A99" s="773" t="str">
        <x:v>DH-regel</x:v>
      </x:c>
      <x:c r="B99" s="767" t="str">
        <x:v>§2.2.6</x:v>
      </x:c>
      <x:c r="C99" s="767" t="str">
        <x:v>86:100</x:v>
      </x:c>
      <x:c r="D99" s="767" t="str">
        <x:v>Detaljhandel</x:v>
      </x:c>
      <x:c r="E99" s="767" t="str">
        <x:v>FV-förslag ersatta med DH-förslag</x:v>
      </x:c>
      <x:c r="F99" s="767" t="str">
        <x:v>DH</x:v>
      </x:c>
      <x:c r="G99" s="767" t="str">
        <x:v>Taxakod lämnas tom i Taxepunkter; Föreslagen Taxa hämtar DH från Taxa_Saknas.</x:v>
      </x:c>
      <x:c r="H99" s="774" t="str">
        <x:v>OK</x:v>
      </x:c>
    </x:row>
    <x:row r="100">
      <x:c r="A100" s="773"/>
      <x:c r="B100" s="767"/>
      <x:c r="C100" s="767"/>
      <x:c r="D100" s="767"/>
      <x:c r="E100" s="767"/>
      <x:c r="F100" s="767"/>
      <x:c r="G100" s="767"/>
      <x:c r="H100" s="774"/>
    </x:row>
    <x:row r="101">
      <x:c r="A101" s="773"/>
      <x:c r="B101" s="767"/>
      <x:c r="C101" s="767"/>
      <x:c r="D101" s="767"/>
      <x:c r="E101" s="767"/>
      <x:c r="F101" s="767"/>
      <x:c r="G101" s="767"/>
      <x:c r="H101" s="774"/>
    </x:row>
    <x:row r="102">
      <x:c r="A102" s="773"/>
      <x:c r="B102" s="767"/>
      <x:c r="C102" s="767"/>
      <x:c r="D102" s="767"/>
      <x:c r="E102" s="767"/>
      <x:c r="F102" s="767"/>
      <x:c r="G102" s="767"/>
      <x:c r="H102" s="774"/>
    </x:row>
    <x:row r="103">
      <x:c r="A103" s="773"/>
      <x:c r="B103" s="767"/>
      <x:c r="C103" s="767"/>
      <x:c r="D103" s="767"/>
      <x:c r="E103" s="767"/>
      <x:c r="F103" s="767"/>
      <x:c r="G103" s="767"/>
      <x:c r="H103" s="774"/>
    </x:row>
    <x:row r="104">
      <x:c r="A104" s="773"/>
      <x:c r="B104" s="767"/>
      <x:c r="C104" s="767"/>
      <x:c r="D104" s="767"/>
      <x:c r="E104" s="767"/>
      <x:c r="F104" s="767"/>
      <x:c r="G104" s="767"/>
      <x:c r="H104" s="774"/>
    </x:row>
    <x:row r="105">
      <x:c r="A105" s="897" t="str">
        <x:v>Uppdatering</x:v>
      </x:c>
      <x:c r="B105" s="892" t="str">
        <x:v>Område</x:v>
      </x:c>
      <x:c r="C105" s="892" t="str">
        <x:v>Rad/område</x:v>
      </x:c>
      <x:c r="D105" s="892" t="str">
        <x:v>Taxepunkt</x:v>
      </x:c>
      <x:c r="E105" s="892" t="str">
        <x:v>Åtgärd</x:v>
      </x:c>
      <x:c r="F105" s="892" t="str">
        <x:v>Taxekod/Förslag</x:v>
      </x:c>
      <x:c r="G105" s="892" t="str">
        <x:v>Kommentar</x:v>
      </x:c>
      <x:c r="H105" s="898" t="str">
        <x:v>Status</x:v>
      </x:c>
    </x:row>
    <x:row r="106">
      <x:c r="A106" s="773" t="str">
        <x:v>Dokumentation</x:v>
      </x:c>
      <x:c r="B106" s="767" t="str">
        <x:v>Arbetsbok</x:v>
      </x:c>
      <x:c r="C106" s="767" t="str">
        <x:v>Nya flikar</x:v>
      </x:c>
      <x:c r="D106" s="767" t="str">
        <x:v>Självdokumentation</x:v>
      </x:c>
      <x:c r="E106" s="767" t="str">
        <x:v>Projektregler, arbetsflöde, källdokument, prompt, status och Taxepunkter-dokumentation skapad</x:v>
      </x:c>
      <x:c r="F106" s="767" t="str"/>
      <x:c r="G106" s="767" t="str">
        <x:v>Masterfilen är förberedd för framtida ny import.</x:v>
      </x:c>
      <x:c r="H106" s="774" t="str">
        <x:v>OK</x:v>
      </x:c>
    </x:row>
    <x:row r="107">
      <x:c r="A107" s="773" t="str">
        <x:v>Ny kolumn</x:v>
      </x:c>
      <x:c r="B107" s="767" t="str">
        <x:v>Taxepunkter</x:v>
      </x:c>
      <x:c r="C107" s="767" t="str">
        <x:v>Efter Aktuellt pris</x:v>
      </x:c>
      <x:c r="D107" s="767" t="str">
        <x:v>Föreslaget pris</x:v>
      </x:c>
      <x:c r="E107" s="767" t="str">
        <x:v>Kolumn införd</x:v>
      </x:c>
      <x:c r="F107" s="767" t="str"/>
      <x:c r="G107" s="767" t="str">
        <x:v>Aktuellt pris är fortsatt EDP-källa; Föreslaget pris är arbetspris.</x:v>
      </x:c>
      <x:c r="H107" s="774" t="str">
        <x:v>OK</x:v>
      </x:c>
    </x:row>
    <x:row r="108">
      <x:c r="A108" s="897" t="str">
        <x:v>Uppdatering</x:v>
      </x:c>
      <x:c r="B108" s="892" t="str">
        <x:v>Paragraf</x:v>
      </x:c>
      <x:c r="C108" s="892" t="str">
        <x:v>Rad/område</x:v>
      </x:c>
      <x:c r="D108" s="892" t="str">
        <x:v>Taxepunkt</x:v>
      </x:c>
      <x:c r="E108" s="892" t="str">
        <x:v>Åtgärd</x:v>
      </x:c>
      <x:c r="F108" s="892" t="str">
        <x:v>Taxekod/Förslag</x:v>
      </x:c>
      <x:c r="G108" s="892" t="str">
        <x:v>Kommentar</x:v>
      </x:c>
      <x:c r="H108" s="898" t="str">
        <x:v>Status</x:v>
      </x:c>
    </x:row>
    <x:row r="109">
      <x:c r="A109" s="773" t="str">
        <x:v>Kostnadsfri rad</x:v>
      </x:c>
      <x:c r="B109" s="767" t="str">
        <x:v>§2.2.1</x:v>
      </x:c>
      <x:c r="C109" s="767" t="n">
        <x:v>22</x:v>
      </x:c>
      <x:c r="D109" s="767" t="str">
        <x:v>Kärl 370 l (papper-/plastförpackningar)</x:v>
      </x:c>
      <x:c r="E109" s="767" t="str">
        <x:v>Rad tillagd</x:v>
      </x:c>
      <x:c r="F109" s="767" t="str">
        <x:v>KÄ370FP</x:v>
      </x:c>
      <x:c r="G109" s="767" t="str">
        <x:v>Saknas i EDP, ligger i Taxa_Saknas.</x:v>
      </x:c>
      <x:c r="H109" s="774" t="str">
        <x:v>OK</x:v>
      </x:c>
    </x:row>
    <x:row r="110">
      <x:c r="A110" s="773" t="str">
        <x:v>Kostnadsfri rad</x:v>
      </x:c>
      <x:c r="B110" s="767" t="str">
        <x:v>§2.2.2</x:v>
      </x:c>
      <x:c r="C110" s="767" t="n">
        <x:v>29</x:v>
      </x:c>
      <x:c r="D110" s="767" t="str">
        <x:v>Kärl 370 l (papper-/plastförpackningar)</x:v>
      </x:c>
      <x:c r="E110" s="767" t="str">
        <x:v>Rad tillagd</x:v>
      </x:c>
      <x:c r="F110" s="767" t="str">
        <x:v>KÄ370FPFRI</x:v>
      </x:c>
      <x:c r="G110" s="767" t="str">
        <x:v>Saknas i EDP, ligger i Taxa_Saknas.</x:v>
      </x:c>
      <x:c r="H110" s="774" t="str">
        <x:v>OK</x:v>
      </x:c>
    </x:row>
    <x:row r="111">
      <x:c r="A111" s="773" t="str">
        <x:v>Kostnadsfri rad</x:v>
      </x:c>
      <x:c r="B111" s="767" t="str">
        <x:v>§2.2.3</x:v>
      </x:c>
      <x:c r="C111" s="767" t="n">
        <x:v>33</x:v>
      </x:c>
      <x:c r="D111" s="767" t="str">
        <x:v>Gemensam uppsamlingsplats för förpackningar</x:v>
      </x:c>
      <x:c r="E111" s="767" t="str">
        <x:v>Rad tillagd</x:v>
      </x:c>
      <x:c r="F111" s="767" t="str">
        <x:v>GEMUPPFPFRI</x:v>
      </x:c>
      <x:c r="G111" s="767" t="str">
        <x:v>Saknas i EDP, ligger i Taxa_Saknas.</x:v>
      </x:c>
      <x:c r="H111" s="774" t="str">
        <x:v>OK</x:v>
      </x:c>
    </x:row>
    <x:row r="112">
      <x:c r="A112" s="897" t="str">
        <x:v>Uppdatering</x:v>
      </x:c>
      <x:c r="B112" s="892" t="str">
        <x:v>Område</x:v>
      </x:c>
      <x:c r="C112" s="892" t="str">
        <x:v>Rad/område</x:v>
      </x:c>
      <x:c r="D112" s="892" t="str">
        <x:v>Taxepunkt</x:v>
      </x:c>
      <x:c r="E112" s="892" t="str">
        <x:v>Åtgärd</x:v>
      </x:c>
      <x:c r="F112" s="892" t="str">
        <x:v>Taxekod/Förslag</x:v>
      </x:c>
      <x:c r="G112" s="892" t="str">
        <x:v>Kommentar</x:v>
      </x:c>
      <x:c r="H112" s="898" t="str">
        <x:v>Status</x:v>
      </x:c>
    </x:row>
    <x:row r="113">
      <x:c r="A113" s="773" t="str">
        <x:v>Master v2.0 Rev1</x:v>
      </x:c>
      <x:c r="B113" s="767" t="str">
        <x:v>Arbetsbok</x:v>
      </x:c>
      <x:c r="C113" s="767" t="str">
        <x:v>Samtliga centrala flikar</x:v>
      </x:c>
      <x:c r="D113" s="767" t="str">
        <x:v>Visuell standard</x:v>
      </x:c>
      <x:c r="E113" s="767" t="str">
        <x:v>Färgstandard tillämpad</x:v>
      </x:c>
      <x:c r="F113" s="767" t="str"/>
      <x:c r="G113" s="767" t="str">
        <x:v>Färgstandard, dokumentation och Revision_Etapp1 skapad.</x:v>
      </x:c>
      <x:c r="H113" s="774" t="str">
        <x:v>OK</x:v>
      </x:c>
    </x:row>
    <x:row r="114">
      <x:c r="A114" s="773" t="str">
        <x:v>Master v2.0 Rev1</x:v>
      </x:c>
      <x:c r="B114" s="767" t="str">
        <x:v>Dokumentation</x:v>
      </x:c>
      <x:c r="C114" s="767" t="str">
        <x:v>Nya flikar</x:v>
      </x:c>
      <x:c r="D114" s="767" t="str">
        <x:v>Taxa_Saknas/Taxa_från_edp</x:v>
      </x:c>
      <x:c r="E114" s="767" t="str">
        <x:v>Dokumentation skapad</x:v>
      </x:c>
      <x:c r="F114" s="767" t="str"/>
      <x:c r="G114" s="767" t="str">
        <x:v>Formler, beroenden och källflikar dokumenterade.</x:v>
      </x:c>
      <x:c r="H114" s="774" t="str">
        <x:v>OK</x:v>
      </x:c>
    </x:row>
    <x:row r="115">
      <x:c r="A115" s="897" t="str">
        <x:v>Uppdatering</x:v>
      </x:c>
      <x:c r="B115" s="892" t="str">
        <x:v>Område</x:v>
      </x:c>
      <x:c r="C115" s="892" t="str">
        <x:v>Rad/område</x:v>
      </x:c>
      <x:c r="D115" s="892" t="str">
        <x:v>Taxepunkt</x:v>
      </x:c>
      <x:c r="E115" s="892" t="str">
        <x:v>Åtgärd</x:v>
      </x:c>
      <x:c r="F115" s="892" t="str">
        <x:v>Taxekod/Förslag</x:v>
      </x:c>
      <x:c r="G115" s="892" t="str">
        <x:v>Kommentar</x:v>
      </x:c>
      <x:c r="H115" s="898" t="str">
        <x:v>Status</x:v>
      </x:c>
    </x:row>
    <x:row r="116">
      <x:c r="A116" s="773" t="str">
        <x:v>Formelrevision</x:v>
      </x:c>
      <x:c r="B116" s="767" t="str">
        <x:v>Taxepunkter</x:v>
      </x:c>
      <x:c r="C116" s="767" t="str">
        <x:v>G/H/I/J/M/N</x:v>
      </x:c>
      <x:c r="D116" s="767" t="str">
        <x:v>Formelkolumner</x:v>
      </x:c>
      <x:c r="E116" s="767" t="str">
        <x:v>Formler återställda/standardiserade</x:v>
      </x:c>
      <x:c r="F116" s="767" t="str"/>
      <x:c r="G116" s="767" t="str">
        <x:v>Samma formeltyp nedåt i arbetsområdet.</x:v>
      </x:c>
      <x:c r="H116" s="774" t="str">
        <x:v>OK</x:v>
      </x:c>
    </x:row>
    <x:row r="117">
      <x:c r="A117" s="773" t="str">
        <x:v>Datavalidering</x:v>
      </x:c>
      <x:c r="B117" s="767" t="str">
        <x:v>Taxepunkter</x:v>
      </x:c>
      <x:c r="C117" s="767" t="str">
        <x:v>F7:F370</x:v>
      </x:c>
      <x:c r="D117" s="767" t="str">
        <x:v>Taxakod</x:v>
      </x:c>
      <x:c r="E117" s="767" t="str">
        <x:v>Dropdown tillagd</x:v>
      </x:c>
      <x:c r="F117" s="767" t="str"/>
      <x:c r="G117" s="767" t="str">
        <x:v>Lista pekar på Taxa_från_edp!B2:B371.</x:v>
      </x:c>
      <x:c r="H117" s="774" t="str">
        <x:v>OK</x:v>
      </x:c>
    </x:row>
    <x:row r="118">
      <x:c r="A118" s="773" t="str">
        <x:v>Automationsmall</x:v>
      </x:c>
      <x:c r="B118" s="767" t="str">
        <x:v>Taxa_Saknas</x:v>
      </x:c>
      <x:c r="C118" s="767" t="str">
        <x:v>72:200</x:v>
      </x:c>
      <x:c r="D118" s="767" t="str">
        <x:v>Nya saknade taxor</x:v>
      </x:c>
      <x:c r="E118" s="767" t="str">
        <x:v>Mall skapad</x:v>
      </x:c>
      <x:c r="F118" s="767" t="str"/>
      <x:c r="G118" s="767" t="str">
        <x:v>Fyll C och G, övriga kolumner fylls med formler.</x:v>
      </x:c>
      <x:c r="H118" s="774" t="str">
        <x:v>OK</x:v>
      </x:c>
    </x:row>
    <x:row r="119">
      <x:c r="A119" s="897" t="str">
        <x:v>Uppdatering</x:v>
      </x:c>
      <x:c r="B119" s="892" t="str">
        <x:v>Område</x:v>
      </x:c>
      <x:c r="C119" s="892" t="str">
        <x:v>Rad/område</x:v>
      </x:c>
      <x:c r="D119" s="892" t="str">
        <x:v>Taxepunkt</x:v>
      </x:c>
      <x:c r="E119" s="892" t="str">
        <x:v>Åtgärd</x:v>
      </x:c>
      <x:c r="F119" s="892" t="str">
        <x:v>Taxekod/Förslag</x:v>
      </x:c>
      <x:c r="G119" s="892" t="str">
        <x:v>Kommentar</x:v>
      </x:c>
      <x:c r="H119" s="898" t="str">
        <x:v>Status</x:v>
      </x:c>
    </x:row>
    <x:row r="120">
      <x:c r="A120" s="773" t="str">
        <x:v>Border-standard</x:v>
      </x:c>
      <x:c r="B120" s="767" t="str">
        <x:v>Hela arbetsboken</x:v>
      </x:c>
      <x:c r="C120" s="767" t="str">
        <x:v>Använda områden</x:v>
      </x:c>
      <x:c r="D120" s="767" t="str">
        <x:v>Outside borders</x:v>
      </x:c>
      <x:c r="E120" s="767" t="str">
        <x:v>Standardiserad</x:v>
      </x:c>
      <x:c r="F120" s="767" t="str"/>
      <x:c r="G120" s="767" t="str">
        <x:v>Alla centrala tabellområden har tunn grå outside border. Rubriker har mörkare outside border.</x:v>
      </x:c>
      <x:c r="H120" s="774" t="str">
        <x:v>OK</x:v>
      </x:c>
    </x:row>
    <x:row r="121">
      <x:c r="A121" s="1043" t="str">
        <x:v>Uppdatering</x:v>
      </x:c>
      <x:c r="B121" s="1044" t="str">
        <x:v>Område</x:v>
      </x:c>
      <x:c r="C121" s="1044" t="str">
        <x:v>Rad/område</x:v>
      </x:c>
      <x:c r="D121" s="1044" t="str">
        <x:v>Taxepunkt</x:v>
      </x:c>
      <x:c r="E121" s="1044" t="str">
        <x:v>Åtgärd</x:v>
      </x:c>
      <x:c r="F121" s="1044" t="str">
        <x:v>Taxekod/Förslag</x:v>
      </x:c>
      <x:c r="G121" s="1044" t="str">
        <x:v>Kommentar</x:v>
      </x:c>
      <x:c r="H121" s="1045" t="str">
        <x:v>Status</x:v>
      </x:c>
    </x:row>
    <x:row r="122">
      <x:c r="A122" s="840" t="str">
        <x:v>Full border-standard</x:v>
      </x:c>
      <x:c r="B122" s="841" t="str">
        <x:v>Hela arbetsboken</x:v>
      </x:c>
      <x:c r="C122" s="841" t="str">
        <x:v>Centrala tabellområden</x:v>
      </x:c>
      <x:c r="D122" s="841" t="str">
        <x:v>Inside + outside borders</x:v>
      </x:c>
      <x:c r="E122" s="841" t="str">
        <x:v>Standardiserad</x:v>
      </x:c>
      <x:c r="F122" s="841" t="str"/>
      <x:c r="G122" s="841" t="str">
        <x:v>Alla celler i tabellområden har ljusgrå rutnät och tabellerna har mörkare ytterkant.</x:v>
      </x:c>
      <x:c r="H122" s="842" t="str">
        <x:v>OK</x:v>
      </x:c>
    </x:row>
    <x:row r="123">
      <x:c r="A123" s="773"/>
      <x:c r="B123" s="767"/>
      <x:c r="C123" s="767"/>
      <x:c r="D123" s="767"/>
      <x:c r="E123" s="767"/>
      <x:c r="F123" s="767"/>
      <x:c r="G123" s="767"/>
      <x:c r="H123" s="774"/>
    </x:row>
    <x:row r="124">
      <x:c r="A124" s="773"/>
      <x:c r="B124" s="767"/>
      <x:c r="C124" s="767"/>
      <x:c r="D124" s="767"/>
      <x:c r="E124" s="767"/>
      <x:c r="F124" s="767"/>
      <x:c r="G124" s="767"/>
      <x:c r="H124" s="774"/>
    </x:row>
    <x:row r="125">
      <x:c r="A125" s="773"/>
      <x:c r="B125" s="767"/>
      <x:c r="C125" s="767"/>
      <x:c r="D125" s="767"/>
      <x:c r="E125" s="767"/>
      <x:c r="F125" s="767"/>
      <x:c r="G125" s="767"/>
      <x:c r="H125" s="774"/>
    </x:row>
    <x:row r="126">
      <x:c r="A126" s="773"/>
      <x:c r="B126" s="767"/>
      <x:c r="C126" s="767"/>
      <x:c r="D126" s="767"/>
      <x:c r="E126" s="767"/>
      <x:c r="F126" s="767"/>
      <x:c r="G126" s="767"/>
      <x:c r="H126" s="774"/>
    </x:row>
    <x:row r="127">
      <x:c r="A127" s="773"/>
      <x:c r="B127" s="767"/>
      <x:c r="C127" s="767"/>
      <x:c r="D127" s="767"/>
      <x:c r="E127" s="767"/>
      <x:c r="F127" s="767"/>
      <x:c r="G127" s="767"/>
      <x:c r="H127" s="774"/>
    </x:row>
    <x:row r="128">
      <x:c r="A128" s="773"/>
      <x:c r="B128" s="767"/>
      <x:c r="C128" s="767"/>
      <x:c r="D128" s="767"/>
      <x:c r="E128" s="767"/>
      <x:c r="F128" s="767"/>
      <x:c r="G128" s="767"/>
      <x:c r="H128" s="774"/>
    </x:row>
    <x:row r="129">
      <x:c r="A129" s="773"/>
      <x:c r="B129" s="767"/>
      <x:c r="C129" s="767"/>
      <x:c r="D129" s="767"/>
      <x:c r="E129" s="767"/>
      <x:c r="F129" s="767"/>
      <x:c r="G129" s="767"/>
      <x:c r="H129" s="774"/>
    </x:row>
    <x:row r="130">
      <x:c r="A130" s="1095" t="str">
        <x:v>Uppdatering</x:v>
      </x:c>
      <x:c r="B130" s="1096" t="str">
        <x:v>Paragraf</x:v>
      </x:c>
      <x:c r="C130" s="1096" t="str">
        <x:v>Rad/område</x:v>
      </x:c>
      <x:c r="D130" s="1096" t="str">
        <x:v>Taxepunkt</x:v>
      </x:c>
      <x:c r="E130" s="1096" t="str">
        <x:v>Åtgärd</x:v>
      </x:c>
      <x:c r="F130" s="1096" t="str">
        <x:v>Taxekod/Förslag</x:v>
      </x:c>
      <x:c r="G130" s="1096" t="str">
        <x:v>Kommentar</x:v>
      </x:c>
      <x:c r="H130" s="1097" t="str">
        <x:v>Status</x:v>
      </x:c>
    </x:row>
    <x:row r="131">
      <x:c r="A131" s="773" t="str">
        <x:v>Word-kontroll</x:v>
      </x:c>
      <x:c r="B131" s="767" t="str">
        <x:v>§2.2.4</x:v>
      </x:c>
      <x:c r="C131" s="767" t="str">
        <x:v>40:69</x:v>
      </x:c>
      <x:c r="D131" s="767" t="str">
        <x:v>Flerbostadshus</x:v>
      </x:c>
      <x:c r="E131" s="767" t="str">
        <x:v>Kontrollerad mot Word</x:v>
      </x:c>
      <x:c r="F131" s="767" t="str"/>
      <x:c r="G131" s="767" t="str">
        <x:v>30 taxerader enligt Word finns i Taxepunkter: 27 matrisrader + 3 specialrader.</x:v>
      </x:c>
      <x:c r="H131" s="774" t="str">
        <x:v>OK</x:v>
      </x:c>
    </x:row>
    <x:row r="132">
      <x:c r="A132" s="773" t="str">
        <x:v>EDP-match</x:v>
      </x:c>
      <x:c r="B132" s="767" t="str">
        <x:v>§2.2.4</x:v>
      </x:c>
      <x:c r="C132" s="767" t="str">
        <x:v>40,41,43,44,46,47,49,50</x:v>
      </x:c>
      <x:c r="D132" s="767" t="str">
        <x:v>KÄ 240/370/660/140</x:v>
      </x:c>
      <x:c r="E132" s="767" t="str">
        <x:v>Befintliga EDP-taxor behållna</x:v>
      </x:c>
      <x:c r="F132" s="767" t="str">
        <x:v>KÄ*FV</x:v>
      </x:c>
      <x:c r="G132" s="767" t="str">
        <x:v>Exakta strTaxekod finns i Taxa_från_edp.</x:v>
      </x:c>
      <x:c r="H132" s="774" t="str">
        <x:v>OK</x:v>
      </x:c>
    </x:row>
    <x:row r="133">
      <x:c r="A133" s="773" t="str">
        <x:v>Saknas</x:v>
      </x:c>
      <x:c r="B133" s="767" t="str">
        <x:v>§2.2.4</x:v>
      </x:c>
      <x:c r="C133" s="767" t="str">
        <x:v>42,45,48,51:66</x:v>
      </x:c>
      <x:c r="D133" s="767" t="str">
        <x:v>Månadsvis + förpackningar + tidningar</x:v>
      </x:c>
      <x:c r="E133" s="767" t="str">
        <x:v>Taxakod lämnas tom</x:v>
      </x:c>
      <x:c r="F133" s="767" t="str"/>
      <x:c r="G133" s="767" t="str">
        <x:v>Ligger i Taxa_Saknas med föreslagen taxekod.</x:v>
      </x:c>
      <x:c r="H133" s="774" t="str">
        <x:v>OK</x:v>
      </x:c>
    </x:row>
    <x:row r="134">
      <x:c r="A134" s="773" t="str">
        <x:v>Kodregel</x:v>
      </x:c>
      <x:c r="B134" s="767" t="str">
        <x:v>§2.2.4</x:v>
      </x:c>
      <x:c r="C134" s="767" t="str">
        <x:v>67:68</x:v>
      </x:c>
      <x:c r="D134" s="767" t="str">
        <x:v>Bottentömmande behållare</x:v>
      </x:c>
      <x:c r="E134" s="767" t="str">
        <x:v>Förslag uppdaterat</x:v>
      </x:c>
      <x:c r="F134" s="767" t="str">
        <x:v>MBRMFPFV / MBRMFP2VFV</x:v>
      </x:c>
      <x:c r="G134" s="767" t="str">
        <x:v>BTMR ersatt av MB-prefix enligt bekräftad regel.</x:v>
      </x:c>
      <x:c r="H134" s="774" t="str">
        <x:v>OK</x:v>
      </x:c>
    </x:row>
    <x:row r="135">
      <x:c r="A135" s="840" t="str">
        <x:v>Saknas</x:v>
      </x:c>
      <x:c r="B135" s="841" t="str">
        <x:v>§2.2.4</x:v>
      </x:c>
      <x:c r="C135" s="841" t="str">
        <x:v>69</x:v>
      </x:c>
      <x:c r="D135" s="841" t="str">
        <x:v>Gemensam uppsamlingsplats per lägenhet</x:v>
      </x:c>
      <x:c r="E135" s="841" t="str">
        <x:v>Förslag uppdaterat</x:v>
      </x:c>
      <x:c r="F135" s="841" t="str">
        <x:v>GEMUPPMRFPFLB</x:v>
      </x:c>
      <x:c r="G135" s="841" t="str">
        <x:v>Ingen exakt EDP-match för mat-/restavfall + förpackningar per lägenhet.</x:v>
      </x:c>
      <x:c r="H135" s="842" t="str">
        <x:v>OK</x:v>
      </x:c>
    </x:row>
    <x:row r="137">
      <x:c r="A137" s="1107" t="str">
        <x:v>Uppdatering</x:v>
      </x:c>
      <x:c r="B137" s="1108" t="str">
        <x:v>Paragraf</x:v>
      </x:c>
      <x:c r="C137" s="1108" t="str">
        <x:v>Rad/område</x:v>
      </x:c>
      <x:c r="D137" s="1108" t="str">
        <x:v>Taxepunkt</x:v>
      </x:c>
      <x:c r="E137" s="1108" t="str">
        <x:v>Åtgärd</x:v>
      </x:c>
      <x:c r="F137" s="1108" t="str">
        <x:v>Taxekod/Förslag</x:v>
      </x:c>
      <x:c r="G137" s="1108" t="str">
        <x:v>Kommentar</x:v>
      </x:c>
      <x:c r="H137" s="1109" t="str">
        <x:v>Status</x:v>
      </x:c>
    </x:row>
    <x:row r="138">
      <x:c r="A138" s="773" t="str">
        <x:v>Word-kontroll</x:v>
      </x:c>
      <x:c r="B138" s="767" t="str">
        <x:v>§2.2.5</x:v>
      </x:c>
      <x:c r="C138" s="767" t="str">
        <x:v>72:86</x:v>
      </x:c>
      <x:c r="D138" s="767" t="str">
        <x:v>Verksamheter</x:v>
      </x:c>
      <x:c r="E138" s="767" t="str">
        <x:v>Kontrollerad mot Word</x:v>
      </x:c>
      <x:c r="F138" s="767" t="str"/>
      <x:c r="G138" s="767" t="str">
        <x:v>15 taxerader enligt Word finns i Taxepunkter: 12 kärlrader + 3 specialrader.</x:v>
      </x:c>
      <x:c r="H138" s="774" t="str">
        <x:v>OK</x:v>
      </x:c>
    </x:row>
    <x:row r="139">
      <x:c r="A139" s="773" t="str">
        <x:v>EDP-match</x:v>
      </x:c>
      <x:c r="B139" s="767" t="str">
        <x:v>§2.2.5</x:v>
      </x:c>
      <x:c r="C139" s="767" t="str">
        <x:v>72,73,75,76,78,79,81,82</x:v>
      </x:c>
      <x:c r="D139" s="767" t="str">
        <x:v>KÄ 240/370/660/140</x:v>
      </x:c>
      <x:c r="E139" s="767" t="str">
        <x:v>Befintliga EDP-taxor behållna</x:v>
      </x:c>
      <x:c r="F139" s="767" t="str">
        <x:v>KÄ*FV</x:v>
      </x:c>
      <x:c r="G139" s="767" t="str">
        <x:v>FV = flerbostadshus eller verksamhet enligt bekräftad regel.</x:v>
      </x:c>
      <x:c r="H139" s="774" t="str">
        <x:v>OK</x:v>
      </x:c>
    </x:row>
    <x:row r="140">
      <x:c r="A140" s="773" t="str">
        <x:v>Saknas</x:v>
      </x:c>
      <x:c r="B140" s="767" t="str">
        <x:v>§2.2.5</x:v>
      </x:c>
      <x:c r="C140" s="767" t="str">
        <x:v>74,77,80,83</x:v>
      </x:c>
      <x:c r="D140" s="767" t="str">
        <x:v>Månadsvis</x:v>
      </x:c>
      <x:c r="E140" s="767" t="str">
        <x:v>Taxakod lämnas tom</x:v>
      </x:c>
      <x:c r="F140" s="767" t="str">
        <x:v>KÄ*12FV</x:v>
      </x:c>
      <x:c r="G140" s="767" t="str">
        <x:v>Saknas som exakt EDP-taxekod och ligger i Taxa_Saknas.</x:v>
      </x:c>
      <x:c r="H140" s="774" t="str">
        <x:v>OK</x:v>
      </x:c>
    </x:row>
    <x:row r="141">
      <x:c r="A141" s="773" t="str">
        <x:v>Kodregel</x:v>
      </x:c>
      <x:c r="B141" s="767" t="str">
        <x:v>§2.2.5</x:v>
      </x:c>
      <x:c r="C141" s="767" t="str">
        <x:v>84,86</x:v>
      </x:c>
      <x:c r="D141" s="767" t="str">
        <x:v>Bottentömmande behållare</x:v>
      </x:c>
      <x:c r="E141" s="767" t="str">
        <x:v>Förslag uppdaterat</x:v>
      </x:c>
      <x:c r="F141" s="767" t="str">
        <x:v>MBRMFV / MBRM2VFV</x:v>
      </x:c>
      <x:c r="G141" s="767" t="str">
        <x:v>BTMR ersatt med MB-prefix enligt bekräftad regel.</x:v>
      </x:c>
      <x:c r="H141" s="774" t="str">
        <x:v>OK</x:v>
      </x:c>
    </x:row>
    <x:row r="142">
      <x:c r="A142" s="840" t="str">
        <x:v>Kodregel</x:v>
      </x:c>
      <x:c r="B142" s="841" t="str">
        <x:v>§2.2.5</x:v>
      </x:c>
      <x:c r="C142" s="841" t="str">
        <x:v>85</x:v>
      </x:c>
      <x:c r="D142" s="841" t="str">
        <x:v>Lastväxlarflak</x:v>
      </x:c>
      <x:c r="E142" s="841" t="str">
        <x:v>Förslag kontrollerat</x:v>
      </x:c>
      <x:c r="F142" s="841" t="str">
        <x:v>LVREFV</x:v>
      </x:c>
      <x:c r="G142" s="841" t="str">
        <x:v>LV-prefix behålls som föreslagen taxa; ingen exakt EDP-match hittad.</x:v>
      </x:c>
      <x:c r="H142" s="842" t="str">
        <x:v>OK</x:v>
      </x:c>
    </x:row>
    <x:row r="144">
      <x:c r="A144" s="1113" t="str">
        <x:v>Uppdatering</x:v>
      </x:c>
      <x:c r="B144" s="1114" t="str">
        <x:v>Paragraf</x:v>
      </x:c>
      <x:c r="C144" s="1114" t="str">
        <x:v>Rad/område</x:v>
      </x:c>
      <x:c r="D144" s="1114" t="str">
        <x:v>Taxepunkt</x:v>
      </x:c>
      <x:c r="E144" s="1114" t="str">
        <x:v>Åtgärd</x:v>
      </x:c>
      <x:c r="F144" s="1114" t="str">
        <x:v>Taxekod/Förslag</x:v>
      </x:c>
      <x:c r="G144" s="1114" t="str">
        <x:v>Kommentar</x:v>
      </x:c>
      <x:c r="H144" s="1115" t="str">
        <x:v>Status</x:v>
      </x:c>
    </x:row>
    <x:row r="145">
      <x:c r="A145" s="773" t="str">
        <x:v>Word-kontroll</x:v>
      </x:c>
      <x:c r="B145" s="767" t="str">
        <x:v>§2.2.6</x:v>
      </x:c>
      <x:c r="C145" s="767" t="str">
        <x:v>89:103</x:v>
      </x:c>
      <x:c r="D145" s="767" t="str">
        <x:v>Detaljhandel</x:v>
      </x:c>
      <x:c r="E145" s="767" t="str">
        <x:v>Kontrollerad mot Word</x:v>
      </x:c>
      <x:c r="F145" s="767" t="str"/>
      <x:c r="G145" s="767" t="str">
        <x:v>15 taxerader enligt Word finns i Taxepunkter: 12 kärlrader + 3 specialrader.</x:v>
      </x:c>
      <x:c r="H145" s="774" t="str">
        <x:v>OK</x:v>
      </x:c>
    </x:row>
    <x:row r="146">
      <x:c r="A146" s="773" t="str">
        <x:v>EDP-kontroll</x:v>
      </x:c>
      <x:c r="B146" s="767" t="str">
        <x:v>§2.2.6</x:v>
      </x:c>
      <x:c r="C146" s="767" t="str">
        <x:v>89:103</x:v>
      </x:c>
      <x:c r="D146" s="767" t="str">
        <x:v>Detaljhandel</x:v>
      </x:c>
      <x:c r="E146" s="767" t="str">
        <x:v>Inga exakta DH-taxekoder i Taxa_från_edp</x:v>
      </x:c>
      <x:c r="F146" s="767" t="str"/>
      <x:c r="G146" s="767" t="str">
        <x:v>Taxakod lämnas tom och Föreslagen Taxa hämtas från Taxa_Saknas.</x:v>
      </x:c>
      <x:c r="H146" s="774" t="str">
        <x:v>OK</x:v>
      </x:c>
    </x:row>
    <x:row r="147">
      <x:c r="A147" s="773" t="str">
        <x:v>Kodregel</x:v>
      </x:c>
      <x:c r="B147" s="767" t="str">
        <x:v>§2.2.6</x:v>
      </x:c>
      <x:c r="C147" s="767" t="str">
        <x:v>89:100</x:v>
      </x:c>
      <x:c r="D147" s="767" t="str">
        <x:v>Kärl</x:v>
      </x:c>
      <x:c r="E147" s="767" t="str">
        <x:v>DH-suffix används</x:v>
      </x:c>
      <x:c r="F147" s="767" t="str">
        <x:v>KÄ*DH</x:v>
      </x:c>
      <x:c r="G147" s="767" t="str">
        <x:v>Detaljhandel är egen kategori och ska inte använda FV.</x:v>
      </x:c>
      <x:c r="H147" s="774" t="str">
        <x:v>OK</x:v>
      </x:c>
    </x:row>
    <x:row r="148">
      <x:c r="A148" s="773" t="str">
        <x:v>Kodregel</x:v>
      </x:c>
      <x:c r="B148" s="767" t="str">
        <x:v>§2.2.6</x:v>
      </x:c>
      <x:c r="C148" s="767" t="str">
        <x:v>101,103</x:v>
      </x:c>
      <x:c r="D148" s="767" t="str">
        <x:v>Bottentömmande behållare</x:v>
      </x:c>
      <x:c r="E148" s="767" t="str">
        <x:v>Förslag uppdaterat</x:v>
      </x:c>
      <x:c r="F148" s="767" t="str">
        <x:v>MBRMDH / MBRM2VDH</x:v>
      </x:c>
      <x:c r="G148" s="767" t="str">
        <x:v>BTMR ersatt med MB-prefix enligt bekräftad regel.</x:v>
      </x:c>
      <x:c r="H148" s="774" t="str">
        <x:v>OK</x:v>
      </x:c>
    </x:row>
    <x:row r="149">
      <x:c r="A149" s="840" t="str">
        <x:v>Kodregel</x:v>
      </x:c>
      <x:c r="B149" s="841" t="str">
        <x:v>§2.2.6</x:v>
      </x:c>
      <x:c r="C149" s="841" t="str">
        <x:v>102</x:v>
      </x:c>
      <x:c r="D149" s="841" t="str">
        <x:v>Lastväxlarflak</x:v>
      </x:c>
      <x:c r="E149" s="841" t="str">
        <x:v>Förslag kontrollerat</x:v>
      </x:c>
      <x:c r="F149" s="841" t="str">
        <x:v>LVREDH</x:v>
      </x:c>
      <x:c r="G149" s="841" t="str">
        <x:v>LV-prefix används för lastväxlarflak restavfall detaljhandel.</x:v>
      </x:c>
      <x:c r="H149" s="842" t="str">
        <x:v>OK</x:v>
      </x:c>
    </x:row>
    <x:row r="151">
      <x:c r="A151" s="1124" t="str">
        <x:v>Uppdatering</x:v>
      </x:c>
      <x:c r="B151" s="1125" t="str">
        <x:v>Paragraf</x:v>
      </x:c>
      <x:c r="C151" s="1125" t="str">
        <x:v>Rad/område</x:v>
      </x:c>
      <x:c r="D151" s="1125" t="str">
        <x:v>Taxepunkt</x:v>
      </x:c>
      <x:c r="E151" s="1125" t="str">
        <x:v>Åtgärd</x:v>
      </x:c>
      <x:c r="F151" s="1125" t="str">
        <x:v>Taxekod/Förslag</x:v>
      </x:c>
      <x:c r="G151" s="1125" t="str">
        <x:v>Kommentar</x:v>
      </x:c>
      <x:c r="H151" s="1126" t="str">
        <x:v>Status</x:v>
      </x:c>
    </x:row>
    <x:row r="152">
      <x:c r="A152" s="773" t="str">
        <x:v>Word-kontroll</x:v>
      </x:c>
      <x:c r="B152" s="767" t="str">
        <x:v>§2.2.7</x:v>
      </x:c>
      <x:c r="C152" s="767" t="str">
        <x:v>106:108</x:v>
      </x:c>
      <x:c r="D152" s="767" t="str">
        <x:v>Förbrukat matfett, kontorspapper eller returpapper</x:v>
      </x:c>
      <x:c r="E152" s="767" t="str">
        <x:v>Kontrollerad mot Word</x:v>
      </x:c>
      <x:c r="F152" s="767" t="str"/>
      <x:c r="G152" s="767" t="str">
        <x:v>3 taxerader enligt Word finns nu i Taxepunkter.</x:v>
      </x:c>
      <x:c r="H152" s="774" t="str">
        <x:v>OK</x:v>
      </x:c>
    </x:row>
    <x:row r="153">
      <x:c r="A153" s="773" t="str">
        <x:v>Komplettering</x:v>
      </x:c>
      <x:c r="B153" s="767" t="str">
        <x:v>§2.2.7</x:v>
      </x:c>
      <x:c r="C153" s="767" t="str">
        <x:v>107</x:v>
      </x:c>
      <x:c r="D153" s="767" t="str">
        <x:v>Egen överlämning kontors-/returpapper</x:v>
      </x:c>
      <x:c r="E153" s="767" t="str">
        <x:v>Rad tillagd/fylld i Taxepunkter</x:v>
      </x:c>
      <x:c r="F153" s="767" t="str">
        <x:v>EGENKONTRET</x:v>
      </x:c>
      <x:c r="G153" s="767" t="str">
        <x:v>Raden fanns i Word men saknades som taxerad i Taxepunkter.</x:v>
      </x:c>
      <x:c r="H153" s="774" t="str">
        <x:v>OK</x:v>
      </x:c>
    </x:row>
    <x:row r="154">
      <x:c r="A154" s="773" t="str">
        <x:v>EDP-kontroll</x:v>
      </x:c>
      <x:c r="B154" s="767" t="str">
        <x:v>§2.2.7</x:v>
      </x:c>
      <x:c r="C154" s="767" t="str">
        <x:v>106:108</x:v>
      </x:c>
      <x:c r="D154" s="767" t="str">
        <x:v>Samtliga</x:v>
      </x:c>
      <x:c r="E154" s="767" t="str">
        <x:v>Ingen exakt EDP-träff</x:v>
      </x:c>
      <x:c r="F154" s="767" t="str"/>
      <x:c r="G154" s="767" t="str">
        <x:v>Taxakod lämnas tom och Föreslagen Taxa hämtas från Taxa_Saknas.</x:v>
      </x:c>
      <x:c r="H154" s="774" t="str">
        <x:v>OK</x:v>
      </x:c>
    </x:row>
    <x:row r="155">
      <x:c r="A155" s="773" t="str">
        <x:v>Kodregel</x:v>
      </x:c>
      <x:c r="B155" s="767" t="str">
        <x:v>§2.2.7</x:v>
      </x:c>
      <x:c r="C155" s="767" t="str">
        <x:v>106</x:v>
      </x:c>
      <x:c r="D155" s="767" t="str">
        <x:v>Kärl 140 l kontors-/returpapper</x:v>
      </x:c>
      <x:c r="E155" s="767" t="str">
        <x:v>Förslag skapat</x:v>
      </x:c>
      <x:c r="F155" s="767" t="str">
        <x:v>KÄ140TI</x:v>
      </x:c>
      <x:c r="G155" s="767" t="str">
        <x:v>TI används som bekräftad koddel för tidningar/returpapper.</x:v>
      </x:c>
      <x:c r="H155" s="774" t="str">
        <x:v>OK</x:v>
      </x:c>
    </x:row>
    <x:row r="156">
      <x:c r="A156" s="840" t="str">
        <x:v>Kodregel</x:v>
      </x:c>
      <x:c r="B156" s="841" t="str">
        <x:v>§2.2.7</x:v>
      </x:c>
      <x:c r="C156" s="841" t="str">
        <x:v>107:108</x:v>
      </x:c>
      <x:c r="D156" s="841" t="str">
        <x:v>Egen överlämning</x:v>
      </x:c>
      <x:c r="E156" s="841" t="str">
        <x:v>Förslag skapat</x:v>
      </x:c>
      <x:c r="F156" s="841" t="str">
        <x:v>EGENKONTRET / EGENMATFETT</x:v>
      </x:c>
      <x:c r="G156" s="841" t="str">
        <x:v>Funktionskoder skapade utifrån Wordtext.</x:v>
      </x:c>
      <x:c r="H156" s="842" t="str">
        <x:v>OK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22" hidden="0" customWidth="1"/>
    <x:col min="5" max="5" width="42" hidden="0" customWidth="1"/>
    <x:col min="6" max="6" width="35" hidden="0" customWidth="1"/>
    <x:col min="7" max="7" width="18" hidden="0" customWidth="1"/>
    <x:col min="8" max="8" width="65" hidden="0" customWidth="1"/>
  </x:cols>
  <x:sheetData>
    <x:row r="1">
      <x:c r="A1" s="934" t="str">
        <x:v>Koddel</x:v>
      </x:c>
      <x:c r="B1" s="935" t="str">
        <x:v>Typ</x:v>
      </x:c>
      <x:c r="C1" s="935" t="str">
        <x:v>Betydelse</x:v>
      </x:c>
      <x:c r="D1" s="935" t="str">
        <x:v>Exempel</x:v>
      </x:c>
      <x:c r="E1" s="935" t="str">
        <x:v>Första förekomst</x:v>
      </x:c>
      <x:c r="F1" s="935" t="str">
        <x:v>Källa</x:v>
      </x:c>
      <x:c r="G1" s="935" t="str">
        <x:v>Status</x:v>
      </x:c>
      <x:c r="H1" s="952" t="str">
        <x:v>Kommentar</x:v>
      </x:c>
    </x:row>
    <x:row r="2">
      <x:c r="A2" s="903" t="str">
        <x:v>KÄ</x:v>
      </x:c>
      <x:c r="B2" s="800" t="str">
        <x:v>Prefix</x:v>
      </x:c>
      <x:c r="C2" s="800" t="str">
        <x:v>Kärl</x:v>
      </x:c>
      <x:c r="D2" s="800" t="str">
        <x:v>KÄ240RM26</x:v>
      </x:c>
      <x:c r="E2" s="800" t="str">
        <x:v>Taxa_från_edp rad 234 / strTaxekod KÄ240RM26</x:v>
      </x:c>
      <x:c r="F2" s="800" t="str">
        <x:v>strTaxekod + strTaxebenamning</x:v>
      </x:c>
      <x:c r="G2" s="800" t="str">
        <x:v>Bekräftad</x:v>
      </x:c>
      <x:c r="H2" s="885" t="str"/>
    </x:row>
    <x:row r="3">
      <x:c r="A3" s="903" t="str">
        <x:v>MB</x:v>
      </x:c>
      <x:c r="B3" s="800" t="str">
        <x:v>Prefix</x:v>
      </x:c>
      <x:c r="C3" s="800" t="str">
        <x:v>Markbehållare eller underjordsbehållare</x:v>
      </x:c>
      <x:c r="D3" s="800" t="str">
        <x:v>MB3200RE26</x:v>
      </x:c>
      <x:c r="E3" s="800" t="str">
        <x:v>Taxa_från_edp rad 211 / 271</x:v>
      </x:c>
      <x:c r="F3" s="800" t="str">
        <x:v>strTaxebenamning + användarbekräftelse</x:v>
      </x:c>
      <x:c r="G3" s="800" t="str">
        <x:v>Bekräftad</x:v>
      </x:c>
      <x:c r="H3" s="885" t="str">
        <x:v>Kan omfatta både mark- och underjordsbehållare.</x:v>
      </x:c>
    </x:row>
    <x:row r="4">
      <x:c r="A4" s="903" t="str">
        <x:v>BTMR</x:v>
      </x:c>
      <x:c r="B4" s="800" t="str">
        <x:v>Kodstruktur</x:v>
      </x:c>
      <x:c r="C4" s="800" t="str">
        <x:v>Bottentömmande behållare, mat-/restavfall</x:v>
      </x:c>
      <x:c r="D4" s="800" t="str">
        <x:v>BTMRFV</x:v>
      </x:c>
      <x:c r="E4" s="800" t="str">
        <x:v>Taxa_Saknas / föreslagen struktur</x:v>
      </x:c>
      <x:c r="F4" s="800" t="str">
        <x:v>Användarbekräftelse</x:v>
      </x:c>
      <x:c r="G4" s="800" t="str">
        <x:v>Bekräftad</x:v>
      </x:c>
      <x:c r="H4" s="885" t="str">
        <x:v>Används för nya föreslagna taxor när EDP-träff saknas.</x:v>
      </x:c>
    </x:row>
    <x:row r="5">
      <x:c r="A5" s="903" t="str">
        <x:v>LVRE</x:v>
      </x:c>
      <x:c r="B5" s="800" t="str">
        <x:v>Kodstruktur</x:v>
      </x:c>
      <x:c r="C5" s="800" t="str">
        <x:v>Lastväxlarflak, restavfall</x:v>
      </x:c>
      <x:c r="D5" s="800" t="str">
        <x:v>LVREFV</x:v>
      </x:c>
      <x:c r="E5" s="800" t="str">
        <x:v>Taxa_Saknas / föreslagen struktur</x:v>
      </x:c>
      <x:c r="F5" s="800" t="str">
        <x:v>Användarbekräftelse</x:v>
      </x:c>
      <x:c r="G5" s="800" t="str">
        <x:v>Bekräftad</x:v>
      </x:c>
      <x:c r="H5" s="885" t="str">
        <x:v>Används för nya föreslagna taxor när EDP-träff saknas.</x:v>
      </x:c>
    </x:row>
    <x:row r="6">
      <x:c r="A6" s="903" t="str">
        <x:v>RM</x:v>
      </x:c>
      <x:c r="B6" s="800" t="str">
        <x:v>Avfallsslag</x:v>
      </x:c>
      <x:c r="C6" s="800" t="str">
        <x:v>Rest-/matavfall</x:v>
      </x:c>
      <x:c r="D6" s="800" t="str">
        <x:v>KÄ240RM26</x:v>
      </x:c>
      <x:c r="E6" s="800" t="str">
        <x:v>Taxa_från_edp rad 234 / strTaxekod KÄ240RM26</x:v>
      </x:c>
      <x:c r="F6" s="800" t="str">
        <x:v>strTaxebenamning: rest/matavfall</x:v>
      </x:c>
      <x:c r="G6" s="800" t="str">
        <x:v>Bekräftad</x:v>
      </x:c>
      <x:c r="H6" s="885" t="str"/>
    </x:row>
    <x:row r="7">
      <x:c r="A7" s="903" t="str">
        <x:v>RK</x:v>
      </x:c>
      <x:c r="B7" s="800" t="str">
        <x:v>Avfallsslag</x:v>
      </x:c>
      <x:c r="C7" s="800" t="str">
        <x:v>Restavfall/kompost</x:v>
      </x:c>
      <x:c r="D7" s="800" t="str">
        <x:v>KÄ240RK26</x:v>
      </x:c>
      <x:c r="E7" s="800" t="str">
        <x:v>Taxa_från_edp rad 232 / strTaxekod KÄ240RK26</x:v>
      </x:c>
      <x:c r="F7" s="800" t="str">
        <x:v>strTaxebenamning: restavfall/kompost</x:v>
      </x:c>
      <x:c r="G7" s="800" t="str">
        <x:v>Bekräftad</x:v>
      </x:c>
      <x:c r="H7" s="885" t="str"/>
    </x:row>
    <x:row r="8">
      <x:c r="A8" s="903" t="str">
        <x:v>RE</x:v>
      </x:c>
      <x:c r="B8" s="800" t="str">
        <x:v>Avfallsslag</x:v>
      </x:c>
      <x:c r="C8" s="800" t="str">
        <x:v>Restavfall</x:v>
      </x:c>
      <x:c r="D8" s="800" t="str">
        <x:v>KÄ370RE26FV</x:v>
      </x:c>
      <x:c r="E8" s="800" t="str">
        <x:v>Taxa_från_edp rad 242 / strTaxekod KÄ370RE26FV</x:v>
      </x:c>
      <x:c r="F8" s="800" t="str">
        <x:v>strTaxebenamning + strTaxedelAvser</x:v>
      </x:c>
      <x:c r="G8" s="800" t="str">
        <x:v>Bekräftad</x:v>
      </x:c>
      <x:c r="H8" s="885" t="str"/>
    </x:row>
    <x:row r="9">
      <x:c r="A9" s="903" t="str">
        <x:v>MA</x:v>
      </x:c>
      <x:c r="B9" s="800" t="str">
        <x:v>Avfallsslag</x:v>
      </x:c>
      <x:c r="C9" s="800" t="str">
        <x:v>Matavfall</x:v>
      </x:c>
      <x:c r="D9" s="800" t="str">
        <x:v>KÄ140MA52FV</x:v>
      </x:c>
      <x:c r="E9" s="800" t="str">
        <x:v>Taxa_från_edp rad 221 / strTaxekod KÄ140MA52FV</x:v>
      </x:c>
      <x:c r="F9" s="800" t="str">
        <x:v>strTaxebenamning + strTaxedelAvser</x:v>
      </x:c>
      <x:c r="G9" s="800" t="str">
        <x:v>Bekräftad</x:v>
      </x:c>
      <x:c r="H9" s="885" t="str"/>
    </x:row>
    <x:row r="10">
      <x:c r="A10" s="903" t="str">
        <x:v>TI</x:v>
      </x:c>
      <x:c r="B10" s="800" t="str">
        <x:v>Avfallsslag</x:v>
      </x:c>
      <x:c r="C10" s="800" t="str">
        <x:v>Tidningar/returpapper</x:v>
      </x:c>
      <x:c r="D10" s="800" t="str">
        <x:v>KÄ190TI26FV</x:v>
      </x:c>
      <x:c r="E10" s="800" t="str">
        <x:v>Taxa_Saknas / föreslagen struktur</x:v>
      </x:c>
      <x:c r="F10" s="800" t="str">
        <x:v>Användarbekräftelse</x:v>
      </x:c>
      <x:c r="G10" s="800" t="str">
        <x:v>Bekräftad</x:v>
      </x:c>
      <x:c r="H10" s="885" t="str">
        <x:v>Används där EDP-träff saknas för tidningar/returpapper.</x:v>
      </x:c>
    </x:row>
    <x:row r="11">
      <x:c r="A11" s="903" t="str">
        <x:v>FP</x:v>
      </x:c>
      <x:c r="B11" s="800" t="str">
        <x:v>Avfallsslag</x:v>
      </x:c>
      <x:c r="C11" s="800" t="str">
        <x:v>Förpackningar</x:v>
      </x:c>
      <x:c r="D11" s="800" t="str">
        <x:v>KÄ370FP26FV</x:v>
      </x:c>
      <x:c r="E11" s="800" t="str">
        <x:v>Taxa_Saknas / föreslagen struktur</x:v>
      </x:c>
      <x:c r="F11" s="800" t="str">
        <x:v>Användarbekräftelse</x:v>
      </x:c>
      <x:c r="G11" s="800" t="str">
        <x:v>Bekräftad</x:v>
      </x:c>
      <x:c r="H11" s="885" t="str">
        <x:v>Används där EDP-träff saknas för förpackningar.</x:v>
      </x:c>
    </x:row>
    <x:row r="12">
      <x:c r="A12" s="903" t="str">
        <x:v>XRM</x:v>
      </x:c>
      <x:c r="B12" s="800" t="str">
        <x:v>Avfallsslag/kärltyp</x:v>
      </x:c>
      <x:c r="C12" s="800" t="str">
        <x:v>Extrakärl rest-/matavfall</x:v>
      </x:c>
      <x:c r="D12" s="800" t="str">
        <x:v>KÄ190XRM26</x:v>
      </x:c>
      <x:c r="E12" s="800" t="str">
        <x:v>Taxa_från_edp rad 226 / strTaxekod KÄ190XRM26</x:v>
      </x:c>
      <x:c r="F12" s="800" t="str">
        <x:v>strTaxebenamning: extrakärl, rest/matavfall</x:v>
      </x:c>
      <x:c r="G12" s="800" t="str">
        <x:v>Bekräftad</x:v>
      </x:c>
      <x:c r="H12" s="885" t="str"/>
    </x:row>
    <x:row r="13">
      <x:c r="A13" s="903" t="str">
        <x:v>140</x:v>
      </x:c>
      <x:c r="B13" s="800" t="str">
        <x:v>Volym</x:v>
      </x:c>
      <x:c r="C13" s="800" t="str">
        <x:v>140 liter</x:v>
      </x:c>
      <x:c r="D13" s="800" t="str">
        <x:v>KÄ140MA26FV</x:v>
      </x:c>
      <x:c r="E13" s="800" t="str">
        <x:v>Taxa_från_edp rad 216 / strTaxekod KÄ140MA26FV</x:v>
      </x:c>
      <x:c r="F13" s="800" t="str">
        <x:v>strTaxebenamning</x:v>
      </x:c>
      <x:c r="G13" s="800" t="str">
        <x:v>Bekräftad</x:v>
      </x:c>
      <x:c r="H13" s="885" t="str"/>
    </x:row>
    <x:row r="14">
      <x:c r="A14" s="903" t="str">
        <x:v>190</x:v>
      </x:c>
      <x:c r="B14" s="800" t="str">
        <x:v>Volym</x:v>
      </x:c>
      <x:c r="C14" s="800" t="str">
        <x:v>190 liter / 120–190 liter för extrakärl</x:v>
      </x:c>
      <x:c r="D14" s="800" t="str">
        <x:v>KÄ190XRM26</x:v>
      </x:c>
      <x:c r="E14" s="800" t="str">
        <x:v>Taxa_från_edp rad 226 / strTaxekod KÄ190XRM26</x:v>
      </x:c>
      <x:c r="F14" s="800" t="str">
        <x:v>strTaxebenamning</x:v>
      </x:c>
      <x:c r="G14" s="800" t="str">
        <x:v>Bekräftad</x:v>
      </x:c>
      <x:c r="H14" s="885" t="str"/>
    </x:row>
    <x:row r="15">
      <x:c r="A15" s="903" t="str">
        <x:v>240</x:v>
      </x:c>
      <x:c r="B15" s="800" t="str">
        <x:v>Volym</x:v>
      </x:c>
      <x:c r="C15" s="800" t="str">
        <x:v>240 liter</x:v>
      </x:c>
      <x:c r="D15" s="800" t="str">
        <x:v>KÄ240RM26</x:v>
      </x:c>
      <x:c r="E15" s="800" t="str">
        <x:v>Taxa_från_edp rad 234 / strTaxekod KÄ240RM26</x:v>
      </x:c>
      <x:c r="F15" s="800" t="str">
        <x:v>strTaxebenamning</x:v>
      </x:c>
      <x:c r="G15" s="800" t="str">
        <x:v>Bekräftad</x:v>
      </x:c>
      <x:c r="H15" s="885" t="str"/>
    </x:row>
    <x:row r="16">
      <x:c r="A16" s="903" t="str">
        <x:v>370</x:v>
      </x:c>
      <x:c r="B16" s="800" t="str">
        <x:v>Volym</x:v>
      </x:c>
      <x:c r="C16" s="800" t="str">
        <x:v>370 liter</x:v>
      </x:c>
      <x:c r="D16" s="800" t="str">
        <x:v>KÄ370RE26FV</x:v>
      </x:c>
      <x:c r="E16" s="800" t="str">
        <x:v>Taxa_från_edp rad 242 / strTaxekod KÄ370RE26FV</x:v>
      </x:c>
      <x:c r="F16" s="800" t="str">
        <x:v>strTaxebenamning</x:v>
      </x:c>
      <x:c r="G16" s="800" t="str">
        <x:v>Bekräftad</x:v>
      </x:c>
      <x:c r="H16" s="885" t="str"/>
    </x:row>
    <x:row r="17">
      <x:c r="A17" s="903" t="str">
        <x:v>660</x:v>
      </x:c>
      <x:c r="B17" s="800" t="str">
        <x:v>Volym</x:v>
      </x:c>
      <x:c r="C17" s="800" t="str">
        <x:v>660 liter</x:v>
      </x:c>
      <x:c r="D17" s="800" t="str">
        <x:v>KÄ660RE26FV</x:v>
      </x:c>
      <x:c r="E17" s="800" t="str">
        <x:v>Taxa_från_edp rad 254 / strTaxekod KÄ660RE26FV</x:v>
      </x:c>
      <x:c r="F17" s="800" t="str">
        <x:v>strTaxebenamning</x:v>
      </x:c>
      <x:c r="G17" s="800" t="str">
        <x:v>Bekräftad</x:v>
      </x:c>
      <x:c r="H17" s="885" t="str"/>
    </x:row>
    <x:row r="18">
      <x:c r="A18" s="903" t="str">
        <x:v>26</x:v>
      </x:c>
      <x:c r="B18" s="800" t="str">
        <x:v>Frekvens</x:v>
      </x:c>
      <x:c r="C18" s="800" t="str">
        <x:v>Var 14:e dag / 26 tömningar per år</x:v>
      </x:c>
      <x:c r="D18" s="800" t="str">
        <x:v>KÄ240RM26</x:v>
      </x:c>
      <x:c r="E18" s="800" t="str">
        <x:v>Taxa_från_edp rad 234 / strTaxekod KÄ240RM26</x:v>
      </x:c>
      <x:c r="F18" s="800" t="str">
        <x:v>strTaxebenamning</x:v>
      </x:c>
      <x:c r="G18" s="800" t="str">
        <x:v>Bekräftad</x:v>
      </x:c>
      <x:c r="H18" s="885" t="str"/>
    </x:row>
    <x:row r="19">
      <x:c r="A19" s="903" t="str">
        <x:v>52</x:v>
      </x:c>
      <x:c r="B19" s="800" t="str">
        <x:v>Frekvens</x:v>
      </x:c>
      <x:c r="C19" s="800" t="str">
        <x:v>Varje vecka / 52 tömningar per år</x:v>
      </x:c>
      <x:c r="D19" s="800" t="str">
        <x:v>KÄ240RM52FV</x:v>
      </x:c>
      <x:c r="E19" s="800" t="str">
        <x:v>Taxa_från_edp rad 31 / strTaxekod KÄ240RM52FV</x:v>
      </x:c>
      <x:c r="F19" s="800" t="str">
        <x:v>strTaxebenamning</x:v>
      </x:c>
      <x:c r="G19" s="800" t="str">
        <x:v>Bekräftad</x:v>
      </x:c>
      <x:c r="H19" s="885" t="str"/>
    </x:row>
    <x:row r="20">
      <x:c r="A20" s="903" t="str">
        <x:v>12</x:v>
      </x:c>
      <x:c r="B20" s="800" t="str">
        <x:v>Frekvens</x:v>
      </x:c>
      <x:c r="C20" s="800" t="str">
        <x:v>Månadsvis / 12 tömningar per år</x:v>
      </x:c>
      <x:c r="D20" s="800" t="str">
        <x:v>KÄ240RM12FV</x:v>
      </x:c>
      <x:c r="E20" s="800" t="str">
        <x:v>Taxa_Saknas / föreslagen struktur</x:v>
      </x:c>
      <x:c r="F20" s="800" t="str">
        <x:v>Härledd från kodmönster och Word</x:v>
      </x:c>
      <x:c r="G20" s="800" t="str">
        <x:v>Härledd</x:v>
      </x:c>
      <x:c r="H20" s="885" t="str">
        <x:v>Finns inte som säker EDP-träff i genomgången hittills.</x:v>
      </x:c>
    </x:row>
    <x:row r="21">
      <x:c r="A21" s="903" t="str">
        <x:v>FRI</x:v>
      </x:c>
      <x:c r="B21" s="800" t="str">
        <x:v>Suffix</x:v>
      </x:c>
      <x:c r="C21" s="800" t="str">
        <x:v>Fritidshus</x:v>
      </x:c>
      <x:c r="D21" s="800" t="str">
        <x:v>KÄ240RM26FRI</x:v>
      </x:c>
      <x:c r="E21" s="800" t="str">
        <x:v>Taxa_från_edp rad 236 / strTaxekod KÄ240RM26FRI</x:v>
      </x:c>
      <x:c r="F21" s="800" t="str">
        <x:v>strTaxebenamning</x:v>
      </x:c>
      <x:c r="G21" s="800" t="str">
        <x:v>Bekräftad</x:v>
      </x:c>
      <x:c r="H21" s="885" t="str"/>
    </x:row>
    <x:row r="22">
      <x:c r="A22" s="903" t="str">
        <x:v>FV</x:v>
      </x:c>
      <x:c r="B22" s="800" t="str">
        <x:v>Suffix</x:v>
      </x:c>
      <x:c r="C22" s="800" t="str">
        <x:v>Flerbostadshus eller verksamhet</x:v>
      </x:c>
      <x:c r="D22" s="800" t="str">
        <x:v>KÄ660RE52FV</x:v>
      </x:c>
      <x:c r="E22" s="800" t="str">
        <x:v>Taxa_från_edp rad 259 / strTaxekod KÄ660RE52FV</x:v>
      </x:c>
      <x:c r="F22" s="800" t="str">
        <x:v>strTaxebenamning: FLB/VHT + användarbekräftelse</x:v>
      </x:c>
      <x:c r="G22" s="800" t="str">
        <x:v>Bekräftad</x:v>
      </x:c>
      <x:c r="H22" s="885" t="str">
        <x:v>Samma FV-taxekod kan användas både för flerbostadshus och verksamhet om övriga villkor stämmer.</x:v>
      </x:c>
    </x:row>
    <x:row r="23">
      <x:c r="A23" s="903" t="str">
        <x:v>FLB</x:v>
      </x:c>
      <x:c r="B23" s="800" t="str">
        <x:v>Förkortning i benämning</x:v>
      </x:c>
      <x:c r="C23" s="800" t="str">
        <x:v>Flerbostadshus</x:v>
      </x:c>
      <x:c r="D23" s="800" t="str">
        <x:v>FLB/VHT</x:v>
      </x:c>
      <x:c r="E23" s="800" t="str">
        <x:v>Taxa_från_edp, flera rader</x:v>
      </x:c>
      <x:c r="F23" s="800" t="str">
        <x:v>strTaxebenamning</x:v>
      </x:c>
      <x:c r="G23" s="800" t="str">
        <x:v>Bekräftad</x:v>
      </x:c>
      <x:c r="H23" s="885" t="str">
        <x:v>Förekommer i strTaxebenamning, inte nödvändigtvis som egen koddel.</x:v>
      </x:c>
    </x:row>
    <x:row r="24">
      <x:c r="A24" s="903" t="str">
        <x:v>VHT</x:v>
      </x:c>
      <x:c r="B24" s="800" t="str">
        <x:v>Förkortning i benämning</x:v>
      </x:c>
      <x:c r="C24" s="800" t="str">
        <x:v>Verksamhet</x:v>
      </x:c>
      <x:c r="D24" s="800" t="str">
        <x:v>FLB/VHT</x:v>
      </x:c>
      <x:c r="E24" s="800" t="str">
        <x:v>Taxa_från_edp, flera rader</x:v>
      </x:c>
      <x:c r="F24" s="800" t="str">
        <x:v>strTaxebenamning</x:v>
      </x:c>
      <x:c r="G24" s="800" t="str">
        <x:v>Bekräftad</x:v>
      </x:c>
      <x:c r="H24" s="885" t="str">
        <x:v>Förekommer i strTaxebenamning, inte nödvändigtvis som egen koddel.</x:v>
      </x:c>
    </x:row>
    <x:row r="25">
      <x:c r="A25" s="903" t="str">
        <x:v>SL</x:v>
      </x:c>
      <x:c r="B25" s="800" t="str">
        <x:v>Prefix/kategori</x:v>
      </x:c>
      <x:c r="C25" s="800" t="str">
        <x:v>Slam</x:v>
      </x:c>
      <x:c r="D25" s="800" t="str">
        <x:v>SLBUDFOS</x:v>
      </x:c>
      <x:c r="E25" s="800" t="str">
        <x:v>Taxa_från_edp rad 133 / strTaxekod SLBUDFOS</x:v>
      </x:c>
      <x:c r="F25" s="800" t="str">
        <x:v>strDelProdukt + strTaxebenamning</x:v>
      </x:c>
      <x:c r="G25" s="800" t="str">
        <x:v>Bekräftad</x:v>
      </x:c>
      <x:c r="H25" s="885" t="str"/>
    </x:row>
    <x:row r="26">
      <x:c r="A26" s="903" t="str">
        <x:v>ÅVC</x:v>
      </x:c>
      <x:c r="B26" s="800" t="str">
        <x:v>Kategori</x:v>
      </x:c>
      <x:c r="C26" s="800" t="str">
        <x:v>Återvinningscentral</x:v>
      </x:c>
      <x:c r="D26" s="800" t="str">
        <x:v>ASBEST</x:v>
      </x:c>
      <x:c r="E26" s="800" t="str">
        <x:v>Taxa_från_edp rad 66 / strDelProdukt ÅVC</x:v>
      </x:c>
      <x:c r="F26" s="800" t="str">
        <x:v>strDelProdukt</x:v>
      </x:c>
      <x:c r="G26" s="800" t="str">
        <x:v>Bekräftad</x:v>
      </x:c>
      <x:c r="H26" s="885" t="str"/>
    </x:row>
    <x:row r="27">
      <x:c r="A27" s="903" t="str">
        <x:v>TÖM</x:v>
      </x:c>
      <x:c r="B27" s="800" t="str">
        <x:v>Koddel</x:v>
      </x:c>
      <x:c r="C27" s="800" t="str">
        <x:v>Tömning</x:v>
      </x:c>
      <x:c r="D27" s="800" t="str">
        <x:v>MB3200TÖM</x:v>
      </x:c>
      <x:c r="E27" s="800" t="str">
        <x:v>Taxa_från_edp rad 211 / strTaxekod MB3200TÖM</x:v>
      </x:c>
      <x:c r="F27" s="800" t="str">
        <x:v>strTaxebenamning + strTaxedelAvser</x:v>
      </x:c>
      <x:c r="G27" s="800" t="str">
        <x:v>Bekräftad</x:v>
      </x:c>
      <x:c r="H27" s="885" t="str"/>
    </x:row>
    <x:row r="28">
      <x:c r="A28" s="903" t="str">
        <x:v>KVAN</x:v>
      </x:c>
      <x:c r="B28" s="800" t="str">
        <x:v>strFaktor</x:v>
      </x:c>
      <x:c r="C28" s="800" t="str">
        <x:v>Kvantitet</x:v>
      </x:c>
      <x:c r="D28" s="800" t="str">
        <x:v>KVAN</x:v>
      </x:c>
      <x:c r="E28" s="800" t="str">
        <x:v>Taxa_från_edp rad 2</x:v>
      </x:c>
      <x:c r="F28" s="800" t="str">
        <x:v>kvantitetskoder + strFaktor</x:v>
      </x:c>
      <x:c r="G28" s="800" t="str">
        <x:v>Bekräftad</x:v>
      </x:c>
      <x:c r="H28" s="885" t="str"/>
    </x:row>
    <x:row r="29">
      <x:c r="A29" s="903" t="str">
        <x:v>ÅRKV</x:v>
      </x:c>
      <x:c r="B29" s="800" t="str">
        <x:v>strFaktor</x:v>
      </x:c>
      <x:c r="C29" s="800" t="str">
        <x:v>Årskvantitet</x:v>
      </x:c>
      <x:c r="D29" s="800" t="str">
        <x:v>ÅRKV</x:v>
      </x:c>
      <x:c r="E29" s="800" t="str">
        <x:v>Taxa_från_edp rad 216</x:v>
      </x:c>
      <x:c r="F29" s="800" t="str">
        <x:v>kvantitetskoder + strFaktor</x:v>
      </x:c>
      <x:c r="G29" s="800" t="str">
        <x:v>Bekräftad</x:v>
      </x:c>
      <x:c r="H29" s="885" t="str"/>
    </x:row>
    <x:row r="30">
      <x:c r="A30" s="903" t="str">
        <x:v>ÅRPR</x:v>
      </x:c>
      <x:c r="B30" s="800" t="str">
        <x:v>strFaktor</x:v>
      </x:c>
      <x:c r="C30" s="800" t="str">
        <x:v>Årspris</x:v>
      </x:c>
      <x:c r="D30" s="800" t="str">
        <x:v>ÅRPR</x:v>
      </x:c>
      <x:c r="E30" s="800" t="str">
        <x:v>Taxa_från_edp VA-rader</x:v>
      </x:c>
      <x:c r="F30" s="800" t="str">
        <x:v>kvantitetskoder + strFaktor</x:v>
      </x:c>
      <x:c r="G30" s="800" t="str">
        <x:v>Bekräftad</x:v>
      </x:c>
      <x:c r="H30" s="885" t="str"/>
    </x:row>
    <x:row r="31">
      <x:c r="A31" s="903" t="str">
        <x:v>FÖRB</x:v>
      </x:c>
      <x:c r="B31" s="800" t="str">
        <x:v>strFaktor</x:v>
      </x:c>
      <x:c r="C31" s="800" t="str">
        <x:v>Förbrukning</x:v>
      </x:c>
      <x:c r="D31" s="800" t="str">
        <x:v>FÖRB</x:v>
      </x:c>
      <x:c r="E31" s="800" t="str">
        <x:v>Taxa_från_edp VA-rader</x:v>
      </x:c>
      <x:c r="F31" s="800" t="str">
        <x:v>kvantitetskoder + strFaktor</x:v>
      </x:c>
      <x:c r="G31" s="800" t="str">
        <x:v>Bekräftad</x:v>
      </x:c>
      <x:c r="H31" s="885" t="str"/>
    </x:row>
    <x:row r="32">
      <x:c r="A32" s="903" t="str">
        <x:v>UPFÖ</x:v>
      </x:c>
      <x:c r="B32" s="800" t="str">
        <x:v>strFaktor</x:v>
      </x:c>
      <x:c r="C32" s="800" t="str">
        <x:v>Uppskattad förbrukning</x:v>
      </x:c>
      <x:c r="D32" s="800" t="str">
        <x:v>UPFÖ</x:v>
      </x:c>
      <x:c r="E32" s="800" t="str">
        <x:v>Taxa_från_edp VA-rader</x:v>
      </x:c>
      <x:c r="F32" s="800" t="str">
        <x:v>kvantitetskoder + strFaktor</x:v>
      </x:c>
      <x:c r="G32" s="800" t="str">
        <x:v>Bekräftad</x:v>
      </x:c>
      <x:c r="H32" s="885" t="str"/>
    </x:row>
    <x:row r="33">
      <x:c r="A33" s="903" t="str">
        <x:v>ANTB</x:v>
      </x:c>
      <x:c r="B33" s="800" t="str">
        <x:v>strFormel</x:v>
      </x:c>
      <x:c r="C33" s="800" t="str">
        <x:v>Antal behållare</x:v>
      </x:c>
      <x:c r="D33" s="800" t="str">
        <x:v>ANTB</x:v>
      </x:c>
      <x:c r="E33" s="800" t="str">
        <x:v>Taxa_från_edp, kärlrader</x:v>
      </x:c>
      <x:c r="F33" s="800" t="str">
        <x:v>kvantitetskoder + strFormel</x:v>
      </x:c>
      <x:c r="G33" s="800" t="str">
        <x:v>Bekräftad</x:v>
      </x:c>
      <x:c r="H33" s="885" t="str"/>
    </x:row>
    <x:row r="34">
      <x:c r="A34" s="903" t="str">
        <x:v>ANTL</x:v>
      </x:c>
      <x:c r="B34" s="800" t="str">
        <x:v>strFormel</x:v>
      </x:c>
      <x:c r="C34" s="800" t="str">
        <x:v>Övriga antal / antal tillfällen</x:v>
      </x:c>
      <x:c r="D34" s="800" t="str">
        <x:v>ANTL</x:v>
      </x:c>
      <x:c r="E34" s="800" t="str">
        <x:v>Taxa_från_edp, t.ex. FELSORT</x:v>
      </x:c>
      <x:c r="F34" s="800" t="str">
        <x:v>kvantitetskoder + strFormel</x:v>
      </x:c>
      <x:c r="G34" s="800" t="str">
        <x:v>Bekräftad</x:v>
      </x:c>
      <x:c r="H34" s="885" t="str"/>
    </x:row>
    <x:row r="35">
      <x:c r="A35" s="903" t="str">
        <x:v>FAST</x:v>
      </x:c>
      <x:c r="B35" s="800" t="str">
        <x:v>strFormel</x:v>
      </x:c>
      <x:c r="C35" s="800" t="str">
        <x:v>Fast avgift</x:v>
      </x:c>
      <x:c r="D35" s="800" t="str">
        <x:v>FAST</x:v>
      </x:c>
      <x:c r="E35" s="800" t="str">
        <x:v>Taxa_från_edp rad 215 GEMUPPFRI</x:v>
      </x:c>
      <x:c r="F35" s="800" t="str">
        <x:v>kvantitetskoder + strFormel</x:v>
      </x:c>
      <x:c r="G35" s="800" t="str">
        <x:v>Bekräftad</x:v>
      </x:c>
      <x:c r="H35" s="885" t="str"/>
    </x:row>
    <x:row r="36">
      <x:c r="A36" s="903" t="str">
        <x:v>LÄGH</x:v>
      </x:c>
      <x:c r="B36" s="800" t="str">
        <x:v>strFormel</x:v>
      </x:c>
      <x:c r="C36" s="800" t="str">
        <x:v>Lägenheter</x:v>
      </x:c>
      <x:c r="D36" s="800" t="str">
        <x:v>LÄGH</x:v>
      </x:c>
      <x:c r="E36" s="800" t="str">
        <x:v>Taxa_från_edp VA-rader</x:v>
      </x:c>
      <x:c r="F36" s="800" t="str">
        <x:v>kvantitetskoder + strFormel</x:v>
      </x:c>
      <x:c r="G36" s="800" t="str">
        <x:v>Bekräftad</x:v>
      </x:c>
      <x:c r="H36" s="885" t="str"/>
    </x:row>
    <x:row r="37">
      <x:c r="A37" s="903" t="str">
        <x:v>VIKG</x:v>
      </x:c>
      <x:c r="B37" s="800" t="str">
        <x:v>strFormel</x:v>
      </x:c>
      <x:c r="C37" s="800" t="str">
        <x:v>Vikt i kilo</x:v>
      </x:c>
      <x:c r="D37" s="800" t="str">
        <x:v>VIKG</x:v>
      </x:c>
      <x:c r="E37" s="800" t="str">
        <x:v>Taxa_från_edp flera viktavgifter</x:v>
      </x:c>
      <x:c r="F37" s="800" t="str">
        <x:v>kvantitetskoder + strFormel</x:v>
      </x:c>
      <x:c r="G37" s="800" t="str">
        <x:v>Bekräftad</x:v>
      </x:c>
      <x:c r="H37" s="885" t="str"/>
    </x:row>
    <x:row r="38">
      <x:c r="A38" s="903" t="str">
        <x:v>DR10</x:v>
      </x:c>
      <x:c r="B38" s="800" t="str">
        <x:v>strFormel</x:v>
      </x:c>
      <x:c r="C38" s="800" t="str">
        <x:v>Dragväg 1,5–10 meter</x:v>
      </x:c>
      <x:c r="D38" s="800" t="str">
        <x:v>DR10</x:v>
      </x:c>
      <x:c r="E38" s="800" t="str">
        <x:v>Taxa_från_edp kärlrader</x:v>
      </x:c>
      <x:c r="F38" s="800" t="str">
        <x:v>strTaxedelAvser + strFormel</x:v>
      </x:c>
      <x:c r="G38" s="800" t="str">
        <x:v>Bekräftad</x:v>
      </x:c>
      <x:c r="H38" s="885" t="str"/>
    </x:row>
    <x:row r="39">
      <x:c r="A39" s="903" t="str">
        <x:v>DR20</x:v>
      </x:c>
      <x:c r="B39" s="800" t="str">
        <x:v>strFormel</x:v>
      </x:c>
      <x:c r="C39" s="800" t="str">
        <x:v>Dragväg 10,1–20 meter</x:v>
      </x:c>
      <x:c r="D39" s="800" t="str">
        <x:v>DR20</x:v>
      </x:c>
      <x:c r="E39" s="800" t="str">
        <x:v>Taxa_från_edp kärlrader</x:v>
      </x:c>
      <x:c r="F39" s="800" t="str">
        <x:v>strTaxedelAvser + strFormel</x:v>
      </x:c>
      <x:c r="G39" s="800" t="str">
        <x:v>Bekräftad</x:v>
      </x:c>
      <x:c r="H39" s="885" t="str"/>
    </x:row>
    <x:row r="40">
      <x:c r="A40" s="903" t="str">
        <x:v>KBMÖ</x:v>
      </x:c>
      <x:c r="B40" s="800" t="str">
        <x:v>strFormel</x:v>
      </x:c>
      <x:c r="C40" s="800" t="str">
        <x:v>Kubikmeter övrigt</x:v>
      </x:c>
      <x:c r="D40" s="800" t="str">
        <x:v>KBMÖ</x:v>
      </x:c>
      <x:c r="E40" s="800" t="str">
        <x:v>Taxa_från_edp ÅVC-rader</x:v>
      </x:c>
      <x:c r="F40" s="800" t="str">
        <x:v>kvantitetskoder + strFormel</x:v>
      </x:c>
      <x:c r="G40" s="800" t="str">
        <x:v>Bekräftad</x:v>
      </x:c>
      <x:c r="H40" s="885" t="str"/>
    </x:row>
    <x:row r="41">
      <x:c r="A41" s="903" t="str">
        <x:v>KBMS</x:v>
      </x:c>
      <x:c r="B41" s="800" t="str">
        <x:v>strFormel</x:v>
      </x:c>
      <x:c r="C41" s="800" t="str">
        <x:v>Kubikmeter slam</x:v>
      </x:c>
      <x:c r="D41" s="800" t="str">
        <x:v>KBMS</x:v>
      </x:c>
      <x:c r="E41" s="800" t="str">
        <x:v>Taxa_från_edp slamrader</x:v>
      </x:c>
      <x:c r="F41" s="800" t="str">
        <x:v>kvantitetskoder + strFormel</x:v>
      </x:c>
      <x:c r="G41" s="800" t="str">
        <x:v>Bekräftad</x:v>
      </x:c>
      <x:c r="H41" s="885" t="str"/>
    </x:row>
    <x:row r="42">
      <x:c r="A42" s="903"/>
      <x:c r="B42" s="800"/>
      <x:c r="C42" s="800"/>
      <x:c r="D42" s="800"/>
      <x:c r="E42" s="800"/>
      <x:c r="F42" s="800"/>
      <x:c r="G42" s="800"/>
      <x:c r="H42" s="885"/>
    </x:row>
    <x:row r="43">
      <x:c r="A43" s="903"/>
      <x:c r="B43" s="800"/>
      <x:c r="C43" s="800"/>
      <x:c r="D43" s="800"/>
      <x:c r="E43" s="800"/>
      <x:c r="F43" s="800"/>
      <x:c r="G43" s="800"/>
      <x:c r="H43" s="885"/>
    </x:row>
    <x:row r="44">
      <x:c r="A44" s="903"/>
      <x:c r="B44" s="800"/>
      <x:c r="C44" s="800"/>
      <x:c r="D44" s="800"/>
      <x:c r="E44" s="800"/>
      <x:c r="F44" s="800"/>
      <x:c r="G44" s="800"/>
      <x:c r="H44" s="885"/>
    </x:row>
    <x:row r="45">
      <x:c r="A45" s="903" t="str">
        <x:v>DH</x:v>
      </x:c>
      <x:c r="B45" s="800" t="str">
        <x:v>Suffix</x:v>
      </x:c>
      <x:c r="C45" s="800" t="str">
        <x:v>Detaljhandel med beviljad hantering av kommunalt avfall</x:v>
      </x:c>
      <x:c r="D45" s="800" t="str">
        <x:v>KÄ240RM26DH</x:v>
      </x:c>
      <x:c r="E45" s="800" t="str">
        <x:v>Taxa_Saknas / föreslagen struktur</x:v>
      </x:c>
      <x:c r="F45" s="800" t="str">
        <x:v>Användarbekräftelse</x:v>
      </x:c>
      <x:c r="G45" s="800" t="str">
        <x:v>Bekräftad</x:v>
      </x:c>
      <x:c r="H45" s="885" t="str">
        <x:v>Används för §2.2.6. Ska inte använda FV eftersom detaljhandel inte räknas som vanlig verksamhet/flerbostad i denna taxa.</x:v>
      </x:c>
    </x:row>
    <x:row r="46">
      <x:c r="A46" s="903"/>
      <x:c r="B46" s="800"/>
      <x:c r="C46" s="800"/>
      <x:c r="D46" s="800"/>
      <x:c r="E46" s="800"/>
      <x:c r="F46" s="800"/>
      <x:c r="G46" s="800"/>
      <x:c r="H46" s="885"/>
    </x:row>
    <x:row r="47">
      <x:c r="A47" s="903"/>
      <x:c r="B47" s="800"/>
      <x:c r="C47" s="800"/>
      <x:c r="D47" s="800"/>
      <x:c r="E47" s="800"/>
      <x:c r="F47" s="800"/>
      <x:c r="G47" s="800"/>
      <x:c r="H47" s="885"/>
    </x:row>
    <x:row r="48">
      <x:c r="A48" s="903"/>
      <x:c r="B48" s="800"/>
      <x:c r="C48" s="800"/>
      <x:c r="D48" s="800"/>
      <x:c r="E48" s="800"/>
      <x:c r="F48" s="800"/>
      <x:c r="G48" s="800"/>
      <x:c r="H48" s="885"/>
    </x:row>
    <x:row r="49">
      <x:c r="A49" s="903" t="str">
        <x:v>MBRMFPFV</x:v>
      </x:c>
      <x:c r="B49" s="800" t="str">
        <x:v>Föreslagen kodstruktur</x:v>
      </x:c>
      <x:c r="C49" s="800" t="str">
        <x:v>Bottentömmande/markbehållare för mat-/restavfall och förpackningar, flerbostad/verksamhet</x:v>
      </x:c>
      <x:c r="D49" s="800" t="str">
        <x:v>MBRMFPFV</x:v>
      </x:c>
      <x:c r="E49" s="800" t="str">
        <x:v>Taxa_Saknas §2.2.4</x:v>
      </x:c>
      <x:c r="F49" s="800" t="str">
        <x:v>Projektregel MB + Word</x:v>
      </x:c>
      <x:c r="G49" s="800" t="str">
        <x:v>Föreslagen</x:v>
      </x:c>
      <x:c r="H49" s="885" t="str">
        <x:v>Ersätter tidigare BTMR-struktur.</x:v>
      </x:c>
    </x:row>
    <x:row r="50">
      <x:c r="A50" s="903" t="str">
        <x:v>MBRMFP2VFV</x:v>
      </x:c>
      <x:c r="B50" s="800" t="str">
        <x:v>Föreslagen kodstruktur</x:v>
      </x:c>
      <x:c r="C50" s="800" t="str">
        <x:v>Tillägg för två tömningar per vecka för bottentömmande/markbehållare, flerbostad/verksamhet</x:v>
      </x:c>
      <x:c r="D50" s="800" t="str">
        <x:v>MBRMFP2VFV</x:v>
      </x:c>
      <x:c r="E50" s="800" t="str">
        <x:v>Taxa_Saknas §2.2.4</x:v>
      </x:c>
      <x:c r="F50" s="800" t="str">
        <x:v>Projektregel MB + Word</x:v>
      </x:c>
      <x:c r="G50" s="800" t="str">
        <x:v>Föreslagen</x:v>
      </x:c>
      <x:c r="H50" s="885" t="str"/>
    </x:row>
    <x:row r="51">
      <x:c r="A51" s="903" t="str">
        <x:v>GEMUPPMRFPFLB</x:v>
      </x:c>
      <x:c r="B51" s="800" t="str">
        <x:v>Föreslagen funktionskod</x:v>
      </x:c>
      <x:c r="C51" s="800" t="str">
        <x:v>Gemensam uppsamlingsplats för mat-/restavfall och förpackningar per lägenhet, flerbostadshus</x:v>
      </x:c>
      <x:c r="D51" s="800" t="str">
        <x:v>GEMUPPMRFPFLB</x:v>
      </x:c>
      <x:c r="E51" s="800" t="str">
        <x:v>Taxa_Saknas §2.2.4</x:v>
      </x:c>
      <x:c r="F51" s="800" t="str">
        <x:v>Word + jämförelse med GEMUPPFÖRPFLB</x:v>
      </x:c>
      <x:c r="G51" s="800" t="str">
        <x:v>Föreslagen</x:v>
      </x:c>
      <x:c r="H51" s="885" t="str">
        <x:v>Befintlig GEMUPPFÖRPFLB avser endast förpackning enligt EDP, därför används inte som bekräftad taxekod.</x:v>
      </x:c>
    </x:row>
    <x:row r="52">
      <x:c r="A52" s="903" t="str">
        <x:v>MBRMFV</x:v>
      </x:c>
      <x:c r="B52" s="800" t="str">
        <x:v>Föreslagen kodstruktur</x:v>
      </x:c>
      <x:c r="C52" s="800" t="str">
        <x:v>Bottentömmande/markbehållare för mat-/restavfall, flerbostad/verksamhet</x:v>
      </x:c>
      <x:c r="D52" s="800" t="str">
        <x:v>MBRMFV</x:v>
      </x:c>
      <x:c r="E52" s="800" t="str">
        <x:v>Taxa_Saknas §2.2.5</x:v>
      </x:c>
      <x:c r="F52" s="800" t="str">
        <x:v>Projektregel MB + Word</x:v>
      </x:c>
      <x:c r="G52" s="800" t="str">
        <x:v>Föreslagen</x:v>
      </x:c>
      <x:c r="H52" s="885" t="str">
        <x:v>Ersätter tidigare BTMR-struktur.</x:v>
      </x:c>
    </x:row>
    <x:row r="53">
      <x:c r="A53" s="903" t="str">
        <x:v>MBRM2VFV</x:v>
      </x:c>
      <x:c r="B53" s="800" t="str">
        <x:v>Föreslagen kodstruktur</x:v>
      </x:c>
      <x:c r="C53" s="800" t="str">
        <x:v>Tillägg för två tömningar per vecka för bottentömmande/markbehållare, flerbostad/verksamhet</x:v>
      </x:c>
      <x:c r="D53" s="800" t="str">
        <x:v>MBRM2VFV</x:v>
      </x:c>
      <x:c r="E53" s="800" t="str">
        <x:v>Taxa_Saknas §2.2.5</x:v>
      </x:c>
      <x:c r="F53" s="800" t="str">
        <x:v>Projektregel MB + Word</x:v>
      </x:c>
      <x:c r="G53" s="800" t="str">
        <x:v>Föreslagen</x:v>
      </x:c>
      <x:c r="H53" s="885" t="str"/>
    </x:row>
    <x:row r="54">
      <x:c r="A54" s="903" t="str">
        <x:v>LVREFV</x:v>
      </x:c>
      <x:c r="B54" s="800" t="str">
        <x:v>Föreslagen kodstruktur</x:v>
      </x:c>
      <x:c r="C54" s="800" t="str">
        <x:v>Lastväxlarflak restavfall, flerbostad/verksamhet</x:v>
      </x:c>
      <x:c r="D54" s="800" t="str">
        <x:v>LVREFV</x:v>
      </x:c>
      <x:c r="E54" s="800" t="str">
        <x:v>Taxa_Saknas §2.2.5</x:v>
      </x:c>
      <x:c r="F54" s="800" t="str">
        <x:v>Projektregel LV + Word</x:v>
      </x:c>
      <x:c r="G54" s="800" t="str">
        <x:v>Föreslagen</x:v>
      </x:c>
      <x:c r="H54" s="885" t="str"/>
    </x:row>
    <x:row r="55">
      <x:c r="A55" s="903" t="str">
        <x:v>DH</x:v>
      </x:c>
      <x:c r="B55" s="800" t="str">
        <x:v>Suffix</x:v>
      </x:c>
      <x:c r="C55" s="800" t="str">
        <x:v>Detaljhandel med beviljad hantering av kommunalt avfall</x:v>
      </x:c>
      <x:c r="D55" s="800" t="str">
        <x:v>KÄ240RM26DH</x:v>
      </x:c>
      <x:c r="E55" s="800" t="str">
        <x:v>Projektregel</x:v>
      </x:c>
      <x:c r="F55" s="800" t="str">
        <x:v>Användarbekräftelse</x:v>
      </x:c>
      <x:c r="G55" s="800" t="str">
        <x:v>Bekräftad</x:v>
      </x:c>
      <x:c r="H55" s="885" t="str">
        <x:v>Ska inte behandlas som FV.</x:v>
      </x:c>
    </x:row>
    <x:row r="56">
      <x:c r="A56" s="903" t="str">
        <x:v>MBRMDH</x:v>
      </x:c>
      <x:c r="B56" s="800" t="str">
        <x:v>Föreslagen kodstruktur</x:v>
      </x:c>
      <x:c r="C56" s="800" t="str">
        <x:v>Bottentömmande/markbehållare för mat-/restavfall, detaljhandel</x:v>
      </x:c>
      <x:c r="D56" s="800" t="str">
        <x:v>MBRMDH</x:v>
      </x:c>
      <x:c r="E56" s="800" t="str">
        <x:v>Taxa_Saknas §2.2.6</x:v>
      </x:c>
      <x:c r="F56" s="800" t="str">
        <x:v>Projektregel MB + DH</x:v>
      </x:c>
      <x:c r="G56" s="800" t="str">
        <x:v>Föreslagen</x:v>
      </x:c>
      <x:c r="H56" s="885" t="str">
        <x:v>Ersätter tidigare BTMRDH.</x:v>
      </x:c>
    </x:row>
    <x:row r="57">
      <x:c r="A57" s="903" t="str">
        <x:v>MBRM2VDH</x:v>
      </x:c>
      <x:c r="B57" s="800" t="str">
        <x:v>Föreslagen kodstruktur</x:v>
      </x:c>
      <x:c r="C57" s="800" t="str">
        <x:v>Tillägg två tömningar per vecka för bottentömmande/markbehållare, detaljhandel</x:v>
      </x:c>
      <x:c r="D57" s="800" t="str">
        <x:v>MBRM2VDH</x:v>
      </x:c>
      <x:c r="E57" s="800" t="str">
        <x:v>Taxa_Saknas §2.2.6</x:v>
      </x:c>
      <x:c r="F57" s="800" t="str">
        <x:v>Projektregel MB + DH</x:v>
      </x:c>
      <x:c r="G57" s="800" t="str">
        <x:v>Föreslagen</x:v>
      </x:c>
      <x:c r="H57" s="885" t="str">
        <x:v>Ersätter tidigare BTMR2VDH.</x:v>
      </x:c>
    </x:row>
    <x:row r="58">
      <x:c r="A58" s="903"/>
      <x:c r="B58" s="800"/>
      <x:c r="C58" s="800"/>
      <x:c r="D58" s="800"/>
      <x:c r="E58" s="800"/>
      <x:c r="F58" s="800"/>
      <x:c r="G58" s="800"/>
      <x:c r="H58" s="885"/>
    </x:row>
    <x:row r="59">
      <x:c r="A59" s="903" t="str">
        <x:v>KÄ140TI</x:v>
      </x:c>
      <x:c r="B59" s="800" t="str">
        <x:v>Föreslagen kodstruktur</x:v>
      </x:c>
      <x:c r="C59" s="800" t="str">
        <x:v>Kärl 140 l för kontors-/returpapper</x:v>
      </x:c>
      <x:c r="D59" s="800" t="str">
        <x:v>KÄ140TI</x:v>
      </x:c>
      <x:c r="E59" s="800" t="str">
        <x:v>Taxa_Saknas §2.2.7</x:v>
      </x:c>
      <x:c r="F59" s="800" t="str">
        <x:v>Word + TI-regel</x:v>
      </x:c>
      <x:c r="G59" s="800" t="str">
        <x:v>Föreslagen</x:v>
      </x:c>
      <x:c r="H59" s="885" t="str">
        <x:v>TI är sedan tidigare bekräftat för tidningar/returpapper.</x:v>
      </x:c>
    </x:row>
    <x:row r="60">
      <x:c r="A60" s="903" t="str">
        <x:v>EGENKONTRET</x:v>
      </x:c>
      <x:c r="B60" s="800" t="str">
        <x:v>Föreslagen funktionskod</x:v>
      </x:c>
      <x:c r="C60" s="800" t="str">
        <x:v>Egen överlämning av förbrukat kontors-/returpapper enligt anvisning</x:v>
      </x:c>
      <x:c r="D60" s="800" t="str">
        <x:v>EGENKONTRET</x:v>
      </x:c>
      <x:c r="E60" s="800" t="str">
        <x:v>Taxa_Saknas §2.2.7</x:v>
      </x:c>
      <x:c r="F60" s="800" t="str">
        <x:v>Word</x:v>
      </x:c>
      <x:c r="G60" s="800" t="str">
        <x:v>Föreslagen</x:v>
      </x:c>
      <x:c r="H60" s="885" t="str"/>
    </x:row>
    <x:row r="61">
      <x:c r="A61" s="903" t="str">
        <x:v>EGENMATFETT</x:v>
      </x:c>
      <x:c r="B61" s="800" t="str">
        <x:v>Föreslagen funktionskod</x:v>
      </x:c>
      <x:c r="C61" s="800" t="str">
        <x:v>Egen överlämning av förbrukat matfett enligt anvisning</x:v>
      </x:c>
      <x:c r="D61" s="800" t="str">
        <x:v>EGENMATFETT</x:v>
      </x:c>
      <x:c r="E61" s="800" t="str">
        <x:v>Taxa_Saknas §2.2.7</x:v>
      </x:c>
      <x:c r="F61" s="800" t="str">
        <x:v>Word</x:v>
      </x:c>
      <x:c r="G61" s="800" t="str">
        <x:v>Föreslagen</x:v>
      </x:c>
      <x:c r="H61" s="885" t="str"/>
    </x:row>
    <x:row r="62">
      <x:c r="A62" s="903" t="str">
        <x:v>KONTRET</x:v>
      </x:c>
      <x:c r="B62" s="800" t="str">
        <x:v>Avfallsslag/funktionsdel</x:v>
      </x:c>
      <x:c r="C62" s="800" t="str">
        <x:v>Kontors-/returpapper</x:v>
      </x:c>
      <x:c r="D62" s="800" t="str">
        <x:v>EGENKONTRET</x:v>
      </x:c>
      <x:c r="E62" s="800" t="str">
        <x:v>Taxa_Saknas §2.2.7</x:v>
      </x:c>
      <x:c r="F62" s="800" t="str">
        <x:v>Word</x:v>
      </x:c>
      <x:c r="G62" s="800" t="str">
        <x:v>Föreslagen</x:v>
      </x:c>
      <x:c r="H62" s="885" t="str"/>
    </x:row>
    <x:row r="63">
      <x:c r="A63" s="903"/>
      <x:c r="B63" s="800"/>
      <x:c r="C63" s="800"/>
      <x:c r="D63" s="800"/>
      <x:c r="E63" s="800"/>
      <x:c r="F63" s="800"/>
      <x:c r="G63" s="800"/>
      <x:c r="H63" s="885"/>
    </x:row>
    <x:row r="64">
      <x:c r="A64" s="903"/>
      <x:c r="B64" s="800"/>
      <x:c r="C64" s="800"/>
      <x:c r="D64" s="800"/>
      <x:c r="E64" s="800"/>
      <x:c r="F64" s="800"/>
      <x:c r="G64" s="800"/>
      <x:c r="H64" s="885"/>
    </x:row>
    <x:row r="65">
      <x:c r="A65" s="903"/>
      <x:c r="B65" s="800"/>
      <x:c r="C65" s="800"/>
      <x:c r="D65" s="800"/>
      <x:c r="E65" s="800"/>
      <x:c r="F65" s="800"/>
      <x:c r="G65" s="800"/>
      <x:c r="H65" s="885"/>
    </x:row>
    <x:row r="66">
      <x:c r="A66" s="903"/>
      <x:c r="B66" s="800"/>
      <x:c r="C66" s="800"/>
      <x:c r="D66" s="800"/>
      <x:c r="E66" s="800"/>
      <x:c r="F66" s="800"/>
      <x:c r="G66" s="800"/>
      <x:c r="H66" s="885"/>
    </x:row>
    <x:row r="67">
      <x:c r="A67" s="903"/>
      <x:c r="B67" s="800"/>
      <x:c r="C67" s="800"/>
      <x:c r="D67" s="800"/>
      <x:c r="E67" s="800"/>
      <x:c r="F67" s="800"/>
      <x:c r="G67" s="800"/>
      <x:c r="H67" s="885"/>
    </x:row>
    <x:row r="68">
      <x:c r="A68" s="903"/>
      <x:c r="B68" s="800"/>
      <x:c r="C68" s="800"/>
      <x:c r="D68" s="800"/>
      <x:c r="E68" s="800"/>
      <x:c r="F68" s="800"/>
      <x:c r="G68" s="800"/>
      <x:c r="H68" s="885"/>
    </x:row>
    <x:row r="69">
      <x:c r="A69" s="903"/>
      <x:c r="B69" s="800"/>
      <x:c r="C69" s="800"/>
      <x:c r="D69" s="800"/>
      <x:c r="E69" s="800"/>
      <x:c r="F69" s="800"/>
      <x:c r="G69" s="800"/>
      <x:c r="H69" s="885"/>
    </x:row>
    <x:row r="70">
      <x:c r="A70" s="903"/>
      <x:c r="B70" s="800"/>
      <x:c r="C70" s="800"/>
      <x:c r="D70" s="800"/>
      <x:c r="E70" s="800"/>
      <x:c r="F70" s="800"/>
      <x:c r="G70" s="800"/>
      <x:c r="H70" s="885"/>
    </x:row>
    <x:row r="71">
      <x:c r="A71" s="903"/>
      <x:c r="B71" s="800"/>
      <x:c r="C71" s="800"/>
      <x:c r="D71" s="800"/>
      <x:c r="E71" s="800"/>
      <x:c r="F71" s="800"/>
      <x:c r="G71" s="800"/>
      <x:c r="H71" s="885"/>
    </x:row>
    <x:row r="72">
      <x:c r="A72" s="903"/>
      <x:c r="B72" s="800"/>
      <x:c r="C72" s="800"/>
      <x:c r="D72" s="800"/>
      <x:c r="E72" s="800"/>
      <x:c r="F72" s="800"/>
      <x:c r="G72" s="800"/>
      <x:c r="H72" s="885"/>
    </x:row>
    <x:row r="73">
      <x:c r="A73" s="903"/>
      <x:c r="B73" s="800"/>
      <x:c r="C73" s="800"/>
      <x:c r="D73" s="800"/>
      <x:c r="E73" s="800"/>
      <x:c r="F73" s="800"/>
      <x:c r="G73" s="800"/>
      <x:c r="H73" s="885"/>
    </x:row>
    <x:row r="74">
      <x:c r="A74" s="903"/>
      <x:c r="B74" s="800"/>
      <x:c r="C74" s="800"/>
      <x:c r="D74" s="800"/>
      <x:c r="E74" s="800"/>
      <x:c r="F74" s="800"/>
      <x:c r="G74" s="800"/>
      <x:c r="H74" s="885"/>
    </x:row>
    <x:row r="75">
      <x:c r="A75" s="903"/>
      <x:c r="B75" s="800"/>
      <x:c r="C75" s="800"/>
      <x:c r="D75" s="800"/>
      <x:c r="E75" s="800"/>
      <x:c r="F75" s="800"/>
      <x:c r="G75" s="800"/>
      <x:c r="H75" s="885"/>
    </x:row>
    <x:row r="76">
      <x:c r="A76" s="903"/>
      <x:c r="B76" s="800"/>
      <x:c r="C76" s="800"/>
      <x:c r="D76" s="800"/>
      <x:c r="E76" s="800"/>
      <x:c r="F76" s="800"/>
      <x:c r="G76" s="800"/>
      <x:c r="H76" s="885"/>
    </x:row>
    <x:row r="77">
      <x:c r="A77" s="903"/>
      <x:c r="B77" s="800"/>
      <x:c r="C77" s="800"/>
      <x:c r="D77" s="800"/>
      <x:c r="E77" s="800"/>
      <x:c r="F77" s="800"/>
      <x:c r="G77" s="800"/>
      <x:c r="H77" s="885"/>
    </x:row>
    <x:row r="78">
      <x:c r="A78" s="903"/>
      <x:c r="B78" s="800"/>
      <x:c r="C78" s="800"/>
      <x:c r="D78" s="800"/>
      <x:c r="E78" s="800"/>
      <x:c r="F78" s="800"/>
      <x:c r="G78" s="800"/>
      <x:c r="H78" s="885"/>
    </x:row>
    <x:row r="79">
      <x:c r="A79" s="903"/>
      <x:c r="B79" s="800"/>
      <x:c r="C79" s="800"/>
      <x:c r="D79" s="800"/>
      <x:c r="E79" s="800"/>
      <x:c r="F79" s="800"/>
      <x:c r="G79" s="800"/>
      <x:c r="H79" s="885"/>
    </x:row>
    <x:row r="80">
      <x:c r="A80" s="904"/>
      <x:c r="B80" s="889"/>
      <x:c r="C80" s="889"/>
      <x:c r="D80" s="889"/>
      <x:c r="E80" s="889"/>
      <x:c r="F80" s="889"/>
      <x:c r="G80" s="889"/>
      <x:c r="H80" s="89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8" hidden="0" customWidth="1"/>
    <x:col min="3" max="3" width="18" hidden="0" customWidth="1"/>
  </x:cols>
  <x:sheetData>
    <x:row r="1">
      <x:c r="A1" s="934" t="str">
        <x:v>Prislista ASN – kärltömning och kärlhyra</x:v>
      </x:c>
      <x:c r="B1" s="935"/>
      <x:c r="C1" s="95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773" t="str">
        <x:v>Avser marknadstjänster och/eller kommunens andrahandsansvar. Tjänsten ska särredovisas och inte belasta avfallstaxan eller taxekollektivet.</x:v>
      </x:c>
      <x:c r="B2" s="767"/>
      <x:c r="C2" s="774"/>
    </x:row>
    <x:row r="3">
      <x:c r="A3" s="773"/>
      <x:c r="B3" s="767"/>
      <x:c r="C3" s="774"/>
    </x:row>
    <x:row r="4">
      <x:c r="A4" s="773" t="str">
        <x:v>Beräkningsgrund</x:v>
      </x:c>
      <x:c r="B4" s="767" t="str">
        <x:v>Full självkostnad med intern ersättning till taxekollektivet</x:v>
      </x:c>
      <x:c r="C4" s="774"/>
    </x:row>
    <x:row r="5">
      <x:c r="A5" s="773" t="str">
        <x:v>Moms</x:v>
      </x:c>
      <x:c r="B5" s="905" t="n">
        <x:v>0.25</x:v>
      </x:c>
      <x:c r="C5" s="908" t="str">
        <x:v>Ändra moms här</x:v>
      </x:c>
    </x:row>
    <x:row r="6">
      <x:c r="A6" s="773"/>
      <x:c r="B6" s="905"/>
      <x:c r="C6" s="908"/>
    </x:row>
    <x:row r="7">
      <x:c r="A7" s="909" t="str">
        <x:v>Post</x:v>
      </x:c>
      <x:c r="B7" s="907" t="str">
        <x:v>Exkl. moms</x:v>
      </x:c>
      <x:c r="C7" s="910" t="str">
        <x:v>Inkl. moms</x:v>
      </x:c>
    </x:row>
    <x:row r="8">
      <x:c r="A8" s="773" t="str">
        <x:v>Intern kalkyltimme sopbil inkl. chaufför och OH</x:v>
      </x:c>
      <x:c r="B8" s="905" t="n">
        <x:v>1500</x:v>
      </x:c>
      <x:c r="C8" s="908" t="n">
        <x:v>1875</x:v>
      </x:c>
    </x:row>
    <x:row r="9">
      <x:c r="A9" s="773" t="str">
        <x:v>Kärltömning 140–240 liter, ordinarie tur/intervall</x:v>
      </x:c>
      <x:c r="B9" s="905" t="n">
        <x:v>125</x:v>
      </x:c>
      <x:c r="C9" s="908" t="n">
        <x:v>156.25</x:v>
      </x:c>
    </x:row>
    <x:row r="10">
      <x:c r="A10" s="773" t="str">
        <x:v>Kärltömning 370 liter, ordinarie tur/intervall</x:v>
      </x:c>
      <x:c r="B10" s="905" t="n">
        <x:v>145</x:v>
      </x:c>
      <x:c r="C10" s="908" t="n">
        <x:v>181.25</x:v>
      </x:c>
    </x:row>
    <x:row r="11">
      <x:c r="A11" s="773" t="str">
        <x:v>Kärltömning 660 liter, ordinarie tur/intervall</x:v>
      </x:c>
      <x:c r="B11" s="905" t="n">
        <x:v>165</x:v>
      </x:c>
      <x:c r="C11" s="908" t="n">
        <x:v>206.25</x:v>
      </x:c>
    </x:row>
    <x:row r="12">
      <x:c r="A12" s="773" t="str">
        <x:v>Extra/avvikande tömning utanför planerad rutt</x:v>
      </x:c>
      <x:c r="B12" s="905" t="n">
        <x:v>1500</x:v>
      </x:c>
      <x:c r="C12" s="908" t="n">
        <x:v>1875</x:v>
      </x:c>
    </x:row>
    <x:row r="13">
      <x:c r="A13" s="773" t="str">
        <x:v>Kärlhyra 140 liter</x:v>
      </x:c>
      <x:c r="B13" s="905" t="n">
        <x:v>25</x:v>
      </x:c>
      <x:c r="C13" s="908" t="n">
        <x:v>31.25</x:v>
      </x:c>
    </x:row>
    <x:row r="14">
      <x:c r="A14" s="773" t="str">
        <x:v>Kärlhyra 190 liter</x:v>
      </x:c>
      <x:c r="B14" s="905" t="n">
        <x:v>30</x:v>
      </x:c>
      <x:c r="C14" s="908" t="n">
        <x:v>37.5</x:v>
      </x:c>
    </x:row>
    <x:row r="15">
      <x:c r="A15" s="773" t="str">
        <x:v>Kärlhyra 240 liter</x:v>
      </x:c>
      <x:c r="B15" s="905" t="n">
        <x:v>35</x:v>
      </x:c>
      <x:c r="C15" s="908" t="n">
        <x:v>43.75</x:v>
      </x:c>
    </x:row>
    <x:row r="16">
      <x:c r="A16" s="773" t="str">
        <x:v>Kärlhyra 370 liter</x:v>
      </x:c>
      <x:c r="B16" s="905" t="n">
        <x:v>50</x:v>
      </x:c>
      <x:c r="C16" s="908" t="n">
        <x:v>62.5</x:v>
      </x:c>
    </x:row>
    <x:row r="17">
      <x:c r="A17" s="773" t="str">
        <x:v>Kärlhyra 660 liter</x:v>
      </x:c>
      <x:c r="B17" s="905" t="n">
        <x:v>85</x:v>
      </x:c>
      <x:c r="C17" s="908" t="n">
        <x:v>106.25</x:v>
      </x:c>
    </x:row>
    <x:row r="18">
      <x:c r="A18" s="773" t="str">
        <x:v>Utkörning/utställning av kärl 140–240</x:v>
      </x:c>
      <x:c r="B18" s="905" t="n">
        <x:v>300</x:v>
      </x:c>
      <x:c r="C18" s="908" t="n">
        <x:v>375</x:v>
      </x:c>
    </x:row>
    <x:row r="19">
      <x:c r="A19" s="773" t="str">
        <x:v>Utkörning/utställning av kärl 370–660</x:v>
      </x:c>
      <x:c r="B19" s="905" t="n">
        <x:v>450</x:v>
      </x:c>
      <x:c r="C19" s="908" t="n">
        <x:v>562.5</x:v>
      </x:c>
    </x:row>
    <x:row r="20">
      <x:c r="A20" s="773" t="str">
        <x:v>Byte av kärlstorlek på kundens begäran</x:v>
      </x:c>
      <x:c r="B20" s="905" t="n">
        <x:v>450</x:v>
      </x:c>
      <x:c r="C20" s="908" t="n">
        <x:v>562.5</x:v>
      </x:c>
    </x:row>
    <x:row r="21">
      <x:c r="A21" s="773" t="str">
        <x:v>Hemtagning/avslut av kärl</x:v>
      </x:c>
      <x:c r="B21" s="905" t="n">
        <x:v>300</x:v>
      </x:c>
      <x:c r="C21" s="908" t="n">
        <x:v>375</x:v>
      </x:c>
    </x:row>
    <x:row r="22">
      <x:c r="A22" s="773" t="str">
        <x:v>Matavfall</x:v>
      </x:c>
      <x:c r="B22" s="905" t="n">
        <x:v>3600</x:v>
      </x:c>
      <x:c r="C22" s="908" t="n">
        <x:v>4500</x:v>
      </x:c>
    </x:row>
    <x:row r="23">
      <x:c r="A23" s="773" t="str">
        <x:v>Restavfall</x:v>
      </x:c>
      <x:c r="B23" s="905" t="n">
        <x:v>4200</x:v>
      </x:c>
      <x:c r="C23" s="908" t="n">
        <x:v>5250</x:v>
      </x:c>
    </x:row>
    <x:row r="24">
      <x:c r="A24" s="773" t="str">
        <x:v>ABP</x:v>
      </x:c>
      <x:c r="B24" s="905" t="str">
        <x:v>Debiteras separat enligt faktisk kostnad</x:v>
      </x:c>
      <x:c r="C24" s="908" t="str">
        <x:v>Debiteras separat enligt faktisk kostnad</x:v>
      </x:c>
    </x:row>
    <x:row r="25">
      <x:c r="A25" s="773"/>
      <x:c r="B25" s="767"/>
      <x:c r="C25" s="774"/>
    </x:row>
    <x:row r="26">
      <x:c r="A26" s="773"/>
      <x:c r="B26" s="767"/>
      <x:c r="C26" s="774"/>
    </x:row>
    <x:row r="27">
      <x:c r="A27" s="773" t="str">
        <x:v>Regel</x:v>
      </x:c>
      <x:c r="B27" s="767" t="str">
        <x:v>DH-priser är unika för detaljhandel och får inte användas i beräkningsmodeller för andra taxor.</x:v>
      </x:c>
      <x:c r="C27" s="774"/>
    </x:row>
    <x:row r="28">
      <x:c r="A28" s="840" t="str">
        <x:v>Källa</x:v>
      </x:c>
      <x:c r="B28" s="841" t="str">
        <x:v>Prislista DH.xlsx</x:v>
      </x:c>
      <x:c r="C28" s="84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8" hidden="0" customWidth="1"/>
  </x:cols>
  <x:sheetData>
    <x:row r="1">
      <x:c r="A1" s="934" t="str">
        <x:v>Kod</x:v>
      </x:c>
      <x:c r="B1" s="935" t="str">
        <x:v>Tolkning</x:v>
      </x:c>
      <x:c r="C1" s="952" t="str">
        <x:v>Källa/kommentar</x:v>
      </x:c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773" t="str">
        <x:v>KVAN</x:v>
      </x:c>
      <x:c r="B2" s="767" t="str">
        <x:v>Kvantitet</x:v>
      </x:c>
      <x:c r="C2" s="774" t="str">
        <x:v>Användarens fil/uppgift + Taxa_från_edp strFaktor</x:v>
      </x:c>
    </x:row>
    <x:row r="3">
      <x:c r="A3" s="773" t="str">
        <x:v>ÅRKV</x:v>
      </x:c>
      <x:c r="B3" s="767" t="str">
        <x:v>Årskvantitet</x:v>
      </x:c>
      <x:c r="C3" s="774" t="str">
        <x:v>Användarens fil/uppgift + Taxa_från_edp strFaktor</x:v>
      </x:c>
    </x:row>
    <x:row r="4">
      <x:c r="A4" s="773" t="str">
        <x:v>ÅRPR</x:v>
      </x:c>
      <x:c r="B4" s="767" t="str">
        <x:v>Årspris</x:v>
      </x:c>
      <x:c r="C4" s="774" t="str">
        <x:v>Kvantitetskoder + Taxa_från_edp strFaktor</x:v>
      </x:c>
    </x:row>
    <x:row r="5">
      <x:c r="A5" s="773" t="str">
        <x:v>FÖRB</x:v>
      </x:c>
      <x:c r="B5" s="767" t="str">
        <x:v>Förbrukning</x:v>
      </x:c>
      <x:c r="C5" s="774" t="str">
        <x:v>Användarens uppgift + Taxa_från_edp strFaktor</x:v>
      </x:c>
    </x:row>
    <x:row r="6">
      <x:c r="A6" s="773" t="str">
        <x:v>UPFÖ</x:v>
      </x:c>
      <x:c r="B6" s="767" t="str">
        <x:v>Uppskattad förbrukning</x:v>
      </x:c>
      <x:c r="C6" s="774" t="str">
        <x:v>Kvantitetskoder + Taxa_från_edp strFaktor</x:v>
      </x:c>
    </x:row>
    <x:row r="7">
      <x:c r="A7" s="773" t="str">
        <x:v>ANTB</x:v>
      </x:c>
      <x:c r="B7" s="767" t="str">
        <x:v>Antal behållare</x:v>
      </x:c>
      <x:c r="C7" s="774" t="str">
        <x:v>Taxa_från_edp strFormel</x:v>
      </x:c>
    </x:row>
    <x:row r="8">
      <x:c r="A8" s="773" t="str">
        <x:v>ANTL</x:v>
      </x:c>
      <x:c r="B8" s="767" t="str">
        <x:v>Övriga antal / antal tillfällen</x:v>
      </x:c>
      <x:c r="C8" s="774" t="str">
        <x:v>Taxa_från_edp strFormel</x:v>
      </x:c>
    </x:row>
    <x:row r="9">
      <x:c r="A9" s="773" t="str">
        <x:v>VIKG</x:v>
      </x:c>
      <x:c r="B9" s="767" t="str">
        <x:v>Vikt i kilo</x:v>
      </x:c>
      <x:c r="C9" s="774" t="str">
        <x:v>Taxa_från_edp strFormel</x:v>
      </x:c>
    </x:row>
    <x:row r="10">
      <x:c r="A10" s="773" t="str">
        <x:v>DR10</x:v>
      </x:c>
      <x:c r="B10" s="767" t="str">
        <x:v>Dragväg 1,5–10 meter</x:v>
      </x:c>
      <x:c r="C10" s="774" t="str">
        <x:v>Taxa_från_edp strFormel/strTaxedelAvser</x:v>
      </x:c>
    </x:row>
    <x:row r="11">
      <x:c r="A11" s="773" t="str">
        <x:v>DR20</x:v>
      </x:c>
      <x:c r="B11" s="767" t="str">
        <x:v>Dragväg 10,1–20 meter</x:v>
      </x:c>
      <x:c r="C11" s="774" t="str">
        <x:v>Taxa_från_edp strFormel/strTaxedelAvser</x:v>
      </x:c>
    </x:row>
    <x:row r="12">
      <x:c r="A12" s="773" t="str">
        <x:v>LÄGH</x:v>
      </x:c>
      <x:c r="B12" s="767" t="str">
        <x:v>Lägenheter</x:v>
      </x:c>
      <x:c r="C12" s="774" t="str">
        <x:v>Taxa_från_edp strFormel</x:v>
      </x:c>
    </x:row>
    <x:row r="13">
      <x:c r="A13" s="773" t="str">
        <x:v>FAST</x:v>
      </x:c>
      <x:c r="B13" s="767" t="str">
        <x:v>Fast avgift</x:v>
      </x:c>
      <x:c r="C13" s="774" t="str">
        <x:v>Taxa_från_edp strFormel</x:v>
      </x:c>
    </x:row>
    <x:row r="14">
      <x:c r="A14" s="773" t="str">
        <x:v>KBMÖ</x:v>
      </x:c>
      <x:c r="B14" s="767" t="str">
        <x:v>Kubikmeter övrigt</x:v>
      </x:c>
      <x:c r="C14" s="774" t="str">
        <x:v>Taxa_från_edp strFormel</x:v>
      </x:c>
    </x:row>
    <x:row r="15">
      <x:c r="A15" s="840" t="str">
        <x:v>KBMS</x:v>
      </x:c>
      <x:c r="B15" s="841" t="str">
        <x:v>Kubikmeter slam</x:v>
      </x:c>
      <x:c r="C15" s="842" t="str">
        <x:v>Taxa_från_edp strFormel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900" t="str">
        <x:v>Avfallstaxa – självdokumenterande masterfil</x:v>
      </x:c>
      <x:c r="B1" s="902"/>
      <x:c r="C1" s="28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Syfte</x:v>
      </x:c>
      <x:c r="B2" s="913" t="str">
        <x:v>Bygga och kvalitetssäkra Taxepunkter från Word, EDP och kompletterande prislistor.</x:v>
      </x:c>
      <x:c r="C2" s="225"/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Fas 1</x:v>
      </x:c>
      <x:c r="B3" s="913" t="str">
        <x:v>Word → Excel: pågår. Word styr struktur, Taxepunkter byggs successivt, Taxa_Saknas byggs successivt.</x:v>
      </x:c>
      <x:c r="C3" s="225"/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Fas 2</x:v>
      </x:c>
      <x:c r="B4" s="913" t="str">
        <x:v>Excel → Word: ej påbörjad. Ska hanteras separat senare. Regler för Fas 1 får inte blandas med Fas 2.</x:v>
      </x:c>
      <x:c r="C4" s="225"/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Status</x:v>
      </x:c>
      <x:c r="B5" s="913" t="str">
        <x:v>Taxepunkter är under uppbyggnad. Arbetet är genomfört till och med §2.2.6 med kända justeringar.</x:v>
      </x:c>
      <x:c r="C5" s="225"/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4" t="str">
        <x:v>Viktig princip</x:v>
      </x:c>
      <x:c r="B6" s="915" t="str">
        <x:v>Arbetsboken ska kunna återanvändas med ny Taxa_från_edp från annat verksamhetssystem genom att läsa regler, källdokument, lexikon och beslutslogg.</x:v>
      </x:c>
      <x:c r="C6" s="225"/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225"/>
      <x:c r="B7" s="225"/>
      <x:c r="C7" s="225"/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225"/>
      <x:c r="B8" s="225"/>
      <x:c r="C8" s="225"/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225"/>
      <x:c r="B9" s="225"/>
      <x:c r="C9" s="225"/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225"/>
      <x:c r="B10" s="225"/>
      <x:c r="C10" s="225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225"/>
      <x:c r="B11" s="225"/>
      <x:c r="C11" s="225"/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225"/>
      <x:c r="B12" s="225"/>
      <x:c r="C12" s="225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225"/>
      <x:c r="B13" s="225"/>
      <x:c r="C13" s="225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225"/>
      <x:c r="B14" s="225"/>
      <x:c r="C14" s="225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225"/>
      <x:c r="B15" s="225"/>
      <x:c r="C15" s="225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225"/>
      <x:c r="B16" s="225"/>
      <x:c r="C16" s="225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225"/>
      <x:c r="B17" s="225"/>
      <x:c r="C17" s="225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225"/>
      <x:c r="B18" s="225"/>
      <x:c r="C18" s="225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225"/>
      <x:c r="B19" s="225"/>
      <x:c r="C19" s="225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225"/>
      <x:c r="B20" s="225"/>
      <x:c r="C20" s="22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00" hidden="0" customWidth="1"/>
  </x:cols>
  <x:sheetData>
    <x:row r="1">
      <x:c r="A1" s="934" t="str">
        <x:v>ID</x:v>
      </x:c>
      <x:c r="B1" s="935" t="str">
        <x:v>Regel</x:v>
      </x:c>
      <x:c r="C1" s="952" t="str">
        <x:v>Beskrivning</x:v>
      </x:c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R001</x:v>
      </x:c>
      <x:c r="B2" s="911" t="str">
        <x:v>Fasindelning</x:v>
      </x:c>
      <x:c r="C2" s="913" t="str">
        <x:v>Projektet består av två separata faser: Fas 1 Word → Excel och Fas 2 Excel → Word. De får inte blandas.</x:v>
      </x:c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R002</x:v>
      </x:c>
      <x:c r="B3" s="911" t="str">
        <x:v>Word styr struktur i Fas 1</x:v>
      </x:c>
      <x:c r="C3" s="913" t="str">
        <x:v>Alla taxepunkter, rader och kostnadsfria tjänster som finns i Word ska finnas i Taxepunkter.</x:v>
      </x:c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R003</x:v>
      </x:c>
      <x:c r="B4" s="911" t="str">
        <x:v>Taxepunkter byggs successivt</x:v>
      </x:c>
      <x:c r="C4" s="913" t="str">
        <x:v>Taxepunkter är en arbetsflik under uppbyggnad och får inte ersättas med importdata.</x:v>
      </x:c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R004</x:v>
      </x:c>
      <x:c r="B5" s="911" t="str">
        <x:v>Taxakod</x:v>
      </x:c>
      <x:c r="C5" s="913" t="str">
        <x:v>Kolumn Taxakod innehåller endast bekräftad exakt strTaxekod från Taxa_från_edp.</x:v>
      </x:c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R005</x:v>
      </x:c>
      <x:c r="B6" s="911" t="str">
        <x:v>Ingen påhittad Taxakod</x:v>
      </x:c>
      <x:c r="C6" s="913" t="str">
        <x:v>Om match finns i Taxa_från_edp används exakt strTaxekod. Hitta inte på egen kod om EDP-kod finns.</x:v>
      </x:c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R006</x:v>
      </x:c>
      <x:c r="B7" s="911" t="str">
        <x:v>Föreslagen Taxa</x:v>
      </x:c>
      <x:c r="C7" s="913" t="str">
        <x:v>Visar Taxakod om den är bekräftad, annars föreslagen taxa från Taxa_Saknas.</x:v>
      </x:c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R007</x:v>
      </x:c>
      <x:c r="B8" s="911" t="str">
        <x:v>Aktuellt pris</x:v>
      </x:c>
      <x:c r="C8" s="913" t="str">
        <x:v>Aktuellt pris (exkl moms) hämtas alltid från Taxa_från_edp och får aldrig redigeras manuellt.</x:v>
      </x:c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R008</x:v>
      </x:c>
      <x:c r="B9" s="911" t="str">
        <x:v>Föreslaget pris</x:v>
      </x:c>
      <x:c r="C9" s="913" t="str">
        <x:v>Får fyllas manuellt/beräknas som arbetspris när Aktuellt pris saknas. Detta är inte EDP-pris.</x:v>
      </x:c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str">
        <x:v>R009</x:v>
      </x:c>
      <x:c r="B10" s="911" t="str">
        <x:v>DH-priser</x:v>
      </x:c>
      <x:c r="C10" s="913" t="str">
        <x:v>Prislista DH används endast för detaljhandel och får aldrig användas för beräkningsmodeller för andra taxor.</x:v>
      </x:c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str">
        <x:v>R010</x:v>
      </x:c>
      <x:c r="B11" s="911" t="str">
        <x:v>Taxa_Saknas</x:v>
      </x:c>
      <x:c r="C11" s="913" t="str">
        <x:v>Innehåller saknade eller föreslagna taxor med samma EDP-kolumner som Taxa_från_edp samt arbetskolumner.</x:v>
      </x:c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 t="str">
        <x:v>R011</x:v>
      </x:c>
      <x:c r="B12" s="911" t="str">
        <x:v>intRecnum i Taxa_Saknas</x:v>
      </x:c>
      <x:c r="C12" s="913" t="str">
        <x:v>intRecnum = radnummer i Taxepunkter för felsökning, inte EDP:s original-ID.</x:v>
      </x:c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 t="str">
        <x:v>R012</x:v>
      </x:c>
      <x:c r="B13" s="911" t="str">
        <x:v>Taxepunkt i Taxa_Saknas</x:v>
      </x:c>
      <x:c r="C13" s="913" t="str">
        <x:v>Taxepunkt = Paragrafnamn / Taxapunkt.</x:v>
      </x:c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 t="str">
        <x:v>R013</x:v>
      </x:c>
      <x:c r="B14" s="911" t="str">
        <x:v>Matchningsordning</x:v>
      </x:c>
      <x:c r="C14" s="913" t="str">
        <x:v>Sök först strTaxekod, sedan strTaxebenamning, strTaxedelAvser och strFaktor/strFormel.</x:v>
      </x:c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 t="str">
        <x:v>R014</x:v>
      </x:c>
      <x:c r="B15" s="911" t="str">
        <x:v>FV</x:v>
      </x:c>
      <x:c r="C15" s="913" t="str">
        <x:v>FV betyder flerbostadshus eller verksamhet och kan återanvändas om övriga villkor stämmer.</x:v>
      </x:c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 t="str">
        <x:v>R015</x:v>
      </x:c>
      <x:c r="B16" s="911" t="str">
        <x:v>DH</x:v>
      </x:c>
      <x:c r="C16" s="913" t="str">
        <x:v>DH betyder detaljhandel med beviljad hantering av kommunalt avfall. §2.2.6 använder DH, inte FV.</x:v>
      </x:c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 t="str">
        <x:v>R016</x:v>
      </x:c>
      <x:c r="B17" s="911" t="str">
        <x:v>MB</x:v>
      </x:c>
      <x:c r="C17" s="913" t="str">
        <x:v>MB används för markbehållare eller underjordsbehållare och ska användas som prefix för bottentömmande behållare.</x:v>
      </x:c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 t="str">
        <x:v>R017</x:v>
      </x:c>
      <x:c r="B18" s="911" t="str">
        <x:v>LV</x:v>
      </x:c>
      <x:c r="C18" s="913" t="str">
        <x:v>LV används för lastväxlarflak.</x:v>
      </x:c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 t="str">
        <x:v>R018</x:v>
      </x:c>
      <x:c r="B19" s="911" t="str">
        <x:v>GEMUPP</x:v>
      </x:c>
      <x:c r="C19" s="913" t="str">
        <x:v>GEMUPP används för gemensam uppsamlingsplats.</x:v>
      </x:c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2" t="str">
        <x:v>R019</x:v>
      </x:c>
      <x:c r="B20" s="911" t="str">
        <x:v>FOB</x:v>
      </x:c>
      <x:c r="C20" s="913" t="str">
        <x:v>FOB används för fysisk nyckel/fob.</x:v>
      </x:c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912" t="str">
        <x:v>R020</x:v>
      </x:c>
      <x:c r="B21" s="911" t="str">
        <x:v>Kostnadsfria rader</x:v>
      </x:c>
      <x:c r="C21" s="913" t="str">
        <x:v>Kostnadsfri rad ska finnas i Taxepunkter, men pris ska fortfarande hämtas från Taxa_från_edp om bekräftad taxekod finns.</x:v>
      </x:c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912" t="str">
        <x:v>R021</x:v>
      </x:c>
      <x:c r="B22" s="911" t="str">
        <x:v>Kostnadsfria rader i Taxepunkter</x:v>
      </x:c>
      <x:c r="C22" s="913" t="str">
        <x:v>Rader som i Word anges som kostnadsfria ska finnas i Taxepunkter med Variant = Kostnadsfritt. Aktuellt pris får ändå inte fyllas manuellt.</x:v>
      </x:c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912" t="str">
        <x:v>R022</x:v>
      </x:c>
      <x:c r="B23" s="911" t="str">
        <x:v>Kostnadsfria rader i Taxa_Saknas</x:v>
      </x:c>
      <x:c r="C23" s="913" t="str">
        <x:v>Om kostnadsfri tjänst saknar bekräftad EDP-taxa ska den läggas i Taxa_Saknas med föreslagen taxekod och utan manuellt Aktuellt pris.</x:v>
      </x:c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912" t="str">
        <x:v>R023</x:v>
      </x:c>
      <x:c r="B24" s="911" t="str">
        <x:v>Underrubriker i Taxepunkter</x:v>
      </x:c>
      <x:c r="C24" s="913" t="str">
        <x:v>Rader där kolumn A innehåller paragraf + rubriktext och B:E är tomma ska behandlas som underrubriker. De ska vara sammanslagna över A:E och enfärgade.</x:v>
      </x:c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912" t="str">
        <x:v>R024</x:v>
      </x:c>
      <x:c r="B25" s="911" t="str">
        <x:v>Vanliga taxerader i Taxepunkter</x:v>
      </x:c>
      <x:c r="C25" s="913" t="str">
        <x:v>Rader där A:E innehåller uppdelad information, t.ex. Paragraf, Paragrafnamn, Taxapunkt, Variant och Enhet, ska inte vara sammanslagna och A:E ska ha vit bakgrund.</x:v>
      </x:c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912"/>
      <x:c r="B26" s="911"/>
      <x:c r="C26" s="913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912"/>
      <x:c r="B27" s="911"/>
      <x:c r="C27" s="913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912"/>
      <x:c r="B28" s="911"/>
      <x:c r="C28" s="913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912"/>
      <x:c r="B29" s="911"/>
      <x:c r="C29" s="913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914"/>
      <x:c r="B30" s="916"/>
      <x:c r="C30" s="91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0" hidden="0" customWidth="1"/>
  </x:cols>
  <x:sheetData>
    <x:row r="1">
      <x:c r="A1" s="934" t="str">
        <x:v>Steg</x:v>
      </x:c>
      <x:c r="B1" s="935" t="str">
        <x:v>Arbetsmoment</x:v>
      </x:c>
      <x:c r="C1" s="952" t="str">
        <x:v>Beskrivning</x:v>
      </x:c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n">
        <x:v>1</x:v>
      </x:c>
      <x:c r="B2" s="911" t="str">
        <x:v>Läs Projektöversikt</x:v>
      </x:c>
      <x:c r="C2" s="913" t="str">
        <x:v>Identifiera om arbetet gäller Fas 1 Word→Excel eller Fas 2 Excel→Word.</x:v>
      </x:c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n">
        <x:v>2</x:v>
      </x:c>
      <x:c r="B3" s="911" t="str">
        <x:v>Läs Projektregler</x:v>
      </x:c>
      <x:c r="C3" s="913" t="str">
        <x:v>Följ reglerna innan några ändringar görs.</x:v>
      </x:c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n">
        <x:v>3</x:v>
      </x:c>
      <x:c r="B4" s="911" t="str">
        <x:v>Läs Källdokument</x:v>
      </x:c>
      <x:c r="C4" s="913" t="str">
        <x:v>Kontrollera vilka importflikar och externa filer som krävs.</x:v>
      </x:c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n">
        <x:v>4</x:v>
      </x:c>
      <x:c r="B5" s="911" t="str">
        <x:v>Läs Taxekod_Tolkning</x:v>
      </x:c>
      <x:c r="C5" s="913" t="str">
        <x:v>Använd lexikonet för prefix, suffix, koddelar, strFaktor och strFormel.</x:v>
      </x:c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n">
        <x:v>5</x:v>
      </x:c>
      <x:c r="B6" s="911" t="str">
        <x:v>Importera/ersätt Taxa_från_edp</x:v>
      </x:c>
      <x:c r="C6" s="913" t="str">
        <x:v>Om ny EDP-export används ska endast importfliken bytas, inte arbetsflikarna.</x:v>
      </x:c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n">
        <x:v>6</x:v>
      </x:c>
      <x:c r="B7" s="911" t="str">
        <x:v>Kontrollera Word mot Taxepunkter</x:v>
      </x:c>
      <x:c r="C7" s="913" t="str">
        <x:v>Lägg till saknade rader från Word, inklusive kostnadsfria rader.</x:v>
      </x:c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n">
        <x:v>7</x:v>
      </x:c>
      <x:c r="B8" s="911" t="str">
        <x:v>Matcha mot Taxa_från_edp</x:v>
      </x:c>
      <x:c r="C8" s="913" t="str">
        <x:v>Använd matchningsordningen strTaxekod → strTaxebenamning → strTaxedelAvser → strFaktor.</x:v>
      </x:c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n">
        <x:v>8</x:v>
      </x:c>
      <x:c r="B9" s="911" t="str">
        <x:v>Uppdatera Taxa_Saknas</x:v>
      </x:c>
      <x:c r="C9" s="913" t="str">
        <x:v>Alla saknade/osäkra taxor ska dokumenteras med intRecnum = Taxepunkter-rad.</x:v>
      </x:c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n">
        <x:v>9</x:v>
      </x:c>
      <x:c r="B10" s="911" t="str">
        <x:v>Uppdatera Föreslagen Taxa</x:v>
      </x:c>
      <x:c r="C10" s="913" t="str">
        <x:v>Kolumnen hämtar bekräftad Taxakod eller förslag från Taxa_Saknas.</x:v>
      </x:c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n">
        <x:v>10</x:v>
      </x:c>
      <x:c r="B11" s="911" t="str">
        <x:v>Fyll Föreslaget pris vid behov</x:v>
      </x:c>
      <x:c r="C11" s="913" t="str">
        <x:v>Aktuellt pris får aldrig ändras. Föreslaget pris används bara som arbetspris.</x:v>
      </x:c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 t="n">
        <x:v>11</x:v>
      </x:c>
      <x:c r="B12" s="911" t="str">
        <x:v>Dokumentera beslut</x:v>
      </x:c>
      <x:c r="C12" s="913" t="str">
        <x:v>Uppdatera Beslutslogg och Kontrollrapport.</x:v>
      </x:c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 t="n">
        <x:v>12</x:v>
      </x:c>
      <x:c r="B13" s="911" t="str">
        <x:v>Vänta med Excel→Word</x:v>
      </x:c>
      <x:c r="C13" s="913" t="str">
        <x:v>Prisöverföring till Word hanteras i senare separat fas.</x:v>
      </x:c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/>
      <x:c r="B14" s="911"/>
      <x:c r="C14" s="913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/>
      <x:c r="B15" s="911"/>
      <x:c r="C15" s="913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3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3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3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3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4"/>
      <x:c r="B20" s="916"/>
      <x:c r="C20" s="91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0" hidden="0" customWidth="1"/>
    <x:col min="4" max="4" width="24" hidden="0" customWidth="1"/>
    <x:col min="5" max="5" width="70" hidden="0" customWidth="1"/>
  </x:cols>
  <x:sheetData>
    <x:row r="1">
      <x:c r="A1" s="934" t="str">
        <x:v>Källa/flik</x:v>
      </x:c>
      <x:c r="B1" s="935" t="str">
        <x:v>Obligatorisk</x:v>
      </x:c>
      <x:c r="C1" s="935" t="str">
        <x:v>Funktion</x:v>
      </x:c>
      <x:c r="D1" s="935" t="str">
        <x:v>Får ersättas vid ny körning</x:v>
      </x:c>
      <x:c r="E1" s="952" t="str">
        <x:v>Kommentar</x:v>
      </x:c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Word taxedokument (.docx)</x:v>
      </x:c>
      <x:c r="B2" s="911" t="str">
        <x:v>Ja</x:v>
      </x:c>
      <x:c r="C2" s="911" t="str">
        <x:v>Juridisk/strukturell källa för Taxepunkter</x:v>
      </x:c>
      <x:c r="D2" s="911" t="str">
        <x:v>Ja</x:v>
      </x:c>
      <x:c r="E2" s="913" t="str">
        <x:v>Ska importeras/läsas vid ny taxemall. Nuvarande Word ligger ej som komplett filflik i Excel.</x:v>
      </x:c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Taxa_från_edp</x:v>
      </x:c>
      <x:c r="B3" s="911" t="str">
        <x:v>Ja</x:v>
      </x:c>
      <x:c r="C3" s="911" t="str">
        <x:v>Bekräftade taxekoder, benämningar, faktorer, formler och priser</x:v>
      </x:c>
      <x:c r="D3" s="911" t="str">
        <x:v>Ja</x:v>
      </x:c>
      <x:c r="E3" s="913" t="str">
        <x:v>Enda källa för Aktuellt pris. Får bytas mot ny export.</x:v>
      </x:c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Källa_Prislista_DH</x:v>
      </x:c>
      <x:c r="B4" s="911" t="str">
        <x:v>Ja om DH finns</x:v>
      </x:c>
      <x:c r="C4" s="911" t="str">
        <x:v>Unik prislista för detaljhandel</x:v>
      </x:c>
      <x:c r="D4" s="911" t="str">
        <x:v>Ja</x:v>
      </x:c>
      <x:c r="E4" s="913" t="str">
        <x:v>Får endast användas för DH och aldrig för andra beräkningsmodeller.</x:v>
      </x:c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Källa_Kvantitetskoder</x:v>
      </x:c>
      <x:c r="B5" s="911" t="str">
        <x:v>Ja</x:v>
      </x:c>
      <x:c r="C5" s="911" t="str">
        <x:v>Referens för strFaktor/strFormel</x:v>
      </x:c>
      <x:c r="D5" s="911" t="str">
        <x:v>Ja</x:v>
      </x:c>
      <x:c r="E5" s="913" t="str">
        <x:v>Används för tolkning, inte för pris.</x:v>
      </x:c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Taxepunkter</x:v>
      </x:c>
      <x:c r="B6" s="911" t="str">
        <x:v>Ja</x:v>
      </x:c>
      <x:c r="C6" s="911" t="str">
        <x:v>Arbetsflik som byggs från Word + EDP</x:v>
      </x:c>
      <x:c r="D6" s="911" t="str">
        <x:v>Nej</x:v>
      </x:c>
      <x:c r="E6" s="913" t="str">
        <x:v>Under uppbyggnad och ska inte ersättas.</x:v>
      </x:c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Taxa_Saknas</x:v>
      </x:c>
      <x:c r="B7" s="911" t="str">
        <x:v>Ja</x:v>
      </x:c>
      <x:c r="C7" s="911" t="str">
        <x:v>Saknade/föreslagna taxor</x:v>
      </x:c>
      <x:c r="D7" s="911" t="str">
        <x:v>Nej</x:v>
      </x:c>
      <x:c r="E7" s="913" t="str">
        <x:v>Under uppbyggnad och ska inte ersättas.</x:v>
      </x:c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Taxekod_Tolkning</x:v>
      </x:c>
      <x:c r="B8" s="911" t="str">
        <x:v>Ja</x:v>
      </x:c>
      <x:c r="C8" s="911" t="str">
        <x:v>Lexikon över koddelar</x:v>
      </x:c>
      <x:c r="D8" s="911" t="str">
        <x:v>Nej</x:v>
      </x:c>
      <x:c r="E8" s="913" t="str">
        <x:v>Byggs successivt.</x:v>
      </x:c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Projektregler/Arbetsflöde/Beslutslogg</x:v>
      </x:c>
      <x:c r="B9" s="911" t="str">
        <x:v>Ja</x:v>
      </x:c>
      <x:c r="C9" s="911" t="str">
        <x:v>Självdokumentation</x:v>
      </x:c>
      <x:c r="D9" s="911" t="str">
        <x:v>Nej</x:v>
      </x:c>
      <x:c r="E9" s="913" t="str">
        <x:v>Behövs för framtida promptning.</x:v>
      </x:c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/>
      <x:c r="B10" s="911"/>
      <x:c r="C10" s="911"/>
      <x:c r="D10" s="911"/>
      <x:c r="E10" s="913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/>
      <x:c r="B11" s="911"/>
      <x:c r="C11" s="911"/>
      <x:c r="D11" s="911"/>
      <x:c r="E11" s="913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1"/>
      <x:c r="D12" s="911"/>
      <x:c r="E12" s="913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/>
      <x:c r="B13" s="911"/>
      <x:c r="C13" s="911"/>
      <x:c r="D13" s="911"/>
      <x:c r="E13" s="913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/>
      <x:c r="B14" s="911"/>
      <x:c r="C14" s="911"/>
      <x:c r="D14" s="911"/>
      <x:c r="E14" s="913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4"/>
      <x:c r="B15" s="916"/>
      <x:c r="C15" s="916"/>
      <x:c r="D15" s="916"/>
      <x:c r="E15" s="91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225"/>
      <x:c r="B16" s="225"/>
      <x:c r="C16" s="225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225"/>
      <x:c r="B17" s="225"/>
      <x:c r="C17" s="225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225"/>
      <x:c r="B18" s="225"/>
      <x:c r="C18" s="225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225"/>
      <x:c r="B19" s="225"/>
      <x:c r="C19" s="225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225"/>
      <x:c r="B20" s="225"/>
      <x:c r="C20" s="22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917" t="str">
        <x:v>Instruktion till ChatGPT för fortsatt arbete</x:v>
      </x:c>
      <x:c r="B1" s="282"/>
      <x:c r="C1" s="28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8" t="str">
        <x:v>1. Läs flikarna 01_Projektöversikt, 02_Projektregler, 03_Arbetsflöde, 04_Källdokument, Taxekod_Tolkning och Beslutslogg innan du ändrar något.</x:v>
      </x:c>
      <x:c r="B2" s="225"/>
      <x:c r="C2" s="225"/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8" t="str">
        <x:v>2. Arbetet är i Fas 1 Word → Excel tills annat uttryckligen anges. Regler för Excel → Word ska inte användas ännu.</x:v>
      </x:c>
      <x:c r="B3" s="225"/>
      <x:c r="C3" s="225"/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8" t="str">
        <x:v>3. Taxepunkter är en arbetsflik under uppbyggnad. Den ska byggas från Word och Taxa_från_edp, inte ersättas.</x:v>
      </x:c>
      <x:c r="B4" s="225"/>
      <x:c r="C4" s="225"/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8" t="str">
        <x:v>4. Alla rader i Word, även kostnadsfria rader, ska finnas i Taxepunkter.</x:v>
      </x:c>
      <x:c r="B5" s="225"/>
      <x:c r="C5" s="225"/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8" t="str">
        <x:v>5. Taxakod får endast innehålla bekräftad exakt strTaxekod från Taxa_från_edp.</x:v>
      </x:c>
      <x:c r="B6" s="225"/>
      <x:c r="C6" s="225"/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8" t="str">
        <x:v>6. Aktuellt pris får aldrig redigeras manuellt. Det hämtas från Taxa_från_edp.</x:v>
      </x:c>
      <x:c r="B7" s="225"/>
      <x:c r="C7" s="225"/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8" t="str">
        <x:v>7. Föreslagen Taxa visar Taxakod om bekräftad, annars förslag från Taxa_Saknas.</x:v>
      </x:c>
      <x:c r="B8" s="225"/>
      <x:c r="C8" s="225"/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8" t="str">
        <x:v>8. Föreslaget pris kan användas som arbetspris när Aktuellt pris saknas. DH-priser får bara användas för DH.</x:v>
      </x:c>
      <x:c r="B9" s="225"/>
      <x:c r="C9" s="225"/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8" t="str">
        <x:v>9. Matcha taxor via strTaxekod, strTaxebenamning, strTaxedelAvser, strFaktor och strFormel.</x:v>
      </x:c>
      <x:c r="B10" s="225"/>
      <x:c r="C10" s="225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8" t="str">
        <x:v>10. Om taxan saknas: lägg i Taxa_Saknas med intRecnum = radnumret i Taxepunkter.</x:v>
      </x:c>
      <x:c r="B11" s="225"/>
      <x:c r="C11" s="225"/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8" t="str">
        <x:v>11. Uppdatera Taxekod_Tolkning när nya koddelar identifieras.</x:v>
      </x:c>
      <x:c r="B12" s="225"/>
      <x:c r="C12" s="225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8" t="str">
        <x:v>12. Dokumentera nya beslut i Beslutslogg och resultat i Kontrollrapport.</x:v>
      </x:c>
      <x:c r="B13" s="225"/>
      <x:c r="C13" s="225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8" t="str">
        <x:v>13. Kostnadsfria rader i Word ska alltid finnas i Taxepunkter och vid saknad EDP-taxa även i Taxa_Saknas.</x:v>
      </x:c>
      <x:c r="B14" s="225"/>
      <x:c r="C14" s="225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9" t="str">
        <x:v>14. Sätt aldrig Aktuellt pris manuellt till 0. Pris hämtas bara från Taxa_från_edp; använd Föreslaget pris endast som arbetskolumn vid behov.</x:v>
      </x:c>
      <x:c r="B15" s="225"/>
      <x:c r="C15" s="225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225"/>
      <x:c r="B16" s="225"/>
      <x:c r="C16" s="225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225"/>
      <x:c r="B17" s="225"/>
      <x:c r="C17" s="225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225"/>
      <x:c r="B18" s="225"/>
      <x:c r="C18" s="225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225"/>
      <x:c r="B19" s="225"/>
      <x:c r="C19" s="225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225"/>
      <x:c r="B20" s="225"/>
      <x:c r="C20" s="22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917" t="str">
        <x:v>Excel → Word är inte påbörjad</x:v>
      </x:c>
      <x:c r="B1" s="282"/>
      <x:c r="C1" s="28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8" t="str">
        <x:v>Denna fas ska hanteras separat senare.</x:v>
      </x:c>
      <x:c r="B2" s="225"/>
      <x:c r="C2" s="225"/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8" t="str">
        <x:v>Preliminära principer: Word-text får inte ändras, endast prisfält/XX kr ska uppdateras från rätt rad i Taxepunkter.</x:v>
      </x:c>
      <x:c r="B3" s="225"/>
      <x:c r="C3" s="225"/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9" t="str">
        <x:v>Regler för Word → Excel får inte användas som regler för Excel → Word utan ny genomgång.</x:v>
      </x:c>
      <x:c r="B4" s="225"/>
      <x:c r="C4" s="225"/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225"/>
      <x:c r="B5" s="225"/>
      <x:c r="C5" s="225"/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225"/>
      <x:c r="B6" s="225"/>
      <x:c r="C6" s="225"/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225"/>
      <x:c r="B7" s="225"/>
      <x:c r="C7" s="225"/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225"/>
      <x:c r="B8" s="225"/>
      <x:c r="C8" s="225"/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225"/>
      <x:c r="B9" s="225"/>
      <x:c r="C9" s="225"/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225"/>
      <x:c r="B10" s="225"/>
      <x:c r="C10" s="225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225"/>
      <x:c r="B11" s="225"/>
      <x:c r="C11" s="225"/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225"/>
      <x:c r="B12" s="225"/>
      <x:c r="C12" s="225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225"/>
      <x:c r="B13" s="225"/>
      <x:c r="C13" s="225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225"/>
      <x:c r="B14" s="225"/>
      <x:c r="C14" s="225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225"/>
      <x:c r="B15" s="225"/>
      <x:c r="C15" s="225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225"/>
      <x:c r="B16" s="225"/>
      <x:c r="C16" s="225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225"/>
      <x:c r="B17" s="225"/>
      <x:c r="C17" s="225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225"/>
      <x:c r="B18" s="225"/>
      <x:c r="C18" s="225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225"/>
      <x:c r="B19" s="225"/>
      <x:c r="C19" s="225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225"/>
      <x:c r="B20" s="225"/>
      <x:c r="C20" s="22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90" hidden="0" customWidth="1"/>
  </x:cols>
  <x:sheetData>
    <x:row r="1">
      <x:c r="A1" s="934" t="str">
        <x:v>Delprojekt</x:v>
      </x:c>
      <x:c r="B1" s="935" t="str">
        <x:v>Status</x:v>
      </x:c>
      <x:c r="C1" s="952" t="str">
        <x:v>Progress/Kommentar</x:v>
      </x:c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Taxepunkter</x:v>
      </x:c>
      <x:c r="B2" s="911" t="str">
        <x:v>Under uppbyggnad</x:v>
      </x:c>
      <x:c r="C2" s="913" t="str">
        <x:v>Kontrollerad till och med §2.2.6; fortsättning återstår.</x:v>
      </x:c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Taxa_Saknas</x:v>
      </x:c>
      <x:c r="B3" s="911" t="str">
        <x:v>Under uppbyggnad</x:v>
      </x:c>
      <x:c r="C3" s="913" t="str">
        <x:v>Fylls löpande med saknade taxor och förslag.</x:v>
      </x:c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Taxekod_Tolkning</x:v>
      </x:c>
      <x:c r="B4" s="911" t="str">
        <x:v>Under uppbyggnad</x:v>
      </x:c>
      <x:c r="C4" s="913" t="str">
        <x:v>Lexikon påbörjat och uppdateras löpande.</x:v>
      </x:c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Word → Excel</x:v>
      </x:c>
      <x:c r="B5" s="911" t="str">
        <x:v>Pågår</x:v>
      </x:c>
      <x:c r="C5" s="913" t="str">
        <x:v>Fas 1.</x:v>
      </x:c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Excel → Word</x:v>
      </x:c>
      <x:c r="B6" s="911" t="str">
        <x:v>Ej påbörjad</x:v>
      </x:c>
      <x:c r="C6" s="913" t="str">
        <x:v>Fas 2 hanteras separat senare.</x:v>
      </x:c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DH-prislogik</x:v>
      </x:c>
      <x:c r="B7" s="911" t="str">
        <x:v>Fastställd</x:v>
      </x:c>
      <x:c r="C7" s="913" t="str">
        <x:v>DH-priser är fristående och får inte användas för andra modeller.</x:v>
      </x:c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Kostnadsfria rader</x:v>
      </x:c>
      <x:c r="B8" s="911" t="str">
        <x:v>Åtgärdat</x:v>
      </x:c>
      <x:c r="C8" s="913" t="str">
        <x:v>Tre kostnadsfria rader från Word har lagts till i Taxepunkter och Taxa_Saknas.</x:v>
      </x:c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/>
      <x:c r="B9" s="911"/>
      <x:c r="C9" s="913"/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/>
      <x:c r="B10" s="911"/>
      <x:c r="C10" s="913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/>
      <x:c r="B11" s="911"/>
      <x:c r="C11" s="913"/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3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/>
      <x:c r="B13" s="911"/>
      <x:c r="C13" s="913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/>
      <x:c r="B14" s="911"/>
      <x:c r="C14" s="913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4"/>
      <x:c r="B15" s="916"/>
      <x:c r="C15" s="915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225"/>
      <x:c r="B16" s="225"/>
      <x:c r="C16" s="225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225"/>
      <x:c r="B17" s="225"/>
      <x:c r="C17" s="225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225"/>
      <x:c r="B18" s="225"/>
      <x:c r="C18" s="225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225"/>
      <x:c r="B19" s="225"/>
      <x:c r="C19" s="225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225"/>
      <x:c r="B20" s="225"/>
      <x:c r="C20" s="22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42" hidden="0" customWidth="1"/>
    <x:col min="5" max="5" width="90" hidden="0" customWidth="1"/>
    <x:col min="6" max="6" width="18" hidden="0" customWidth="1"/>
  </x:cols>
  <x:sheetData>
    <x:row r="1">
      <x:c r="A1" s="934" t="str">
        <x:v>Kolumn</x:v>
      </x:c>
      <x:c r="B1" s="935" t="str">
        <x:v>Rubrik</x:v>
      </x:c>
      <x:c r="C1" s="935" t="str">
        <x:v>Typ</x:v>
      </x:c>
      <x:c r="D1" s="935" t="str">
        <x:v>Källa/beroende</x:v>
      </x:c>
      <x:c r="E1" s="935" t="str">
        <x:v>Formel/regel för en normalrad</x:v>
      </x:c>
      <x:c r="F1" s="952" t="str">
        <x:v>Får ändras manuellt</x:v>
      </x:c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A</x:v>
      </x:c>
      <x:c r="B2" s="911" t="str">
        <x:v>Paragraf</x:v>
      </x:c>
      <x:c r="C2" s="911" t="str">
        <x:v>Manuell</x:v>
      </x:c>
      <x:c r="D2" s="911" t="str">
        <x:v>Word</x:v>
      </x:c>
      <x:c r="E2" s="911" t="str">
        <x:v>Anges utifrån paragraf i Word.</x:v>
      </x:c>
      <x:c r="F2" s="913" t="str">
        <x:v>Ja</x:v>
      </x:c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B</x:v>
      </x:c>
      <x:c r="B3" s="911" t="str">
        <x:v>Paragrafnamn</x:v>
      </x:c>
      <x:c r="C3" s="911" t="str">
        <x:v>Manuell</x:v>
      </x:c>
      <x:c r="D3" s="911" t="str">
        <x:v>Word</x:v>
      </x:c>
      <x:c r="E3" s="911" t="str">
        <x:v>Anges utifrån rubrik i Word.</x:v>
      </x:c>
      <x:c r="F3" s="913" t="str">
        <x:v>Ja</x:v>
      </x:c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C</x:v>
      </x:c>
      <x:c r="B4" s="911" t="str">
        <x:v>Taxapunkt</x:v>
      </x:c>
      <x:c r="C4" s="911" t="str">
        <x:v>Manuell</x:v>
      </x:c>
      <x:c r="D4" s="911" t="str">
        <x:v>Word</x:v>
      </x:c>
      <x:c r="E4" s="911" t="str">
        <x:v>Anges utifrån raden/tjänsten i Word.</x:v>
      </x:c>
      <x:c r="F4" s="913" t="str">
        <x:v>Ja</x:v>
      </x:c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D</x:v>
      </x:c>
      <x:c r="B5" s="911" t="str">
        <x:v>Variant</x:v>
      </x:c>
      <x:c r="C5" s="911" t="str">
        <x:v>Manuell</x:v>
      </x:c>
      <x:c r="D5" s="911" t="str">
        <x:v>Word</x:v>
      </x:c>
      <x:c r="E5" s="911" t="str">
        <x:v>Anger t.ex. Hämtning varje vecka, Avgift per tömning, var 14:e dag.</x:v>
      </x:c>
      <x:c r="F5" s="913" t="str">
        <x:v>Ja</x:v>
      </x:c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E</x:v>
      </x:c>
      <x:c r="B6" s="911" t="str">
        <x:v>Enhet</x:v>
      </x:c>
      <x:c r="C6" s="911" t="str">
        <x:v>Manuell</x:v>
      </x:c>
      <x:c r="D6" s="911" t="str">
        <x:v>Word/bedömning</x:v>
      </x:c>
      <x:c r="E6" s="911" t="str">
        <x:v>Anger debiteringsenhet, t.ex. st/år, st/tömning, kg.</x:v>
      </x:c>
      <x:c r="F6" s="913" t="str">
        <x:v>Ja</x:v>
      </x:c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F</x:v>
      </x:c>
      <x:c r="B7" s="911" t="str">
        <x:v>Taxakod</x:v>
      </x:c>
      <x:c r="C7" s="911" t="str">
        <x:v>Manuell med dropdown</x:v>
      </x:c>
      <x:c r="D7" s="911" t="str">
        <x:v>Taxa_från_edp</x:v>
      </x:c>
      <x:c r="E7" s="911" t="str">
        <x:v>Endast bekräftad exakt strTaxekod från Taxa_från_edp.</x:v>
      </x:c>
      <x:c r="F7" s="913" t="str">
        <x:v>Ja</x:v>
      </x:c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G</x:v>
      </x:c>
      <x:c r="B8" s="911" t="str">
        <x:v>Föreslagen Taxa</x:v>
      </x:c>
      <x:c r="C8" s="911" t="str">
        <x:v>Automatisk</x:v>
      </x:c>
      <x:c r="D8" s="911" t="str">
        <x:v>Taxakod + Taxa_Saknas</x:v>
      </x:c>
      <x:c r="E8" s="911" t="str">
        <x:f>IF($F7&lt;&gt;"",$F7,IFERROR(XLOOKUP(ROW(),Taxa_Saknas!$H:$H,Taxa_Saknas!$G:$G),""))</x:f>
        <x:v>Ja</x:v>
      </x:c>
      <x:c r="F8" s="913" t="str">
        <x:v>Nej</x:v>
      </x:c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H</x:v>
      </x:c>
      <x:c r="B9" s="911" t="str">
        <x:v>Taxabeskrivning</x:v>
      </x:c>
      <x:c r="C9" s="911" t="str">
        <x:v>Automatisk</x:v>
      </x:c>
      <x:c r="D9" s="911" t="str">
        <x:v>Taxa_från_edp[strTaxebenamning]</x:v>
      </x:c>
      <x:c r="E9" s="911" t="str">
        <x:v>Slår upp Taxakod i Taxa_från_edp kolumn strTaxekod och returnerar strTaxebenamning.</x:v>
      </x:c>
      <x:c r="F9" s="913" t="str">
        <x:v>Nej</x:v>
      </x:c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str">
        <x:v>I</x:v>
      </x:c>
      <x:c r="B10" s="911" t="str">
        <x:v>Faktor</x:v>
      </x:c>
      <x:c r="C10" s="911" t="str">
        <x:v>Automatisk</x:v>
      </x:c>
      <x:c r="D10" s="911" t="str">
        <x:v>Taxa_från_edp[strFaktor]</x:v>
      </x:c>
      <x:c r="E10" s="911" t="str">
        <x:v>Slår upp Taxakod och returnerar strFaktor.</x:v>
      </x:c>
      <x:c r="F10" s="913" t="str">
        <x:v>Nej</x:v>
      </x:c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str">
        <x:v>J</x:v>
      </x:c>
      <x:c r="B11" s="911" t="str">
        <x:v>Aktuellt pris (exkl m)</x:v>
      </x:c>
      <x:c r="C11" s="911" t="str">
        <x:v>Automatisk</x:v>
      </x:c>
      <x:c r="D11" s="911" t="str">
        <x:v>Taxa_från_edp[curNuvarandePris]</x:v>
      </x:c>
      <x:c r="E11" s="911" t="str">
        <x:v>Slår upp Taxakod och returnerar aktuellt pris exkl. moms. Får aldrig redigeras manuellt.</x:v>
      </x:c>
      <x:c r="F11" s="913" t="str">
        <x:v>Nej</x:v>
      </x:c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 t="str">
        <x:v>K</x:v>
      </x:c>
      <x:c r="B12" s="911" t="str">
        <x:v>Föreslaget pris</x:v>
      </x:c>
      <x:c r="C12" s="911" t="str">
        <x:v>Manuell/beräknad arbetskolumn</x:v>
      </x:c>
      <x:c r="D12" s="911" t="str">
        <x:v>Projektdata/DH-prislista/bedömning</x:v>
      </x:c>
      <x:c r="E12" s="911" t="str">
        <x:v>Används bara när Aktuellt pris saknas. DH-priser får endast användas för DH.</x:v>
      </x:c>
      <x:c r="F12" s="913" t="str">
        <x:v>Ja</x:v>
      </x:c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 t="str">
        <x:v>L</x:v>
      </x:c>
      <x:c r="B13" s="911" t="str">
        <x:v>Antal</x:v>
      </x:c>
      <x:c r="C13" s="911" t="str">
        <x:v>Manuell</x:v>
      </x:c>
      <x:c r="D13" s="911" t="str">
        <x:v>Taxevolym/bedömning</x:v>
      </x:c>
      <x:c r="E13" s="911" t="str">
        <x:v>Anges vid behov för intäktsberäkning.</x:v>
      </x:c>
      <x:c r="F13" s="913" t="str">
        <x:v>Ja</x:v>
      </x:c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 t="str">
        <x:v>M</x:v>
      </x:c>
      <x:c r="B14" s="911" t="str">
        <x:v>Pris kr (inkl.)</x:v>
      </x:c>
      <x:c r="C14" s="911" t="str">
        <x:v>Automatisk</x:v>
      </x:c>
      <x:c r="D14" s="911" t="str">
        <x:v>J eller K + moms</x:v>
      </x:c>
      <x:c r="E14" s="911" t="str">
        <x:f>IFERROR(IF(J7&lt;&gt;"",J7*1.25,IF(K7&lt;&gt;"",K7*1.25,"")),"")</x:f>
      </x:c>
      <x:c r="F14" s="913" t="str">
        <x:v>Nej</x:v>
      </x:c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 t="str">
        <x:v>N</x:v>
      </x:c>
      <x:c r="B15" s="911" t="str">
        <x:v>Intäkt (kr) exkl</x:v>
      </x:c>
      <x:c r="C15" s="911" t="str">
        <x:v>Automatisk</x:v>
      </x:c>
      <x:c r="D15" s="911" t="str">
        <x:v>J/K och L</x:v>
      </x:c>
      <x:c r="E15" s="911" t="str">
        <x:f>IFERROR(IF(J7&lt;&gt;"",L7*J7,IF(K7&lt;&gt;"",L7*K7,"")),"")</x:f>
      </x:c>
      <x:c r="F15" s="913" t="str">
        <x:v>Nej</x:v>
      </x:c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1"/>
      <x:c r="D16" s="911"/>
      <x:c r="E16" s="911"/>
      <x:c r="F16" s="913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 t="str">
        <x:v>Beroende</x:v>
      </x:c>
      <x:c r="B17" s="911" t="str">
        <x:v>Beskrivning</x:v>
      </x:c>
      <x:c r="C17" s="911"/>
      <x:c r="D17" s="911"/>
      <x:c r="E17" s="911"/>
      <x:c r="F17" s="913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 t="str">
        <x:v>F påverkar G/H/I/J</x:v>
      </x:c>
      <x:c r="B18" s="911" t="str">
        <x:v>Taxakod styr föreslagen taxa, taxabeskrivning, faktor och aktuellt pris.</x:v>
      </x:c>
      <x:c r="C18" s="911"/>
      <x:c r="D18" s="911"/>
      <x:c r="E18" s="911"/>
      <x:c r="F18" s="913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 t="str">
        <x:v>G hämtar från Taxa_Saknas</x:v>
      </x:c>
      <x:c r="B19" s="911" t="str">
        <x:v>Om Taxakod saknas används intRecnum/radnummer för att hämta föreslagen taxa.</x:v>
      </x:c>
      <x:c r="C19" s="911"/>
      <x:c r="D19" s="911"/>
      <x:c r="E19" s="911"/>
      <x:c r="F19" s="913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2" t="str">
        <x:v>J är låst principmässigt</x:v>
      </x:c>
      <x:c r="B20" s="911" t="str">
        <x:v>Aktuellt pris är alltid EDP-pris och får inte ändras manuellt.</x:v>
      </x:c>
      <x:c r="C20" s="911"/>
      <x:c r="D20" s="911"/>
      <x:c r="E20" s="911"/>
      <x:c r="F20" s="913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912" t="str">
        <x:v>K är arbetspris</x:v>
      </x:c>
      <x:c r="B21" s="911" t="str">
        <x:v>Föreslaget pris används endast som arbetsunderlag när J saknas.</x:v>
      </x:c>
      <x:c r="C21" s="911"/>
      <x:c r="D21" s="911"/>
      <x:c r="E21" s="911"/>
      <x:c r="F21" s="913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921" t="str">
        <x:v>Radtyp</x:v>
      </x:c>
      <x:c r="B22" s="920" t="str">
        <x:v>Kännetecken</x:v>
      </x:c>
      <x:c r="C22" s="920" t="str">
        <x:v>Format</x:v>
      </x:c>
      <x:c r="D22" s="920" t="str">
        <x:v>Regel</x:v>
      </x:c>
      <x:c r="E22" s="920" t="str">
        <x:v>Exempel</x:v>
      </x:c>
      <x:c r="F22" s="922" t="str">
        <x:v>Får ändras manuellt</x:v>
      </x:c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912" t="str">
        <x:v>Underrubrik</x:v>
      </x:c>
      <x:c r="B23" s="911" t="str">
        <x:v>Endast kolumn A har text, B:E är tomma</x:v>
      </x:c>
      <x:c r="C23" s="911" t="str">
        <x:v>A:E sammanslaget, enfärgad ljusblå rad</x:v>
      </x:c>
      <x:c r="D23" s="911" t="str">
        <x:v>Används för avsnittsrubriker</x:v>
      </x:c>
      <x:c r="E23" s="911" t="str">
        <x:v>§2.1 Grundavgift</x:v>
      </x:c>
      <x:c r="F23" s="913" t="str">
        <x:v>Nej</x:v>
      </x:c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912" t="str">
        <x:v>Taxerad</x:v>
      </x:c>
      <x:c r="B24" s="911" t="str">
        <x:v>A:E innehåller uppdelade fält</x:v>
      </x:c>
      <x:c r="C24" s="911" t="str">
        <x:v>A:E ej sammanslaget, vit bakgrund</x:v>
      </x:c>
      <x:c r="D24" s="911" t="str">
        <x:v>Används för faktiska taxepunkter</x:v>
      </x:c>
      <x:c r="E24" s="911" t="str">
        <x:v>§2.1 | Grundavgift | En- och tvåbostadshus | st/år</x:v>
      </x:c>
      <x:c r="F24" s="913" t="str">
        <x:v>Ja</x:v>
      </x:c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912"/>
      <x:c r="B25" s="911"/>
      <x:c r="C25" s="911"/>
      <x:c r="D25" s="911"/>
      <x:c r="E25" s="911"/>
      <x:c r="F25" s="913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912"/>
      <x:c r="B26" s="911"/>
      <x:c r="C26" s="911"/>
      <x:c r="D26" s="911"/>
      <x:c r="E26" s="911"/>
      <x:c r="F26" s="913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912"/>
      <x:c r="B27" s="911"/>
      <x:c r="C27" s="911"/>
      <x:c r="D27" s="911"/>
      <x:c r="E27" s="911"/>
      <x:c r="F27" s="913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912"/>
      <x:c r="B28" s="911"/>
      <x:c r="C28" s="911"/>
      <x:c r="D28" s="911"/>
      <x:c r="E28" s="911"/>
      <x:c r="F28" s="913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912"/>
      <x:c r="B29" s="911"/>
      <x:c r="C29" s="911"/>
      <x:c r="D29" s="911"/>
      <x:c r="E29" s="911"/>
      <x:c r="F29" s="913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914"/>
      <x:c r="B30" s="916"/>
      <x:c r="C30" s="916"/>
      <x:c r="D30" s="916"/>
      <x:c r="E30" s="916"/>
      <x:c r="F30" s="91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90" hidden="0" customWidth="1"/>
  </x:cols>
  <x:sheetData>
    <x:row r="1">
      <x:c r="A1" s="934" t="str">
        <x:v>Datum</x:v>
      </x:c>
      <x:c r="B1" s="935" t="str">
        <x:v>Beslut</x:v>
      </x:c>
      <x:c r="C1" s="952" t="str">
        <x:v>Konsekvens</x:v>
      </x:c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2026-07-02</x:v>
      </x:c>
      <x:c r="B2" s="911" t="str">
        <x:v>FV betyder flerbostadshus eller verksamhet</x:v>
      </x:c>
      <x:c r="C2" s="913" t="str">
        <x:v>FV-taxor kan återanvändas mellan §2.2.4 och §2.2.5 om övriga villkor matchar.</x:v>
      </x:c>
      <x:c r="D2" s="225"/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2026-07-02</x:v>
      </x:c>
      <x:c r="B3" s="911" t="str">
        <x:v>DH införs som suffix för detaljhandel</x:v>
      </x:c>
      <x:c r="C3" s="913" t="str">
        <x:v>§2.2.6 ska använda DH och inte FV.</x:v>
      </x:c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2026-07-02</x:v>
      </x:c>
      <x:c r="B4" s="911" t="str">
        <x:v>MB används för bottentömmande behållare</x:v>
      </x:c>
      <x:c r="C4" s="913" t="str">
        <x:v>BTMR ska inte användas som framtida standardförslag.</x:v>
      </x:c>
      <x:c r="D4" s="225"/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2026-07-02</x:v>
      </x:c>
      <x:c r="B5" s="911" t="str">
        <x:v>Aktuellt pris hämtas bara från Taxa_från_edp</x:v>
      </x:c>
      <x:c r="C5" s="913" t="str">
        <x:v>Priskolumnen får inte redigeras manuellt.</x:v>
      </x:c>
      <x:c r="D5" s="225"/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2026-07-02</x:v>
      </x:c>
      <x:c r="B6" s="911" t="str">
        <x:v>Föreslaget pris får användas som arbetspris</x:v>
      </x:c>
      <x:c r="C6" s="913" t="str">
        <x:v>Ny kolumn efter Aktuellt pris.</x:v>
      </x:c>
      <x:c r="D6" s="225"/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2026-07-02</x:v>
      </x:c>
      <x:c r="B7" s="911" t="str">
        <x:v>DH-prislista är fristående</x:v>
      </x:c>
      <x:c r="C7" s="913" t="str">
        <x:v>DH-priser får inte användas som jämförelse för andra taxor.</x:v>
      </x:c>
      <x:c r="D7" s="225"/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2026-07-02</x:v>
      </x:c>
      <x:c r="B8" s="911" t="str">
        <x:v>Taxepunkter är under uppbyggnad</x:v>
      </x:c>
      <x:c r="C8" s="913" t="str">
        <x:v>Fliken är arbetsflik och får inte ersättas.</x:v>
      </x:c>
      <x:c r="D8" s="225"/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2026-07-02</x:v>
      </x:c>
      <x:c r="B9" s="911" t="str">
        <x:v>Fas 2 Excel→Word hanteras separat</x:v>
      </x:c>
      <x:c r="C9" s="913" t="str">
        <x:v>Nuvarande regler gäller Word→Excel.</x:v>
      </x:c>
      <x:c r="D9" s="225"/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/>
      <x:c r="B10" s="911"/>
      <x:c r="C10" s="913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/>
      <x:c r="B11" s="911"/>
      <x:c r="C11" s="913"/>
      <x:c r="D11" s="225"/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3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/>
      <x:c r="B13" s="911"/>
      <x:c r="C13" s="913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/>
      <x:c r="B14" s="911"/>
      <x:c r="C14" s="913"/>
      <x:c r="D14" s="225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/>
      <x:c r="B15" s="911"/>
      <x:c r="C15" s="913"/>
      <x:c r="D15" s="225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3"/>
      <x:c r="D16" s="225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3"/>
      <x:c r="D17" s="225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3"/>
      <x:c r="D18" s="225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3"/>
      <x:c r="D19" s="225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4"/>
      <x:c r="B20" s="916"/>
      <x:c r="C20" s="915"/>
      <x:c r="D20" s="22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60" hidden="0" customWidth="1"/>
    <x:col min="4" max="4" width="60" hidden="0" customWidth="1"/>
  </x:cols>
  <x:sheetData>
    <x:row r="1">
      <x:c r="A1" s="934" t="str">
        <x:v>Färgtyp</x:v>
      </x:c>
      <x:c r="B1" s="935" t="str">
        <x:v>Hex</x:v>
      </x:c>
      <x:c r="C1" s="935" t="str">
        <x:v>Användning</x:v>
      </x:c>
      <x:c r="D1" s="952" t="str">
        <x:v>Exempel</x:v>
      </x:c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Rubrik</x:v>
      </x:c>
      <x:c r="B2" s="911" t="str">
        <x:v>#1F4E78</x:v>
      </x:c>
      <x:c r="C2" s="911" t="str">
        <x:v>Tabellrubriker och huvudrubriker</x:v>
      </x:c>
      <x:c r="D2" s="913" t="str">
        <x:v>Rad 1/5 i arbets- och dokumentationsflikar</x:v>
      </x:c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Manuell inmatning</x:v>
      </x:c>
      <x:c r="B3" s="911" t="str">
        <x:v>#FFF2CC</x:v>
      </x:c>
      <x:c r="C3" s="911" t="str">
        <x:v>Fält som får fyllas manuellt</x:v>
      </x:c>
      <x:c r="D3" s="913" t="str">
        <x:v>Taxepunkter A–F, L samt Taxa_Saknas arbetskolumner</x:v>
      </x:c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Automatisk uppslagning</x:v>
      </x:c>
      <x:c r="B4" s="911" t="str">
        <x:v>#DDEBF7</x:v>
      </x:c>
      <x:c r="C4" s="911" t="str">
        <x:v>Formler och uppslag mot Taxa_från_edp</x:v>
      </x:c>
      <x:c r="D4" s="913" t="str">
        <x:v>Taxepunkter H–J</x:v>
      </x:c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Förslag</x:v>
      </x:c>
      <x:c r="B5" s="911" t="str">
        <x:v>#FCE4D6</x:v>
      </x:c>
      <x:c r="C5" s="911" t="str">
        <x:v>Föreslagna taxekoder och arbetspris</x:v>
      </x:c>
      <x:c r="D5" s="913" t="str">
        <x:v>Taxepunkter G och K, Taxa_Saknas FöreslagenTaxekod</x:v>
      </x:c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Beräkning</x:v>
      </x:c>
      <x:c r="B6" s="911" t="str">
        <x:v>#E2F0D9</x:v>
      </x:c>
      <x:c r="C6" s="911" t="str">
        <x:v>Beräknade värden</x:v>
      </x:c>
      <x:c r="D6" s="913" t="str">
        <x:v>Taxepunkter M–N</x:v>
      </x:c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Kontroll krävs</x:v>
      </x:c>
      <x:c r="B7" s="911" t="str">
        <x:v>#F4CCCC</x:v>
      </x:c>
      <x:c r="C7" s="911" t="str">
        <x:v>Fel, saknad match eller manuellt beslut</x:v>
      </x:c>
      <x:c r="D7" s="913" t="str">
        <x:v>Kontrollrapport och statusrader</x:v>
      </x:c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Dokumentation</x:v>
      </x:c>
      <x:c r="B8" s="911" t="str">
        <x:v>#E7E6E6</x:v>
      </x:c>
      <x:c r="C8" s="911" t="str">
        <x:v>Regel- och dokumentationsflikar</x:v>
      </x:c>
      <x:c r="D8" s="913" t="str">
        <x:v>Projektregler, Arbetsflöde, Dokumentation_*</x:v>
      </x:c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Import/referens</x:v>
      </x:c>
      <x:c r="B9" s="911" t="str">
        <x:v>#D9EAD3</x:v>
      </x:c>
      <x:c r="C9" s="911" t="str">
        <x:v>Importerade eller externa källflikar</x:v>
      </x:c>
      <x:c r="D9" s="913" t="str">
        <x:v>Taxa_från_edp, Källa_Prislista_DH</x:v>
      </x:c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/>
      <x:c r="B10" s="911"/>
      <x:c r="C10" s="911"/>
      <x:c r="D10" s="913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1034" t="str">
        <x:v>Border-standard</x:v>
      </x:c>
      <x:c r="B11" s="1035" t="str">
        <x:v>Värde</x:v>
      </x:c>
      <x:c r="C11" s="1035" t="str">
        <x:v>Användning</x:v>
      </x:c>
      <x:c r="D11" s="1036" t="str">
        <x:v>Kommentar</x:v>
      </x:c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 t="str">
        <x:v>Rutnätslinjer</x:v>
      </x:c>
      <x:c r="B12" s="911" t="str">
        <x:v>#D9D9D9</x:v>
      </x:c>
      <x:c r="C12" s="911" t="str">
        <x:v>Alla celler i använda tabellområden</x:v>
      </x:c>
      <x:c r="D12" s="913" t="str">
        <x:v>Tunn ljusgrå kant runt varje cell, både inne i och runt tabellen.</x:v>
      </x:c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 t="str">
        <x:v>Ytterkant</x:v>
      </x:c>
      <x:c r="B13" s="911" t="str">
        <x:v>#7F7F7F</x:v>
      </x:c>
      <x:c r="C13" s="911" t="str">
        <x:v>Runt hela tabellområden</x:v>
      </x:c>
      <x:c r="D13" s="913" t="str">
        <x:v>Tunn mörkare grå kant runt tabellens ytterkant.</x:v>
      </x:c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 t="str">
        <x:v>Rubrikrad</x:v>
      </x:c>
      <x:c r="B14" s="911" t="str">
        <x:v>#7F7F7F</x:v>
      </x:c>
      <x:c r="C14" s="911" t="str">
        <x:v>Rubrikrader</x:v>
      </x:c>
      <x:c r="D14" s="913" t="str">
        <x:v>Rubrikrad får mörkblå fyllning och konsekvent rutnät.</x:v>
      </x:c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4" t="str">
        <x:v>Underrubrik i Taxepunkter</x:v>
      </x:c>
      <x:c r="B15" s="916" t="str">
        <x:v>#BDD7EE</x:v>
      </x:c>
      <x:c r="C15" s="916" t="str">
        <x:v>Rader där A har paragraf+text och B:E är tomma</x:v>
      </x:c>
      <x:c r="D15" s="915" t="str">
        <x:v>A:E sammanslaget, hela raden färgad och samma rutnät.</x:v>
      </x:c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1"/>
      <x:c r="D16" s="913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1"/>
      <x:c r="D17" s="913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1"/>
      <x:c r="D18" s="913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1"/>
      <x:c r="D19" s="913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4"/>
      <x:c r="B20" s="916"/>
      <x:c r="C20" s="916"/>
      <x:c r="D20" s="91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38" hidden="0" customWidth="1"/>
    <x:col min="5" max="5" width="80" hidden="0" customWidth="1"/>
    <x:col min="6" max="6" width="20" hidden="0" customWidth="1"/>
  </x:cols>
  <x:sheetData>
    <x:row r="1">
      <x:c r="A1" s="934" t="str">
        <x:v>Kolumn</x:v>
      </x:c>
      <x:c r="B1" s="935" t="str">
        <x:v>Rubrik</x:v>
      </x:c>
      <x:c r="C1" s="935" t="str">
        <x:v>Typ</x:v>
      </x:c>
      <x:c r="D1" s="935" t="str">
        <x:v>Källa/beroende</x:v>
      </x:c>
      <x:c r="E1" s="935" t="str">
        <x:v>Regel/användning</x:v>
      </x:c>
      <x:c r="F1" s="952" t="str">
        <x:v>Får ändras manuellt</x:v>
      </x:c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A</x:v>
      </x:c>
      <x:c r="B2" s="911" t="str">
        <x:v>Källparagraf</x:v>
      </x:c>
      <x:c r="C2" s="911" t="str">
        <x:v>Arbetskolumn</x:v>
      </x:c>
      <x:c r="D2" s="911" t="str">
        <x:v>Word/Taxepunkter</x:v>
      </x:c>
      <x:c r="E2" s="911" t="str">
        <x:v>Paragraf där raden hör hemma.</x:v>
      </x:c>
      <x:c r="F2" s="913" t="str">
        <x:v>Ja</x:v>
      </x:c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B</x:v>
      </x:c>
      <x:c r="B3" s="911" t="str">
        <x:v>Källpunkt</x:v>
      </x:c>
      <x:c r="C3" s="911" t="str">
        <x:v>Arbetskolumn</x:v>
      </x:c>
      <x:c r="D3" s="911" t="str">
        <x:v>Granskningslista</x:v>
      </x:c>
      <x:c r="E3" s="911" t="str">
        <x:v>Punktnummer i löpande Word-Excel-kontroll om tillgängligt.</x:v>
      </x:c>
      <x:c r="F3" s="913" t="str">
        <x:v>Ja</x:v>
      </x:c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C</x:v>
      </x:c>
      <x:c r="B4" s="911" t="str">
        <x:v>Rad i Taxepunkter</x:v>
      </x:c>
      <x:c r="C4" s="911" t="str">
        <x:v>Arbetskolumn</x:v>
      </x:c>
      <x:c r="D4" s="911" t="str">
        <x:v>Taxepunkter</x:v>
      </x:c>
      <x:c r="E4" s="911" t="str">
        <x:v>Radnummer i Taxepunkter för felsökning.</x:v>
      </x:c>
      <x:c r="F4" s="913" t="str">
        <x:v>Ja</x:v>
      </x:c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D</x:v>
      </x:c>
      <x:c r="B5" s="911" t="str">
        <x:v>Wordtext</x:v>
      </x:c>
      <x:c r="C5" s="911" t="str">
        <x:v>Arbetskolumn</x:v>
      </x:c>
      <x:c r="D5" s="911" t="str">
        <x:v>Word</x:v>
      </x:c>
      <x:c r="E5" s="911" t="str">
        <x:v>Kort beskrivning av texten/raden i Word.</x:v>
      </x:c>
      <x:c r="F5" s="913" t="str">
        <x:v>Ja</x:v>
      </x:c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E</x:v>
      </x:c>
      <x:c r="B6" s="911" t="str">
        <x:v>Status</x:v>
      </x:c>
      <x:c r="C6" s="911" t="str">
        <x:v>Arbetskolumn</x:v>
      </x:c>
      <x:c r="D6" s="911" t="str">
        <x:v>Projektet</x:v>
      </x:c>
      <x:c r="E6" s="911" t="str">
        <x:v>Saknas i EDP, osäker, åtgärdad, etc.</x:v>
      </x:c>
      <x:c r="F6" s="913" t="str">
        <x:v>Ja</x:v>
      </x:c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F</x:v>
      </x:c>
      <x:c r="B7" s="911" t="str">
        <x:v>Matchmetod</x:v>
      </x:c>
      <x:c r="C7" s="911" t="str">
        <x:v>Arbetskolumn</x:v>
      </x:c>
      <x:c r="D7" s="911" t="str">
        <x:v>Projektet</x:v>
      </x:c>
      <x:c r="E7" s="911" t="str">
        <x:v>Hur förslaget togs fram: strTaxebenamning, strTaxedelAvser, kodregel, etc.</x:v>
      </x:c>
      <x:c r="F7" s="913" t="str">
        <x:v>Ja</x:v>
      </x:c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G</x:v>
      </x:c>
      <x:c r="B8" s="911" t="str">
        <x:v>FöreslagenTaxekod</x:v>
      </x:c>
      <x:c r="C8" s="911" t="str">
        <x:v>Förslag</x:v>
      </x:c>
      <x:c r="D8" s="911" t="str">
        <x:v>Taxekod_Tolkning/projektregler</x:v>
      </x:c>
      <x:c r="E8" s="911" t="str">
        <x:v>Taxekod som föreslås om ingen bekräftad EDP-kod finns.</x:v>
      </x:c>
      <x:c r="F8" s="913" t="str">
        <x:v>Ja</x:v>
      </x:c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H</x:v>
      </x:c>
      <x:c r="B9" s="911" t="str">
        <x:v>intRecnum</x:v>
      </x:c>
      <x:c r="C9" s="911" t="str">
        <x:v>Arbetsnyckel</x:v>
      </x:c>
      <x:c r="D9" s="911" t="str">
        <x:v>Taxepunkter</x:v>
      </x:c>
      <x:c r="E9" s="911" t="str">
        <x:v>Ska vara radnumret i Taxepunkter, inte EDP:s intRecnum.</x:v>
      </x:c>
      <x:c r="F9" s="913" t="str">
        <x:v>Ja</x:v>
      </x:c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str">
        <x:v>I</x:v>
      </x:c>
      <x:c r="B10" s="911" t="str">
        <x:v>Taxepunkt</x:v>
      </x:c>
      <x:c r="C10" s="911" t="str">
        <x:v>Arbetskolumn</x:v>
      </x:c>
      <x:c r="D10" s="911" t="str">
        <x:v>Taxepunkter</x:v>
      </x:c>
      <x:c r="E10" s="911" t="str">
        <x:v>Paragrafnamn / Taxapunkt.</x:v>
      </x:c>
      <x:c r="F10" s="913" t="str">
        <x:v>Ja</x:v>
      </x:c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str">
        <x:v>J:Y</x:v>
      </x:c>
      <x:c r="B11" s="911" t="str">
        <x:v>EDP-kolumner</x:v>
      </x:c>
      <x:c r="C11" s="911" t="str">
        <x:v>Importstruktur</x:v>
      </x:c>
      <x:c r="D11" s="911" t="str">
        <x:v>Taxa_från_edp</x:v>
      </x:c>
      <x:c r="E11" s="911" t="str">
        <x:v>Samma struktur som Taxa_från_edp för att kunna skapa/importera nya taxor.</x:v>
      </x:c>
      <x:c r="F11" s="913" t="str">
        <x:v>Ja, men följ EDP-format</x:v>
      </x:c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1"/>
      <x:c r="D12" s="911"/>
      <x:c r="E12" s="911"/>
      <x:c r="F12" s="913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897" t="str">
        <x:v>Automationsmall</x:v>
      </x:c>
      <x:c r="B13" s="892" t="str">
        <x:v>Rad 72:200</x:v>
      </x:c>
      <x:c r="C13" s="892" t="str">
        <x:v>Typ</x:v>
      </x:c>
      <x:c r="D13" s="892" t="str">
        <x:v>Källa/beroende</x:v>
      </x:c>
      <x:c r="E13" s="892" t="str">
        <x:v>Regel/användning</x:v>
      </x:c>
      <x:c r="F13" s="898" t="str">
        <x:v>Får ändras manuellt</x:v>
      </x:c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 t="str">
        <x:v>Input 1</x:v>
      </x:c>
      <x:c r="B14" s="911" t="str">
        <x:v>Rad i Taxepunkter</x:v>
      </x:c>
      <x:c r="C14" s="911" t="str">
        <x:v>Manuell</x:v>
      </x:c>
      <x:c r="D14" s="911" t="str">
        <x:v>Taxepunkter</x:v>
      </x:c>
      <x:c r="E14" s="911" t="str">
        <x:v>Fyll kolumn C med radnummer från Taxepunkter.</x:v>
      </x:c>
      <x:c r="F14" s="913" t="str">
        <x:v>Ja</x:v>
      </x:c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 t="str">
        <x:v>Input 2</x:v>
      </x:c>
      <x:c r="B15" s="911" t="str">
        <x:v>FöreslagenTaxekod</x:v>
      </x:c>
      <x:c r="C15" s="911" t="str">
        <x:v>Manuell</x:v>
      </x:c>
      <x:c r="D15" s="911" t="str">
        <x:v>Kodregler</x:v>
      </x:c>
      <x:c r="E15" s="911" t="str">
        <x:v>Fyll kolumn G med föreslagen taxekod.</x:v>
      </x:c>
      <x:c r="F15" s="913" t="str">
        <x:v>Ja</x:v>
      </x:c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 t="str">
        <x:v>Automatiskt</x:v>
      </x:c>
      <x:c r="B16" s="911" t="str">
        <x:v>Övriga fält</x:v>
      </x:c>
      <x:c r="C16" s="911" t="str">
        <x:v>Formler</x:v>
      </x:c>
      <x:c r="D16" s="911" t="str">
        <x:v>Taxepunkter + standardvärden</x:v>
      </x:c>
      <x:c r="E16" s="911" t="str">
        <x:v>Kolumner A, D:F, H:Y fylls automatiskt utifrån C och G.</x:v>
      </x:c>
      <x:c r="F16" s="913" t="str">
        <x:v>Nej/vid behov</x:v>
      </x:c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1"/>
      <x:c r="D17" s="911"/>
      <x:c r="E17" s="911"/>
      <x:c r="F17" s="913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1"/>
      <x:c r="D18" s="911"/>
      <x:c r="E18" s="911"/>
      <x:c r="F18" s="913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1"/>
      <x:c r="D19" s="911"/>
      <x:c r="E19" s="911"/>
      <x:c r="F19" s="913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2"/>
      <x:c r="B20" s="911"/>
      <x:c r="C20" s="911"/>
      <x:c r="D20" s="911"/>
      <x:c r="E20" s="911"/>
      <x:c r="F20" s="913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912"/>
      <x:c r="B21" s="911"/>
      <x:c r="C21" s="911"/>
      <x:c r="D21" s="911"/>
      <x:c r="E21" s="911"/>
      <x:c r="F21" s="913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912"/>
      <x:c r="B22" s="911"/>
      <x:c r="C22" s="911"/>
      <x:c r="D22" s="911"/>
      <x:c r="E22" s="911"/>
      <x:c r="F22" s="913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912"/>
      <x:c r="B23" s="911"/>
      <x:c r="C23" s="911"/>
      <x:c r="D23" s="911"/>
      <x:c r="E23" s="911"/>
      <x:c r="F23" s="913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912"/>
      <x:c r="B24" s="911"/>
      <x:c r="C24" s="911"/>
      <x:c r="D24" s="911"/>
      <x:c r="E24" s="911"/>
      <x:c r="F24" s="913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912"/>
      <x:c r="B25" s="911"/>
      <x:c r="C25" s="911"/>
      <x:c r="D25" s="911"/>
      <x:c r="E25" s="911"/>
      <x:c r="F25" s="913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912"/>
      <x:c r="B26" s="911"/>
      <x:c r="C26" s="911"/>
      <x:c r="D26" s="911"/>
      <x:c r="E26" s="911"/>
      <x:c r="F26" s="913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912"/>
      <x:c r="B27" s="911"/>
      <x:c r="C27" s="911"/>
      <x:c r="D27" s="911"/>
      <x:c r="E27" s="911"/>
      <x:c r="F27" s="913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912"/>
      <x:c r="B28" s="911"/>
      <x:c r="C28" s="911"/>
      <x:c r="D28" s="911"/>
      <x:c r="E28" s="911"/>
      <x:c r="F28" s="913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912"/>
      <x:c r="B29" s="911"/>
      <x:c r="C29" s="911"/>
      <x:c r="D29" s="911"/>
      <x:c r="E29" s="911"/>
      <x:c r="F29" s="913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914"/>
      <x:c r="B30" s="916"/>
      <x:c r="C30" s="916"/>
      <x:c r="D30" s="916"/>
      <x:c r="E30" s="916"/>
      <x:c r="F30" s="91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90" hidden="0" customWidth="1"/>
  </x:cols>
  <x:sheetData>
    <x:row r="1">
      <x:c r="A1" s="934" t="str">
        <x:v>Kolumn</x:v>
      </x:c>
      <x:c r="B1" s="935" t="str">
        <x:v>Rubrik</x:v>
      </x:c>
      <x:c r="C1" s="935" t="str">
        <x:v>Användning i projektet</x:v>
      </x:c>
      <x:c r="D1" s="952" t="str">
        <x:v>Regel</x:v>
      </x:c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A</x:v>
      </x:c>
      <x:c r="B2" s="911" t="str">
        <x:v>intRecnum</x:v>
      </x:c>
      <x:c r="C2" s="911" t="str">
        <x:v>EDP:s interna rad-ID</x:v>
      </x:c>
      <x:c r="D2" s="913" t="str">
        <x:v>Läses som källdata men används inte som nyckel i Taxa_Saknas.</x:v>
      </x:c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B</x:v>
      </x:c>
      <x:c r="B3" s="911" t="str">
        <x:v>strTaxekod</x:v>
      </x:c>
      <x:c r="C3" s="911" t="str">
        <x:v>Primär nyckel för bekräftade taxor</x:v>
      </x:c>
      <x:c r="D3" s="913" t="str">
        <x:v>Taxakod i Taxepunkter måste vara exakt värdet härifrån.</x:v>
      </x:c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C</x:v>
      </x:c>
      <x:c r="B4" s="911" t="str">
        <x:v>strTaxebenamning</x:v>
      </x:c>
      <x:c r="C4" s="911" t="str">
        <x:v>Matchning och dokumentation</x:v>
      </x:c>
      <x:c r="D4" s="913" t="str">
        <x:v>Kontrolleras alltid innan nya taxor föreslås.</x:v>
      </x:c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D</x:v>
      </x:c>
      <x:c r="B5" s="911" t="str">
        <x:v>strProdukt</x:v>
      </x:c>
      <x:c r="C5" s="911" t="str">
        <x:v>EDP-produkt</x:v>
      </x:c>
      <x:c r="D5" s="913" t="str">
        <x:v>Behålls vid förslag i Taxa_Saknas där möjligt.</x:v>
      </x:c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E</x:v>
      </x:c>
      <x:c r="B6" s="911" t="str">
        <x:v>strDelProdukt</x:v>
      </x:c>
      <x:c r="C6" s="911" t="str">
        <x:v>EDP-delprodukt</x:v>
      </x:c>
      <x:c r="D6" s="913" t="str">
        <x:v>Används för kategori, t.ex. HUSH, ÅVC, SLAM.</x:v>
      </x:c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F</x:v>
      </x:c>
      <x:c r="B7" s="911" t="str">
        <x:v>bytDelradnr</x:v>
      </x:c>
      <x:c r="C7" s="911" t="str">
        <x:v>Delrad i EDP-taxa</x:v>
      </x:c>
      <x:c r="D7" s="913" t="str">
        <x:v>Nya föreslagna taxor får ofta 1 om endast en grundrad skapas.</x:v>
      </x:c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G</x:v>
      </x:c>
      <x:c r="B8" s="911" t="str">
        <x:v>strFaktor</x:v>
      </x:c>
      <x:c r="C8" s="911" t="str">
        <x:v>Faktor/beräkningsgrund</x:v>
      </x:c>
      <x:c r="D8" s="913" t="str">
        <x:v>Tolkning hämtas från Källa_Kvantitetskoder och Taxekod_Tolkning.</x:v>
      </x:c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H</x:v>
      </x:c>
      <x:c r="B9" s="911" t="str">
        <x:v>strTaxedelAvser</x:v>
      </x:c>
      <x:c r="C9" s="911" t="str">
        <x:v>Viktig matchningskolumn</x:v>
      </x:c>
      <x:c r="D9" s="913" t="str">
        <x:v>Används före frågor ställs. Ofta tydligast för vad delraden avser.</x:v>
      </x:c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str">
        <x:v>K</x:v>
      </x:c>
      <x:c r="B10" s="911" t="str">
        <x:v>curNuvarandePris</x:v>
      </x:c>
      <x:c r="C10" s="911" t="str">
        <x:v>Aktuellt pris exkl. moms</x:v>
      </x:c>
      <x:c r="D10" s="913" t="str">
        <x:v>Enda källa till Aktuellt pris i Taxepunkter. Får inte ändras manuellt.</x:v>
      </x:c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str">
        <x:v>Q</x:v>
      </x:c>
      <x:c r="B11" s="911" t="str">
        <x:v>strFormel</x:v>
      </x:c>
      <x:c r="C11" s="911" t="str">
        <x:v>Beräkningsformel/faktor</x:v>
      </x:c>
      <x:c r="D11" s="913" t="str">
        <x:v>Används för att förstå enhet och beräkning, t.ex. ANTB, VIKG, DR10.</x:v>
      </x:c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1"/>
      <x:c r="D12" s="913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/>
      <x:c r="B13" s="911"/>
      <x:c r="C13" s="911"/>
      <x:c r="D13" s="913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/>
      <x:c r="B14" s="911"/>
      <x:c r="C14" s="911"/>
      <x:c r="D14" s="913"/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/>
      <x:c r="B15" s="911"/>
      <x:c r="C15" s="911"/>
      <x:c r="D15" s="913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1"/>
      <x:c r="D16" s="913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1"/>
      <x:c r="D17" s="913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1"/>
      <x:c r="D18" s="913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1"/>
      <x:c r="D19" s="913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4"/>
      <x:c r="B20" s="916"/>
      <x:c r="C20" s="916"/>
      <x:c r="D20" s="91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90" hidden="0" customWidth="1"/>
    <x:col min="4" max="4" width="20" hidden="0" customWidth="1"/>
  </x:cols>
  <x:sheetData>
    <x:row r="1">
      <x:c r="A1" s="934" t="str">
        <x:v>Kontrollpunkt</x:v>
      </x:c>
      <x:c r="B1" s="935" t="str">
        <x:v>Resultat</x:v>
      </x:c>
      <x:c r="C1" s="935" t="str">
        <x:v>Åtgärd/kommentar</x:v>
      </x:c>
      <x:c r="D1" s="952" t="str">
        <x:v>Status</x:v>
      </x:c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282"/>
      <x:c r="P1" s="282"/>
      <x:c r="Q1" s="282"/>
      <x:c r="R1" s="282"/>
      <x:c r="S1" s="282"/>
      <x:c r="T1" s="282"/>
      <x:c r="U1" s="282"/>
      <x:c r="V1" s="282"/>
      <x:c r="W1" s="282"/>
      <x:c r="X1" s="282"/>
      <x:c r="Y1" s="282"/>
      <x:c r="Z1" s="282"/>
    </x:row>
    <x:row r="2">
      <x:c r="A2" s="912" t="str">
        <x:v>Flikstruktur</x:v>
      </x:c>
      <x:c r="B2" s="911" t="str">
        <x:v>Inventerad</x:v>
      </x:c>
      <x:c r="C2" s="911" t="str">
        <x:v>Flikarna är klassade i dokumentationsflikar, importflikar, arbetsflikar och rapportflikar.</x:v>
      </x:c>
      <x:c r="D2" s="913" t="str">
        <x:v>OK</x:v>
      </x:c>
      <x:c r="E2" s="225"/>
      <x:c r="F2" s="225"/>
      <x:c r="G2" s="225"/>
      <x:c r="H2" s="225"/>
      <x:c r="I2" s="225"/>
      <x:c r="J2" s="225"/>
      <x:c r="K2" s="225"/>
      <x:c r="L2" s="225"/>
      <x:c r="M2" s="225"/>
      <x:c r="N2" s="225"/>
      <x:c r="O2" s="225"/>
      <x:c r="P2" s="225"/>
      <x:c r="Q2" s="225"/>
      <x:c r="R2" s="225"/>
      <x:c r="S2" s="225"/>
      <x:c r="T2" s="225"/>
      <x:c r="U2" s="225"/>
      <x:c r="V2" s="225"/>
      <x:c r="W2" s="225"/>
      <x:c r="X2" s="225"/>
      <x:c r="Y2" s="225"/>
      <x:c r="Z2" s="225"/>
    </x:row>
    <x:row r="3">
      <x:c r="A3" s="912" t="str">
        <x:v>Formler</x:v>
      </x:c>
      <x:c r="B3" s="911" t="str">
        <x:v>Översiktligt kontrollerad</x:v>
      </x:c>
      <x:c r="C3" s="911" t="str">
        <x:v>Ingen #REF! hittad. #NAME? kan visas i artifact_tool pga XLOOKUP/evalueringsstöd men formler finns kvar.</x:v>
      </x:c>
      <x:c r="D3" s="913" t="str">
        <x:v>OK</x:v>
      </x:c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</x:row>
    <x:row r="4">
      <x:c r="A4" s="912" t="str">
        <x:v>Taxepunkter kolumnstruktur</x:v>
      </x:c>
      <x:c r="B4" s="911" t="str">
        <x:v>Kontrollerad</x:v>
      </x:c>
      <x:c r="C4" s="911" t="str">
        <x:v>A:N används med Taxakod, Föreslagen Taxa, Aktuellt pris och Föreslaget pris.</x:v>
      </x:c>
      <x:c r="D4" s="913" t="str">
        <x:v>OK</x:v>
      </x:c>
      <x:c r="E4" s="225"/>
      <x:c r="F4" s="225"/>
      <x:c r="G4" s="225"/>
      <x:c r="H4" s="225"/>
      <x:c r="I4" s="225"/>
      <x:c r="J4" s="225"/>
      <x:c r="K4" s="225"/>
      <x:c r="L4" s="225"/>
      <x:c r="M4" s="225"/>
      <x:c r="N4" s="225"/>
      <x:c r="O4" s="225"/>
      <x:c r="P4" s="225"/>
      <x:c r="Q4" s="225"/>
      <x:c r="R4" s="225"/>
      <x:c r="S4" s="225"/>
      <x:c r="T4" s="225"/>
      <x:c r="U4" s="225"/>
      <x:c r="V4" s="225"/>
      <x:c r="W4" s="225"/>
      <x:c r="X4" s="225"/>
      <x:c r="Y4" s="225"/>
      <x:c r="Z4" s="225"/>
    </x:row>
    <x:row r="5">
      <x:c r="A5" s="912" t="str">
        <x:v>Taxa_Saknas struktur</x:v>
      </x:c>
      <x:c r="B5" s="911" t="str">
        <x:v>Kontrollerad</x:v>
      </x:c>
      <x:c r="C5" s="911" t="str">
        <x:v>Arbetskolumner + EDP-kolumner är dokumenterade.</x:v>
      </x:c>
      <x:c r="D5" s="913" t="str">
        <x:v>OK</x:v>
      </x:c>
      <x:c r="E5" s="225"/>
      <x:c r="F5" s="225"/>
      <x:c r="G5" s="225"/>
      <x:c r="H5" s="225"/>
      <x:c r="I5" s="225"/>
      <x:c r="J5" s="225"/>
      <x:c r="K5" s="225"/>
      <x:c r="L5" s="225"/>
      <x:c r="M5" s="225"/>
      <x:c r="N5" s="225"/>
      <x:c r="O5" s="225"/>
      <x:c r="P5" s="225"/>
      <x:c r="Q5" s="225"/>
      <x:c r="R5" s="225"/>
      <x:c r="S5" s="225"/>
      <x:c r="T5" s="225"/>
      <x:c r="U5" s="225"/>
      <x:c r="V5" s="225"/>
      <x:c r="W5" s="225"/>
      <x:c r="X5" s="225"/>
      <x:c r="Y5" s="225"/>
      <x:c r="Z5" s="225"/>
    </x:row>
    <x:row r="6">
      <x:c r="A6" s="912" t="str">
        <x:v>Kostnadsfria rader</x:v>
      </x:c>
      <x:c r="B6" s="911" t="str">
        <x:v>Åtgärdad</x:v>
      </x:c>
      <x:c r="C6" s="911" t="str">
        <x:v>Tre saknade kostnadsfria rader är tillagda i Taxepunkter och Taxa_Saknas.</x:v>
      </x:c>
      <x:c r="D6" s="913" t="str">
        <x:v>OK</x:v>
      </x:c>
      <x:c r="E6" s="225"/>
      <x:c r="F6" s="225"/>
      <x:c r="G6" s="225"/>
      <x:c r="H6" s="225"/>
      <x:c r="I6" s="225"/>
      <x:c r="J6" s="225"/>
      <x:c r="K6" s="225"/>
      <x:c r="L6" s="225"/>
      <x:c r="M6" s="225"/>
      <x:c r="N6" s="225"/>
      <x:c r="O6" s="225"/>
      <x:c r="P6" s="225"/>
      <x:c r="Q6" s="225"/>
      <x:c r="R6" s="225"/>
      <x:c r="S6" s="225"/>
      <x:c r="T6" s="225"/>
      <x:c r="U6" s="225"/>
      <x:c r="V6" s="225"/>
      <x:c r="W6" s="225"/>
      <x:c r="X6" s="225"/>
      <x:c r="Y6" s="225"/>
      <x:c r="Z6" s="225"/>
    </x:row>
    <x:row r="7">
      <x:c r="A7" s="912" t="str">
        <x:v>Aktuellt pris</x:v>
      </x:c>
      <x:c r="B7" s="911" t="str">
        <x:v>Regel dokumenterad</x:v>
      </x:c>
      <x:c r="C7" s="911" t="str">
        <x:v>Aktuellt pris hämtas endast från Taxa_från_edp.</x:v>
      </x:c>
      <x:c r="D7" s="913" t="str">
        <x:v>OK</x:v>
      </x:c>
      <x:c r="E7" s="225"/>
      <x:c r="F7" s="225"/>
      <x:c r="G7" s="225"/>
      <x:c r="H7" s="225"/>
      <x:c r="I7" s="225"/>
      <x:c r="J7" s="225"/>
      <x:c r="K7" s="225"/>
      <x:c r="L7" s="225"/>
      <x:c r="M7" s="225"/>
      <x:c r="N7" s="225"/>
      <x:c r="O7" s="225"/>
      <x:c r="P7" s="225"/>
      <x:c r="Q7" s="225"/>
      <x:c r="R7" s="225"/>
      <x:c r="S7" s="225"/>
      <x:c r="T7" s="225"/>
      <x:c r="U7" s="225"/>
      <x:c r="V7" s="225"/>
      <x:c r="W7" s="225"/>
      <x:c r="X7" s="225"/>
      <x:c r="Y7" s="225"/>
      <x:c r="Z7" s="225"/>
    </x:row>
    <x:row r="8">
      <x:c r="A8" s="912" t="str">
        <x:v>DH-priser</x:v>
      </x:c>
      <x:c r="B8" s="911" t="str">
        <x:v>Regel dokumenterad</x:v>
      </x:c>
      <x:c r="C8" s="911" t="str">
        <x:v>Källa_Prislista_DH får bara användas för detaljhandel.</x:v>
      </x:c>
      <x:c r="D8" s="913" t="str">
        <x:v>OK</x:v>
      </x:c>
      <x:c r="E8" s="225"/>
      <x:c r="F8" s="225"/>
      <x:c r="G8" s="225"/>
      <x:c r="H8" s="225"/>
      <x:c r="I8" s="225"/>
      <x:c r="J8" s="225"/>
      <x:c r="K8" s="225"/>
      <x:c r="L8" s="225"/>
      <x:c r="M8" s="225"/>
      <x:c r="N8" s="225"/>
      <x:c r="O8" s="225"/>
      <x:c r="P8" s="225"/>
      <x:c r="Q8" s="225"/>
      <x:c r="R8" s="225"/>
      <x:c r="S8" s="225"/>
      <x:c r="T8" s="225"/>
      <x:c r="U8" s="225"/>
      <x:c r="V8" s="225"/>
      <x:c r="W8" s="225"/>
      <x:c r="X8" s="225"/>
      <x:c r="Y8" s="225"/>
      <x:c r="Z8" s="225"/>
    </x:row>
    <x:row r="9">
      <x:c r="A9" s="912" t="str">
        <x:v>Färgstandard</x:v>
      </x:c>
      <x:c r="B9" s="911" t="str">
        <x:v>Skapad</x:v>
      </x:c>
      <x:c r="C9" s="911" t="str">
        <x:v>Färgstandard-flik finns och färger är tillämpade på centrala flikar.</x:v>
      </x:c>
      <x:c r="D9" s="913" t="str">
        <x:v>OK</x:v>
      </x:c>
      <x:c r="E9" s="225"/>
      <x:c r="F9" s="225"/>
      <x:c r="G9" s="225"/>
      <x:c r="H9" s="225"/>
      <x:c r="I9" s="225"/>
      <x:c r="J9" s="225"/>
      <x:c r="K9" s="225"/>
      <x:c r="L9" s="225"/>
      <x:c r="M9" s="225"/>
      <x:c r="N9" s="225"/>
      <x:c r="O9" s="225"/>
      <x:c r="P9" s="225"/>
      <x:c r="Q9" s="225"/>
      <x:c r="R9" s="225"/>
      <x:c r="S9" s="225"/>
      <x:c r="T9" s="225"/>
      <x:c r="U9" s="225"/>
      <x:c r="V9" s="225"/>
      <x:c r="W9" s="225"/>
      <x:c r="X9" s="225"/>
      <x:c r="Y9" s="225"/>
      <x:c r="Z9" s="225"/>
    </x:row>
    <x:row r="10">
      <x:c r="A10" s="912" t="str">
        <x:v>Datavalidering</x:v>
      </x:c>
      <x:c r="B10" s="911" t="str">
        <x:v>Ej fullrevision</x:v>
      </x:c>
      <x:c r="C10" s="911" t="str">
        <x:v>Dropdown i Taxakod bör kontrolleras mer detaljerat i nästa revision.</x:v>
      </x:c>
      <x:c r="D10" s="913" t="str">
        <x:v>Nästa revision</x:v>
      </x:c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  <x:c r="Q10" s="225"/>
      <x:c r="R10" s="225"/>
      <x:c r="S10" s="225"/>
      <x:c r="T10" s="225"/>
      <x:c r="U10" s="225"/>
      <x:c r="V10" s="225"/>
      <x:c r="W10" s="225"/>
      <x:c r="X10" s="225"/>
      <x:c r="Y10" s="225"/>
      <x:c r="Z10" s="225"/>
    </x:row>
    <x:row r="11">
      <x:c r="A11" s="912" t="str">
        <x:v>Villkorsstyrd formatering</x:v>
      </x:c>
      <x:c r="B11" s="911" t="str">
        <x:v>Ej fullrevision</x:v>
      </x:c>
      <x:c r="C11" s="911" t="str">
        <x:v>Inventeras i nästa tekniska revision vid behov.</x:v>
      </x:c>
      <x:c r="D11" s="913" t="str">
        <x:v>Nästa revision</x:v>
      </x:c>
      <x:c r="E11" s="225"/>
      <x:c r="F11" s="225"/>
      <x:c r="G11" s="225"/>
      <x:c r="H11" s="225"/>
      <x:c r="I11" s="225"/>
      <x:c r="J11" s="225"/>
      <x:c r="K11" s="225"/>
      <x:c r="L11" s="225"/>
      <x:c r="M11" s="225"/>
      <x:c r="N11" s="225"/>
      <x:c r="O11" s="225"/>
      <x:c r="P11" s="225"/>
      <x:c r="Q11" s="225"/>
      <x:c r="R11" s="225"/>
      <x:c r="S11" s="225"/>
      <x:c r="T11" s="225"/>
      <x:c r="U11" s="225"/>
      <x:c r="V11" s="225"/>
      <x:c r="W11" s="225"/>
      <x:c r="X11" s="225"/>
      <x:c r="Y11" s="225"/>
      <x:c r="Z11" s="225"/>
    </x:row>
    <x:row r="12">
      <x:c r="A12" s="912"/>
      <x:c r="B12" s="911"/>
      <x:c r="C12" s="911"/>
      <x:c r="D12" s="913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</x:row>
    <x:row r="13">
      <x:c r="A13" s="912" t="str">
        <x:v>Underrubriker i Taxepunkter</x:v>
      </x:c>
      <x:c r="B13" s="911" t="str">
        <x:v>Åtgärdad</x:v>
      </x:c>
      <x:c r="C13" s="911" t="str">
        <x:v>Rader med endast text i kolumn A har formaterats som sammanslagna underrubriker A:E.</x:v>
      </x:c>
      <x:c r="D13" s="913" t="str">
        <x:v>OK</x:v>
      </x:c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5"/>
      <x:c r="P13" s="225"/>
      <x:c r="Q13" s="225"/>
      <x:c r="R13" s="225"/>
      <x:c r="S13" s="225"/>
      <x:c r="T13" s="225"/>
      <x:c r="U13" s="225"/>
      <x:c r="V13" s="225"/>
      <x:c r="W13" s="225"/>
      <x:c r="X13" s="225"/>
      <x:c r="Y13" s="225"/>
      <x:c r="Z13" s="225"/>
    </x:row>
    <x:row r="14">
      <x:c r="A14" s="912" t="str">
        <x:v>Taxerader A:E</x:v>
      </x:c>
      <x:c r="B14" s="911" t="str">
        <x:v>Åtgärdad</x:v>
      </x:c>
      <x:c r="C14" s="911" t="str">
        <x:v>Vanliga taxerader har vit bakgrund i A:E.</x:v>
      </x:c>
      <x:c r="D14" s="913" t="str">
        <x:v>OK</x:v>
      </x:c>
      <x:c r="E14" s="225"/>
      <x:c r="F14" s="225"/>
      <x:c r="G14" s="225"/>
      <x:c r="H14" s="225"/>
      <x:c r="I14" s="225"/>
      <x:c r="J14" s="225"/>
      <x:c r="K14" s="225"/>
      <x:c r="L14" s="225"/>
      <x:c r="M14" s="225"/>
      <x:c r="N14" s="225"/>
      <x:c r="O14" s="225"/>
      <x:c r="P14" s="225"/>
      <x:c r="Q14" s="225"/>
      <x:c r="R14" s="225"/>
      <x:c r="S14" s="225"/>
      <x:c r="T14" s="225"/>
      <x:c r="U14" s="225"/>
      <x:c r="V14" s="225"/>
      <x:c r="W14" s="225"/>
      <x:c r="X14" s="225"/>
      <x:c r="Y14" s="225"/>
      <x:c r="Z14" s="225"/>
    </x:row>
    <x:row r="15">
      <x:c r="A15" s="912"/>
      <x:c r="B15" s="911"/>
      <x:c r="C15" s="911"/>
      <x:c r="D15" s="913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225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</x:row>
    <x:row r="16">
      <x:c r="A16" s="912"/>
      <x:c r="B16" s="911"/>
      <x:c r="C16" s="911"/>
      <x:c r="D16" s="913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225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</x:row>
    <x:row r="17">
      <x:c r="A17" s="912"/>
      <x:c r="B17" s="911"/>
      <x:c r="C17" s="911"/>
      <x:c r="D17" s="913"/>
      <x:c r="E17" s="225"/>
      <x:c r="F17" s="225"/>
      <x:c r="G17" s="225"/>
      <x:c r="H17" s="225"/>
      <x:c r="I17" s="225"/>
      <x:c r="J17" s="225"/>
      <x:c r="K17" s="225"/>
      <x:c r="L17" s="225"/>
      <x:c r="M17" s="225"/>
      <x:c r="N17" s="225"/>
      <x:c r="O17" s="225"/>
      <x:c r="P17" s="225"/>
      <x:c r="Q17" s="225"/>
      <x:c r="R17" s="225"/>
      <x:c r="S17" s="225"/>
      <x:c r="T17" s="225"/>
      <x:c r="U17" s="225"/>
      <x:c r="V17" s="225"/>
      <x:c r="W17" s="225"/>
      <x:c r="X17" s="225"/>
      <x:c r="Y17" s="225"/>
      <x:c r="Z17" s="225"/>
    </x:row>
    <x:row r="18">
      <x:c r="A18" s="912"/>
      <x:c r="B18" s="911"/>
      <x:c r="C18" s="911"/>
      <x:c r="D18" s="913"/>
      <x:c r="E18" s="225"/>
      <x:c r="F18" s="225"/>
      <x:c r="G18" s="225"/>
      <x:c r="H18" s="225"/>
      <x:c r="I18" s="225"/>
      <x:c r="J18" s="225"/>
      <x:c r="K18" s="225"/>
      <x:c r="L18" s="225"/>
      <x:c r="M18" s="225"/>
      <x:c r="N18" s="225"/>
      <x:c r="O18" s="225"/>
      <x:c r="P18" s="225"/>
      <x:c r="Q18" s="225"/>
      <x:c r="R18" s="225"/>
      <x:c r="S18" s="225"/>
      <x:c r="T18" s="225"/>
      <x:c r="U18" s="225"/>
      <x:c r="V18" s="225"/>
      <x:c r="W18" s="225"/>
      <x:c r="X18" s="225"/>
      <x:c r="Y18" s="225"/>
      <x:c r="Z18" s="225"/>
    </x:row>
    <x:row r="19">
      <x:c r="A19" s="912"/>
      <x:c r="B19" s="911"/>
      <x:c r="C19" s="911"/>
      <x:c r="D19" s="913"/>
      <x:c r="E19" s="225"/>
      <x:c r="F19" s="225"/>
      <x:c r="G19" s="225"/>
      <x:c r="H19" s="225"/>
      <x:c r="I19" s="225"/>
      <x:c r="J19" s="225"/>
      <x:c r="K19" s="225"/>
      <x:c r="L19" s="225"/>
      <x:c r="M19" s="225"/>
      <x:c r="N19" s="225"/>
      <x:c r="O19" s="225"/>
      <x:c r="P19" s="225"/>
      <x:c r="Q19" s="225"/>
      <x:c r="R19" s="225"/>
      <x:c r="S19" s="225"/>
      <x:c r="T19" s="225"/>
      <x:c r="U19" s="225"/>
      <x:c r="V19" s="225"/>
      <x:c r="W19" s="225"/>
      <x:c r="X19" s="225"/>
      <x:c r="Y19" s="225"/>
      <x:c r="Z19" s="225"/>
    </x:row>
    <x:row r="20">
      <x:c r="A20" s="914"/>
      <x:c r="B20" s="916"/>
      <x:c r="C20" s="916"/>
      <x:c r="D20" s="915"/>
      <x:c r="E20" s="225"/>
      <x:c r="F20" s="225"/>
      <x:c r="G20" s="225"/>
      <x:c r="H20" s="225"/>
      <x:c r="I20" s="225"/>
      <x:c r="J20" s="225"/>
      <x:c r="K20" s="225"/>
      <x:c r="L20" s="225"/>
      <x:c r="M20" s="225"/>
      <x:c r="N20" s="225"/>
      <x:c r="O20" s="225"/>
      <x:c r="P20" s="225"/>
      <x:c r="Q20" s="225"/>
      <x:c r="R20" s="225"/>
      <x:c r="S20" s="225"/>
      <x:c r="T20" s="225"/>
      <x:c r="U20" s="225"/>
      <x:c r="V20" s="225"/>
      <x:c r="W20" s="225"/>
      <x:c r="X20" s="225"/>
      <x:c r="Y20" s="225"/>
      <x:c r="Z20" s="225"/>
    </x:row>
    <x:row r="21">
      <x:c r="A21" s="225"/>
      <x:c r="B21" s="225"/>
      <x:c r="C21" s="225"/>
      <x:c r="D21" s="225"/>
      <x:c r="E21" s="225"/>
      <x:c r="F21" s="225"/>
      <x:c r="G21" s="225"/>
      <x:c r="H21" s="225"/>
      <x:c r="I21" s="225"/>
      <x:c r="J21" s="225"/>
      <x:c r="K21" s="225"/>
      <x:c r="L21" s="225"/>
      <x:c r="M21" s="225"/>
      <x:c r="N21" s="225"/>
      <x:c r="O21" s="225"/>
      <x:c r="P21" s="225"/>
      <x:c r="Q21" s="225"/>
      <x:c r="R21" s="225"/>
      <x:c r="S21" s="225"/>
      <x:c r="T21" s="225"/>
      <x:c r="U21" s="225"/>
      <x:c r="V21" s="225"/>
      <x:c r="W21" s="225"/>
      <x:c r="X21" s="225"/>
      <x:c r="Y21" s="225"/>
      <x:c r="Z21" s="225"/>
    </x:row>
    <x:row r="22">
      <x:c r="A22" s="225"/>
      <x:c r="B22" s="225"/>
      <x:c r="C22" s="225"/>
      <x:c r="D22" s="225"/>
      <x:c r="E22" s="225"/>
      <x:c r="F22" s="225"/>
      <x:c r="G22" s="225"/>
      <x:c r="H22" s="225"/>
      <x:c r="I22" s="225"/>
      <x:c r="J22" s="225"/>
      <x:c r="K22" s="225"/>
      <x:c r="L22" s="225"/>
      <x:c r="M22" s="225"/>
      <x:c r="N22" s="225"/>
      <x:c r="O22" s="225"/>
      <x:c r="P22" s="225"/>
      <x:c r="Q22" s="225"/>
      <x:c r="R22" s="225"/>
      <x:c r="S22" s="225"/>
      <x:c r="T22" s="225"/>
      <x:c r="U22" s="225"/>
      <x:c r="V22" s="225"/>
      <x:c r="W22" s="225"/>
      <x:c r="X22" s="225"/>
      <x:c r="Y22" s="225"/>
      <x:c r="Z22" s="225"/>
    </x:row>
    <x:row r="23">
      <x:c r="A23" s="225"/>
      <x:c r="B23" s="225"/>
      <x:c r="C23" s="225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5"/>
      <x:c r="P23" s="225"/>
      <x:c r="Q23" s="225"/>
      <x:c r="R23" s="225"/>
      <x:c r="S23" s="225"/>
      <x:c r="T23" s="225"/>
      <x:c r="U23" s="225"/>
      <x:c r="V23" s="225"/>
      <x:c r="W23" s="225"/>
      <x:c r="X23" s="225"/>
      <x:c r="Y23" s="225"/>
      <x:c r="Z23" s="225"/>
    </x:row>
    <x:row r="24">
      <x:c r="A24" s="225"/>
      <x:c r="B24" s="225"/>
      <x:c r="C24" s="225"/>
      <x:c r="D24" s="225"/>
      <x:c r="E24" s="225"/>
      <x:c r="F24" s="225"/>
      <x:c r="G24" s="225"/>
      <x:c r="H24" s="225"/>
      <x:c r="I24" s="225"/>
      <x:c r="J24" s="225"/>
      <x:c r="K24" s="225"/>
      <x:c r="L24" s="225"/>
      <x:c r="M24" s="225"/>
      <x:c r="N24" s="225"/>
      <x:c r="O24" s="225"/>
      <x:c r="P24" s="225"/>
      <x:c r="Q24" s="225"/>
      <x:c r="R24" s="225"/>
      <x:c r="S24" s="225"/>
      <x:c r="T24" s="225"/>
      <x:c r="U24" s="225"/>
      <x:c r="V24" s="225"/>
      <x:c r="W24" s="225"/>
      <x:c r="X24" s="225"/>
      <x:c r="Y24" s="225"/>
      <x:c r="Z24" s="225"/>
    </x:row>
    <x:row r="25">
      <x:c r="A25" s="225"/>
      <x:c r="B25" s="225"/>
      <x:c r="C25" s="225"/>
      <x:c r="D25" s="225"/>
      <x:c r="E25" s="225"/>
      <x:c r="F25" s="225"/>
      <x:c r="G25" s="225"/>
      <x:c r="H25" s="225"/>
      <x:c r="I25" s="225"/>
      <x:c r="J25" s="225"/>
      <x:c r="K25" s="225"/>
      <x:c r="L25" s="225"/>
      <x:c r="M25" s="225"/>
      <x:c r="N25" s="225"/>
      <x:c r="O25" s="225"/>
      <x:c r="P25" s="225"/>
      <x:c r="Q25" s="225"/>
      <x:c r="R25" s="225"/>
      <x:c r="S25" s="225"/>
      <x:c r="T25" s="225"/>
      <x:c r="U25" s="225"/>
      <x:c r="V25" s="225"/>
      <x:c r="W25" s="225"/>
      <x:c r="X25" s="225"/>
      <x:c r="Y25" s="225"/>
      <x:c r="Z25" s="225"/>
    </x:row>
    <x:row r="26">
      <x:c r="A26" s="225"/>
      <x:c r="B26" s="225"/>
      <x:c r="C26" s="225"/>
      <x:c r="D26" s="225"/>
      <x:c r="E26" s="225"/>
      <x:c r="F26" s="225"/>
      <x:c r="G26" s="225"/>
      <x:c r="H26" s="225"/>
      <x:c r="I26" s="225"/>
      <x:c r="J26" s="225"/>
      <x:c r="K26" s="225"/>
      <x:c r="L26" s="225"/>
      <x:c r="M26" s="225"/>
      <x:c r="N26" s="225"/>
      <x:c r="O26" s="225"/>
      <x:c r="P26" s="225"/>
      <x:c r="Q26" s="225"/>
      <x:c r="R26" s="225"/>
      <x:c r="S26" s="225"/>
      <x:c r="T26" s="225"/>
      <x:c r="U26" s="225"/>
      <x:c r="V26" s="225"/>
      <x:c r="W26" s="225"/>
      <x:c r="X26" s="225"/>
      <x:c r="Y26" s="225"/>
      <x:c r="Z26" s="225"/>
    </x:row>
    <x:row r="27">
      <x:c r="A27" s="225"/>
      <x:c r="B27" s="225"/>
      <x:c r="C27" s="225"/>
      <x:c r="D27" s="225"/>
      <x:c r="E27" s="225"/>
      <x:c r="F27" s="225"/>
      <x:c r="G27" s="225"/>
      <x:c r="H27" s="225"/>
      <x:c r="I27" s="225"/>
      <x:c r="J27" s="225"/>
      <x:c r="K27" s="225"/>
      <x:c r="L27" s="225"/>
      <x:c r="M27" s="225"/>
      <x:c r="N27" s="225"/>
      <x:c r="O27" s="225"/>
      <x:c r="P27" s="225"/>
      <x:c r="Q27" s="225"/>
      <x:c r="R27" s="225"/>
      <x:c r="S27" s="225"/>
      <x:c r="T27" s="225"/>
      <x:c r="U27" s="225"/>
      <x:c r="V27" s="225"/>
      <x:c r="W27" s="225"/>
      <x:c r="X27" s="225"/>
      <x:c r="Y27" s="225"/>
      <x:c r="Z27" s="225"/>
    </x:row>
    <x:row r="28">
      <x:c r="A28" s="225"/>
      <x:c r="B28" s="225"/>
      <x:c r="C28" s="225"/>
      <x:c r="D28" s="225"/>
      <x:c r="E28" s="225"/>
      <x:c r="F28" s="225"/>
      <x:c r="G28" s="225"/>
      <x:c r="H28" s="225"/>
      <x:c r="I28" s="225"/>
      <x:c r="J28" s="225"/>
      <x:c r="K28" s="225"/>
      <x:c r="L28" s="225"/>
      <x:c r="M28" s="225"/>
      <x:c r="N28" s="225"/>
      <x:c r="O28" s="225"/>
      <x:c r="P28" s="225"/>
      <x:c r="Q28" s="225"/>
      <x:c r="R28" s="225"/>
      <x:c r="S28" s="225"/>
      <x:c r="T28" s="225"/>
      <x:c r="U28" s="225"/>
      <x:c r="V28" s="225"/>
      <x:c r="W28" s="225"/>
      <x:c r="X28" s="225"/>
      <x:c r="Y28" s="225"/>
      <x:c r="Z28" s="225"/>
    </x:row>
    <x:row r="29">
      <x:c r="A29" s="225"/>
      <x:c r="B29" s="225"/>
      <x:c r="C29" s="225"/>
      <x:c r="D29" s="225"/>
      <x:c r="E29" s="225"/>
      <x:c r="F29" s="225"/>
      <x:c r="G29" s="225"/>
      <x:c r="H29" s="225"/>
      <x:c r="I29" s="225"/>
      <x:c r="J29" s="225"/>
      <x:c r="K29" s="225"/>
      <x:c r="L29" s="225"/>
      <x:c r="M29" s="225"/>
      <x:c r="N29" s="225"/>
      <x:c r="O29" s="225"/>
      <x:c r="P29" s="225"/>
      <x:c r="Q29" s="225"/>
      <x:c r="R29" s="225"/>
      <x:c r="S29" s="225"/>
      <x:c r="T29" s="225"/>
      <x:c r="U29" s="225"/>
      <x:c r="V29" s="225"/>
      <x:c r="W29" s="225"/>
      <x:c r="X29" s="225"/>
      <x:c r="Y29" s="225"/>
      <x:c r="Z29" s="225"/>
    </x:row>
    <x:row r="30">
      <x:c r="A30" s="225"/>
      <x:c r="B30" s="225"/>
      <x:c r="C30" s="225"/>
      <x:c r="D30" s="225"/>
      <x:c r="E30" s="225"/>
      <x:c r="F30" s="225"/>
      <x:c r="G30" s="225"/>
      <x:c r="H30" s="225"/>
      <x:c r="I30" s="225"/>
      <x:c r="J30" s="225"/>
      <x:c r="K30" s="225"/>
      <x:c r="L30" s="225"/>
      <x:c r="M30" s="225"/>
      <x:c r="N30" s="225"/>
      <x:c r="O30" s="225"/>
      <x:c r="P30" s="225"/>
      <x:c r="Q30" s="225"/>
      <x:c r="R30" s="225"/>
      <x:c r="S30" s="225"/>
      <x:c r="T30" s="225"/>
      <x:c r="U30" s="225"/>
      <x:c r="V30" s="225"/>
      <x:c r="W30" s="225"/>
      <x:c r="X30" s="225"/>
      <x:c r="Y30" s="225"/>
      <x:c r="Z30" s="225"/>
    </x:row>
    <x:row r="31">
      <x:c r="A31" s="225"/>
      <x:c r="B31" s="225"/>
      <x:c r="C31" s="225"/>
      <x:c r="D31" s="225"/>
      <x:c r="E31" s="225"/>
      <x:c r="F31" s="225"/>
      <x:c r="G31" s="225"/>
      <x:c r="H31" s="225"/>
      <x:c r="I31" s="225"/>
      <x:c r="J31" s="225"/>
      <x:c r="K31" s="225"/>
      <x:c r="L31" s="225"/>
      <x:c r="M31" s="225"/>
      <x:c r="N31" s="225"/>
      <x:c r="O31" s="225"/>
      <x:c r="P31" s="225"/>
      <x:c r="Q31" s="225"/>
      <x:c r="R31" s="225"/>
      <x:c r="S31" s="225"/>
      <x:c r="T31" s="225"/>
      <x:c r="U31" s="225"/>
      <x:c r="V31" s="225"/>
      <x:c r="W31" s="225"/>
      <x:c r="X31" s="225"/>
      <x:c r="Y31" s="225"/>
      <x:c r="Z31" s="225"/>
    </x:row>
    <x:row r="32">
      <x:c r="A32" s="225"/>
      <x:c r="B32" s="225"/>
      <x:c r="C32" s="225"/>
      <x:c r="D32" s="225"/>
      <x:c r="E32" s="225"/>
      <x:c r="F32" s="225"/>
      <x:c r="G32" s="225"/>
      <x:c r="H32" s="225"/>
      <x:c r="I32" s="225"/>
      <x:c r="J32" s="225"/>
      <x:c r="K32" s="225"/>
      <x:c r="L32" s="225"/>
      <x:c r="M32" s="225"/>
      <x:c r="N32" s="225"/>
      <x:c r="O32" s="225"/>
      <x:c r="P32" s="225"/>
      <x:c r="Q32" s="225"/>
      <x:c r="R32" s="225"/>
      <x:c r="S32" s="225"/>
      <x:c r="T32" s="225"/>
      <x:c r="U32" s="225"/>
      <x:c r="V32" s="225"/>
      <x:c r="W32" s="225"/>
      <x:c r="X32" s="225"/>
      <x:c r="Y32" s="225"/>
      <x:c r="Z32" s="225"/>
    </x:row>
    <x:row r="33">
      <x:c r="A33" s="225"/>
      <x:c r="B33" s="225"/>
      <x:c r="C33" s="225"/>
      <x:c r="D33" s="225"/>
      <x:c r="E33" s="225"/>
      <x:c r="F33" s="225"/>
      <x:c r="G33" s="225"/>
      <x:c r="H33" s="225"/>
      <x:c r="I33" s="225"/>
      <x:c r="J33" s="225"/>
      <x:c r="K33" s="225"/>
      <x:c r="L33" s="225"/>
      <x:c r="M33" s="225"/>
      <x:c r="N33" s="225"/>
      <x:c r="O33" s="225"/>
      <x:c r="P33" s="225"/>
      <x:c r="Q33" s="225"/>
      <x:c r="R33" s="225"/>
      <x:c r="S33" s="225"/>
      <x:c r="T33" s="225"/>
      <x:c r="U33" s="225"/>
      <x:c r="V33" s="225"/>
      <x:c r="W33" s="225"/>
      <x:c r="X33" s="225"/>
      <x:c r="Y33" s="225"/>
      <x:c r="Z33" s="225"/>
    </x:row>
    <x:row r="34">
      <x:c r="A34" s="225"/>
      <x:c r="B34" s="225"/>
      <x:c r="C34" s="225"/>
      <x:c r="D34" s="225"/>
      <x:c r="E34" s="225"/>
      <x:c r="F34" s="225"/>
      <x:c r="G34" s="225"/>
      <x:c r="H34" s="225"/>
      <x:c r="I34" s="225"/>
      <x:c r="J34" s="225"/>
      <x:c r="K34" s="225"/>
      <x:c r="L34" s="225"/>
      <x:c r="M34" s="225"/>
      <x:c r="N34" s="225"/>
      <x:c r="O34" s="225"/>
      <x:c r="P34" s="225"/>
      <x:c r="Q34" s="225"/>
      <x:c r="R34" s="225"/>
      <x:c r="S34" s="225"/>
      <x:c r="T34" s="225"/>
      <x:c r="U34" s="225"/>
      <x:c r="V34" s="225"/>
      <x:c r="W34" s="225"/>
      <x:c r="X34" s="225"/>
      <x:c r="Y34" s="225"/>
      <x:c r="Z34" s="225"/>
    </x:row>
    <x:row r="35">
      <x:c r="A35" s="225"/>
      <x:c r="B35" s="225"/>
      <x:c r="C35" s="225"/>
      <x:c r="D35" s="225"/>
      <x:c r="E35" s="225"/>
      <x:c r="F35" s="225"/>
      <x:c r="G35" s="225"/>
      <x:c r="H35" s="225"/>
      <x:c r="I35" s="225"/>
      <x:c r="J35" s="225"/>
      <x:c r="K35" s="225"/>
      <x:c r="L35" s="225"/>
      <x:c r="M35" s="225"/>
      <x:c r="N35" s="225"/>
      <x:c r="O35" s="225"/>
      <x:c r="P35" s="225"/>
      <x:c r="Q35" s="225"/>
      <x:c r="R35" s="225"/>
      <x:c r="S35" s="225"/>
      <x:c r="T35" s="225"/>
      <x:c r="U35" s="225"/>
      <x:c r="V35" s="225"/>
      <x:c r="W35" s="225"/>
      <x:c r="X35" s="225"/>
      <x:c r="Y35" s="225"/>
      <x:c r="Z35" s="225"/>
    </x:row>
    <x:row r="36">
      <x:c r="A36" s="225"/>
      <x:c r="B36" s="225"/>
      <x:c r="C36" s="225"/>
      <x:c r="D36" s="225"/>
      <x:c r="E36" s="225"/>
      <x:c r="F36" s="225"/>
      <x:c r="G36" s="225"/>
      <x:c r="H36" s="225"/>
      <x:c r="I36" s="225"/>
      <x:c r="J36" s="225"/>
      <x:c r="K36" s="225"/>
      <x:c r="L36" s="225"/>
      <x:c r="M36" s="225"/>
      <x:c r="N36" s="225"/>
      <x:c r="O36" s="225"/>
      <x:c r="P36" s="225"/>
      <x:c r="Q36" s="225"/>
      <x:c r="R36" s="225"/>
      <x:c r="S36" s="225"/>
      <x:c r="T36" s="225"/>
      <x:c r="U36" s="225"/>
      <x:c r="V36" s="225"/>
      <x:c r="W36" s="225"/>
      <x:c r="X36" s="225"/>
      <x:c r="Y36" s="225"/>
      <x:c r="Z36" s="225"/>
    </x:row>
    <x:row r="37">
      <x:c r="A37" s="225"/>
      <x:c r="B37" s="225"/>
      <x:c r="C37" s="225"/>
      <x:c r="D37" s="225"/>
      <x:c r="E37" s="225"/>
      <x:c r="F37" s="225"/>
      <x:c r="G37" s="225"/>
      <x:c r="H37" s="225"/>
      <x:c r="I37" s="225"/>
      <x:c r="J37" s="225"/>
      <x:c r="K37" s="225"/>
      <x:c r="L37" s="225"/>
      <x:c r="M37" s="225"/>
      <x:c r="N37" s="225"/>
      <x:c r="O37" s="225"/>
      <x:c r="P37" s="225"/>
      <x:c r="Q37" s="225"/>
      <x:c r="R37" s="225"/>
      <x:c r="S37" s="225"/>
      <x:c r="T37" s="225"/>
      <x:c r="U37" s="225"/>
      <x:c r="V37" s="225"/>
      <x:c r="W37" s="225"/>
      <x:c r="X37" s="225"/>
      <x:c r="Y37" s="225"/>
      <x:c r="Z37" s="225"/>
    </x:row>
    <x:row r="38">
      <x:c r="A38" s="225"/>
      <x:c r="B38" s="225"/>
      <x:c r="C38" s="225"/>
      <x:c r="D38" s="225"/>
      <x:c r="E38" s="225"/>
      <x:c r="F38" s="225"/>
      <x:c r="G38" s="225"/>
      <x:c r="H38" s="225"/>
      <x:c r="I38" s="225"/>
      <x:c r="J38" s="225"/>
      <x:c r="K38" s="225"/>
      <x:c r="L38" s="225"/>
      <x:c r="M38" s="225"/>
      <x:c r="N38" s="225"/>
      <x:c r="O38" s="225"/>
      <x:c r="P38" s="225"/>
      <x:c r="Q38" s="225"/>
      <x:c r="R38" s="225"/>
      <x:c r="S38" s="225"/>
      <x:c r="T38" s="225"/>
      <x:c r="U38" s="225"/>
      <x:c r="V38" s="225"/>
      <x:c r="W38" s="225"/>
      <x:c r="X38" s="225"/>
      <x:c r="Y38" s="225"/>
      <x:c r="Z38" s="225"/>
    </x:row>
    <x:row r="39">
      <x:c r="A39" s="225"/>
      <x:c r="B39" s="225"/>
      <x:c r="C39" s="225"/>
      <x:c r="D39" s="225"/>
      <x:c r="E39" s="225"/>
      <x:c r="F39" s="225"/>
      <x:c r="G39" s="225"/>
      <x:c r="H39" s="225"/>
      <x:c r="I39" s="225"/>
      <x:c r="J39" s="225"/>
      <x:c r="K39" s="225"/>
      <x:c r="L39" s="225"/>
      <x:c r="M39" s="225"/>
      <x:c r="N39" s="225"/>
      <x:c r="O39" s="225"/>
      <x:c r="P39" s="225"/>
      <x:c r="Q39" s="225"/>
      <x:c r="R39" s="225"/>
      <x:c r="S39" s="225"/>
      <x:c r="T39" s="225"/>
      <x:c r="U39" s="225"/>
      <x:c r="V39" s="225"/>
      <x:c r="W39" s="225"/>
      <x:c r="X39" s="225"/>
      <x:c r="Y39" s="225"/>
      <x:c r="Z39" s="225"/>
    </x:row>
    <x:row r="40">
      <x:c r="A40" s="225"/>
      <x:c r="B40" s="225"/>
      <x:c r="C40" s="225"/>
      <x:c r="D40" s="225"/>
      <x:c r="E40" s="225"/>
      <x:c r="F40" s="225"/>
      <x:c r="G40" s="225"/>
      <x:c r="H40" s="225"/>
      <x:c r="I40" s="225"/>
      <x:c r="J40" s="225"/>
      <x:c r="K40" s="225"/>
      <x:c r="L40" s="225"/>
      <x:c r="M40" s="225"/>
      <x:c r="N40" s="225"/>
      <x:c r="O40" s="225"/>
      <x:c r="P40" s="225"/>
      <x:c r="Q40" s="225"/>
      <x:c r="R40" s="225"/>
      <x:c r="S40" s="225"/>
      <x:c r="T40" s="225"/>
      <x:c r="U40" s="225"/>
      <x:c r="V40" s="225"/>
      <x:c r="W40" s="225"/>
      <x:c r="X40" s="225"/>
      <x:c r="Y40" s="225"/>
      <x:c r="Z40" s="225"/>
    </x:row>
    <x:row r="41">
      <x:c r="A41" s="225"/>
      <x:c r="B41" s="225"/>
      <x:c r="C41" s="225"/>
      <x:c r="D41" s="225"/>
      <x:c r="E41" s="225"/>
      <x:c r="F41" s="225"/>
      <x:c r="G41" s="225"/>
      <x:c r="H41" s="225"/>
      <x:c r="I41" s="225"/>
      <x:c r="J41" s="225"/>
      <x:c r="K41" s="225"/>
      <x:c r="L41" s="225"/>
      <x:c r="M41" s="225"/>
      <x:c r="N41" s="225"/>
      <x:c r="O41" s="225"/>
      <x:c r="P41" s="225"/>
      <x:c r="Q41" s="225"/>
      <x:c r="R41" s="225"/>
      <x:c r="S41" s="225"/>
      <x:c r="T41" s="225"/>
      <x:c r="U41" s="225"/>
      <x:c r="V41" s="225"/>
      <x:c r="W41" s="225"/>
      <x:c r="X41" s="225"/>
      <x:c r="Y41" s="225"/>
      <x:c r="Z41" s="225"/>
    </x:row>
    <x:row r="42">
      <x:c r="A42" s="225"/>
      <x:c r="B42" s="225"/>
      <x:c r="C42" s="225"/>
      <x:c r="D42" s="225"/>
      <x:c r="E42" s="225"/>
      <x:c r="F42" s="225"/>
      <x:c r="G42" s="225"/>
      <x:c r="H42" s="225"/>
      <x:c r="I42" s="225"/>
      <x:c r="J42" s="225"/>
      <x:c r="K42" s="225"/>
      <x:c r="L42" s="225"/>
      <x:c r="M42" s="225"/>
      <x:c r="N42" s="225"/>
      <x:c r="O42" s="225"/>
      <x:c r="P42" s="225"/>
      <x:c r="Q42" s="225"/>
      <x:c r="R42" s="225"/>
      <x:c r="S42" s="225"/>
      <x:c r="T42" s="225"/>
      <x:c r="U42" s="225"/>
      <x:c r="V42" s="225"/>
      <x:c r="W42" s="225"/>
      <x:c r="X42" s="225"/>
      <x:c r="Y42" s="225"/>
      <x:c r="Z42" s="225"/>
    </x:row>
    <x:row r="43">
      <x:c r="A43" s="225"/>
      <x:c r="B43" s="225"/>
      <x:c r="C43" s="225"/>
      <x:c r="D43" s="225"/>
      <x:c r="E43" s="225"/>
      <x:c r="F43" s="225"/>
      <x:c r="G43" s="225"/>
      <x:c r="H43" s="225"/>
      <x:c r="I43" s="225"/>
      <x:c r="J43" s="225"/>
      <x:c r="K43" s="225"/>
      <x:c r="L43" s="225"/>
      <x:c r="M43" s="225"/>
      <x:c r="N43" s="225"/>
      <x:c r="O43" s="225"/>
      <x:c r="P43" s="225"/>
      <x:c r="Q43" s="225"/>
      <x:c r="R43" s="225"/>
      <x:c r="S43" s="225"/>
      <x:c r="T43" s="225"/>
      <x:c r="U43" s="225"/>
      <x:c r="V43" s="225"/>
      <x:c r="W43" s="225"/>
      <x:c r="X43" s="225"/>
      <x:c r="Y43" s="225"/>
      <x:c r="Z43" s="225"/>
    </x:row>
    <x:row r="44">
      <x:c r="A44" s="225"/>
      <x:c r="B44" s="225"/>
      <x:c r="C44" s="225"/>
      <x:c r="D44" s="225"/>
      <x:c r="E44" s="225"/>
      <x:c r="F44" s="225"/>
      <x:c r="G44" s="225"/>
      <x:c r="H44" s="225"/>
      <x:c r="I44" s="225"/>
      <x:c r="J44" s="225"/>
      <x:c r="K44" s="225"/>
      <x:c r="L44" s="225"/>
      <x:c r="M44" s="225"/>
      <x:c r="N44" s="225"/>
      <x:c r="O44" s="225"/>
      <x:c r="P44" s="225"/>
      <x:c r="Q44" s="225"/>
      <x:c r="R44" s="225"/>
      <x:c r="S44" s="225"/>
      <x:c r="T44" s="225"/>
      <x:c r="U44" s="225"/>
      <x:c r="V44" s="225"/>
      <x:c r="W44" s="225"/>
      <x:c r="X44" s="225"/>
      <x:c r="Y44" s="225"/>
      <x:c r="Z44" s="225"/>
    </x:row>
    <x:row r="45">
      <x:c r="A45" s="225"/>
      <x:c r="B45" s="225"/>
      <x:c r="C45" s="225"/>
      <x:c r="D45" s="225"/>
      <x:c r="E45" s="225"/>
      <x:c r="F45" s="225"/>
      <x:c r="G45" s="225"/>
      <x:c r="H45" s="225"/>
      <x:c r="I45" s="225"/>
      <x:c r="J45" s="225"/>
      <x:c r="K45" s="225"/>
      <x:c r="L45" s="225"/>
      <x:c r="M45" s="225"/>
      <x:c r="N45" s="225"/>
      <x:c r="O45" s="225"/>
      <x:c r="P45" s="225"/>
      <x:c r="Q45" s="225"/>
      <x:c r="R45" s="225"/>
      <x:c r="S45" s="225"/>
      <x:c r="T45" s="225"/>
      <x:c r="U45" s="225"/>
      <x:c r="V45" s="225"/>
      <x:c r="W45" s="225"/>
      <x:c r="X45" s="225"/>
      <x:c r="Y45" s="225"/>
      <x:c r="Z45" s="225"/>
    </x:row>
    <x:row r="46">
      <x:c r="A46" s="225"/>
      <x:c r="B46" s="225"/>
      <x:c r="C46" s="225"/>
      <x:c r="D46" s="225"/>
      <x:c r="E46" s="225"/>
      <x:c r="F46" s="225"/>
      <x:c r="G46" s="225"/>
      <x:c r="H46" s="225"/>
      <x:c r="I46" s="225"/>
      <x:c r="J46" s="225"/>
      <x:c r="K46" s="225"/>
      <x:c r="L46" s="225"/>
      <x:c r="M46" s="225"/>
      <x:c r="N46" s="225"/>
      <x:c r="O46" s="225"/>
      <x:c r="P46" s="225"/>
      <x:c r="Q46" s="225"/>
      <x:c r="R46" s="225"/>
      <x:c r="S46" s="225"/>
      <x:c r="T46" s="225"/>
      <x:c r="U46" s="225"/>
      <x:c r="V46" s="225"/>
      <x:c r="W46" s="225"/>
      <x:c r="X46" s="225"/>
      <x:c r="Y46" s="225"/>
      <x:c r="Z46" s="225"/>
    </x:row>
    <x:row r="47">
      <x:c r="A47" s="225"/>
      <x:c r="B47" s="225"/>
      <x:c r="C47" s="225"/>
      <x:c r="D47" s="225"/>
      <x:c r="E47" s="225"/>
      <x:c r="F47" s="225"/>
      <x:c r="G47" s="225"/>
      <x:c r="H47" s="225"/>
      <x:c r="I47" s="225"/>
      <x:c r="J47" s="225"/>
      <x:c r="K47" s="225"/>
      <x:c r="L47" s="225"/>
      <x:c r="M47" s="225"/>
      <x:c r="N47" s="225"/>
      <x:c r="O47" s="225"/>
      <x:c r="P47" s="225"/>
      <x:c r="Q47" s="225"/>
      <x:c r="R47" s="225"/>
      <x:c r="S47" s="225"/>
      <x:c r="T47" s="225"/>
      <x:c r="U47" s="225"/>
      <x:c r="V47" s="225"/>
      <x:c r="W47" s="225"/>
      <x:c r="X47" s="225"/>
      <x:c r="Y47" s="225"/>
      <x:c r="Z47" s="225"/>
    </x:row>
    <x:row r="48">
      <x:c r="A48" s="225"/>
      <x:c r="B48" s="225"/>
      <x:c r="C48" s="225"/>
      <x:c r="D48" s="225"/>
      <x:c r="E48" s="225"/>
      <x:c r="F48" s="225"/>
      <x:c r="G48" s="225"/>
      <x:c r="H48" s="225"/>
      <x:c r="I48" s="225"/>
      <x:c r="J48" s="225"/>
      <x:c r="K48" s="225"/>
      <x:c r="L48" s="225"/>
      <x:c r="M48" s="225"/>
      <x:c r="N48" s="225"/>
      <x:c r="O48" s="225"/>
      <x:c r="P48" s="225"/>
      <x:c r="Q48" s="225"/>
      <x:c r="R48" s="225"/>
      <x:c r="S48" s="225"/>
      <x:c r="T48" s="225"/>
      <x:c r="U48" s="225"/>
      <x:c r="V48" s="225"/>
      <x:c r="W48" s="225"/>
      <x:c r="X48" s="225"/>
      <x:c r="Y48" s="225"/>
      <x:c r="Z48" s="225"/>
    </x:row>
    <x:row r="49">
      <x:c r="A49" s="225"/>
      <x:c r="B49" s="225"/>
      <x:c r="C49" s="225"/>
      <x:c r="D49" s="225"/>
      <x:c r="E49" s="225"/>
      <x:c r="F49" s="225"/>
      <x:c r="G49" s="225"/>
      <x:c r="H49" s="225"/>
      <x:c r="I49" s="225"/>
      <x:c r="J49" s="225"/>
      <x:c r="K49" s="225"/>
      <x:c r="L49" s="225"/>
      <x:c r="M49" s="225"/>
      <x:c r="N49" s="225"/>
      <x:c r="O49" s="225"/>
      <x:c r="P49" s="225"/>
      <x:c r="Q49" s="225"/>
      <x:c r="R49" s="225"/>
      <x:c r="S49" s="225"/>
      <x:c r="T49" s="225"/>
      <x:c r="U49" s="225"/>
      <x:c r="V49" s="225"/>
      <x:c r="W49" s="225"/>
      <x:c r="X49" s="225"/>
      <x:c r="Y49" s="225"/>
      <x:c r="Z49" s="225"/>
    </x:row>
    <x:row r="50">
      <x:c r="A50" s="225"/>
      <x:c r="B50" s="225"/>
      <x:c r="C50" s="225"/>
      <x:c r="D50" s="225"/>
      <x:c r="E50" s="225"/>
      <x:c r="F50" s="225"/>
      <x:c r="G50" s="225"/>
      <x:c r="H50" s="225"/>
      <x:c r="I50" s="225"/>
      <x:c r="J50" s="225"/>
      <x:c r="K50" s="225"/>
      <x:c r="L50" s="225"/>
      <x:c r="M50" s="225"/>
      <x:c r="N50" s="225"/>
      <x:c r="O50" s="225"/>
      <x:c r="P50" s="225"/>
      <x:c r="Q50" s="225"/>
      <x:c r="R50" s="225"/>
      <x:c r="S50" s="225"/>
      <x:c r="T50" s="225"/>
      <x:c r="U50" s="225"/>
      <x:c r="V50" s="225"/>
      <x:c r="W50" s="225"/>
      <x:c r="X50" s="225"/>
      <x:c r="Y50" s="225"/>
      <x:c r="Z50" s="225"/>
    </x:row>
    <x:row r="51">
      <x:c r="A51" s="225"/>
      <x:c r="B51" s="225"/>
      <x:c r="C51" s="225"/>
      <x:c r="D51" s="225"/>
      <x:c r="E51" s="225"/>
      <x:c r="F51" s="225"/>
      <x:c r="G51" s="225"/>
      <x:c r="H51" s="225"/>
      <x:c r="I51" s="225"/>
      <x:c r="J51" s="225"/>
      <x:c r="K51" s="225"/>
      <x:c r="L51" s="225"/>
      <x:c r="M51" s="225"/>
      <x:c r="N51" s="225"/>
      <x:c r="O51" s="225"/>
      <x:c r="P51" s="225"/>
      <x:c r="Q51" s="225"/>
      <x:c r="R51" s="225"/>
      <x:c r="S51" s="225"/>
      <x:c r="T51" s="225"/>
      <x:c r="U51" s="225"/>
      <x:c r="V51" s="225"/>
      <x:c r="W51" s="225"/>
      <x:c r="X51" s="225"/>
      <x:c r="Y51" s="225"/>
      <x:c r="Z51" s="225"/>
    </x:row>
    <x:row r="52">
      <x:c r="A52" s="225"/>
      <x:c r="B52" s="225"/>
      <x:c r="C52" s="225"/>
      <x:c r="D52" s="225"/>
      <x:c r="E52" s="225"/>
      <x:c r="F52" s="225"/>
      <x:c r="G52" s="225"/>
      <x:c r="H52" s="225"/>
      <x:c r="I52" s="225"/>
      <x:c r="J52" s="225"/>
      <x:c r="K52" s="225"/>
      <x:c r="L52" s="225"/>
      <x:c r="M52" s="225"/>
      <x:c r="N52" s="225"/>
      <x:c r="O52" s="225"/>
      <x:c r="P52" s="225"/>
      <x:c r="Q52" s="225"/>
      <x:c r="R52" s="225"/>
      <x:c r="S52" s="225"/>
      <x:c r="T52" s="225"/>
      <x:c r="U52" s="225"/>
      <x:c r="V52" s="225"/>
      <x:c r="W52" s="225"/>
      <x:c r="X52" s="225"/>
      <x:c r="Y52" s="225"/>
      <x:c r="Z52" s="225"/>
    </x:row>
    <x:row r="53">
      <x:c r="A53" s="225"/>
      <x:c r="B53" s="225"/>
      <x:c r="C53" s="225"/>
      <x:c r="D53" s="225"/>
      <x:c r="E53" s="225"/>
      <x:c r="F53" s="225"/>
      <x:c r="G53" s="225"/>
      <x:c r="H53" s="225"/>
      <x:c r="I53" s="225"/>
      <x:c r="J53" s="225"/>
      <x:c r="K53" s="225"/>
      <x:c r="L53" s="225"/>
      <x:c r="M53" s="225"/>
      <x:c r="N53" s="225"/>
      <x:c r="O53" s="225"/>
      <x:c r="P53" s="225"/>
      <x:c r="Q53" s="225"/>
      <x:c r="R53" s="225"/>
      <x:c r="S53" s="225"/>
      <x:c r="T53" s="225"/>
      <x:c r="U53" s="225"/>
      <x:c r="V53" s="225"/>
      <x:c r="W53" s="225"/>
      <x:c r="X53" s="225"/>
      <x:c r="Y53" s="225"/>
      <x:c r="Z53" s="225"/>
    </x:row>
    <x:row r="54">
      <x:c r="A54" s="225"/>
      <x:c r="B54" s="225"/>
      <x:c r="C54" s="225"/>
      <x:c r="D54" s="225"/>
      <x:c r="E54" s="225"/>
      <x:c r="F54" s="225"/>
      <x:c r="G54" s="225"/>
      <x:c r="H54" s="225"/>
      <x:c r="I54" s="225"/>
      <x:c r="J54" s="225"/>
      <x:c r="K54" s="225"/>
      <x:c r="L54" s="225"/>
      <x:c r="M54" s="225"/>
      <x:c r="N54" s="225"/>
      <x:c r="O54" s="225"/>
      <x:c r="P54" s="225"/>
      <x:c r="Q54" s="225"/>
      <x:c r="R54" s="225"/>
      <x:c r="S54" s="225"/>
      <x:c r="T54" s="225"/>
      <x:c r="U54" s="225"/>
      <x:c r="V54" s="225"/>
      <x:c r="W54" s="225"/>
      <x:c r="X54" s="225"/>
      <x:c r="Y54" s="225"/>
      <x:c r="Z54" s="225"/>
    </x:row>
    <x:row r="55">
      <x:c r="A55" s="225"/>
      <x:c r="B55" s="225"/>
      <x:c r="C55" s="225"/>
      <x:c r="D55" s="225"/>
      <x:c r="E55" s="225"/>
      <x:c r="F55" s="225"/>
      <x:c r="G55" s="225"/>
      <x:c r="H55" s="225"/>
      <x:c r="I55" s="225"/>
      <x:c r="J55" s="225"/>
      <x:c r="K55" s="225"/>
      <x:c r="L55" s="225"/>
      <x:c r="M55" s="225"/>
      <x:c r="N55" s="225"/>
      <x:c r="O55" s="225"/>
      <x:c r="P55" s="225"/>
      <x:c r="Q55" s="225"/>
      <x:c r="R55" s="225"/>
      <x:c r="S55" s="225"/>
      <x:c r="T55" s="225"/>
      <x:c r="U55" s="225"/>
      <x:c r="V55" s="225"/>
      <x:c r="W55" s="225"/>
      <x:c r="X55" s="225"/>
      <x:c r="Y55" s="225"/>
      <x:c r="Z55" s="225"/>
    </x:row>
    <x:row r="56">
      <x:c r="A56" s="225"/>
      <x:c r="B56" s="225"/>
      <x:c r="C56" s="225"/>
      <x:c r="D56" s="225"/>
      <x:c r="E56" s="225"/>
      <x:c r="F56" s="225"/>
      <x:c r="G56" s="225"/>
      <x:c r="H56" s="225"/>
      <x:c r="I56" s="225"/>
      <x:c r="J56" s="225"/>
      <x:c r="K56" s="225"/>
      <x:c r="L56" s="225"/>
      <x:c r="M56" s="225"/>
      <x:c r="N56" s="225"/>
      <x:c r="O56" s="225"/>
      <x:c r="P56" s="225"/>
      <x:c r="Q56" s="225"/>
      <x:c r="R56" s="225"/>
      <x:c r="S56" s="225"/>
      <x:c r="T56" s="225"/>
      <x:c r="U56" s="225"/>
      <x:c r="V56" s="225"/>
      <x:c r="W56" s="225"/>
      <x:c r="X56" s="225"/>
      <x:c r="Y56" s="225"/>
      <x:c r="Z56" s="225"/>
    </x:row>
    <x:row r="57">
      <x:c r="A57" s="225"/>
      <x:c r="B57" s="225"/>
      <x:c r="C57" s="225"/>
      <x:c r="D57" s="225"/>
      <x:c r="E57" s="225"/>
      <x:c r="F57" s="225"/>
      <x:c r="G57" s="225"/>
      <x:c r="H57" s="225"/>
      <x:c r="I57" s="225"/>
      <x:c r="J57" s="225"/>
      <x:c r="K57" s="225"/>
      <x:c r="L57" s="225"/>
      <x:c r="M57" s="225"/>
      <x:c r="N57" s="225"/>
      <x:c r="O57" s="225"/>
      <x:c r="P57" s="225"/>
      <x:c r="Q57" s="225"/>
      <x:c r="R57" s="225"/>
      <x:c r="S57" s="225"/>
      <x:c r="T57" s="225"/>
      <x:c r="U57" s="225"/>
      <x:c r="V57" s="225"/>
      <x:c r="W57" s="225"/>
      <x:c r="X57" s="225"/>
      <x:c r="Y57" s="225"/>
      <x:c r="Z57" s="225"/>
    </x:row>
    <x:row r="58">
      <x:c r="A58" s="225"/>
      <x:c r="B58" s="225"/>
      <x:c r="C58" s="225"/>
      <x:c r="D58" s="225"/>
      <x:c r="E58" s="225"/>
      <x:c r="F58" s="225"/>
      <x:c r="G58" s="225"/>
      <x:c r="H58" s="225"/>
      <x:c r="I58" s="225"/>
      <x:c r="J58" s="225"/>
      <x:c r="K58" s="225"/>
      <x:c r="L58" s="225"/>
      <x:c r="M58" s="225"/>
      <x:c r="N58" s="225"/>
      <x:c r="O58" s="225"/>
      <x:c r="P58" s="225"/>
      <x:c r="Q58" s="225"/>
      <x:c r="R58" s="225"/>
      <x:c r="S58" s="225"/>
      <x:c r="T58" s="225"/>
      <x:c r="U58" s="225"/>
      <x:c r="V58" s="225"/>
      <x:c r="W58" s="225"/>
      <x:c r="X58" s="225"/>
      <x:c r="Y58" s="225"/>
      <x:c r="Z58" s="225"/>
    </x:row>
    <x:row r="59">
      <x:c r="A59" s="225"/>
      <x:c r="B59" s="225"/>
      <x:c r="C59" s="225"/>
      <x:c r="D59" s="225"/>
      <x:c r="E59" s="225"/>
      <x:c r="F59" s="225"/>
      <x:c r="G59" s="225"/>
      <x:c r="H59" s="225"/>
      <x:c r="I59" s="225"/>
      <x:c r="J59" s="225"/>
      <x:c r="K59" s="225"/>
      <x:c r="L59" s="225"/>
      <x:c r="M59" s="225"/>
      <x:c r="N59" s="225"/>
      <x:c r="O59" s="225"/>
      <x:c r="P59" s="225"/>
      <x:c r="Q59" s="225"/>
      <x:c r="R59" s="225"/>
      <x:c r="S59" s="225"/>
      <x:c r="T59" s="225"/>
      <x:c r="U59" s="225"/>
      <x:c r="V59" s="225"/>
      <x:c r="W59" s="225"/>
      <x:c r="X59" s="225"/>
      <x:c r="Y59" s="225"/>
      <x:c r="Z59" s="225"/>
    </x:row>
    <x:row r="60">
      <x:c r="A60" s="225"/>
      <x:c r="B60" s="225"/>
      <x:c r="C60" s="225"/>
      <x:c r="D60" s="225"/>
      <x:c r="E60" s="225"/>
      <x:c r="F60" s="225"/>
      <x:c r="G60" s="225"/>
      <x:c r="H60" s="225"/>
      <x:c r="I60" s="225"/>
      <x:c r="J60" s="225"/>
      <x:c r="K60" s="225"/>
      <x:c r="L60" s="225"/>
      <x:c r="M60" s="225"/>
      <x:c r="N60" s="225"/>
      <x:c r="O60" s="225"/>
      <x:c r="P60" s="225"/>
      <x:c r="Q60" s="225"/>
      <x:c r="R60" s="225"/>
      <x:c r="S60" s="225"/>
      <x:c r="T60" s="225"/>
      <x:c r="U60" s="225"/>
      <x:c r="V60" s="225"/>
      <x:c r="W60" s="225"/>
      <x:c r="X60" s="225"/>
      <x:c r="Y60" s="225"/>
      <x:c r="Z60" s="225"/>
    </x:row>
    <x:row r="61">
      <x:c r="A61" s="225"/>
      <x:c r="B61" s="225"/>
      <x:c r="C61" s="225"/>
      <x:c r="D61" s="225"/>
      <x:c r="E61" s="225"/>
      <x:c r="F61" s="225"/>
      <x:c r="G61" s="225"/>
      <x:c r="H61" s="225"/>
      <x:c r="I61" s="225"/>
      <x:c r="J61" s="225"/>
      <x:c r="K61" s="225"/>
      <x:c r="L61" s="225"/>
      <x:c r="M61" s="225"/>
      <x:c r="N61" s="225"/>
      <x:c r="O61" s="225"/>
      <x:c r="P61" s="225"/>
      <x:c r="Q61" s="225"/>
      <x:c r="R61" s="225"/>
      <x:c r="S61" s="225"/>
      <x:c r="T61" s="225"/>
      <x:c r="U61" s="225"/>
      <x:c r="V61" s="225"/>
      <x:c r="W61" s="225"/>
      <x:c r="X61" s="225"/>
      <x:c r="Y61" s="225"/>
      <x:c r="Z61" s="225"/>
    </x:row>
    <x:row r="62">
      <x:c r="A62" s="225"/>
      <x:c r="B62" s="225"/>
      <x:c r="C62" s="225"/>
      <x:c r="D62" s="225"/>
      <x:c r="E62" s="225"/>
      <x:c r="F62" s="225"/>
      <x:c r="G62" s="225"/>
      <x:c r="H62" s="225"/>
      <x:c r="I62" s="225"/>
      <x:c r="J62" s="225"/>
      <x:c r="K62" s="225"/>
      <x:c r="L62" s="225"/>
      <x:c r="M62" s="225"/>
      <x:c r="N62" s="225"/>
      <x:c r="O62" s="225"/>
      <x:c r="P62" s="225"/>
      <x:c r="Q62" s="225"/>
      <x:c r="R62" s="225"/>
      <x:c r="S62" s="225"/>
      <x:c r="T62" s="225"/>
      <x:c r="U62" s="225"/>
      <x:c r="V62" s="225"/>
      <x:c r="W62" s="225"/>
      <x:c r="X62" s="225"/>
      <x:c r="Y62" s="225"/>
      <x:c r="Z62" s="225"/>
    </x:row>
    <x:row r="63">
      <x:c r="A63" s="225"/>
      <x:c r="B63" s="225"/>
      <x:c r="C63" s="225"/>
      <x:c r="D63" s="225"/>
      <x:c r="E63" s="225"/>
      <x:c r="F63" s="225"/>
      <x:c r="G63" s="225"/>
      <x:c r="H63" s="225"/>
      <x:c r="I63" s="225"/>
      <x:c r="J63" s="225"/>
      <x:c r="K63" s="225"/>
      <x:c r="L63" s="225"/>
      <x:c r="M63" s="225"/>
      <x:c r="N63" s="225"/>
      <x:c r="O63" s="225"/>
      <x:c r="P63" s="225"/>
      <x:c r="Q63" s="225"/>
      <x:c r="R63" s="225"/>
      <x:c r="S63" s="225"/>
      <x:c r="T63" s="225"/>
      <x:c r="U63" s="225"/>
      <x:c r="V63" s="225"/>
      <x:c r="W63" s="225"/>
      <x:c r="X63" s="225"/>
      <x:c r="Y63" s="225"/>
      <x:c r="Z63" s="225"/>
    </x:row>
    <x:row r="64">
      <x:c r="A64" s="225"/>
      <x:c r="B64" s="225"/>
      <x:c r="C64" s="225"/>
      <x:c r="D64" s="225"/>
      <x:c r="E64" s="225"/>
      <x:c r="F64" s="225"/>
      <x:c r="G64" s="225"/>
      <x:c r="H64" s="225"/>
      <x:c r="I64" s="225"/>
      <x:c r="J64" s="225"/>
      <x:c r="K64" s="225"/>
      <x:c r="L64" s="225"/>
      <x:c r="M64" s="225"/>
      <x:c r="N64" s="225"/>
      <x:c r="O64" s="225"/>
      <x:c r="P64" s="225"/>
      <x:c r="Q64" s="225"/>
      <x:c r="R64" s="225"/>
      <x:c r="S64" s="225"/>
      <x:c r="T64" s="225"/>
      <x:c r="U64" s="225"/>
      <x:c r="V64" s="225"/>
      <x:c r="W64" s="225"/>
      <x:c r="X64" s="225"/>
      <x:c r="Y64" s="225"/>
      <x:c r="Z64" s="225"/>
    </x:row>
    <x:row r="65">
      <x:c r="A65" s="225"/>
      <x:c r="B65" s="225"/>
      <x:c r="C65" s="225"/>
      <x:c r="D65" s="225"/>
      <x:c r="E65" s="225"/>
      <x:c r="F65" s="225"/>
      <x:c r="G65" s="225"/>
      <x:c r="H65" s="225"/>
      <x:c r="I65" s="225"/>
      <x:c r="J65" s="225"/>
      <x:c r="K65" s="225"/>
      <x:c r="L65" s="225"/>
      <x:c r="M65" s="225"/>
      <x:c r="N65" s="225"/>
      <x:c r="O65" s="225"/>
      <x:c r="P65" s="225"/>
      <x:c r="Q65" s="225"/>
      <x:c r="R65" s="225"/>
      <x:c r="S65" s="225"/>
      <x:c r="T65" s="225"/>
      <x:c r="U65" s="225"/>
      <x:c r="V65" s="225"/>
      <x:c r="W65" s="225"/>
      <x:c r="X65" s="225"/>
      <x:c r="Y65" s="225"/>
      <x:c r="Z65" s="225"/>
    </x:row>
    <x:row r="66">
      <x:c r="A66" s="225"/>
      <x:c r="B66" s="225"/>
      <x:c r="C66" s="225"/>
      <x:c r="D66" s="225"/>
      <x:c r="E66" s="225"/>
      <x:c r="F66" s="225"/>
      <x:c r="G66" s="225"/>
      <x:c r="H66" s="225"/>
      <x:c r="I66" s="225"/>
      <x:c r="J66" s="225"/>
      <x:c r="K66" s="225"/>
      <x:c r="L66" s="225"/>
      <x:c r="M66" s="225"/>
      <x:c r="N66" s="225"/>
      <x:c r="O66" s="225"/>
      <x:c r="P66" s="225"/>
      <x:c r="Q66" s="225"/>
      <x:c r="R66" s="225"/>
      <x:c r="S66" s="225"/>
      <x:c r="T66" s="225"/>
      <x:c r="U66" s="225"/>
      <x:c r="V66" s="225"/>
      <x:c r="W66" s="225"/>
      <x:c r="X66" s="225"/>
      <x:c r="Y66" s="225"/>
      <x:c r="Z66" s="225"/>
    </x:row>
    <x:row r="67">
      <x:c r="A67" s="225"/>
      <x:c r="B67" s="225"/>
      <x:c r="C67" s="225"/>
      <x:c r="D67" s="225"/>
      <x:c r="E67" s="225"/>
      <x:c r="F67" s="225"/>
      <x:c r="G67" s="225"/>
      <x:c r="H67" s="225"/>
      <x:c r="I67" s="225"/>
      <x:c r="J67" s="225"/>
      <x:c r="K67" s="225"/>
      <x:c r="L67" s="225"/>
      <x:c r="M67" s="225"/>
      <x:c r="N67" s="225"/>
      <x:c r="O67" s="225"/>
      <x:c r="P67" s="225"/>
      <x:c r="Q67" s="225"/>
      <x:c r="R67" s="225"/>
      <x:c r="S67" s="225"/>
      <x:c r="T67" s="225"/>
      <x:c r="U67" s="225"/>
      <x:c r="V67" s="225"/>
      <x:c r="W67" s="225"/>
      <x:c r="X67" s="225"/>
      <x:c r="Y67" s="225"/>
      <x:c r="Z67" s="225"/>
    </x:row>
    <x:row r="68">
      <x:c r="A68" s="225"/>
      <x:c r="B68" s="225"/>
      <x:c r="C68" s="225"/>
      <x:c r="D68" s="225"/>
      <x:c r="E68" s="225"/>
      <x:c r="F68" s="225"/>
      <x:c r="G68" s="225"/>
      <x:c r="H68" s="225"/>
      <x:c r="I68" s="225"/>
      <x:c r="J68" s="225"/>
      <x:c r="K68" s="225"/>
      <x:c r="L68" s="225"/>
      <x:c r="M68" s="225"/>
      <x:c r="N68" s="225"/>
      <x:c r="O68" s="225"/>
      <x:c r="P68" s="225"/>
      <x:c r="Q68" s="225"/>
      <x:c r="R68" s="225"/>
      <x:c r="S68" s="225"/>
      <x:c r="T68" s="225"/>
      <x:c r="U68" s="225"/>
      <x:c r="V68" s="225"/>
      <x:c r="W68" s="225"/>
      <x:c r="X68" s="225"/>
      <x:c r="Y68" s="225"/>
      <x:c r="Z68" s="225"/>
    </x:row>
    <x:row r="69">
      <x:c r="A69" s="225"/>
      <x:c r="B69" s="225"/>
      <x:c r="C69" s="225"/>
      <x:c r="D69" s="225"/>
      <x:c r="E69" s="225"/>
      <x:c r="F69" s="225"/>
      <x:c r="G69" s="225"/>
      <x:c r="H69" s="225"/>
      <x:c r="I69" s="225"/>
      <x:c r="J69" s="225"/>
      <x:c r="K69" s="225"/>
      <x:c r="L69" s="225"/>
      <x:c r="M69" s="225"/>
      <x:c r="N69" s="225"/>
      <x:c r="O69" s="225"/>
      <x:c r="P69" s="225"/>
      <x:c r="Q69" s="225"/>
      <x:c r="R69" s="225"/>
      <x:c r="S69" s="225"/>
      <x:c r="T69" s="225"/>
      <x:c r="U69" s="225"/>
      <x:c r="V69" s="225"/>
      <x:c r="W69" s="225"/>
      <x:c r="X69" s="225"/>
      <x:c r="Y69" s="225"/>
      <x:c r="Z69" s="225"/>
    </x:row>
    <x:row r="70">
      <x:c r="A70" s="225"/>
      <x:c r="B70" s="225"/>
      <x:c r="C70" s="225"/>
      <x:c r="D70" s="225"/>
      <x:c r="E70" s="225"/>
      <x:c r="F70" s="225"/>
      <x:c r="G70" s="225"/>
      <x:c r="H70" s="225"/>
      <x:c r="I70" s="225"/>
      <x:c r="J70" s="225"/>
      <x:c r="K70" s="225"/>
      <x:c r="L70" s="225"/>
      <x:c r="M70" s="225"/>
      <x:c r="N70" s="225"/>
      <x:c r="O70" s="225"/>
      <x:c r="P70" s="225"/>
      <x:c r="Q70" s="225"/>
      <x:c r="R70" s="225"/>
      <x:c r="S70" s="225"/>
      <x:c r="T70" s="225"/>
      <x:c r="U70" s="225"/>
      <x:c r="V70" s="225"/>
      <x:c r="W70" s="225"/>
      <x:c r="X70" s="225"/>
      <x:c r="Y70" s="225"/>
      <x:c r="Z70" s="225"/>
    </x:row>
    <x:row r="71">
      <x:c r="A71" s="225"/>
      <x:c r="B71" s="225"/>
      <x:c r="C71" s="225"/>
      <x:c r="D71" s="225"/>
      <x:c r="E71" s="225"/>
      <x:c r="F71" s="225"/>
      <x:c r="G71" s="225"/>
      <x:c r="H71" s="225"/>
      <x:c r="I71" s="225"/>
      <x:c r="J71" s="225"/>
      <x:c r="K71" s="225"/>
      <x:c r="L71" s="225"/>
      <x:c r="M71" s="225"/>
      <x:c r="N71" s="225"/>
      <x:c r="O71" s="225"/>
      <x:c r="P71" s="225"/>
      <x:c r="Q71" s="225"/>
      <x:c r="R71" s="225"/>
      <x:c r="S71" s="225"/>
      <x:c r="T71" s="225"/>
      <x:c r="U71" s="225"/>
      <x:c r="V71" s="225"/>
      <x:c r="W71" s="225"/>
      <x:c r="X71" s="225"/>
      <x:c r="Y71" s="225"/>
      <x:c r="Z71" s="225"/>
    </x:row>
    <x:row r="72">
      <x:c r="A72" s="225"/>
      <x:c r="B72" s="225"/>
      <x:c r="C72" s="225"/>
      <x:c r="D72" s="225"/>
      <x:c r="E72" s="225"/>
      <x:c r="F72" s="225"/>
      <x:c r="G72" s="225"/>
      <x:c r="H72" s="225"/>
      <x:c r="I72" s="225"/>
      <x:c r="J72" s="225"/>
      <x:c r="K72" s="225"/>
      <x:c r="L72" s="225"/>
      <x:c r="M72" s="225"/>
      <x:c r="N72" s="225"/>
      <x:c r="O72" s="225"/>
      <x:c r="P72" s="225"/>
      <x:c r="Q72" s="225"/>
      <x:c r="R72" s="225"/>
      <x:c r="S72" s="225"/>
      <x:c r="T72" s="225"/>
      <x:c r="U72" s="225"/>
      <x:c r="V72" s="225"/>
      <x:c r="W72" s="225"/>
      <x:c r="X72" s="225"/>
      <x:c r="Y72" s="225"/>
      <x:c r="Z72" s="225"/>
    </x:row>
    <x:row r="73">
      <x:c r="A73" s="225"/>
      <x:c r="B73" s="225"/>
      <x:c r="C73" s="225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5"/>
      <x:c r="P73" s="225"/>
      <x:c r="Q73" s="225"/>
      <x:c r="R73" s="225"/>
      <x:c r="S73" s="225"/>
      <x:c r="T73" s="225"/>
      <x:c r="U73" s="225"/>
      <x:c r="V73" s="225"/>
      <x:c r="W73" s="225"/>
      <x:c r="X73" s="225"/>
      <x:c r="Y73" s="225"/>
      <x:c r="Z73" s="225"/>
    </x:row>
    <x:row r="74">
      <x:c r="A74" s="225"/>
      <x:c r="B74" s="225"/>
      <x:c r="C74" s="225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5"/>
      <x:c r="P74" s="225"/>
      <x:c r="Q74" s="225"/>
      <x:c r="R74" s="225"/>
      <x:c r="S74" s="225"/>
      <x:c r="T74" s="225"/>
      <x:c r="U74" s="225"/>
      <x:c r="V74" s="225"/>
      <x:c r="W74" s="225"/>
      <x:c r="X74" s="225"/>
      <x:c r="Y74" s="225"/>
      <x:c r="Z74" s="225"/>
    </x:row>
    <x:row r="75">
      <x:c r="A75" s="225"/>
      <x:c r="B75" s="225"/>
      <x:c r="C75" s="225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5"/>
      <x:c r="P75" s="225"/>
      <x:c r="Q75" s="225"/>
      <x:c r="R75" s="225"/>
      <x:c r="S75" s="225"/>
      <x:c r="T75" s="225"/>
      <x:c r="U75" s="225"/>
      <x:c r="V75" s="225"/>
      <x:c r="W75" s="225"/>
      <x:c r="X75" s="225"/>
      <x:c r="Y75" s="225"/>
      <x:c r="Z75" s="225"/>
    </x:row>
    <x:row r="76">
      <x:c r="A76" s="225"/>
      <x:c r="B76" s="225"/>
      <x:c r="C76" s="225"/>
      <x:c r="D76" s="225"/>
      <x:c r="E76" s="225"/>
      <x:c r="F76" s="225"/>
      <x:c r="G76" s="225"/>
      <x:c r="H76" s="225"/>
      <x:c r="I76" s="225"/>
      <x:c r="J76" s="225"/>
      <x:c r="K76" s="225"/>
      <x:c r="L76" s="225"/>
      <x:c r="M76" s="225"/>
      <x:c r="N76" s="225"/>
      <x:c r="O76" s="225"/>
      <x:c r="P76" s="225"/>
      <x:c r="Q76" s="225"/>
      <x:c r="R76" s="225"/>
      <x:c r="S76" s="225"/>
      <x:c r="T76" s="225"/>
      <x:c r="U76" s="225"/>
      <x:c r="V76" s="225"/>
      <x:c r="W76" s="225"/>
      <x:c r="X76" s="225"/>
      <x:c r="Y76" s="225"/>
      <x:c r="Z76" s="225"/>
    </x:row>
    <x:row r="77">
      <x:c r="A77" s="225"/>
      <x:c r="B77" s="225"/>
      <x:c r="C77" s="225"/>
      <x:c r="D77" s="225"/>
      <x:c r="E77" s="225"/>
      <x:c r="F77" s="225"/>
      <x:c r="G77" s="225"/>
      <x:c r="H77" s="225"/>
      <x:c r="I77" s="225"/>
      <x:c r="J77" s="225"/>
      <x:c r="K77" s="225"/>
      <x:c r="L77" s="225"/>
      <x:c r="M77" s="225"/>
      <x:c r="N77" s="225"/>
      <x:c r="O77" s="225"/>
      <x:c r="P77" s="225"/>
      <x:c r="Q77" s="225"/>
      <x:c r="R77" s="225"/>
      <x:c r="S77" s="225"/>
      <x:c r="T77" s="225"/>
      <x:c r="U77" s="225"/>
      <x:c r="V77" s="225"/>
      <x:c r="W77" s="225"/>
      <x:c r="X77" s="225"/>
      <x:c r="Y77" s="225"/>
      <x:c r="Z77" s="225"/>
    </x:row>
    <x:row r="78">
      <x:c r="A78" s="225"/>
      <x:c r="B78" s="225"/>
      <x:c r="C78" s="225"/>
      <x:c r="D78" s="225"/>
      <x:c r="E78" s="225"/>
      <x:c r="F78" s="225"/>
      <x:c r="G78" s="225"/>
      <x:c r="H78" s="225"/>
      <x:c r="I78" s="225"/>
      <x:c r="J78" s="225"/>
      <x:c r="K78" s="225"/>
      <x:c r="L78" s="225"/>
      <x:c r="M78" s="225"/>
      <x:c r="N78" s="225"/>
      <x:c r="O78" s="225"/>
      <x:c r="P78" s="225"/>
      <x:c r="Q78" s="225"/>
      <x:c r="R78" s="225"/>
      <x:c r="S78" s="225"/>
      <x:c r="T78" s="225"/>
      <x:c r="U78" s="225"/>
      <x:c r="V78" s="225"/>
      <x:c r="W78" s="225"/>
      <x:c r="X78" s="225"/>
      <x:c r="Y78" s="225"/>
      <x:c r="Z78" s="225"/>
    </x:row>
    <x:row r="79">
      <x:c r="A79" s="225"/>
      <x:c r="B79" s="225"/>
      <x:c r="C79" s="225"/>
      <x:c r="D79" s="225"/>
      <x:c r="E79" s="225"/>
      <x:c r="F79" s="225"/>
      <x:c r="G79" s="225"/>
      <x:c r="H79" s="225"/>
      <x:c r="I79" s="225"/>
      <x:c r="J79" s="225"/>
      <x:c r="K79" s="225"/>
      <x:c r="L79" s="225"/>
      <x:c r="M79" s="225"/>
      <x:c r="N79" s="225"/>
      <x:c r="O79" s="225"/>
      <x:c r="P79" s="225"/>
      <x:c r="Q79" s="225"/>
      <x:c r="R79" s="225"/>
      <x:c r="S79" s="225"/>
      <x:c r="T79" s="225"/>
      <x:c r="U79" s="225"/>
      <x:c r="V79" s="225"/>
      <x:c r="W79" s="225"/>
      <x:c r="X79" s="225"/>
      <x:c r="Y79" s="225"/>
      <x:c r="Z79" s="225"/>
    </x:row>
    <x:row r="80">
      <x:c r="A80" s="225"/>
      <x:c r="B80" s="225"/>
      <x:c r="C80" s="225"/>
      <x:c r="D80" s="225"/>
      <x:c r="E80" s="225"/>
      <x:c r="F80" s="225"/>
      <x:c r="G80" s="225"/>
      <x:c r="H80" s="225"/>
      <x:c r="I80" s="225"/>
      <x:c r="J80" s="225"/>
      <x:c r="K80" s="225"/>
      <x:c r="L80" s="225"/>
      <x:c r="M80" s="225"/>
      <x:c r="N80" s="225"/>
      <x:c r="O80" s="225"/>
      <x:c r="P80" s="225"/>
      <x:c r="Q80" s="225"/>
      <x:c r="R80" s="225"/>
      <x:c r="S80" s="225"/>
      <x:c r="T80" s="225"/>
      <x:c r="U80" s="225"/>
      <x:c r="V80" s="225"/>
      <x:c r="W80" s="225"/>
      <x:c r="X80" s="225"/>
      <x:c r="Y80" s="225"/>
      <x:c r="Z80" s="225"/>
    </x:row>
    <x:row r="81">
      <x:c r="A81" s="225"/>
      <x:c r="B81" s="225"/>
      <x:c r="C81" s="225"/>
      <x:c r="D81" s="225"/>
      <x:c r="E81" s="225"/>
      <x:c r="F81" s="225"/>
      <x:c r="G81" s="225"/>
      <x:c r="H81" s="225"/>
      <x:c r="I81" s="225"/>
      <x:c r="J81" s="225"/>
      <x:c r="K81" s="225"/>
      <x:c r="L81" s="225"/>
      <x:c r="M81" s="225"/>
      <x:c r="N81" s="225"/>
      <x:c r="O81" s="225"/>
      <x:c r="P81" s="225"/>
      <x:c r="Q81" s="225"/>
      <x:c r="R81" s="225"/>
      <x:c r="S81" s="225"/>
      <x:c r="T81" s="225"/>
      <x:c r="U81" s="225"/>
      <x:c r="V81" s="225"/>
      <x:c r="W81" s="225"/>
      <x:c r="X81" s="225"/>
      <x:c r="Y81" s="225"/>
      <x:c r="Z81" s="225"/>
    </x:row>
    <x:row r="82">
      <x:c r="A82" s="225"/>
      <x:c r="B82" s="225"/>
      <x:c r="C82" s="225"/>
      <x:c r="D82" s="225"/>
      <x:c r="E82" s="225"/>
      <x:c r="F82" s="225"/>
      <x:c r="G82" s="225"/>
      <x:c r="H82" s="225"/>
      <x:c r="I82" s="225"/>
      <x:c r="J82" s="225"/>
      <x:c r="K82" s="225"/>
      <x:c r="L82" s="225"/>
      <x:c r="M82" s="225"/>
      <x:c r="N82" s="225"/>
      <x:c r="O82" s="225"/>
      <x:c r="P82" s="225"/>
      <x:c r="Q82" s="225"/>
      <x:c r="R82" s="225"/>
      <x:c r="S82" s="225"/>
      <x:c r="T82" s="225"/>
      <x:c r="U82" s="225"/>
      <x:c r="V82" s="225"/>
      <x:c r="W82" s="225"/>
      <x:c r="X82" s="225"/>
      <x:c r="Y82" s="225"/>
      <x:c r="Z82" s="225"/>
    </x:row>
    <x:row r="83">
      <x:c r="A83" s="225"/>
      <x:c r="B83" s="225"/>
      <x:c r="C83" s="225"/>
      <x:c r="D83" s="225"/>
      <x:c r="E83" s="225"/>
      <x:c r="F83" s="225"/>
      <x:c r="G83" s="225"/>
      <x:c r="H83" s="225"/>
      <x:c r="I83" s="225"/>
      <x:c r="J83" s="225"/>
      <x:c r="K83" s="225"/>
      <x:c r="L83" s="225"/>
      <x:c r="M83" s="225"/>
      <x:c r="N83" s="225"/>
      <x:c r="O83" s="225"/>
      <x:c r="P83" s="225"/>
      <x:c r="Q83" s="225"/>
      <x:c r="R83" s="225"/>
      <x:c r="S83" s="225"/>
      <x:c r="T83" s="225"/>
      <x:c r="U83" s="225"/>
      <x:c r="V83" s="225"/>
      <x:c r="W83" s="225"/>
      <x:c r="X83" s="225"/>
      <x:c r="Y83" s="225"/>
      <x:c r="Z83" s="225"/>
    </x:row>
    <x:row r="84">
      <x:c r="A84" s="225"/>
      <x:c r="B84" s="225"/>
      <x:c r="C84" s="225"/>
      <x:c r="D84" s="225"/>
      <x:c r="E84" s="225"/>
      <x:c r="F84" s="225"/>
      <x:c r="G84" s="225"/>
      <x:c r="H84" s="225"/>
      <x:c r="I84" s="225"/>
      <x:c r="J84" s="225"/>
      <x:c r="K84" s="225"/>
      <x:c r="L84" s="225"/>
      <x:c r="M84" s="225"/>
      <x:c r="N84" s="225"/>
      <x:c r="O84" s="225"/>
      <x:c r="P84" s="225"/>
      <x:c r="Q84" s="225"/>
      <x:c r="R84" s="225"/>
      <x:c r="S84" s="225"/>
      <x:c r="T84" s="225"/>
      <x:c r="U84" s="225"/>
      <x:c r="V84" s="225"/>
      <x:c r="W84" s="225"/>
      <x:c r="X84" s="225"/>
      <x:c r="Y84" s="225"/>
      <x:c r="Z84" s="225"/>
    </x:row>
    <x:row r="85">
      <x:c r="A85" s="225"/>
      <x:c r="B85" s="225"/>
      <x:c r="C85" s="225"/>
      <x:c r="D85" s="225"/>
      <x:c r="E85" s="225"/>
      <x:c r="F85" s="225"/>
      <x:c r="G85" s="225"/>
      <x:c r="H85" s="225"/>
      <x:c r="I85" s="225"/>
      <x:c r="J85" s="225"/>
      <x:c r="K85" s="225"/>
      <x:c r="L85" s="225"/>
      <x:c r="M85" s="225"/>
      <x:c r="N85" s="225"/>
      <x:c r="O85" s="225"/>
      <x:c r="P85" s="225"/>
      <x:c r="Q85" s="225"/>
      <x:c r="R85" s="225"/>
      <x:c r="S85" s="225"/>
      <x:c r="T85" s="225"/>
      <x:c r="U85" s="225"/>
      <x:c r="V85" s="225"/>
      <x:c r="W85" s="225"/>
      <x:c r="X85" s="225"/>
      <x:c r="Y85" s="225"/>
      <x:c r="Z85" s="225"/>
    </x:row>
    <x:row r="86">
      <x:c r="A86" s="225"/>
      <x:c r="B86" s="225"/>
      <x:c r="C86" s="225"/>
      <x:c r="D86" s="225"/>
      <x:c r="E86" s="225"/>
      <x:c r="F86" s="225"/>
      <x:c r="G86" s="225"/>
      <x:c r="H86" s="225"/>
      <x:c r="I86" s="225"/>
      <x:c r="J86" s="225"/>
      <x:c r="K86" s="225"/>
      <x:c r="L86" s="225"/>
      <x:c r="M86" s="225"/>
      <x:c r="N86" s="225"/>
      <x:c r="O86" s="225"/>
      <x:c r="P86" s="225"/>
      <x:c r="Q86" s="225"/>
      <x:c r="R86" s="225"/>
      <x:c r="S86" s="225"/>
      <x:c r="T86" s="225"/>
      <x:c r="U86" s="225"/>
      <x:c r="V86" s="225"/>
      <x:c r="W86" s="225"/>
      <x:c r="X86" s="225"/>
      <x:c r="Y86" s="225"/>
      <x:c r="Z86" s="225"/>
    </x:row>
    <x:row r="87">
      <x:c r="A87" s="225"/>
      <x:c r="B87" s="225"/>
      <x:c r="C87" s="225"/>
      <x:c r="D87" s="225"/>
      <x:c r="E87" s="225"/>
      <x:c r="F87" s="225"/>
      <x:c r="G87" s="225"/>
      <x:c r="H87" s="225"/>
      <x:c r="I87" s="225"/>
      <x:c r="J87" s="225"/>
      <x:c r="K87" s="225"/>
      <x:c r="L87" s="225"/>
      <x:c r="M87" s="225"/>
      <x:c r="N87" s="225"/>
      <x:c r="O87" s="225"/>
      <x:c r="P87" s="225"/>
      <x:c r="Q87" s="225"/>
      <x:c r="R87" s="225"/>
      <x:c r="S87" s="225"/>
      <x:c r="T87" s="225"/>
      <x:c r="U87" s="225"/>
      <x:c r="V87" s="225"/>
      <x:c r="W87" s="225"/>
      <x:c r="X87" s="225"/>
      <x:c r="Y87" s="225"/>
      <x:c r="Z87" s="225"/>
    </x:row>
    <x:row r="88">
      <x:c r="A88" s="225"/>
      <x:c r="B88" s="225"/>
      <x:c r="C88" s="225"/>
      <x:c r="D88" s="225"/>
      <x:c r="E88" s="225"/>
      <x:c r="F88" s="225"/>
      <x:c r="G88" s="225"/>
      <x:c r="H88" s="225"/>
      <x:c r="I88" s="225"/>
      <x:c r="J88" s="225"/>
      <x:c r="K88" s="225"/>
      <x:c r="L88" s="225"/>
      <x:c r="M88" s="225"/>
      <x:c r="N88" s="225"/>
      <x:c r="O88" s="225"/>
      <x:c r="P88" s="225"/>
      <x:c r="Q88" s="225"/>
      <x:c r="R88" s="225"/>
      <x:c r="S88" s="225"/>
      <x:c r="T88" s="225"/>
      <x:c r="U88" s="225"/>
      <x:c r="V88" s="225"/>
      <x:c r="W88" s="225"/>
      <x:c r="X88" s="225"/>
      <x:c r="Y88" s="225"/>
      <x:c r="Z88" s="225"/>
    </x:row>
    <x:row r="89">
      <x:c r="A89" s="225"/>
      <x:c r="B89" s="225"/>
      <x:c r="C89" s="225"/>
      <x:c r="D89" s="225"/>
      <x:c r="E89" s="225"/>
      <x:c r="F89" s="225"/>
      <x:c r="G89" s="225"/>
      <x:c r="H89" s="225"/>
      <x:c r="I89" s="225"/>
      <x:c r="J89" s="225"/>
      <x:c r="K89" s="225"/>
      <x:c r="L89" s="225"/>
      <x:c r="M89" s="225"/>
      <x:c r="N89" s="225"/>
      <x:c r="O89" s="225"/>
      <x:c r="P89" s="225"/>
      <x:c r="Q89" s="225"/>
      <x:c r="R89" s="225"/>
      <x:c r="S89" s="225"/>
      <x:c r="T89" s="225"/>
      <x:c r="U89" s="225"/>
      <x:c r="V89" s="225"/>
      <x:c r="W89" s="225"/>
      <x:c r="X89" s="225"/>
      <x:c r="Y89" s="225"/>
      <x:c r="Z89" s="225"/>
    </x:row>
    <x:row r="90">
      <x:c r="A90" s="225"/>
      <x:c r="B90" s="225"/>
      <x:c r="C90" s="225"/>
      <x:c r="D90" s="225"/>
      <x:c r="E90" s="225"/>
      <x:c r="F90" s="225"/>
      <x:c r="G90" s="225"/>
      <x:c r="H90" s="225"/>
      <x:c r="I90" s="225"/>
      <x:c r="J90" s="225"/>
      <x:c r="K90" s="225"/>
      <x:c r="L90" s="225"/>
      <x:c r="M90" s="225"/>
      <x:c r="N90" s="225"/>
      <x:c r="O90" s="225"/>
      <x:c r="P90" s="225"/>
      <x:c r="Q90" s="225"/>
      <x:c r="R90" s="225"/>
      <x:c r="S90" s="225"/>
      <x:c r="T90" s="225"/>
      <x:c r="U90" s="225"/>
      <x:c r="V90" s="225"/>
      <x:c r="W90" s="225"/>
      <x:c r="X90" s="225"/>
      <x:c r="Y90" s="225"/>
      <x:c r="Z90" s="225"/>
    </x:row>
    <x:row r="91">
      <x:c r="A91" s="225"/>
      <x:c r="B91" s="225"/>
      <x:c r="C91" s="225"/>
      <x:c r="D91" s="225"/>
      <x:c r="E91" s="225"/>
      <x:c r="F91" s="225"/>
      <x:c r="G91" s="225"/>
      <x:c r="H91" s="225"/>
      <x:c r="I91" s="225"/>
      <x:c r="J91" s="225"/>
      <x:c r="K91" s="225"/>
      <x:c r="L91" s="225"/>
      <x:c r="M91" s="225"/>
      <x:c r="N91" s="225"/>
      <x:c r="O91" s="225"/>
      <x:c r="P91" s="225"/>
      <x:c r="Q91" s="225"/>
      <x:c r="R91" s="225"/>
      <x:c r="S91" s="225"/>
      <x:c r="T91" s="225"/>
      <x:c r="U91" s="225"/>
      <x:c r="V91" s="225"/>
      <x:c r="W91" s="225"/>
      <x:c r="X91" s="225"/>
      <x:c r="Y91" s="225"/>
      <x:c r="Z91" s="225"/>
    </x:row>
    <x:row r="92">
      <x:c r="A92" s="225"/>
      <x:c r="B92" s="225"/>
      <x:c r="C92" s="225"/>
      <x:c r="D92" s="225"/>
      <x:c r="E92" s="225"/>
      <x:c r="F92" s="225"/>
      <x:c r="G92" s="225"/>
      <x:c r="H92" s="225"/>
      <x:c r="I92" s="225"/>
      <x:c r="J92" s="225"/>
      <x:c r="K92" s="225"/>
      <x:c r="L92" s="225"/>
      <x:c r="M92" s="225"/>
      <x:c r="N92" s="225"/>
      <x:c r="O92" s="225"/>
      <x:c r="P92" s="225"/>
      <x:c r="Q92" s="225"/>
      <x:c r="R92" s="225"/>
      <x:c r="S92" s="225"/>
      <x:c r="T92" s="225"/>
      <x:c r="U92" s="225"/>
      <x:c r="V92" s="225"/>
      <x:c r="W92" s="225"/>
      <x:c r="X92" s="225"/>
      <x:c r="Y92" s="225"/>
      <x:c r="Z92" s="225"/>
    </x:row>
    <x:row r="93">
      <x:c r="A93" s="225"/>
      <x:c r="B93" s="225"/>
      <x:c r="C93" s="225"/>
      <x:c r="D93" s="225"/>
      <x:c r="E93" s="225"/>
      <x:c r="F93" s="225"/>
      <x:c r="G93" s="225"/>
      <x:c r="H93" s="225"/>
      <x:c r="I93" s="225"/>
      <x:c r="J93" s="225"/>
      <x:c r="K93" s="225"/>
      <x:c r="L93" s="225"/>
      <x:c r="M93" s="225"/>
      <x:c r="N93" s="225"/>
      <x:c r="O93" s="225"/>
      <x:c r="P93" s="225"/>
      <x:c r="Q93" s="225"/>
      <x:c r="R93" s="225"/>
      <x:c r="S93" s="225"/>
      <x:c r="T93" s="225"/>
      <x:c r="U93" s="225"/>
      <x:c r="V93" s="225"/>
      <x:c r="W93" s="225"/>
      <x:c r="X93" s="225"/>
      <x:c r="Y93" s="225"/>
      <x:c r="Z93" s="225"/>
    </x:row>
    <x:row r="94">
      <x:c r="A94" s="225"/>
      <x:c r="B94" s="225"/>
      <x:c r="C94" s="225"/>
      <x:c r="D94" s="225"/>
      <x:c r="E94" s="225"/>
      <x:c r="F94" s="225"/>
      <x:c r="G94" s="225"/>
      <x:c r="H94" s="225"/>
      <x:c r="I94" s="225"/>
      <x:c r="J94" s="225"/>
      <x:c r="K94" s="225"/>
      <x:c r="L94" s="225"/>
      <x:c r="M94" s="225"/>
      <x:c r="N94" s="225"/>
      <x:c r="O94" s="225"/>
      <x:c r="P94" s="225"/>
      <x:c r="Q94" s="225"/>
      <x:c r="R94" s="225"/>
      <x:c r="S94" s="225"/>
      <x:c r="T94" s="225"/>
      <x:c r="U94" s="225"/>
      <x:c r="V94" s="225"/>
      <x:c r="W94" s="225"/>
      <x:c r="X94" s="225"/>
      <x:c r="Y94" s="225"/>
      <x:c r="Z94" s="225"/>
    </x:row>
    <x:row r="95">
      <x:c r="A95" s="225"/>
      <x:c r="B95" s="225"/>
      <x:c r="C95" s="225"/>
      <x:c r="D95" s="225"/>
      <x:c r="E95" s="225"/>
      <x:c r="F95" s="225"/>
      <x:c r="G95" s="225"/>
      <x:c r="H95" s="225"/>
      <x:c r="I95" s="225"/>
      <x:c r="J95" s="225"/>
      <x:c r="K95" s="225"/>
      <x:c r="L95" s="225"/>
      <x:c r="M95" s="225"/>
      <x:c r="N95" s="225"/>
      <x:c r="O95" s="225"/>
      <x:c r="P95" s="225"/>
      <x:c r="Q95" s="225"/>
      <x:c r="R95" s="225"/>
      <x:c r="S95" s="225"/>
      <x:c r="T95" s="225"/>
      <x:c r="U95" s="225"/>
      <x:c r="V95" s="225"/>
      <x:c r="W95" s="225"/>
      <x:c r="X95" s="225"/>
      <x:c r="Y95" s="225"/>
      <x:c r="Z95" s="225"/>
    </x:row>
    <x:row r="96">
      <x:c r="A96" s="225"/>
      <x:c r="B96" s="225"/>
      <x:c r="C96" s="225"/>
      <x:c r="D96" s="225"/>
      <x:c r="E96" s="225"/>
      <x:c r="F96" s="225"/>
      <x:c r="G96" s="225"/>
      <x:c r="H96" s="225"/>
      <x:c r="I96" s="225"/>
      <x:c r="J96" s="225"/>
      <x:c r="K96" s="225"/>
      <x:c r="L96" s="225"/>
      <x:c r="M96" s="225"/>
      <x:c r="N96" s="225"/>
      <x:c r="O96" s="225"/>
      <x:c r="P96" s="225"/>
      <x:c r="Q96" s="225"/>
      <x:c r="R96" s="225"/>
      <x:c r="S96" s="225"/>
      <x:c r="T96" s="225"/>
      <x:c r="U96" s="225"/>
      <x:c r="V96" s="225"/>
      <x:c r="W96" s="225"/>
      <x:c r="X96" s="225"/>
      <x:c r="Y96" s="225"/>
      <x:c r="Z96" s="225"/>
    </x:row>
    <x:row r="97">
      <x:c r="A97" s="225"/>
      <x:c r="B97" s="225"/>
      <x:c r="C97" s="225"/>
      <x:c r="D97" s="225"/>
      <x:c r="E97" s="225"/>
      <x:c r="F97" s="225"/>
      <x:c r="G97" s="225"/>
      <x:c r="H97" s="225"/>
      <x:c r="I97" s="225"/>
      <x:c r="J97" s="225"/>
      <x:c r="K97" s="225"/>
      <x:c r="L97" s="225"/>
      <x:c r="M97" s="225"/>
      <x:c r="N97" s="225"/>
      <x:c r="O97" s="225"/>
      <x:c r="P97" s="225"/>
      <x:c r="Q97" s="225"/>
      <x:c r="R97" s="225"/>
      <x:c r="S97" s="225"/>
      <x:c r="T97" s="225"/>
      <x:c r="U97" s="225"/>
      <x:c r="V97" s="225"/>
      <x:c r="W97" s="225"/>
      <x:c r="X97" s="225"/>
      <x:c r="Y97" s="225"/>
      <x:c r="Z97" s="225"/>
    </x:row>
    <x:row r="98">
      <x:c r="A98" s="225"/>
      <x:c r="B98" s="225"/>
      <x:c r="C98" s="225"/>
      <x:c r="D98" s="225"/>
      <x:c r="E98" s="225"/>
      <x:c r="F98" s="225"/>
      <x:c r="G98" s="225"/>
      <x:c r="H98" s="225"/>
      <x:c r="I98" s="225"/>
      <x:c r="J98" s="225"/>
      <x:c r="K98" s="225"/>
      <x:c r="L98" s="225"/>
      <x:c r="M98" s="225"/>
      <x:c r="N98" s="225"/>
      <x:c r="O98" s="225"/>
      <x:c r="P98" s="225"/>
      <x:c r="Q98" s="225"/>
      <x:c r="R98" s="225"/>
      <x:c r="S98" s="225"/>
      <x:c r="T98" s="225"/>
      <x:c r="U98" s="225"/>
      <x:c r="V98" s="225"/>
      <x:c r="W98" s="225"/>
      <x:c r="X98" s="225"/>
      <x:c r="Y98" s="225"/>
      <x:c r="Z98" s="225"/>
    </x:row>
    <x:row r="99">
      <x:c r="A99" s="225"/>
      <x:c r="B99" s="225"/>
      <x:c r="C99" s="225"/>
      <x:c r="D99" s="225"/>
      <x:c r="E99" s="225"/>
      <x:c r="F99" s="225"/>
      <x:c r="G99" s="225"/>
      <x:c r="H99" s="225"/>
      <x:c r="I99" s="225"/>
      <x:c r="J99" s="225"/>
      <x:c r="K99" s="225"/>
      <x:c r="L99" s="225"/>
      <x:c r="M99" s="225"/>
      <x:c r="N99" s="225"/>
      <x:c r="O99" s="225"/>
      <x:c r="P99" s="225"/>
      <x:c r="Q99" s="225"/>
      <x:c r="R99" s="225"/>
      <x:c r="S99" s="225"/>
      <x:c r="T99" s="225"/>
      <x:c r="U99" s="225"/>
      <x:c r="V99" s="225"/>
      <x:c r="W99" s="225"/>
      <x:c r="X99" s="225"/>
      <x:c r="Y99" s="225"/>
      <x:c r="Z99" s="225"/>
    </x:row>
    <x:row r="100">
      <x:c r="A100" s="225"/>
      <x:c r="B100" s="225"/>
      <x:c r="C100" s="225"/>
      <x:c r="D100" s="225"/>
      <x:c r="E100" s="225"/>
      <x:c r="F100" s="225"/>
      <x:c r="G100" s="225"/>
      <x:c r="H100" s="225"/>
      <x:c r="I100" s="225"/>
      <x:c r="J100" s="225"/>
      <x:c r="K100" s="225"/>
      <x:c r="L100" s="225"/>
      <x:c r="M100" s="225"/>
      <x:c r="N100" s="225"/>
      <x:c r="O100" s="225"/>
      <x:c r="P100" s="225"/>
      <x:c r="Q100" s="225"/>
      <x:c r="R100" s="225"/>
      <x:c r="S100" s="225"/>
      <x:c r="T100" s="225"/>
      <x:c r="U100" s="225"/>
      <x:c r="V100" s="225"/>
      <x:c r="W100" s="225"/>
      <x:c r="X100" s="225"/>
      <x:c r="Y100" s="225"/>
      <x:c r="Z100" s="225"/>
    </x:row>
    <x:row r="101">
      <x:c r="A101" s="225"/>
      <x:c r="B101" s="225"/>
      <x:c r="C101" s="225"/>
      <x:c r="D101" s="225"/>
      <x:c r="E101" s="225"/>
      <x:c r="F101" s="225"/>
      <x:c r="G101" s="225"/>
      <x:c r="H101" s="225"/>
      <x:c r="I101" s="225"/>
      <x:c r="J101" s="225"/>
      <x:c r="K101" s="225"/>
      <x:c r="L101" s="225"/>
      <x:c r="M101" s="225"/>
      <x:c r="N101" s="225"/>
      <x:c r="O101" s="225"/>
      <x:c r="P101" s="225"/>
      <x:c r="Q101" s="225"/>
      <x:c r="R101" s="225"/>
      <x:c r="S101" s="225"/>
      <x:c r="T101" s="225"/>
      <x:c r="U101" s="225"/>
      <x:c r="V101" s="225"/>
      <x:c r="W101" s="225"/>
      <x:c r="X101" s="225"/>
      <x:c r="Y101" s="225"/>
      <x:c r="Z101" s="225"/>
    </x:row>
    <x:row r="102">
      <x:c r="A102" s="225"/>
      <x:c r="B102" s="225"/>
      <x:c r="C102" s="225"/>
      <x:c r="D102" s="225"/>
      <x:c r="E102" s="225"/>
      <x:c r="F102" s="225"/>
      <x:c r="G102" s="225"/>
      <x:c r="H102" s="225"/>
      <x:c r="I102" s="225"/>
      <x:c r="J102" s="225"/>
      <x:c r="K102" s="225"/>
      <x:c r="L102" s="225"/>
      <x:c r="M102" s="225"/>
      <x:c r="N102" s="225"/>
      <x:c r="O102" s="225"/>
      <x:c r="P102" s="225"/>
      <x:c r="Q102" s="225"/>
      <x:c r="R102" s="225"/>
      <x:c r="S102" s="225"/>
      <x:c r="T102" s="225"/>
      <x:c r="U102" s="225"/>
      <x:c r="V102" s="225"/>
      <x:c r="W102" s="225"/>
      <x:c r="X102" s="225"/>
      <x:c r="Y102" s="225"/>
      <x:c r="Z102" s="225"/>
    </x:row>
    <x:row r="103">
      <x:c r="A103" s="225"/>
      <x:c r="B103" s="225"/>
      <x:c r="C103" s="225"/>
      <x:c r="D103" s="225"/>
      <x:c r="E103" s="225"/>
      <x:c r="F103" s="225"/>
      <x:c r="G103" s="225"/>
      <x:c r="H103" s="225"/>
      <x:c r="I103" s="225"/>
      <x:c r="J103" s="225"/>
      <x:c r="K103" s="225"/>
      <x:c r="L103" s="225"/>
      <x:c r="M103" s="225"/>
      <x:c r="N103" s="225"/>
      <x:c r="O103" s="225"/>
      <x:c r="P103" s="225"/>
      <x:c r="Q103" s="225"/>
      <x:c r="R103" s="225"/>
      <x:c r="S103" s="225"/>
      <x:c r="T103" s="225"/>
      <x:c r="U103" s="225"/>
      <x:c r="V103" s="225"/>
      <x:c r="W103" s="225"/>
      <x:c r="X103" s="225"/>
      <x:c r="Y103" s="225"/>
      <x:c r="Z103" s="225"/>
    </x:row>
    <x:row r="104">
      <x:c r="A104" s="225"/>
      <x:c r="B104" s="225"/>
      <x:c r="C104" s="225"/>
      <x:c r="D104" s="225"/>
      <x:c r="E104" s="225"/>
      <x:c r="F104" s="225"/>
      <x:c r="G104" s="225"/>
      <x:c r="H104" s="225"/>
      <x:c r="I104" s="225"/>
      <x:c r="J104" s="225"/>
      <x:c r="K104" s="225"/>
      <x:c r="L104" s="225"/>
      <x:c r="M104" s="225"/>
      <x:c r="N104" s="225"/>
      <x:c r="O104" s="225"/>
      <x:c r="P104" s="225"/>
      <x:c r="Q104" s="225"/>
      <x:c r="R104" s="225"/>
      <x:c r="S104" s="225"/>
      <x:c r="T104" s="225"/>
      <x:c r="U104" s="225"/>
      <x:c r="V104" s="225"/>
      <x:c r="W104" s="225"/>
      <x:c r="X104" s="225"/>
      <x:c r="Y104" s="225"/>
      <x:c r="Z104" s="225"/>
    </x:row>
    <x:row r="105">
      <x:c r="A105" s="225"/>
      <x:c r="B105" s="225"/>
      <x:c r="C105" s="225"/>
      <x:c r="D105" s="225"/>
      <x:c r="E105" s="225"/>
      <x:c r="F105" s="225"/>
      <x:c r="G105" s="225"/>
      <x:c r="H105" s="225"/>
      <x:c r="I105" s="225"/>
      <x:c r="J105" s="225"/>
      <x:c r="K105" s="225"/>
      <x:c r="L105" s="225"/>
      <x:c r="M105" s="225"/>
      <x:c r="N105" s="225"/>
      <x:c r="O105" s="225"/>
      <x:c r="P105" s="225"/>
      <x:c r="Q105" s="225"/>
      <x:c r="R105" s="225"/>
      <x:c r="S105" s="225"/>
      <x:c r="T105" s="225"/>
      <x:c r="U105" s="225"/>
      <x:c r="V105" s="225"/>
      <x:c r="W105" s="225"/>
      <x:c r="X105" s="225"/>
      <x:c r="Y105" s="225"/>
      <x:c r="Z105" s="225"/>
    </x:row>
    <x:row r="106">
      <x:c r="A106" s="225"/>
      <x:c r="B106" s="225"/>
      <x:c r="C106" s="225"/>
      <x:c r="D106" s="225"/>
      <x:c r="E106" s="225"/>
      <x:c r="F106" s="225"/>
      <x:c r="G106" s="225"/>
      <x:c r="H106" s="225"/>
      <x:c r="I106" s="225"/>
      <x:c r="J106" s="225"/>
      <x:c r="K106" s="225"/>
      <x:c r="L106" s="225"/>
      <x:c r="M106" s="225"/>
      <x:c r="N106" s="225"/>
      <x:c r="O106" s="225"/>
      <x:c r="P106" s="225"/>
      <x:c r="Q106" s="225"/>
      <x:c r="R106" s="225"/>
      <x:c r="S106" s="225"/>
      <x:c r="T106" s="225"/>
      <x:c r="U106" s="225"/>
      <x:c r="V106" s="225"/>
      <x:c r="W106" s="225"/>
      <x:c r="X106" s="225"/>
      <x:c r="Y106" s="225"/>
      <x:c r="Z106" s="225"/>
    </x:row>
    <x:row r="107">
      <x:c r="A107" s="225"/>
      <x:c r="B107" s="225"/>
      <x:c r="C107" s="225"/>
      <x:c r="D107" s="225"/>
      <x:c r="E107" s="225"/>
      <x:c r="F107" s="225"/>
      <x:c r="G107" s="225"/>
      <x:c r="H107" s="225"/>
      <x:c r="I107" s="225"/>
      <x:c r="J107" s="225"/>
      <x:c r="K107" s="225"/>
      <x:c r="L107" s="225"/>
      <x:c r="M107" s="225"/>
      <x:c r="N107" s="225"/>
      <x:c r="O107" s="225"/>
      <x:c r="P107" s="225"/>
      <x:c r="Q107" s="225"/>
      <x:c r="R107" s="225"/>
      <x:c r="S107" s="225"/>
      <x:c r="T107" s="225"/>
      <x:c r="U107" s="225"/>
      <x:c r="V107" s="225"/>
      <x:c r="W107" s="225"/>
      <x:c r="X107" s="225"/>
      <x:c r="Y107" s="225"/>
      <x:c r="Z107" s="225"/>
    </x:row>
    <x:row r="108">
      <x:c r="A108" s="225"/>
      <x:c r="B108" s="225"/>
      <x:c r="C108" s="225"/>
      <x:c r="D108" s="225"/>
      <x:c r="E108" s="225"/>
      <x:c r="F108" s="225"/>
      <x:c r="G108" s="225"/>
      <x:c r="H108" s="225"/>
      <x:c r="I108" s="225"/>
      <x:c r="J108" s="225"/>
      <x:c r="K108" s="225"/>
      <x:c r="L108" s="225"/>
      <x:c r="M108" s="225"/>
      <x:c r="N108" s="225"/>
      <x:c r="O108" s="225"/>
      <x:c r="P108" s="225"/>
      <x:c r="Q108" s="225"/>
      <x:c r="R108" s="225"/>
      <x:c r="S108" s="225"/>
      <x:c r="T108" s="225"/>
      <x:c r="U108" s="225"/>
      <x:c r="V108" s="225"/>
      <x:c r="W108" s="225"/>
      <x:c r="X108" s="225"/>
      <x:c r="Y108" s="225"/>
      <x:c r="Z108" s="225"/>
    </x:row>
    <x:row r="109">
      <x:c r="A109" s="225"/>
      <x:c r="B109" s="225"/>
      <x:c r="C109" s="225"/>
      <x:c r="D109" s="225"/>
      <x:c r="E109" s="225"/>
      <x:c r="F109" s="225"/>
      <x:c r="G109" s="225"/>
      <x:c r="H109" s="225"/>
      <x:c r="I109" s="225"/>
      <x:c r="J109" s="225"/>
      <x:c r="K109" s="225"/>
      <x:c r="L109" s="225"/>
      <x:c r="M109" s="225"/>
      <x:c r="N109" s="225"/>
      <x:c r="O109" s="225"/>
      <x:c r="P109" s="225"/>
      <x:c r="Q109" s="225"/>
      <x:c r="R109" s="225"/>
      <x:c r="S109" s="225"/>
      <x:c r="T109" s="225"/>
      <x:c r="U109" s="225"/>
      <x:c r="V109" s="225"/>
      <x:c r="W109" s="225"/>
      <x:c r="X109" s="225"/>
      <x:c r="Y109" s="225"/>
      <x:c r="Z109" s="225"/>
    </x:row>
    <x:row r="110">
      <x:c r="A110" s="225"/>
      <x:c r="B110" s="225"/>
      <x:c r="C110" s="225"/>
      <x:c r="D110" s="225"/>
      <x:c r="E110" s="225"/>
      <x:c r="F110" s="225"/>
      <x:c r="G110" s="225"/>
      <x:c r="H110" s="225"/>
      <x:c r="I110" s="225"/>
      <x:c r="J110" s="225"/>
      <x:c r="K110" s="225"/>
      <x:c r="L110" s="225"/>
      <x:c r="M110" s="225"/>
      <x:c r="N110" s="225"/>
      <x:c r="O110" s="225"/>
      <x:c r="P110" s="225"/>
      <x:c r="Q110" s="225"/>
      <x:c r="R110" s="225"/>
      <x:c r="S110" s="225"/>
      <x:c r="T110" s="225"/>
      <x:c r="U110" s="225"/>
      <x:c r="V110" s="225"/>
      <x:c r="W110" s="225"/>
      <x:c r="X110" s="225"/>
      <x:c r="Y110" s="225"/>
      <x:c r="Z110" s="225"/>
    </x:row>
    <x:row r="111">
      <x:c r="A111" s="225"/>
      <x:c r="B111" s="225"/>
      <x:c r="C111" s="225"/>
      <x:c r="D111" s="225"/>
      <x:c r="E111" s="225"/>
      <x:c r="F111" s="225"/>
      <x:c r="G111" s="225"/>
      <x:c r="H111" s="225"/>
      <x:c r="I111" s="225"/>
      <x:c r="J111" s="225"/>
      <x:c r="K111" s="225"/>
      <x:c r="L111" s="225"/>
      <x:c r="M111" s="225"/>
      <x:c r="N111" s="225"/>
      <x:c r="O111" s="225"/>
      <x:c r="P111" s="225"/>
      <x:c r="Q111" s="225"/>
      <x:c r="R111" s="225"/>
      <x:c r="S111" s="225"/>
      <x:c r="T111" s="225"/>
      <x:c r="U111" s="225"/>
      <x:c r="V111" s="225"/>
      <x:c r="W111" s="225"/>
      <x:c r="X111" s="225"/>
      <x:c r="Y111" s="225"/>
      <x:c r="Z111" s="225"/>
    </x:row>
    <x:row r="112">
      <x:c r="A112" s="225"/>
      <x:c r="B112" s="225"/>
      <x:c r="C112" s="225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5"/>
      <x:c r="P112" s="225"/>
      <x:c r="Q112" s="225"/>
      <x:c r="R112" s="225"/>
      <x:c r="S112" s="225"/>
      <x:c r="T112" s="225"/>
      <x:c r="U112" s="225"/>
      <x:c r="V112" s="225"/>
      <x:c r="W112" s="225"/>
      <x:c r="X112" s="225"/>
      <x:c r="Y112" s="225"/>
      <x:c r="Z112" s="225"/>
    </x:row>
    <x:row r="113">
      <x:c r="A113" s="225"/>
      <x:c r="B113" s="225"/>
      <x:c r="C113" s="225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5"/>
      <x:c r="P113" s="225"/>
      <x:c r="Q113" s="225"/>
      <x:c r="R113" s="225"/>
      <x:c r="S113" s="225"/>
      <x:c r="T113" s="225"/>
      <x:c r="U113" s="225"/>
      <x:c r="V113" s="225"/>
      <x:c r="W113" s="225"/>
      <x:c r="X113" s="225"/>
      <x:c r="Y113" s="225"/>
      <x:c r="Z113" s="225"/>
    </x:row>
    <x:row r="114">
      <x:c r="A114" s="225"/>
      <x:c r="B114" s="225"/>
      <x:c r="C114" s="225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5"/>
      <x:c r="P114" s="225"/>
      <x:c r="Q114" s="225"/>
      <x:c r="R114" s="225"/>
      <x:c r="S114" s="225"/>
      <x:c r="T114" s="225"/>
      <x:c r="U114" s="225"/>
      <x:c r="V114" s="225"/>
      <x:c r="W114" s="225"/>
      <x:c r="X114" s="225"/>
      <x:c r="Y114" s="225"/>
      <x:c r="Z114" s="225"/>
    </x:row>
    <x:row r="115">
      <x:c r="A115" s="225"/>
      <x:c r="B115" s="225"/>
      <x:c r="C115" s="225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5"/>
      <x:c r="P115" s="225"/>
      <x:c r="Q115" s="225"/>
      <x:c r="R115" s="225"/>
      <x:c r="S115" s="225"/>
      <x:c r="T115" s="225"/>
      <x:c r="U115" s="225"/>
      <x:c r="V115" s="225"/>
      <x:c r="W115" s="225"/>
      <x:c r="X115" s="225"/>
      <x:c r="Y115" s="225"/>
      <x:c r="Z115" s="225"/>
    </x:row>
    <x:row r="116">
      <x:c r="A116" s="225"/>
      <x:c r="B116" s="225"/>
      <x:c r="C116" s="225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5"/>
      <x:c r="P116" s="225"/>
      <x:c r="Q116" s="225"/>
      <x:c r="R116" s="225"/>
      <x:c r="S116" s="225"/>
      <x:c r="T116" s="225"/>
      <x:c r="U116" s="225"/>
      <x:c r="V116" s="225"/>
      <x:c r="W116" s="225"/>
      <x:c r="X116" s="225"/>
      <x:c r="Y116" s="225"/>
      <x:c r="Z116" s="225"/>
    </x:row>
    <x:row r="117">
      <x:c r="A117" s="225"/>
      <x:c r="B117" s="225"/>
      <x:c r="C117" s="225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5"/>
      <x:c r="P117" s="225"/>
      <x:c r="Q117" s="225"/>
      <x:c r="R117" s="225"/>
      <x:c r="S117" s="225"/>
      <x:c r="T117" s="225"/>
      <x:c r="U117" s="225"/>
      <x:c r="V117" s="225"/>
      <x:c r="W117" s="225"/>
      <x:c r="X117" s="225"/>
      <x:c r="Y117" s="225"/>
      <x:c r="Z117" s="225"/>
    </x:row>
    <x:row r="118">
      <x:c r="A118" s="225"/>
      <x:c r="B118" s="225"/>
      <x:c r="C118" s="225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5"/>
      <x:c r="P118" s="225"/>
      <x:c r="Q118" s="225"/>
      <x:c r="R118" s="225"/>
      <x:c r="S118" s="225"/>
      <x:c r="T118" s="225"/>
      <x:c r="U118" s="225"/>
      <x:c r="V118" s="225"/>
      <x:c r="W118" s="225"/>
      <x:c r="X118" s="225"/>
      <x:c r="Y118" s="225"/>
      <x:c r="Z118" s="225"/>
    </x:row>
    <x:row r="119">
      <x:c r="A119" s="225"/>
      <x:c r="B119" s="225"/>
      <x:c r="C119" s="225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5"/>
      <x:c r="P119" s="225"/>
      <x:c r="Q119" s="225"/>
      <x:c r="R119" s="225"/>
      <x:c r="S119" s="225"/>
      <x:c r="T119" s="225"/>
      <x:c r="U119" s="225"/>
      <x:c r="V119" s="225"/>
      <x:c r="W119" s="225"/>
      <x:c r="X119" s="225"/>
      <x:c r="Y119" s="225"/>
      <x:c r="Z119" s="225"/>
    </x:row>
    <x:row r="120">
      <x:c r="A120" s="225"/>
      <x:c r="B120" s="225"/>
      <x:c r="C120" s="225"/>
      <x:c r="D120" s="225"/>
      <x:c r="E120" s="225"/>
      <x:c r="F120" s="225"/>
      <x:c r="G120" s="225"/>
      <x:c r="H120" s="225"/>
      <x:c r="I120" s="225"/>
      <x:c r="J120" s="225"/>
      <x:c r="K120" s="225"/>
      <x:c r="L120" s="225"/>
      <x:c r="M120" s="225"/>
      <x:c r="N120" s="225"/>
      <x:c r="O120" s="225"/>
      <x:c r="P120" s="225"/>
      <x:c r="Q120" s="225"/>
      <x:c r="R120" s="225"/>
      <x:c r="S120" s="225"/>
      <x:c r="T120" s="225"/>
      <x:c r="U120" s="225"/>
      <x:c r="V120" s="225"/>
      <x:c r="W120" s="225"/>
      <x:c r="X120" s="225"/>
      <x:c r="Y120" s="225"/>
      <x:c r="Z120" s="225"/>
    </x:row>
    <x:row r="121">
      <x:c r="A121" s="225"/>
      <x:c r="B121" s="225"/>
      <x:c r="C121" s="225"/>
      <x:c r="D121" s="225"/>
      <x:c r="E121" s="225"/>
      <x:c r="F121" s="225"/>
      <x:c r="G121" s="225"/>
      <x:c r="H121" s="225"/>
      <x:c r="I121" s="225"/>
      <x:c r="J121" s="225"/>
      <x:c r="K121" s="225"/>
      <x:c r="L121" s="225"/>
      <x:c r="M121" s="225"/>
      <x:c r="N121" s="225"/>
      <x:c r="O121" s="225"/>
      <x:c r="P121" s="225"/>
      <x:c r="Q121" s="225"/>
      <x:c r="R121" s="225"/>
      <x:c r="S121" s="225"/>
      <x:c r="T121" s="225"/>
      <x:c r="U121" s="225"/>
      <x:c r="V121" s="225"/>
      <x:c r="W121" s="225"/>
      <x:c r="X121" s="225"/>
      <x:c r="Y121" s="225"/>
      <x:c r="Z121" s="225"/>
    </x:row>
    <x:row r="122">
      <x:c r="A122" s="225"/>
      <x:c r="B122" s="225"/>
      <x:c r="C122" s="225"/>
      <x:c r="D122" s="225"/>
      <x:c r="E122" s="225"/>
      <x:c r="F122" s="225"/>
      <x:c r="G122" s="225"/>
      <x:c r="H122" s="225"/>
      <x:c r="I122" s="225"/>
      <x:c r="J122" s="225"/>
      <x:c r="K122" s="225"/>
      <x:c r="L122" s="225"/>
      <x:c r="M122" s="225"/>
      <x:c r="N122" s="225"/>
      <x:c r="O122" s="225"/>
      <x:c r="P122" s="225"/>
      <x:c r="Q122" s="225"/>
      <x:c r="R122" s="225"/>
      <x:c r="S122" s="225"/>
      <x:c r="T122" s="225"/>
      <x:c r="U122" s="225"/>
      <x:c r="V122" s="225"/>
      <x:c r="W122" s="225"/>
      <x:c r="X122" s="225"/>
      <x:c r="Y122" s="225"/>
      <x:c r="Z122" s="225"/>
    </x:row>
    <x:row r="123">
      <x:c r="A123" s="225"/>
      <x:c r="B123" s="225"/>
      <x:c r="C123" s="225"/>
      <x:c r="D123" s="225"/>
      <x:c r="E123" s="225"/>
      <x:c r="F123" s="225"/>
      <x:c r="G123" s="225"/>
      <x:c r="H123" s="225"/>
      <x:c r="I123" s="225"/>
      <x:c r="J123" s="225"/>
      <x:c r="K123" s="225"/>
      <x:c r="L123" s="225"/>
      <x:c r="M123" s="225"/>
      <x:c r="N123" s="225"/>
      <x:c r="O123" s="225"/>
      <x:c r="P123" s="225"/>
      <x:c r="Q123" s="225"/>
      <x:c r="R123" s="225"/>
      <x:c r="S123" s="225"/>
      <x:c r="T123" s="225"/>
      <x:c r="U123" s="225"/>
      <x:c r="V123" s="225"/>
      <x:c r="W123" s="225"/>
      <x:c r="X123" s="225"/>
      <x:c r="Y123" s="225"/>
      <x:c r="Z123" s="225"/>
    </x:row>
    <x:row r="124">
      <x:c r="A124" s="225"/>
      <x:c r="B124" s="225"/>
      <x:c r="C124" s="225"/>
      <x:c r="D124" s="225"/>
      <x:c r="E124" s="225"/>
      <x:c r="F124" s="225"/>
      <x:c r="G124" s="225"/>
      <x:c r="H124" s="225"/>
      <x:c r="I124" s="225"/>
      <x:c r="J124" s="225"/>
      <x:c r="K124" s="225"/>
      <x:c r="L124" s="225"/>
      <x:c r="M124" s="225"/>
      <x:c r="N124" s="225"/>
      <x:c r="O124" s="225"/>
      <x:c r="P124" s="225"/>
      <x:c r="Q124" s="225"/>
      <x:c r="R124" s="225"/>
      <x:c r="S124" s="225"/>
      <x:c r="T124" s="225"/>
      <x:c r="U124" s="225"/>
      <x:c r="V124" s="225"/>
      <x:c r="W124" s="225"/>
      <x:c r="X124" s="225"/>
      <x:c r="Y124" s="225"/>
      <x:c r="Z124" s="225"/>
    </x:row>
    <x:row r="125">
      <x:c r="A125" s="225"/>
      <x:c r="B125" s="225"/>
      <x:c r="C125" s="225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5"/>
      <x:c r="P125" s="225"/>
      <x:c r="Q125" s="225"/>
      <x:c r="R125" s="225"/>
      <x:c r="S125" s="225"/>
      <x:c r="T125" s="225"/>
      <x:c r="U125" s="225"/>
      <x:c r="V125" s="225"/>
      <x:c r="W125" s="225"/>
      <x:c r="X125" s="225"/>
      <x:c r="Y125" s="225"/>
      <x:c r="Z125" s="225"/>
    </x:row>
    <x:row r="126">
      <x:c r="A126" s="225"/>
      <x:c r="B126" s="225"/>
      <x:c r="C126" s="225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5"/>
      <x:c r="P126" s="225"/>
      <x:c r="Q126" s="225"/>
      <x:c r="R126" s="225"/>
      <x:c r="S126" s="225"/>
      <x:c r="T126" s="225"/>
      <x:c r="U126" s="225"/>
      <x:c r="V126" s="225"/>
      <x:c r="W126" s="225"/>
      <x:c r="X126" s="225"/>
      <x:c r="Y126" s="225"/>
      <x:c r="Z126" s="225"/>
    </x:row>
    <x:row r="127">
      <x:c r="A127" s="225"/>
      <x:c r="B127" s="225"/>
      <x:c r="C127" s="225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5"/>
      <x:c r="P127" s="225"/>
      <x:c r="Q127" s="225"/>
      <x:c r="R127" s="225"/>
      <x:c r="S127" s="225"/>
      <x:c r="T127" s="225"/>
      <x:c r="U127" s="225"/>
      <x:c r="V127" s="225"/>
      <x:c r="W127" s="225"/>
      <x:c r="X127" s="225"/>
      <x:c r="Y127" s="225"/>
      <x:c r="Z127" s="225"/>
    </x:row>
    <x:row r="128">
      <x:c r="A128" s="225"/>
      <x:c r="B128" s="225"/>
      <x:c r="C128" s="225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5"/>
      <x:c r="P128" s="225"/>
      <x:c r="Q128" s="225"/>
      <x:c r="R128" s="225"/>
      <x:c r="S128" s="225"/>
      <x:c r="T128" s="225"/>
      <x:c r="U128" s="225"/>
      <x:c r="V128" s="225"/>
      <x:c r="W128" s="225"/>
      <x:c r="X128" s="225"/>
      <x:c r="Y128" s="225"/>
      <x:c r="Z128" s="225"/>
    </x:row>
    <x:row r="129">
      <x:c r="A129" s="225"/>
      <x:c r="B129" s="225"/>
      <x:c r="C129" s="225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5"/>
      <x:c r="P129" s="225"/>
      <x:c r="Q129" s="225"/>
      <x:c r="R129" s="225"/>
      <x:c r="S129" s="225"/>
      <x:c r="T129" s="225"/>
      <x:c r="U129" s="225"/>
      <x:c r="V129" s="225"/>
      <x:c r="W129" s="225"/>
      <x:c r="X129" s="225"/>
      <x:c r="Y129" s="225"/>
      <x:c r="Z129" s="225"/>
    </x:row>
    <x:row r="130">
      <x:c r="A130" s="225"/>
      <x:c r="B130" s="225"/>
      <x:c r="C130" s="225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5"/>
      <x:c r="P130" s="225"/>
      <x:c r="Q130" s="225"/>
      <x:c r="R130" s="225"/>
      <x:c r="S130" s="225"/>
      <x:c r="T130" s="225"/>
      <x:c r="U130" s="225"/>
      <x:c r="V130" s="225"/>
      <x:c r="W130" s="225"/>
      <x:c r="X130" s="225"/>
      <x:c r="Y130" s="225"/>
      <x:c r="Z130" s="225"/>
    </x:row>
    <x:row r="131">
      <x:c r="A131" s="225"/>
      <x:c r="B131" s="225"/>
      <x:c r="C131" s="225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5"/>
      <x:c r="P131" s="225"/>
      <x:c r="Q131" s="225"/>
      <x:c r="R131" s="225"/>
      <x:c r="S131" s="225"/>
      <x:c r="T131" s="225"/>
      <x:c r="U131" s="225"/>
      <x:c r="V131" s="225"/>
      <x:c r="W131" s="225"/>
      <x:c r="X131" s="225"/>
      <x:c r="Y131" s="225"/>
      <x:c r="Z131" s="225"/>
    </x:row>
    <x:row r="132">
      <x:c r="A132" s="225"/>
      <x:c r="B132" s="225"/>
      <x:c r="C132" s="225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5"/>
      <x:c r="P132" s="225"/>
      <x:c r="Q132" s="225"/>
      <x:c r="R132" s="225"/>
      <x:c r="S132" s="225"/>
      <x:c r="T132" s="225"/>
      <x:c r="U132" s="225"/>
      <x:c r="V132" s="225"/>
      <x:c r="W132" s="225"/>
      <x:c r="X132" s="225"/>
      <x:c r="Y132" s="225"/>
      <x:c r="Z132" s="225"/>
    </x:row>
    <x:row r="133">
      <x:c r="A133" s="225"/>
      <x:c r="B133" s="225"/>
      <x:c r="C133" s="225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5"/>
      <x:c r="P133" s="225"/>
      <x:c r="Q133" s="225"/>
      <x:c r="R133" s="225"/>
      <x:c r="S133" s="225"/>
      <x:c r="T133" s="225"/>
      <x:c r="U133" s="225"/>
      <x:c r="V133" s="225"/>
      <x:c r="W133" s="225"/>
      <x:c r="X133" s="225"/>
      <x:c r="Y133" s="225"/>
      <x:c r="Z133" s="225"/>
    </x:row>
    <x:row r="134">
      <x:c r="A134" s="225"/>
      <x:c r="B134" s="225"/>
      <x:c r="C134" s="225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5"/>
      <x:c r="P134" s="225"/>
      <x:c r="Q134" s="225"/>
      <x:c r="R134" s="225"/>
      <x:c r="S134" s="225"/>
      <x:c r="T134" s="225"/>
      <x:c r="U134" s="225"/>
      <x:c r="V134" s="225"/>
      <x:c r="W134" s="225"/>
      <x:c r="X134" s="225"/>
      <x:c r="Y134" s="225"/>
      <x:c r="Z134" s="225"/>
    </x:row>
    <x:row r="135">
      <x:c r="A135" s="225"/>
      <x:c r="B135" s="225"/>
      <x:c r="C135" s="225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5"/>
      <x:c r="P135" s="225"/>
      <x:c r="Q135" s="225"/>
      <x:c r="R135" s="225"/>
      <x:c r="S135" s="225"/>
      <x:c r="T135" s="225"/>
      <x:c r="U135" s="225"/>
      <x:c r="V135" s="225"/>
      <x:c r="W135" s="225"/>
      <x:c r="X135" s="225"/>
      <x:c r="Y135" s="225"/>
      <x:c r="Z135" s="225"/>
    </x:row>
    <x:row r="136">
      <x:c r="A136" s="225"/>
      <x:c r="B136" s="225"/>
      <x:c r="C136" s="225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5"/>
      <x:c r="P136" s="225"/>
      <x:c r="Q136" s="225"/>
      <x:c r="R136" s="225"/>
      <x:c r="S136" s="225"/>
      <x:c r="T136" s="225"/>
      <x:c r="U136" s="225"/>
      <x:c r="V136" s="225"/>
      <x:c r="W136" s="225"/>
      <x:c r="X136" s="225"/>
      <x:c r="Y136" s="225"/>
      <x:c r="Z136" s="225"/>
    </x:row>
    <x:row r="137">
      <x:c r="A137" s="225"/>
      <x:c r="B137" s="225"/>
      <x:c r="C137" s="225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5"/>
      <x:c r="P137" s="225"/>
      <x:c r="Q137" s="225"/>
      <x:c r="R137" s="225"/>
      <x:c r="S137" s="225"/>
      <x:c r="T137" s="225"/>
      <x:c r="U137" s="225"/>
      <x:c r="V137" s="225"/>
      <x:c r="W137" s="225"/>
      <x:c r="X137" s="225"/>
      <x:c r="Y137" s="225"/>
      <x:c r="Z137" s="225"/>
    </x:row>
    <x:row r="138">
      <x:c r="A138" s="225"/>
      <x:c r="B138" s="225"/>
      <x:c r="C138" s="225"/>
      <x:c r="D138" s="225"/>
      <x:c r="E138" s="225"/>
      <x:c r="F138" s="225"/>
      <x:c r="G138" s="225"/>
      <x:c r="H138" s="225"/>
      <x:c r="I138" s="225"/>
      <x:c r="J138" s="225"/>
      <x:c r="K138" s="225"/>
      <x:c r="L138" s="225"/>
      <x:c r="M138" s="225"/>
      <x:c r="N138" s="225"/>
      <x:c r="O138" s="225"/>
      <x:c r="P138" s="225"/>
      <x:c r="Q138" s="225"/>
      <x:c r="R138" s="225"/>
      <x:c r="S138" s="225"/>
      <x:c r="T138" s="225"/>
      <x:c r="U138" s="225"/>
      <x:c r="V138" s="225"/>
      <x:c r="W138" s="225"/>
      <x:c r="X138" s="225"/>
      <x:c r="Y138" s="225"/>
      <x:c r="Z138" s="225"/>
    </x:row>
    <x:row r="139">
      <x:c r="A139" s="225"/>
      <x:c r="B139" s="225"/>
      <x:c r="C139" s="225"/>
      <x:c r="D139" s="225"/>
      <x:c r="E139" s="225"/>
      <x:c r="F139" s="225"/>
      <x:c r="G139" s="225"/>
      <x:c r="H139" s="225"/>
      <x:c r="I139" s="225"/>
      <x:c r="J139" s="225"/>
      <x:c r="K139" s="225"/>
      <x:c r="L139" s="225"/>
      <x:c r="M139" s="225"/>
      <x:c r="N139" s="225"/>
      <x:c r="O139" s="225"/>
      <x:c r="P139" s="225"/>
      <x:c r="Q139" s="225"/>
      <x:c r="R139" s="225"/>
      <x:c r="S139" s="225"/>
      <x:c r="T139" s="225"/>
      <x:c r="U139" s="225"/>
      <x:c r="V139" s="225"/>
      <x:c r="W139" s="225"/>
      <x:c r="X139" s="225"/>
      <x:c r="Y139" s="225"/>
      <x:c r="Z139" s="225"/>
    </x:row>
    <x:row r="140">
      <x:c r="A140" s="225"/>
      <x:c r="B140" s="225"/>
      <x:c r="C140" s="225"/>
      <x:c r="D140" s="225"/>
      <x:c r="E140" s="225"/>
      <x:c r="F140" s="225"/>
      <x:c r="G140" s="225"/>
      <x:c r="H140" s="225"/>
      <x:c r="I140" s="225"/>
      <x:c r="J140" s="225"/>
      <x:c r="K140" s="225"/>
      <x:c r="L140" s="225"/>
      <x:c r="M140" s="225"/>
      <x:c r="N140" s="225"/>
      <x:c r="O140" s="225"/>
      <x:c r="P140" s="225"/>
      <x:c r="Q140" s="225"/>
      <x:c r="R140" s="225"/>
      <x:c r="S140" s="225"/>
      <x:c r="T140" s="225"/>
      <x:c r="U140" s="225"/>
      <x:c r="V140" s="225"/>
      <x:c r="W140" s="225"/>
      <x:c r="X140" s="225"/>
      <x:c r="Y140" s="225"/>
      <x:c r="Z140" s="225"/>
    </x:row>
    <x:row r="141">
      <x:c r="A141" s="225"/>
      <x:c r="B141" s="225"/>
      <x:c r="C141" s="225"/>
      <x:c r="D141" s="225"/>
      <x:c r="E141" s="225"/>
      <x:c r="F141" s="225"/>
      <x:c r="G141" s="225"/>
      <x:c r="H141" s="225"/>
      <x:c r="I141" s="225"/>
      <x:c r="J141" s="225"/>
      <x:c r="K141" s="225"/>
      <x:c r="L141" s="225"/>
      <x:c r="M141" s="225"/>
      <x:c r="N141" s="225"/>
      <x:c r="O141" s="225"/>
      <x:c r="P141" s="225"/>
      <x:c r="Q141" s="225"/>
      <x:c r="R141" s="225"/>
      <x:c r="S141" s="225"/>
      <x:c r="T141" s="225"/>
      <x:c r="U141" s="225"/>
      <x:c r="V141" s="225"/>
      <x:c r="W141" s="225"/>
      <x:c r="X141" s="225"/>
      <x:c r="Y141" s="225"/>
      <x:c r="Z141" s="225"/>
    </x:row>
    <x:row r="142">
      <x:c r="A142" s="225"/>
      <x:c r="B142" s="225"/>
      <x:c r="C142" s="225"/>
      <x:c r="D142" s="225"/>
      <x:c r="E142" s="225"/>
      <x:c r="F142" s="225"/>
      <x:c r="G142" s="225"/>
      <x:c r="H142" s="225"/>
      <x:c r="I142" s="225"/>
      <x:c r="J142" s="225"/>
      <x:c r="K142" s="225"/>
      <x:c r="L142" s="225"/>
      <x:c r="M142" s="225"/>
      <x:c r="N142" s="225"/>
      <x:c r="O142" s="225"/>
      <x:c r="P142" s="225"/>
      <x:c r="Q142" s="225"/>
      <x:c r="R142" s="225"/>
      <x:c r="S142" s="225"/>
      <x:c r="T142" s="225"/>
      <x:c r="U142" s="225"/>
      <x:c r="V142" s="225"/>
      <x:c r="W142" s="225"/>
      <x:c r="X142" s="225"/>
      <x:c r="Y142" s="225"/>
      <x:c r="Z142" s="225"/>
    </x:row>
    <x:row r="143">
      <x:c r="A143" s="225"/>
      <x:c r="B143" s="225"/>
      <x:c r="C143" s="225"/>
      <x:c r="D143" s="225"/>
      <x:c r="E143" s="225"/>
      <x:c r="F143" s="225"/>
      <x:c r="G143" s="225"/>
      <x:c r="H143" s="225"/>
      <x:c r="I143" s="225"/>
      <x:c r="J143" s="225"/>
      <x:c r="K143" s="225"/>
      <x:c r="L143" s="225"/>
      <x:c r="M143" s="225"/>
      <x:c r="N143" s="225"/>
      <x:c r="O143" s="225"/>
      <x:c r="P143" s="225"/>
      <x:c r="Q143" s="225"/>
      <x:c r="R143" s="225"/>
      <x:c r="S143" s="225"/>
      <x:c r="T143" s="225"/>
      <x:c r="U143" s="225"/>
      <x:c r="V143" s="225"/>
      <x:c r="W143" s="225"/>
      <x:c r="X143" s="225"/>
      <x:c r="Y143" s="225"/>
      <x:c r="Z143" s="225"/>
    </x:row>
    <x:row r="144">
      <x:c r="A144" s="225"/>
      <x:c r="B144" s="225"/>
      <x:c r="C144" s="225"/>
      <x:c r="D144" s="225"/>
      <x:c r="E144" s="225"/>
      <x:c r="F144" s="225"/>
      <x:c r="G144" s="225"/>
      <x:c r="H144" s="225"/>
      <x:c r="I144" s="225"/>
      <x:c r="J144" s="225"/>
      <x:c r="K144" s="225"/>
      <x:c r="L144" s="225"/>
      <x:c r="M144" s="225"/>
      <x:c r="N144" s="225"/>
      <x:c r="O144" s="225"/>
      <x:c r="P144" s="225"/>
      <x:c r="Q144" s="225"/>
      <x:c r="R144" s="225"/>
      <x:c r="S144" s="225"/>
      <x:c r="T144" s="225"/>
      <x:c r="U144" s="225"/>
      <x:c r="V144" s="225"/>
      <x:c r="W144" s="225"/>
      <x:c r="X144" s="225"/>
      <x:c r="Y144" s="225"/>
      <x:c r="Z144" s="225"/>
    </x:row>
    <x:row r="145">
      <x:c r="A145" s="225"/>
      <x:c r="B145" s="225"/>
      <x:c r="C145" s="225"/>
      <x:c r="D145" s="225"/>
      <x:c r="E145" s="225"/>
      <x:c r="F145" s="225"/>
      <x:c r="G145" s="225"/>
      <x:c r="H145" s="225"/>
      <x:c r="I145" s="225"/>
      <x:c r="J145" s="225"/>
      <x:c r="K145" s="225"/>
      <x:c r="L145" s="225"/>
      <x:c r="M145" s="225"/>
      <x:c r="N145" s="225"/>
      <x:c r="O145" s="225"/>
      <x:c r="P145" s="225"/>
      <x:c r="Q145" s="225"/>
      <x:c r="R145" s="225"/>
      <x:c r="S145" s="225"/>
      <x:c r="T145" s="225"/>
      <x:c r="U145" s="225"/>
      <x:c r="V145" s="225"/>
      <x:c r="W145" s="225"/>
      <x:c r="X145" s="225"/>
      <x:c r="Y145" s="225"/>
      <x:c r="Z145" s="225"/>
    </x:row>
    <x:row r="146">
      <x:c r="A146" s="225"/>
      <x:c r="B146" s="225"/>
      <x:c r="C146" s="225"/>
      <x:c r="D146" s="225"/>
      <x:c r="E146" s="225"/>
      <x:c r="F146" s="225"/>
      <x:c r="G146" s="225"/>
      <x:c r="H146" s="225"/>
      <x:c r="I146" s="225"/>
      <x:c r="J146" s="225"/>
      <x:c r="K146" s="225"/>
      <x:c r="L146" s="225"/>
      <x:c r="M146" s="225"/>
      <x:c r="N146" s="225"/>
      <x:c r="O146" s="225"/>
      <x:c r="P146" s="225"/>
      <x:c r="Q146" s="225"/>
      <x:c r="R146" s="225"/>
      <x:c r="S146" s="225"/>
      <x:c r="T146" s="225"/>
      <x:c r="U146" s="225"/>
      <x:c r="V146" s="225"/>
      <x:c r="W146" s="225"/>
      <x:c r="X146" s="225"/>
      <x:c r="Y146" s="225"/>
      <x:c r="Z146" s="225"/>
    </x:row>
    <x:row r="147">
      <x:c r="A147" s="225"/>
      <x:c r="B147" s="225"/>
      <x:c r="C147" s="225"/>
      <x:c r="D147" s="225"/>
      <x:c r="E147" s="225"/>
      <x:c r="F147" s="225"/>
      <x:c r="G147" s="225"/>
      <x:c r="H147" s="225"/>
      <x:c r="I147" s="225"/>
      <x:c r="J147" s="225"/>
      <x:c r="K147" s="225"/>
      <x:c r="L147" s="225"/>
      <x:c r="M147" s="225"/>
      <x:c r="N147" s="225"/>
      <x:c r="O147" s="225"/>
      <x:c r="P147" s="225"/>
      <x:c r="Q147" s="225"/>
      <x:c r="R147" s="225"/>
      <x:c r="S147" s="225"/>
      <x:c r="T147" s="225"/>
      <x:c r="U147" s="225"/>
      <x:c r="V147" s="225"/>
      <x:c r="W147" s="225"/>
      <x:c r="X147" s="225"/>
      <x:c r="Y147" s="225"/>
      <x:c r="Z147" s="225"/>
    </x:row>
    <x:row r="148">
      <x:c r="A148" s="225"/>
      <x:c r="B148" s="225"/>
      <x:c r="C148" s="225"/>
      <x:c r="D148" s="225"/>
      <x:c r="E148" s="225"/>
      <x:c r="F148" s="225"/>
      <x:c r="G148" s="225"/>
      <x:c r="H148" s="225"/>
      <x:c r="I148" s="225"/>
      <x:c r="J148" s="225"/>
      <x:c r="K148" s="225"/>
      <x:c r="L148" s="225"/>
      <x:c r="M148" s="225"/>
      <x:c r="N148" s="225"/>
      <x:c r="O148" s="225"/>
      <x:c r="P148" s="225"/>
      <x:c r="Q148" s="225"/>
      <x:c r="R148" s="225"/>
      <x:c r="S148" s="225"/>
      <x:c r="T148" s="225"/>
      <x:c r="U148" s="225"/>
      <x:c r="V148" s="225"/>
      <x:c r="W148" s="225"/>
      <x:c r="X148" s="225"/>
      <x:c r="Y148" s="225"/>
      <x:c r="Z148" s="225"/>
    </x:row>
    <x:row r="149">
      <x:c r="A149" s="225"/>
      <x:c r="B149" s="225"/>
      <x:c r="C149" s="225"/>
      <x:c r="D149" s="225"/>
      <x:c r="E149" s="225"/>
      <x:c r="F149" s="225"/>
      <x:c r="G149" s="225"/>
      <x:c r="H149" s="225"/>
      <x:c r="I149" s="225"/>
      <x:c r="J149" s="225"/>
      <x:c r="K149" s="225"/>
      <x:c r="L149" s="225"/>
      <x:c r="M149" s="225"/>
      <x:c r="N149" s="225"/>
      <x:c r="O149" s="225"/>
      <x:c r="P149" s="225"/>
      <x:c r="Q149" s="225"/>
      <x:c r="R149" s="225"/>
      <x:c r="S149" s="225"/>
      <x:c r="T149" s="225"/>
      <x:c r="U149" s="225"/>
      <x:c r="V149" s="225"/>
      <x:c r="W149" s="225"/>
      <x:c r="X149" s="225"/>
      <x:c r="Y149" s="225"/>
      <x:c r="Z149" s="225"/>
    </x:row>
    <x:row r="150">
      <x:c r="A150" s="225"/>
      <x:c r="B150" s="225"/>
      <x:c r="C150" s="225"/>
      <x:c r="D150" s="225"/>
      <x:c r="E150" s="225"/>
      <x:c r="F150" s="225"/>
      <x:c r="G150" s="225"/>
      <x:c r="H150" s="225"/>
      <x:c r="I150" s="225"/>
      <x:c r="J150" s="225"/>
      <x:c r="K150" s="225"/>
      <x:c r="L150" s="225"/>
      <x:c r="M150" s="225"/>
      <x:c r="N150" s="225"/>
      <x:c r="O150" s="225"/>
      <x:c r="P150" s="225"/>
      <x:c r="Q150" s="225"/>
      <x:c r="R150" s="225"/>
      <x:c r="S150" s="225"/>
      <x:c r="T150" s="225"/>
      <x:c r="U150" s="225"/>
      <x:c r="V150" s="225"/>
      <x:c r="W150" s="225"/>
      <x:c r="X150" s="225"/>
      <x:c r="Y150" s="225"/>
      <x:c r="Z150" s="225"/>
    </x:row>
    <x:row r="151">
      <x:c r="A151" s="225"/>
      <x:c r="B151" s="225"/>
      <x:c r="C151" s="225"/>
      <x:c r="D151" s="225"/>
      <x:c r="E151" s="225"/>
      <x:c r="F151" s="225"/>
      <x:c r="G151" s="225"/>
      <x:c r="H151" s="225"/>
      <x:c r="I151" s="225"/>
      <x:c r="J151" s="225"/>
      <x:c r="K151" s="225"/>
      <x:c r="L151" s="225"/>
      <x:c r="M151" s="225"/>
      <x:c r="N151" s="225"/>
      <x:c r="O151" s="225"/>
      <x:c r="P151" s="225"/>
      <x:c r="Q151" s="225"/>
      <x:c r="R151" s="225"/>
      <x:c r="S151" s="225"/>
      <x:c r="T151" s="225"/>
      <x:c r="U151" s="225"/>
      <x:c r="V151" s="225"/>
      <x:c r="W151" s="225"/>
      <x:c r="X151" s="225"/>
      <x:c r="Y151" s="225"/>
      <x:c r="Z151" s="225"/>
    </x:row>
    <x:row r="152">
      <x:c r="A152" s="225"/>
      <x:c r="B152" s="225"/>
      <x:c r="C152" s="225"/>
      <x:c r="D152" s="225"/>
      <x:c r="E152" s="225"/>
      <x:c r="F152" s="225"/>
      <x:c r="G152" s="225"/>
      <x:c r="H152" s="225"/>
      <x:c r="I152" s="225"/>
      <x:c r="J152" s="225"/>
      <x:c r="K152" s="225"/>
      <x:c r="L152" s="225"/>
      <x:c r="M152" s="225"/>
      <x:c r="N152" s="225"/>
      <x:c r="O152" s="225"/>
      <x:c r="P152" s="225"/>
      <x:c r="Q152" s="225"/>
      <x:c r="R152" s="225"/>
      <x:c r="S152" s="225"/>
      <x:c r="T152" s="225"/>
      <x:c r="U152" s="225"/>
      <x:c r="V152" s="225"/>
      <x:c r="W152" s="225"/>
      <x:c r="X152" s="225"/>
      <x:c r="Y152" s="225"/>
      <x:c r="Z152" s="225"/>
    </x:row>
    <x:row r="153">
      <x:c r="A153" s="225"/>
      <x:c r="B153" s="225"/>
      <x:c r="C153" s="225"/>
      <x:c r="D153" s="225"/>
      <x:c r="E153" s="225"/>
      <x:c r="F153" s="225"/>
      <x:c r="G153" s="225"/>
      <x:c r="H153" s="225"/>
      <x:c r="I153" s="225"/>
      <x:c r="J153" s="225"/>
      <x:c r="K153" s="225"/>
      <x:c r="L153" s="225"/>
      <x:c r="M153" s="225"/>
      <x:c r="N153" s="225"/>
      <x:c r="O153" s="225"/>
      <x:c r="P153" s="225"/>
      <x:c r="Q153" s="225"/>
      <x:c r="R153" s="225"/>
      <x:c r="S153" s="225"/>
      <x:c r="T153" s="225"/>
      <x:c r="U153" s="225"/>
      <x:c r="V153" s="225"/>
      <x:c r="W153" s="225"/>
      <x:c r="X153" s="225"/>
      <x:c r="Y153" s="225"/>
      <x:c r="Z153" s="225"/>
    </x:row>
    <x:row r="154">
      <x:c r="A154" s="225"/>
      <x:c r="B154" s="225"/>
      <x:c r="C154" s="225"/>
      <x:c r="D154" s="225"/>
      <x:c r="E154" s="225"/>
      <x:c r="F154" s="225"/>
      <x:c r="G154" s="225"/>
      <x:c r="H154" s="225"/>
      <x:c r="I154" s="225"/>
      <x:c r="J154" s="225"/>
      <x:c r="K154" s="225"/>
      <x:c r="L154" s="225"/>
      <x:c r="M154" s="225"/>
      <x:c r="N154" s="225"/>
      <x:c r="O154" s="225"/>
      <x:c r="P154" s="225"/>
      <x:c r="Q154" s="225"/>
      <x:c r="R154" s="225"/>
      <x:c r="S154" s="225"/>
      <x:c r="T154" s="225"/>
      <x:c r="U154" s="225"/>
      <x:c r="V154" s="225"/>
      <x:c r="W154" s="225"/>
      <x:c r="X154" s="225"/>
      <x:c r="Y154" s="225"/>
      <x:c r="Z154" s="225"/>
    </x:row>
    <x:row r="155">
      <x:c r="A155" s="225"/>
      <x:c r="B155" s="225"/>
      <x:c r="C155" s="225"/>
      <x:c r="D155" s="225"/>
      <x:c r="E155" s="225"/>
      <x:c r="F155" s="225"/>
      <x:c r="G155" s="225"/>
      <x:c r="H155" s="225"/>
      <x:c r="I155" s="225"/>
      <x:c r="J155" s="225"/>
      <x:c r="K155" s="225"/>
      <x:c r="L155" s="225"/>
      <x:c r="M155" s="225"/>
      <x:c r="N155" s="225"/>
      <x:c r="O155" s="225"/>
      <x:c r="P155" s="225"/>
      <x:c r="Q155" s="225"/>
      <x:c r="R155" s="225"/>
      <x:c r="S155" s="225"/>
      <x:c r="T155" s="225"/>
      <x:c r="U155" s="225"/>
      <x:c r="V155" s="225"/>
      <x:c r="W155" s="225"/>
      <x:c r="X155" s="225"/>
      <x:c r="Y155" s="225"/>
      <x:c r="Z155" s="225"/>
    </x:row>
    <x:row r="156">
      <x:c r="A156" s="225"/>
      <x:c r="B156" s="225"/>
      <x:c r="C156" s="225"/>
      <x:c r="D156" s="225"/>
      <x:c r="E156" s="225"/>
      <x:c r="F156" s="225"/>
      <x:c r="G156" s="225"/>
      <x:c r="H156" s="225"/>
      <x:c r="I156" s="225"/>
      <x:c r="J156" s="225"/>
      <x:c r="K156" s="225"/>
      <x:c r="L156" s="225"/>
      <x:c r="M156" s="225"/>
      <x:c r="N156" s="225"/>
      <x:c r="O156" s="225"/>
      <x:c r="P156" s="225"/>
      <x:c r="Q156" s="225"/>
      <x:c r="R156" s="225"/>
      <x:c r="S156" s="225"/>
      <x:c r="T156" s="225"/>
      <x:c r="U156" s="225"/>
      <x:c r="V156" s="225"/>
      <x:c r="W156" s="225"/>
      <x:c r="X156" s="225"/>
      <x:c r="Y156" s="225"/>
      <x:c r="Z156" s="225"/>
    </x:row>
    <x:row r="157">
      <x:c r="A157" s="225"/>
      <x:c r="B157" s="225"/>
      <x:c r="C157" s="225"/>
      <x:c r="D157" s="225"/>
      <x:c r="E157" s="225"/>
      <x:c r="F157" s="225"/>
      <x:c r="G157" s="225"/>
      <x:c r="H157" s="225"/>
      <x:c r="I157" s="225"/>
      <x:c r="J157" s="225"/>
      <x:c r="K157" s="225"/>
      <x:c r="L157" s="225"/>
      <x:c r="M157" s="225"/>
      <x:c r="N157" s="225"/>
      <x:c r="O157" s="225"/>
      <x:c r="P157" s="225"/>
      <x:c r="Q157" s="225"/>
      <x:c r="R157" s="225"/>
      <x:c r="S157" s="225"/>
      <x:c r="T157" s="225"/>
      <x:c r="U157" s="225"/>
      <x:c r="V157" s="225"/>
      <x:c r="W157" s="225"/>
      <x:c r="X157" s="225"/>
      <x:c r="Y157" s="225"/>
      <x:c r="Z157" s="225"/>
    </x:row>
    <x:row r="158">
      <x:c r="A158" s="225"/>
      <x:c r="B158" s="225"/>
      <x:c r="C158" s="225"/>
      <x:c r="D158" s="225"/>
      <x:c r="E158" s="225"/>
      <x:c r="F158" s="225"/>
      <x:c r="G158" s="225"/>
      <x:c r="H158" s="225"/>
      <x:c r="I158" s="225"/>
      <x:c r="J158" s="225"/>
      <x:c r="K158" s="225"/>
      <x:c r="L158" s="225"/>
      <x:c r="M158" s="225"/>
      <x:c r="N158" s="225"/>
      <x:c r="O158" s="225"/>
      <x:c r="P158" s="225"/>
      <x:c r="Q158" s="225"/>
      <x:c r="R158" s="225"/>
      <x:c r="S158" s="225"/>
      <x:c r="T158" s="225"/>
      <x:c r="U158" s="225"/>
      <x:c r="V158" s="225"/>
      <x:c r="W158" s="225"/>
      <x:c r="X158" s="225"/>
      <x:c r="Y158" s="225"/>
      <x:c r="Z158" s="225"/>
    </x:row>
    <x:row r="159">
      <x:c r="A159" s="225"/>
      <x:c r="B159" s="225"/>
      <x:c r="C159" s="225"/>
      <x:c r="D159" s="225"/>
      <x:c r="E159" s="225"/>
      <x:c r="F159" s="225"/>
      <x:c r="G159" s="225"/>
      <x:c r="H159" s="225"/>
      <x:c r="I159" s="225"/>
      <x:c r="J159" s="225"/>
      <x:c r="K159" s="225"/>
      <x:c r="L159" s="225"/>
      <x:c r="M159" s="225"/>
      <x:c r="N159" s="225"/>
      <x:c r="O159" s="225"/>
      <x:c r="P159" s="225"/>
      <x:c r="Q159" s="225"/>
      <x:c r="R159" s="225"/>
      <x:c r="S159" s="225"/>
      <x:c r="T159" s="225"/>
      <x:c r="U159" s="225"/>
      <x:c r="V159" s="225"/>
      <x:c r="W159" s="225"/>
      <x:c r="X159" s="225"/>
      <x:c r="Y159" s="225"/>
      <x:c r="Z159" s="225"/>
    </x:row>
    <x:row r="160">
      <x:c r="A160" s="225"/>
      <x:c r="B160" s="225"/>
      <x:c r="C160" s="225"/>
      <x:c r="D160" s="225"/>
      <x:c r="E160" s="225"/>
      <x:c r="F160" s="225"/>
      <x:c r="G160" s="225"/>
      <x:c r="H160" s="225"/>
      <x:c r="I160" s="225"/>
      <x:c r="J160" s="225"/>
      <x:c r="K160" s="225"/>
      <x:c r="L160" s="225"/>
      <x:c r="M160" s="225"/>
      <x:c r="N160" s="225"/>
      <x:c r="O160" s="225"/>
      <x:c r="P160" s="225"/>
      <x:c r="Q160" s="225"/>
      <x:c r="R160" s="225"/>
      <x:c r="S160" s="225"/>
      <x:c r="T160" s="225"/>
      <x:c r="U160" s="225"/>
      <x:c r="V160" s="225"/>
      <x:c r="W160" s="225"/>
      <x:c r="X160" s="225"/>
      <x:c r="Y160" s="225"/>
      <x:c r="Z160" s="225"/>
    </x:row>
    <x:row r="161">
      <x:c r="A161" s="225"/>
      <x:c r="B161" s="225"/>
      <x:c r="C161" s="225"/>
      <x:c r="D161" s="225"/>
      <x:c r="E161" s="225"/>
      <x:c r="F161" s="225"/>
      <x:c r="G161" s="225"/>
      <x:c r="H161" s="225"/>
      <x:c r="I161" s="225"/>
      <x:c r="J161" s="225"/>
      <x:c r="K161" s="225"/>
      <x:c r="L161" s="225"/>
      <x:c r="M161" s="225"/>
      <x:c r="N161" s="225"/>
      <x:c r="O161" s="225"/>
      <x:c r="P161" s="225"/>
      <x:c r="Q161" s="225"/>
      <x:c r="R161" s="225"/>
      <x:c r="S161" s="225"/>
      <x:c r="T161" s="225"/>
      <x:c r="U161" s="225"/>
      <x:c r="V161" s="225"/>
      <x:c r="W161" s="225"/>
      <x:c r="X161" s="225"/>
      <x:c r="Y161" s="225"/>
      <x:c r="Z161" s="225"/>
    </x:row>
    <x:row r="162">
      <x:c r="A162" s="225"/>
      <x:c r="B162" s="225"/>
      <x:c r="C162" s="225"/>
      <x:c r="D162" s="225"/>
      <x:c r="E162" s="225"/>
      <x:c r="F162" s="225"/>
      <x:c r="G162" s="225"/>
      <x:c r="H162" s="225"/>
      <x:c r="I162" s="225"/>
      <x:c r="J162" s="225"/>
      <x:c r="K162" s="225"/>
      <x:c r="L162" s="225"/>
      <x:c r="M162" s="225"/>
      <x:c r="N162" s="225"/>
      <x:c r="O162" s="225"/>
      <x:c r="P162" s="225"/>
      <x:c r="Q162" s="225"/>
      <x:c r="R162" s="225"/>
      <x:c r="S162" s="225"/>
      <x:c r="T162" s="225"/>
      <x:c r="U162" s="225"/>
      <x:c r="V162" s="225"/>
      <x:c r="W162" s="225"/>
      <x:c r="X162" s="225"/>
      <x:c r="Y162" s="225"/>
      <x:c r="Z162" s="225"/>
    </x:row>
    <x:row r="163">
      <x:c r="A163" s="225"/>
      <x:c r="B163" s="225"/>
      <x:c r="C163" s="225"/>
      <x:c r="D163" s="225"/>
      <x:c r="E163" s="225"/>
      <x:c r="F163" s="225"/>
      <x:c r="G163" s="225"/>
      <x:c r="H163" s="225"/>
      <x:c r="I163" s="225"/>
      <x:c r="J163" s="225"/>
      <x:c r="K163" s="225"/>
      <x:c r="L163" s="225"/>
      <x:c r="M163" s="225"/>
      <x:c r="N163" s="225"/>
      <x:c r="O163" s="225"/>
      <x:c r="P163" s="225"/>
      <x:c r="Q163" s="225"/>
      <x:c r="R163" s="225"/>
      <x:c r="S163" s="225"/>
      <x:c r="T163" s="225"/>
      <x:c r="U163" s="225"/>
      <x:c r="V163" s="225"/>
      <x:c r="W163" s="225"/>
      <x:c r="X163" s="225"/>
      <x:c r="Y163" s="225"/>
      <x:c r="Z163" s="225"/>
    </x:row>
    <x:row r="164">
      <x:c r="A164" s="225"/>
      <x:c r="B164" s="225"/>
      <x:c r="C164" s="225"/>
      <x:c r="D164" s="225"/>
      <x:c r="E164" s="225"/>
      <x:c r="F164" s="225"/>
      <x:c r="G164" s="225"/>
      <x:c r="H164" s="225"/>
      <x:c r="I164" s="225"/>
      <x:c r="J164" s="225"/>
      <x:c r="K164" s="225"/>
      <x:c r="L164" s="225"/>
      <x:c r="M164" s="225"/>
      <x:c r="N164" s="225"/>
      <x:c r="O164" s="225"/>
      <x:c r="P164" s="225"/>
      <x:c r="Q164" s="225"/>
      <x:c r="R164" s="225"/>
      <x:c r="S164" s="225"/>
      <x:c r="T164" s="225"/>
      <x:c r="U164" s="225"/>
      <x:c r="V164" s="225"/>
      <x:c r="W164" s="225"/>
      <x:c r="X164" s="225"/>
      <x:c r="Y164" s="225"/>
      <x:c r="Z164" s="225"/>
    </x:row>
    <x:row r="165">
      <x:c r="A165" s="225"/>
      <x:c r="B165" s="225"/>
      <x:c r="C165" s="225"/>
      <x:c r="D165" s="225"/>
      <x:c r="E165" s="225"/>
      <x:c r="F165" s="225"/>
      <x:c r="G165" s="225"/>
      <x:c r="H165" s="225"/>
      <x:c r="I165" s="225"/>
      <x:c r="J165" s="225"/>
      <x:c r="K165" s="225"/>
      <x:c r="L165" s="225"/>
      <x:c r="M165" s="225"/>
      <x:c r="N165" s="225"/>
      <x:c r="O165" s="225"/>
      <x:c r="P165" s="225"/>
      <x:c r="Q165" s="225"/>
      <x:c r="R165" s="225"/>
      <x:c r="S165" s="225"/>
      <x:c r="T165" s="225"/>
      <x:c r="U165" s="225"/>
      <x:c r="V165" s="225"/>
      <x:c r="W165" s="225"/>
      <x:c r="X165" s="225"/>
      <x:c r="Y165" s="225"/>
      <x:c r="Z165" s="225"/>
    </x:row>
    <x:row r="166">
      <x:c r="A166" s="225"/>
      <x:c r="B166" s="225"/>
      <x:c r="C166" s="225"/>
      <x:c r="D166" s="225"/>
      <x:c r="E166" s="225"/>
      <x:c r="F166" s="225"/>
      <x:c r="G166" s="225"/>
      <x:c r="H166" s="225"/>
      <x:c r="I166" s="225"/>
      <x:c r="J166" s="225"/>
      <x:c r="K166" s="225"/>
      <x:c r="L166" s="225"/>
      <x:c r="M166" s="225"/>
      <x:c r="N166" s="225"/>
      <x:c r="O166" s="225"/>
      <x:c r="P166" s="225"/>
      <x:c r="Q166" s="225"/>
      <x:c r="R166" s="225"/>
      <x:c r="S166" s="225"/>
      <x:c r="T166" s="225"/>
      <x:c r="U166" s="225"/>
      <x:c r="V166" s="225"/>
      <x:c r="W166" s="225"/>
      <x:c r="X166" s="225"/>
      <x:c r="Y166" s="225"/>
      <x:c r="Z166" s="225"/>
    </x:row>
    <x:row r="167">
      <x:c r="A167" s="225"/>
      <x:c r="B167" s="225"/>
      <x:c r="C167" s="225"/>
      <x:c r="D167" s="225"/>
      <x:c r="E167" s="225"/>
      <x:c r="F167" s="225"/>
      <x:c r="G167" s="225"/>
      <x:c r="H167" s="225"/>
      <x:c r="I167" s="225"/>
      <x:c r="J167" s="225"/>
      <x:c r="K167" s="225"/>
      <x:c r="L167" s="225"/>
      <x:c r="M167" s="225"/>
      <x:c r="N167" s="225"/>
      <x:c r="O167" s="225"/>
      <x:c r="P167" s="225"/>
      <x:c r="Q167" s="225"/>
      <x:c r="R167" s="225"/>
      <x:c r="S167" s="225"/>
      <x:c r="T167" s="225"/>
      <x:c r="U167" s="225"/>
      <x:c r="V167" s="225"/>
      <x:c r="W167" s="225"/>
      <x:c r="X167" s="225"/>
      <x:c r="Y167" s="225"/>
      <x:c r="Z167" s="225"/>
    </x:row>
    <x:row r="168">
      <x:c r="A168" s="225"/>
      <x:c r="B168" s="225"/>
      <x:c r="C168" s="225"/>
      <x:c r="D168" s="225"/>
      <x:c r="E168" s="225"/>
      <x:c r="F168" s="225"/>
      <x:c r="G168" s="225"/>
      <x:c r="H168" s="225"/>
      <x:c r="I168" s="225"/>
      <x:c r="J168" s="225"/>
      <x:c r="K168" s="225"/>
      <x:c r="L168" s="225"/>
      <x:c r="M168" s="225"/>
      <x:c r="N168" s="225"/>
      <x:c r="O168" s="225"/>
      <x:c r="P168" s="225"/>
      <x:c r="Q168" s="225"/>
      <x:c r="R168" s="225"/>
      <x:c r="S168" s="225"/>
      <x:c r="T168" s="225"/>
      <x:c r="U168" s="225"/>
      <x:c r="V168" s="225"/>
      <x:c r="W168" s="225"/>
      <x:c r="X168" s="225"/>
      <x:c r="Y168" s="225"/>
      <x:c r="Z168" s="225"/>
    </x:row>
    <x:row r="169">
      <x:c r="A169" s="225"/>
      <x:c r="B169" s="225"/>
      <x:c r="C169" s="225"/>
      <x:c r="D169" s="225"/>
      <x:c r="E169" s="225"/>
      <x:c r="F169" s="225"/>
      <x:c r="G169" s="225"/>
      <x:c r="H169" s="225"/>
      <x:c r="I169" s="225"/>
      <x:c r="J169" s="225"/>
      <x:c r="K169" s="225"/>
      <x:c r="L169" s="225"/>
      <x:c r="M169" s="225"/>
      <x:c r="N169" s="225"/>
      <x:c r="O169" s="225"/>
      <x:c r="P169" s="225"/>
      <x:c r="Q169" s="225"/>
      <x:c r="R169" s="225"/>
      <x:c r="S169" s="225"/>
      <x:c r="T169" s="225"/>
      <x:c r="U169" s="225"/>
      <x:c r="V169" s="225"/>
      <x:c r="W169" s="225"/>
      <x:c r="X169" s="225"/>
      <x:c r="Y169" s="225"/>
      <x:c r="Z169" s="225"/>
    </x:row>
    <x:row r="170">
      <x:c r="A170" s="225"/>
      <x:c r="B170" s="225"/>
      <x:c r="C170" s="225"/>
      <x:c r="D170" s="225"/>
      <x:c r="E170" s="225"/>
      <x:c r="F170" s="225"/>
      <x:c r="G170" s="225"/>
      <x:c r="H170" s="225"/>
      <x:c r="I170" s="225"/>
      <x:c r="J170" s="225"/>
      <x:c r="K170" s="225"/>
      <x:c r="L170" s="225"/>
      <x:c r="M170" s="225"/>
      <x:c r="N170" s="225"/>
      <x:c r="O170" s="225"/>
      <x:c r="P170" s="225"/>
      <x:c r="Q170" s="225"/>
      <x:c r="R170" s="225"/>
      <x:c r="S170" s="225"/>
      <x:c r="T170" s="225"/>
      <x:c r="U170" s="225"/>
      <x:c r="V170" s="225"/>
      <x:c r="W170" s="225"/>
      <x:c r="X170" s="225"/>
      <x:c r="Y170" s="225"/>
      <x:c r="Z170" s="225"/>
    </x:row>
    <x:row r="171">
      <x:c r="A171" s="225"/>
      <x:c r="B171" s="225"/>
      <x:c r="C171" s="225"/>
      <x:c r="D171" s="225"/>
      <x:c r="E171" s="225"/>
      <x:c r="F171" s="225"/>
      <x:c r="G171" s="225"/>
      <x:c r="H171" s="225"/>
      <x:c r="I171" s="225"/>
      <x:c r="J171" s="225"/>
      <x:c r="K171" s="225"/>
      <x:c r="L171" s="225"/>
      <x:c r="M171" s="225"/>
      <x:c r="N171" s="225"/>
      <x:c r="O171" s="225"/>
      <x:c r="P171" s="225"/>
      <x:c r="Q171" s="225"/>
      <x:c r="R171" s="225"/>
      <x:c r="S171" s="225"/>
      <x:c r="T171" s="225"/>
      <x:c r="U171" s="225"/>
      <x:c r="V171" s="225"/>
      <x:c r="W171" s="225"/>
      <x:c r="X171" s="225"/>
      <x:c r="Y171" s="225"/>
      <x:c r="Z171" s="225"/>
    </x:row>
    <x:row r="172">
      <x:c r="A172" s="225"/>
      <x:c r="B172" s="225"/>
      <x:c r="C172" s="225"/>
      <x:c r="D172" s="225"/>
      <x:c r="E172" s="225"/>
      <x:c r="F172" s="225"/>
      <x:c r="G172" s="225"/>
      <x:c r="H172" s="225"/>
      <x:c r="I172" s="225"/>
      <x:c r="J172" s="225"/>
      <x:c r="K172" s="225"/>
      <x:c r="L172" s="225"/>
      <x:c r="M172" s="225"/>
      <x:c r="N172" s="225"/>
      <x:c r="O172" s="225"/>
      <x:c r="P172" s="225"/>
      <x:c r="Q172" s="225"/>
      <x:c r="R172" s="225"/>
      <x:c r="S172" s="225"/>
      <x:c r="T172" s="225"/>
      <x:c r="U172" s="225"/>
      <x:c r="V172" s="225"/>
      <x:c r="W172" s="225"/>
      <x:c r="X172" s="225"/>
      <x:c r="Y172" s="225"/>
      <x:c r="Z172" s="225"/>
    </x:row>
    <x:row r="173">
      <x:c r="A173" s="225"/>
      <x:c r="B173" s="225"/>
      <x:c r="C173" s="225"/>
      <x:c r="D173" s="225"/>
      <x:c r="E173" s="225"/>
      <x:c r="F173" s="225"/>
      <x:c r="G173" s="225"/>
      <x:c r="H173" s="225"/>
      <x:c r="I173" s="225"/>
      <x:c r="J173" s="225"/>
      <x:c r="K173" s="225"/>
      <x:c r="L173" s="225"/>
      <x:c r="M173" s="225"/>
      <x:c r="N173" s="225"/>
      <x:c r="O173" s="225"/>
      <x:c r="P173" s="225"/>
      <x:c r="Q173" s="225"/>
      <x:c r="R173" s="225"/>
      <x:c r="S173" s="225"/>
      <x:c r="T173" s="225"/>
      <x:c r="U173" s="225"/>
      <x:c r="V173" s="225"/>
      <x:c r="W173" s="225"/>
      <x:c r="X173" s="225"/>
      <x:c r="Y173" s="225"/>
      <x:c r="Z173" s="225"/>
    </x:row>
    <x:row r="174">
      <x:c r="A174" s="225"/>
      <x:c r="B174" s="225"/>
      <x:c r="C174" s="225"/>
      <x:c r="D174" s="225"/>
      <x:c r="E174" s="225"/>
      <x:c r="F174" s="225"/>
      <x:c r="G174" s="225"/>
      <x:c r="H174" s="225"/>
      <x:c r="I174" s="225"/>
      <x:c r="J174" s="225"/>
      <x:c r="K174" s="225"/>
      <x:c r="L174" s="225"/>
      <x:c r="M174" s="225"/>
      <x:c r="N174" s="225"/>
      <x:c r="O174" s="225"/>
      <x:c r="P174" s="225"/>
      <x:c r="Q174" s="225"/>
      <x:c r="R174" s="225"/>
      <x:c r="S174" s="225"/>
      <x:c r="T174" s="225"/>
      <x:c r="U174" s="225"/>
      <x:c r="V174" s="225"/>
      <x:c r="W174" s="225"/>
      <x:c r="X174" s="225"/>
      <x:c r="Y174" s="225"/>
      <x:c r="Z174" s="225"/>
    </x:row>
    <x:row r="175">
      <x:c r="A175" s="225"/>
      <x:c r="B175" s="225"/>
      <x:c r="C175" s="225"/>
      <x:c r="D175" s="225"/>
      <x:c r="E175" s="225"/>
      <x:c r="F175" s="225"/>
      <x:c r="G175" s="225"/>
      <x:c r="H175" s="225"/>
      <x:c r="I175" s="225"/>
      <x:c r="J175" s="225"/>
      <x:c r="K175" s="225"/>
      <x:c r="L175" s="225"/>
      <x:c r="M175" s="225"/>
      <x:c r="N175" s="225"/>
      <x:c r="O175" s="225"/>
      <x:c r="P175" s="225"/>
      <x:c r="Q175" s="225"/>
      <x:c r="R175" s="225"/>
      <x:c r="S175" s="225"/>
      <x:c r="T175" s="225"/>
      <x:c r="U175" s="225"/>
      <x:c r="V175" s="225"/>
      <x:c r="W175" s="225"/>
      <x:c r="X175" s="225"/>
      <x:c r="Y175" s="225"/>
      <x:c r="Z175" s="225"/>
    </x:row>
    <x:row r="176">
      <x:c r="A176" s="225"/>
      <x:c r="B176" s="225"/>
      <x:c r="C176" s="225"/>
      <x:c r="D176" s="225"/>
      <x:c r="E176" s="225"/>
      <x:c r="F176" s="225"/>
      <x:c r="G176" s="225"/>
      <x:c r="H176" s="225"/>
      <x:c r="I176" s="225"/>
      <x:c r="J176" s="225"/>
      <x:c r="K176" s="225"/>
      <x:c r="L176" s="225"/>
      <x:c r="M176" s="225"/>
      <x:c r="N176" s="225"/>
      <x:c r="O176" s="225"/>
      <x:c r="P176" s="225"/>
      <x:c r="Q176" s="225"/>
      <x:c r="R176" s="225"/>
      <x:c r="S176" s="225"/>
      <x:c r="T176" s="225"/>
      <x:c r="U176" s="225"/>
      <x:c r="V176" s="225"/>
      <x:c r="W176" s="225"/>
      <x:c r="X176" s="225"/>
      <x:c r="Y176" s="225"/>
      <x:c r="Z176" s="225"/>
    </x:row>
    <x:row r="177">
      <x:c r="A177" s="225"/>
      <x:c r="B177" s="225"/>
      <x:c r="C177" s="225"/>
      <x:c r="D177" s="225"/>
      <x:c r="E177" s="225"/>
      <x:c r="F177" s="225"/>
      <x:c r="G177" s="225"/>
      <x:c r="H177" s="225"/>
      <x:c r="I177" s="225"/>
      <x:c r="J177" s="225"/>
      <x:c r="K177" s="225"/>
      <x:c r="L177" s="225"/>
      <x:c r="M177" s="225"/>
      <x:c r="N177" s="225"/>
      <x:c r="O177" s="225"/>
      <x:c r="P177" s="225"/>
      <x:c r="Q177" s="225"/>
      <x:c r="R177" s="225"/>
      <x:c r="S177" s="225"/>
      <x:c r="T177" s="225"/>
      <x:c r="U177" s="225"/>
      <x:c r="V177" s="225"/>
      <x:c r="W177" s="225"/>
      <x:c r="X177" s="225"/>
      <x:c r="Y177" s="225"/>
      <x:c r="Z177" s="225"/>
    </x:row>
    <x:row r="178">
      <x:c r="A178" s="225"/>
      <x:c r="B178" s="225"/>
      <x:c r="C178" s="225"/>
      <x:c r="D178" s="225"/>
      <x:c r="E178" s="225"/>
      <x:c r="F178" s="225"/>
      <x:c r="G178" s="225"/>
      <x:c r="H178" s="225"/>
      <x:c r="I178" s="225"/>
      <x:c r="J178" s="225"/>
      <x:c r="K178" s="225"/>
      <x:c r="L178" s="225"/>
      <x:c r="M178" s="225"/>
      <x:c r="N178" s="225"/>
      <x:c r="O178" s="225"/>
      <x:c r="P178" s="225"/>
      <x:c r="Q178" s="225"/>
      <x:c r="R178" s="225"/>
      <x:c r="S178" s="225"/>
      <x:c r="T178" s="225"/>
      <x:c r="U178" s="225"/>
      <x:c r="V178" s="225"/>
      <x:c r="W178" s="225"/>
      <x:c r="X178" s="225"/>
      <x:c r="Y178" s="225"/>
      <x:c r="Z178" s="225"/>
    </x:row>
    <x:row r="179">
      <x:c r="A179" s="225"/>
      <x:c r="B179" s="225"/>
      <x:c r="C179" s="225"/>
      <x:c r="D179" s="225"/>
      <x:c r="E179" s="225"/>
      <x:c r="F179" s="225"/>
      <x:c r="G179" s="225"/>
      <x:c r="H179" s="225"/>
      <x:c r="I179" s="225"/>
      <x:c r="J179" s="225"/>
      <x:c r="K179" s="225"/>
      <x:c r="L179" s="225"/>
      <x:c r="M179" s="225"/>
      <x:c r="N179" s="225"/>
      <x:c r="O179" s="225"/>
      <x:c r="P179" s="225"/>
      <x:c r="Q179" s="225"/>
      <x:c r="R179" s="225"/>
      <x:c r="S179" s="225"/>
      <x:c r="T179" s="225"/>
      <x:c r="U179" s="225"/>
      <x:c r="V179" s="225"/>
      <x:c r="W179" s="225"/>
      <x:c r="X179" s="225"/>
      <x:c r="Y179" s="225"/>
      <x:c r="Z179" s="225"/>
    </x:row>
    <x:row r="180">
      <x:c r="A180" s="225"/>
      <x:c r="B180" s="225"/>
      <x:c r="C180" s="225"/>
      <x:c r="D180" s="225"/>
      <x:c r="E180" s="225"/>
      <x:c r="F180" s="225"/>
      <x:c r="G180" s="225"/>
      <x:c r="H180" s="225"/>
      <x:c r="I180" s="225"/>
      <x:c r="J180" s="225"/>
      <x:c r="K180" s="225"/>
      <x:c r="L180" s="225"/>
      <x:c r="M180" s="225"/>
      <x:c r="N180" s="225"/>
      <x:c r="O180" s="225"/>
      <x:c r="P180" s="225"/>
      <x:c r="Q180" s="225"/>
      <x:c r="R180" s="225"/>
      <x:c r="S180" s="225"/>
      <x:c r="T180" s="225"/>
      <x:c r="U180" s="225"/>
      <x:c r="V180" s="225"/>
      <x:c r="W180" s="225"/>
      <x:c r="X180" s="225"/>
      <x:c r="Y180" s="225"/>
      <x:c r="Z180" s="225"/>
    </x:row>
    <x:row r="181">
      <x:c r="A181" s="225"/>
      <x:c r="B181" s="225"/>
      <x:c r="C181" s="225"/>
      <x:c r="D181" s="225"/>
      <x:c r="E181" s="225"/>
      <x:c r="F181" s="225"/>
      <x:c r="G181" s="225"/>
      <x:c r="H181" s="225"/>
      <x:c r="I181" s="225"/>
      <x:c r="J181" s="225"/>
      <x:c r="K181" s="225"/>
      <x:c r="L181" s="225"/>
      <x:c r="M181" s="225"/>
      <x:c r="N181" s="225"/>
      <x:c r="O181" s="225"/>
      <x:c r="P181" s="225"/>
      <x:c r="Q181" s="225"/>
      <x:c r="R181" s="225"/>
      <x:c r="S181" s="225"/>
      <x:c r="T181" s="225"/>
      <x:c r="U181" s="225"/>
      <x:c r="V181" s="225"/>
      <x:c r="W181" s="225"/>
      <x:c r="X181" s="225"/>
      <x:c r="Y181" s="225"/>
      <x:c r="Z181" s="225"/>
    </x:row>
    <x:row r="182">
      <x:c r="A182" s="225"/>
      <x:c r="B182" s="225"/>
      <x:c r="C182" s="225"/>
      <x:c r="D182" s="225"/>
      <x:c r="E182" s="225"/>
      <x:c r="F182" s="225"/>
      <x:c r="G182" s="225"/>
      <x:c r="H182" s="225"/>
      <x:c r="I182" s="225"/>
      <x:c r="J182" s="225"/>
      <x:c r="K182" s="225"/>
      <x:c r="L182" s="225"/>
      <x:c r="M182" s="225"/>
      <x:c r="N182" s="225"/>
      <x:c r="O182" s="225"/>
      <x:c r="P182" s="225"/>
      <x:c r="Q182" s="225"/>
      <x:c r="R182" s="225"/>
      <x:c r="S182" s="225"/>
      <x:c r="T182" s="225"/>
      <x:c r="U182" s="225"/>
      <x:c r="V182" s="225"/>
      <x:c r="W182" s="225"/>
      <x:c r="X182" s="225"/>
      <x:c r="Y182" s="225"/>
      <x:c r="Z182" s="225"/>
    </x:row>
    <x:row r="183">
      <x:c r="A183" s="225"/>
      <x:c r="B183" s="225"/>
      <x:c r="C183" s="225"/>
      <x:c r="D183" s="225"/>
      <x:c r="E183" s="225"/>
      <x:c r="F183" s="225"/>
      <x:c r="G183" s="225"/>
      <x:c r="H183" s="225"/>
      <x:c r="I183" s="225"/>
      <x:c r="J183" s="225"/>
      <x:c r="K183" s="225"/>
      <x:c r="L183" s="225"/>
      <x:c r="M183" s="225"/>
      <x:c r="N183" s="225"/>
      <x:c r="O183" s="225"/>
      <x:c r="P183" s="225"/>
      <x:c r="Q183" s="225"/>
      <x:c r="R183" s="225"/>
      <x:c r="S183" s="225"/>
      <x:c r="T183" s="225"/>
      <x:c r="U183" s="225"/>
      <x:c r="V183" s="225"/>
      <x:c r="W183" s="225"/>
      <x:c r="X183" s="225"/>
      <x:c r="Y183" s="225"/>
      <x:c r="Z183" s="225"/>
    </x:row>
    <x:row r="184">
      <x:c r="A184" s="225"/>
      <x:c r="B184" s="225"/>
      <x:c r="C184" s="225"/>
      <x:c r="D184" s="225"/>
      <x:c r="E184" s="225"/>
      <x:c r="F184" s="225"/>
      <x:c r="G184" s="225"/>
      <x:c r="H184" s="225"/>
      <x:c r="I184" s="225"/>
      <x:c r="J184" s="225"/>
      <x:c r="K184" s="225"/>
      <x:c r="L184" s="225"/>
      <x:c r="M184" s="225"/>
      <x:c r="N184" s="225"/>
      <x:c r="O184" s="225"/>
      <x:c r="P184" s="225"/>
      <x:c r="Q184" s="225"/>
      <x:c r="R184" s="225"/>
      <x:c r="S184" s="225"/>
      <x:c r="T184" s="225"/>
      <x:c r="U184" s="225"/>
      <x:c r="V184" s="225"/>
      <x:c r="W184" s="225"/>
      <x:c r="X184" s="225"/>
      <x:c r="Y184" s="225"/>
      <x:c r="Z184" s="225"/>
    </x:row>
    <x:row r="185">
      <x:c r="A185" s="225"/>
      <x:c r="B185" s="225"/>
      <x:c r="C185" s="225"/>
      <x:c r="D185" s="225"/>
      <x:c r="E185" s="225"/>
      <x:c r="F185" s="225"/>
      <x:c r="G185" s="225"/>
      <x:c r="H185" s="225"/>
      <x:c r="I185" s="225"/>
      <x:c r="J185" s="225"/>
      <x:c r="K185" s="225"/>
      <x:c r="L185" s="225"/>
      <x:c r="M185" s="225"/>
      <x:c r="N185" s="225"/>
      <x:c r="O185" s="225"/>
      <x:c r="P185" s="225"/>
      <x:c r="Q185" s="225"/>
      <x:c r="R185" s="225"/>
      <x:c r="S185" s="225"/>
      <x:c r="T185" s="225"/>
      <x:c r="U185" s="225"/>
      <x:c r="V185" s="225"/>
      <x:c r="W185" s="225"/>
      <x:c r="X185" s="225"/>
      <x:c r="Y185" s="225"/>
      <x:c r="Z185" s="225"/>
    </x:row>
    <x:row r="186">
      <x:c r="A186" s="225"/>
      <x:c r="B186" s="225"/>
      <x:c r="C186" s="225"/>
      <x:c r="D186" s="225"/>
      <x:c r="E186" s="225"/>
      <x:c r="F186" s="225"/>
      <x:c r="G186" s="225"/>
      <x:c r="H186" s="225"/>
      <x:c r="I186" s="225"/>
      <x:c r="J186" s="225"/>
      <x:c r="K186" s="225"/>
      <x:c r="L186" s="225"/>
      <x:c r="M186" s="225"/>
      <x:c r="N186" s="225"/>
      <x:c r="O186" s="225"/>
      <x:c r="P186" s="225"/>
      <x:c r="Q186" s="225"/>
      <x:c r="R186" s="225"/>
      <x:c r="S186" s="225"/>
      <x:c r="T186" s="225"/>
      <x:c r="U186" s="225"/>
      <x:c r="V186" s="225"/>
      <x:c r="W186" s="225"/>
      <x:c r="X186" s="225"/>
      <x:c r="Y186" s="225"/>
      <x:c r="Z186" s="225"/>
    </x:row>
    <x:row r="187">
      <x:c r="A187" s="225"/>
      <x:c r="B187" s="225"/>
      <x:c r="C187" s="225"/>
      <x:c r="D187" s="225"/>
      <x:c r="E187" s="225"/>
      <x:c r="F187" s="225"/>
      <x:c r="G187" s="225"/>
      <x:c r="H187" s="225"/>
      <x:c r="I187" s="225"/>
      <x:c r="J187" s="225"/>
      <x:c r="K187" s="225"/>
      <x:c r="L187" s="225"/>
      <x:c r="M187" s="225"/>
      <x:c r="N187" s="225"/>
      <x:c r="O187" s="225"/>
      <x:c r="P187" s="225"/>
      <x:c r="Q187" s="225"/>
      <x:c r="R187" s="225"/>
      <x:c r="S187" s="225"/>
      <x:c r="T187" s="225"/>
      <x:c r="U187" s="225"/>
      <x:c r="V187" s="225"/>
      <x:c r="W187" s="225"/>
      <x:c r="X187" s="225"/>
      <x:c r="Y187" s="225"/>
      <x:c r="Z187" s="225"/>
    </x:row>
    <x:row r="188">
      <x:c r="A188" s="225"/>
      <x:c r="B188" s="225"/>
      <x:c r="C188" s="225"/>
      <x:c r="D188" s="225"/>
      <x:c r="E188" s="225"/>
      <x:c r="F188" s="225"/>
      <x:c r="G188" s="225"/>
      <x:c r="H188" s="225"/>
      <x:c r="I188" s="225"/>
      <x:c r="J188" s="225"/>
      <x:c r="K188" s="225"/>
      <x:c r="L188" s="225"/>
      <x:c r="M188" s="225"/>
      <x:c r="N188" s="225"/>
      <x:c r="O188" s="225"/>
      <x:c r="P188" s="225"/>
      <x:c r="Q188" s="225"/>
      <x:c r="R188" s="225"/>
      <x:c r="S188" s="225"/>
      <x:c r="T188" s="225"/>
      <x:c r="U188" s="225"/>
      <x:c r="V188" s="225"/>
      <x:c r="W188" s="225"/>
      <x:c r="X188" s="225"/>
      <x:c r="Y188" s="225"/>
      <x:c r="Z188" s="225"/>
    </x:row>
    <x:row r="189">
      <x:c r="A189" s="225"/>
      <x:c r="B189" s="225"/>
      <x:c r="C189" s="225"/>
      <x:c r="D189" s="225"/>
      <x:c r="E189" s="225"/>
      <x:c r="F189" s="225"/>
      <x:c r="G189" s="225"/>
      <x:c r="H189" s="225"/>
      <x:c r="I189" s="225"/>
      <x:c r="J189" s="225"/>
      <x:c r="K189" s="225"/>
      <x:c r="L189" s="225"/>
      <x:c r="M189" s="225"/>
      <x:c r="N189" s="225"/>
      <x:c r="O189" s="225"/>
      <x:c r="P189" s="225"/>
      <x:c r="Q189" s="225"/>
      <x:c r="R189" s="225"/>
      <x:c r="S189" s="225"/>
      <x:c r="T189" s="225"/>
      <x:c r="U189" s="225"/>
      <x:c r="V189" s="225"/>
      <x:c r="W189" s="225"/>
      <x:c r="X189" s="225"/>
      <x:c r="Y189" s="225"/>
      <x:c r="Z189" s="225"/>
    </x:row>
    <x:row r="190">
      <x:c r="A190" s="225"/>
      <x:c r="B190" s="225"/>
      <x:c r="C190" s="225"/>
      <x:c r="D190" s="225"/>
      <x:c r="E190" s="225"/>
      <x:c r="F190" s="225"/>
      <x:c r="G190" s="225"/>
      <x:c r="H190" s="225"/>
      <x:c r="I190" s="225"/>
      <x:c r="J190" s="225"/>
      <x:c r="K190" s="225"/>
      <x:c r="L190" s="225"/>
      <x:c r="M190" s="225"/>
      <x:c r="N190" s="225"/>
      <x:c r="O190" s="225"/>
      <x:c r="P190" s="225"/>
      <x:c r="Q190" s="225"/>
      <x:c r="R190" s="225"/>
      <x:c r="S190" s="225"/>
      <x:c r="T190" s="225"/>
      <x:c r="U190" s="225"/>
      <x:c r="V190" s="225"/>
      <x:c r="W190" s="225"/>
      <x:c r="X190" s="225"/>
      <x:c r="Y190" s="225"/>
      <x:c r="Z190" s="225"/>
    </x:row>
    <x:row r="191">
      <x:c r="A191" s="225"/>
      <x:c r="B191" s="225"/>
      <x:c r="C191" s="225"/>
      <x:c r="D191" s="225"/>
      <x:c r="E191" s="225"/>
      <x:c r="F191" s="225"/>
      <x:c r="G191" s="225"/>
      <x:c r="H191" s="225"/>
      <x:c r="I191" s="225"/>
      <x:c r="J191" s="225"/>
      <x:c r="K191" s="225"/>
      <x:c r="L191" s="225"/>
      <x:c r="M191" s="225"/>
      <x:c r="N191" s="225"/>
      <x:c r="O191" s="225"/>
      <x:c r="P191" s="225"/>
      <x:c r="Q191" s="225"/>
      <x:c r="R191" s="225"/>
      <x:c r="S191" s="225"/>
      <x:c r="T191" s="225"/>
      <x:c r="U191" s="225"/>
      <x:c r="V191" s="225"/>
      <x:c r="W191" s="225"/>
      <x:c r="X191" s="225"/>
      <x:c r="Y191" s="225"/>
      <x:c r="Z191" s="225"/>
    </x:row>
    <x:row r="192">
      <x:c r="A192" s="225"/>
      <x:c r="B192" s="225"/>
      <x:c r="C192" s="225"/>
      <x:c r="D192" s="225"/>
      <x:c r="E192" s="225"/>
      <x:c r="F192" s="225"/>
      <x:c r="G192" s="225"/>
      <x:c r="H192" s="225"/>
      <x:c r="I192" s="225"/>
      <x:c r="J192" s="225"/>
      <x:c r="K192" s="225"/>
      <x:c r="L192" s="225"/>
      <x:c r="M192" s="225"/>
      <x:c r="N192" s="225"/>
      <x:c r="O192" s="225"/>
      <x:c r="P192" s="225"/>
      <x:c r="Q192" s="225"/>
      <x:c r="R192" s="225"/>
      <x:c r="S192" s="225"/>
      <x:c r="T192" s="225"/>
      <x:c r="U192" s="225"/>
      <x:c r="V192" s="225"/>
      <x:c r="W192" s="225"/>
      <x:c r="X192" s="225"/>
      <x:c r="Y192" s="225"/>
      <x:c r="Z192" s="225"/>
    </x:row>
    <x:row r="193">
      <x:c r="A193" s="225"/>
      <x:c r="B193" s="225"/>
      <x:c r="C193" s="225"/>
      <x:c r="D193" s="225"/>
      <x:c r="E193" s="225"/>
      <x:c r="F193" s="225"/>
      <x:c r="G193" s="225"/>
      <x:c r="H193" s="225"/>
      <x:c r="I193" s="225"/>
      <x:c r="J193" s="225"/>
      <x:c r="K193" s="225"/>
      <x:c r="L193" s="225"/>
      <x:c r="M193" s="225"/>
      <x:c r="N193" s="225"/>
      <x:c r="O193" s="225"/>
      <x:c r="P193" s="225"/>
      <x:c r="Q193" s="225"/>
      <x:c r="R193" s="225"/>
      <x:c r="S193" s="225"/>
      <x:c r="T193" s="225"/>
      <x:c r="U193" s="225"/>
      <x:c r="V193" s="225"/>
      <x:c r="W193" s="225"/>
      <x:c r="X193" s="225"/>
      <x:c r="Y193" s="225"/>
      <x:c r="Z193" s="225"/>
    </x:row>
    <x:row r="194">
      <x:c r="A194" s="225"/>
      <x:c r="B194" s="225"/>
      <x:c r="C194" s="225"/>
      <x:c r="D194" s="225"/>
      <x:c r="E194" s="225"/>
      <x:c r="F194" s="225"/>
      <x:c r="G194" s="225"/>
      <x:c r="H194" s="225"/>
      <x:c r="I194" s="225"/>
      <x:c r="J194" s="225"/>
      <x:c r="K194" s="225"/>
      <x:c r="L194" s="225"/>
      <x:c r="M194" s="225"/>
      <x:c r="N194" s="225"/>
      <x:c r="O194" s="225"/>
      <x:c r="P194" s="225"/>
      <x:c r="Q194" s="225"/>
      <x:c r="R194" s="225"/>
      <x:c r="S194" s="225"/>
      <x:c r="T194" s="225"/>
      <x:c r="U194" s="225"/>
      <x:c r="V194" s="225"/>
      <x:c r="W194" s="225"/>
      <x:c r="X194" s="225"/>
      <x:c r="Y194" s="225"/>
      <x:c r="Z194" s="225"/>
    </x:row>
    <x:row r="195">
      <x:c r="A195" s="225"/>
      <x:c r="B195" s="225"/>
      <x:c r="C195" s="225"/>
      <x:c r="D195" s="225"/>
      <x:c r="E195" s="225"/>
      <x:c r="F195" s="225"/>
      <x:c r="G195" s="225"/>
      <x:c r="H195" s="225"/>
      <x:c r="I195" s="225"/>
      <x:c r="J195" s="225"/>
      <x:c r="K195" s="225"/>
      <x:c r="L195" s="225"/>
      <x:c r="M195" s="225"/>
      <x:c r="N195" s="225"/>
      <x:c r="O195" s="225"/>
      <x:c r="P195" s="225"/>
      <x:c r="Q195" s="225"/>
      <x:c r="R195" s="225"/>
      <x:c r="S195" s="225"/>
      <x:c r="T195" s="225"/>
      <x:c r="U195" s="225"/>
      <x:c r="V195" s="225"/>
      <x:c r="W195" s="225"/>
      <x:c r="X195" s="225"/>
      <x:c r="Y195" s="225"/>
      <x:c r="Z195" s="225"/>
    </x:row>
    <x:row r="196">
      <x:c r="A196" s="225"/>
      <x:c r="B196" s="225"/>
      <x:c r="C196" s="225"/>
      <x:c r="D196" s="225"/>
      <x:c r="E196" s="225"/>
      <x:c r="F196" s="225"/>
      <x:c r="G196" s="225"/>
      <x:c r="H196" s="225"/>
      <x:c r="I196" s="225"/>
      <x:c r="J196" s="225"/>
      <x:c r="K196" s="225"/>
      <x:c r="L196" s="225"/>
      <x:c r="M196" s="225"/>
      <x:c r="N196" s="225"/>
      <x:c r="O196" s="225"/>
      <x:c r="P196" s="225"/>
      <x:c r="Q196" s="225"/>
      <x:c r="R196" s="225"/>
      <x:c r="S196" s="225"/>
      <x:c r="T196" s="225"/>
      <x:c r="U196" s="225"/>
      <x:c r="V196" s="225"/>
      <x:c r="W196" s="225"/>
      <x:c r="X196" s="225"/>
      <x:c r="Y196" s="225"/>
      <x:c r="Z196" s="225"/>
    </x:row>
    <x:row r="197">
      <x:c r="A197" s="225"/>
      <x:c r="B197" s="225"/>
      <x:c r="C197" s="225"/>
      <x:c r="D197" s="225"/>
      <x:c r="E197" s="225"/>
      <x:c r="F197" s="225"/>
      <x:c r="G197" s="225"/>
      <x:c r="H197" s="225"/>
      <x:c r="I197" s="225"/>
      <x:c r="J197" s="225"/>
      <x:c r="K197" s="225"/>
      <x:c r="L197" s="225"/>
      <x:c r="M197" s="225"/>
      <x:c r="N197" s="225"/>
      <x:c r="O197" s="225"/>
      <x:c r="P197" s="225"/>
      <x:c r="Q197" s="225"/>
      <x:c r="R197" s="225"/>
      <x:c r="S197" s="225"/>
      <x:c r="T197" s="225"/>
      <x:c r="U197" s="225"/>
      <x:c r="V197" s="225"/>
      <x:c r="W197" s="225"/>
      <x:c r="X197" s="225"/>
      <x:c r="Y197" s="225"/>
      <x:c r="Z197" s="225"/>
    </x:row>
    <x:row r="198">
      <x:c r="A198" s="225"/>
      <x:c r="B198" s="225"/>
      <x:c r="C198" s="225"/>
      <x:c r="D198" s="225"/>
      <x:c r="E198" s="225"/>
      <x:c r="F198" s="225"/>
      <x:c r="G198" s="225"/>
      <x:c r="H198" s="225"/>
      <x:c r="I198" s="225"/>
      <x:c r="J198" s="225"/>
      <x:c r="K198" s="225"/>
      <x:c r="L198" s="225"/>
      <x:c r="M198" s="225"/>
      <x:c r="N198" s="225"/>
      <x:c r="O198" s="225"/>
      <x:c r="P198" s="225"/>
      <x:c r="Q198" s="225"/>
      <x:c r="R198" s="225"/>
      <x:c r="S198" s="225"/>
      <x:c r="T198" s="225"/>
      <x:c r="U198" s="225"/>
      <x:c r="V198" s="225"/>
      <x:c r="W198" s="225"/>
      <x:c r="X198" s="225"/>
      <x:c r="Y198" s="225"/>
      <x:c r="Z198" s="225"/>
    </x:row>
    <x:row r="199">
      <x:c r="A199" s="225"/>
      <x:c r="B199" s="225"/>
      <x:c r="C199" s="225"/>
      <x:c r="D199" s="225"/>
      <x:c r="E199" s="225"/>
      <x:c r="F199" s="225"/>
      <x:c r="G199" s="225"/>
      <x:c r="H199" s="225"/>
      <x:c r="I199" s="225"/>
      <x:c r="J199" s="225"/>
      <x:c r="K199" s="225"/>
      <x:c r="L199" s="225"/>
      <x:c r="M199" s="225"/>
      <x:c r="N199" s="225"/>
      <x:c r="O199" s="225"/>
      <x:c r="P199" s="225"/>
      <x:c r="Q199" s="225"/>
      <x:c r="R199" s="225"/>
      <x:c r="S199" s="225"/>
      <x:c r="T199" s="225"/>
      <x:c r="U199" s="225"/>
      <x:c r="V199" s="225"/>
      <x:c r="W199" s="225"/>
      <x:c r="X199" s="225"/>
      <x:c r="Y199" s="225"/>
      <x:c r="Z199" s="225"/>
    </x:row>
    <x:row r="200">
      <x:c r="A200" s="225"/>
      <x:c r="B200" s="225"/>
      <x:c r="C200" s="225"/>
      <x:c r="D200" s="225"/>
      <x:c r="E200" s="225"/>
      <x:c r="F200" s="225"/>
      <x:c r="G200" s="225"/>
      <x:c r="H200" s="225"/>
      <x:c r="I200" s="225"/>
      <x:c r="J200" s="225"/>
      <x:c r="K200" s="225"/>
      <x:c r="L200" s="225"/>
      <x:c r="M200" s="225"/>
      <x:c r="N200" s="225"/>
      <x:c r="O200" s="225"/>
      <x:c r="P200" s="225"/>
      <x:c r="Q200" s="225"/>
      <x:c r="R200" s="225"/>
      <x:c r="S200" s="225"/>
      <x:c r="T200" s="225"/>
      <x:c r="U200" s="225"/>
      <x:c r="V200" s="225"/>
      <x:c r="W200" s="225"/>
      <x:c r="X200" s="225"/>
      <x:c r="Y200" s="225"/>
      <x:c r="Z200" s="225"/>
    </x:row>
    <x:row r="201">
      <x:c r="A201" s="225"/>
      <x:c r="B201" s="225"/>
      <x:c r="C201" s="225"/>
      <x:c r="D201" s="225"/>
      <x:c r="E201" s="225"/>
      <x:c r="F201" s="225"/>
      <x:c r="G201" s="225"/>
      <x:c r="H201" s="225"/>
      <x:c r="I201" s="225"/>
      <x:c r="J201" s="225"/>
      <x:c r="K201" s="225"/>
      <x:c r="L201" s="225"/>
      <x:c r="M201" s="225"/>
      <x:c r="N201" s="225"/>
      <x:c r="O201" s="225"/>
      <x:c r="P201" s="225"/>
      <x:c r="Q201" s="225"/>
      <x:c r="R201" s="225"/>
      <x:c r="S201" s="225"/>
      <x:c r="T201" s="225"/>
      <x:c r="U201" s="225"/>
      <x:c r="V201" s="225"/>
      <x:c r="W201" s="225"/>
      <x:c r="X201" s="225"/>
      <x:c r="Y201" s="225"/>
      <x:c r="Z201" s="225"/>
    </x:row>
    <x:row r="202">
      <x:c r="A202" s="225"/>
      <x:c r="B202" s="225"/>
      <x:c r="C202" s="225"/>
      <x:c r="D202" s="225"/>
      <x:c r="E202" s="225"/>
      <x:c r="F202" s="225"/>
      <x:c r="G202" s="225"/>
      <x:c r="H202" s="225"/>
      <x:c r="I202" s="225"/>
      <x:c r="J202" s="225"/>
      <x:c r="K202" s="225"/>
      <x:c r="L202" s="225"/>
      <x:c r="M202" s="225"/>
      <x:c r="N202" s="225"/>
      <x:c r="O202" s="225"/>
      <x:c r="P202" s="225"/>
      <x:c r="Q202" s="225"/>
      <x:c r="R202" s="225"/>
      <x:c r="S202" s="225"/>
      <x:c r="T202" s="225"/>
      <x:c r="U202" s="225"/>
      <x:c r="V202" s="225"/>
      <x:c r="W202" s="225"/>
      <x:c r="X202" s="225"/>
      <x:c r="Y202" s="225"/>
      <x:c r="Z202" s="225"/>
    </x:row>
    <x:row r="203">
      <x:c r="A203" s="225"/>
      <x:c r="B203" s="225"/>
      <x:c r="C203" s="225"/>
      <x:c r="D203" s="225"/>
      <x:c r="E203" s="225"/>
      <x:c r="F203" s="225"/>
      <x:c r="G203" s="225"/>
      <x:c r="H203" s="225"/>
      <x:c r="I203" s="225"/>
      <x:c r="J203" s="225"/>
      <x:c r="K203" s="225"/>
      <x:c r="L203" s="225"/>
      <x:c r="M203" s="225"/>
      <x:c r="N203" s="225"/>
      <x:c r="O203" s="225"/>
      <x:c r="P203" s="225"/>
      <x:c r="Q203" s="225"/>
      <x:c r="R203" s="225"/>
      <x:c r="S203" s="225"/>
      <x:c r="T203" s="225"/>
      <x:c r="U203" s="225"/>
      <x:c r="V203" s="225"/>
      <x:c r="W203" s="225"/>
      <x:c r="X203" s="225"/>
      <x:c r="Y203" s="225"/>
      <x:c r="Z203" s="225"/>
    </x:row>
    <x:row r="204">
      <x:c r="A204" s="225"/>
      <x:c r="B204" s="225"/>
      <x:c r="C204" s="225"/>
      <x:c r="D204" s="225"/>
      <x:c r="E204" s="225"/>
      <x:c r="F204" s="225"/>
      <x:c r="G204" s="225"/>
      <x:c r="H204" s="225"/>
      <x:c r="I204" s="225"/>
      <x:c r="J204" s="225"/>
      <x:c r="K204" s="225"/>
      <x:c r="L204" s="225"/>
      <x:c r="M204" s="225"/>
      <x:c r="N204" s="225"/>
      <x:c r="O204" s="225"/>
      <x:c r="P204" s="225"/>
      <x:c r="Q204" s="225"/>
      <x:c r="R204" s="225"/>
      <x:c r="S204" s="225"/>
      <x:c r="T204" s="225"/>
      <x:c r="U204" s="225"/>
      <x:c r="V204" s="225"/>
      <x:c r="W204" s="225"/>
      <x:c r="X204" s="225"/>
      <x:c r="Y204" s="225"/>
      <x:c r="Z204" s="225"/>
    </x:row>
    <x:row r="205">
      <x:c r="A205" s="225"/>
      <x:c r="B205" s="225"/>
      <x:c r="C205" s="225"/>
      <x:c r="D205" s="225"/>
      <x:c r="E205" s="225"/>
      <x:c r="F205" s="225"/>
      <x:c r="G205" s="225"/>
      <x:c r="H205" s="225"/>
      <x:c r="I205" s="225"/>
      <x:c r="J205" s="225"/>
      <x:c r="K205" s="225"/>
      <x:c r="L205" s="225"/>
      <x:c r="M205" s="225"/>
      <x:c r="N205" s="225"/>
      <x:c r="O205" s="225"/>
      <x:c r="P205" s="225"/>
      <x:c r="Q205" s="225"/>
      <x:c r="R205" s="225"/>
      <x:c r="S205" s="225"/>
      <x:c r="T205" s="225"/>
      <x:c r="U205" s="225"/>
      <x:c r="V205" s="225"/>
      <x:c r="W205" s="225"/>
      <x:c r="X205" s="225"/>
      <x:c r="Y205" s="225"/>
      <x:c r="Z205" s="225"/>
    </x:row>
    <x:row r="206">
      <x:c r="A206" s="225"/>
      <x:c r="B206" s="225"/>
      <x:c r="C206" s="225"/>
      <x:c r="D206" s="225"/>
      <x:c r="E206" s="225"/>
      <x:c r="F206" s="225"/>
      <x:c r="G206" s="225"/>
      <x:c r="H206" s="225"/>
      <x:c r="I206" s="225"/>
      <x:c r="J206" s="225"/>
      <x:c r="K206" s="225"/>
      <x:c r="L206" s="225"/>
      <x:c r="M206" s="225"/>
      <x:c r="N206" s="225"/>
      <x:c r="O206" s="225"/>
      <x:c r="P206" s="225"/>
      <x:c r="Q206" s="225"/>
      <x:c r="R206" s="225"/>
      <x:c r="S206" s="225"/>
      <x:c r="T206" s="225"/>
      <x:c r="U206" s="225"/>
      <x:c r="V206" s="225"/>
      <x:c r="W206" s="225"/>
      <x:c r="X206" s="225"/>
      <x:c r="Y206" s="225"/>
      <x:c r="Z206" s="225"/>
    </x:row>
    <x:row r="207">
      <x:c r="A207" s="225"/>
      <x:c r="B207" s="225"/>
      <x:c r="C207" s="225"/>
      <x:c r="D207" s="225"/>
      <x:c r="E207" s="225"/>
      <x:c r="F207" s="225"/>
      <x:c r="G207" s="225"/>
      <x:c r="H207" s="225"/>
      <x:c r="I207" s="225"/>
      <x:c r="J207" s="225"/>
      <x:c r="K207" s="225"/>
      <x:c r="L207" s="225"/>
      <x:c r="M207" s="225"/>
      <x:c r="N207" s="225"/>
      <x:c r="O207" s="225"/>
      <x:c r="P207" s="225"/>
      <x:c r="Q207" s="225"/>
      <x:c r="R207" s="225"/>
      <x:c r="S207" s="225"/>
      <x:c r="T207" s="225"/>
      <x:c r="U207" s="225"/>
      <x:c r="V207" s="225"/>
      <x:c r="W207" s="225"/>
      <x:c r="X207" s="225"/>
      <x:c r="Y207" s="225"/>
      <x:c r="Z207" s="225"/>
    </x:row>
    <x:row r="208">
      <x:c r="A208" s="225"/>
      <x:c r="B208" s="225"/>
      <x:c r="C208" s="225"/>
      <x:c r="D208" s="225"/>
      <x:c r="E208" s="225"/>
      <x:c r="F208" s="225"/>
      <x:c r="G208" s="225"/>
      <x:c r="H208" s="225"/>
      <x:c r="I208" s="225"/>
      <x:c r="J208" s="225"/>
      <x:c r="K208" s="225"/>
      <x:c r="L208" s="225"/>
      <x:c r="M208" s="225"/>
      <x:c r="N208" s="225"/>
      <x:c r="O208" s="225"/>
      <x:c r="P208" s="225"/>
      <x:c r="Q208" s="225"/>
      <x:c r="R208" s="225"/>
      <x:c r="S208" s="225"/>
      <x:c r="T208" s="225"/>
      <x:c r="U208" s="225"/>
      <x:c r="V208" s="225"/>
      <x:c r="W208" s="225"/>
      <x:c r="X208" s="225"/>
      <x:c r="Y208" s="225"/>
      <x:c r="Z208" s="225"/>
    </x:row>
    <x:row r="209">
      <x:c r="A209" s="225"/>
      <x:c r="B209" s="225"/>
      <x:c r="C209" s="225"/>
      <x:c r="D209" s="225"/>
      <x:c r="E209" s="225"/>
      <x:c r="F209" s="225"/>
      <x:c r="G209" s="225"/>
      <x:c r="H209" s="225"/>
      <x:c r="I209" s="225"/>
      <x:c r="J209" s="225"/>
      <x:c r="K209" s="225"/>
      <x:c r="L209" s="225"/>
      <x:c r="M209" s="225"/>
      <x:c r="N209" s="225"/>
      <x:c r="O209" s="225"/>
      <x:c r="P209" s="225"/>
      <x:c r="Q209" s="225"/>
      <x:c r="R209" s="225"/>
      <x:c r="S209" s="225"/>
      <x:c r="T209" s="225"/>
      <x:c r="U209" s="225"/>
      <x:c r="V209" s="225"/>
      <x:c r="W209" s="225"/>
      <x:c r="X209" s="225"/>
      <x:c r="Y209" s="225"/>
      <x:c r="Z209" s="225"/>
    </x:row>
    <x:row r="210">
      <x:c r="A210" s="225"/>
      <x:c r="B210" s="225"/>
      <x:c r="C210" s="225"/>
      <x:c r="D210" s="225"/>
      <x:c r="E210" s="225"/>
      <x:c r="F210" s="225"/>
      <x:c r="G210" s="225"/>
      <x:c r="H210" s="225"/>
      <x:c r="I210" s="225"/>
      <x:c r="J210" s="225"/>
      <x:c r="K210" s="225"/>
      <x:c r="L210" s="225"/>
      <x:c r="M210" s="225"/>
      <x:c r="N210" s="225"/>
      <x:c r="O210" s="225"/>
      <x:c r="P210" s="225"/>
      <x:c r="Q210" s="225"/>
      <x:c r="R210" s="225"/>
      <x:c r="S210" s="225"/>
      <x:c r="T210" s="225"/>
      <x:c r="U210" s="225"/>
      <x:c r="V210" s="225"/>
      <x:c r="W210" s="225"/>
      <x:c r="X210" s="225"/>
      <x:c r="Y210" s="225"/>
      <x:c r="Z210" s="225"/>
    </x:row>
    <x:row r="211">
      <x:c r="A211" s="225"/>
      <x:c r="B211" s="225"/>
      <x:c r="C211" s="225"/>
      <x:c r="D211" s="225"/>
      <x:c r="E211" s="225"/>
      <x:c r="F211" s="225"/>
      <x:c r="G211" s="225"/>
      <x:c r="H211" s="225"/>
      <x:c r="I211" s="225"/>
      <x:c r="J211" s="225"/>
      <x:c r="K211" s="225"/>
      <x:c r="L211" s="225"/>
      <x:c r="M211" s="225"/>
      <x:c r="N211" s="225"/>
      <x:c r="O211" s="225"/>
      <x:c r="P211" s="225"/>
      <x:c r="Q211" s="225"/>
      <x:c r="R211" s="225"/>
      <x:c r="S211" s="225"/>
      <x:c r="T211" s="225"/>
      <x:c r="U211" s="225"/>
      <x:c r="V211" s="225"/>
      <x:c r="W211" s="225"/>
      <x:c r="X211" s="225"/>
      <x:c r="Y211" s="225"/>
      <x:c r="Z211" s="225"/>
    </x:row>
    <x:row r="212">
      <x:c r="A212" s="225"/>
      <x:c r="B212" s="225"/>
      <x:c r="C212" s="225"/>
      <x:c r="D212" s="225"/>
      <x:c r="E212" s="225"/>
      <x:c r="F212" s="225"/>
      <x:c r="G212" s="225"/>
      <x:c r="H212" s="225"/>
      <x:c r="I212" s="225"/>
      <x:c r="J212" s="225"/>
      <x:c r="K212" s="225"/>
      <x:c r="L212" s="225"/>
      <x:c r="M212" s="225"/>
      <x:c r="N212" s="225"/>
      <x:c r="O212" s="225"/>
      <x:c r="P212" s="225"/>
      <x:c r="Q212" s="225"/>
      <x:c r="R212" s="225"/>
      <x:c r="S212" s="225"/>
      <x:c r="T212" s="225"/>
      <x:c r="U212" s="225"/>
      <x:c r="V212" s="225"/>
      <x:c r="W212" s="225"/>
      <x:c r="X212" s="225"/>
      <x:c r="Y212" s="225"/>
      <x:c r="Z212" s="225"/>
    </x:row>
    <x:row r="213">
      <x:c r="A213" s="225"/>
      <x:c r="B213" s="225"/>
      <x:c r="C213" s="225"/>
      <x:c r="D213" s="225"/>
      <x:c r="E213" s="225"/>
      <x:c r="F213" s="225"/>
      <x:c r="G213" s="225"/>
      <x:c r="H213" s="225"/>
      <x:c r="I213" s="225"/>
      <x:c r="J213" s="225"/>
      <x:c r="K213" s="225"/>
      <x:c r="L213" s="225"/>
      <x:c r="M213" s="225"/>
      <x:c r="N213" s="225"/>
      <x:c r="O213" s="225"/>
      <x:c r="P213" s="225"/>
      <x:c r="Q213" s="225"/>
      <x:c r="R213" s="225"/>
      <x:c r="S213" s="225"/>
      <x:c r="T213" s="225"/>
      <x:c r="U213" s="225"/>
      <x:c r="V213" s="225"/>
      <x:c r="W213" s="225"/>
      <x:c r="X213" s="225"/>
      <x:c r="Y213" s="225"/>
      <x:c r="Z213" s="225"/>
    </x:row>
    <x:row r="214">
      <x:c r="A214" s="225"/>
      <x:c r="B214" s="225"/>
      <x:c r="C214" s="225"/>
      <x:c r="D214" s="225"/>
      <x:c r="E214" s="225"/>
      <x:c r="F214" s="225"/>
      <x:c r="G214" s="225"/>
      <x:c r="H214" s="225"/>
      <x:c r="I214" s="225"/>
      <x:c r="J214" s="225"/>
      <x:c r="K214" s="225"/>
      <x:c r="L214" s="225"/>
      <x:c r="M214" s="225"/>
      <x:c r="N214" s="225"/>
      <x:c r="O214" s="225"/>
      <x:c r="P214" s="225"/>
      <x:c r="Q214" s="225"/>
      <x:c r="R214" s="225"/>
      <x:c r="S214" s="225"/>
      <x:c r="T214" s="225"/>
      <x:c r="U214" s="225"/>
      <x:c r="V214" s="225"/>
      <x:c r="W214" s="225"/>
      <x:c r="X214" s="225"/>
      <x:c r="Y214" s="225"/>
      <x:c r="Z214" s="225"/>
    </x:row>
    <x:row r="215">
      <x:c r="A215" s="225"/>
      <x:c r="B215" s="225"/>
      <x:c r="C215" s="225"/>
      <x:c r="D215" s="225"/>
      <x:c r="E215" s="225"/>
      <x:c r="F215" s="225"/>
      <x:c r="G215" s="225"/>
      <x:c r="H215" s="225"/>
      <x:c r="I215" s="225"/>
      <x:c r="J215" s="225"/>
      <x:c r="K215" s="225"/>
      <x:c r="L215" s="225"/>
      <x:c r="M215" s="225"/>
      <x:c r="N215" s="225"/>
      <x:c r="O215" s="225"/>
      <x:c r="P215" s="225"/>
      <x:c r="Q215" s="225"/>
      <x:c r="R215" s="225"/>
      <x:c r="S215" s="225"/>
      <x:c r="T215" s="225"/>
      <x:c r="U215" s="225"/>
      <x:c r="V215" s="225"/>
      <x:c r="W215" s="225"/>
      <x:c r="X215" s="225"/>
      <x:c r="Y215" s="225"/>
      <x:c r="Z215" s="225"/>
    </x:row>
    <x:row r="216">
      <x:c r="A216" s="225"/>
      <x:c r="B216" s="225"/>
      <x:c r="C216" s="225"/>
      <x:c r="D216" s="225"/>
      <x:c r="E216" s="225"/>
      <x:c r="F216" s="225"/>
      <x:c r="G216" s="225"/>
      <x:c r="H216" s="225"/>
      <x:c r="I216" s="225"/>
      <x:c r="J216" s="225"/>
      <x:c r="K216" s="225"/>
      <x:c r="L216" s="225"/>
      <x:c r="M216" s="225"/>
      <x:c r="N216" s="225"/>
      <x:c r="O216" s="225"/>
      <x:c r="P216" s="225"/>
      <x:c r="Q216" s="225"/>
      <x:c r="R216" s="225"/>
      <x:c r="S216" s="225"/>
      <x:c r="T216" s="225"/>
      <x:c r="U216" s="225"/>
      <x:c r="V216" s="225"/>
      <x:c r="W216" s="225"/>
      <x:c r="X216" s="225"/>
      <x:c r="Y216" s="225"/>
      <x:c r="Z216" s="225"/>
    </x:row>
    <x:row r="217">
      <x:c r="A217" s="225"/>
      <x:c r="B217" s="225"/>
      <x:c r="C217" s="225"/>
      <x:c r="D217" s="225"/>
      <x:c r="E217" s="225"/>
      <x:c r="F217" s="225"/>
      <x:c r="G217" s="225"/>
      <x:c r="H217" s="225"/>
      <x:c r="I217" s="225"/>
      <x:c r="J217" s="225"/>
      <x:c r="K217" s="225"/>
      <x:c r="L217" s="225"/>
      <x:c r="M217" s="225"/>
      <x:c r="N217" s="225"/>
      <x:c r="O217" s="225"/>
      <x:c r="P217" s="225"/>
      <x:c r="Q217" s="225"/>
      <x:c r="R217" s="225"/>
      <x:c r="S217" s="225"/>
      <x:c r="T217" s="225"/>
      <x:c r="U217" s="225"/>
      <x:c r="V217" s="225"/>
      <x:c r="W217" s="225"/>
      <x:c r="X217" s="225"/>
      <x:c r="Y217" s="225"/>
      <x:c r="Z217" s="225"/>
    </x:row>
    <x:row r="218">
      <x:c r="A218" s="225"/>
      <x:c r="B218" s="225"/>
      <x:c r="C218" s="225"/>
      <x:c r="D218" s="225"/>
      <x:c r="E218" s="225"/>
      <x:c r="F218" s="225"/>
      <x:c r="G218" s="225"/>
      <x:c r="H218" s="225"/>
      <x:c r="I218" s="225"/>
      <x:c r="J218" s="225"/>
      <x:c r="K218" s="225"/>
      <x:c r="L218" s="225"/>
      <x:c r="M218" s="225"/>
      <x:c r="N218" s="225"/>
      <x:c r="O218" s="225"/>
      <x:c r="P218" s="225"/>
      <x:c r="Q218" s="225"/>
      <x:c r="R218" s="225"/>
      <x:c r="S218" s="225"/>
      <x:c r="T218" s="225"/>
      <x:c r="U218" s="225"/>
      <x:c r="V218" s="225"/>
      <x:c r="W218" s="225"/>
      <x:c r="X218" s="225"/>
      <x:c r="Y218" s="225"/>
      <x:c r="Z218" s="225"/>
    </x:row>
    <x:row r="219">
      <x:c r="A219" s="225"/>
      <x:c r="B219" s="225"/>
      <x:c r="C219" s="225"/>
      <x:c r="D219" s="225"/>
      <x:c r="E219" s="225"/>
      <x:c r="F219" s="225"/>
      <x:c r="G219" s="225"/>
      <x:c r="H219" s="225"/>
      <x:c r="I219" s="225"/>
      <x:c r="J219" s="225"/>
      <x:c r="K219" s="225"/>
      <x:c r="L219" s="225"/>
      <x:c r="M219" s="225"/>
      <x:c r="N219" s="225"/>
      <x:c r="O219" s="225"/>
      <x:c r="P219" s="225"/>
      <x:c r="Q219" s="225"/>
      <x:c r="R219" s="225"/>
      <x:c r="S219" s="225"/>
      <x:c r="T219" s="225"/>
      <x:c r="U219" s="225"/>
      <x:c r="V219" s="225"/>
      <x:c r="W219" s="225"/>
      <x:c r="X219" s="225"/>
      <x:c r="Y219" s="225"/>
      <x:c r="Z219" s="225"/>
    </x:row>
    <x:row r="220">
      <x:c r="A220" s="225"/>
      <x:c r="B220" s="225"/>
      <x:c r="C220" s="225"/>
      <x:c r="D220" s="225"/>
      <x:c r="E220" s="225"/>
      <x:c r="F220" s="225"/>
      <x:c r="G220" s="225"/>
      <x:c r="H220" s="225"/>
      <x:c r="I220" s="225"/>
      <x:c r="J220" s="225"/>
      <x:c r="K220" s="225"/>
      <x:c r="L220" s="225"/>
      <x:c r="M220" s="225"/>
      <x:c r="N220" s="225"/>
      <x:c r="O220" s="225"/>
      <x:c r="P220" s="225"/>
      <x:c r="Q220" s="225"/>
      <x:c r="R220" s="225"/>
      <x:c r="S220" s="225"/>
      <x:c r="T220" s="225"/>
      <x:c r="U220" s="225"/>
      <x:c r="V220" s="225"/>
      <x:c r="W220" s="225"/>
      <x:c r="X220" s="225"/>
      <x:c r="Y220" s="225"/>
      <x:c r="Z220" s="225"/>
    </x:row>
    <x:row r="221">
      <x:c r="A221" s="225"/>
      <x:c r="B221" s="225"/>
      <x:c r="C221" s="225"/>
      <x:c r="D221" s="225"/>
      <x:c r="E221" s="225"/>
      <x:c r="F221" s="225"/>
      <x:c r="G221" s="225"/>
      <x:c r="H221" s="225"/>
      <x:c r="I221" s="225"/>
      <x:c r="J221" s="225"/>
      <x:c r="K221" s="225"/>
      <x:c r="L221" s="225"/>
      <x:c r="M221" s="225"/>
      <x:c r="N221" s="225"/>
      <x:c r="O221" s="225"/>
      <x:c r="P221" s="225"/>
      <x:c r="Q221" s="225"/>
      <x:c r="R221" s="225"/>
      <x:c r="S221" s="225"/>
      <x:c r="T221" s="225"/>
      <x:c r="U221" s="225"/>
      <x:c r="V221" s="225"/>
      <x:c r="W221" s="225"/>
      <x:c r="X221" s="225"/>
      <x:c r="Y221" s="225"/>
      <x:c r="Z221" s="225"/>
    </x:row>
    <x:row r="222">
      <x:c r="A222" s="225"/>
      <x:c r="B222" s="225"/>
      <x:c r="C222" s="225"/>
      <x:c r="D222" s="225"/>
      <x:c r="E222" s="225"/>
      <x:c r="F222" s="225"/>
      <x:c r="G222" s="225"/>
      <x:c r="H222" s="225"/>
      <x:c r="I222" s="225"/>
      <x:c r="J222" s="225"/>
      <x:c r="K222" s="225"/>
      <x:c r="L222" s="225"/>
      <x:c r="M222" s="225"/>
      <x:c r="N222" s="225"/>
      <x:c r="O222" s="225"/>
      <x:c r="P222" s="225"/>
      <x:c r="Q222" s="225"/>
      <x:c r="R222" s="225"/>
      <x:c r="S222" s="225"/>
      <x:c r="T222" s="225"/>
      <x:c r="U222" s="225"/>
      <x:c r="V222" s="225"/>
      <x:c r="W222" s="225"/>
      <x:c r="X222" s="225"/>
      <x:c r="Y222" s="225"/>
      <x:c r="Z222" s="225"/>
    </x:row>
    <x:row r="223">
      <x:c r="A223" s="225"/>
      <x:c r="B223" s="225"/>
      <x:c r="C223" s="225"/>
      <x:c r="D223" s="225"/>
      <x:c r="E223" s="225"/>
      <x:c r="F223" s="225"/>
      <x:c r="G223" s="225"/>
      <x:c r="H223" s="225"/>
      <x:c r="I223" s="225"/>
      <x:c r="J223" s="225"/>
      <x:c r="K223" s="225"/>
      <x:c r="L223" s="225"/>
      <x:c r="M223" s="225"/>
      <x:c r="N223" s="225"/>
      <x:c r="O223" s="225"/>
      <x:c r="P223" s="225"/>
      <x:c r="Q223" s="225"/>
      <x:c r="R223" s="225"/>
      <x:c r="S223" s="225"/>
      <x:c r="T223" s="225"/>
      <x:c r="U223" s="225"/>
      <x:c r="V223" s="225"/>
      <x:c r="W223" s="225"/>
      <x:c r="X223" s="225"/>
      <x:c r="Y223" s="225"/>
      <x:c r="Z223" s="225"/>
    </x:row>
    <x:row r="224">
      <x:c r="A224" s="225"/>
      <x:c r="B224" s="225"/>
      <x:c r="C224" s="225"/>
      <x:c r="D224" s="225"/>
      <x:c r="E224" s="225"/>
      <x:c r="F224" s="225"/>
      <x:c r="G224" s="225"/>
      <x:c r="H224" s="225"/>
      <x:c r="I224" s="225"/>
      <x:c r="J224" s="225"/>
      <x:c r="K224" s="225"/>
      <x:c r="L224" s="225"/>
      <x:c r="M224" s="225"/>
      <x:c r="N224" s="225"/>
      <x:c r="O224" s="225"/>
      <x:c r="P224" s="225"/>
      <x:c r="Q224" s="225"/>
      <x:c r="R224" s="225"/>
      <x:c r="S224" s="225"/>
      <x:c r="T224" s="225"/>
      <x:c r="U224" s="225"/>
      <x:c r="V224" s="225"/>
      <x:c r="W224" s="225"/>
      <x:c r="X224" s="225"/>
      <x:c r="Y224" s="225"/>
      <x:c r="Z224" s="225"/>
    </x:row>
    <x:row r="225">
      <x:c r="A225" s="225"/>
      <x:c r="B225" s="225"/>
      <x:c r="C225" s="225"/>
      <x:c r="D225" s="225"/>
      <x:c r="E225" s="225"/>
      <x:c r="F225" s="225"/>
      <x:c r="G225" s="225"/>
      <x:c r="H225" s="225"/>
      <x:c r="I225" s="225"/>
      <x:c r="J225" s="225"/>
      <x:c r="K225" s="225"/>
      <x:c r="L225" s="225"/>
      <x:c r="M225" s="225"/>
      <x:c r="N225" s="225"/>
      <x:c r="O225" s="225"/>
      <x:c r="P225" s="225"/>
      <x:c r="Q225" s="225"/>
      <x:c r="R225" s="225"/>
      <x:c r="S225" s="225"/>
      <x:c r="T225" s="225"/>
      <x:c r="U225" s="225"/>
      <x:c r="V225" s="225"/>
      <x:c r="W225" s="225"/>
      <x:c r="X225" s="225"/>
      <x:c r="Y225" s="225"/>
      <x:c r="Z225" s="225"/>
    </x:row>
    <x:row r="226">
      <x:c r="A226" s="225"/>
      <x:c r="B226" s="225"/>
      <x:c r="C226" s="225"/>
      <x:c r="D226" s="225"/>
      <x:c r="E226" s="225"/>
      <x:c r="F226" s="225"/>
      <x:c r="G226" s="225"/>
      <x:c r="H226" s="225"/>
      <x:c r="I226" s="225"/>
      <x:c r="J226" s="225"/>
      <x:c r="K226" s="225"/>
      <x:c r="L226" s="225"/>
      <x:c r="M226" s="225"/>
      <x:c r="N226" s="225"/>
      <x:c r="O226" s="225"/>
      <x:c r="P226" s="225"/>
      <x:c r="Q226" s="225"/>
      <x:c r="R226" s="225"/>
      <x:c r="S226" s="225"/>
      <x:c r="T226" s="225"/>
      <x:c r="U226" s="225"/>
      <x:c r="V226" s="225"/>
      <x:c r="W226" s="225"/>
      <x:c r="X226" s="225"/>
      <x:c r="Y226" s="225"/>
      <x:c r="Z226" s="225"/>
    </x:row>
    <x:row r="227">
      <x:c r="A227" s="225"/>
      <x:c r="B227" s="225"/>
      <x:c r="C227" s="225"/>
      <x:c r="D227" s="225"/>
      <x:c r="E227" s="225"/>
      <x:c r="F227" s="225"/>
      <x:c r="G227" s="225"/>
      <x:c r="H227" s="225"/>
      <x:c r="I227" s="225"/>
      <x:c r="J227" s="225"/>
      <x:c r="K227" s="225"/>
      <x:c r="L227" s="225"/>
      <x:c r="M227" s="225"/>
      <x:c r="N227" s="225"/>
      <x:c r="O227" s="225"/>
      <x:c r="P227" s="225"/>
      <x:c r="Q227" s="225"/>
      <x:c r="R227" s="225"/>
      <x:c r="S227" s="225"/>
      <x:c r="T227" s="225"/>
      <x:c r="U227" s="225"/>
      <x:c r="V227" s="225"/>
      <x:c r="W227" s="225"/>
      <x:c r="X227" s="225"/>
      <x:c r="Y227" s="225"/>
      <x:c r="Z227" s="225"/>
    </x:row>
    <x:row r="228">
      <x:c r="A228" s="225"/>
      <x:c r="B228" s="225"/>
      <x:c r="C228" s="225"/>
      <x:c r="D228" s="225"/>
      <x:c r="E228" s="225"/>
      <x:c r="F228" s="225"/>
      <x:c r="G228" s="225"/>
      <x:c r="H228" s="225"/>
      <x:c r="I228" s="225"/>
      <x:c r="J228" s="225"/>
      <x:c r="K228" s="225"/>
      <x:c r="L228" s="225"/>
      <x:c r="M228" s="225"/>
      <x:c r="N228" s="225"/>
      <x:c r="O228" s="225"/>
      <x:c r="P228" s="225"/>
      <x:c r="Q228" s="225"/>
      <x:c r="R228" s="225"/>
      <x:c r="S228" s="225"/>
      <x:c r="T228" s="225"/>
      <x:c r="U228" s="225"/>
      <x:c r="V228" s="225"/>
      <x:c r="W228" s="225"/>
      <x:c r="X228" s="225"/>
      <x:c r="Y228" s="225"/>
      <x:c r="Z228" s="225"/>
    </x:row>
    <x:row r="229">
      <x:c r="A229" s="225"/>
      <x:c r="B229" s="225"/>
      <x:c r="C229" s="225"/>
      <x:c r="D229" s="225"/>
      <x:c r="E229" s="225"/>
      <x:c r="F229" s="225"/>
      <x:c r="G229" s="225"/>
      <x:c r="H229" s="225"/>
      <x:c r="I229" s="225"/>
      <x:c r="J229" s="225"/>
      <x:c r="K229" s="225"/>
      <x:c r="L229" s="225"/>
      <x:c r="M229" s="225"/>
      <x:c r="N229" s="225"/>
      <x:c r="O229" s="225"/>
      <x:c r="P229" s="225"/>
      <x:c r="Q229" s="225"/>
      <x:c r="R229" s="225"/>
      <x:c r="S229" s="225"/>
      <x:c r="T229" s="225"/>
      <x:c r="U229" s="225"/>
      <x:c r="V229" s="225"/>
      <x:c r="W229" s="225"/>
      <x:c r="X229" s="225"/>
      <x:c r="Y229" s="225"/>
      <x:c r="Z229" s="225"/>
    </x:row>
    <x:row r="230">
      <x:c r="A230" s="225"/>
      <x:c r="B230" s="225"/>
      <x:c r="C230" s="225"/>
      <x:c r="D230" s="225"/>
      <x:c r="E230" s="225"/>
      <x:c r="F230" s="225"/>
      <x:c r="G230" s="225"/>
      <x:c r="H230" s="225"/>
      <x:c r="I230" s="225"/>
      <x:c r="J230" s="225"/>
      <x:c r="K230" s="225"/>
      <x:c r="L230" s="225"/>
      <x:c r="M230" s="225"/>
      <x:c r="N230" s="225"/>
      <x:c r="O230" s="225"/>
      <x:c r="P230" s="225"/>
      <x:c r="Q230" s="225"/>
      <x:c r="R230" s="225"/>
      <x:c r="S230" s="225"/>
      <x:c r="T230" s="225"/>
      <x:c r="U230" s="225"/>
      <x:c r="V230" s="225"/>
      <x:c r="W230" s="225"/>
      <x:c r="X230" s="225"/>
      <x:c r="Y230" s="225"/>
      <x:c r="Z230" s="225"/>
    </x:row>
    <x:row r="231">
      <x:c r="A231" s="225"/>
      <x:c r="B231" s="225"/>
      <x:c r="C231" s="225"/>
      <x:c r="D231" s="225"/>
      <x:c r="E231" s="225"/>
      <x:c r="F231" s="225"/>
      <x:c r="G231" s="225"/>
      <x:c r="H231" s="225"/>
      <x:c r="I231" s="225"/>
      <x:c r="J231" s="225"/>
      <x:c r="K231" s="225"/>
      <x:c r="L231" s="225"/>
      <x:c r="M231" s="225"/>
      <x:c r="N231" s="225"/>
      <x:c r="O231" s="225"/>
      <x:c r="P231" s="225"/>
      <x:c r="Q231" s="225"/>
      <x:c r="R231" s="225"/>
      <x:c r="S231" s="225"/>
      <x:c r="T231" s="225"/>
      <x:c r="U231" s="225"/>
      <x:c r="V231" s="225"/>
      <x:c r="W231" s="225"/>
      <x:c r="X231" s="225"/>
      <x:c r="Y231" s="225"/>
      <x:c r="Z231" s="225"/>
    </x:row>
    <x:row r="232">
      <x:c r="A232" s="225"/>
      <x:c r="B232" s="225"/>
      <x:c r="C232" s="225"/>
      <x:c r="D232" s="225"/>
      <x:c r="E232" s="225"/>
      <x:c r="F232" s="225"/>
      <x:c r="G232" s="225"/>
      <x:c r="H232" s="225"/>
      <x:c r="I232" s="225"/>
      <x:c r="J232" s="225"/>
      <x:c r="K232" s="225"/>
      <x:c r="L232" s="225"/>
      <x:c r="M232" s="225"/>
      <x:c r="N232" s="225"/>
      <x:c r="O232" s="225"/>
      <x:c r="P232" s="225"/>
      <x:c r="Q232" s="225"/>
      <x:c r="R232" s="225"/>
      <x:c r="S232" s="225"/>
      <x:c r="T232" s="225"/>
      <x:c r="U232" s="225"/>
      <x:c r="V232" s="225"/>
      <x:c r="W232" s="225"/>
      <x:c r="X232" s="225"/>
      <x:c r="Y232" s="225"/>
      <x:c r="Z232" s="225"/>
    </x:row>
    <x:row r="233">
      <x:c r="A233" s="225"/>
      <x:c r="B233" s="225"/>
      <x:c r="C233" s="225"/>
      <x:c r="D233" s="225"/>
      <x:c r="E233" s="225"/>
      <x:c r="F233" s="225"/>
      <x:c r="G233" s="225"/>
      <x:c r="H233" s="225"/>
      <x:c r="I233" s="225"/>
      <x:c r="J233" s="225"/>
      <x:c r="K233" s="225"/>
      <x:c r="L233" s="225"/>
      <x:c r="M233" s="225"/>
      <x:c r="N233" s="225"/>
      <x:c r="O233" s="225"/>
      <x:c r="P233" s="225"/>
      <x:c r="Q233" s="225"/>
      <x:c r="R233" s="225"/>
      <x:c r="S233" s="225"/>
      <x:c r="T233" s="225"/>
      <x:c r="U233" s="225"/>
      <x:c r="V233" s="225"/>
      <x:c r="W233" s="225"/>
      <x:c r="X233" s="225"/>
      <x:c r="Y233" s="225"/>
      <x:c r="Z233" s="225"/>
    </x:row>
    <x:row r="234">
      <x:c r="A234" s="225"/>
      <x:c r="B234" s="225"/>
      <x:c r="C234" s="225"/>
      <x:c r="D234" s="225"/>
      <x:c r="E234" s="225"/>
      <x:c r="F234" s="225"/>
      <x:c r="G234" s="225"/>
      <x:c r="H234" s="225"/>
      <x:c r="I234" s="225"/>
      <x:c r="J234" s="225"/>
      <x:c r="K234" s="225"/>
      <x:c r="L234" s="225"/>
      <x:c r="M234" s="225"/>
      <x:c r="N234" s="225"/>
      <x:c r="O234" s="225"/>
      <x:c r="P234" s="225"/>
      <x:c r="Q234" s="225"/>
      <x:c r="R234" s="225"/>
      <x:c r="S234" s="225"/>
      <x:c r="T234" s="225"/>
      <x:c r="U234" s="225"/>
      <x:c r="V234" s="225"/>
      <x:c r="W234" s="225"/>
      <x:c r="X234" s="225"/>
      <x:c r="Y234" s="225"/>
      <x:c r="Z234" s="225"/>
    </x:row>
    <x:row r="235">
      <x:c r="A235" s="225"/>
      <x:c r="B235" s="225"/>
      <x:c r="C235" s="225"/>
      <x:c r="D235" s="225"/>
      <x:c r="E235" s="225"/>
      <x:c r="F235" s="225"/>
      <x:c r="G235" s="225"/>
      <x:c r="H235" s="225"/>
      <x:c r="I235" s="225"/>
      <x:c r="J235" s="225"/>
      <x:c r="K235" s="225"/>
      <x:c r="L235" s="225"/>
      <x:c r="M235" s="225"/>
      <x:c r="N235" s="225"/>
      <x:c r="O235" s="225"/>
      <x:c r="P235" s="225"/>
      <x:c r="Q235" s="225"/>
      <x:c r="R235" s="225"/>
      <x:c r="S235" s="225"/>
      <x:c r="T235" s="225"/>
      <x:c r="U235" s="225"/>
      <x:c r="V235" s="225"/>
      <x:c r="W235" s="225"/>
      <x:c r="X235" s="225"/>
      <x:c r="Y235" s="225"/>
      <x:c r="Z235" s="225"/>
    </x:row>
    <x:row r="236">
      <x:c r="A236" s="225"/>
      <x:c r="B236" s="225"/>
      <x:c r="C236" s="225"/>
      <x:c r="D236" s="225"/>
      <x:c r="E236" s="225"/>
      <x:c r="F236" s="225"/>
      <x:c r="G236" s="225"/>
      <x:c r="H236" s="225"/>
      <x:c r="I236" s="225"/>
      <x:c r="J236" s="225"/>
      <x:c r="K236" s="225"/>
      <x:c r="L236" s="225"/>
      <x:c r="M236" s="225"/>
      <x:c r="N236" s="225"/>
      <x:c r="O236" s="225"/>
      <x:c r="P236" s="225"/>
      <x:c r="Q236" s="225"/>
      <x:c r="R236" s="225"/>
      <x:c r="S236" s="225"/>
      <x:c r="T236" s="225"/>
      <x:c r="U236" s="225"/>
      <x:c r="V236" s="225"/>
      <x:c r="W236" s="225"/>
      <x:c r="X236" s="225"/>
      <x:c r="Y236" s="225"/>
      <x:c r="Z236" s="225"/>
    </x:row>
    <x:row r="237">
      <x:c r="A237" s="225"/>
      <x:c r="B237" s="225"/>
      <x:c r="C237" s="225"/>
      <x:c r="D237" s="225"/>
      <x:c r="E237" s="225"/>
      <x:c r="F237" s="225"/>
      <x:c r="G237" s="225"/>
      <x:c r="H237" s="225"/>
      <x:c r="I237" s="225"/>
      <x:c r="J237" s="225"/>
      <x:c r="K237" s="225"/>
      <x:c r="L237" s="225"/>
      <x:c r="M237" s="225"/>
      <x:c r="N237" s="225"/>
      <x:c r="O237" s="225"/>
      <x:c r="P237" s="225"/>
      <x:c r="Q237" s="225"/>
      <x:c r="R237" s="225"/>
      <x:c r="S237" s="225"/>
      <x:c r="T237" s="225"/>
      <x:c r="U237" s="225"/>
      <x:c r="V237" s="225"/>
      <x:c r="W237" s="225"/>
      <x:c r="X237" s="225"/>
      <x:c r="Y237" s="225"/>
      <x:c r="Z237" s="225"/>
    </x:row>
    <x:row r="238">
      <x:c r="A238" s="225"/>
      <x:c r="B238" s="225"/>
      <x:c r="C238" s="225"/>
      <x:c r="D238" s="225"/>
      <x:c r="E238" s="225"/>
      <x:c r="F238" s="225"/>
      <x:c r="G238" s="225"/>
      <x:c r="H238" s="225"/>
      <x:c r="I238" s="225"/>
      <x:c r="J238" s="225"/>
      <x:c r="K238" s="225"/>
      <x:c r="L238" s="225"/>
      <x:c r="M238" s="225"/>
      <x:c r="N238" s="225"/>
      <x:c r="O238" s="225"/>
      <x:c r="P238" s="225"/>
      <x:c r="Q238" s="225"/>
      <x:c r="R238" s="225"/>
      <x:c r="S238" s="225"/>
      <x:c r="T238" s="225"/>
      <x:c r="U238" s="225"/>
      <x:c r="V238" s="225"/>
      <x:c r="W238" s="225"/>
      <x:c r="X238" s="225"/>
      <x:c r="Y238" s="225"/>
      <x:c r="Z238" s="225"/>
    </x:row>
    <x:row r="239">
      <x:c r="A239" s="225"/>
      <x:c r="B239" s="225"/>
      <x:c r="C239" s="225"/>
      <x:c r="D239" s="225"/>
      <x:c r="E239" s="225"/>
      <x:c r="F239" s="225"/>
      <x:c r="G239" s="225"/>
      <x:c r="H239" s="225"/>
      <x:c r="I239" s="225"/>
      <x:c r="J239" s="225"/>
      <x:c r="K239" s="225"/>
      <x:c r="L239" s="225"/>
      <x:c r="M239" s="225"/>
      <x:c r="N239" s="225"/>
      <x:c r="O239" s="225"/>
      <x:c r="P239" s="225"/>
      <x:c r="Q239" s="225"/>
      <x:c r="R239" s="225"/>
      <x:c r="S239" s="225"/>
      <x:c r="T239" s="225"/>
      <x:c r="U239" s="225"/>
      <x:c r="V239" s="225"/>
      <x:c r="W239" s="225"/>
      <x:c r="X239" s="225"/>
      <x:c r="Y239" s="225"/>
      <x:c r="Z239" s="225"/>
    </x:row>
    <x:row r="240">
      <x:c r="A240" s="225"/>
      <x:c r="B240" s="225"/>
      <x:c r="C240" s="225"/>
      <x:c r="D240" s="225"/>
      <x:c r="E240" s="225"/>
      <x:c r="F240" s="225"/>
      <x:c r="G240" s="225"/>
      <x:c r="H240" s="225"/>
      <x:c r="I240" s="225"/>
      <x:c r="J240" s="225"/>
      <x:c r="K240" s="225"/>
      <x:c r="L240" s="225"/>
      <x:c r="M240" s="225"/>
      <x:c r="N240" s="225"/>
      <x:c r="O240" s="225"/>
      <x:c r="P240" s="225"/>
      <x:c r="Q240" s="225"/>
      <x:c r="R240" s="225"/>
      <x:c r="S240" s="225"/>
      <x:c r="T240" s="225"/>
      <x:c r="U240" s="225"/>
      <x:c r="V240" s="225"/>
      <x:c r="W240" s="225"/>
      <x:c r="X240" s="225"/>
      <x:c r="Y240" s="225"/>
      <x:c r="Z240" s="225"/>
    </x:row>
    <x:row r="241">
      <x:c r="A241" s="225"/>
      <x:c r="B241" s="225"/>
      <x:c r="C241" s="225"/>
      <x:c r="D241" s="225"/>
      <x:c r="E241" s="225"/>
      <x:c r="F241" s="225"/>
      <x:c r="G241" s="225"/>
      <x:c r="H241" s="225"/>
      <x:c r="I241" s="225"/>
      <x:c r="J241" s="225"/>
      <x:c r="K241" s="225"/>
      <x:c r="L241" s="225"/>
      <x:c r="M241" s="225"/>
      <x:c r="N241" s="225"/>
      <x:c r="O241" s="225"/>
      <x:c r="P241" s="225"/>
      <x:c r="Q241" s="225"/>
      <x:c r="R241" s="225"/>
      <x:c r="S241" s="225"/>
      <x:c r="T241" s="225"/>
      <x:c r="U241" s="225"/>
      <x:c r="V241" s="225"/>
      <x:c r="W241" s="225"/>
      <x:c r="X241" s="225"/>
      <x:c r="Y241" s="225"/>
      <x:c r="Z241" s="225"/>
    </x:row>
    <x:row r="242">
      <x:c r="A242" s="225"/>
      <x:c r="B242" s="225"/>
      <x:c r="C242" s="225"/>
      <x:c r="D242" s="225"/>
      <x:c r="E242" s="225"/>
      <x:c r="F242" s="225"/>
      <x:c r="G242" s="225"/>
      <x:c r="H242" s="225"/>
      <x:c r="I242" s="225"/>
      <x:c r="J242" s="225"/>
      <x:c r="K242" s="225"/>
      <x:c r="L242" s="225"/>
      <x:c r="M242" s="225"/>
      <x:c r="N242" s="225"/>
      <x:c r="O242" s="225"/>
      <x:c r="P242" s="225"/>
      <x:c r="Q242" s="225"/>
      <x:c r="R242" s="225"/>
      <x:c r="S242" s="225"/>
      <x:c r="T242" s="225"/>
      <x:c r="U242" s="225"/>
      <x:c r="V242" s="225"/>
      <x:c r="W242" s="225"/>
      <x:c r="X242" s="225"/>
      <x:c r="Y242" s="225"/>
      <x:c r="Z242" s="225"/>
    </x:row>
    <x:row r="243">
      <x:c r="A243" s="225"/>
      <x:c r="B243" s="225"/>
      <x:c r="C243" s="225"/>
      <x:c r="D243" s="225"/>
      <x:c r="E243" s="225"/>
      <x:c r="F243" s="225"/>
      <x:c r="G243" s="225"/>
      <x:c r="H243" s="225"/>
      <x:c r="I243" s="225"/>
      <x:c r="J243" s="225"/>
      <x:c r="K243" s="225"/>
      <x:c r="L243" s="225"/>
      <x:c r="M243" s="225"/>
      <x:c r="N243" s="225"/>
      <x:c r="O243" s="225"/>
      <x:c r="P243" s="225"/>
      <x:c r="Q243" s="225"/>
      <x:c r="R243" s="225"/>
      <x:c r="S243" s="225"/>
      <x:c r="T243" s="225"/>
      <x:c r="U243" s="225"/>
      <x:c r="V243" s="225"/>
      <x:c r="W243" s="225"/>
      <x:c r="X243" s="225"/>
      <x:c r="Y243" s="225"/>
      <x:c r="Z243" s="225"/>
    </x:row>
    <x:row r="244">
      <x:c r="A244" s="225"/>
      <x:c r="B244" s="225"/>
      <x:c r="C244" s="225"/>
      <x:c r="D244" s="225"/>
      <x:c r="E244" s="225"/>
      <x:c r="F244" s="225"/>
      <x:c r="G244" s="225"/>
      <x:c r="H244" s="225"/>
      <x:c r="I244" s="225"/>
      <x:c r="J244" s="225"/>
      <x:c r="K244" s="225"/>
      <x:c r="L244" s="225"/>
      <x:c r="M244" s="225"/>
      <x:c r="N244" s="225"/>
      <x:c r="O244" s="225"/>
      <x:c r="P244" s="225"/>
      <x:c r="Q244" s="225"/>
      <x:c r="R244" s="225"/>
      <x:c r="S244" s="225"/>
      <x:c r="T244" s="225"/>
      <x:c r="U244" s="225"/>
      <x:c r="V244" s="225"/>
      <x:c r="W244" s="225"/>
      <x:c r="X244" s="225"/>
      <x:c r="Y244" s="225"/>
      <x:c r="Z244" s="225"/>
    </x:row>
    <x:row r="245">
      <x:c r="A245" s="225"/>
      <x:c r="B245" s="225"/>
      <x:c r="C245" s="225"/>
      <x:c r="D245" s="225"/>
      <x:c r="E245" s="225"/>
      <x:c r="F245" s="225"/>
      <x:c r="G245" s="225"/>
      <x:c r="H245" s="225"/>
      <x:c r="I245" s="225"/>
      <x:c r="J245" s="225"/>
      <x:c r="K245" s="225"/>
      <x:c r="L245" s="225"/>
      <x:c r="M245" s="225"/>
      <x:c r="N245" s="225"/>
      <x:c r="O245" s="225"/>
      <x:c r="P245" s="225"/>
      <x:c r="Q245" s="225"/>
      <x:c r="R245" s="225"/>
      <x:c r="S245" s="225"/>
      <x:c r="T245" s="225"/>
      <x:c r="U245" s="225"/>
      <x:c r="V245" s="225"/>
      <x:c r="W245" s="225"/>
      <x:c r="X245" s="225"/>
      <x:c r="Y245" s="225"/>
      <x:c r="Z245" s="225"/>
    </x:row>
    <x:row r="246">
      <x:c r="A246" s="225"/>
      <x:c r="B246" s="225"/>
      <x:c r="C246" s="225"/>
      <x:c r="D246" s="225"/>
      <x:c r="E246" s="225"/>
      <x:c r="F246" s="225"/>
      <x:c r="G246" s="225"/>
      <x:c r="H246" s="225"/>
      <x:c r="I246" s="225"/>
      <x:c r="J246" s="225"/>
      <x:c r="K246" s="225"/>
      <x:c r="L246" s="225"/>
      <x:c r="M246" s="225"/>
      <x:c r="N246" s="225"/>
      <x:c r="O246" s="225"/>
      <x:c r="P246" s="225"/>
      <x:c r="Q246" s="225"/>
      <x:c r="R246" s="225"/>
      <x:c r="S246" s="225"/>
      <x:c r="T246" s="225"/>
      <x:c r="U246" s="225"/>
      <x:c r="V246" s="225"/>
      <x:c r="W246" s="225"/>
      <x:c r="X246" s="225"/>
      <x:c r="Y246" s="225"/>
      <x:c r="Z246" s="225"/>
    </x:row>
    <x:row r="247">
      <x:c r="A247" s="225"/>
      <x:c r="B247" s="225"/>
      <x:c r="C247" s="225"/>
      <x:c r="D247" s="225"/>
      <x:c r="E247" s="225"/>
      <x:c r="F247" s="225"/>
      <x:c r="G247" s="225"/>
      <x:c r="H247" s="225"/>
      <x:c r="I247" s="225"/>
      <x:c r="J247" s="225"/>
      <x:c r="K247" s="225"/>
      <x:c r="L247" s="225"/>
      <x:c r="M247" s="225"/>
      <x:c r="N247" s="225"/>
      <x:c r="O247" s="225"/>
      <x:c r="P247" s="225"/>
      <x:c r="Q247" s="225"/>
      <x:c r="R247" s="225"/>
      <x:c r="S247" s="225"/>
      <x:c r="T247" s="225"/>
      <x:c r="U247" s="225"/>
      <x:c r="V247" s="225"/>
      <x:c r="W247" s="225"/>
      <x:c r="X247" s="225"/>
      <x:c r="Y247" s="225"/>
      <x:c r="Z247" s="225"/>
    </x:row>
    <x:row r="248">
      <x:c r="A248" s="225"/>
      <x:c r="B248" s="225"/>
      <x:c r="C248" s="225"/>
      <x:c r="D248" s="225"/>
      <x:c r="E248" s="225"/>
      <x:c r="F248" s="225"/>
      <x:c r="G248" s="225"/>
      <x:c r="H248" s="225"/>
      <x:c r="I248" s="225"/>
      <x:c r="J248" s="225"/>
      <x:c r="K248" s="225"/>
      <x:c r="L248" s="225"/>
      <x:c r="M248" s="225"/>
      <x:c r="N248" s="225"/>
      <x:c r="O248" s="225"/>
      <x:c r="P248" s="225"/>
      <x:c r="Q248" s="225"/>
      <x:c r="R248" s="225"/>
      <x:c r="S248" s="225"/>
      <x:c r="T248" s="225"/>
      <x:c r="U248" s="225"/>
      <x:c r="V248" s="225"/>
      <x:c r="W248" s="225"/>
      <x:c r="X248" s="225"/>
      <x:c r="Y248" s="225"/>
      <x:c r="Z248" s="225"/>
    </x:row>
    <x:row r="249">
      <x:c r="A249" s="225"/>
      <x:c r="B249" s="225"/>
      <x:c r="C249" s="225"/>
      <x:c r="D249" s="225"/>
      <x:c r="E249" s="225"/>
      <x:c r="F249" s="225"/>
      <x:c r="G249" s="225"/>
      <x:c r="H249" s="225"/>
      <x:c r="I249" s="225"/>
      <x:c r="J249" s="225"/>
      <x:c r="K249" s="225"/>
      <x:c r="L249" s="225"/>
      <x:c r="M249" s="225"/>
      <x:c r="N249" s="225"/>
      <x:c r="O249" s="225"/>
      <x:c r="P249" s="225"/>
      <x:c r="Q249" s="225"/>
      <x:c r="R249" s="225"/>
      <x:c r="S249" s="225"/>
      <x:c r="T249" s="225"/>
      <x:c r="U249" s="225"/>
      <x:c r="V249" s="225"/>
      <x:c r="W249" s="225"/>
      <x:c r="X249" s="225"/>
      <x:c r="Y249" s="225"/>
      <x:c r="Z249" s="225"/>
    </x:row>
    <x:row r="250">
      <x:c r="A250" s="225"/>
      <x:c r="B250" s="225"/>
      <x:c r="C250" s="225"/>
      <x:c r="D250" s="225"/>
      <x:c r="E250" s="225"/>
      <x:c r="F250" s="225"/>
      <x:c r="G250" s="225"/>
      <x:c r="H250" s="225"/>
      <x:c r="I250" s="225"/>
      <x:c r="J250" s="225"/>
      <x:c r="K250" s="225"/>
      <x:c r="L250" s="225"/>
      <x:c r="M250" s="225"/>
      <x:c r="N250" s="225"/>
      <x:c r="O250" s="225"/>
      <x:c r="P250" s="225"/>
      <x:c r="Q250" s="225"/>
      <x:c r="R250" s="225"/>
      <x:c r="S250" s="225"/>
      <x:c r="T250" s="225"/>
      <x:c r="U250" s="225"/>
      <x:c r="V250" s="225"/>
      <x:c r="W250" s="225"/>
      <x:c r="X250" s="225"/>
      <x:c r="Y250" s="225"/>
      <x:c r="Z250" s="225"/>
    </x:row>
    <x:row r="251">
      <x:c r="A251" s="225"/>
      <x:c r="B251" s="225"/>
      <x:c r="C251" s="225"/>
      <x:c r="D251" s="225"/>
      <x:c r="E251" s="225"/>
      <x:c r="F251" s="225"/>
      <x:c r="G251" s="225"/>
      <x:c r="H251" s="225"/>
      <x:c r="I251" s="225"/>
      <x:c r="J251" s="225"/>
      <x:c r="K251" s="225"/>
      <x:c r="L251" s="225"/>
      <x:c r="M251" s="225"/>
      <x:c r="N251" s="225"/>
      <x:c r="O251" s="225"/>
      <x:c r="P251" s="225"/>
      <x:c r="Q251" s="225"/>
      <x:c r="R251" s="225"/>
      <x:c r="S251" s="225"/>
      <x:c r="T251" s="225"/>
      <x:c r="U251" s="225"/>
      <x:c r="V251" s="225"/>
      <x:c r="W251" s="225"/>
      <x:c r="X251" s="225"/>
      <x:c r="Y251" s="225"/>
      <x:c r="Z251" s="225"/>
    </x:row>
    <x:row r="252">
      <x:c r="A252" s="225"/>
      <x:c r="B252" s="225"/>
      <x:c r="C252" s="225"/>
      <x:c r="D252" s="225"/>
      <x:c r="E252" s="225"/>
      <x:c r="F252" s="225"/>
      <x:c r="G252" s="225"/>
      <x:c r="H252" s="225"/>
      <x:c r="I252" s="225"/>
      <x:c r="J252" s="225"/>
      <x:c r="K252" s="225"/>
      <x:c r="L252" s="225"/>
      <x:c r="M252" s="225"/>
      <x:c r="N252" s="225"/>
      <x:c r="O252" s="225"/>
      <x:c r="P252" s="225"/>
      <x:c r="Q252" s="225"/>
      <x:c r="R252" s="225"/>
      <x:c r="S252" s="225"/>
      <x:c r="T252" s="225"/>
      <x:c r="U252" s="225"/>
      <x:c r="V252" s="225"/>
      <x:c r="W252" s="225"/>
      <x:c r="X252" s="225"/>
      <x:c r="Y252" s="225"/>
      <x:c r="Z252" s="225"/>
    </x:row>
    <x:row r="253">
      <x:c r="A253" s="225"/>
      <x:c r="B253" s="225"/>
      <x:c r="C253" s="225"/>
      <x:c r="D253" s="225"/>
      <x:c r="E253" s="225"/>
      <x:c r="F253" s="225"/>
      <x:c r="G253" s="225"/>
      <x:c r="H253" s="225"/>
      <x:c r="I253" s="225"/>
      <x:c r="J253" s="225"/>
      <x:c r="K253" s="225"/>
      <x:c r="L253" s="225"/>
      <x:c r="M253" s="225"/>
      <x:c r="N253" s="225"/>
      <x:c r="O253" s="225"/>
      <x:c r="P253" s="225"/>
      <x:c r="Q253" s="225"/>
      <x:c r="R253" s="225"/>
      <x:c r="S253" s="225"/>
      <x:c r="T253" s="225"/>
      <x:c r="U253" s="225"/>
      <x:c r="V253" s="225"/>
      <x:c r="W253" s="225"/>
      <x:c r="X253" s="225"/>
      <x:c r="Y253" s="225"/>
      <x:c r="Z253" s="225"/>
    </x:row>
    <x:row r="254">
      <x:c r="A254" s="225"/>
      <x:c r="B254" s="225"/>
      <x:c r="C254" s="225"/>
      <x:c r="D254" s="225"/>
      <x:c r="E254" s="225"/>
      <x:c r="F254" s="225"/>
      <x:c r="G254" s="225"/>
      <x:c r="H254" s="225"/>
      <x:c r="I254" s="225"/>
      <x:c r="J254" s="225"/>
      <x:c r="K254" s="225"/>
      <x:c r="L254" s="225"/>
      <x:c r="M254" s="225"/>
      <x:c r="N254" s="225"/>
      <x:c r="O254" s="225"/>
      <x:c r="P254" s="225"/>
      <x:c r="Q254" s="225"/>
      <x:c r="R254" s="225"/>
      <x:c r="S254" s="225"/>
      <x:c r="T254" s="225"/>
      <x:c r="U254" s="225"/>
      <x:c r="V254" s="225"/>
      <x:c r="W254" s="225"/>
      <x:c r="X254" s="225"/>
      <x:c r="Y254" s="225"/>
      <x:c r="Z254" s="225"/>
    </x:row>
    <x:row r="255">
      <x:c r="A255" s="225"/>
      <x:c r="B255" s="225"/>
      <x:c r="C255" s="225"/>
      <x:c r="D255" s="225"/>
      <x:c r="E255" s="225"/>
      <x:c r="F255" s="225"/>
      <x:c r="G255" s="225"/>
      <x:c r="H255" s="225"/>
      <x:c r="I255" s="225"/>
      <x:c r="J255" s="225"/>
      <x:c r="K255" s="225"/>
      <x:c r="L255" s="225"/>
      <x:c r="M255" s="225"/>
      <x:c r="N255" s="225"/>
      <x:c r="O255" s="225"/>
      <x:c r="P255" s="225"/>
      <x:c r="Q255" s="225"/>
      <x:c r="R255" s="225"/>
      <x:c r="S255" s="225"/>
      <x:c r="T255" s="225"/>
      <x:c r="U255" s="225"/>
      <x:c r="V255" s="225"/>
      <x:c r="W255" s="225"/>
      <x:c r="X255" s="225"/>
      <x:c r="Y255" s="225"/>
      <x:c r="Z255" s="225"/>
    </x:row>
    <x:row r="256">
      <x:c r="A256" s="225"/>
      <x:c r="B256" s="225"/>
      <x:c r="C256" s="225"/>
      <x:c r="D256" s="225"/>
      <x:c r="E256" s="225"/>
      <x:c r="F256" s="225"/>
      <x:c r="G256" s="225"/>
      <x:c r="H256" s="225"/>
      <x:c r="I256" s="225"/>
      <x:c r="J256" s="225"/>
      <x:c r="K256" s="225"/>
      <x:c r="L256" s="225"/>
      <x:c r="M256" s="225"/>
      <x:c r="N256" s="225"/>
      <x:c r="O256" s="225"/>
      <x:c r="P256" s="225"/>
      <x:c r="Q256" s="225"/>
      <x:c r="R256" s="225"/>
      <x:c r="S256" s="225"/>
      <x:c r="T256" s="225"/>
      <x:c r="U256" s="225"/>
      <x:c r="V256" s="225"/>
      <x:c r="W256" s="225"/>
      <x:c r="X256" s="225"/>
      <x:c r="Y256" s="225"/>
      <x:c r="Z256" s="225"/>
    </x:row>
    <x:row r="257">
      <x:c r="A257" s="225"/>
      <x:c r="B257" s="225"/>
      <x:c r="C257" s="225"/>
      <x:c r="D257" s="225"/>
      <x:c r="E257" s="225"/>
      <x:c r="F257" s="225"/>
      <x:c r="G257" s="225"/>
      <x:c r="H257" s="225"/>
      <x:c r="I257" s="225"/>
      <x:c r="J257" s="225"/>
      <x:c r="K257" s="225"/>
      <x:c r="L257" s="225"/>
      <x:c r="M257" s="225"/>
      <x:c r="N257" s="225"/>
      <x:c r="O257" s="225"/>
      <x:c r="P257" s="225"/>
      <x:c r="Q257" s="225"/>
      <x:c r="R257" s="225"/>
      <x:c r="S257" s="225"/>
      <x:c r="T257" s="225"/>
      <x:c r="U257" s="225"/>
      <x:c r="V257" s="225"/>
      <x:c r="W257" s="225"/>
      <x:c r="X257" s="225"/>
      <x:c r="Y257" s="225"/>
      <x:c r="Z257" s="225"/>
    </x:row>
    <x:row r="258">
      <x:c r="A258" s="225"/>
      <x:c r="B258" s="225"/>
      <x:c r="C258" s="225"/>
      <x:c r="D258" s="225"/>
      <x:c r="E258" s="225"/>
      <x:c r="F258" s="225"/>
      <x:c r="G258" s="225"/>
      <x:c r="H258" s="225"/>
      <x:c r="I258" s="225"/>
      <x:c r="J258" s="225"/>
      <x:c r="K258" s="225"/>
      <x:c r="L258" s="225"/>
      <x:c r="M258" s="225"/>
      <x:c r="N258" s="225"/>
      <x:c r="O258" s="225"/>
      <x:c r="P258" s="225"/>
      <x:c r="Q258" s="225"/>
      <x:c r="R258" s="225"/>
      <x:c r="S258" s="225"/>
      <x:c r="T258" s="225"/>
      <x:c r="U258" s="225"/>
      <x:c r="V258" s="225"/>
      <x:c r="W258" s="225"/>
      <x:c r="X258" s="225"/>
      <x:c r="Y258" s="225"/>
      <x:c r="Z258" s="225"/>
    </x:row>
    <x:row r="259">
      <x:c r="A259" s="225"/>
      <x:c r="B259" s="225"/>
      <x:c r="C259" s="225"/>
      <x:c r="D259" s="225"/>
      <x:c r="E259" s="225"/>
      <x:c r="F259" s="225"/>
      <x:c r="G259" s="225"/>
      <x:c r="H259" s="225"/>
      <x:c r="I259" s="225"/>
      <x:c r="J259" s="225"/>
      <x:c r="K259" s="225"/>
      <x:c r="L259" s="225"/>
      <x:c r="M259" s="225"/>
      <x:c r="N259" s="225"/>
      <x:c r="O259" s="225"/>
      <x:c r="P259" s="225"/>
      <x:c r="Q259" s="225"/>
      <x:c r="R259" s="225"/>
      <x:c r="S259" s="225"/>
      <x:c r="T259" s="225"/>
      <x:c r="U259" s="225"/>
      <x:c r="V259" s="225"/>
      <x:c r="W259" s="225"/>
      <x:c r="X259" s="225"/>
      <x:c r="Y259" s="225"/>
      <x:c r="Z259" s="225"/>
    </x:row>
    <x:row r="260">
      <x:c r="A260" s="225"/>
      <x:c r="B260" s="225"/>
      <x:c r="C260" s="225"/>
      <x:c r="D260" s="225"/>
      <x:c r="E260" s="225"/>
      <x:c r="F260" s="225"/>
      <x:c r="G260" s="225"/>
      <x:c r="H260" s="225"/>
      <x:c r="I260" s="225"/>
      <x:c r="J260" s="225"/>
      <x:c r="K260" s="225"/>
      <x:c r="L260" s="225"/>
      <x:c r="M260" s="225"/>
      <x:c r="N260" s="225"/>
      <x:c r="O260" s="225"/>
      <x:c r="P260" s="225"/>
      <x:c r="Q260" s="225"/>
      <x:c r="R260" s="225"/>
      <x:c r="S260" s="225"/>
      <x:c r="T260" s="225"/>
      <x:c r="U260" s="225"/>
      <x:c r="V260" s="225"/>
      <x:c r="W260" s="225"/>
      <x:c r="X260" s="225"/>
      <x:c r="Y260" s="225"/>
      <x:c r="Z260" s="225"/>
    </x:row>
    <x:row r="261">
      <x:c r="A261" s="225"/>
      <x:c r="B261" s="225"/>
      <x:c r="C261" s="225"/>
      <x:c r="D261" s="225"/>
      <x:c r="E261" s="225"/>
      <x:c r="F261" s="225"/>
      <x:c r="G261" s="225"/>
      <x:c r="H261" s="225"/>
      <x:c r="I261" s="225"/>
      <x:c r="J261" s="225"/>
      <x:c r="K261" s="225"/>
      <x:c r="L261" s="225"/>
      <x:c r="M261" s="225"/>
      <x:c r="N261" s="225"/>
      <x:c r="O261" s="225"/>
      <x:c r="P261" s="225"/>
      <x:c r="Q261" s="225"/>
      <x:c r="R261" s="225"/>
      <x:c r="S261" s="225"/>
      <x:c r="T261" s="225"/>
      <x:c r="U261" s="225"/>
      <x:c r="V261" s="225"/>
      <x:c r="W261" s="225"/>
      <x:c r="X261" s="225"/>
      <x:c r="Y261" s="225"/>
      <x:c r="Z261" s="225"/>
    </x:row>
    <x:row r="262">
      <x:c r="A262" s="225"/>
      <x:c r="B262" s="225"/>
      <x:c r="C262" s="225"/>
      <x:c r="D262" s="225"/>
      <x:c r="E262" s="225"/>
      <x:c r="F262" s="225"/>
      <x:c r="G262" s="225"/>
      <x:c r="H262" s="225"/>
      <x:c r="I262" s="225"/>
      <x:c r="J262" s="225"/>
      <x:c r="K262" s="225"/>
      <x:c r="L262" s="225"/>
      <x:c r="M262" s="225"/>
      <x:c r="N262" s="225"/>
      <x:c r="O262" s="225"/>
      <x:c r="P262" s="225"/>
      <x:c r="Q262" s="225"/>
      <x:c r="R262" s="225"/>
      <x:c r="S262" s="225"/>
      <x:c r="T262" s="225"/>
      <x:c r="U262" s="225"/>
      <x:c r="V262" s="225"/>
      <x:c r="W262" s="225"/>
      <x:c r="X262" s="225"/>
      <x:c r="Y262" s="225"/>
      <x:c r="Z262" s="225"/>
    </x:row>
    <x:row r="263">
      <x:c r="A263" s="225"/>
      <x:c r="B263" s="225"/>
      <x:c r="C263" s="225"/>
      <x:c r="D263" s="225"/>
      <x:c r="E263" s="225"/>
      <x:c r="F263" s="225"/>
      <x:c r="G263" s="225"/>
      <x:c r="H263" s="225"/>
      <x:c r="I263" s="225"/>
      <x:c r="J263" s="225"/>
      <x:c r="K263" s="225"/>
      <x:c r="L263" s="225"/>
      <x:c r="M263" s="225"/>
      <x:c r="N263" s="225"/>
      <x:c r="O263" s="225"/>
      <x:c r="P263" s="225"/>
      <x:c r="Q263" s="225"/>
      <x:c r="R263" s="225"/>
      <x:c r="S263" s="225"/>
      <x:c r="T263" s="225"/>
      <x:c r="U263" s="225"/>
      <x:c r="V263" s="225"/>
      <x:c r="W263" s="225"/>
      <x:c r="X263" s="225"/>
      <x:c r="Y263" s="225"/>
      <x:c r="Z263" s="225"/>
    </x:row>
    <x:row r="264">
      <x:c r="A264" s="225"/>
      <x:c r="B264" s="225"/>
      <x:c r="C264" s="225"/>
      <x:c r="D264" s="225"/>
      <x:c r="E264" s="225"/>
      <x:c r="F264" s="225"/>
      <x:c r="G264" s="225"/>
      <x:c r="H264" s="225"/>
      <x:c r="I264" s="225"/>
      <x:c r="J264" s="225"/>
      <x:c r="K264" s="225"/>
      <x:c r="L264" s="225"/>
      <x:c r="M264" s="225"/>
      <x:c r="N264" s="225"/>
      <x:c r="O264" s="225"/>
      <x:c r="P264" s="225"/>
      <x:c r="Q264" s="225"/>
      <x:c r="R264" s="225"/>
      <x:c r="S264" s="225"/>
      <x:c r="T264" s="225"/>
      <x:c r="U264" s="225"/>
      <x:c r="V264" s="225"/>
      <x:c r="W264" s="225"/>
      <x:c r="X264" s="225"/>
      <x:c r="Y264" s="225"/>
      <x:c r="Z264" s="225"/>
    </x:row>
    <x:row r="265">
      <x:c r="A265" s="225"/>
      <x:c r="B265" s="225"/>
      <x:c r="C265" s="225"/>
      <x:c r="D265" s="225"/>
      <x:c r="E265" s="225"/>
      <x:c r="F265" s="225"/>
      <x:c r="G265" s="225"/>
      <x:c r="H265" s="225"/>
      <x:c r="I265" s="225"/>
      <x:c r="J265" s="225"/>
      <x:c r="K265" s="225"/>
      <x:c r="L265" s="225"/>
      <x:c r="M265" s="225"/>
      <x:c r="N265" s="225"/>
      <x:c r="O265" s="225"/>
      <x:c r="P265" s="225"/>
      <x:c r="Q265" s="225"/>
      <x:c r="R265" s="225"/>
      <x:c r="S265" s="225"/>
      <x:c r="T265" s="225"/>
      <x:c r="U265" s="225"/>
      <x:c r="V265" s="225"/>
      <x:c r="W265" s="225"/>
      <x:c r="X265" s="225"/>
      <x:c r="Y265" s="225"/>
      <x:c r="Z265" s="225"/>
    </x:row>
    <x:row r="266">
      <x:c r="A266" s="225"/>
      <x:c r="B266" s="225"/>
      <x:c r="C266" s="225"/>
      <x:c r="D266" s="225"/>
      <x:c r="E266" s="225"/>
      <x:c r="F266" s="225"/>
      <x:c r="G266" s="225"/>
      <x:c r="H266" s="225"/>
      <x:c r="I266" s="225"/>
      <x:c r="J266" s="225"/>
      <x:c r="K266" s="225"/>
      <x:c r="L266" s="225"/>
      <x:c r="M266" s="225"/>
      <x:c r="N266" s="225"/>
      <x:c r="O266" s="225"/>
      <x:c r="P266" s="225"/>
      <x:c r="Q266" s="225"/>
      <x:c r="R266" s="225"/>
      <x:c r="S266" s="225"/>
      <x:c r="T266" s="225"/>
      <x:c r="U266" s="225"/>
      <x:c r="V266" s="225"/>
      <x:c r="W266" s="225"/>
      <x:c r="X266" s="225"/>
      <x:c r="Y266" s="225"/>
      <x:c r="Z266" s="225"/>
    </x:row>
    <x:row r="267">
      <x:c r="A267" s="225"/>
      <x:c r="B267" s="225"/>
      <x:c r="C267" s="225"/>
      <x:c r="D267" s="225"/>
      <x:c r="E267" s="225"/>
      <x:c r="F267" s="225"/>
      <x:c r="G267" s="225"/>
      <x:c r="H267" s="225"/>
      <x:c r="I267" s="225"/>
      <x:c r="J267" s="225"/>
      <x:c r="K267" s="225"/>
      <x:c r="L267" s="225"/>
      <x:c r="M267" s="225"/>
      <x:c r="N267" s="225"/>
      <x:c r="O267" s="225"/>
      <x:c r="P267" s="225"/>
      <x:c r="Q267" s="225"/>
      <x:c r="R267" s="225"/>
      <x:c r="S267" s="225"/>
      <x:c r="T267" s="225"/>
      <x:c r="U267" s="225"/>
      <x:c r="V267" s="225"/>
      <x:c r="W267" s="225"/>
      <x:c r="X267" s="225"/>
      <x:c r="Y267" s="225"/>
      <x:c r="Z267" s="225"/>
    </x:row>
    <x:row r="268">
      <x:c r="A268" s="225"/>
      <x:c r="B268" s="225"/>
      <x:c r="C268" s="225"/>
      <x:c r="D268" s="225"/>
      <x:c r="E268" s="225"/>
      <x:c r="F268" s="225"/>
      <x:c r="G268" s="225"/>
      <x:c r="H268" s="225"/>
      <x:c r="I268" s="225"/>
      <x:c r="J268" s="225"/>
      <x:c r="K268" s="225"/>
      <x:c r="L268" s="225"/>
      <x:c r="M268" s="225"/>
      <x:c r="N268" s="225"/>
      <x:c r="O268" s="225"/>
      <x:c r="P268" s="225"/>
      <x:c r="Q268" s="225"/>
      <x:c r="R268" s="225"/>
      <x:c r="S268" s="225"/>
      <x:c r="T268" s="225"/>
      <x:c r="U268" s="225"/>
      <x:c r="V268" s="225"/>
      <x:c r="W268" s="225"/>
      <x:c r="X268" s="225"/>
      <x:c r="Y268" s="225"/>
      <x:c r="Z268" s="225"/>
    </x:row>
    <x:row r="269">
      <x:c r="A269" s="225"/>
      <x:c r="B269" s="225"/>
      <x:c r="C269" s="225"/>
      <x:c r="D269" s="225"/>
      <x:c r="E269" s="225"/>
      <x:c r="F269" s="225"/>
      <x:c r="G269" s="225"/>
      <x:c r="H269" s="225"/>
      <x:c r="I269" s="225"/>
      <x:c r="J269" s="225"/>
      <x:c r="K269" s="225"/>
      <x:c r="L269" s="225"/>
      <x:c r="M269" s="225"/>
      <x:c r="N269" s="225"/>
      <x:c r="O269" s="225"/>
      <x:c r="P269" s="225"/>
      <x:c r="Q269" s="225"/>
      <x:c r="R269" s="225"/>
      <x:c r="S269" s="225"/>
      <x:c r="T269" s="225"/>
      <x:c r="U269" s="225"/>
      <x:c r="V269" s="225"/>
      <x:c r="W269" s="225"/>
      <x:c r="X269" s="225"/>
      <x:c r="Y269" s="225"/>
      <x:c r="Z269" s="225"/>
    </x:row>
    <x:row r="270">
      <x:c r="A270" s="225"/>
      <x:c r="B270" s="225"/>
      <x:c r="C270" s="225"/>
      <x:c r="D270" s="225"/>
      <x:c r="E270" s="225"/>
      <x:c r="F270" s="225"/>
      <x:c r="G270" s="225"/>
      <x:c r="H270" s="225"/>
      <x:c r="I270" s="225"/>
      <x:c r="J270" s="225"/>
      <x:c r="K270" s="225"/>
      <x:c r="L270" s="225"/>
      <x:c r="M270" s="225"/>
      <x:c r="N270" s="225"/>
      <x:c r="O270" s="225"/>
      <x:c r="P270" s="225"/>
      <x:c r="Q270" s="225"/>
      <x:c r="R270" s="225"/>
      <x:c r="S270" s="225"/>
      <x:c r="T270" s="225"/>
      <x:c r="U270" s="225"/>
      <x:c r="V270" s="225"/>
      <x:c r="W270" s="225"/>
      <x:c r="X270" s="225"/>
      <x:c r="Y270" s="225"/>
      <x:c r="Z270" s="225"/>
    </x:row>
    <x:row r="271">
      <x:c r="A271" s="225"/>
      <x:c r="B271" s="225"/>
      <x:c r="C271" s="225"/>
      <x:c r="D271" s="225"/>
      <x:c r="E271" s="225"/>
      <x:c r="F271" s="225"/>
      <x:c r="G271" s="225"/>
      <x:c r="H271" s="225"/>
      <x:c r="I271" s="225"/>
      <x:c r="J271" s="225"/>
      <x:c r="K271" s="225"/>
      <x:c r="L271" s="225"/>
      <x:c r="M271" s="225"/>
      <x:c r="N271" s="225"/>
      <x:c r="O271" s="225"/>
      <x:c r="P271" s="225"/>
      <x:c r="Q271" s="225"/>
      <x:c r="R271" s="225"/>
      <x:c r="S271" s="225"/>
      <x:c r="T271" s="225"/>
      <x:c r="U271" s="225"/>
      <x:c r="V271" s="225"/>
      <x:c r="W271" s="225"/>
      <x:c r="X271" s="225"/>
      <x:c r="Y271" s="225"/>
      <x:c r="Z271" s="225"/>
    </x:row>
    <x:row r="272">
      <x:c r="A272" s="225"/>
      <x:c r="B272" s="225"/>
      <x:c r="C272" s="225"/>
      <x:c r="D272" s="225"/>
      <x:c r="E272" s="225"/>
      <x:c r="F272" s="225"/>
      <x:c r="G272" s="225"/>
      <x:c r="H272" s="225"/>
      <x:c r="I272" s="225"/>
      <x:c r="J272" s="225"/>
      <x:c r="K272" s="225"/>
      <x:c r="L272" s="225"/>
      <x:c r="M272" s="225"/>
      <x:c r="N272" s="225"/>
      <x:c r="O272" s="225"/>
      <x:c r="P272" s="225"/>
      <x:c r="Q272" s="225"/>
      <x:c r="R272" s="225"/>
      <x:c r="S272" s="225"/>
      <x:c r="T272" s="225"/>
      <x:c r="U272" s="225"/>
      <x:c r="V272" s="225"/>
      <x:c r="W272" s="225"/>
      <x:c r="X272" s="225"/>
      <x:c r="Y272" s="225"/>
      <x:c r="Z272" s="225"/>
    </x:row>
    <x:row r="273">
      <x:c r="A273" s="225"/>
      <x:c r="B273" s="225"/>
      <x:c r="C273" s="225"/>
      <x:c r="D273" s="225"/>
      <x:c r="E273" s="225"/>
      <x:c r="F273" s="225"/>
      <x:c r="G273" s="225"/>
      <x:c r="H273" s="225"/>
      <x:c r="I273" s="225"/>
      <x:c r="J273" s="225"/>
      <x:c r="K273" s="225"/>
      <x:c r="L273" s="225"/>
      <x:c r="M273" s="225"/>
      <x:c r="N273" s="225"/>
      <x:c r="O273" s="225"/>
      <x:c r="P273" s="225"/>
      <x:c r="Q273" s="225"/>
      <x:c r="R273" s="225"/>
      <x:c r="S273" s="225"/>
      <x:c r="T273" s="225"/>
      <x:c r="U273" s="225"/>
      <x:c r="V273" s="225"/>
      <x:c r="W273" s="225"/>
      <x:c r="X273" s="225"/>
      <x:c r="Y273" s="225"/>
      <x:c r="Z273" s="225"/>
    </x:row>
    <x:row r="274">
      <x:c r="A274" s="225"/>
      <x:c r="B274" s="225"/>
      <x:c r="C274" s="225"/>
      <x:c r="D274" s="225"/>
      <x:c r="E274" s="225"/>
      <x:c r="F274" s="225"/>
      <x:c r="G274" s="225"/>
      <x:c r="H274" s="225"/>
      <x:c r="I274" s="225"/>
      <x:c r="J274" s="225"/>
      <x:c r="K274" s="225"/>
      <x:c r="L274" s="225"/>
      <x:c r="M274" s="225"/>
      <x:c r="N274" s="225"/>
      <x:c r="O274" s="225"/>
      <x:c r="P274" s="225"/>
      <x:c r="Q274" s="225"/>
      <x:c r="R274" s="225"/>
      <x:c r="S274" s="225"/>
      <x:c r="T274" s="225"/>
      <x:c r="U274" s="225"/>
      <x:c r="V274" s="225"/>
      <x:c r="W274" s="225"/>
      <x:c r="X274" s="225"/>
      <x:c r="Y274" s="225"/>
      <x:c r="Z274" s="225"/>
    </x:row>
    <x:row r="275">
      <x:c r="A275" s="225"/>
      <x:c r="B275" s="225"/>
      <x:c r="C275" s="225"/>
      <x:c r="D275" s="225"/>
      <x:c r="E275" s="225"/>
      <x:c r="F275" s="225"/>
      <x:c r="G275" s="225"/>
      <x:c r="H275" s="225"/>
      <x:c r="I275" s="225"/>
      <x:c r="J275" s="225"/>
      <x:c r="K275" s="225"/>
      <x:c r="L275" s="225"/>
      <x:c r="M275" s="225"/>
      <x:c r="N275" s="225"/>
      <x:c r="O275" s="225"/>
      <x:c r="P275" s="225"/>
      <x:c r="Q275" s="225"/>
      <x:c r="R275" s="225"/>
      <x:c r="S275" s="225"/>
      <x:c r="T275" s="225"/>
      <x:c r="U275" s="225"/>
      <x:c r="V275" s="225"/>
      <x:c r="W275" s="225"/>
      <x:c r="X275" s="225"/>
      <x:c r="Y275" s="225"/>
      <x:c r="Z275" s="225"/>
    </x:row>
    <x:row r="276">
      <x:c r="A276" s="225"/>
      <x:c r="B276" s="225"/>
      <x:c r="C276" s="225"/>
      <x:c r="D276" s="225"/>
      <x:c r="E276" s="225"/>
      <x:c r="F276" s="225"/>
      <x:c r="G276" s="225"/>
      <x:c r="H276" s="225"/>
      <x:c r="I276" s="225"/>
      <x:c r="J276" s="225"/>
      <x:c r="K276" s="225"/>
      <x:c r="L276" s="225"/>
      <x:c r="M276" s="225"/>
      <x:c r="N276" s="225"/>
      <x:c r="O276" s="225"/>
      <x:c r="P276" s="225"/>
      <x:c r="Q276" s="225"/>
      <x:c r="R276" s="225"/>
      <x:c r="S276" s="225"/>
      <x:c r="T276" s="225"/>
      <x:c r="U276" s="225"/>
      <x:c r="V276" s="225"/>
      <x:c r="W276" s="225"/>
      <x:c r="X276" s="225"/>
      <x:c r="Y276" s="225"/>
      <x:c r="Z276" s="225"/>
    </x:row>
    <x:row r="277">
      <x:c r="A277" s="225"/>
      <x:c r="B277" s="225"/>
      <x:c r="C277" s="225"/>
      <x:c r="D277" s="225"/>
      <x:c r="E277" s="225"/>
      <x:c r="F277" s="225"/>
      <x:c r="G277" s="225"/>
      <x:c r="H277" s="225"/>
      <x:c r="I277" s="225"/>
      <x:c r="J277" s="225"/>
      <x:c r="K277" s="225"/>
      <x:c r="L277" s="225"/>
      <x:c r="M277" s="225"/>
      <x:c r="N277" s="225"/>
      <x:c r="O277" s="225"/>
      <x:c r="P277" s="225"/>
      <x:c r="Q277" s="225"/>
      <x:c r="R277" s="225"/>
      <x:c r="S277" s="225"/>
      <x:c r="T277" s="225"/>
      <x:c r="U277" s="225"/>
      <x:c r="V277" s="225"/>
      <x:c r="W277" s="225"/>
      <x:c r="X277" s="225"/>
      <x:c r="Y277" s="225"/>
      <x:c r="Z277" s="225"/>
    </x:row>
    <x:row r="278">
      <x:c r="A278" s="225"/>
      <x:c r="B278" s="225"/>
      <x:c r="C278" s="225"/>
      <x:c r="D278" s="225"/>
      <x:c r="E278" s="225"/>
      <x:c r="F278" s="225"/>
      <x:c r="G278" s="225"/>
      <x:c r="H278" s="225"/>
      <x:c r="I278" s="225"/>
      <x:c r="J278" s="225"/>
      <x:c r="K278" s="225"/>
      <x:c r="L278" s="225"/>
      <x:c r="M278" s="225"/>
      <x:c r="N278" s="225"/>
      <x:c r="O278" s="225"/>
      <x:c r="P278" s="225"/>
      <x:c r="Q278" s="225"/>
      <x:c r="R278" s="225"/>
      <x:c r="S278" s="225"/>
      <x:c r="T278" s="225"/>
      <x:c r="U278" s="225"/>
      <x:c r="V278" s="225"/>
      <x:c r="W278" s="225"/>
      <x:c r="X278" s="225"/>
      <x:c r="Y278" s="225"/>
      <x:c r="Z278" s="225"/>
    </x:row>
    <x:row r="279">
      <x:c r="A279" s="225"/>
      <x:c r="B279" s="225"/>
      <x:c r="C279" s="225"/>
      <x:c r="D279" s="225"/>
      <x:c r="E279" s="225"/>
      <x:c r="F279" s="225"/>
      <x:c r="G279" s="225"/>
      <x:c r="H279" s="225"/>
      <x:c r="I279" s="225"/>
      <x:c r="J279" s="225"/>
      <x:c r="K279" s="225"/>
      <x:c r="L279" s="225"/>
      <x:c r="M279" s="225"/>
      <x:c r="N279" s="225"/>
      <x:c r="O279" s="225"/>
      <x:c r="P279" s="225"/>
      <x:c r="Q279" s="225"/>
      <x:c r="R279" s="225"/>
      <x:c r="S279" s="225"/>
      <x:c r="T279" s="225"/>
      <x:c r="U279" s="225"/>
      <x:c r="V279" s="225"/>
      <x:c r="W279" s="225"/>
      <x:c r="X279" s="225"/>
      <x:c r="Y279" s="225"/>
      <x:c r="Z279" s="225"/>
    </x:row>
    <x:row r="280">
      <x:c r="A280" s="225"/>
      <x:c r="B280" s="225"/>
      <x:c r="C280" s="225"/>
      <x:c r="D280" s="225"/>
      <x:c r="E280" s="225"/>
      <x:c r="F280" s="225"/>
      <x:c r="G280" s="225"/>
      <x:c r="H280" s="225"/>
      <x:c r="I280" s="225"/>
      <x:c r="J280" s="225"/>
      <x:c r="K280" s="225"/>
      <x:c r="L280" s="225"/>
      <x:c r="M280" s="225"/>
      <x:c r="N280" s="225"/>
      <x:c r="O280" s="225"/>
      <x:c r="P280" s="225"/>
      <x:c r="Q280" s="225"/>
      <x:c r="R280" s="225"/>
      <x:c r="S280" s="225"/>
      <x:c r="T280" s="225"/>
      <x:c r="U280" s="225"/>
      <x:c r="V280" s="225"/>
      <x:c r="W280" s="225"/>
      <x:c r="X280" s="225"/>
      <x:c r="Y280" s="225"/>
      <x:c r="Z280" s="225"/>
    </x:row>
    <x:row r="281">
      <x:c r="A281" s="225"/>
      <x:c r="B281" s="225"/>
      <x:c r="C281" s="225"/>
      <x:c r="D281" s="225"/>
      <x:c r="E281" s="225"/>
      <x:c r="F281" s="225"/>
      <x:c r="G281" s="225"/>
      <x:c r="H281" s="225"/>
      <x:c r="I281" s="225"/>
      <x:c r="J281" s="225"/>
      <x:c r="K281" s="225"/>
      <x:c r="L281" s="225"/>
      <x:c r="M281" s="225"/>
      <x:c r="N281" s="225"/>
      <x:c r="O281" s="225"/>
      <x:c r="P281" s="225"/>
      <x:c r="Q281" s="225"/>
      <x:c r="R281" s="225"/>
      <x:c r="S281" s="225"/>
      <x:c r="T281" s="225"/>
      <x:c r="U281" s="225"/>
      <x:c r="V281" s="225"/>
      <x:c r="W281" s="225"/>
      <x:c r="X281" s="225"/>
      <x:c r="Y281" s="225"/>
      <x:c r="Z281" s="225"/>
    </x:row>
    <x:row r="282">
      <x:c r="A282" s="225"/>
      <x:c r="B282" s="225"/>
      <x:c r="C282" s="225"/>
      <x:c r="D282" s="225"/>
      <x:c r="E282" s="225"/>
      <x:c r="F282" s="225"/>
      <x:c r="G282" s="225"/>
      <x:c r="H282" s="225"/>
      <x:c r="I282" s="225"/>
      <x:c r="J282" s="225"/>
      <x:c r="K282" s="225"/>
      <x:c r="L282" s="225"/>
      <x:c r="M282" s="225"/>
      <x:c r="N282" s="225"/>
      <x:c r="O282" s="225"/>
      <x:c r="P282" s="225"/>
      <x:c r="Q282" s="225"/>
      <x:c r="R282" s="225"/>
      <x:c r="S282" s="225"/>
      <x:c r="T282" s="225"/>
      <x:c r="U282" s="225"/>
      <x:c r="V282" s="225"/>
      <x:c r="W282" s="225"/>
      <x:c r="X282" s="225"/>
      <x:c r="Y282" s="225"/>
      <x:c r="Z282" s="225"/>
    </x:row>
    <x:row r="283">
      <x:c r="A283" s="225"/>
      <x:c r="B283" s="225"/>
      <x:c r="C283" s="225"/>
      <x:c r="D283" s="225"/>
      <x:c r="E283" s="225"/>
      <x:c r="F283" s="225"/>
      <x:c r="G283" s="225"/>
      <x:c r="H283" s="225"/>
      <x:c r="I283" s="225"/>
      <x:c r="J283" s="225"/>
      <x:c r="K283" s="225"/>
      <x:c r="L283" s="225"/>
      <x:c r="M283" s="225"/>
      <x:c r="N283" s="225"/>
      <x:c r="O283" s="225"/>
      <x:c r="P283" s="225"/>
      <x:c r="Q283" s="225"/>
      <x:c r="R283" s="225"/>
      <x:c r="S283" s="225"/>
      <x:c r="T283" s="225"/>
      <x:c r="U283" s="225"/>
      <x:c r="V283" s="225"/>
      <x:c r="W283" s="225"/>
      <x:c r="X283" s="225"/>
      <x:c r="Y283" s="225"/>
      <x:c r="Z283" s="225"/>
    </x:row>
    <x:row r="284">
      <x:c r="A284" s="225"/>
      <x:c r="B284" s="225"/>
      <x:c r="C284" s="225"/>
      <x:c r="D284" s="225"/>
      <x:c r="E284" s="225"/>
      <x:c r="F284" s="225"/>
      <x:c r="G284" s="225"/>
      <x:c r="H284" s="225"/>
      <x:c r="I284" s="225"/>
      <x:c r="J284" s="225"/>
      <x:c r="K284" s="225"/>
      <x:c r="L284" s="225"/>
      <x:c r="M284" s="225"/>
      <x:c r="N284" s="225"/>
      <x:c r="O284" s="225"/>
      <x:c r="P284" s="225"/>
      <x:c r="Q284" s="225"/>
      <x:c r="R284" s="225"/>
      <x:c r="S284" s="225"/>
      <x:c r="T284" s="225"/>
      <x:c r="U284" s="225"/>
      <x:c r="V284" s="225"/>
      <x:c r="W284" s="225"/>
      <x:c r="X284" s="225"/>
      <x:c r="Y284" s="225"/>
      <x:c r="Z284" s="225"/>
    </x:row>
    <x:row r="285">
      <x:c r="A285" s="225"/>
      <x:c r="B285" s="225"/>
      <x:c r="C285" s="225"/>
      <x:c r="D285" s="225"/>
      <x:c r="E285" s="225"/>
      <x:c r="F285" s="225"/>
      <x:c r="G285" s="225"/>
      <x:c r="H285" s="225"/>
      <x:c r="I285" s="225"/>
      <x:c r="J285" s="225"/>
      <x:c r="K285" s="225"/>
      <x:c r="L285" s="225"/>
      <x:c r="M285" s="225"/>
      <x:c r="N285" s="225"/>
      <x:c r="O285" s="225"/>
      <x:c r="P285" s="225"/>
      <x:c r="Q285" s="225"/>
      <x:c r="R285" s="225"/>
      <x:c r="S285" s="225"/>
      <x:c r="T285" s="225"/>
      <x:c r="U285" s="225"/>
      <x:c r="V285" s="225"/>
      <x:c r="W285" s="225"/>
      <x:c r="X285" s="225"/>
      <x:c r="Y285" s="225"/>
      <x:c r="Z285" s="225"/>
    </x:row>
    <x:row r="286">
      <x:c r="A286" s="225"/>
      <x:c r="B286" s="225"/>
      <x:c r="C286" s="225"/>
      <x:c r="D286" s="225"/>
      <x:c r="E286" s="225"/>
      <x:c r="F286" s="225"/>
      <x:c r="G286" s="225"/>
      <x:c r="H286" s="225"/>
      <x:c r="I286" s="225"/>
      <x:c r="J286" s="225"/>
      <x:c r="K286" s="225"/>
      <x:c r="L286" s="225"/>
      <x:c r="M286" s="225"/>
      <x:c r="N286" s="225"/>
      <x:c r="O286" s="225"/>
      <x:c r="P286" s="225"/>
      <x:c r="Q286" s="225"/>
      <x:c r="R286" s="225"/>
      <x:c r="S286" s="225"/>
      <x:c r="T286" s="225"/>
      <x:c r="U286" s="225"/>
      <x:c r="V286" s="225"/>
      <x:c r="W286" s="225"/>
      <x:c r="X286" s="225"/>
      <x:c r="Y286" s="225"/>
      <x:c r="Z286" s="225"/>
    </x:row>
    <x:row r="287">
      <x:c r="A287" s="225"/>
      <x:c r="B287" s="225"/>
      <x:c r="C287" s="225"/>
      <x:c r="D287" s="225"/>
      <x:c r="E287" s="225"/>
      <x:c r="F287" s="225"/>
      <x:c r="G287" s="225"/>
      <x:c r="H287" s="225"/>
      <x:c r="I287" s="225"/>
      <x:c r="J287" s="225"/>
      <x:c r="K287" s="225"/>
      <x:c r="L287" s="225"/>
      <x:c r="M287" s="225"/>
      <x:c r="N287" s="225"/>
      <x:c r="O287" s="225"/>
      <x:c r="P287" s="225"/>
      <x:c r="Q287" s="225"/>
      <x:c r="R287" s="225"/>
      <x:c r="S287" s="225"/>
      <x:c r="T287" s="225"/>
      <x:c r="U287" s="225"/>
      <x:c r="V287" s="225"/>
      <x:c r="W287" s="225"/>
      <x:c r="X287" s="225"/>
      <x:c r="Y287" s="225"/>
      <x:c r="Z287" s="225"/>
    </x:row>
    <x:row r="288">
      <x:c r="A288" s="225"/>
      <x:c r="B288" s="225"/>
      <x:c r="C288" s="225"/>
      <x:c r="D288" s="225"/>
      <x:c r="E288" s="225"/>
      <x:c r="F288" s="225"/>
      <x:c r="G288" s="225"/>
      <x:c r="H288" s="225"/>
      <x:c r="I288" s="225"/>
      <x:c r="J288" s="225"/>
      <x:c r="K288" s="225"/>
      <x:c r="L288" s="225"/>
      <x:c r="M288" s="225"/>
      <x:c r="N288" s="225"/>
      <x:c r="O288" s="225"/>
      <x:c r="P288" s="225"/>
      <x:c r="Q288" s="225"/>
      <x:c r="R288" s="225"/>
      <x:c r="S288" s="225"/>
      <x:c r="T288" s="225"/>
      <x:c r="U288" s="225"/>
      <x:c r="V288" s="225"/>
      <x:c r="W288" s="225"/>
      <x:c r="X288" s="225"/>
      <x:c r="Y288" s="225"/>
      <x:c r="Z288" s="225"/>
    </x:row>
    <x:row r="289">
      <x:c r="A289" s="225"/>
      <x:c r="B289" s="225"/>
      <x:c r="C289" s="225"/>
      <x:c r="D289" s="225"/>
      <x:c r="E289" s="225"/>
      <x:c r="F289" s="225"/>
      <x:c r="G289" s="225"/>
      <x:c r="H289" s="225"/>
      <x:c r="I289" s="225"/>
      <x:c r="J289" s="225"/>
      <x:c r="K289" s="225"/>
      <x:c r="L289" s="225"/>
      <x:c r="M289" s="225"/>
      <x:c r="N289" s="225"/>
      <x:c r="O289" s="225"/>
      <x:c r="P289" s="225"/>
      <x:c r="Q289" s="225"/>
      <x:c r="R289" s="225"/>
      <x:c r="S289" s="225"/>
      <x:c r="T289" s="225"/>
      <x:c r="U289" s="225"/>
      <x:c r="V289" s="225"/>
      <x:c r="W289" s="225"/>
      <x:c r="X289" s="225"/>
      <x:c r="Y289" s="225"/>
      <x:c r="Z289" s="225"/>
    </x:row>
    <x:row r="290">
      <x:c r="A290" s="225"/>
      <x:c r="B290" s="225"/>
      <x:c r="C290" s="225"/>
      <x:c r="D290" s="225"/>
      <x:c r="E290" s="225"/>
      <x:c r="F290" s="225"/>
      <x:c r="G290" s="225"/>
      <x:c r="H290" s="225"/>
      <x:c r="I290" s="225"/>
      <x:c r="J290" s="225"/>
      <x:c r="K290" s="225"/>
      <x:c r="L290" s="225"/>
      <x:c r="M290" s="225"/>
      <x:c r="N290" s="225"/>
      <x:c r="O290" s="225"/>
      <x:c r="P290" s="225"/>
      <x:c r="Q290" s="225"/>
      <x:c r="R290" s="225"/>
      <x:c r="S290" s="225"/>
      <x:c r="T290" s="225"/>
      <x:c r="U290" s="225"/>
      <x:c r="V290" s="225"/>
      <x:c r="W290" s="225"/>
      <x:c r="X290" s="225"/>
      <x:c r="Y290" s="225"/>
      <x:c r="Z290" s="225"/>
    </x:row>
    <x:row r="291">
      <x:c r="A291" s="225"/>
      <x:c r="B291" s="225"/>
      <x:c r="C291" s="225"/>
      <x:c r="D291" s="225"/>
      <x:c r="E291" s="225"/>
      <x:c r="F291" s="225"/>
      <x:c r="G291" s="225"/>
      <x:c r="H291" s="225"/>
      <x:c r="I291" s="225"/>
      <x:c r="J291" s="225"/>
      <x:c r="K291" s="225"/>
      <x:c r="L291" s="225"/>
      <x:c r="M291" s="225"/>
      <x:c r="N291" s="225"/>
      <x:c r="O291" s="225"/>
      <x:c r="P291" s="225"/>
      <x:c r="Q291" s="225"/>
      <x:c r="R291" s="225"/>
      <x:c r="S291" s="225"/>
      <x:c r="T291" s="225"/>
      <x:c r="U291" s="225"/>
      <x:c r="V291" s="225"/>
      <x:c r="W291" s="225"/>
      <x:c r="X291" s="225"/>
      <x:c r="Y291" s="225"/>
      <x:c r="Z291" s="225"/>
    </x:row>
    <x:row r="292">
      <x:c r="A292" s="225"/>
      <x:c r="B292" s="225"/>
      <x:c r="C292" s="225"/>
      <x:c r="D292" s="225"/>
      <x:c r="E292" s="225"/>
      <x:c r="F292" s="225"/>
      <x:c r="G292" s="225"/>
      <x:c r="H292" s="225"/>
      <x:c r="I292" s="225"/>
      <x:c r="J292" s="225"/>
      <x:c r="K292" s="225"/>
      <x:c r="L292" s="225"/>
      <x:c r="M292" s="225"/>
      <x:c r="N292" s="225"/>
      <x:c r="O292" s="225"/>
      <x:c r="P292" s="225"/>
      <x:c r="Q292" s="225"/>
      <x:c r="R292" s="225"/>
      <x:c r="S292" s="225"/>
      <x:c r="T292" s="225"/>
      <x:c r="U292" s="225"/>
      <x:c r="V292" s="225"/>
      <x:c r="W292" s="225"/>
      <x:c r="X292" s="225"/>
      <x:c r="Y292" s="225"/>
      <x:c r="Z292" s="225"/>
    </x:row>
    <x:row r="293">
      <x:c r="A293" s="225"/>
      <x:c r="B293" s="225"/>
      <x:c r="C293" s="225"/>
      <x:c r="D293" s="225"/>
      <x:c r="E293" s="225"/>
      <x:c r="F293" s="225"/>
      <x:c r="G293" s="225"/>
      <x:c r="H293" s="225"/>
      <x:c r="I293" s="225"/>
      <x:c r="J293" s="225"/>
      <x:c r="K293" s="225"/>
      <x:c r="L293" s="225"/>
      <x:c r="M293" s="225"/>
      <x:c r="N293" s="225"/>
      <x:c r="O293" s="225"/>
      <x:c r="P293" s="225"/>
      <x:c r="Q293" s="225"/>
      <x:c r="R293" s="225"/>
      <x:c r="S293" s="225"/>
      <x:c r="T293" s="225"/>
      <x:c r="U293" s="225"/>
      <x:c r="V293" s="225"/>
      <x:c r="W293" s="225"/>
      <x:c r="X293" s="225"/>
      <x:c r="Y293" s="225"/>
      <x:c r="Z293" s="225"/>
    </x:row>
    <x:row r="294">
      <x:c r="A294" s="225"/>
      <x:c r="B294" s="225"/>
      <x:c r="C294" s="225"/>
      <x:c r="D294" s="225"/>
      <x:c r="E294" s="225"/>
      <x:c r="F294" s="225"/>
      <x:c r="G294" s="225"/>
      <x:c r="H294" s="225"/>
      <x:c r="I294" s="225"/>
      <x:c r="J294" s="225"/>
      <x:c r="K294" s="225"/>
      <x:c r="L294" s="225"/>
      <x:c r="M294" s="225"/>
      <x:c r="N294" s="225"/>
      <x:c r="O294" s="225"/>
      <x:c r="P294" s="225"/>
      <x:c r="Q294" s="225"/>
      <x:c r="R294" s="225"/>
      <x:c r="S294" s="225"/>
      <x:c r="T294" s="225"/>
      <x:c r="U294" s="225"/>
      <x:c r="V294" s="225"/>
      <x:c r="W294" s="225"/>
      <x:c r="X294" s="225"/>
      <x:c r="Y294" s="225"/>
      <x:c r="Z294" s="225"/>
    </x:row>
    <x:row r="295">
      <x:c r="A295" s="225"/>
      <x:c r="B295" s="225"/>
      <x:c r="C295" s="225"/>
      <x:c r="D295" s="225"/>
      <x:c r="E295" s="225"/>
      <x:c r="F295" s="225"/>
      <x:c r="G295" s="225"/>
      <x:c r="H295" s="225"/>
      <x:c r="I295" s="225"/>
      <x:c r="J295" s="225"/>
      <x:c r="K295" s="225"/>
      <x:c r="L295" s="225"/>
      <x:c r="M295" s="225"/>
      <x:c r="N295" s="225"/>
      <x:c r="O295" s="225"/>
      <x:c r="P295" s="225"/>
      <x:c r="Q295" s="225"/>
      <x:c r="R295" s="225"/>
      <x:c r="S295" s="225"/>
      <x:c r="T295" s="225"/>
      <x:c r="U295" s="225"/>
      <x:c r="V295" s="225"/>
      <x:c r="W295" s="225"/>
      <x:c r="X295" s="225"/>
      <x:c r="Y295" s="225"/>
      <x:c r="Z295" s="225"/>
    </x:row>
    <x:row r="296">
      <x:c r="A296" s="225"/>
      <x:c r="B296" s="225"/>
      <x:c r="C296" s="225"/>
      <x:c r="D296" s="225"/>
      <x:c r="E296" s="225"/>
      <x:c r="F296" s="225"/>
      <x:c r="G296" s="225"/>
      <x:c r="H296" s="225"/>
      <x:c r="I296" s="225"/>
      <x:c r="J296" s="225"/>
      <x:c r="K296" s="225"/>
      <x:c r="L296" s="225"/>
      <x:c r="M296" s="225"/>
      <x:c r="N296" s="225"/>
      <x:c r="O296" s="225"/>
      <x:c r="P296" s="225"/>
      <x:c r="Q296" s="225"/>
      <x:c r="R296" s="225"/>
      <x:c r="S296" s="225"/>
      <x:c r="T296" s="225"/>
      <x:c r="U296" s="225"/>
      <x:c r="V296" s="225"/>
      <x:c r="W296" s="225"/>
      <x:c r="X296" s="225"/>
      <x:c r="Y296" s="225"/>
      <x:c r="Z296" s="225"/>
    </x:row>
    <x:row r="297">
      <x:c r="A297" s="225"/>
      <x:c r="B297" s="225"/>
      <x:c r="C297" s="225"/>
      <x:c r="D297" s="225"/>
      <x:c r="E297" s="225"/>
      <x:c r="F297" s="225"/>
      <x:c r="G297" s="225"/>
      <x:c r="H297" s="225"/>
      <x:c r="I297" s="225"/>
      <x:c r="J297" s="225"/>
      <x:c r="K297" s="225"/>
      <x:c r="L297" s="225"/>
      <x:c r="M297" s="225"/>
      <x:c r="N297" s="225"/>
      <x:c r="O297" s="225"/>
      <x:c r="P297" s="225"/>
      <x:c r="Q297" s="225"/>
      <x:c r="R297" s="225"/>
      <x:c r="S297" s="225"/>
      <x:c r="T297" s="225"/>
      <x:c r="U297" s="225"/>
      <x:c r="V297" s="225"/>
      <x:c r="W297" s="225"/>
      <x:c r="X297" s="225"/>
      <x:c r="Y297" s="225"/>
      <x:c r="Z297" s="225"/>
    </x:row>
    <x:row r="298">
      <x:c r="A298" s="225"/>
      <x:c r="B298" s="225"/>
      <x:c r="C298" s="225"/>
      <x:c r="D298" s="225"/>
      <x:c r="E298" s="225"/>
      <x:c r="F298" s="225"/>
      <x:c r="G298" s="225"/>
      <x:c r="H298" s="225"/>
      <x:c r="I298" s="225"/>
      <x:c r="J298" s="225"/>
      <x:c r="K298" s="225"/>
      <x:c r="L298" s="225"/>
      <x:c r="M298" s="225"/>
      <x:c r="N298" s="225"/>
      <x:c r="O298" s="225"/>
      <x:c r="P298" s="225"/>
      <x:c r="Q298" s="225"/>
      <x:c r="R298" s="225"/>
      <x:c r="S298" s="225"/>
      <x:c r="T298" s="225"/>
      <x:c r="U298" s="225"/>
      <x:c r="V298" s="225"/>
      <x:c r="W298" s="225"/>
      <x:c r="X298" s="225"/>
      <x:c r="Y298" s="225"/>
      <x:c r="Z298" s="225"/>
    </x:row>
    <x:row r="299">
      <x:c r="A299" s="225"/>
      <x:c r="B299" s="225"/>
      <x:c r="C299" s="225"/>
      <x:c r="D299" s="225"/>
      <x:c r="E299" s="225"/>
      <x:c r="F299" s="225"/>
      <x:c r="G299" s="225"/>
      <x:c r="H299" s="225"/>
      <x:c r="I299" s="225"/>
      <x:c r="J299" s="225"/>
      <x:c r="K299" s="225"/>
      <x:c r="L299" s="225"/>
      <x:c r="M299" s="225"/>
      <x:c r="N299" s="225"/>
      <x:c r="O299" s="225"/>
      <x:c r="P299" s="225"/>
      <x:c r="Q299" s="225"/>
      <x:c r="R299" s="225"/>
      <x:c r="S299" s="225"/>
      <x:c r="T299" s="225"/>
      <x:c r="U299" s="225"/>
      <x:c r="V299" s="225"/>
      <x:c r="W299" s="225"/>
      <x:c r="X299" s="225"/>
      <x:c r="Y299" s="225"/>
      <x:c r="Z299" s="225"/>
    </x:row>
    <x:row r="300">
      <x:c r="A300" s="225"/>
      <x:c r="B300" s="225"/>
      <x:c r="C300" s="225"/>
      <x:c r="D300" s="225"/>
      <x:c r="E300" s="225"/>
      <x:c r="F300" s="225"/>
      <x:c r="G300" s="225"/>
      <x:c r="H300" s="225"/>
      <x:c r="I300" s="225"/>
      <x:c r="J300" s="225"/>
      <x:c r="K300" s="225"/>
      <x:c r="L300" s="225"/>
      <x:c r="M300" s="225"/>
      <x:c r="N300" s="225"/>
      <x:c r="O300" s="225"/>
      <x:c r="P300" s="225"/>
      <x:c r="Q300" s="225"/>
      <x:c r="R300" s="225"/>
      <x:c r="S300" s="225"/>
      <x:c r="T300" s="225"/>
      <x:c r="U300" s="225"/>
      <x:c r="V300" s="225"/>
      <x:c r="W300" s="225"/>
      <x:c r="X300" s="225"/>
      <x:c r="Y300" s="225"/>
      <x:c r="Z300" s="225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90" hidden="0" customWidth="1"/>
  </x:cols>
  <x:sheetData>
    <x:row r="1">
      <x:c r="A1" s="934" t="str">
        <x:v>Område</x:v>
      </x:c>
      <x:c r="B1" s="935" t="str">
        <x:v>Kontroll</x:v>
      </x:c>
      <x:c r="C1" s="935" t="str">
        <x:v>Resultat</x:v>
      </x:c>
      <x:c r="D1" s="952" t="str">
        <x:v>Kommentar</x:v>
      </x:c>
    </x:row>
    <x:row r="2">
      <x:c r="A2" s="773" t="str">
        <x:v>Taxepunkter G</x:v>
      </x:c>
      <x:c r="B2" s="767" t="str">
        <x:v>Föreslagen Taxa</x:v>
      </x:c>
      <x:c r="C2" s="767" t="str">
        <x:v>OK</x:v>
      </x:c>
      <x:c r="D2" s="774" t="str">
        <x:v>Visar Taxakod om F finns, annars XLOOKUP mot Taxa_Saknas intRecnum/H och FöreslagenTaxekod/G.</x:v>
      </x:c>
    </x:row>
    <x:row r="3">
      <x:c r="A3" s="773" t="str">
        <x:v>Taxepunkter H</x:v>
      </x:c>
      <x:c r="B3" s="767" t="str">
        <x:v>Taxabeskrivning</x:v>
      </x:c>
      <x:c r="C3" s="767" t="str">
        <x:v>OK</x:v>
      </x:c>
      <x:c r="D3" s="774" t="str">
        <x:v>Hämtas från Taxa_från_edp strTaxebenamning via Taxakod.</x:v>
      </x:c>
    </x:row>
    <x:row r="4">
      <x:c r="A4" s="773" t="str">
        <x:v>Taxepunkter I</x:v>
      </x:c>
      <x:c r="B4" s="767" t="str">
        <x:v>Faktor</x:v>
      </x:c>
      <x:c r="C4" s="767" t="str">
        <x:v>OK</x:v>
      </x:c>
      <x:c r="D4" s="774" t="str">
        <x:v>Hämtas från Taxa_från_edp strFaktor via Taxakod.</x:v>
      </x:c>
    </x:row>
    <x:row r="5">
      <x:c r="A5" s="773" t="str">
        <x:v>Taxepunkter J</x:v>
      </x:c>
      <x:c r="B5" s="767" t="str">
        <x:v>Aktuellt pris</x:v>
      </x:c>
      <x:c r="C5" s="767" t="str">
        <x:v>OK</x:v>
      </x:c>
      <x:c r="D5" s="774" t="str">
        <x:v>Hämtas från Taxa_från_edp curNuvarandePris via Taxakod. Ska inte redigeras manuellt.</x:v>
      </x:c>
    </x:row>
    <x:row r="6">
      <x:c r="A6" s="773" t="str">
        <x:v>Taxepunkter M</x:v>
      </x:c>
      <x:c r="B6" s="767" t="str">
        <x:v>Pris inkl. moms</x:v>
      </x:c>
      <x:c r="C6" s="767" t="str">
        <x:v>OK</x:v>
      </x:c>
      <x:c r="D6" s="774" t="str">
        <x:v>Beräknar J*1,25 eller K*1,25 om J saknas.</x:v>
      </x:c>
    </x:row>
    <x:row r="7">
      <x:c r="A7" s="773" t="str">
        <x:v>Taxepunkter N</x:v>
      </x:c>
      <x:c r="B7" s="767" t="str">
        <x:v>Intäkt exkl. moms</x:v>
      </x:c>
      <x:c r="C7" s="767" t="str">
        <x:v>OK</x:v>
      </x:c>
      <x:c r="D7" s="774" t="str">
        <x:v>Beräknar L*J eller L*K om J saknas.</x:v>
      </x:c>
    </x:row>
    <x:row r="8">
      <x:c r="A8" s="773" t="str">
        <x:v>Taxepunkter F</x:v>
      </x:c>
      <x:c r="B8" s="767" t="str">
        <x:v>Datavalidering</x:v>
      </x:c>
      <x:c r="C8" s="767" t="str">
        <x:v>OK</x:v>
      </x:c>
      <x:c r="D8" s="774" t="str">
        <x:v>Dropdown mot Taxa_från_edp!$B$2:$B$371 tillagd på F7:F370.</x:v>
      </x:c>
    </x:row>
    <x:row r="9">
      <x:c r="A9" s="773" t="str">
        <x:v>Taxa_Saknas 72:200</x:v>
      </x:c>
      <x:c r="B9" s="767" t="str">
        <x:v>Automationsmall</x:v>
      </x:c>
      <x:c r="C9" s="767" t="str">
        <x:v>OK</x:v>
      </x:c>
      <x:c r="D9" s="774" t="str">
        <x:v>Fyll Rad i Taxepunkter i C och FöreslagenTaxekod i G. Övriga fält fylls med formler.</x:v>
      </x:c>
    </x:row>
    <x:row r="10">
      <x:c r="A10" s="773"/>
      <x:c r="B10" s="767"/>
      <x:c r="C10" s="767"/>
      <x:c r="D10" s="774"/>
    </x:row>
    <x:row r="11">
      <x:c r="A11" s="773"/>
      <x:c r="B11" s="767"/>
      <x:c r="C11" s="767"/>
      <x:c r="D11" s="774"/>
    </x:row>
    <x:row r="12">
      <x:c r="A12" s="773"/>
      <x:c r="B12" s="767"/>
      <x:c r="C12" s="767"/>
      <x:c r="D12" s="774"/>
    </x:row>
    <x:row r="13">
      <x:c r="A13" s="773"/>
      <x:c r="B13" s="767"/>
      <x:c r="C13" s="767"/>
      <x:c r="D13" s="774"/>
    </x:row>
    <x:row r="14">
      <x:c r="A14" s="773"/>
      <x:c r="B14" s="767"/>
      <x:c r="C14" s="767"/>
      <x:c r="D14" s="774"/>
    </x:row>
    <x:row r="15">
      <x:c r="A15" s="773"/>
      <x:c r="B15" s="767"/>
      <x:c r="C15" s="767"/>
      <x:c r="D15" s="774"/>
    </x:row>
    <x:row r="16">
      <x:c r="A16" s="773"/>
      <x:c r="B16" s="767"/>
      <x:c r="C16" s="767"/>
      <x:c r="D16" s="774"/>
    </x:row>
    <x:row r="17">
      <x:c r="A17" s="773"/>
      <x:c r="B17" s="767"/>
      <x:c r="C17" s="767"/>
      <x:c r="D17" s="774"/>
    </x:row>
    <x:row r="18">
      <x:c r="A18" s="773"/>
      <x:c r="B18" s="767"/>
      <x:c r="C18" s="767"/>
      <x:c r="D18" s="774"/>
    </x:row>
    <x:row r="19">
      <x:c r="A19" s="773"/>
      <x:c r="B19" s="767"/>
      <x:c r="C19" s="767"/>
      <x:c r="D19" s="774"/>
    </x:row>
    <x:row r="20">
      <x:c r="A20" s="840"/>
      <x:c r="B20" s="841"/>
      <x:c r="C20" s="841"/>
      <x:c r="D20" s="842"/>
    </x:row>
  </x:sheetData>
  <x:pageMargins left="0.7" right="0.7" top="0.75" bottom="0.75" header="0.3" footer="0.3"/>
</x:worksheet>
</file>